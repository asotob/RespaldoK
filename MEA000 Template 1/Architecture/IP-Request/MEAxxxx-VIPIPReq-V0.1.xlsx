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 Folder Template/Architecture/IP-Request/"/>
    </mc:Choice>
  </mc:AlternateContent>
  <xr:revisionPtr revIDLastSave="1" documentId="8_{09DB0975-693A-49A0-861E-C3EC6F7170F7}" xr6:coauthVersionLast="47" xr6:coauthVersionMax="47" xr10:uidLastSave="{FEBE3299-9155-4101-9CC1-9B1458540FA3}"/>
  <bookViews>
    <workbookView xWindow="-110" yWindow="-110" windowWidth="19420" windowHeight="10420" xr2:uid="{5D20F57E-9A4A-4680-AD3B-3D2677E5BC0E}"/>
  </bookViews>
  <sheets>
    <sheet name="LBSum" sheetId="1" r:id="rId1"/>
  </sheets>
  <externalReferences>
    <externalReference r:id="rId2"/>
    <externalReference r:id="rId3"/>
  </externalReferences>
  <definedNames>
    <definedName name="___xlfn_COUNTIFS">#N/A</definedName>
    <definedName name="__xlfn_COUNTIFS">#N/A</definedName>
    <definedName name="cfgDBFileName">[1]config!$B$2</definedName>
    <definedName name="list_Applications_0">[2]Validation!$A$1:$A$22</definedName>
    <definedName name="list_Applications_2">[2]Validation!$C$1:$C$6</definedName>
    <definedName name="list_Databases_0">[2]Validation!$A$1:$A$22</definedName>
    <definedName name="list_Databases_2">[2]Validation!$C$1:$C$6</definedName>
    <definedName name="list_Dependencies_3">[2]Validation!$D$1:$D$22</definedName>
    <definedName name="list_Dependencies_4">[2]Validation!$E$1:$E$7</definedName>
    <definedName name="list_Devices_0">[2]Validation!$A$1:$A$22</definedName>
    <definedName name="list_Devices_1">[2]Validation!$B$1:$B$7</definedName>
    <definedName name="list_Devices_2">[2]Validation!$C$1:$C$6</definedName>
    <definedName name="list_Storage_0">[2]Validation!$A$1:$A$22</definedName>
    <definedName name="list_Storage_2">[2]Validation!$C$1:$C$6</definedName>
    <definedName name="MigrationEventCode">[1]TMWorkbook!$B$2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" i="1" l="1"/>
  <c r="AY2" i="1" l="1"/>
  <c r="AZ2" i="1" l="1"/>
  <c r="BA2" i="1" l="1"/>
  <c r="BB2" i="1" l="1"/>
  <c r="BC2" i="1" l="1"/>
  <c r="BD2" i="1" l="1"/>
  <c r="BE2" i="1" l="1"/>
  <c r="BF2" i="1" l="1"/>
</calcChain>
</file>

<file path=xl/sharedStrings.xml><?xml version="1.0" encoding="utf-8"?>
<sst xmlns="http://schemas.openxmlformats.org/spreadsheetml/2006/main" count="66" uniqueCount="66">
  <si>
    <t>New DNS VIP</t>
  </si>
  <si>
    <t>Src DEV</t>
  </si>
  <si>
    <t>Dst DEV</t>
  </si>
  <si>
    <t>VIP</t>
  </si>
  <si>
    <t>VIP_SrcIP</t>
  </si>
  <si>
    <t>VIP_DstIP</t>
  </si>
  <si>
    <t>VIP_PRT</t>
  </si>
  <si>
    <t>MEMBERS</t>
  </si>
  <si>
    <t>Tgt Members</t>
  </si>
  <si>
    <t>SrcIP1</t>
  </si>
  <si>
    <t>SrcIP2</t>
  </si>
  <si>
    <t>SrcIP3</t>
  </si>
  <si>
    <t>SrcIP4</t>
  </si>
  <si>
    <t>SrcIP5</t>
  </si>
  <si>
    <t>SrcIP6</t>
  </si>
  <si>
    <t>SrcIP7</t>
  </si>
  <si>
    <t>SrcIP8</t>
  </si>
  <si>
    <t>SrcIP9</t>
  </si>
  <si>
    <t>DstIP1</t>
  </si>
  <si>
    <t>DstIP2</t>
  </si>
  <si>
    <t>DstIP3</t>
  </si>
  <si>
    <t>DstIP4</t>
  </si>
  <si>
    <t>DstIP5</t>
  </si>
  <si>
    <t>DstIP6</t>
  </si>
  <si>
    <t>DstIP7</t>
  </si>
  <si>
    <t>DstIP8</t>
  </si>
  <si>
    <t>DstIP9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</si>
  <si>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</si>
  <si>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</si>
  <si>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</si>
  <si>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</si>
  <si>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</si>
  <si>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</si>
  <si>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</si>
  <si>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</si>
  <si>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</si>
  <si>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VIP-ID</t>
  </si>
  <si>
    <t>HN1</t>
  </si>
  <si>
    <t>HN2</t>
  </si>
  <si>
    <t>HN3</t>
  </si>
  <si>
    <t>HN4</t>
  </si>
  <si>
    <t>HN5</t>
  </si>
  <si>
    <t>HN6</t>
  </si>
  <si>
    <t>HN7</t>
  </si>
  <si>
    <t>HN8</t>
  </si>
  <si>
    <t>HN9</t>
  </si>
  <si>
    <t>REQ</t>
  </si>
  <si>
    <t>ME</t>
  </si>
  <si>
    <t>Supported Application</t>
  </si>
  <si>
    <t>:1</t>
  </si>
  <si>
    <t>:2</t>
  </si>
  <si>
    <t>:3</t>
  </si>
  <si>
    <t>:4</t>
  </si>
  <si>
    <t>:5</t>
  </si>
  <si>
    <t>:6</t>
  </si>
  <si>
    <t>:7</t>
  </si>
  <si>
    <t>:8</t>
  </si>
  <si>
    <t>:9</t>
  </si>
  <si>
    <t>VIP_IP Norm.</t>
  </si>
  <si>
    <t>VIP/VIP IP</t>
  </si>
  <si>
    <t>Src Ext NAT IP</t>
  </si>
  <si>
    <t>Tgt ext NAT IP</t>
  </si>
  <si>
    <t>Ports</t>
  </si>
  <si>
    <t>Users</t>
  </si>
  <si>
    <t>OOS</t>
  </si>
  <si>
    <t>DupVIPs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</si>
</sst>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99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90000"/>
      <name val="Calibri"/>
      <family val="2"/>
      <scheme val="minor"/>
    </font>
    <font>
      <b/>
      <i/>
      <sz val="11"/>
      <color rgb="FF99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25">
    <xf numFmtId="0" fontId="0" fillId="0" borderId="0" xfId="0"/>
    <xf numFmtId="0" fontId="5" fillId="2" borderId="0" xfId="1" applyFont="1" applyFill="1" applyAlignment="1">
      <alignment horizontal="left" vertical="top"/>
    </xf>
    <xf numFmtId="0" fontId="0" fillId="3" borderId="0" xfId="0" applyFill="1"/>
    <xf numFmtId="0" fontId="5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vertical="top"/>
    </xf>
    <xf numFmtId="49" fontId="5" fillId="2" borderId="0" xfId="1" applyNumberFormat="1" applyFont="1" applyFill="1" applyAlignment="1">
      <alignment horizontal="left" vertical="top"/>
    </xf>
    <xf numFmtId="0" fontId="7" fillId="2" borderId="0" xfId="1" applyFont="1" applyFill="1" applyAlignment="1">
      <alignment vertical="top"/>
    </xf>
    <xf numFmtId="0" fontId="8" fillId="2" borderId="0" xfId="1" applyFont="1" applyFill="1" applyAlignment="1">
      <alignment horizontal="left" vertical="top"/>
    </xf>
    <xf numFmtId="0" fontId="8" fillId="2" borderId="0" xfId="1" applyFont="1" applyFill="1"/>
    <xf numFmtId="0" fontId="3" fillId="0" borderId="0" xfId="1" applyFont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2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9" fillId="0" borderId="0" xfId="2" applyNumberFormat="1" applyFont="1" applyFill="1" applyAlignment="1">
      <alignment horizontal="left" vertical="top"/>
    </xf>
    <xf numFmtId="0" fontId="9" fillId="0" borderId="0" xfId="0" applyNumberFormat="1" applyFont="1" applyAlignment="1">
      <alignment horizontal="left" vertical="top"/>
    </xf>
    <xf numFmtId="0" fontId="9" fillId="0" borderId="0" xfId="0" applyNumberFormat="1" applyFont="1" applyAlignment="1">
      <alignment horizontal="left" vertical="top" wrapText="1"/>
    </xf>
    <xf numFmtId="0" fontId="9" fillId="0" borderId="0" xfId="0" applyNumberFormat="1" applyFont="1" applyAlignment="1">
      <alignment vertical="top"/>
    </xf>
  </cellXfs>
  <cellStyles count="3">
    <cellStyle name="Normal" xfId="0" builtinId="0"/>
    <cellStyle name="Normal 2" xfId="2" xr:uid="{6F03C55B-E651-41E3-9943-2902B4C4C0E3}"/>
    <cellStyle name="Normal 2 2" xfId="1" xr:uid="{F4AC46F2-9B92-4A80-AE72-9076AC95E3A2}"/>
  </cellStyles>
  <dxfs count="91">
    <dxf>
      <font>
        <color rgb="FF9C5700"/>
      </font>
      <fill>
        <patternFill>
          <bgColor rgb="FFFFEB9C"/>
        </patternFill>
      </fill>
    </dxf>
    <dxf>
      <font>
        <color rgb="FFFF00FF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ont>
        <color rgb="FFFF0000"/>
      </font>
    </dxf>
    <dxf>
      <fill>
        <patternFill>
          <bgColor rgb="FFB7DEE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ont>
        <color rgb="FFFF0000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vertical="top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990000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60</xdr:col>
          <xdr:colOff>1441450</xdr:colOff>
          <xdr:row>0</xdr:row>
          <xdr:rowOff>38100</xdr:rowOff>
        </xdr:from>
        <xdr:to>
          <xdr:col>60</xdr:col>
          <xdr:colOff>2476500</xdr:colOff>
          <xdr:row>0</xdr:row>
          <xdr:rowOff>152400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5287C34-019E-4B6E-8986-1FE6B14EE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DNS NATs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kyndryl.sharepoint.com/sites/AnthemMigrationTeam/Shared%20Documents/General/09.%20ADAI%20Go-Live%20Cutover%20Runbooks/MIGRATION%20EVENTS%20-%20HARRISONBURG%20&amp;%20RICHMOND/MEA094/Architecture/EH-MEA094%20-%20Event%20Server%20Workbook-0.B.xlsm" TargetMode="External"/><Relationship Id="rId2" Type="http://schemas.microsoft.com/office/2019/04/relationships/externalLinkLongPath" Target="/sites/AnthemMigrationTeam/Shared%20Documents/General/09.%20ADAI%20Go-Live%20Cutover%20Runbooks/MIGRATION%20EVENTS%20-%20HARRISONBURG%20&amp;%20RICHMOND/MEA094/Architecture/EH-MEA094%20-%20Event%20Server%20Workbook-0.B.xlsm?004947C4" TargetMode="External"/><Relationship Id="rId1" Type="http://schemas.openxmlformats.org/officeDocument/2006/relationships/externalLinkPath" Target="file:///\\004947C4\EH-MEA094%20-%20Event%20Server%20Workbook-0.B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vmware-host\vmware-host\Users\AlonsoAndresVillalob\Box\Anthem%20Cirrus\09.%20CMM%20Go-Live%20Cutover%20Runbooks\MIGRATION%20EVENTS-HARRISONBURG%20&amp;%20RICHMOND\MEA040\Architecture\Anthem-Anthem_Richmond-AppGroupA040-SAX-20211123_1518.xls?9DF31541" TargetMode="External"/><Relationship Id="rId1" Type="http://schemas.openxmlformats.org/officeDocument/2006/relationships/externalLinkPath" Target="file:///\\9DF31541\Anthem-Anthem_Richmond-AppGroupA040-SAX-20211123_15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MWorkbook"/>
      <sheetName val="AppSum"/>
      <sheetName val="App to Servers"/>
      <sheetName val="LBSum"/>
      <sheetName val="Server to LB"/>
      <sheetName val="BrokenF5s"/>
      <sheetName val="Arch Chklst"/>
      <sheetName val="IP Assigner"/>
      <sheetName val="TM"/>
      <sheetName val="DNSLookUp"/>
      <sheetName val="Servers to App"/>
      <sheetName val="Dependencies"/>
      <sheetName val="Applications"/>
      <sheetName val="CS-Stacks"/>
      <sheetName val="AppSupStaff"/>
      <sheetName val="Description"/>
      <sheetName val="Clusters"/>
      <sheetName val="config"/>
      <sheetName val="syncconfig"/>
      <sheetName val="Info"/>
      <sheetName val="AppCodes"/>
      <sheetName val="Import Errors"/>
      <sheetName val="Segmentation Map"/>
      <sheetName val="Zone Lookup"/>
      <sheetName val="TransitionManager"/>
      <sheetName val="WorkbookLists"/>
      <sheetName val="Target F5 Devices"/>
    </sheetNames>
    <definedNames>
      <definedName name="DNSNATs"/>
    </definedNames>
    <sheetDataSet>
      <sheetData sheetId="0">
        <row r="2">
          <cell r="B2" t="str">
            <v>MEA094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B2" t="str">
            <v>C:\Users\AlonsoAndresVillalob\kyndryl\AD&amp;AI Migration Team - Elevance Health - General\20. ADAI Architect Team Folder\Anthem Environment Info\DB File Sync\Anthem Arch Info DB.xlsm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B81BC-010D-4368-A60D-A443770C69F3}" name="tblLBSum" displayName="tblLBSum" ref="A1:BN2" totalsRowShown="0" headerRowDxfId="90" dataDxfId="89" headerRowCellStyle="Normal 2 2">
  <autoFilter ref="A1:BN2" xr:uid="{8EFA5B27-FF7C-41EA-BD81-CB0EE5930C12}"/>
  <tableColumns count="66">
    <tableColumn id="1" xr3:uid="{F07AFECE-29DA-4F2F-A697-02B856C68FE8}" name="New DNS VIP" dataDxfId="88"/>
    <tableColumn id="2" xr3:uid="{D138CA40-D1C5-4A87-B820-E4AA9DE1FA4A}" name="Src DEV" dataDxfId="87"/>
    <tableColumn id="3" xr3:uid="{D82DFE6B-1CEE-4DB5-BE97-F742645588EA}" name="Dst DEV" dataDxfId="86"/>
    <tableColumn id="4" xr3:uid="{2BC3BF64-83F2-49D8-ACAD-A2F39B02BB00}" name="VIP" dataDxfId="85"/>
    <tableColumn id="5" xr3:uid="{ECD37FE5-D58F-4062-89B5-7CCC715A921C}" name="VIP_SrcIP" dataDxfId="84" dataCellStyle="Normal 2"/>
    <tableColumn id="6" xr3:uid="{B4FE09F5-F45E-4F84-AAC9-62E232F17572}" name="VIP_DstIP" dataDxfId="83"/>
    <tableColumn id="7" xr3:uid="{D116A8A5-CA43-4E80-9AC8-E5F3E0261AA7}" name="VIP_PRT" dataDxfId="82"/>
    <tableColumn id="8" xr3:uid="{1593BDE9-235E-425D-A526-2C9A410FA4E5}" name="MEMBERS" dataDxfId="81"/>
    <tableColumn id="63" xr3:uid="{ACE6104D-7E11-41F5-AF06-E8911CD2B3C3}" name="Tgt Members" dataDxfId="80"/>
    <tableColumn id="9" xr3:uid="{304AB3C9-68F0-48E9-83DC-6C9395E5CCD3}" name="SrcIP1" dataDxfId="79"/>
    <tableColumn id="10" xr3:uid="{2431257A-3A02-4330-9115-77A52BB0F1D8}" name="SrcIP2" dataDxfId="78"/>
    <tableColumn id="11" xr3:uid="{7E09ADA1-4C48-4242-8CF6-FB028C7CAFA8}" name="SrcIP3" dataDxfId="77"/>
    <tableColumn id="12" xr3:uid="{4FAB267D-5F78-4973-AF71-0939564EA269}" name="SrcIP4" dataDxfId="76"/>
    <tableColumn id="13" xr3:uid="{370D34CD-4271-45AC-B6D2-2E72FD6C29AF}" name="SrcIP5" dataDxfId="75"/>
    <tableColumn id="14" xr3:uid="{786A2075-E800-4162-A630-FA34293D7EFF}" name="SrcIP6" dataDxfId="74"/>
    <tableColumn id="15" xr3:uid="{43BE32D5-DC8F-44FE-A7DF-22D37EF85148}" name="SrcIP7" dataDxfId="73"/>
    <tableColumn id="16" xr3:uid="{17CBDD97-B758-4AB6-B385-9E063522856C}" name="SrcIP8" dataDxfId="72"/>
    <tableColumn id="17" xr3:uid="{F2F4221F-1F6A-4C84-BE35-8492719CDFCD}" name="SrcIP9" dataDxfId="71"/>
    <tableColumn id="18" xr3:uid="{D82EAA58-2A18-498A-9FB2-05430E16A303}" name="DstIP1" dataDxfId="70"/>
    <tableColumn id="19" xr3:uid="{4704E5A5-7BD3-468F-96FA-58BC3CCB5886}" name="DstIP2" dataDxfId="69"/>
    <tableColumn id="20" xr3:uid="{FF4728AA-A9C6-41D8-A07B-3E92974A115C}" name="DstIP3" dataDxfId="68"/>
    <tableColumn id="21" xr3:uid="{374EBADE-D007-4F5A-9374-7C5F2518AF48}" name="DstIP4" dataDxfId="67"/>
    <tableColumn id="22" xr3:uid="{C721762B-94E4-4022-9837-C81B1B054AD3}" name="DstIP5" dataDxfId="66"/>
    <tableColumn id="23" xr3:uid="{71F376B9-3831-4070-8FEE-BF3FDE158D22}" name="DstIP6" dataDxfId="65"/>
    <tableColumn id="24" xr3:uid="{A1DD71E4-E525-4286-9199-AA07A8E8222A}" name="DstIP7" dataDxfId="64"/>
    <tableColumn id="25" xr3:uid="{D08A73BA-4440-45D9-8CCD-5FF53DB9EEF4}" name="DstIP8" dataDxfId="63"/>
    <tableColumn id="26" xr3:uid="{2640E3BE-6103-4114-AEA9-40EC1E5A16D3}" name="DstIP9" dataDxfId="62"/>
    <tableColumn id="27" xr3:uid="{FA915627-F534-4AFA-BEBB-4DCECBD27C28}" name="Pt1" dataDxfId="61"/>
    <tableColumn id="28" xr3:uid="{4704324A-84C3-45CF-9958-D41A28D74BF5}" name="Pt2" dataDxfId="60"/>
    <tableColumn id="29" xr3:uid="{74876598-87B0-484F-BBE1-DF1B752821A4}" name="Pt3" dataDxfId="59"/>
    <tableColumn id="30" xr3:uid="{749B37EE-9DE2-4C02-A51E-DDC041CA391D}" name="Pt4" dataDxfId="58"/>
    <tableColumn id="31" xr3:uid="{79DD2EF0-AC47-49C7-85E6-18C66E957D29}" name="Pt5" dataDxfId="57"/>
    <tableColumn id="32" xr3:uid="{47902FE0-BD98-49C5-8F73-3F4D46BA5B99}" name="Pt6" dataDxfId="56"/>
    <tableColumn id="33" xr3:uid="{60AA39C3-33FB-42D2-89F9-1B5F7987F809}" name="Pt7" dataDxfId="55"/>
    <tableColumn id="34" xr3:uid="{556F60CA-93B7-4C92-B0C4-372DAD190DC2}" name="Pt8" dataDxfId="54"/>
    <tableColumn id="35" xr3:uid="{43097B7D-8CB5-4228-9A11-ED16AA05C05F}" name="Pt9" dataDxfId="53"/>
    <tableColumn id="64" xr3:uid="{4BC6042C-2D1D-4035-BFEC-27A8A1A58855}" name="VIP-ID" dataDxfId="52"/>
    <tableColumn id="36" xr3:uid="{2AFE79D6-4C2F-48F1-8FF6-4A0AF7721A95}" name="HN1" dataDxfId="51"/>
    <tableColumn id="37" xr3:uid="{CFC3F674-A574-41A9-954B-1E05F4149186}" name="HN2" dataDxfId="50"/>
    <tableColumn id="38" xr3:uid="{2BE7E38F-71C3-4ABA-8DF5-61F2E4BD8950}" name="HN3" dataDxfId="49"/>
    <tableColumn id="39" xr3:uid="{5EDD2D9F-4481-4911-9752-9CA613CF06C1}" name="HN4" dataDxfId="48"/>
    <tableColumn id="40" xr3:uid="{492EB9FA-A795-4917-853A-9F4F35032390}" name="HN5" dataDxfId="47"/>
    <tableColumn id="41" xr3:uid="{83FBFF74-104C-4C62-846C-C1D2A6FE7C2D}" name="HN6" dataDxfId="46"/>
    <tableColumn id="42" xr3:uid="{671C416D-CFDD-4277-BC42-CF8A4907504B}" name="HN7" dataDxfId="45"/>
    <tableColumn id="43" xr3:uid="{86DC3447-5270-4EBD-8F52-FE98A070522D}" name="HN8" dataDxfId="44"/>
    <tableColumn id="44" xr3:uid="{9D216ED7-6BC0-4755-966C-CEC7A1D5CE25}" name="HN9" dataDxfId="43"/>
    <tableColumn id="45" xr3:uid="{79406B61-2732-4C72-AF93-FC6ADFBFD1AD}" name="REQ" dataDxfId="42"/>
    <tableColumn id="65" xr3:uid="{EBC1DD07-00C7-4F5C-96BA-5204671073F9}" name="ME" dataDxfId="41"/>
    <tableColumn id="46" xr3:uid="{DE87F81F-7BE7-4969-BA20-C1AD360CF385}" name="Supported Application" dataDxfId="40"/>
    <tableColumn id="47" xr3:uid="{1F785682-7CC3-461D-8BBF-88DE97E62732}" name=":1" dataDxfId="39">
      <calculatedColumnFormula>IFERROR(FIND(",",tblLBSum[[#This Row],[MEMBERS]],1),"")</calculatedColumnFormula>
    </tableColumn>
    <tableColumn id="48" xr3:uid="{1D8CF0AE-2F24-49E6-8BE2-4AD6750A9230}" name=":2" dataDxfId="38">
      <calculatedColumnFormula>IFERROR(FIND(",",tblLBSum[[#This Row],[MEMBERS]],tblLBSum[[#This Row],[:1]]+1),"")</calculatedColumnFormula>
    </tableColumn>
    <tableColumn id="49" xr3:uid="{3F20D35A-62E1-4CA9-8E87-791773BA0D39}" name=":3" dataDxfId="37">
      <calculatedColumnFormula>IFERROR(FIND(",",tblLBSum[[#This Row],[MEMBERS]],tblLBSum[[#This Row],[:2]]+1),"")</calculatedColumnFormula>
    </tableColumn>
    <tableColumn id="50" xr3:uid="{C24657A0-257C-4ACC-A07A-1C099BB7D1E8}" name=":4" dataDxfId="36">
      <calculatedColumnFormula>IFERROR(FIND(",",tblLBSum[[#This Row],[MEMBERS]],tblLBSum[[#This Row],[:3]]+1),"")</calculatedColumnFormula>
    </tableColumn>
    <tableColumn id="51" xr3:uid="{36908D3E-FC42-4414-BBAC-2A6D243B0910}" name=":5" dataDxfId="35">
      <calculatedColumnFormula>IFERROR(FIND(",",tblLBSum[[#This Row],[MEMBERS]],tblLBSum[[#This Row],[:4]]+1),"")</calculatedColumnFormula>
    </tableColumn>
    <tableColumn id="52" xr3:uid="{EDA3663B-0D21-4FEE-AFF4-61B902F991AC}" name=":6" dataDxfId="34">
      <calculatedColumnFormula>IFERROR(FIND(",",tblLBSum[[#This Row],[MEMBERS]],tblLBSum[[#This Row],[:5]]+1),"")</calculatedColumnFormula>
    </tableColumn>
    <tableColumn id="53" xr3:uid="{3E60FB86-791E-4FE7-9991-28B05F532421}" name=":7" dataDxfId="33">
      <calculatedColumnFormula>IFERROR(FIND(",",tblLBSum[[#This Row],[MEMBERS]],tblLBSum[[#This Row],[:6]]+1),"")</calculatedColumnFormula>
    </tableColumn>
    <tableColumn id="54" xr3:uid="{AA4EA89A-31FA-490B-AE77-5C7B5858C211}" name=":8" dataDxfId="32">
      <calculatedColumnFormula>IFERROR(FIND(",",tblLBSum[[#This Row],[MEMBERS]],tblLBSum[[#This Row],[:7]]+1),"")</calculatedColumnFormula>
    </tableColumn>
    <tableColumn id="55" xr3:uid="{95F50F07-A8B8-43EC-A684-6BAD32C800AD}" name=":9" dataDxfId="31">
      <calculatedColumnFormula>IFERROR(FIND(",",tblLBSum[[#This Row],[MEMBERS]],tblLBSum[[#This Row],[:8]]+1),"")</calculatedColumnFormula>
    </tableColumn>
    <tableColumn id="56" xr3:uid="{69641F4F-8B0E-4D41-8F57-64E4CEED3109}" name="VIP_IP Norm." dataDxfId="30"/>
    <tableColumn id="57" xr3:uid="{9831F4C9-10D0-4913-B637-903C8077CAD8}" name="VIP/VIP IP" dataDxfId="29"/>
    <tableColumn id="58" xr3:uid="{5EE80C63-C442-423D-A780-A812EE3526D5}" name="Src Ext NAT IP" dataDxfId="28"/>
    <tableColumn id="59" xr3:uid="{14D9415E-A60B-463F-B3E8-AFA552D630FD}" name="Tgt ext NAT IP" dataDxfId="27"/>
    <tableColumn id="60" xr3:uid="{6045CCBB-E23E-438D-8A67-210629C4A7E7}" name="Ports" dataDxfId="26"/>
    <tableColumn id="61" xr3:uid="{ECC1C7D2-726B-4CAE-8D06-6F7B012E835B}" name="Users" dataDxfId="25"/>
    <tableColumn id="71" xr3:uid="{4D7D80BC-C352-4B3B-8D2A-F7232BD91C06}" name="OOS" dataDxfId="24"/>
    <tableColumn id="62" xr3:uid="{7A78D563-848A-42F2-974C-67A6BA7AB9C0}" name="DupVIPs" dataDxfId="2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FE7A-55D4-4B41-9113-A6B31FBAFF3B}">
  <sheetPr codeName="Sheet4">
    <tabColor theme="5" tint="0.39997558519241921"/>
  </sheetPr>
  <dimension ref="A1:BO4"/>
  <sheetViews>
    <sheetView showFormulas="1" tabSelected="1" zoomScale="93" zoomScaleNormal="93" workbookViewId="0">
      <pane ySplit="1" topLeftCell="A2" activePane="bottomLeft" state="frozen"/>
      <selection pane="bottomLeft" activeCell="A4" sqref="A4"/>
    </sheetView>
  </sheetViews>
  <sheetFormatPr defaultColWidth="11" defaultRowHeight="15.5" x14ac:dyDescent="0.35"/>
  <cols>
    <col min="1" max="1" width="32.33203125" style="14" bestFit="1" customWidth="1"/>
    <col min="2" max="2" width="21.58203125" style="14" customWidth="1"/>
    <col min="3" max="3" width="22.08203125" style="14" customWidth="1"/>
    <col min="4" max="4" width="38.58203125" style="14" customWidth="1"/>
    <col min="5" max="6" width="14.58203125" style="14" customWidth="1"/>
    <col min="7" max="7" width="8.58203125" style="14" customWidth="1"/>
    <col min="8" max="9" width="40.58203125" style="20" customWidth="1"/>
    <col min="10" max="10" width="14.58203125" style="20" customWidth="1"/>
    <col min="11" max="18" width="14.58203125" style="12" customWidth="1"/>
    <col min="19" max="19" width="14.58203125" customWidth="1"/>
    <col min="20" max="20" width="14.58203125" style="14" customWidth="1"/>
    <col min="21" max="27" width="14.58203125" style="12" customWidth="1"/>
    <col min="28" max="36" width="6.58203125" style="12" hidden="1" customWidth="1"/>
    <col min="37" max="37" width="42.33203125" style="12" bestFit="1" customWidth="1"/>
    <col min="38" max="49" width="14.58203125" style="12" customWidth="1"/>
    <col min="50" max="58" width="4.58203125" style="12" hidden="1" customWidth="1"/>
    <col min="59" max="59" width="14.58203125" style="12" customWidth="1"/>
    <col min="60" max="60" width="30.58203125" style="12" customWidth="1"/>
    <col min="61" max="63" width="14.58203125" style="12" customWidth="1"/>
    <col min="64" max="65" width="10.58203125" style="12" customWidth="1"/>
    <col min="66" max="66" width="11" style="12"/>
    <col min="67" max="67" width="5.58203125" style="12" customWidth="1"/>
  </cols>
  <sheetData>
    <row r="1" spans="1:66" s="9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2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4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7" t="s">
        <v>64</v>
      </c>
      <c r="BN1" s="8" t="s">
        <v>65</v>
      </c>
    </row>
    <row r="2" spans="1:66" x14ac:dyDescent="0.35">
      <c r="A2" s="22"/>
      <c r="B2" s="22"/>
      <c r="C2" s="10"/>
      <c r="D2" s="23"/>
      <c r="E2" s="21"/>
      <c r="F2" s="22"/>
      <c r="G2" s="23"/>
      <c r="H2" s="23"/>
      <c r="I2" s="23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2"/>
      <c r="AL2" s="24"/>
      <c r="AM2" s="24"/>
      <c r="AN2" s="24"/>
      <c r="AO2" s="24"/>
      <c r="AP2" s="24"/>
      <c r="AQ2" s="24"/>
      <c r="AR2" s="24"/>
      <c r="AS2" s="24"/>
      <c r="AT2" s="24"/>
      <c r="AU2" s="11"/>
      <c r="AV2" s="24"/>
      <c r="AW2" s="24"/>
      <c r="AX2" s="24" t="str">
        <f>IFERROR(FIND(",",tblLBSum[[#This Row],[MEMBERS]],1),"")</f>
        <v/>
      </c>
      <c r="AY2" s="24" t="str">
        <f>IFERROR(FIND(",",tblLBSum[[#This Row],[MEMBERS]],tblLBSum[[#This Row],[:1]]+1),"")</f>
        <v/>
      </c>
      <c r="AZ2" s="24" t="str">
        <f>IFERROR(FIND(",",tblLBSum[[#This Row],[MEMBERS]],tblLBSum[[#This Row],[:2]]+1),"")</f>
        <v/>
      </c>
      <c r="BA2" s="24" t="str">
        <f>IFERROR(FIND(",",tblLBSum[[#This Row],[MEMBERS]],tblLBSum[[#This Row],[:3]]+1),"")</f>
        <v/>
      </c>
      <c r="BB2" s="24" t="str">
        <f>IFERROR(FIND(",",tblLBSum[[#This Row],[MEMBERS]],tblLBSum[[#This Row],[:4]]+1),"")</f>
        <v/>
      </c>
      <c r="BC2" s="24" t="str">
        <f>IFERROR(FIND(",",tblLBSum[[#This Row],[MEMBERS]],tblLBSum[[#This Row],[:5]]+1),"")</f>
        <v/>
      </c>
      <c r="BD2" s="24" t="str">
        <f>IFERROR(FIND(",",tblLBSum[[#This Row],[MEMBERS]],tblLBSum[[#This Row],[:6]]+1),"")</f>
        <v/>
      </c>
      <c r="BE2" s="24" t="str">
        <f>IFERROR(FIND(",",tblLBSum[[#This Row],[MEMBERS]],tblLBSum[[#This Row],[:7]]+1),"")</f>
        <v/>
      </c>
      <c r="BF2" s="24" t="str">
        <f>IFERROR(FIND(",",tblLBSum[[#This Row],[MEMBERS]],tblLBSum[[#This Row],[:8]]+1),"")</f>
        <v/>
      </c>
      <c r="BG2" s="11"/>
      <c r="BH2" s="24"/>
      <c r="BI2" s="11"/>
      <c r="BJ2" s="11"/>
      <c r="BK2" s="11"/>
      <c r="BL2" s="11"/>
      <c r="BM2" s="24"/>
      <c r="BN2" s="11"/>
    </row>
    <row r="3" spans="1:66" x14ac:dyDescent="0.35">
      <c r="A3" s="13"/>
      <c r="B3" s="13"/>
      <c r="C3" s="13"/>
      <c r="E3" s="15"/>
      <c r="F3" s="16"/>
      <c r="G3" s="13"/>
      <c r="H3" s="17"/>
      <c r="I3" s="17"/>
      <c r="J3" s="17"/>
      <c r="K3" s="18"/>
      <c r="L3" s="18"/>
      <c r="M3" s="18"/>
      <c r="N3" s="18"/>
      <c r="O3" s="18"/>
      <c r="P3" s="18"/>
      <c r="Q3" s="18"/>
      <c r="R3" s="18"/>
      <c r="T3" s="13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9"/>
      <c r="BI3" s="18"/>
      <c r="BJ3" s="18"/>
      <c r="BK3" s="18"/>
      <c r="BL3" s="18"/>
      <c r="BM3" s="18"/>
      <c r="BN3" s="18"/>
    </row>
    <row r="4" spans="1:66" x14ac:dyDescent="0.35">
      <c r="A4" s="13"/>
      <c r="B4" s="13"/>
      <c r="C4" s="13"/>
      <c r="E4" s="15"/>
      <c r="F4" s="16"/>
      <c r="G4" s="13"/>
      <c r="H4" s="17"/>
      <c r="I4" s="17"/>
      <c r="J4" s="17"/>
      <c r="K4" s="18"/>
      <c r="L4" s="18"/>
      <c r="M4" s="18"/>
      <c r="N4" s="18"/>
      <c r="O4" s="18"/>
      <c r="P4" s="18"/>
      <c r="Q4" s="18"/>
      <c r="R4" s="18"/>
      <c r="T4" s="13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9"/>
      <c r="BI4" s="18"/>
      <c r="BJ4" s="18"/>
      <c r="BK4" s="18"/>
      <c r="BL4" s="18"/>
      <c r="BM4" s="18"/>
      <c r="BN4" s="18"/>
    </row>
  </sheetData>
  <conditionalFormatting sqref="BM2 D2:F2">
    <cfRule type="expression" dxfId="22" priority="23">
      <formula>INDIRECT("tblLBSum[@OOS]")=TRUE</formula>
    </cfRule>
  </conditionalFormatting>
  <conditionalFormatting sqref="AP2">
    <cfRule type="expression" dxfId="21" priority="22">
      <formula>INDIRECT("tblLBSum[@SrcIP5]")&lt;&gt;""</formula>
    </cfRule>
  </conditionalFormatting>
  <conditionalFormatting sqref="AQ2">
    <cfRule type="expression" dxfId="20" priority="21">
      <formula>INDIRECT("tblLBSum[@SrcIP6]")&lt;&gt;""</formula>
    </cfRule>
  </conditionalFormatting>
  <conditionalFormatting sqref="AR2">
    <cfRule type="expression" dxfId="19" priority="20">
      <formula>INDIRECT("tblLBSum[@SrcIP7]")&lt;&gt;""</formula>
    </cfRule>
  </conditionalFormatting>
  <conditionalFormatting sqref="AS2">
    <cfRule type="expression" dxfId="18" priority="19">
      <formula>INDIRECT("tblLBSum[@SrcIP8]")&lt;&gt;""</formula>
    </cfRule>
  </conditionalFormatting>
  <conditionalFormatting sqref="AT2">
    <cfRule type="expression" dxfId="17" priority="18">
      <formula>INDIRECT("tblLBSum[@SrcIP9]")&lt;&gt;""</formula>
    </cfRule>
  </conditionalFormatting>
  <conditionalFormatting sqref="G2">
    <cfRule type="expression" dxfId="16" priority="17">
      <formula>LEN(G2)&gt;4</formula>
    </cfRule>
  </conditionalFormatting>
  <conditionalFormatting sqref="D2:F2">
    <cfRule type="expression" dxfId="15" priority="16">
      <formula>INDIRECT("tblLBSum[@Src Ext NAT IP]")&lt;&gt;""</formula>
    </cfRule>
  </conditionalFormatting>
  <conditionalFormatting sqref="T3:T1048576 AK2">
    <cfRule type="duplicateValues" dxfId="14" priority="15"/>
  </conditionalFormatting>
  <conditionalFormatting sqref="BJ3:BK1048576 BH1:BI2">
    <cfRule type="duplicateValues" dxfId="13" priority="14"/>
  </conditionalFormatting>
  <conditionalFormatting sqref="D2">
    <cfRule type="expression" dxfId="12" priority="11">
      <formula>LEN(E2)=0</formula>
    </cfRule>
    <cfRule type="expression" dxfId="11" priority="12">
      <formula>INDIRECT("tblLBSum[@Src Ext NAT IP]")&lt;&gt;""</formula>
    </cfRule>
    <cfRule type="expression" dxfId="10" priority="13">
      <formula>INDIRECT("tblLBSum[@REQ]")&lt;&gt;""</formula>
    </cfRule>
  </conditionalFormatting>
  <conditionalFormatting sqref="AK2">
    <cfRule type="expression" dxfId="9" priority="10">
      <formula>LEN(E2)=0</formula>
    </cfRule>
  </conditionalFormatting>
  <conditionalFormatting sqref="AO2">
    <cfRule type="expression" dxfId="8" priority="9">
      <formula>INDIRECT("tblLBSum[@SrcIP4]")&lt;&gt;""</formula>
    </cfRule>
  </conditionalFormatting>
  <conditionalFormatting sqref="AN2">
    <cfRule type="expression" dxfId="7" priority="8">
      <formula>INDIRECT("tblLBSum[@SrcIP3]")&lt;&gt;""</formula>
    </cfRule>
  </conditionalFormatting>
  <conditionalFormatting sqref="AM2">
    <cfRule type="expression" dxfId="6" priority="7">
      <formula>INDIRECT("tblLBSum[@SrcIP2]")&lt;&gt;""</formula>
    </cfRule>
  </conditionalFormatting>
  <conditionalFormatting sqref="AL2">
    <cfRule type="expression" dxfId="5" priority="6">
      <formula>INDIRECT("tblLBSum[@SrcIP1]")&lt;&gt;""</formula>
    </cfRule>
  </conditionalFormatting>
  <conditionalFormatting sqref="F3:F4">
    <cfRule type="duplicateValues" dxfId="4" priority="5"/>
  </conditionalFormatting>
  <conditionalFormatting sqref="E1:E1048576">
    <cfRule type="duplicateValues" dxfId="3" priority="4"/>
  </conditionalFormatting>
  <conditionalFormatting sqref="E2">
    <cfRule type="duplicateValues" dxfId="2" priority="73"/>
  </conditionalFormatting>
  <conditionalFormatting sqref="H2:I2">
    <cfRule type="expression" dxfId="1" priority="74">
      <formula>LEN($H2)&gt;160</formula>
    </cfRule>
    <cfRule type="duplicateValues" dxfId="0" priority="75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DNSNATs">
                <anchor moveWithCells="1" sizeWithCells="1">
                  <from>
                    <xdr:col>60</xdr:col>
                    <xdr:colOff>1441450</xdr:colOff>
                    <xdr:row>0</xdr:row>
                    <xdr:rowOff>38100</xdr:rowOff>
                  </from>
                  <to>
                    <xdr:col>60</xdr:col>
                    <xdr:colOff>2476500</xdr:colOff>
                    <xdr:row>0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Props1.xml><?xml version="1.0" encoding="utf-8"?>
<ds:datastoreItem xmlns:ds="http://schemas.openxmlformats.org/officeDocument/2006/customXml" ds:itemID="{2C009D50-674F-482B-9001-E88A5FCCCC0B}"/>
</file>

<file path=customXml/itemProps2.xml><?xml version="1.0" encoding="utf-8"?>
<ds:datastoreItem xmlns:ds="http://schemas.openxmlformats.org/officeDocument/2006/customXml" ds:itemID="{D22607E0-31A8-43D9-9900-555510F27790}"/>
</file>

<file path=customXml/itemProps3.xml><?xml version="1.0" encoding="utf-8"?>
<ds:datastoreItem xmlns:ds="http://schemas.openxmlformats.org/officeDocument/2006/customXml" ds:itemID="{F724E146-B3C8-44C9-844F-B9D7D01786BB}"/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LBSum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Andres Villalobos Laurent</dc:creator>
  <cp:lastModifiedBy>Alonso Andres Villalobos Laurent</cp:lastModifiedBy>
  <dcterms:created xsi:type="dcterms:W3CDTF">2023-04-11T23:45:02Z</dcterms:created>
  <dcterms:modified xsi:type="dcterms:W3CDTF">2023-04-11T23:52:09Z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</Properties>
</file>