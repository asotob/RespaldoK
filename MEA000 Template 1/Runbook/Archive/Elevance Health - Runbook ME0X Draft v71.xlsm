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kyndryl.sharepoint.com/sites/AnthemMigrationTeam/Shared Documents/General/09. ADAI Go-Live Cutover Runbooks/MIGRATION EVENTS - HARRISONBURG &amp; RICHMOND/MEATST/PM/RunBook/"/>
    </mc:Choice>
  </mc:AlternateContent>
  <xr:revisionPtr revIDLastSave="0" documentId="8_{38CC99D2-3357-4256-83A8-AFA9DC6197EB}" xr6:coauthVersionLast="47" xr6:coauthVersionMax="47" xr10:uidLastSave="{00000000-0000-0000-0000-000000000000}"/>
  <bookViews>
    <workbookView xWindow="20" yWindow="340" windowWidth="19060" windowHeight="9380" tabRatio="890" activeTab="7" xr2:uid="{00000000-000D-0000-FFFF-FFFF00000000}"/>
  </bookViews>
  <sheets>
    <sheet name="Change Log" sheetId="71" r:id="rId1"/>
    <sheet name="Dashboard" sheetId="35" r:id="rId2"/>
    <sheet name="Summary" sheetId="27" r:id="rId3"/>
    <sheet name="Overview" sheetId="4" state="hidden" r:id="rId4"/>
    <sheet name="Wave 1 Rundown (2)" sheetId="5" state="hidden" r:id="rId5"/>
    <sheet name="Wave 1 Rundown" sheetId="6" state="hidden" r:id="rId6"/>
    <sheet name="Event Scope" sheetId="55" r:id="rId7"/>
    <sheet name="Pre &amp; Post Migration Tasks" sheetId="74" r:id="rId8"/>
    <sheet name="Migration-HxH Plan" sheetId="66" r:id="rId9"/>
    <sheet name="NAS RB" sheetId="76" r:id="rId10"/>
    <sheet name="Change records" sheetId="61" r:id="rId11"/>
    <sheet name="Roll Back Tasks" sheetId="44" r:id="rId12"/>
    <sheet name="Contact list" sheetId="69" r:id="rId13"/>
    <sheet name="Command Center" sheetId="72" r:id="rId14"/>
    <sheet name="Comm Plan" sheetId="19" r:id="rId15"/>
    <sheet name="Issues-Risks log" sheetId="59" r:id="rId16"/>
    <sheet name="Lessons Learned" sheetId="75" r:id="rId17"/>
    <sheet name="TM Flow" sheetId="63" r:id="rId18"/>
    <sheet name="Stakeholders" sheetId="11" state="hidden" r:id="rId19"/>
    <sheet name="Communication Plan" sheetId="12" state="hidden" r:id="rId20"/>
    <sheet name="Issues" sheetId="13" state="hidden" r:id="rId21"/>
    <sheet name="Risks" sheetId="14" state="hidden" r:id="rId22"/>
    <sheet name="Application Links" sheetId="15" state="hidden" r:id="rId23"/>
    <sheet name="Migration Coverage" sheetId="16" state="hidden" r:id="rId24"/>
    <sheet name="Backup_Contingency" sheetId="17" state="hidden" r:id="rId25"/>
    <sheet name="Contact" sheetId="18" state="hidden" r:id="rId26"/>
    <sheet name="Sheet1" sheetId="24" state="hidden" r:id="rId27"/>
  </sheets>
  <functionGroups builtInGroupCount="19"/>
  <externalReferences>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s>
  <definedNames>
    <definedName name="__Tab5" localSheetId="13">#REF!</definedName>
    <definedName name="__Tab5" localSheetId="12">#REF!</definedName>
    <definedName name="__Tab5" localSheetId="1">#REF!</definedName>
    <definedName name="__Tab5">#REF!</definedName>
    <definedName name="_Communication_Plan" localSheetId="13">'[1]7_ Communication Plan'!#REF!</definedName>
    <definedName name="_Communication_Plan" localSheetId="12">'[1]7_ Communication Plan'!#REF!</definedName>
    <definedName name="_Communication_Plan" localSheetId="1">'[1]7_ Communication Plan'!#REF!</definedName>
    <definedName name="_Communication_Plan">'[1]7_ Communication Plan'!#REF!</definedName>
    <definedName name="_xlnm._FilterDatabase" localSheetId="8" hidden="1">'Migration-HxH Plan'!$A$3:$P$3</definedName>
    <definedName name="_xlnm._FilterDatabase" localSheetId="7" hidden="1">'Pre &amp; Post Migration Tasks'!$A$3:$M$189</definedName>
    <definedName name="_xlnm._FilterDatabase" localSheetId="5">'Wave 1 Rundown'!$B$1:$B$156</definedName>
    <definedName name="_xlnm._FilterDatabase" localSheetId="4">'Wave 1 Rundown (2)'!$B$1:$B$156</definedName>
    <definedName name="_FilterDatabase_0" localSheetId="5">'Wave 1 Rundown'!$B$1:$B$156</definedName>
    <definedName name="_FilterDatabase_0" localSheetId="4">'Wave 1 Rundown (2)'!$B$1:$B$156</definedName>
    <definedName name="_FilterDatabase_0_0" localSheetId="5">'Wave 1 Rundown'!$B$1:$B$156</definedName>
    <definedName name="_FilterDatabase_0_0" localSheetId="4">'Wave 1 Rundown (2)'!$B$1:$B$156</definedName>
    <definedName name="_FilterDatabase_0_0_0" localSheetId="5">'Wave 1 Rundown'!$B$1:$B$156</definedName>
    <definedName name="_FilterDatabase_0_0_0" localSheetId="4">'Wave 1 Rundown (2)'!$B$1:$B$156</definedName>
    <definedName name="_FilterDatabase_0_0_0_0" localSheetId="5">'Wave 1 Rundown'!$B$1:$B$156</definedName>
    <definedName name="_FilterDatabase_0_0_0_0" localSheetId="4">'Wave 1 Rundown (2)'!$B$1:$B$156</definedName>
    <definedName name="_OS2" localSheetId="13">#REF!</definedName>
    <definedName name="_OS2" localSheetId="1">#REF!</definedName>
    <definedName name="_OS2">#REF!</definedName>
    <definedName name="_s3" localSheetId="1">#REF!</definedName>
    <definedName name="_s3">#REF!</definedName>
    <definedName name="_SA1" localSheetId="13">#REF!</definedName>
    <definedName name="_SA1" localSheetId="1">#REF!</definedName>
    <definedName name="_SA1">#REF!</definedName>
    <definedName name="_SA2" localSheetId="13">#REF!</definedName>
    <definedName name="_SA2" localSheetId="1">#REF!</definedName>
    <definedName name="_SA2">#REF!</definedName>
    <definedName name="_SA3" localSheetId="13">#REF!</definedName>
    <definedName name="_SA3" localSheetId="1">#REF!</definedName>
    <definedName name="_SA3">#REF!</definedName>
    <definedName name="_SA4" localSheetId="13">#REF!</definedName>
    <definedName name="_SA4" localSheetId="1">#REF!</definedName>
    <definedName name="_SA4">#REF!</definedName>
    <definedName name="_Tab5" localSheetId="13">#REF!</definedName>
    <definedName name="_Tab5" localSheetId="1">#REF!</definedName>
    <definedName name="_Tab5">#REF!</definedName>
    <definedName name="_Toc207178484" localSheetId="13">'[1]7_ Communication Plan'!#REF!</definedName>
    <definedName name="_Toc207178484" localSheetId="1">'[1]7_ Communication Plan'!#REF!</definedName>
    <definedName name="_Toc207178484">'[1]7_ Communication Plan'!#REF!</definedName>
    <definedName name="_Toc207178485" localSheetId="13">'[1]7_ Communication Plan'!#REF!</definedName>
    <definedName name="_Toc207178485" localSheetId="1">'[1]7_ Communication Plan'!#REF!</definedName>
    <definedName name="_Toc207178485">'[1]7_ Communication Plan'!#REF!</definedName>
    <definedName name="_Toc207178486" localSheetId="13">'[1]7_ Communication Plan'!#REF!</definedName>
    <definedName name="_Toc207178486" localSheetId="1">'[1]7_ Communication Plan'!#REF!</definedName>
    <definedName name="_Toc207178486">'[1]7_ Communication Plan'!#REF!</definedName>
    <definedName name="_Toc211248854" localSheetId="13">'[1]7_ Communication Plan'!#REF!</definedName>
    <definedName name="_Toc211248854" localSheetId="1">'[1]7_ Communication Plan'!#REF!</definedName>
    <definedName name="_Toc211248854">'[1]7_ Communication Plan'!#REF!</definedName>
    <definedName name="_Toc211248855" localSheetId="13">'[1]7_ Communication Plan'!#REF!</definedName>
    <definedName name="_Toc211248855" localSheetId="1">'[1]7_ Communication Plan'!#REF!</definedName>
    <definedName name="_Toc211248855">'[1]7_ Communication Plan'!#REF!</definedName>
    <definedName name="_Toc211248856" localSheetId="13">'[1]7_ Communication Plan'!#REF!</definedName>
    <definedName name="_Toc211248856" localSheetId="1">'[1]7_ Communication Plan'!#REF!</definedName>
    <definedName name="_Toc211248856">'[1]7_ Communication Plan'!#REF!</definedName>
    <definedName name="_Toc213741895" localSheetId="13">#REF!</definedName>
    <definedName name="_Toc213741895" localSheetId="1">#REF!</definedName>
    <definedName name="_Toc213741895">#REF!</definedName>
    <definedName name="_Toc213741896" localSheetId="13">#REF!</definedName>
    <definedName name="_Toc213741896" localSheetId="1">#REF!</definedName>
    <definedName name="_Toc213741896">#REF!</definedName>
    <definedName name="_Toc213741902" localSheetId="13">'[1]7_ Communication Plan'!#REF!</definedName>
    <definedName name="_Toc213741902" localSheetId="1">'[1]7_ Communication Plan'!#REF!</definedName>
    <definedName name="_Toc213741902">'[1]7_ Communication Plan'!#REF!</definedName>
    <definedName name="_Toc213741905" localSheetId="13">'[1]7_ Communication Plan'!#REF!</definedName>
    <definedName name="_Toc213741905" localSheetId="1">'[1]7_ Communication Plan'!#REF!</definedName>
    <definedName name="_Toc213741905">'[1]7_ Communication Plan'!#REF!</definedName>
    <definedName name="_Toc233769434" localSheetId="13">'[1]7_ Communication Plan'!#REF!</definedName>
    <definedName name="_Toc233769434" localSheetId="1">'[1]7_ Communication Plan'!#REF!</definedName>
    <definedName name="_Toc233769434">'[1]7_ Communication Plan'!#REF!</definedName>
    <definedName name="_Toc233769435" localSheetId="13">'[1]7_ Communication Plan'!#REF!</definedName>
    <definedName name="_Toc233769435" localSheetId="1">'[1]7_ Communication Plan'!#REF!</definedName>
    <definedName name="_Toc233769435">'[1]7_ Communication Plan'!#REF!</definedName>
    <definedName name="_Toc233769436" localSheetId="13">'[1]7_ Communication Plan'!#REF!</definedName>
    <definedName name="_Toc233769436" localSheetId="1">'[1]7_ Communication Plan'!#REF!</definedName>
    <definedName name="_Toc233769436">'[1]7_ Communication Plan'!#REF!</definedName>
    <definedName name="_Toc233769438" localSheetId="13">'[1]7_ Communication Plan'!#REF!</definedName>
    <definedName name="_Toc233769438" localSheetId="1">'[1]7_ Communication Plan'!#REF!</definedName>
    <definedName name="_Toc233769438">'[1]7_ Communication Plan'!#REF!</definedName>
    <definedName name="_Toc233769439" localSheetId="13">'[1]7_ Communication Plan'!#REF!</definedName>
    <definedName name="_Toc233769439" localSheetId="1">'[1]7_ Communication Plan'!#REF!</definedName>
    <definedName name="_Toc233769439">'[1]7_ Communication Plan'!#REF!</definedName>
    <definedName name="_xlpm.loc" hidden="1" xlm="1">#NAME?</definedName>
    <definedName name="_xlpm.OS" hidden="1" xlm="1">#NAME?</definedName>
    <definedName name="_xlpm.Ver" hidden="1" xlm="1">#NAME?</definedName>
    <definedName name="AddressType">[2]Lists!$R$4:$R$13</definedName>
    <definedName name="adsa">OFFSET([3]Data!$D$1,0,0,COUNTA([3]Data!$D:$D),1)</definedName>
    <definedName name="aethrysrjst" localSheetId="1">#REF!</definedName>
    <definedName name="aethrysrjst">#REF!</definedName>
    <definedName name="AfterGoNoGoDecision">'[4]Mock-Prod Cut Over Plan'!$E$359</definedName>
    <definedName name="ALLIPs">#REF!</definedName>
    <definedName name="app" localSheetId="13">#REF!</definedName>
    <definedName name="app" localSheetId="1">#REF!</definedName>
    <definedName name="app">#REF!</definedName>
    <definedName name="Application_Mnemonics">#REF!</definedName>
    <definedName name="AS" localSheetId="13">#REF!</definedName>
    <definedName name="AS" localSheetId="1">#REF!</definedName>
    <definedName name="AS">#REF!</definedName>
    <definedName name="asd" localSheetId="13">#REF!</definedName>
    <definedName name="asd" localSheetId="1">#REF!</definedName>
    <definedName name="asd">#REF!</definedName>
    <definedName name="AST" localSheetId="13">#REF!</definedName>
    <definedName name="AST" localSheetId="1">#REF!</definedName>
    <definedName name="AST">#REF!</definedName>
    <definedName name="awsedtfcghvjhj" localSheetId="1">#REF!</definedName>
    <definedName name="awsedtfcghvjhj">#REF!</definedName>
    <definedName name="base" localSheetId="13">#REF!</definedName>
    <definedName name="base" localSheetId="1">#REF!</definedName>
    <definedName name="base">#REF!</definedName>
    <definedName name="base7">[5]Mappings!$A:$IV</definedName>
    <definedName name="base8">[5]DBFabricB!$A:$IV</definedName>
    <definedName name="Baxter_Application_Owners" localSheetId="13">#REF!</definedName>
    <definedName name="Baxter_Application_Owners" localSheetId="1">#REF!</definedName>
    <definedName name="Baxter_Application_Owners">#REF!</definedName>
    <definedName name="Baxter_Global_Leadership_Team__GLT" localSheetId="13">#REF!</definedName>
    <definedName name="Baxter_Global_Leadership_Team__GLT" localSheetId="1">#REF!</definedName>
    <definedName name="Baxter_Global_Leadership_Team__GLT">#REF!</definedName>
    <definedName name="Baxter_Transition_Team" localSheetId="13">#REF!</definedName>
    <definedName name="Baxter_Transition_Team" localSheetId="1">#REF!</definedName>
    <definedName name="Baxter_Transition_Team">#REF!</definedName>
    <definedName name="BC" localSheetId="13">#REF!</definedName>
    <definedName name="BC" localSheetId="1">#REF!</definedName>
    <definedName name="BC">#REF!</definedName>
    <definedName name="Boulder_SAN_Upgrade_Personnel" localSheetId="13">#REF!</definedName>
    <definedName name="Boulder_SAN_Upgrade_Personnel" localSheetId="1">#REF!</definedName>
    <definedName name="Boulder_SAN_Upgrade_Personnel">#REF!</definedName>
    <definedName name="BTECCRules">[2]Lists!$AF$4:$AF$11</definedName>
    <definedName name="BU">[2]Lists!$F$4:$F$24</definedName>
    <definedName name="BuiltIn_Print_Area___0" localSheetId="13">#REF!</definedName>
    <definedName name="BuiltIn_Print_Area___0" localSheetId="1">#REF!</definedName>
    <definedName name="BuiltIn_Print_Area___0">#REF!</definedName>
    <definedName name="BuiltIn_Print_Titles___0" localSheetId="13">#REF!</definedName>
    <definedName name="BuiltIn_Print_Titles___0" localSheetId="1">#REF!</definedName>
    <definedName name="BuiltIn_Print_Titles___0">#REF!</definedName>
    <definedName name="BusinessRisks">[6]Administration!$A$2:$A$17</definedName>
    <definedName name="CAPS" localSheetId="13">#REF!</definedName>
    <definedName name="CAPS" localSheetId="1">#REF!</definedName>
    <definedName name="CAPS">#REF!</definedName>
    <definedName name="ClientIPPassThroughRequired">[2]Lists!$S$4:$S$5</definedName>
    <definedName name="ClusterBU">[7]Lists!$F$4:$G$24</definedName>
    <definedName name="ClusterDomain">[7]Lists!$A$4:$C$8</definedName>
    <definedName name="Con" localSheetId="13">#REF!</definedName>
    <definedName name="Con" localSheetId="1">#REF!</definedName>
    <definedName name="Con">#REF!</definedName>
    <definedName name="Contacts">#REF!</definedName>
    <definedName name="CountryVLANFunction">[8]Lists!$BH$4:$BI$528</definedName>
    <definedName name="CPOS" localSheetId="13">#REF!</definedName>
    <definedName name="CPOS" localSheetId="1">#REF!</definedName>
    <definedName name="CPOS">#REF!</definedName>
    <definedName name="current_migration" localSheetId="13">'[9]Title Page'!#REF!</definedName>
    <definedName name="current_migration" localSheetId="1">'[9]Title Page'!#REF!</definedName>
    <definedName name="current_migration">'[9]Title Page'!#REF!</definedName>
    <definedName name="Datastore">[10]DATASTORES!$A$1:$B$1731</definedName>
    <definedName name="DC">[2]Lists!$N$4:$N$5</definedName>
    <definedName name="DCClusterName">[7]Lists!$L$4:$P$21</definedName>
    <definedName name="dec_data" localSheetId="13">#REF!</definedName>
    <definedName name="dec_data" localSheetId="1">#REF!</definedName>
    <definedName name="dec_data">#REF!</definedName>
    <definedName name="DefaultNetMask">[2]Lists!$AA$4</definedName>
    <definedName name="Denovo" localSheetId="13">#REF!</definedName>
    <definedName name="Denovo" localSheetId="1">#REF!</definedName>
    <definedName name="Denovo">#REF!</definedName>
    <definedName name="DNSDomain">[2]Lists!$AE$4:$AE$8</definedName>
    <definedName name="Domain">[11]Info!$G$4:$G$17</definedName>
    <definedName name="dr_bkp_svm_cluster">[12]Scope!$D$27</definedName>
    <definedName name="dr_bkp_svm_name">[12]Scope!$D$28</definedName>
    <definedName name="dr_bkp_svm_policy">[12]Scope!$D$30</definedName>
    <definedName name="dr_bkp_svm_sched1">[12]Scope!$D$29</definedName>
    <definedName name="dr_svm_cluster">[12]Scope!$D$18</definedName>
    <definedName name="dr_svm_name">[12]Scope!$D$19</definedName>
    <definedName name="dr_vfiler_ip">[12]Scope!$D$13</definedName>
    <definedName name="dr_vfiler_name">[12]Scope!$D$10</definedName>
    <definedName name="dr_vfiler_port">[12]Scope!$D$12</definedName>
    <definedName name="dr_vfiler_temp_cifs_server">[12]Scope!$D$16</definedName>
    <definedName name="DRMethod">[2]Lists!$U$4:$U$10</definedName>
    <definedName name="DRRequired">[2]Lists!$T$4:$T$5</definedName>
    <definedName name="DRScope">[2]Lists!$U$4:$U$10</definedName>
    <definedName name="DSCluster">[7]Lists!$AH$4:$AI$15</definedName>
    <definedName name="DueDate">'[13]2 _ Contact Info'!$D$22</definedName>
    <definedName name="DUR" localSheetId="13">#REF!</definedName>
    <definedName name="DUR" localSheetId="1">#REF!</definedName>
    <definedName name="DUR">#REF!</definedName>
    <definedName name="DUT" localSheetId="13">#REF!</definedName>
    <definedName name="DUT" localSheetId="1">#REF!</definedName>
    <definedName name="DUT">#REF!</definedName>
    <definedName name="EndFloatforAmercias">'[4]Mock-Prod Cut Over Plan'!$E$258</definedName>
    <definedName name="EndFloatforEurope">'[4]Mock-Prod Cut Over Plan'!$E$259</definedName>
    <definedName name="EndFloatforSingapore">'[4]Mock-Prod Cut Over Plan'!$E$260</definedName>
    <definedName name="Environment">[11]Info!$I$5:$I$7</definedName>
    <definedName name="Existing_DC">[11]Info!$N$4:$N$5</definedName>
    <definedName name="fiske_data" localSheetId="13">#REF!</definedName>
    <definedName name="fiske_data" localSheetId="1">#REF!</definedName>
    <definedName name="fiske_data">#REF!</definedName>
    <definedName name="FS" localSheetId="4">#REF!</definedName>
    <definedName name="FS">#REF!</definedName>
    <definedName name="FWrule1">#REF!</definedName>
    <definedName name="FWRules">#REF!</definedName>
    <definedName name="HAHeartBeat">[2]Lists!$W$4:$W$5</definedName>
    <definedName name="HostRTIP">[2]Lists!$AO$4:$AW$19</definedName>
    <definedName name="HW">[2]Lists!$H$4:$H$20</definedName>
    <definedName name="i">OFFSET(#REF!,0,0,COUNTA(#REF!),1)</definedName>
    <definedName name="IBM" localSheetId="13">#REF!</definedName>
    <definedName name="IBM" localSheetId="1">#REF!</definedName>
    <definedName name="IBM">#REF!</definedName>
    <definedName name="IBMECCRules">[2]Lists!$AG$4:$AG$7</definedName>
    <definedName name="IBMMgt">[7]Lists!$AH$7</definedName>
    <definedName name="IBMToolCategory">[2]Lists!$AH$4:$AH$19</definedName>
    <definedName name="IC" localSheetId="13">#REF!</definedName>
    <definedName name="IC" localSheetId="1">#REF!</definedName>
    <definedName name="IC">#REF!</definedName>
    <definedName name="iCheck_in" localSheetId="13">#REF!</definedName>
    <definedName name="iCheck_in" localSheetId="1">#REF!</definedName>
    <definedName name="iCheck_in">#REF!</definedName>
    <definedName name="id_data" localSheetId="13">#REF!</definedName>
    <definedName name="id_data" localSheetId="1">#REF!</definedName>
    <definedName name="id_data">#REF!</definedName>
    <definedName name="ID_dates" localSheetId="13">#REF!</definedName>
    <definedName name="ID_dates" localSheetId="1">#REF!</definedName>
    <definedName name="ID_dates">#REF!</definedName>
    <definedName name="info">[14]info!$A$2:$H$531</definedName>
    <definedName name="info1">[15]Sheet4!$A$1:$CJ$1202</definedName>
    <definedName name="jan_data" localSheetId="13">#REF!</definedName>
    <definedName name="jan_data" localSheetId="1">#REF!</definedName>
    <definedName name="jan_data">#REF!</definedName>
    <definedName name="jhgj" localSheetId="4">OFFSET(#REF!,0,0,COUNTA(#REF!),1)</definedName>
    <definedName name="jhgj">OFFSET(#REF!,0,0,COUNTA(#REF!),1)</definedName>
    <definedName name="L_Applications" localSheetId="4">OFFSET(#REF!,0,0,COUNTA(#REF!),1)</definedName>
    <definedName name="L_Applications">OFFSET(#REF!,0,0,COUNTA(#REF!),1)</definedName>
    <definedName name="Likelihood">[6]Administration!$D$2:$D$4</definedName>
    <definedName name="list_Devices_0">[16]Validation!$A$1:$A$7</definedName>
    <definedName name="LoadBalancingRequired">[2]Lists!$Q$4:$Q$5</definedName>
    <definedName name="mgmt_conf_call_number" localSheetId="13">'[9]Run Book Overview'!#REF!</definedName>
    <definedName name="mgmt_conf_call_number" localSheetId="1">'[9]Run Book Overview'!#REF!</definedName>
    <definedName name="mgmt_conf_call_number">'[9]Run Book Overview'!#REF!</definedName>
    <definedName name="mgmt_conf_call_participant_code" localSheetId="13">'[9]Run Book Overview'!#REF!</definedName>
    <definedName name="mgmt_conf_call_participant_code" localSheetId="1">'[9]Run Book Overview'!#REF!</definedName>
    <definedName name="mgmt_conf_call_participant_code">'[9]Run Book Overview'!#REF!</definedName>
    <definedName name="MICR" localSheetId="13">#REF!</definedName>
    <definedName name="MICR" localSheetId="1">#REF!</definedName>
    <definedName name="MICR">#REF!</definedName>
    <definedName name="Migration">[11]Info!$Q$4:$Q$10</definedName>
    <definedName name="MigrationEventCode">[17]TMWorkbook!$B$2</definedName>
    <definedName name="mike_data" localSheetId="13">#REF!</definedName>
    <definedName name="mike_data" localSheetId="1">#REF!</definedName>
    <definedName name="mike_data">#REF!</definedName>
    <definedName name="MockEnd">'[4]Mock-Prod Cut Over Plan'!$E$323</definedName>
    <definedName name="models">'[18]Bundle Xref List'!$A$2:$C$47</definedName>
    <definedName name="New_DC">[11]Info!$O$4:$O$6</definedName>
    <definedName name="NI" localSheetId="13">#REF!</definedName>
    <definedName name="NI" localSheetId="1">#REF!</definedName>
    <definedName name="NI">#REF!</definedName>
    <definedName name="OLE_LINK3" localSheetId="13">'[1]7_ Communication Plan'!#REF!</definedName>
    <definedName name="OLE_LINK3" localSheetId="1">'[1]7_ Communication Plan'!#REF!</definedName>
    <definedName name="OLE_LINK3">'[1]7_ Communication Plan'!#REF!</definedName>
    <definedName name="options" localSheetId="13">[19]Dashboard!#REF!</definedName>
    <definedName name="options" localSheetId="1">[19]Dashboard!#REF!</definedName>
    <definedName name="options">[19]Dashboard!#REF!</definedName>
    <definedName name="OS">[11]Info!$D$4:$D$33</definedName>
    <definedName name="OSIType">[2]Lists!$K$4:$K$6</definedName>
    <definedName name="PADSMRTNumber">'[13]2 _ Contact Info'!$E$22</definedName>
    <definedName name="PAlarm" localSheetId="13">#REF!</definedName>
    <definedName name="PAlarm" localSheetId="1">#REF!</definedName>
    <definedName name="PAlarm">#REF!</definedName>
    <definedName name="PATM" localSheetId="13">#REF!</definedName>
    <definedName name="PATM" localSheetId="1">#REF!</definedName>
    <definedName name="PATM">#REF!</definedName>
    <definedName name="Personnel" localSheetId="13">#REF!</definedName>
    <definedName name="Personnel" localSheetId="1">#REF!</definedName>
    <definedName name="Personnel">#REF!</definedName>
    <definedName name="PhysicalDC">[2]Lists!$L$4:$L$19</definedName>
    <definedName name="PickList">[20]Dashboard!$Z$3:$Z$7</definedName>
    <definedName name="Platform">[2]Lists!$I$4:$I$10</definedName>
    <definedName name="prd_bkp_svm_cluster">[12]Scope!$B$27</definedName>
    <definedName name="prd_bkp_svm_name">[12]Scope!$B$28</definedName>
    <definedName name="prd_bkp_svm_policy">[12]Scope!$B$30</definedName>
    <definedName name="prd_bkp_svm_sched1">[12]Scope!$B$29</definedName>
    <definedName name="prd_svm_cluster">[12]Scope!$B$18</definedName>
    <definedName name="prd_svm_name">[12]Scope!$B$19</definedName>
    <definedName name="prd_vfiler_ip">[12]Scope!$B$13</definedName>
    <definedName name="prd_vfiler_name">[12]Scope!$B$10</definedName>
    <definedName name="prd_vfiler_port">[12]Scope!$B$12</definedName>
    <definedName name="prd_vfiler_temp_cifs_server">[12]Scope!$B$16</definedName>
    <definedName name="PRDDRGroup">[2]Lists!$V$4:$V$26</definedName>
    <definedName name="Project_name" localSheetId="13">#REF!</definedName>
    <definedName name="Project_name" localSheetId="1">#REF!</definedName>
    <definedName name="Project_name">#REF!</definedName>
    <definedName name="Project_type" localSheetId="13">#REF!</definedName>
    <definedName name="Project_type" localSheetId="1">#REF!</definedName>
    <definedName name="Project_type">#REF!</definedName>
    <definedName name="QA_conf_call_number" localSheetId="13">'[9]Run Book Overview'!#REF!</definedName>
    <definedName name="QA_conf_call_number" localSheetId="1">'[9]Run Book Overview'!#REF!</definedName>
    <definedName name="QA_conf_call_number">'[9]Run Book Overview'!#REF!</definedName>
    <definedName name="QA_conf_call_participant_code" localSheetId="13">'[9]Run Book Overview'!#REF!</definedName>
    <definedName name="QA_conf_call_participant_code" localSheetId="1">'[9]Run Book Overview'!#REF!</definedName>
    <definedName name="QA_conf_call_participant_code">'[9]Run Book Overview'!#REF!</definedName>
    <definedName name="recorded_status_conf_call_number" localSheetId="13">'[9]Run Book Overview'!#REF!</definedName>
    <definedName name="recorded_status_conf_call_number" localSheetId="1">'[9]Run Book Overview'!#REF!</definedName>
    <definedName name="recorded_status_conf_call_number">'[9]Run Book Overview'!#REF!</definedName>
    <definedName name="recorded_status_conf_call_participant_code" localSheetId="13">'[9]Run Book Overview'!#REF!</definedName>
    <definedName name="recorded_status_conf_call_participant_code" localSheetId="1">'[9]Run Book Overview'!#REF!</definedName>
    <definedName name="recorded_status_conf_call_participant_code">'[9]Run Book Overview'!#REF!</definedName>
    <definedName name="Relo" localSheetId="13">#REF!</definedName>
    <definedName name="Relo" localSheetId="1">#REF!</definedName>
    <definedName name="Relo">#REF!</definedName>
    <definedName name="Remodel" localSheetId="13">#REF!</definedName>
    <definedName name="Remodel" localSheetId="1">#REF!</definedName>
    <definedName name="Remodel">#REF!</definedName>
    <definedName name="ReqCustomer">'[13]2 _ Contact Info'!$D$12</definedName>
    <definedName name="ReqName">'[13]2 _ Contact Info'!$B$12</definedName>
    <definedName name="RequestType">[2]Lists!$Z$4:$Z$6</definedName>
    <definedName name="ResourceName">#REF!</definedName>
    <definedName name="Risk_Approaches">[6]Administration!$F$2:$F$9</definedName>
    <definedName name="rng_Expenses20" localSheetId="1">#REF!</definedName>
    <definedName name="rng_Expenses20">#REF!</definedName>
    <definedName name="RPParentName">[7]Lists!$D$4:$E$12</definedName>
    <definedName name="SecurityZone">[2]Lists!$A$4:$A$8</definedName>
    <definedName name="ServiceTier">[2]Lists!$O$4:$O$7</definedName>
    <definedName name="ServiceTierGMCVFrequency">[2]Lists!$O$4:$P$7</definedName>
    <definedName name="Severity">[6]Administration!$B$2:$B$4</definedName>
    <definedName name="SLA">[11]Info!$H$23:$H$27</definedName>
    <definedName name="SMT" localSheetId="13">#REF!</definedName>
    <definedName name="SMT" localSheetId="1">#REF!</definedName>
    <definedName name="SMT">#REF!</definedName>
    <definedName name="SSDCVLANFunction">[8]Lists!$BE$4:$BF$2267</definedName>
    <definedName name="StartClientTestAmericas">'[4]Mock-Prod Cut Over Plan'!$E$262</definedName>
    <definedName name="Status">[11]Info!$K$4:$K$9</definedName>
    <definedName name="StatusList">'[21]Action Item Review Process'!$F$2:$F$5</definedName>
    <definedName name="stt">[22]Sheet1!$A$1:$D$1701</definedName>
    <definedName name="svc">[10]SVC!$A$1:$C$804</definedName>
    <definedName name="SVCClusterkey">[2]Lists!$AI$4:$AM$507</definedName>
    <definedName name="t">#REF!</definedName>
    <definedName name="Target__PIFormat" localSheetId="4">#REF!</definedName>
    <definedName name="Target__PIFormat">#REF!</definedName>
    <definedName name="TCD" localSheetId="13">#REF!</definedName>
    <definedName name="TCD" localSheetId="1">#REF!</definedName>
    <definedName name="TCD">#REF!</definedName>
    <definedName name="tech_conf_call_number" localSheetId="13">'[9]Run Book Overview'!#REF!</definedName>
    <definedName name="tech_conf_call_number" localSheetId="1">'[9]Run Book Overview'!#REF!</definedName>
    <definedName name="tech_conf_call_number">'[9]Run Book Overview'!#REF!</definedName>
    <definedName name="tech_conf_call_participant_code" localSheetId="13">'[9]Run Book Overview'!#REF!</definedName>
    <definedName name="tech_conf_call_participant_code" localSheetId="1">'[9]Run Book Overview'!#REF!</definedName>
    <definedName name="tech_conf_call_participant_code">'[9]Run Book Overview'!#REF!</definedName>
    <definedName name="TechnologyRisks">[6]Administration!$A$21:$A$31</definedName>
    <definedName name="The_following_is_the_recommended_audience_for_the_Migration_Run_Book" localSheetId="13">#REF!</definedName>
    <definedName name="The_following_is_the_recommended_audience_for_the_Migration_Run_Book" localSheetId="1">#REF!</definedName>
    <definedName name="The_following_is_the_recommended_audience_for_the_Migration_Run_Book">#REF!</definedName>
    <definedName name="tito" localSheetId="13">#REF!</definedName>
    <definedName name="tito" localSheetId="1">#REF!</definedName>
    <definedName name="tito">#REF!</definedName>
    <definedName name="TMoct22">'[23]Oct 22'!$A$1:$BI$1075</definedName>
    <definedName name="Transitioned">[11]Info!$K$12:$K$13</definedName>
    <definedName name="TTN" localSheetId="13">#REF!</definedName>
    <definedName name="TTN" localSheetId="1">#REF!</definedName>
    <definedName name="TTN">#REF!</definedName>
    <definedName name="TTW" localSheetId="13">#REF!</definedName>
    <definedName name="TTW" localSheetId="1">#REF!</definedName>
    <definedName name="TTW">#REF!</definedName>
    <definedName name="TypeList">[24]Sheet1!$B$4:$B$8</definedName>
    <definedName name="U75R" localSheetId="13">#REF!</definedName>
    <definedName name="U75R" localSheetId="1">#REF!</definedName>
    <definedName name="U75R">#REF!</definedName>
    <definedName name="U75T" localSheetId="13">#REF!</definedName>
    <definedName name="U75T" localSheetId="1">#REF!</definedName>
    <definedName name="U75T">#REF!</definedName>
    <definedName name="UAT_conf_call_number" localSheetId="13">'[9]Run Book Overview'!#REF!</definedName>
    <definedName name="UAT_conf_call_number" localSheetId="1">'[9]Run Book Overview'!#REF!</definedName>
    <definedName name="UAT_conf_call_number">'[9]Run Book Overview'!#REF!</definedName>
    <definedName name="UAT_conf_call_participant_code" localSheetId="13">'[9]Run Book Overview'!#REF!</definedName>
    <definedName name="UAT_conf_call_participant_code" localSheetId="1">'[9]Run Book Overview'!#REF!</definedName>
    <definedName name="UAT_conf_call_participant_code">'[9]Run Book Overview'!#REF!</definedName>
    <definedName name="unm_cc" localSheetId="13">'[25]Bundle Summary'!#REF!</definedName>
    <definedName name="unm_cc" localSheetId="1">'[25]Bundle Summary'!#REF!</definedName>
    <definedName name="unm_cc">'[25]Bundle Summary'!#REF!</definedName>
    <definedName name="unnamed1" localSheetId="1">#REF!</definedName>
    <definedName name="unnamed1">#REF!</definedName>
    <definedName name="unnamed1_1" localSheetId="1">#REF!</definedName>
    <definedName name="unnamed1_1">#REF!</definedName>
    <definedName name="unnamed1_2" localSheetId="1">#REF!</definedName>
    <definedName name="unnamed1_2">#REF!</definedName>
    <definedName name="unnamed1_3" localSheetId="1">#REF!</definedName>
    <definedName name="unnamed1_3">#REF!</definedName>
    <definedName name="UPS" localSheetId="13">#REF!</definedName>
    <definedName name="UPS" localSheetId="1">#REF!</definedName>
    <definedName name="UPS">#REF!</definedName>
    <definedName name="V2V_S6" localSheetId="13">'[26]AIX_V2V HxH '!#REF!</definedName>
    <definedName name="V2V_S6" localSheetId="1">'[26]AIX_V2V HxH '!#REF!</definedName>
    <definedName name="V2V_S6">'[26]AIX_V2V HxH '!#REF!</definedName>
    <definedName name="Veri" localSheetId="13">#REF!</definedName>
    <definedName name="Veri" localSheetId="1">#REF!</definedName>
    <definedName name="Veri">#REF!</definedName>
    <definedName name="ViewList">[27]Instructions!$A$27:$A$35</definedName>
    <definedName name="VM_Clusters">[11]Info!$A$4:$A$10</definedName>
    <definedName name="VMLicencePool">[2]Lists!$AD$4:$AD$14</definedName>
    <definedName name="WCOM" localSheetId="13">#REF!</definedName>
    <definedName name="WCOM" localSheetId="1">#REF!</definedName>
    <definedName name="WCOM">#REF!</definedName>
    <definedName name="weeks" localSheetId="13">#REF!</definedName>
    <definedName name="weeks" localSheetId="1">#REF!</definedName>
    <definedName name="weeks">#REF!</definedName>
    <definedName name="WMFS" localSheetId="13">#REF!</definedName>
    <definedName name="WMFS" localSheetId="1">#REF!</definedName>
    <definedName name="WMFS">#REF!</definedName>
    <definedName name="WRP" localSheetId="13">#REF!</definedName>
    <definedName name="WRP" localSheetId="1">#REF!</definedName>
    <definedName name="WRP">#REF!</definedName>
    <definedName name="wrzsdtgxfhc" localSheetId="1">#REF!</definedName>
    <definedName name="wrzsdtgxfhc">#REF!</definedName>
    <definedName name="WTF" localSheetId="13">'[1]7_ Communication Plan'!#REF!</definedName>
    <definedName name="WTF" localSheetId="1">'[1]7_ Communication Plan'!#REF!</definedName>
    <definedName name="WTF">'[1]7_ Communication Plan'!#REF!</definedName>
    <definedName name="xref_data" localSheetId="13">'[25]Bundle Summary'!#REF!</definedName>
    <definedName name="xref_data" localSheetId="1">'[25]Bundle Summary'!#REF!</definedName>
    <definedName name="xref_data">'[25]Bundle Summary'!#REF!</definedName>
    <definedName name="XReferenc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2" i="74" l="1"/>
  <c r="C159" i="74"/>
  <c r="C5" i="74"/>
  <c r="H4" i="35"/>
  <c r="C162" i="74"/>
  <c r="C130" i="74"/>
  <c r="C117" i="74"/>
  <c r="C91" i="74"/>
  <c r="C53" i="74"/>
  <c r="C29" i="74"/>
  <c r="C20" i="74"/>
  <c r="C15" i="74"/>
  <c r="C11" i="74"/>
  <c r="G82" i="66"/>
  <c r="E82" i="66"/>
  <c r="G13" i="66"/>
  <c r="E15" i="66"/>
  <c r="M79" i="66"/>
  <c r="K79" i="66"/>
  <c r="L79" i="66"/>
  <c r="M78" i="66"/>
  <c r="K78" i="66"/>
  <c r="L78" i="66"/>
  <c r="M74" i="66"/>
  <c r="K74" i="66"/>
  <c r="M64" i="66"/>
  <c r="K64" i="66"/>
  <c r="L64" i="66"/>
  <c r="M63" i="66"/>
  <c r="K63" i="66"/>
  <c r="M62" i="66"/>
  <c r="K62" i="66"/>
  <c r="M61" i="66"/>
  <c r="K61" i="66"/>
  <c r="L61" i="66"/>
  <c r="M60" i="66"/>
  <c r="K60" i="66"/>
  <c r="L60" i="66"/>
  <c r="M59" i="66"/>
  <c r="K59" i="66"/>
  <c r="M58" i="66"/>
  <c r="K58" i="66"/>
  <c r="L58" i="66"/>
  <c r="M57" i="66"/>
  <c r="K57" i="66"/>
  <c r="L57" i="66"/>
  <c r="M56" i="66"/>
  <c r="K56" i="66"/>
  <c r="M55" i="66"/>
  <c r="K55" i="66"/>
  <c r="M54" i="66"/>
  <c r="K54" i="66"/>
  <c r="L54" i="66"/>
  <c r="M53" i="66"/>
  <c r="L53" i="66"/>
  <c r="K53" i="66"/>
  <c r="M52" i="66"/>
  <c r="K52" i="66"/>
  <c r="L52" i="66"/>
  <c r="M51" i="66"/>
  <c r="K51" i="66"/>
  <c r="L51" i="66"/>
  <c r="M50" i="66"/>
  <c r="K50" i="66"/>
  <c r="L50" i="66"/>
  <c r="M48" i="66"/>
  <c r="K48" i="66"/>
  <c r="L48" i="66"/>
  <c r="M27" i="66"/>
  <c r="K27" i="66"/>
  <c r="L27" i="66"/>
  <c r="M26" i="66"/>
  <c r="K26" i="66"/>
  <c r="L26" i="66"/>
  <c r="M25" i="66"/>
  <c r="K25" i="66"/>
  <c r="M24" i="66"/>
  <c r="K24" i="66"/>
  <c r="M21" i="66"/>
  <c r="K21" i="66"/>
  <c r="L21" i="66"/>
  <c r="M18" i="66"/>
  <c r="L18" i="66"/>
  <c r="K18" i="66"/>
  <c r="M17" i="66"/>
  <c r="K17" i="66"/>
  <c r="L17" i="66"/>
  <c r="M16" i="66"/>
  <c r="K16" i="66"/>
  <c r="L16" i="66"/>
  <c r="M15" i="66"/>
  <c r="K15" i="66"/>
  <c r="L15" i="66"/>
  <c r="E12" i="66"/>
  <c r="M7" i="66"/>
  <c r="K7" i="66"/>
  <c r="L7" i="66"/>
  <c r="M6" i="66"/>
  <c r="K6" i="66"/>
  <c r="L6" i="66"/>
  <c r="E6" i="66"/>
  <c r="G6" i="66"/>
  <c r="M5" i="66"/>
  <c r="K5" i="66"/>
  <c r="G5" i="66"/>
  <c r="E7" i="66"/>
  <c r="G7" i="66"/>
  <c r="E11" i="66"/>
  <c r="G11" i="66"/>
  <c r="G12" i="66"/>
  <c r="E14" i="44"/>
  <c r="D14" i="44"/>
  <c r="F8" i="44"/>
  <c r="D9" i="44"/>
  <c r="F9" i="44"/>
  <c r="F6" i="44"/>
  <c r="D7" i="44"/>
  <c r="F7" i="44"/>
  <c r="H5" i="35"/>
  <c r="H6" i="35"/>
  <c r="H7" i="35"/>
  <c r="D30" i="27"/>
  <c r="D24" i="27"/>
  <c r="D10" i="44"/>
  <c r="F10" i="44"/>
  <c r="D11" i="44"/>
  <c r="F11" i="44"/>
  <c r="D12" i="44"/>
  <c r="F12" i="44"/>
  <c r="D13" i="44"/>
  <c r="F13" i="44"/>
  <c r="F14" i="44"/>
  <c r="G91" i="66"/>
  <c r="E8" i="66"/>
  <c r="G8" i="66"/>
  <c r="E9" i="66"/>
  <c r="G9" i="66"/>
  <c r="F12" i="66"/>
  <c r="G15" i="66"/>
  <c r="E16" i="66"/>
  <c r="G16" i="66"/>
  <c r="E17" i="66"/>
  <c r="G17" i="66"/>
  <c r="E18" i="66"/>
  <c r="G18" i="66"/>
  <c r="E19" i="66"/>
  <c r="G19" i="66"/>
  <c r="E37" i="66"/>
  <c r="E21" i="66"/>
  <c r="G21" i="66"/>
  <c r="E22" i="66"/>
  <c r="G22" i="66"/>
  <c r="E45" i="66"/>
  <c r="E29" i="66"/>
  <c r="E24" i="66"/>
  <c r="F19" i="66"/>
  <c r="G29" i="66"/>
  <c r="E30" i="66"/>
  <c r="G30" i="66"/>
  <c r="E31" i="66"/>
  <c r="G31" i="66"/>
  <c r="E32" i="66"/>
  <c r="G32" i="66"/>
  <c r="E33" i="66"/>
  <c r="G33" i="66"/>
  <c r="E34" i="66"/>
  <c r="G34" i="66"/>
  <c r="G28" i="66"/>
  <c r="E28" i="66"/>
  <c r="E23" i="66"/>
  <c r="G24" i="66"/>
  <c r="E25" i="66"/>
  <c r="G25" i="66"/>
  <c r="E26" i="66"/>
  <c r="G26" i="66"/>
  <c r="E27" i="66"/>
  <c r="G27" i="66"/>
  <c r="G23" i="66"/>
  <c r="G45" i="66"/>
  <c r="F23" i="66"/>
  <c r="E48" i="66"/>
  <c r="E47" i="66"/>
  <c r="F45" i="66"/>
  <c r="F28" i="66"/>
  <c r="G48" i="66"/>
  <c r="E49" i="66"/>
  <c r="G49" i="66"/>
  <c r="E50" i="66"/>
  <c r="G50" i="66"/>
  <c r="E75" i="66"/>
  <c r="E52" i="66"/>
  <c r="E58" i="66"/>
  <c r="E51" i="66"/>
  <c r="G52" i="66"/>
  <c r="E53" i="66"/>
  <c r="G53" i="66"/>
  <c r="E54" i="66"/>
  <c r="G54" i="66"/>
  <c r="E55" i="66"/>
  <c r="G55" i="66"/>
  <c r="E56" i="66"/>
  <c r="G56" i="66"/>
  <c r="G51" i="66"/>
  <c r="E57" i="66"/>
  <c r="G58" i="66"/>
  <c r="E59" i="66"/>
  <c r="G59" i="66"/>
  <c r="E60" i="66"/>
  <c r="G60" i="66"/>
  <c r="E61" i="66"/>
  <c r="G61" i="66"/>
  <c r="E62" i="66"/>
  <c r="G62" i="66"/>
  <c r="E63" i="66"/>
  <c r="G63" i="66"/>
  <c r="E64" i="66"/>
  <c r="G64" i="66"/>
  <c r="E65" i="66"/>
  <c r="G65" i="66"/>
  <c r="G57" i="66"/>
  <c r="E69" i="66"/>
  <c r="G69" i="66"/>
  <c r="E70" i="66"/>
  <c r="G70" i="66"/>
  <c r="E71" i="66"/>
  <c r="G71" i="66"/>
  <c r="E72" i="66"/>
  <c r="G72" i="66"/>
  <c r="E73" i="66"/>
  <c r="G73" i="66"/>
  <c r="E74" i="66"/>
  <c r="G74" i="66"/>
  <c r="E67" i="66"/>
  <c r="F51" i="66"/>
  <c r="F57" i="66"/>
  <c r="G67" i="66"/>
  <c r="E68" i="66"/>
  <c r="G68" i="66"/>
  <c r="G66" i="66"/>
  <c r="E66" i="66"/>
  <c r="G75" i="66"/>
  <c r="G47" i="66"/>
  <c r="F47" i="66"/>
  <c r="E78" i="66"/>
  <c r="F75" i="66"/>
  <c r="F66" i="66"/>
  <c r="E83" i="66"/>
  <c r="G83" i="66"/>
  <c r="E85" i="66"/>
  <c r="G85" i="66"/>
  <c r="G86" i="66"/>
  <c r="E89" i="66"/>
  <c r="G78" i="66"/>
  <c r="E79" i="66"/>
  <c r="G79" i="66"/>
  <c r="E77" i="66"/>
  <c r="G77" i="66"/>
  <c r="E80" i="66"/>
  <c r="G80" i="66"/>
  <c r="E81" i="66"/>
  <c r="G81" i="66"/>
  <c r="F77" i="66"/>
  <c r="E86" i="66"/>
  <c r="F86" i="66"/>
  <c r="E88" i="66"/>
  <c r="G89" i="66"/>
  <c r="G88" i="66"/>
  <c r="F88" i="66"/>
  <c r="E90" i="66"/>
  <c r="G90" i="66"/>
  <c r="E91" i="66"/>
  <c r="F91" i="66"/>
  <c r="E44" i="66"/>
  <c r="G44" i="66"/>
  <c r="G35" i="66"/>
  <c r="E35" i="66"/>
  <c r="G37" i="66"/>
  <c r="E39" i="66"/>
  <c r="G39" i="66"/>
  <c r="E41" i="66"/>
  <c r="G41" i="66"/>
  <c r="F35" i="66"/>
  <c r="E38" i="66"/>
  <c r="E36" i="66"/>
  <c r="G36" i="66"/>
  <c r="G38" i="66"/>
  <c r="E40" i="66"/>
  <c r="G40" i="66"/>
  <c r="E42" i="66"/>
  <c r="G42" i="66"/>
  <c r="E43" i="66"/>
  <c r="G43" i="66"/>
  <c r="L56" i="66"/>
  <c r="L62" i="66"/>
  <c r="L74" i="66"/>
  <c r="L5" i="66"/>
  <c r="L24" i="66"/>
  <c r="L55" i="66"/>
  <c r="L59" i="66"/>
  <c r="L63" i="66"/>
  <c r="L25" i="6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A. Villalobos Laurent</author>
  </authors>
  <commentList>
    <comment ref="F24" authorId="0" shapeId="0" xr:uid="{90673B1C-C571-41E4-94D1-3594654DE9F6}">
      <text>
        <r>
          <rPr>
            <b/>
            <sz val="9"/>
            <color indexed="81"/>
            <rFont val="Tahoma"/>
            <family val="2"/>
          </rPr>
          <t>Alonso A. Villalobos Laurent:</t>
        </r>
        <r>
          <rPr>
            <sz val="9"/>
            <color indexed="81"/>
            <rFont val="Tahoma"/>
            <family val="2"/>
          </rPr>
          <t xml:space="preserve">
Servers'target IPs required to request F5 VIPs. 
This need to be done after scope ffinalization. Need to be mofed after T-5</t>
        </r>
      </text>
    </comment>
    <comment ref="F31" authorId="0" shapeId="0" xr:uid="{49452272-8C44-4134-9A81-558C7DD759E7}">
      <text>
        <r>
          <rPr>
            <b/>
            <sz val="9"/>
            <color indexed="81"/>
            <rFont val="Tahoma"/>
            <family val="2"/>
          </rPr>
          <t>Alonso A. Villalobos Laurent:</t>
        </r>
        <r>
          <rPr>
            <sz val="9"/>
            <color indexed="81"/>
            <rFont val="Tahoma"/>
            <family val="2"/>
          </rPr>
          <t xml:space="preserve">
Servers'target IPs required to request F5 VIPs. 
This need to be done after scope ffinalization. Need to be mofed after T-5</t>
        </r>
      </text>
    </comment>
  </commentList>
</comments>
</file>

<file path=xl/sharedStrings.xml><?xml version="1.0" encoding="utf-8"?>
<sst xmlns="http://schemas.openxmlformats.org/spreadsheetml/2006/main" count="4332" uniqueCount="2274">
  <si>
    <t>MASTER TEMPLATE Rubook Change Log</t>
  </si>
  <si>
    <t>Version #</t>
  </si>
  <si>
    <t>Date</t>
  </si>
  <si>
    <t>Who</t>
  </si>
  <si>
    <t>Change Description</t>
  </si>
  <si>
    <t>v#11</t>
  </si>
  <si>
    <t>Rahul Shome</t>
  </si>
  <si>
    <t>All Tabs</t>
  </si>
  <si>
    <t>Pre and post migration tab</t>
  </si>
  <si>
    <t>Migration HxH plan - rename of vm task post migration</t>
  </si>
  <si>
    <t>Updated the contact details for Web filtering process</t>
  </si>
  <si>
    <t>Melania Gutierrez</t>
  </si>
  <si>
    <t>Removed ME02 comments in the Rollback plan</t>
  </si>
  <si>
    <t>v#12</t>
  </si>
  <si>
    <t>Updated pre-migration task list</t>
  </si>
  <si>
    <t>v#13</t>
  </si>
  <si>
    <t>Leonardo Zumbado</t>
  </si>
  <si>
    <t>Updated Migration HxH Plan Formulas / Update Contact List with DB2 contacts</t>
  </si>
  <si>
    <t>V#13</t>
  </si>
  <si>
    <t>Updated Pre-Migration TAB</t>
  </si>
  <si>
    <t>V#14</t>
  </si>
  <si>
    <t xml:space="preserve">Updated Pre-Migration TAB with a task for Decommissioned servers </t>
  </si>
  <si>
    <t>V#15</t>
  </si>
  <si>
    <t>Update Pre-Migration TAB with Carbonite tasks to be executed when using carbonite as migration method. Tasks: 40, 41, 42, 49, 50, 73, 84.
Update HxH TAB including carbonite tasks group in the Cutover section. Tasks: 24, 52, 53.</t>
  </si>
  <si>
    <t>V#16</t>
  </si>
  <si>
    <t>Update Pre-Migration TAB, Patching task have been updated. 
Task 32, task 70</t>
  </si>
  <si>
    <t>V#17</t>
  </si>
  <si>
    <t>Update Pre-Migration TAB, task 66, task 105
Update HxH TAB, task 35</t>
  </si>
  <si>
    <t>V#18</t>
  </si>
  <si>
    <t>Update Pre-Migration TAB, tasks 8 and 11. Task 8 have been moved from T-7 to T-8. Task 11 have heen added.
Update HxH TAB, tasks 18 and 55 have been added to the HxH.</t>
  </si>
  <si>
    <t xml:space="preserve">Update Pre-Migration TAB, tasks 43 and 75. Comments have been updated for each task.
</t>
  </si>
  <si>
    <t>V#19</t>
  </si>
  <si>
    <t>Update Pre-Migration TAB:
Task 8: moved to T-8
Task 11: Task description and comments have been updated.
Task 22: Task description and comments have been updated.
Task 30: Moved from T-4 to T-5
Task 56: Moved from T-3 to T-4
Task 60: Moved from T-3 to T-4
Update HxH TAB:
Task 15: Description and comments have been updated.
Task 19: Task comments have been updated
Task 54: Task description have been updated.</t>
  </si>
  <si>
    <t>V#20</t>
  </si>
  <si>
    <t>Update Pre-Migration TAB:
Task 68: moved from T-2 to T-3
Tasks 46, 47, 48, 69, 70 have been added.
Update Contact List TAB:
Windows contacts, Linux contacts, IIS &amp; Weblogic contacts and Websphere contact added to the list.
Update Change Records TAB:
Linux Centrify SNOW queue have been added.</t>
  </si>
  <si>
    <t>V#21</t>
  </si>
  <si>
    <t>Update Pre-Migration TAB:
Task 33: have been added.
Tasks 74 have been updated including one more task in the replication Ticket to Disable SRM if applicable.
Update HxH TAB:
Step 18: Stop VR replication for the SRM-Protected servers in the IBM Cloud have been removed from HxH.
Step 55: Start VR replication for the SRM-Protected servers in the IBM Cloud have been removed from HxH.</t>
  </si>
  <si>
    <t>V#22</t>
  </si>
  <si>
    <t>Update Pre-Migration TAB:
Tasks 73 and 74: have been updated.Tasks 74 have been updated.
Task 91: have ben added.
Update HxH TAB:
Step 54: have been added back to the Cutover steps.</t>
  </si>
  <si>
    <t>V#23</t>
  </si>
  <si>
    <t>Update Pre-Migration TAB:
Tasks 10: Task description/wording have been changed.
Task 33 and 39: Team responsible have been updated on both tasks.</t>
  </si>
  <si>
    <t>V#24</t>
  </si>
  <si>
    <t>Update Pre-Migration TAB:
Tasks 36: Security Contacts updated (Nardos is replacing Sarah)</t>
  </si>
  <si>
    <t>V#25</t>
  </si>
  <si>
    <t>Update contact List TAB:
Rows 72, 77 and 78 have been added</t>
  </si>
  <si>
    <t>V#26</t>
  </si>
  <si>
    <t>Update Pre-Migration TAB:
Tasks 37: Illumio contact have been updated.</t>
  </si>
  <si>
    <t>V#27</t>
  </si>
  <si>
    <t>Keiko Simkin</t>
  </si>
  <si>
    <t>Update to Event Scope tab:  Added columns for Service Now queue, IT Support Manager, SME &amp; Support Group DL</t>
  </si>
  <si>
    <t>V#28</t>
  </si>
  <si>
    <t xml:space="preserve">Update Pre-Migration TAB:
Task 14: comments have been updated. An email should be send to the Application Teams to inform them about the freeze period for the servers in scope (specially now that we have AIX servers in scope, storage changes will not be allowed)
Tasks 42: Illumio contacts have been changed and updated one more time.
Task 89: comments have been updated: "11" have been added as a new task to be added in the Cutover ticket.
Migration Tool column: Column "B" will show you what tasks are applicable for your servers based on the migration tool to be used the day of the Cutover.
Gloal Mirror steps have been added
Update Migration-HxH Plan TAB:
Global Mirror tasks have been added.
Change Records TAB:
Monitoring SNOW queue have been added.
Contact List TAB: Global Mirror resources have been added (AIX, Storage, Build Team, AOC)
Update Event Scope TAB: added column : SRM server? </t>
  </si>
  <si>
    <t>V#29</t>
  </si>
  <si>
    <t>Update NAS RB TAB:
NAS TAB have been added to the RB template.</t>
  </si>
  <si>
    <t>V#30</t>
  </si>
  <si>
    <t>Update Pre-Migration TAB:
Task 98 and 141: Stop and Start DR replication required for AIX servers.</t>
  </si>
  <si>
    <t>V#31</t>
  </si>
  <si>
    <t>John Bellanca</t>
  </si>
  <si>
    <t>Updated Change records tab:
Added F5 (load Balancer) requests section
Updated Contact list tab:
Added Steven Muñoz Rodríguez to IBM list 
Updated Pre &amp; Post Migration Tasks tab:
Changed Team responsible for Engage BaaS Team to run the backup to IBM Migration PM from IBM Migration SME</t>
  </si>
  <si>
    <t>V#32</t>
  </si>
  <si>
    <t xml:space="preserve">Updated Contact list tab:
Added Teradata, Netezza and Mainframe DB2 Anthem contacts
</t>
  </si>
  <si>
    <t>V#33</t>
  </si>
  <si>
    <t xml:space="preserve">Updated Change records tab:
Added Web Content Filtering Request section
</t>
  </si>
  <si>
    <t>V#35</t>
  </si>
  <si>
    <t xml:space="preserve">Updated Contact list tab:
Windows contacts have been updated.
</t>
  </si>
  <si>
    <t>V#36</t>
  </si>
  <si>
    <t>Update Pre-Migration TAB:
Task 30 and 68: are considered duplicate tasks with 33 and 69 respectively. Both tasks have been removed.
Updated Change records tab:
Added WebSphere and Middleware Support queues.
F5 Certificates queue.</t>
  </si>
  <si>
    <t>V#37</t>
  </si>
  <si>
    <t>Update Pre-Migration TAB:
Task 91: have been added.</t>
  </si>
  <si>
    <t>V#38</t>
  </si>
  <si>
    <t>Update Contact List TAB:
MQ contacts have been added.
Update Change Records TAB:
Enterprise File Transfer SNOW Queue have been added.</t>
  </si>
  <si>
    <t>V#41</t>
  </si>
  <si>
    <t>Update Contact List TAB:
Siteminder Contacts have been added.
Update Change Records TAB:
Siteminder SNOW Queue have been added.</t>
  </si>
  <si>
    <t>V#42</t>
  </si>
  <si>
    <t>AIX Pre &amp; Post Migration tasks have been reviewed and updated for AIX Migrations.
AIX Migration HxH Plan have been reviewed and updated for AIX Migrations.</t>
  </si>
  <si>
    <t>V#43</t>
  </si>
  <si>
    <t>AIX Pre &amp; Post Migration tasks have been reviewed and updated for AIX Migrations.</t>
  </si>
  <si>
    <t>V#44</t>
  </si>
  <si>
    <t>AIX Pre &amp; Post Migration tasks have been reviewed and updated for AIX Migrations.
Post-Migration task#133 updated to have new IP updated in CMDB.</t>
  </si>
  <si>
    <t>V#45</t>
  </si>
  <si>
    <t xml:space="preserve">Pre and post migration tab:
Added "Confirm all servers in scope are running in Cloudscape." under T-8
Moved "Engage DB team incase DB is connected to application: from T-5 to T-7
Added "Send scope to Security focal / Vulnerabilities team to get VM scans" to T-7
Change records tab: 
Added "DB2 CONNECT IBMNY SUPPORT", "APDS DB2 LUW PROJECT SUPPORT", "NAS OPEN SYSTEMS" and  "DATA NTWK SUPPORT NOC" queues.
Contact list:
Added IBM DB2 and Anthem DBA team contact information
</t>
  </si>
  <si>
    <t>V#46</t>
  </si>
  <si>
    <t>Pre and Post Migration Tasks tab:
Added scope change freeze policy review under T minus 5 and T minus 4</t>
  </si>
  <si>
    <t>V#47</t>
  </si>
  <si>
    <t>Pre and Post Migration Tasks tab:
Added Exadata DB migration task under T-4</t>
  </si>
  <si>
    <t>V#48</t>
  </si>
  <si>
    <t>Gopi Gunnam</t>
  </si>
  <si>
    <t>Pre and Post Migration Tasks tab:
Made changes to Global Mirror tasks, corrected the T minus for some tasks</t>
  </si>
  <si>
    <t>V#49</t>
  </si>
  <si>
    <t>Pre and Post Migration Tasks tab:
Added flashcopy task under T-8 for AIX</t>
  </si>
  <si>
    <t>V#50</t>
  </si>
  <si>
    <t xml:space="preserve">Pre and Post Migration Tasks tab:
Added **NOTE** if a VM/LPAR is running DB2, then the TSM API will need to be altered after migration as well, to properly backup the DB2 instance to the Share the Servers list and target ip address with Target Backup team/Baas team.(Slides 18 and 19 on process document) Use the scope template and ensure target ips are mentioned (15  days prior to migration) task
Pre and Post Migration Tasks tab:
Added "If a VM/LPAR is running DB2, the TSM API will need to be altered after migration as well, to properly backup the DB2 instance" task under post migration
</t>
  </si>
  <si>
    <t>V#51</t>
  </si>
  <si>
    <t xml:space="preserve">Pre and Post Migration Tasks tab:
Added a step at T-6 to inform oracle team in case any oracle DB in scope
</t>
  </si>
  <si>
    <t>V#52</t>
  </si>
  <si>
    <t xml:space="preserve">Issues-risks log tab:
Added "Anthem Migration Event Problem Determination Script - https://kyndryl.ent.box.com/notes/833752783803?s=fukx92hffuheus94ubjwfg9aqv3pme2z" at the top of the page
</t>
  </si>
  <si>
    <t>V#53</t>
  </si>
  <si>
    <t xml:space="preserve">Pre and Post Migration Tasks tab:
Added multiple tasks regarding F5, DNS and NAT.
Pre and Post Migration Tasks tab:
Updated links to to Kyndryl location
Migration-HxH Plan tab:
Added multiple tasks regarding F5, DNS and NAT
</t>
  </si>
  <si>
    <t>V#54</t>
  </si>
  <si>
    <t xml:space="preserve">Pre and Post Migration Tasks tab (for AIX):
Added a task to validate if any of the servers in scope are in cluster
</t>
  </si>
  <si>
    <t>V#55</t>
  </si>
  <si>
    <t xml:space="preserve">Contact list:
Updated email address to reflect Kyndryl change
</t>
  </si>
  <si>
    <t>V#56</t>
  </si>
  <si>
    <t xml:space="preserve">Pre &amp; Post Migration Tasks tab:
Added "Link Reference" column
Added task to Compare the event date with the Enterprise Release calendar (link in column G)
</t>
  </si>
  <si>
    <t>V#57</t>
  </si>
  <si>
    <t xml:space="preserve">Pre &amp; Post Migration Tasks tab:
Added pre-migration steps related to AIX servers with Falshcopy 
Added pos-migration task to check sysb backup is working
</t>
  </si>
  <si>
    <t>V#58</t>
  </si>
  <si>
    <t xml:space="preserve">Contact list:  
Added "anthem_f5-dns-dhcp_support@wwpdl.vnet.ibm.com"  
Pre &amp; Post Migration Tasks:
Added formula to the T minus rows to reflect cutover date in cell "B2"
</t>
  </si>
  <si>
    <t xml:space="preserve">Contact list:  
Added "AOC team Details"  
</t>
  </si>
  <si>
    <t>V#60</t>
  </si>
  <si>
    <t xml:space="preserve">Pre &amp; Post Migration Tasks tab:
Added a pre migratin task to check if NFS shares is mounted with server IP or hostname
</t>
  </si>
  <si>
    <t>V#61</t>
  </si>
  <si>
    <t>Keith Anderson</t>
  </si>
  <si>
    <t xml:space="preserve">Pre &amp; Post Migration Tasks tab:
T-3 section - added task to re-run Vulnerability scan and to create vulnerability status tracking sheet for Anthem Security team
T-2 section - added task to send vulnerability tracking sheet to Anthem Security for their followup and closure.
</t>
  </si>
  <si>
    <t>V#62</t>
  </si>
  <si>
    <t>Krishna Kadambi</t>
  </si>
  <si>
    <t>Removed steps related to APOC as that is irrelavant</t>
  </si>
  <si>
    <t>V#63</t>
  </si>
  <si>
    <t>Removed Entries of IBM Email Addresses and replaced with relevant Kyndryl ID's. Removed unwanted contacts who are not in the org anymore</t>
  </si>
  <si>
    <t>V#64</t>
  </si>
  <si>
    <t>Chnaged the color Scheme to match Kyndryl Color Scheme. Replaced CMM with Migration</t>
  </si>
  <si>
    <t>V#69</t>
  </si>
  <si>
    <t>Mounir Bsaibes</t>
  </si>
  <si>
    <t xml:space="preserve">Added a colum to the Event scope tab
"Scope (initial, New,  Deleted)" </t>
  </si>
  <si>
    <t>V#70</t>
  </si>
  <si>
    <t>•On Pre&amp;Post Migration: 
Added T-5 task for Refresh program, row 34
Changed Anthem to Elevance in column "Team Responsible"
Per Alonso, Web Content filtering is no longer needed, row removed
Server Scope-Finalize moved up to Row 30
Row 38, update to Exadata task
Delete Firewall request F5
Row 144 - changed to Global Mirror/P2P
Removed row with blank task, Description "Decide on task within Migration team"
Added row 187: Update Bundle to Moved for application and server
Added row 188: Send request to Discovery team to update new Target IP in TM</t>
  </si>
  <si>
    <t>Anthem Migration Event ME 0X - DASHBOARD</t>
  </si>
  <si>
    <t>1. Source Shutdown</t>
  </si>
  <si>
    <t>2. Final Sync and Cutover</t>
  </si>
  <si>
    <t>3.Target Infrastructure Validation</t>
  </si>
  <si>
    <t>4. Application Testing</t>
  </si>
  <si>
    <t>5. Handover Complete</t>
  </si>
  <si>
    <t>% Complete</t>
  </si>
  <si>
    <t>Notes</t>
  </si>
  <si>
    <t>1. Cutover Startup Activities Complete</t>
  </si>
  <si>
    <t>2. Shutdown complete</t>
  </si>
  <si>
    <t>3. BlackBox #1 Complete</t>
  </si>
  <si>
    <t>4. Storage Change Complete</t>
  </si>
  <si>
    <t>5. Blackbox #2 - Migration Steps Complete</t>
  </si>
  <si>
    <t>6. Infrastructure Validation complete</t>
  </si>
  <si>
    <t>7. POST Migration App Healthcheck Complete</t>
  </si>
  <si>
    <t>8. Handover Complete</t>
  </si>
  <si>
    <r>
      <t xml:space="preserve">Application 1
</t>
    </r>
    <r>
      <rPr>
        <sz val="16"/>
        <rFont val="Arial"/>
        <family val="2"/>
      </rPr>
      <t>Servers (Number)</t>
    </r>
  </si>
  <si>
    <t xml:space="preserve">
• 2 servers In progress Target Startup. 
• 1 servers In progress Post Migration. 
• 1 server working on Issue #1 - issue log below</t>
  </si>
  <si>
    <r>
      <t xml:space="preserve">Application 2
</t>
    </r>
    <r>
      <rPr>
        <sz val="16"/>
        <rFont val="Arial"/>
        <family val="2"/>
      </rPr>
      <t>Servers (Number)</t>
    </r>
  </si>
  <si>
    <t xml:space="preserve">
• 4  In progress: Source Shutdown. </t>
  </si>
  <si>
    <r>
      <t xml:space="preserve">Application 3
</t>
    </r>
    <r>
      <rPr>
        <sz val="16"/>
        <rFont val="Arial"/>
        <family val="2"/>
      </rPr>
      <t>Servers (Number)</t>
    </r>
  </si>
  <si>
    <t>Migration Event 0X  Overall % Complete</t>
  </si>
  <si>
    <t xml:space="preserve">Notes: </t>
  </si>
  <si>
    <t>*Enter a 1 for In Progress; 2 for Complete , 3 Not started -  it will show as Blue, Green or Gray.</t>
  </si>
  <si>
    <r>
      <t xml:space="preserve">*Change the </t>
    </r>
    <r>
      <rPr>
        <b/>
        <sz val="18"/>
        <color rgb="FFFF0000"/>
        <rFont val="Arial"/>
        <family val="2"/>
      </rPr>
      <t>Red</t>
    </r>
    <r>
      <rPr>
        <sz val="18"/>
        <color rgb="FFFF0000"/>
        <rFont val="Arial"/>
        <family val="2"/>
      </rPr>
      <t xml:space="preserve"> </t>
    </r>
    <r>
      <rPr>
        <sz val="18"/>
        <rFont val="Arial"/>
        <family val="2"/>
      </rPr>
      <t xml:space="preserve">font color to </t>
    </r>
    <r>
      <rPr>
        <b/>
        <sz val="18"/>
        <rFont val="Arial"/>
        <family val="2"/>
      </rPr>
      <t xml:space="preserve">Black </t>
    </r>
    <r>
      <rPr>
        <sz val="18"/>
        <rFont val="Arial"/>
        <family val="2"/>
      </rPr>
      <t>once you have updated the Dasboard with your ME's information.</t>
    </r>
  </si>
  <si>
    <t>Legend</t>
  </si>
  <si>
    <t>Complete</t>
  </si>
  <si>
    <t>In Progress</t>
  </si>
  <si>
    <t>Not Started</t>
  </si>
  <si>
    <t>Purpose of the Migration Run Book</t>
  </si>
  <si>
    <t>The purpose of the Migration Run Book is to serve as a repository for all relevant Data Center Consolidation activities and schedules.</t>
  </si>
  <si>
    <t>Audience for the Migration Run Book</t>
  </si>
  <si>
    <t>The following is the recommended audience for the Migration Run Book:</t>
  </si>
  <si>
    <t>Elevance Health Application Owners</t>
  </si>
  <si>
    <t>IBM Data Center Migration Personnel</t>
  </si>
  <si>
    <t>Elevance Health Data Center Migration Runbook</t>
  </si>
  <si>
    <r>
      <t>Migration Event 0</t>
    </r>
    <r>
      <rPr>
        <b/>
        <sz val="12"/>
        <color rgb="FFFF0000"/>
        <rFont val="Arial"/>
        <family val="2"/>
      </rPr>
      <t>#</t>
    </r>
    <r>
      <rPr>
        <b/>
        <sz val="12"/>
        <rFont val="Arial"/>
        <family val="2"/>
      </rPr>
      <t xml:space="preserve"> (ME0</t>
    </r>
    <r>
      <rPr>
        <b/>
        <sz val="12"/>
        <color rgb="FFFF0000"/>
        <rFont val="Arial"/>
        <family val="2"/>
      </rPr>
      <t>#</t>
    </r>
    <r>
      <rPr>
        <b/>
        <sz val="12"/>
        <rFont val="Arial"/>
        <family val="2"/>
      </rPr>
      <t>)</t>
    </r>
  </si>
  <si>
    <t xml:space="preserve">Key Staff </t>
  </si>
  <si>
    <t xml:space="preserve">Lead Kyndryl Cloud Migration &amp; Modernization PMs: </t>
  </si>
  <si>
    <t>Jennifer Hynes, Alonso Aguilar, Krishna Kadambi</t>
  </si>
  <si>
    <t>Lead Elevance Health PM / Point of Contact:</t>
  </si>
  <si>
    <t>Bill Anderson, Bill Stovall</t>
  </si>
  <si>
    <t>Kyndryl Cloud Migration Event PM:</t>
  </si>
  <si>
    <t>Event PM NAMEs</t>
  </si>
  <si>
    <t xml:space="preserve">Kyndryl Cloud Migration Architects: </t>
  </si>
  <si>
    <t>Architect Names</t>
  </si>
  <si>
    <t>Kyndryl Cloud Migration SMEs:</t>
  </si>
  <si>
    <t>Event Summary</t>
  </si>
  <si>
    <t xml:space="preserve">Start Date/Time: </t>
  </si>
  <si>
    <t>mm/dd/2021 Start Time ET</t>
  </si>
  <si>
    <t>End Date/Time:</t>
  </si>
  <si>
    <t>mm/dd/2021 End Time ET</t>
  </si>
  <si>
    <t xml:space="preserve">Migration/Consolidation Summary </t>
  </si>
  <si>
    <r>
      <rPr>
        <b/>
        <sz val="12"/>
        <rFont val="Arial"/>
        <family val="2"/>
      </rPr>
      <t xml:space="preserve">Source DC: </t>
    </r>
    <r>
      <rPr>
        <b/>
        <sz val="12"/>
        <color rgb="FF0000FF"/>
        <rFont val="Arial"/>
        <family val="2"/>
      </rPr>
      <t xml:space="preserve">St. Louis, MO / Richmond, VA / Harrisonburg, VA   </t>
    </r>
    <r>
      <rPr>
        <b/>
        <sz val="12"/>
        <rFont val="Arial"/>
        <family val="2"/>
      </rPr>
      <t xml:space="preserve"> -    Target DC:</t>
    </r>
    <r>
      <rPr>
        <b/>
        <sz val="12"/>
        <color rgb="FF0000FF"/>
        <rFont val="Arial"/>
        <family val="2"/>
      </rPr>
      <t xml:space="preserve"> IBM Cloud, WDC </t>
    </r>
  </si>
  <si>
    <t xml:space="preserve">Applications  </t>
  </si>
  <si>
    <t># servers</t>
  </si>
  <si>
    <t>Application name 1</t>
  </si>
  <si>
    <t>Application name 2</t>
  </si>
  <si>
    <t>Application name 3</t>
  </si>
  <si>
    <t>TOTAL Servers</t>
  </si>
  <si>
    <t>OS</t>
  </si>
  <si>
    <t>Migration Methods</t>
  </si>
  <si>
    <r>
      <rPr>
        <sz val="12"/>
        <rFont val="Arial"/>
        <family val="2"/>
      </rPr>
      <t>Windows</t>
    </r>
    <r>
      <rPr>
        <sz val="12"/>
        <color rgb="FFFF0000"/>
        <rFont val="Arial"/>
        <family val="2"/>
      </rPr>
      <t xml:space="preserve"> (x servers) </t>
    </r>
    <r>
      <rPr>
        <sz val="12"/>
        <rFont val="Arial"/>
        <family val="2"/>
      </rPr>
      <t xml:space="preserve">/ Linux </t>
    </r>
    <r>
      <rPr>
        <sz val="12"/>
        <color rgb="FFFF0000"/>
        <rFont val="Arial"/>
        <family val="2"/>
      </rPr>
      <t>(x servers)</t>
    </r>
    <r>
      <rPr>
        <sz val="12"/>
        <rFont val="Arial"/>
        <family val="2"/>
      </rPr>
      <t xml:space="preserve"> / AIX </t>
    </r>
  </si>
  <si>
    <t>Zerto (V2V)</t>
  </si>
  <si>
    <t>Carbonite (P2V, P2P)</t>
  </si>
  <si>
    <t>Global Mirror</t>
  </si>
  <si>
    <t>Storage X (NAS)</t>
  </si>
  <si>
    <t>DC Migration</t>
  </si>
  <si>
    <t>Run Book for Wave 1</t>
  </si>
  <si>
    <t>Version 0.01</t>
  </si>
  <si>
    <t>Document Owner:</t>
  </si>
  <si>
    <t>IBM</t>
  </si>
  <si>
    <t>Date:</t>
  </si>
  <si>
    <t xml:space="preserve">Overview of Data Center Migration </t>
  </si>
  <si>
    <t>Migration Wave1 comprises of Test and SVT Servers migrating from Exhibition DC to Tullamarine DC</t>
  </si>
  <si>
    <t>Purpose of the Master Migration Run Book</t>
  </si>
  <si>
    <t>The purpose of the Migration Run Book is to serve as a repository for all relevant Data Center Migration activities and schedules. This runbook is a set of defined procedures developed by the Move Manager or IT professional for the DC migration. The runbook contains all the information a staff needs to perform during the migration. It contains some tasks which include procedures for starting and stopping the system, instructions for handling special devices.</t>
  </si>
  <si>
    <t>The following is the recommended audience for the Master Migration Run Book:</t>
  </si>
  <si>
    <t>Customer</t>
  </si>
  <si>
    <t>Data Center Migration Personnel</t>
  </si>
  <si>
    <t xml:space="preserve">Application Owners </t>
  </si>
  <si>
    <t>Wave 00 - Time is in Australian Eastern Daylight Time                                                                                                              Bridge # for Checkpoint: http://ibm.webex.com/meet/deepdias</t>
  </si>
  <si>
    <t>#</t>
  </si>
  <si>
    <t>Implementation Task</t>
  </si>
  <si>
    <t>Status</t>
  </si>
  <si>
    <t>Start Date/Time (AEST)</t>
  </si>
  <si>
    <t>End Date/Time (AEST)</t>
  </si>
  <si>
    <t xml:space="preserve">Planned Estimated Duration (Mins)
</t>
  </si>
  <si>
    <t>Action By
(Team/Name)</t>
  </si>
  <si>
    <t>Verification By
(Team/Name)</t>
  </si>
  <si>
    <t>Remarks</t>
  </si>
  <si>
    <t>A</t>
  </si>
  <si>
    <t>Pre-Migration Tasks (Before 2nd Oct 18)</t>
  </si>
  <si>
    <t>A1</t>
  </si>
  <si>
    <t>Zerto Tool - Pre-requisites</t>
  </si>
  <si>
    <t>Check with Network Team for the VLAN configured in MPLS communication between ExhibitionDC and IBM TULA DC</t>
  </si>
  <si>
    <t xml:space="preserve"> </t>
  </si>
  <si>
    <t>N/A</t>
  </si>
  <si>
    <t>IBM Acct Team</t>
  </si>
  <si>
    <t>Build and setup the new Esxi hosts in Target with the same amount of datastore, port groups and VLANs as per the source ESXi hosts</t>
  </si>
  <si>
    <t>NA</t>
  </si>
  <si>
    <t>IBM Build</t>
  </si>
  <si>
    <t>IBM CMF / IBM Account Team</t>
  </si>
  <si>
    <t>Submit the Change Request for Zerto Replication</t>
  </si>
  <si>
    <t xml:space="preserve">IBM PM / TAC WorkSafe </t>
  </si>
  <si>
    <t>IBM PM / TAC WorkSafe</t>
  </si>
  <si>
    <t>Validate the resource readiness</t>
  </si>
  <si>
    <t>IBM PM</t>
  </si>
  <si>
    <t>IBM CMF</t>
  </si>
  <si>
    <t>Raise the user ID request for the source servers with Admin privilege and check the credentials are working fine once received</t>
  </si>
  <si>
    <t>Perform the VPG creation for the in scope servers part of the Wave Group</t>
  </si>
  <si>
    <t>Perform the initial Zerto tool replication from Source to Target VM infrastructure</t>
  </si>
  <si>
    <t>A2</t>
  </si>
  <si>
    <t>Netapp - Pre-requisites</t>
  </si>
  <si>
    <t>Verify Windows Active Directory Configuration</t>
  </si>
  <si>
    <t>IBM Windows team</t>
  </si>
  <si>
    <t>Verify Source Config - 7Mode</t>
  </si>
  <si>
    <t>IBM Storage team</t>
  </si>
  <si>
    <t>TAC/Worksafe App</t>
  </si>
  <si>
    <t>Verify Target Config - cDOT</t>
  </si>
  <si>
    <t>Verify 7Mode CIFS Shares are set to transition using 7MTT</t>
  </si>
  <si>
    <t>Verify 7Mode IP set to transition using 7MTT</t>
  </si>
  <si>
    <t>A3</t>
  </si>
  <si>
    <t>OS / Application Licensing readiness</t>
  </si>
  <si>
    <t>Secure the OS licenses (With TAC Worksafe OS License)</t>
  </si>
  <si>
    <t>IBM Acc Team</t>
  </si>
  <si>
    <t>Secure the latest software licenses</t>
  </si>
  <si>
    <t>A4</t>
  </si>
  <si>
    <t>Migration Management</t>
  </si>
  <si>
    <t>Agree on the list of the in-scope servers</t>
  </si>
  <si>
    <t>IBM / TAC WorkSafe</t>
  </si>
  <si>
    <t>Runbook presented and agreed with stake holders</t>
  </si>
  <si>
    <t>Prepare Change Request and follow up with all approvals</t>
  </si>
  <si>
    <t>IBM Wave PM</t>
  </si>
  <si>
    <t>A5</t>
  </si>
  <si>
    <t>Tools installation and configuration readiness</t>
  </si>
  <si>
    <t>Check and list out the existing tools installed in the TAC Worksafe migration servers</t>
  </si>
  <si>
    <t>IBM Tools configuration readiness and details</t>
  </si>
  <si>
    <t>A6</t>
  </si>
  <si>
    <t>Test Baseline for all applications requirement</t>
  </si>
  <si>
    <t>Prepare test scenarios / test cases for all applications</t>
  </si>
  <si>
    <t>Freeze the code prior to Application Testing at the source</t>
  </si>
  <si>
    <t>Perform Application Testing at the source for all applications</t>
  </si>
  <si>
    <t>Share Test results with the IBM Test Manager</t>
  </si>
  <si>
    <t>IBM Test Manger to review Test results  and Baseline</t>
  </si>
  <si>
    <t>IBM Test Mgr / TAC WorkSafe App</t>
  </si>
  <si>
    <t>IBM Test Manager to collect and secure pre-migration steps, artefacts and post -migration steps, artefacts for Infra Applications IVT testing</t>
  </si>
  <si>
    <t xml:space="preserve">IBM Test Mgr </t>
  </si>
  <si>
    <t>IBM Account team</t>
  </si>
  <si>
    <t>A7</t>
  </si>
  <si>
    <t>Application / Database - Pre-Migration Activity</t>
  </si>
  <si>
    <t>Stop DB &amp; Application Monitoring</t>
  </si>
  <si>
    <t>Perform DB &amp; Application Sanity Check</t>
  </si>
  <si>
    <t>A8</t>
  </si>
  <si>
    <t>Confirm that all VM Snapshots are consolidated at source before shutdown of the Servers part of this Wave</t>
  </si>
  <si>
    <t>CHECKPOINT - GO or NO GO Decision - Overall Migration Readiness</t>
  </si>
  <si>
    <t>IBM / TAC Worksafe</t>
  </si>
  <si>
    <t>B</t>
  </si>
  <si>
    <t>Migration Cutover Day</t>
  </si>
  <si>
    <t>B1</t>
  </si>
  <si>
    <t>Disable Monitoiring</t>
  </si>
  <si>
    <t>Notify users of the migration activity</t>
  </si>
  <si>
    <t>Confirm with TAC Worksafe Prod Control to stop scheduled backup jobs from TSM Server</t>
  </si>
  <si>
    <t>TAC WorkSafe</t>
  </si>
  <si>
    <t>Disable Xymon Monitoring for this wave Inscope servers</t>
  </si>
  <si>
    <t xml:space="preserve">IBM Wave PM </t>
  </si>
  <si>
    <t xml:space="preserve">Confirm with TAC WorkSafe Prod Control to stop scheduled backup jobs </t>
  </si>
  <si>
    <t>B2</t>
  </si>
  <si>
    <t>Suspend Batches and backups</t>
  </si>
  <si>
    <t>Confirm overnight backups successful (EIP backup, HP Quality Center)</t>
  </si>
  <si>
    <t>Suspend running batch jobs (for respective application)</t>
  </si>
  <si>
    <t xml:space="preserve">Suspend running netapp backups </t>
  </si>
  <si>
    <t>IBM Netapp</t>
  </si>
  <si>
    <t>Perform premigration checks in Source servers / VMS</t>
  </si>
  <si>
    <t>B3</t>
  </si>
  <si>
    <t>Application Shutdown Activity – Migration Day</t>
  </si>
  <si>
    <t xml:space="preserve">Shutdown the Applications at Source Servers </t>
  </si>
  <si>
    <t>TAC Worksafe</t>
  </si>
  <si>
    <t>B4</t>
  </si>
  <si>
    <t>Database Shutdown Activity - Migration Day</t>
  </si>
  <si>
    <t>Shutdown the DB at source servers</t>
  </si>
  <si>
    <t>B5</t>
  </si>
  <si>
    <t>Zerto Replication</t>
  </si>
  <si>
    <t>Wait for the final Zerto Tool synchronization and check the status</t>
  </si>
  <si>
    <t>Shut down all source Non-Prod in-scope servers part of the Wave Group</t>
  </si>
  <si>
    <t>IBM BAU</t>
  </si>
  <si>
    <t>Capture Zerto tool synchronization log and confirm everything is green</t>
  </si>
  <si>
    <t>Perform cut over of target in-scope servers at Zerto</t>
  </si>
  <si>
    <t>B6</t>
  </si>
  <si>
    <t>Netapp Migration - Switch CIFS Server Prod Task List</t>
  </si>
  <si>
    <t>Shutdown any application using CIFS shares</t>
  </si>
  <si>
    <t>Capture CIFS share configuration and remove CIFS share if exists</t>
  </si>
  <si>
    <t>Terminate CIFS Sessions</t>
  </si>
  <si>
    <t xml:space="preserve">Rename 7mode CIFS server to </t>
  </si>
  <si>
    <t>Create cDOT CIFS Server using orig vFiler CIFS server Name</t>
  </si>
  <si>
    <t>B7</t>
  </si>
  <si>
    <t>Netapp Migration - Migrate NFS Shares</t>
  </si>
  <si>
    <t>Verify running NFS exports matches existing /etc/exports configuration (before making changes and reloading /etc/exports)</t>
  </si>
  <si>
    <t>Backup /etc/exports to jumphost. Append timestamp to filename.</t>
  </si>
  <si>
    <t>Shutdown any application using NFS shares</t>
  </si>
  <si>
    <t>Unmount all NFS shares on all clients</t>
  </si>
  <si>
    <t>Stop / block access to existing NFS shares by commenting out the export line. Verify that all NFS shares are NOT shared out.</t>
  </si>
  <si>
    <t>B8</t>
  </si>
  <si>
    <t>Netapp Migration - Migrate iSCSi LUNS</t>
  </si>
  <si>
    <t>Capture Disk Management configuration. Take screenshots capturing devices, sizes, drive letters, etc.</t>
  </si>
  <si>
    <t>Shutdown any application using ISCSI filesystems</t>
  </si>
  <si>
    <t>Disable any applications / services that use iSCSI filesystem from starting upon boot</t>
  </si>
  <si>
    <t>Shutdown iSCSI clients</t>
  </si>
  <si>
    <t>Capture iSCSI mapping</t>
  </si>
  <si>
    <t>Verify all iSCSI clients are no longer logged into iGroup</t>
  </si>
  <si>
    <t>Unmap iSCSI LUNs. Verify all LUNs are unmapped.</t>
  </si>
  <si>
    <t>Netapp - Cutover CIFS DR</t>
  </si>
  <si>
    <t>Delete temp cDOT CIFS Server</t>
  </si>
  <si>
    <t>Apply 7MTT Configuration</t>
  </si>
  <si>
    <t>Complete 7MTT Transition</t>
  </si>
  <si>
    <t>Clean-Up Temp IPv4 - PRD</t>
  </si>
  <si>
    <t>Clean-Up Temp IPv4 - DR</t>
  </si>
  <si>
    <t>Grant admin access to data LIF - PRD</t>
  </si>
  <si>
    <t>Grant admin access to data LIF - DR</t>
  </si>
  <si>
    <t>Grant admin access to local Admins</t>
  </si>
  <si>
    <t>Enable Production Backups - Enable Production site - Local Snapshots</t>
  </si>
  <si>
    <t>Enable Production Backups - Set snapshot policy on the vserver for Production Site</t>
  </si>
  <si>
    <t>Enable Production Backups - Clean up transition snapshot policies on the vserver for Production Site</t>
  </si>
  <si>
    <t>Enable Production Backups - Create SnapVault relationship for Production Site</t>
  </si>
  <si>
    <t>Enable DR Shares + Backups</t>
  </si>
  <si>
    <t>Storage Efficiencies -Turn confirmations off</t>
  </si>
  <si>
    <t>Storage Efficiencies -Ensure volumes are thin provisioned</t>
  </si>
  <si>
    <t>Storage Efficiencies -Ensure inline efficiencies are enabled</t>
  </si>
  <si>
    <t>Storage Efficiencies -Delete 7-mode snapshots</t>
  </si>
  <si>
    <t>Storage Efficiencies -Turn confirmations back on</t>
  </si>
  <si>
    <t>Storage Efficiencies -Run background compression scanner</t>
  </si>
  <si>
    <t>Storage Efficiencies -Schedule  background deduplication scan</t>
  </si>
  <si>
    <t>Storage Efficiencies -Schedule background compaction scanner</t>
  </si>
  <si>
    <t>Refer Windows Teams</t>
  </si>
  <si>
    <t>Redirect Users to 7mode vFiler</t>
  </si>
  <si>
    <t>Reboot the Target Servers and check everything comes up clean</t>
  </si>
  <si>
    <t>Post Migration activity - Smoke test</t>
  </si>
  <si>
    <t>Verify the status of infrastructure services like AD/ DNS / Backup etc…</t>
  </si>
  <si>
    <t>Capture post migration artifacts and share to test manager</t>
  </si>
  <si>
    <t>Post Migration Activities</t>
  </si>
  <si>
    <t xml:space="preserve">Verify Virtual Machine is Powered-on at target site VCenter </t>
  </si>
  <si>
    <t>Validate VM Name,VMDK,NIC,Port Group,CPU,Memory,Data Store,ESXi Host</t>
  </si>
  <si>
    <t>Validate RDP /SSH Accessibility</t>
  </si>
  <si>
    <t>Check NIC Network Configuration (IP/SM/GW/DNS Etc..)</t>
  </si>
  <si>
    <t xml:space="preserve">Ensure Latest and compatible VMware Tools Installed </t>
  </si>
  <si>
    <t xml:space="preserve">Check and verify static route configuration using Route Print command </t>
  </si>
  <si>
    <t xml:space="preserve">Check and activate windows operating system license if not activated </t>
  </si>
  <si>
    <t>Check and verify Domain Integration status</t>
  </si>
  <si>
    <t>Check and compare infrastructure automatic services status</t>
  </si>
  <si>
    <t>Check Event Logs and Ensure there is no critical alert message's</t>
  </si>
  <si>
    <t xml:space="preserve">Validate and compare Disk Layout and enable online if it's disk are offline state </t>
  </si>
  <si>
    <t xml:space="preserve">Perform nslookup and make sure all DNS record are updated in target site </t>
  </si>
  <si>
    <t>Check and Validate NTP server Configuration for Time Sync</t>
  </si>
  <si>
    <t>B9</t>
  </si>
  <si>
    <t>CHECKPOINT - GO or NO-GO decision - Infrastructure Migration Completion</t>
  </si>
  <si>
    <t>Application Verification and Testing</t>
  </si>
  <si>
    <t xml:space="preserve">Application Verification and Testing </t>
  </si>
  <si>
    <t>B10</t>
  </si>
  <si>
    <t>CHECKPOINT - GO or NO-GO Decision - Overall (Migration) Application Verification Completion</t>
  </si>
  <si>
    <t xml:space="preserve">Cutover: Handover migrated servers to IBM BAU team for reactive support </t>
  </si>
  <si>
    <t>Perform Tools installation / uninstallation (IBM BAU to provide the detailed tasks)</t>
  </si>
  <si>
    <t>Enable the monitoring and schedule the backups</t>
  </si>
  <si>
    <t>Change Failback Plan</t>
  </si>
  <si>
    <t>C1</t>
  </si>
  <si>
    <t>Task</t>
  </si>
  <si>
    <t>Confirm the fallback server list – "FAILBACK"</t>
  </si>
  <si>
    <t xml:space="preserve">Shut down the "FAILBACK" target servers </t>
  </si>
  <si>
    <t>Bring up the "FAILBACK" source servers in respective DC</t>
  </si>
  <si>
    <t>Perform infrastructure verification to all the servers</t>
  </si>
  <si>
    <t>Perform application verification to all the servers</t>
  </si>
  <si>
    <t>TAC WorkSafe App</t>
  </si>
  <si>
    <t>Change Testing Plan</t>
  </si>
  <si>
    <t>Successful (Y/N)</t>
  </si>
  <si>
    <t>Smoke Test \ Initial test post migration</t>
  </si>
  <si>
    <t>IBM- CMF</t>
  </si>
  <si>
    <t>Infrastructure verification</t>
  </si>
  <si>
    <t>IBM- IMI</t>
  </si>
  <si>
    <t>Application verification</t>
  </si>
  <si>
    <t>https://ibm-anthem.transitionmanager.net/tdstm/module/auth/login</t>
  </si>
  <si>
    <r>
      <t xml:space="preserve">Use shared view: </t>
    </r>
    <r>
      <rPr>
        <sz val="12"/>
        <color rgb="FF0070C0"/>
        <rFont val="Calibri"/>
        <family val="2"/>
      </rPr>
      <t>Migration Event - Scope view</t>
    </r>
  </si>
  <si>
    <t xml:space="preserve"> Event </t>
  </si>
  <si>
    <t>Cutover Date</t>
  </si>
  <si>
    <t>Application Name</t>
  </si>
  <si>
    <t>Application Owner</t>
  </si>
  <si>
    <t>IT Support Manager</t>
  </si>
  <si>
    <t>SME</t>
  </si>
  <si>
    <t>Support Group DL</t>
  </si>
  <si>
    <t>Source Location</t>
  </si>
  <si>
    <t>Type
App/DB</t>
  </si>
  <si>
    <t>Operating System</t>
  </si>
  <si>
    <t>Target Data Center</t>
  </si>
  <si>
    <t xml:space="preserve">Target IPs </t>
  </si>
  <si>
    <t>Target Subnet</t>
  </si>
  <si>
    <t>Target Gateway</t>
  </si>
  <si>
    <t>Storage Space</t>
  </si>
  <si>
    <t>Comments</t>
  </si>
  <si>
    <r>
      <rPr>
        <b/>
        <u/>
        <sz val="16"/>
        <color rgb="FF0563C1"/>
        <rFont val="Calibri"/>
        <family val="2"/>
      </rPr>
      <t>Kyndryl SharePoint link:</t>
    </r>
    <r>
      <rPr>
        <u/>
        <sz val="16"/>
        <color rgb="FF0563C1"/>
        <rFont val="Calibri"/>
        <family val="2"/>
        <charset val="1"/>
      </rPr>
      <t xml:space="preserve"> https://kyndryl.sharepoint.com/sites/AnthemMigrationProject</t>
    </r>
  </si>
  <si>
    <t>Milestone tracker item</t>
  </si>
  <si>
    <t>Cutover Date:</t>
  </si>
  <si>
    <t>Running Delivery Avg.</t>
  </si>
  <si>
    <t>Week</t>
  </si>
  <si>
    <t>Task ID</t>
  </si>
  <si>
    <t>Migration Tool</t>
  </si>
  <si>
    <t>Task Name</t>
  </si>
  <si>
    <t>Task Description</t>
  </si>
  <si>
    <t>Dependency</t>
  </si>
  <si>
    <t>Team
(Responsible)</t>
  </si>
  <si>
    <t xml:space="preserve">Date Completed </t>
  </si>
  <si>
    <t>Focal Name</t>
  </si>
  <si>
    <t>Link Reference</t>
  </si>
  <si>
    <t>Date completed</t>
  </si>
  <si>
    <t>Pre Migration Tasks</t>
  </si>
  <si>
    <t>T - 9</t>
  </si>
  <si>
    <t>T-9.01</t>
  </si>
  <si>
    <t>Zerto/Carbonite/Global mirror</t>
  </si>
  <si>
    <t>Open</t>
  </si>
  <si>
    <t>Scope Review</t>
  </si>
  <si>
    <t>Review the scope in TM, identify Application Owners</t>
  </si>
  <si>
    <t>TM Extract</t>
  </si>
  <si>
    <t>Kyndryl Migration PM</t>
  </si>
  <si>
    <t>Transition Manager</t>
  </si>
  <si>
    <t>T-9.02</t>
  </si>
  <si>
    <t>Cloudscape Check</t>
  </si>
  <si>
    <t xml:space="preserve">Communicate with Discovery team (Anthem-CMM-Discovery Team &lt;Anthem-CMM-Discovery@kyndryl.com&gt;)  and your squad to discuss the scope - Ask Discovery Team if the scope  servers are discoverable using Cloudscape </t>
  </si>
  <si>
    <t>T-9.03</t>
  </si>
  <si>
    <t>Initial Contact IT Owner</t>
  </si>
  <si>
    <t>Initial Contact IT Owner - Send an introductory email including AAQs to the app owners to confirm the scope and the proposed date for migration</t>
  </si>
  <si>
    <t>AD&amp;AI Migration Team - Elevance Health - Application Questionnaire Template - All Documents (sharepoint.com)</t>
  </si>
  <si>
    <t>AD&amp;AI Migration Team - Elevance Health - Introductory Mail to app owners</t>
  </si>
  <si>
    <t xml:space="preserve">Compare app owners and SME's listed in TM with the app owner/IT owner in TOC and determine mismatches.  Consider contacting both TM &amp; TOC owners to see who is the actual owner. Also please use Skype and or Teams to contact Elevane Health resources. Other option is to check with the Middleware team (Paul and Anil) to identify a contact person for the application.
Sharepoint link: </t>
  </si>
  <si>
    <t>T-9.04</t>
  </si>
  <si>
    <t>Daily Squad Meeting</t>
  </si>
  <si>
    <t>Initial meeting with Squad and setup daily ME call</t>
  </si>
  <si>
    <t>T-9.05</t>
  </si>
  <si>
    <t>Architect Workbook Generation</t>
  </si>
  <si>
    <t>Migration Event Workbook generation, including VIPs and NATs</t>
  </si>
  <si>
    <t>Kyndryl Migration Architects</t>
  </si>
  <si>
    <t>https://kyndryl.box.com/s/yl6jb8ytdlbzdl7ki2q4qtwzoe53idub</t>
  </si>
  <si>
    <t>F5 - https://w3.ibm.com/ocean/w3publisher/anthem-cirrus-data-migration/migration-from-anthem/1-pre-migration-processes/f5-and-vip-lb-process
NAT - https://w3.ibm.com/ocean/w3publisher/anthem-cirrus-data-migration/migration-from-anthem/1-pre-migration-processes/external-nat-ip-connection
Point to the Public &amp; Private Links below
Public links (all of Migration)
F5's - 
https://w3.ibm.com/ocean/w3publisher/anthem-cirrus-data-migration/migration-from-anthem/1-pre-migration-processes/f5-and-vip-lb-process
NAT - 
https://w3.ibm.com/ocean/w3publisher/anthem-cirrus-data-migration/migration-from-anthem/1-pre-migration-processes/external-nat-ip-connection
Private links (accessible by Migration architects only ) - 
https://w3.ibm.com/w3publisher/anthem-migration-architects-workspace/migration-to-ibm-private-hosting/appviewx-f5-lb
https://w3.ibm.com/w3publisher/anthem-migration-architects-workspace/migration-to-ibm-private-hosting/nat</t>
  </si>
  <si>
    <t>T - 8</t>
  </si>
  <si>
    <t>T-8.01</t>
  </si>
  <si>
    <t>Global Mirror (AIX)</t>
  </si>
  <si>
    <t>Flashcopy Software Check</t>
  </si>
  <si>
    <t xml:space="preserve">Confirm if any of the AIX servers have flashcopy software running on them </t>
  </si>
  <si>
    <t>Include Scott Martino if you have flashcopy running and setup a meeting with Scott &amp; SAN Team (Arun &amp; Nawaid)</t>
  </si>
  <si>
    <t xml:space="preserve">T - 8 </t>
  </si>
  <si>
    <t>T-8.02</t>
  </si>
  <si>
    <t>Enterprise Release Calendar Check</t>
  </si>
  <si>
    <t>Compare the event date with the Enterprise Release calendar (link in column I)</t>
  </si>
  <si>
    <t>2023 Enterprise Release Calendar (sharepoint.com)</t>
  </si>
  <si>
    <t>T-8.03</t>
  </si>
  <si>
    <t>Application Environment Check</t>
  </si>
  <si>
    <t>Discuss within the team if another environment is already being migrated by another Migration PM</t>
  </si>
  <si>
    <t>Search St Louis &amp; Richmond/Harrisonburg TM instances for app name (including -DEV, -Test, -SIT, -Perf, -Prod, etc) to determine which environments exist, which ones have moved already, which ones are in other planned events, etc.</t>
  </si>
  <si>
    <t>T - 7</t>
  </si>
  <si>
    <t>T-7.01</t>
  </si>
  <si>
    <t>Kick Off Meeting</t>
  </si>
  <si>
    <t xml:space="preserve">Kick Off Meeting with App Teams. Review wave scope and change freeze policy (policy is in the change tracker). Invite Hamidzada, Mirwais &lt;mirwais.hamidzada@elevancehealth.com&gt; from Elevance Health Secuirity team
</t>
  </si>
  <si>
    <t xml:space="preserve">Elevance Health - Kick off Deck Template </t>
  </si>
  <si>
    <t>AD&amp;AI Migration Team - Elevance Health - Distribution Lists</t>
  </si>
  <si>
    <t>T-7.02</t>
  </si>
  <si>
    <t>DB Team Engagement</t>
  </si>
  <si>
    <t>Engage DB team in case DB is connected to application</t>
  </si>
  <si>
    <t>DB Contacts (sharepoint.com)</t>
  </si>
  <si>
    <t>*Open Service Request to get DBAs assigned.
Send an mail to Martha Wherry to assign a DB resource.</t>
  </si>
  <si>
    <t>T-7.03</t>
  </si>
  <si>
    <t>Get VM Scans</t>
  </si>
  <si>
    <t>Send scope to Security focal / Vulnerabilities team to get VM scans</t>
  </si>
  <si>
    <t>VM - Vulnerability Scans (sharepoint.com)</t>
  </si>
  <si>
    <t>T-7.04</t>
  </si>
  <si>
    <t xml:space="preserve">Scope Confirmation: Escalate </t>
  </si>
  <si>
    <t>If no response after following up (follow up email, try to contact them via Skype, Teams or Slack) on the scope confirmation with the Application Owners, Migration PM will escalate to Leads/Jennifer via email so we can have the Application Teams escalated to Bill Anderson.</t>
  </si>
  <si>
    <t>Please exhaust all means to get in contact with Application Owners before escalating with Lead team.</t>
  </si>
  <si>
    <t>T - 6</t>
  </si>
  <si>
    <t>T-6.01</t>
  </si>
  <si>
    <t>Confirm Cloudscape is Licensed on servers and all squad SME's have access</t>
  </si>
  <si>
    <t>Confirm all servers in scope are license in Cloudscape and make sure AIX and PowerLinux are accesible</t>
  </si>
  <si>
    <t>Kyndryl Migration SME</t>
  </si>
  <si>
    <t>T-6.02</t>
  </si>
  <si>
    <t>Share Scope - AIX BAU Team</t>
  </si>
  <si>
    <t>Sending Scope to GM Storage and AIX BAU teams Team w/out Target IPs - Confirm if has Clusters</t>
  </si>
  <si>
    <t>T-6.03</t>
  </si>
  <si>
    <t>Confirm Scope - Update TM</t>
  </si>
  <si>
    <r>
      <t xml:space="preserve">Confirm server scope and update TM validation fields in server, application and dependencies as: </t>
    </r>
    <r>
      <rPr>
        <b/>
        <sz val="12"/>
        <rFont val="Arial"/>
        <family val="2"/>
      </rPr>
      <t>Validated</t>
    </r>
  </si>
  <si>
    <t>Check with app owner: App freeze: Are there any release or in-flight project planned?
Update Transition Manager application to server connections. Update validation fields.
Please send an email to the Application Teams and inform them that the servers in scope should not change any HW or Configuration changes during the pre-migraion period, cutover and hypercare period. (Freeze period)</t>
  </si>
  <si>
    <t>T-6.04</t>
  </si>
  <si>
    <t>Target IPs for AIX &amp; Physical servers - Request</t>
  </si>
  <si>
    <t>Request target IPs for AIX &amp; Physical servers</t>
  </si>
  <si>
    <t>Kyndryl Migration Architect
Kyndryl Migration SME</t>
  </si>
  <si>
    <t>https://w3.ibm.com/ocean/w3publisher/anthem-cirrus-data-migration/migration-from-anthem/1-pre-migration-processes/target-ip-request</t>
  </si>
  <si>
    <t>Please see "Link Reference" column for instructions to request target IPs</t>
  </si>
  <si>
    <t>T-6,05</t>
  </si>
  <si>
    <t>Test Cases -  Begin - App Owner Perform</t>
  </si>
  <si>
    <t>Inform App owner to Run and Document Test cases. (In case, Performance team is involved, engage them).
NOTE: Mention to the Application Owners that there is a risk  not to capture all Firewall Port requirered for this application to work properly if test cases are not completed during T-5</t>
  </si>
  <si>
    <t>Note: Test cases will be the same activities perfomed in the App testing once the servers are migrated.
We need to ask to the Application Team to run Test Cases 2 times during premigration and 1 after migration.
First time, During T-5, App. Teams is not required to provide any results from the execution of ttest cases, we just need them to excersice the application to ensure we are capturing all the inbournd/outbound information and ports.
Second time, One or two days before Cutover, this time we need to have a list of the test cases and results of the tests cases executed to test the functionality of the application after migration.
Third time, During Cutover in the Application Validation Phase, same test cases executed 1 or 2 days before Cutover have to be executed again and see if the results match thr results before migration.</t>
  </si>
  <si>
    <t>T-6.06</t>
  </si>
  <si>
    <t>Test Cases - Inform Cloudscape Team</t>
  </si>
  <si>
    <t>Notify Cloudscape team when test cases will be run</t>
  </si>
  <si>
    <t>T-6.07</t>
  </si>
  <si>
    <t>Decomm - Identify Servers</t>
  </si>
  <si>
    <t>Identify Servers that are decommissioned or is in the process to be retired.</t>
  </si>
  <si>
    <t>https://w3.ibm.com/ocean/w3publisher/anthem-cirrus-data-migration/trainings/transitionmanager-processes/sending-retired-to-get-decommed</t>
  </si>
  <si>
    <t>Please update TM accordingly.</t>
  </si>
  <si>
    <t>T-6.08</t>
  </si>
  <si>
    <t>Share Scope - Oracle DB</t>
  </si>
  <si>
    <t>Email to Gary (Oracle Team) in case any Oracle DB's running on AIX servers in scope</t>
  </si>
  <si>
    <t>gurmeet.singh@kyndryl.com</t>
  </si>
  <si>
    <t>T - 5</t>
  </si>
  <si>
    <t>T-5.01</t>
  </si>
  <si>
    <t>Server Scope - Finalize</t>
  </si>
  <si>
    <t>Finalize server scope and adhere to the scope change freeze policy in the change tracker.</t>
  </si>
  <si>
    <t>T-5.02</t>
  </si>
  <si>
    <t>Target IPs - Linux &amp; Windows Request</t>
  </si>
  <si>
    <t>Request Target IPs for Windows &amp; Linux servers</t>
  </si>
  <si>
    <t>Target IPs (sharepoint.com)</t>
  </si>
  <si>
    <t>T-5.03</t>
  </si>
  <si>
    <t>Share Scope - AIX/Build/SAN Teams</t>
  </si>
  <si>
    <t>Email to build &amp; SAN team with the scope of event and target IPs</t>
  </si>
  <si>
    <t xml:space="preserve">Migration PM to send an email to the following contacts (see contact list tab):
William Richardson
Michael Hassi
Russell Ziska
Arun Yadav
Nawaid A Khan
Marc Wright
Ameenuddin Fasiuddin </t>
  </si>
  <si>
    <t>T-5.04</t>
  </si>
  <si>
    <t>Close Application Questionnaire
(In Kyndryl &amp; Elevance Health Sharepoint)</t>
  </si>
  <si>
    <t>Close Application Questionnaire
(In Kyndryl &amp; Elevance Sharepoint)</t>
  </si>
  <si>
    <t>Kyndryl Migration PM/Architect/Application team/Middleware team</t>
  </si>
  <si>
    <t>Kyndryl Storage team and DB teams should be part of all questionnaire discussion</t>
  </si>
  <si>
    <t>T-5.05</t>
  </si>
  <si>
    <t>Vulnerability Scan #1</t>
  </si>
  <si>
    <t>As soon as scope confirmed, engage w/ Security and get Vulnerability scan</t>
  </si>
  <si>
    <t>Hamidzada, Mirwais &lt;mirwais.hamidzada@elevancehealth.com&gt;; Oates, Loretta &lt;Loretta.Oates@anthem.com&gt;; Bhavnani, Daisy &lt;Daisy.Bhavnani@anthem.com&gt;</t>
  </si>
  <si>
    <t>T-5.06</t>
  </si>
  <si>
    <t>Refresh Program - send email to Dan Reed</t>
  </si>
  <si>
    <t>Send email to Dan Reed to determine if any servers in scope for the migration event are scheduled pause the refresh of the servers being migrated until 5 days after cutover</t>
  </si>
  <si>
    <t>dan.reed@kyndryl.com
For AIX “REFRESH” add  G.Lamber.Ranjeet.Kumar@kyndryl.com;  Anandakumar.Srinivasalu@kyndryl.com
For Linux “REFRESH” add  Ramana.Ramaraju@kyndryl.com;  Meyyappan.Meyyappan1@kyndryl.com</t>
  </si>
  <si>
    <t>Refresh Program (sharepoint.com)</t>
  </si>
  <si>
    <t xml:space="preserve">Windows refresh, migration team will have no issues. For Windows Refresh we DO NOT TOUCH existing servers, we only build new servers to replace them, so no issues.
For Linux and AIX we do in-place upgrades, so these are the ones where we must coordinate efforts
</t>
  </si>
  <si>
    <t>T-5.07</t>
  </si>
  <si>
    <t>Patching - Send email to Patching Team</t>
  </si>
  <si>
    <t>Send email to patching team to get the servers patched</t>
  </si>
  <si>
    <t>Patching Schedule Process (sharepoint.com)</t>
  </si>
  <si>
    <t>Check with Patching Team contacts</t>
  </si>
  <si>
    <t>T-5.08</t>
  </si>
  <si>
    <t>Physical Server Assessment</t>
  </si>
  <si>
    <t xml:space="preserve">Please make sure you follow the new process for building the Physical servers that need to migrate as P2P:
1.    Do not send an email to Brian Walsh with the Target IPs
2.    Please fill in the Physical Server List Spreadsheet Column G, Target IP Assigned (PM/Architect) in Yellow with the Target IPs.
3.    Brian will fill out Column H, Target Built Date (Brian) in Yellow with the Date the Server is built and ready for migration.
4.    NOTE:  All the devices waiting for Target IPs for Brain are highlighted in RED.  Please provide these as soon as you have the Target IPs.
5.    Unfortunately, at this time, there are 2 SharePoint files where this is stored.  One in our Team’s SharePoint and the other in T&amp;T account Team’s SharePoint.  </t>
  </si>
  <si>
    <t>Anthem Cirrus T&amp;T Program - AD&amp;AI - Migrations Physical to Virtual Assessments</t>
  </si>
  <si>
    <t>T-5.09</t>
  </si>
  <si>
    <t>Exadata DB Tasks</t>
  </si>
  <si>
    <t>Exadata - If migrating Exadata, find out DB instance names - Send email to Shared Services DL  &amp; Jyothy to coordinate migration of DB instances and servers</t>
  </si>
  <si>
    <t>Kyndryl Migration PM/Shared Services</t>
  </si>
  <si>
    <t>Exadata (sharepoint.com)</t>
  </si>
  <si>
    <t>Coordination required with Migration Squad and Shared Services team</t>
  </si>
  <si>
    <t>T-5.10</t>
  </si>
  <si>
    <t>Illumio Ticket</t>
  </si>
  <si>
    <r>
      <t xml:space="preserve">1. Open Ticket for Illumio - Inform Sarah or Nardos of the scope, they need confirm that </t>
    </r>
    <r>
      <rPr>
        <b/>
        <sz val="12"/>
        <rFont val="Arial"/>
        <family val="2"/>
      </rPr>
      <t>Illumio</t>
    </r>
    <r>
      <rPr>
        <sz val="12"/>
        <rFont val="Arial"/>
        <family val="2"/>
      </rPr>
      <t xml:space="preserve"> is configured.  Use the scope template and ensure target ips are mentioned.  2. Have a call with Sarah Baily, and 3. Make note of Illumio resource and include them in all email chains that are related. </t>
    </r>
  </si>
  <si>
    <t>Sarah Bailey &lt;SARAH.BAILEY@anthem.com&gt;, Nados Asfaw &lt;Nardos.Asfaw@anthem.com&gt;</t>
  </si>
  <si>
    <t>Illumio Process (sharepoint.com)</t>
  </si>
  <si>
    <t xml:space="preserve">Have a call with Sarah Baily and make note of Illumio resource and include them in all email chains that are related. </t>
  </si>
  <si>
    <t>T-5.11</t>
  </si>
  <si>
    <t>App Owner - Validate Scope and AAQ discussion</t>
  </si>
  <si>
    <t xml:space="preserve">Initial Application interview meeting &amp; Validate TM information. (AAQ discussion). </t>
  </si>
  <si>
    <t>Kyndryl Migration PM /Architect/Application team/Middleware team</t>
  </si>
  <si>
    <t>T-5.12</t>
  </si>
  <si>
    <t>App Owner - SNOW Queue</t>
  </si>
  <si>
    <t>Ensure that Application team share their queue names as listed in Service now, so that a task in the cutover change can be assigned to their team</t>
  </si>
  <si>
    <t>Kyndryl Migration PM/ Application team</t>
  </si>
  <si>
    <t>Anthem App Owners</t>
  </si>
  <si>
    <t>The task will allow them to shut down app, bring up the application post migration, and troubleshoot any issues.</t>
  </si>
  <si>
    <t>T-5.13</t>
  </si>
  <si>
    <t>Performance Testing</t>
  </si>
  <si>
    <t>Engage Performance testing team</t>
  </si>
  <si>
    <t>Elevance Performance Team</t>
  </si>
  <si>
    <t>Abraham, Robert P. &lt;Robert.Abraham@anthem.com&gt;</t>
  </si>
  <si>
    <t>Only applicable to specific applications, app owner will confirm.</t>
  </si>
  <si>
    <t>T-5.14</t>
  </si>
  <si>
    <t>Share Scope - Steady State</t>
  </si>
  <si>
    <t>Share the scope servers with Steady State team. Use the scope template and ensure target ips are mentioned.</t>
  </si>
  <si>
    <t xml:space="preserve">Use contact list for Steady state team contact. (Windows, Vmware, Linux, AIX etc) </t>
  </si>
  <si>
    <t>T-5.15</t>
  </si>
  <si>
    <t>Share Scope - Middleware</t>
  </si>
  <si>
    <t xml:space="preserve">Migration team to share the scope servers with Middleware team
</t>
  </si>
  <si>
    <t>Anil Tadimalla
Paul Hutzel</t>
  </si>
  <si>
    <t>Incase they confirm that no middleware components, then no further action is required.</t>
  </si>
  <si>
    <t>T-5.16</t>
  </si>
  <si>
    <t>Middleware Exists?</t>
  </si>
  <si>
    <t>In case Middleware team confirms that the servers have middleware component, then engage them in Questionnaire discussion.</t>
  </si>
  <si>
    <t>Websphere ,ibm httpserver ,iis,weblogic</t>
  </si>
  <si>
    <t>T-5.17</t>
  </si>
  <si>
    <t>Middleware License?</t>
  </si>
  <si>
    <r>
      <t xml:space="preserve">Reminder: Identify if there is application/middleware software running on the source which has the </t>
    </r>
    <r>
      <rPr>
        <b/>
        <u/>
        <sz val="12"/>
        <rFont val="Arial"/>
        <family val="2"/>
      </rPr>
      <t>license</t>
    </r>
    <r>
      <rPr>
        <sz val="12"/>
        <rFont val="Arial"/>
        <family val="2"/>
      </rPr>
      <t xml:space="preserve"> tied to the source hardware platform (e.g. Hostid, server S/N, MAC address, RedHat, etc). </t>
    </r>
  </si>
  <si>
    <t>Elevance App Owners</t>
  </si>
  <si>
    <t>App Owners</t>
  </si>
  <si>
    <t>Note: This can be validated in the App Questionnaire, confirm App Owner/SMEs have the licenses in place. If not, then he has to speak to Bill Anderson from anthem about his licensing issues.</t>
  </si>
  <si>
    <t>T-5.18</t>
  </si>
  <si>
    <t xml:space="preserve">Storage Migration? </t>
  </si>
  <si>
    <t>Storage Team to engage APP team in case storage migration is  identified in Questionnaire discussion</t>
  </si>
  <si>
    <t>Kyndryl Migration Storage PM / Architect</t>
  </si>
  <si>
    <t>Gopi Gunnam / Alan Coker</t>
  </si>
  <si>
    <t>Notify PM: Gopi and Architect: Alan</t>
  </si>
  <si>
    <t>T-5.19</t>
  </si>
  <si>
    <t>NAS NFS shares?</t>
  </si>
  <si>
    <t xml:space="preserve">If any servers in scope are accessing NAS NFS shares, send a note to OS support team asking whether the NFS shares are exported/mounted using server hostname or server IP. In case NFS shares are exported using server IP, during migration NAS team need to update the access list with new IP. </t>
  </si>
  <si>
    <t>BAU Linux/BAU AIX</t>
  </si>
  <si>
    <t>T-5.20</t>
  </si>
  <si>
    <t>Open NAS CTASK</t>
  </si>
  <si>
    <t xml:space="preserve">Raise a CTASK in the change ticket for NAS team (NAS team queue - NAS OPEN SYSTEMS) if NFS shares are exported using server IP. Task for NAS team during migration is to update the access list with new server IP or server hostname (best practise) </t>
  </si>
  <si>
    <t>T-5.21</t>
  </si>
  <si>
    <t>AIX - Details for Build</t>
  </si>
  <si>
    <t>Gather below details for build team and storage team from source AIX LPAR
1) configuration details of LPARs and their LUN capacity
2) Gather LVM configurations(VG, PV with corresponding PV ID)
3) Capture NFS mount point details and keep them handy for the cut-over
4) Run the below attached Pre SMT script to capture current state and put it on Box
5) Document the existing OS configuration settings on the source AIX LPAR &amp; Power Linux VM and keep it handy .
# lsdev -Cc iocp
# vmo -a -F -r | egrep 'lru_file_repage|lru_poll_interval|maxperm%|maxclient%|minperm%|strict_maxperm|strict_maxclient|minfree|maxfree'
# lsattr -El sys0 -a maxuproc
# lsattr -El fcsciX | egrep 'fc_err_recov|dyntrk' (only applicable for physical AIX servers)
6) Is Illumio tool installed on the servers - Yes or No</t>
  </si>
  <si>
    <t>Kyndryl BAU AIX</t>
  </si>
  <si>
    <t>Migration PM will send email:
For AIX:
rajasekar.subburaj@kyndryl.com
syed.murthuja.vali@kyndryl.com
naveen.kumar1111@kyndryl.com</t>
  </si>
  <si>
    <t>T-5.22</t>
  </si>
  <si>
    <t>AIX - part of cluster?</t>
  </si>
  <si>
    <t xml:space="preserve">Check with BAU AIX team if any of the AIX servers in Event scope are part of any kind of cluster </t>
  </si>
  <si>
    <t>Migration PM will send email:
For AIX:
arun.yadav@kyndryl.com
nawkhan@kyndryl.com
marc.wright@kyndryl.com</t>
  </si>
  <si>
    <t>T-5.23</t>
  </si>
  <si>
    <t>PowerVM - Details for Build</t>
  </si>
  <si>
    <t>Gather below details for build team and storage team from source Power Linux VM
1) configuration details of Power Linux VM and their LUN capacity
2) Gather LVM configurations(VG, PV with corresponding PV ID)
3) Capture NFS mount point details and keep them handy for the cut-over
4) Is Illumio tool installed on the servers - Yes or No</t>
  </si>
  <si>
    <t>Migration PM will send email:
For Linux:
Suresh.R@kyndryl.com</t>
  </si>
  <si>
    <t>T - 4</t>
  </si>
  <si>
    <t>T-4.01</t>
  </si>
  <si>
    <t>Vulnerability Scan #2 and send Target IPs to Security</t>
  </si>
  <si>
    <t>Request new Vulnerability scan of all apps/VM's (send to request to Kiran Alby and include dl-vm@anthem.com), then send results to app owners, asking them to remediate or open exceptions.  Update vulnerability status sheet and track their responses, recording the CR/REQ numbers for the remediation requests to the OS, MW, and/or DB teams and record any exception numbers submitted by the App owner/SMEs.  Status sheet will be sent to Anthem Security in T-2.</t>
  </si>
  <si>
    <t>T-4.02</t>
  </si>
  <si>
    <t>Test Cases -  End - App Owner Completed Test Cases</t>
  </si>
  <si>
    <t>App owner has completed their Test cases. This will have now been captured by Cloudscape</t>
  </si>
  <si>
    <t>T-4.03</t>
  </si>
  <si>
    <t>Track Physical Server Build</t>
  </si>
  <si>
    <t>Follow the Build of the Target Physical Server(s)</t>
  </si>
  <si>
    <t xml:space="preserve">Contacts for P2P Build:
Brian Walsh - Brian.Walsh@kyndryl.com 
Patricia Ford - Patricia.E.Ford@kyndryl.com </t>
  </si>
  <si>
    <t>AD&amp;AI Migration Team - Elevance Health - Physical Servers P2P or P2V Assessment</t>
  </si>
  <si>
    <t>T-4.04</t>
  </si>
  <si>
    <t>Zerto/Carbonite</t>
  </si>
  <si>
    <t>BAU Screenshots -  info for BAU SMEs - artifacts needed, including storage for Physical servers</t>
  </si>
  <si>
    <t>SMEs will send email request for artifacts. Script for both Linux and Windows, example output attached &amp; storage for Physical servers with command/scripts shared by Elumalai Govindan</t>
  </si>
  <si>
    <t>Kyndryl Migration SMEs/ Kyndryl BAU Team</t>
  </si>
  <si>
    <t>Physical server command/scripts shared by Elumalai: Elevance Health - under Artifacts in the MEA# Folder</t>
  </si>
  <si>
    <t>T-4.05</t>
  </si>
  <si>
    <t>Upload artifacts to Sharepoint, send link to Elumalai Govindan</t>
  </si>
  <si>
    <t>Screenshot to be captured and uploaded to Sharepoint (Script for both Linux and WIndows, example output attached and storage for physical devices). Create folder for Physical servers in Event Folder under Artifacts. Link to Sharepoint folder will be sent to Elumalai Govindan &lt;Elumalai.Govindan@kyndryl.com&gt; with CC: to meyyappan.meyyappan1@kyndryl.com</t>
  </si>
  <si>
    <t>Kyndryl Migration SMEs</t>
  </si>
  <si>
    <t>Event folder: Elevance Health - MIGRATION EVENTS - HARRISONBURG &amp; RICHMOND</t>
  </si>
  <si>
    <t>Upload to Sharepoint folder for the Migration Event</t>
  </si>
  <si>
    <t>T-4.06</t>
  </si>
  <si>
    <t>Cloudscape Report</t>
  </si>
  <si>
    <t>Collect Cloudscape data and generate report (Test Cases must be finished)</t>
  </si>
  <si>
    <t>Review CS report w app owners - FW Ports Identified
Save in Box under your event folder.</t>
  </si>
  <si>
    <t>T-4.07</t>
  </si>
  <si>
    <t>Request VIPs</t>
  </si>
  <si>
    <t>Once Servers' Target IPs are received: 
-Request target VIP IPs</t>
  </si>
  <si>
    <t>F5's, VIP's, LB's (sharepoint.com)</t>
  </si>
  <si>
    <t>T-4.08</t>
  </si>
  <si>
    <t>Validate Target Config</t>
  </si>
  <si>
    <t>Validate Target configuration of LPARs &amp; Power Linux VMs</t>
  </si>
  <si>
    <t xml:space="preserve">Please proceed with this task for AIX servers in scope. </t>
  </si>
  <si>
    <t>T-4.09</t>
  </si>
  <si>
    <t>Target Access</t>
  </si>
  <si>
    <t>Raise a request for Target access (HMC)</t>
  </si>
  <si>
    <t>Please proceed with this task for AIX servers in scope. 
This is a ONE-TIME-TASK. Only needed for the first event with AIX servers in scope.</t>
  </si>
  <si>
    <t>T-4.10</t>
  </si>
  <si>
    <t>SRF SNOW Ticket - Global Mirror</t>
  </si>
  <si>
    <t>Build SA to share the SRF over a SNOW ticket to the Storage team. Global mirror team will receive this ticket.</t>
  </si>
  <si>
    <t xml:space="preserve">Please proceed with this task for AIX servers in scope.
VIO SERVER NAME, LUN INFO, Mapping details , Rootvg volume group LUN ID </t>
  </si>
  <si>
    <t>T-4.11</t>
  </si>
  <si>
    <t>SRF SNOW Ticket - PowerLinux</t>
  </si>
  <si>
    <t>Linux SME to share the SRF over a SNOW ticket to the Storage team for Power Linux servers. Global mirror team will receive this ticket.</t>
  </si>
  <si>
    <t>Suresh R13</t>
  </si>
  <si>
    <t>T-4.12</t>
  </si>
  <si>
    <t>Confirm Target Access</t>
  </si>
  <si>
    <t>Validate Target access for SME's - Migration</t>
  </si>
  <si>
    <t>Please proceed with this task for AIX servers in scope. (ONE-TIME task)</t>
  </si>
  <si>
    <t>T-4.13</t>
  </si>
  <si>
    <t>Local account AIX</t>
  </si>
  <si>
    <t>Create local service/root account with sudo access for Migration AIX SME</t>
  </si>
  <si>
    <t>AOC Team</t>
  </si>
  <si>
    <t>T-4.14</t>
  </si>
  <si>
    <t>Patching Schedule Check</t>
  </si>
  <si>
    <t>Once the event scope is defined, check the patching Schedule report &amp; the Patching Calendar process document. If the servers in the Migration Event do not overlap with any of the servers in scheduled for patching, you may proceed with planning the event.
If the patching schedule overlaps with any of the servers in your scope, send an email to the patching team requesting to reschedule the patching of the servers at least 2 weeks before the cutover day. </t>
  </si>
  <si>
    <t>Patching Schedule Process</t>
  </si>
  <si>
    <t>T-4.15</t>
  </si>
  <si>
    <t>Share Scope - Security</t>
  </si>
  <si>
    <t>Share the application and server list with Security team on process document). Use the scope template and ensure target IPs are provided</t>
  </si>
  <si>
    <t>Kyndryl Migration PM/Elevance Security team</t>
  </si>
  <si>
    <t xml:space="preserve">Brenda, Darryl, Mirwais, Jerry, Ian </t>
  </si>
  <si>
    <t>Security Requirement Checks/Illumio</t>
  </si>
  <si>
    <t xml:space="preserve">For any queries, reach to the following Contacts:
Windows:     Pragash.Rajagandan@kyndryl.com
Linux:      Maheshwari.Ramanathan@kyndryl.com 
Unix:       Laxmi.Manikantan@kyndryl.com </t>
  </si>
  <si>
    <t>T-4.16</t>
  </si>
  <si>
    <t>Share Scope - Control-M</t>
  </si>
  <si>
    <t>Share the Server scope with the Control -M team, for them to check if Control- M jobs are running and if there are any issues with licensing. Use the scope template and ensure target ips are mentioned</t>
  </si>
  <si>
    <t>dl-controlmadmin &lt;dl-controlmadmin@anthem.com&gt;
 "Hines, Sharon" &lt;Sharon.Hines@anthem.com&gt;</t>
  </si>
  <si>
    <t>Plese obtain confirmation from the team.
This is a validation, no action required unless mentioned by Control M team, post migration, the Control M team needs to verify that they can connect to the server.
To avoid confusions with the Control-M Team, please refer to the "IBM Cloud" as "IBM Cloud-Single Tenant".</t>
  </si>
  <si>
    <t>T-4.17</t>
  </si>
  <si>
    <t>Share Scope - Baas Team</t>
  </si>
  <si>
    <r>
      <t xml:space="preserve">Share the Servers list and target IP address with </t>
    </r>
    <r>
      <rPr>
        <b/>
        <sz val="12"/>
        <rFont val="Arial"/>
        <family val="2"/>
      </rPr>
      <t>Target Backup team/Baas team.</t>
    </r>
    <r>
      <rPr>
        <sz val="12"/>
        <rFont val="Arial"/>
        <family val="2"/>
      </rPr>
      <t xml:space="preserve"> Use the scope template and ensure target ips are mentioned (15  days prior to migration) </t>
    </r>
    <r>
      <rPr>
        <b/>
        <sz val="12"/>
        <rFont val="Arial"/>
        <family val="2"/>
      </rPr>
      <t>**NOTE**</t>
    </r>
    <r>
      <rPr>
        <sz val="12"/>
        <rFont val="Arial"/>
        <family val="2"/>
      </rPr>
      <t xml:space="preserve"> if a VM/LPAR is running DB2, then the TSM API will need to be altered after migration as well, to properly backup the DB2 instance.</t>
    </r>
  </si>
  <si>
    <t>Backup Considerations</t>
  </si>
  <si>
    <t>T-4.18</t>
  </si>
  <si>
    <t>Share Scope - Migration Leads</t>
  </si>
  <si>
    <t>Share the application and server list with Kyndryl Migration Leads, to share with Elevance Health Program team, so that we can get approval from Business heads for that application team. Use the scope template and ensure target IPs are provided</t>
  </si>
  <si>
    <t>Kyndryl Migration Leads</t>
  </si>
  <si>
    <t>Jennifer/Angelina/Mounir/Sri/Keiko</t>
  </si>
  <si>
    <t>T-4.19</t>
  </si>
  <si>
    <t>Fill Scope in Runbook</t>
  </si>
  <si>
    <t>Draft Runbook with scope details should be posted in Kyndryl &amp; Elevance Health Sharepoint sites</t>
  </si>
  <si>
    <t>AD&amp;AI Migration Team - Elevance Health - MIGRATION EVENTS - HARRISONBURG &amp; RICHMOND</t>
  </si>
  <si>
    <r>
      <rPr>
        <sz val="12"/>
        <rFont val="Arial"/>
        <family val="2"/>
      </rPr>
      <t>Share point link: Open in Elevance network:</t>
    </r>
    <r>
      <rPr>
        <u/>
        <sz val="12"/>
        <color theme="10"/>
        <rFont val="Arial"/>
        <family val="2"/>
      </rPr>
      <t xml:space="preserve"> https://share.antheminc.com/teams/DDCS/IBM%20Data%20Center%20Migration/Forms/AllItems.aspx</t>
    </r>
  </si>
  <si>
    <t>T-4.20</t>
  </si>
  <si>
    <t>Carbonite</t>
  </si>
  <si>
    <t>Carbonite Migrate Console login check</t>
  </si>
  <si>
    <t>Carbonite Migrate Console server login information, Vcenter, ESXi added to Console – Check</t>
  </si>
  <si>
    <t>Please proceed with this task if you are using Carbonite as Migration Tool for servers part of your event.</t>
  </si>
  <si>
    <t>T-4.21</t>
  </si>
  <si>
    <t>Carbonite Firewall Check</t>
  </si>
  <si>
    <t xml:space="preserve">The firewall must be updated to allow Carbonite to communicate with its replication partners – Telnet/Portquery Test Check
Console Server → Source Server
Console Server → Target vCenter
Console Server → Target (P2P)
Source Server → Target (P2P) </t>
  </si>
  <si>
    <t>T-4.22</t>
  </si>
  <si>
    <t>Check Health Status</t>
  </si>
  <si>
    <t>Check health status of carbonite windows console server, recovery appliance status in Kyndryl Cloud infra and access level</t>
  </si>
  <si>
    <t>T-4.23</t>
  </si>
  <si>
    <t>Carbonite Target Ip Configuration</t>
  </si>
  <si>
    <t>Target IP configuration is applying to "Bond" ( Teaming Adapter) which need to be reconfigured in target to the correct Network Interface(ex.. eth0)</t>
  </si>
  <si>
    <t>Please proceed with this task if you are using Carbonite as Migration Tool for servers part of your event.
This task applies for Linux servers.</t>
  </si>
  <si>
    <t>T-4.24</t>
  </si>
  <si>
    <t>Network Boot - Check Servers</t>
  </si>
  <si>
    <t>Check if servers are configured with Network boot option and capture Network boot path to reconfigure in Target.</t>
  </si>
  <si>
    <t>T-4.25</t>
  </si>
  <si>
    <t>Capture Multipath</t>
  </si>
  <si>
    <t>Capture Multipath and file system created under multipath also EFI boot path file location to configure in target.</t>
  </si>
  <si>
    <t>T-4.26</t>
  </si>
  <si>
    <t>Zerto</t>
  </si>
  <si>
    <t>Zerto Migration Tool Checks</t>
  </si>
  <si>
    <t xml:space="preserve">1.Migration tool related checks - Zerto
2.BAU team to validate in vcenter if VM reside in zerto (vra host)
3.Incase the VM is not present, migrate it to the Zerto VRA instance host
4.Is there any host affinity virtual machine which is being migrated
</t>
  </si>
  <si>
    <t>Kyndryl Migration SME/Kyndryl BAU Team</t>
  </si>
  <si>
    <t>T-4.27</t>
  </si>
  <si>
    <t>Zerto VM Tools</t>
  </si>
  <si>
    <t>5.Validate VM tools installed and in running status 
6. Update older version of VM tools</t>
  </si>
  <si>
    <t>T-4.28</t>
  </si>
  <si>
    <t>Verify Server Reboots</t>
  </si>
  <si>
    <t>Verify if Server Reboots are required. (All servers need to be properly rebooted at least 30 days prior migration).</t>
  </si>
  <si>
    <t>T-4.29</t>
  </si>
  <si>
    <t>Reboot Ticket</t>
  </si>
  <si>
    <t>In case, reboot is required, raise change for reboot</t>
  </si>
  <si>
    <t>Elevance / Kyndryl BAU Team</t>
  </si>
  <si>
    <t>T-4.30</t>
  </si>
  <si>
    <t>BAU Premigration Task</t>
  </si>
  <si>
    <t>BAU team to complete Pre-migration task for Window/Linux teams</t>
  </si>
  <si>
    <t>Kyndryl BAU Teams</t>
  </si>
  <si>
    <t>Detailed task included in BAU task template</t>
  </si>
  <si>
    <t>T-4.31</t>
  </si>
  <si>
    <t>Network Teaming</t>
  </si>
  <si>
    <t>Ensure Network Teaming / Bridge settings are applied in Target server as per source configuration - If Applicable</t>
  </si>
  <si>
    <t>Kyndryl BAU Teams / Build Team</t>
  </si>
  <si>
    <t>Please proceed with this task if you are using Carbonite as Migration Tool for servers part of your event. (P2P ONLY)</t>
  </si>
  <si>
    <t>T-4.32</t>
  </si>
  <si>
    <t>Remote Control Access</t>
  </si>
  <si>
    <t>Ensure Source and Target Physical servers are having Remote Console Access (iLO,IMM or DRAC)</t>
  </si>
  <si>
    <t>Please proceed with this task if you are using Carbonite as Migration Tool for servers part of your event. (P2P and P2V)</t>
  </si>
  <si>
    <t>T-4.33</t>
  </si>
  <si>
    <t>Test Cases: AppOwners  Complete  Test Cases</t>
  </si>
  <si>
    <t>Ensure that Application Test Cases/Plan have been run and documented. (App team to document current app issues).</t>
  </si>
  <si>
    <t xml:space="preserve">App Owners/SMEs </t>
  </si>
  <si>
    <t>Suggest app owners to document the test cases, as source will be shutdown during migration, and they need to rely on test cases for reference</t>
  </si>
  <si>
    <t>T-4.34</t>
  </si>
  <si>
    <t>Application Questionnaire</t>
  </si>
  <si>
    <t>Validate Application Questionnaire/Interview meetings have been completed</t>
  </si>
  <si>
    <t>Kyndryl Migration PM /Architect</t>
  </si>
  <si>
    <t>Save the questionnaire on BOX</t>
  </si>
  <si>
    <t>T-4.35</t>
  </si>
  <si>
    <t>Review Cloudscape Report</t>
  </si>
  <si>
    <t xml:space="preserve">Review/discuss Cloudscape data and confirm ports with app owner. </t>
  </si>
  <si>
    <t>Kyndryl Migration Architects /Application team</t>
  </si>
  <si>
    <t>T-4.36</t>
  </si>
  <si>
    <t>Zerto Target Access</t>
  </si>
  <si>
    <t>Check access at Target for Zerto</t>
  </si>
  <si>
    <t>T-4.37</t>
  </si>
  <si>
    <t>Create F5/LB/VIP config</t>
  </si>
  <si>
    <t>Once Target F5/VIP IPs are received, create target F5/VIP configuration</t>
  </si>
  <si>
    <t>Kyndryl Migration Architect</t>
  </si>
  <si>
    <t>T - 3</t>
  </si>
  <si>
    <t>T-3.01</t>
  </si>
  <si>
    <t>FW Rule Request - generated from Cloudscape</t>
  </si>
  <si>
    <t>Generate FW Rule Request using Cloudscape reports
FW Change Request: Confirm CR is opened for FW</t>
  </si>
  <si>
    <t>Kyndryl Migration PM /Migration Architect</t>
  </si>
  <si>
    <t>The implementation needs to happen after VM cutover and Security penetration testing, this is a separate FW request from the CS generated one and manual ones.</t>
  </si>
  <si>
    <t>T-3.08</t>
  </si>
  <si>
    <t>FW Rule Request - Manual</t>
  </si>
  <si>
    <t>Generate manual FW Rule Request using AAQ and App owner's Information</t>
  </si>
  <si>
    <t>T-3.09</t>
  </si>
  <si>
    <t>FW Rule Request - NAT IPs</t>
  </si>
  <si>
    <t>Send request for Target NAT IPs to FW team (not the DNS/IP team). Once Target NAT IPs are received: request FW Rules for NATs</t>
  </si>
  <si>
    <t>External NAT IP Connection Process</t>
  </si>
  <si>
    <t>This process is being reviewed</t>
  </si>
  <si>
    <t>T-3.03</t>
  </si>
  <si>
    <t>DB Analysis / Tasks</t>
  </si>
  <si>
    <t>Ensure that DB team had their task and issues if any sorted</t>
  </si>
  <si>
    <t>DB team/Steady state team</t>
  </si>
  <si>
    <t>T-3.04</t>
  </si>
  <si>
    <t xml:space="preserve">P2P - Confirm source server matches target servers  </t>
  </si>
  <si>
    <t>T-3.05</t>
  </si>
  <si>
    <t>Daily PreMigration Tasks Review</t>
  </si>
  <si>
    <t>Schedule regular Runbook reviews with SMEs for Premigration Tasks</t>
  </si>
  <si>
    <t>T-3.06</t>
  </si>
  <si>
    <t>Raise Change Request - Replication</t>
  </si>
  <si>
    <t>Raise change request for Replication.
In case of prod changes, consult Publisher before submitting the Change Request ticket.</t>
  </si>
  <si>
    <t>Kyndryl Migration Kyndryl</t>
  </si>
  <si>
    <t>Raise in SNOW</t>
  </si>
  <si>
    <t>https://w3.ibm.com/ocean/w3publisher/anthem-cirrus-data-migration/migration-from-anthem/change-management/snow-replication-change-request</t>
  </si>
  <si>
    <t>Note: Verify replication days with Migration SMEs.
Change should include
1. Replication start date 5 days prior to migration, incase storage is more, increase the replication days period. This is standard, however it can change if Storage is more. 
2. One task for Anthem Backup team, refer to publisher: 
3. Once task for Steady state team to supress alerts. 
4. VMware Team task to Stop the vSphere Replication for the SRM-Protected servers. 
5. Include task for Monitoriing Team to Suppress Monitoring  
Add task and teams as required for migration</t>
  </si>
  <si>
    <t>T-3.07</t>
  </si>
  <si>
    <t>Raise Change Request - Cutover</t>
  </si>
  <si>
    <r>
      <t xml:space="preserve">Raise Change request for Cutover.
In case of prod changes, refer to </t>
    </r>
    <r>
      <rPr>
        <b/>
        <sz val="12"/>
        <rFont val="Arial"/>
        <family val="2"/>
      </rPr>
      <t>Publisher link</t>
    </r>
    <r>
      <rPr>
        <sz val="12"/>
        <rFont val="Arial"/>
        <family val="2"/>
      </rPr>
      <t xml:space="preserve"> before submitting the Change Request ticket.</t>
    </r>
  </si>
  <si>
    <t>Raise in Snow</t>
  </si>
  <si>
    <t>https://w3.ibm.com/ocean/w3publisher/anthem-cirrus-data-migration/migration-from-anthem/change-management/snow-cutover-change-requests</t>
  </si>
  <si>
    <t xml:space="preserve">Change should have task for each team.
1. OS teams, VMware team
2. Cutover of devices for Migration SME
3. DNS changes for Migration SME
4. DNS team to be on standby
5. Centrify team to verify connectivity, only in case of Linux
6 .Middleware team, if they confirm they need to be involved
7. DB team task, incase DB is involved
8. Application team task
9. VMware task to remove the ICO Serial Number from the server names in vCenter 
10. VMware Team task to Start the vSphere Replication for the SRM-Protected servers. 
Add task and teams as required for migration.
11. Add task  for the Monitoring Team to update target IP address for each server on their tool (Tivoli) after successful migration.
</t>
  </si>
  <si>
    <t>T-3.10</t>
  </si>
  <si>
    <t>P2P - New temporary IPs</t>
  </si>
  <si>
    <t xml:space="preserve">In case of physical builds: Migration SMEs need to provide new temporary IPs and Build SME's names </t>
  </si>
  <si>
    <t>T-3.11</t>
  </si>
  <si>
    <t>Confirm Downtime Window</t>
  </si>
  <si>
    <t>Application team to confirm the downtime/unavailability of the application. This will include time required for app testing and troubleshooting once migrated incase of issues.</t>
  </si>
  <si>
    <t>Elevance</t>
  </si>
  <si>
    <t>Note: Understand the time the app needs to be up for business. Define time for the rollback checkpoint in the HxH plan.</t>
  </si>
  <si>
    <t>T-3.12</t>
  </si>
  <si>
    <t>Zerto Details</t>
  </si>
  <si>
    <t xml:space="preserve">Confirm Zerto Details are available </t>
  </si>
  <si>
    <t>https://w3.ibm.com/ocean/w3publisher/anthem-cirrus-data-migration/migration-from-anthem/1-pre-migration-processes/zerto-target-details</t>
  </si>
  <si>
    <t>T-3.13</t>
  </si>
  <si>
    <t>Carbonite Agent Installation</t>
  </si>
  <si>
    <t>Carbonite agent installation on Source server and licensing.
Linux server with VFAT partition should be installed with latest version of Carbonite agent. Version 8.4.98</t>
  </si>
  <si>
    <t>Please proceed with this task if you are using Carbonite as Migration Tool for servers part of your event.
Migration SME will raise a RITM for agent installation.
Carbonite agent will be removed after successful migration of the server.
Any prerequisite for Carbonite agent installation will be managed by the Migration SME (.NET installation or Linux package)</t>
  </si>
  <si>
    <t>T-3.14</t>
  </si>
  <si>
    <t>Carbonite for Windows Server</t>
  </si>
  <si>
    <t>For Windows server agent installation, Visual C++ Redistributable Packages for Visual Studio 2017 will be installed as part of Carbonite agent installation.</t>
  </si>
  <si>
    <t>Please proceed with this task if you are using Carbonite as Migration Tool for servers part of your event.
This task applies for Windows servers.</t>
  </si>
  <si>
    <t>T-3.15</t>
  </si>
  <si>
    <t>Send A Mail - Replication Start Time</t>
  </si>
  <si>
    <r>
      <t xml:space="preserve">Send a mail with the start date and time of the </t>
    </r>
    <r>
      <rPr>
        <b/>
        <sz val="12"/>
        <rFont val="Arial"/>
        <family val="2"/>
      </rPr>
      <t>replication</t>
    </r>
    <r>
      <rPr>
        <sz val="12"/>
        <rFont val="Arial"/>
        <family val="2"/>
      </rPr>
      <t xml:space="preserve"> change to the application owners, mention the applicatoin and servers details.</t>
    </r>
  </si>
  <si>
    <t>The replication and cutover change email are separate mails, as they will be used in change approval</t>
  </si>
  <si>
    <t>T-3.16</t>
  </si>
  <si>
    <t>Send A Mail - Cutover Start Time</t>
  </si>
  <si>
    <r>
      <t xml:space="preserve">Send a mail with the start date and time of the </t>
    </r>
    <r>
      <rPr>
        <b/>
        <sz val="12"/>
        <rFont val="Arial"/>
        <family val="2"/>
      </rPr>
      <t>cutover</t>
    </r>
    <r>
      <rPr>
        <sz val="12"/>
        <rFont val="Arial"/>
        <family val="2"/>
      </rPr>
      <t xml:space="preserve"> change to the application owners, mention the applicatoin and servers details.</t>
    </r>
  </si>
  <si>
    <t>T-3.17</t>
  </si>
  <si>
    <t>AIX/Power Linux Access</t>
  </si>
  <si>
    <t>AIX/PowerLinux access during cutover (in order to reconfigure IP and /etc/hosts):</t>
  </si>
  <si>
    <t>Change Task</t>
  </si>
  <si>
    <t>AIX/PowerLinux access during cutover (in order to reconfigure IP and /etc/hosts):
We will need to add a task to the event change tickets for the AOC to be on standby during the migration window.
During the cutover, they will add the appropriate IDs to the local group so that our team can update the IP and /etc/hosts while the LPARs are cutoff from Centrify (this where dsdo gets the authorization information).
We are waiting on the verbiage from the AOC on what to put into the tickets. Chris Ecks would see it including a list of servers and the names of the resources that will be performing the work.</t>
  </si>
  <si>
    <t>T-3.18</t>
  </si>
  <si>
    <t>Send Host LUN Mapping</t>
  </si>
  <si>
    <t>Send Host LUN mapping to SAN designer</t>
  </si>
  <si>
    <t>BAU Storage Team (Migration Team)</t>
  </si>
  <si>
    <t>Please proceed with this task for AIX servers in scope.
For Storage related tasks please ask Gopi for status.</t>
  </si>
  <si>
    <t>T-3.19</t>
  </si>
  <si>
    <t>Create a Change - Global Mirror</t>
  </si>
  <si>
    <t xml:space="preserve">Create change for Global mirror replication </t>
  </si>
  <si>
    <t>BAU Storage Migration PM (Ameen)</t>
  </si>
  <si>
    <t>T-3.20</t>
  </si>
  <si>
    <t>Share Scope - Backup</t>
  </si>
  <si>
    <t>Share in scope source servers host name &amp; IP details with Backup team</t>
  </si>
  <si>
    <t xml:space="preserve">Wave Migration PM </t>
  </si>
  <si>
    <t>Wave PM will drop a mail to all listed in contacts:
vvaradac@kyndryl.com
Sridhar.S@kyndryl.com
Clifford.SAMUEL.C@kyndryl.com</t>
  </si>
  <si>
    <t>T-3.21</t>
  </si>
  <si>
    <t>Runbook Reviews</t>
  </si>
  <si>
    <t>Runbook reviews and Premigration Tasks review status</t>
  </si>
  <si>
    <t>Highlight if any pre migration activity is delayed or needs attention</t>
  </si>
  <si>
    <t>T-3.22</t>
  </si>
  <si>
    <t>F5/LB VIP Request</t>
  </si>
  <si>
    <t>Check with Migration Architect if the LB VIP request have been submitted</t>
  </si>
  <si>
    <t>Confirm LB VIP request have been submitted.</t>
  </si>
  <si>
    <t>T-3.23</t>
  </si>
  <si>
    <t>NAT Website Security Pre-Assessement</t>
  </si>
  <si>
    <t>Once Target NAT IPs are received: 
-prefill form "Website Security Pre-Assessement v1.0.dotx", sent to App Owner to finish filling in first page.
-Send filled form to: dl-dmzsecurity@anthem.com</t>
  </si>
  <si>
    <t>Kyndryl Migration Architect
App Owner
Kyndryl Migration PM</t>
  </si>
  <si>
    <t>https://kyndryl.box.com/s/96psg9er9bk9zccivz84jmrc4ed7zpe2</t>
  </si>
  <si>
    <t>T-3.24</t>
  </si>
  <si>
    <t>Generate DNS form</t>
  </si>
  <si>
    <t xml:space="preserve">Generate DNS form (including VM's, F5 VIP's, NAT) and attached to change ticket for cutover </t>
  </si>
  <si>
    <t>DNS Process (sharepoint.com)</t>
  </si>
  <si>
    <t>This form is required to be attached in the Cutover Change</t>
  </si>
  <si>
    <t>T-3.25</t>
  </si>
  <si>
    <t>Third party cloud traffic - access to</t>
  </si>
  <si>
    <t xml:space="preserve">If third party cloud traffic (Azure/AWS/GCP) is idenfied, ask App Owners to share the target IPs of the servers to be migrated with cloud Admins, and allow access to those target IPs. </t>
  </si>
  <si>
    <t>T -3</t>
  </si>
  <si>
    <t>T-3.26</t>
  </si>
  <si>
    <t>Confirm number of Physical Servers scheduled for migration</t>
  </si>
  <si>
    <t>Send list of physical servers to Elumalai</t>
  </si>
  <si>
    <t>Elumalai Govindan &lt;Elumalai.Govindan@kyndryl.com&gt;</t>
  </si>
  <si>
    <t>T - 2</t>
  </si>
  <si>
    <t>T-2.01</t>
  </si>
  <si>
    <t>Vulnerability Turnover</t>
  </si>
  <si>
    <t>Security: VM 2nd scan &amp; Handover sent to Jackie Davis and Mirwais Hamidzada, Loretta &amp; Daisy
Send Vulnerability remediation status email to Elevance Health Security indicating by application the remediation status (Fixed, Exception opened, no action taken) so that they can pursue closure with the app owners.</t>
  </si>
  <si>
    <t>T-2.02</t>
  </si>
  <si>
    <t>Create Illumio Ticket</t>
  </si>
  <si>
    <t xml:space="preserve">Create Ticket for Illumio tool installation if not already installed </t>
  </si>
  <si>
    <t>T-2.03</t>
  </si>
  <si>
    <t>FW Change Check</t>
  </si>
  <si>
    <t>Confirm 3 CRs for Firewall ports, replication &amp; Migration Cutover are approved</t>
  </si>
  <si>
    <t>Document in the Change record tab in the runbook, firewall change numbers as well</t>
  </si>
  <si>
    <t>T-2.04</t>
  </si>
  <si>
    <t>TM Runbook Walkthrough</t>
  </si>
  <si>
    <t>Runbook review: Walkthrough TM HxH Plan with Kyndryl and Elevance Health application teams</t>
  </si>
  <si>
    <r>
      <rPr>
        <b/>
        <u/>
        <sz val="12"/>
        <color rgb="FF000000"/>
        <rFont val="Arial"/>
        <family val="2"/>
      </rPr>
      <t xml:space="preserve">See notes below: </t>
    </r>
    <r>
      <rPr>
        <sz val="12"/>
        <color rgb="FF000000"/>
        <rFont val="Arial"/>
        <family val="2"/>
      </rPr>
      <t xml:space="preserve">
#1 - Involve DNS team, firewall team, Steady state team, patching team, F5, DB, whichever team applicable.
#2 - App HxH tasks validation: Validate: 1. App shutdown required? 2. App shutdown/startup sequence. </t>
    </r>
  </si>
  <si>
    <t>T-2.05</t>
  </si>
  <si>
    <t>Global Mirror Tasks - (Stage 1: Pre-work)</t>
  </si>
  <si>
    <t>Global Mirror Implementation Date Tasks (Stage 1: Pre-work)
1.Create server zones with new target storage
2.Create target Vdisks for servers on new target storage
3.Create consistency groups on source SVC
4.Create host entries with dummy WWPN's
5.Assign target luns to servers with dummy WWPN's
6.Create mirror relationship between source and target vdisks on source SVC</t>
  </si>
  <si>
    <t>BAU Storage Team (migration team)
Storage Migration PM (track progress)</t>
  </si>
  <si>
    <t>T-2.06</t>
  </si>
  <si>
    <t>Global Mirror Tasks - (Stage 2: Re-iterative until cut-over)</t>
  </si>
  <si>
    <t>Global Mirror Implementation Date Tasks (Stage 2: Re-iterative until cut-over)
1.Start consistency groups
2.Monitor consistency groups
3.Stop consistency groups
4.Send email to migration team informing progress</t>
  </si>
  <si>
    <t>T-2.07</t>
  </si>
  <si>
    <t>Cutover Resource List</t>
  </si>
  <si>
    <t>Resources list to be documented who will support on Cutover date - Secondary resource contact details</t>
  </si>
  <si>
    <t>Kyndryl BAU Team</t>
  </si>
  <si>
    <t>T-2.08</t>
  </si>
  <si>
    <t>Patching team confirmation</t>
  </si>
  <si>
    <t>If applicable confirm with Patching team if they were able to complete the patching of the server(s) overlaping with the Patching Schedule.</t>
  </si>
  <si>
    <t>T-2.09</t>
  </si>
  <si>
    <t>App/Code Freeze Check</t>
  </si>
  <si>
    <t>Confirm with App owners that App/Code freeze to be put in place 5 days prior to migration and 5 days post migration.</t>
  </si>
  <si>
    <t>T-2.10</t>
  </si>
  <si>
    <t>Stop DR Replication</t>
  </si>
  <si>
    <t>Stop the DR replication (only for AIX LPAR's with active DR replication)</t>
  </si>
  <si>
    <t xml:space="preserve">DR replication need to be stopped inorder to start the GM replication between source and target for migration. DR replication will be started again after the migration
</t>
  </si>
  <si>
    <t>T-2.11</t>
  </si>
  <si>
    <t>LUN Count</t>
  </si>
  <si>
    <t>Verify LUNs count copied for global mirror</t>
  </si>
  <si>
    <t>T-2.12</t>
  </si>
  <si>
    <t>Penetration Testing for NAT's</t>
  </si>
  <si>
    <t>Notify Elevance Health Security (Terry Pack) by the Wednesday preceding an event of the need to perform penetration testing</t>
  </si>
  <si>
    <t>F5 VIPs, NAT's, url/dns names, etc. must be provided to Terry Pack.  This testing is only required when NAT's are involved in an event.</t>
  </si>
  <si>
    <t>T - 1</t>
  </si>
  <si>
    <t>T-1.01</t>
  </si>
  <si>
    <t>Begin Replication</t>
  </si>
  <si>
    <t>Begin Replication (Zerto: Create VPGs)</t>
  </si>
  <si>
    <r>
      <rPr>
        <b/>
        <u/>
        <sz val="12"/>
        <color theme="4" tint="-0.249977111117893"/>
        <rFont val="Arial"/>
        <family val="2"/>
      </rPr>
      <t>Note:</t>
    </r>
    <r>
      <rPr>
        <b/>
        <sz val="12"/>
        <color theme="4" tint="-0.249977111117893"/>
        <rFont val="Arial"/>
        <family val="2"/>
      </rPr>
      <t xml:space="preserve"> </t>
    </r>
    <r>
      <rPr>
        <sz val="12"/>
        <color theme="4" tint="-0.249977111117893"/>
        <rFont val="Arial"/>
        <family val="2"/>
      </rPr>
      <t>Replication time will depend on the size of the server(s).</t>
    </r>
  </si>
  <si>
    <t>T-1.02</t>
  </si>
  <si>
    <t>Staff Plan - TM Runbook / Command Center</t>
  </si>
  <si>
    <t>Runbook in TM ready and Command Center (Staff Plan) confirmed</t>
  </si>
  <si>
    <r>
      <rPr>
        <b/>
        <sz val="12"/>
        <color rgb="FF000000"/>
        <rFont val="Arial"/>
        <family val="2"/>
      </rPr>
      <t>IMP:</t>
    </r>
    <r>
      <rPr>
        <sz val="12"/>
        <color rgb="FF000000"/>
        <rFont val="Arial"/>
        <family val="2"/>
      </rPr>
      <t xml:space="preserve"> Verify in TM that all servers/date time are listed correctly</t>
    </r>
  </si>
  <si>
    <t>T-1.03</t>
  </si>
  <si>
    <t xml:space="preserve">Cutover Change Approved </t>
  </si>
  <si>
    <t>Assure that your cutover change is approved and scheduled</t>
  </si>
  <si>
    <t>T-1.04</t>
  </si>
  <si>
    <t>Verify FW Implemented</t>
  </si>
  <si>
    <t>Verify that FW rules are implemented before cutover for VM's &amp; F5's, but not the NATs</t>
  </si>
  <si>
    <t>FW team</t>
  </si>
  <si>
    <t>T-1.05</t>
  </si>
  <si>
    <t>Premigration Tasks Complete</t>
  </si>
  <si>
    <t>Verify all Complete Premigration tasks are completed</t>
  </si>
  <si>
    <t>T-1.06</t>
  </si>
  <si>
    <t>Run Book Review</t>
  </si>
  <si>
    <t>Run Book Review w stakeholders</t>
  </si>
  <si>
    <t>T-1.07</t>
  </si>
  <si>
    <t>TM Recipe Review - Internal</t>
  </si>
  <si>
    <t>Transition Manager Migration Recipe review</t>
  </si>
  <si>
    <t>Kyndryl Migration Team</t>
  </si>
  <si>
    <t>PM / TM SME</t>
  </si>
  <si>
    <t>T-1.08</t>
  </si>
  <si>
    <t>Final Runbook Completed</t>
  </si>
  <si>
    <t>T-1.09</t>
  </si>
  <si>
    <t>Command Center Invite</t>
  </si>
  <si>
    <t>Send Invite for Command center bridge</t>
  </si>
  <si>
    <t>1. Verify distribution list of invitees
2. Mandatory invite list on the box link</t>
  </si>
  <si>
    <t>T-1.10</t>
  </si>
  <si>
    <t>Go/No Go invite</t>
  </si>
  <si>
    <t xml:space="preserve">Send Go/No Go invite </t>
  </si>
  <si>
    <t>T-1.11</t>
  </si>
  <si>
    <t>Go/No Go Approved</t>
  </si>
  <si>
    <t>T-1.12</t>
  </si>
  <si>
    <t>Verify that AIX / Physical Server Config Match</t>
  </si>
  <si>
    <t xml:space="preserve">Verify that AIX / Phyxical server configuration profiles for the LLPARS match between Source and Target </t>
  </si>
  <si>
    <t>T-1.13</t>
  </si>
  <si>
    <t>NAT FW Implementation</t>
  </si>
  <si>
    <t>Notify the FW team of need to implement NAT FW rules during cutover after penetration testing</t>
  </si>
  <si>
    <t xml:space="preserve">Provide the REQ number. </t>
  </si>
  <si>
    <t>T-1.14</t>
  </si>
  <si>
    <t>Global mirror/P2P</t>
  </si>
  <si>
    <t>User ID Request - Admin priv</t>
  </si>
  <si>
    <t>T-1.15</t>
  </si>
  <si>
    <t>Share Ticket Details</t>
  </si>
  <si>
    <t>Share approved ticket details with the all teams</t>
  </si>
  <si>
    <t>Teams which have task in the Cutover change</t>
  </si>
  <si>
    <t>T-1.16</t>
  </si>
  <si>
    <t>Testing SMEs names</t>
  </si>
  <si>
    <t>Confirm names of Testing SMEs. Also, confirm who will provide sign off per Application. Verify User IDs needed for app testing are available.</t>
  </si>
  <si>
    <t>App Owner / SMEs</t>
  </si>
  <si>
    <r>
      <rPr>
        <b/>
        <u/>
        <sz val="12"/>
        <color rgb="FF000000"/>
        <rFont val="Arial"/>
        <family val="2"/>
      </rPr>
      <t xml:space="preserve">Note: </t>
    </r>
    <r>
      <rPr>
        <sz val="12"/>
        <color rgb="FF000000"/>
        <rFont val="Arial"/>
        <family val="2"/>
      </rPr>
      <t>Validate the resource readiness. (We need to know the name of the person or team in charge of providing the sign off of the servers once the migration is complete,  the SME's running the post-migration testing and Application Owners so we can document the information accordingly.)</t>
    </r>
  </si>
  <si>
    <t>T-1.17</t>
  </si>
  <si>
    <t>Start Replication - Zerto</t>
  </si>
  <si>
    <t>Confirm initial replication sync Started</t>
  </si>
  <si>
    <t>Zerto / Carbonite/Global Mirror Team</t>
  </si>
  <si>
    <t>T-1.18</t>
  </si>
  <si>
    <t>Start Replication - Storage</t>
  </si>
  <si>
    <t>Confirm Storage replication started</t>
  </si>
  <si>
    <t xml:space="preserve">Kyndryl Migration Storage PM </t>
  </si>
  <si>
    <t>if applicable</t>
  </si>
  <si>
    <t>T-1.19</t>
  </si>
  <si>
    <t>Stop vSphere Replication (SRM)</t>
  </si>
  <si>
    <t>Stop vSphere Replication for the SRM-Protected servers (if applicable)</t>
  </si>
  <si>
    <t>Kyndryl VMware Team</t>
  </si>
  <si>
    <t>This step applies only for SRM-Protected servers using Carbonite. Task needs to be added in the replication Change Ticket.</t>
  </si>
  <si>
    <t>T-1.20</t>
  </si>
  <si>
    <t>Start Replication - Carbonite</t>
  </si>
  <si>
    <t>Begin replication configuration and confirm the status protecting</t>
  </si>
  <si>
    <t>T-1.21</t>
  </si>
  <si>
    <t>Status Emails Readiness</t>
  </si>
  <si>
    <t xml:space="preserve">Ensure that status mail invite are ready, use standard format as agreed. </t>
  </si>
  <si>
    <t>Status mail has to be send before the start of migration and every 4 hours.
1. Verify distribution list of invitees
2. andatory invite list on the box link</t>
  </si>
  <si>
    <t>T-24H</t>
  </si>
  <si>
    <t>T-24H.01</t>
  </si>
  <si>
    <t>Verify Final Backup</t>
  </si>
  <si>
    <t>Final backup to be taken before migration 
Final Backups Completed, then Disable Backups</t>
  </si>
  <si>
    <t>Backup team</t>
  </si>
  <si>
    <t>Send a reminder mail to the India-BUR-Anthem@kyndryl.com for the team to take final backup, provide replication change ticket number</t>
  </si>
  <si>
    <t>T-24H.02</t>
  </si>
  <si>
    <t>Send Go/No Go Approval</t>
  </si>
  <si>
    <t>Send Go/No Go Approved Mail</t>
  </si>
  <si>
    <t>Elevance / Kyndryl</t>
  </si>
  <si>
    <t>App Team / Kyndryl Migration</t>
  </si>
  <si>
    <t>T-24H.03</t>
  </si>
  <si>
    <t>Inform All Stakeholders</t>
  </si>
  <si>
    <t>Confirm communication has been sent out to all stakeholders informing them about the GO Decision</t>
  </si>
  <si>
    <t>T-24H.04</t>
  </si>
  <si>
    <t>Verify Testing Completed</t>
  </si>
  <si>
    <t>Confirm that baseline testing is completed by Application/Performace team</t>
  </si>
  <si>
    <t>Elevance App</t>
  </si>
  <si>
    <t>Elevance Sharepoint Site</t>
  </si>
  <si>
    <t>Reports to be uploaded to sharepoint site</t>
  </si>
  <si>
    <t>T-24H.05</t>
  </si>
  <si>
    <t>Monitoring Supress Alerts</t>
  </si>
  <si>
    <t>Drop a mail to confirm that Monitoring team had completed the task in replicatoin task.: Supress the alerts for the mentioned servers</t>
  </si>
  <si>
    <t>Monitoring Team</t>
  </si>
  <si>
    <t>Monitoring Process</t>
  </si>
  <si>
    <t>T-24H.06</t>
  </si>
  <si>
    <t>Check w Steady State Team</t>
  </si>
  <si>
    <t>Check with Steady state team No major P1/P2 Incidents running within the environment</t>
  </si>
  <si>
    <t>Drop an email to the steady state team and ask them to confirm.
Important to take this into consideration, if there is a server with P1/P2 incidents open may affect the migration event.</t>
  </si>
  <si>
    <t xml:space="preserve">T </t>
  </si>
  <si>
    <t>T-0.01</t>
  </si>
  <si>
    <t>Cutover / Go-Live</t>
  </si>
  <si>
    <t>Migration tasks documented in HxH tab. Live updates will be done using Transition Manager TM recipe.</t>
  </si>
  <si>
    <t>Post Migration Tasks</t>
  </si>
  <si>
    <t>T + 1</t>
  </si>
  <si>
    <t>T+1.01</t>
  </si>
  <si>
    <t xml:space="preserve">Post migration Tasks completed  </t>
  </si>
  <si>
    <t xml:space="preserve">All Below Post migration Tasks completed  </t>
  </si>
  <si>
    <t>T+1.02</t>
  </si>
  <si>
    <t>Lessons Learned</t>
  </si>
  <si>
    <t>Update the Lessons Learned documented which is posted the box and upload on Elevance SharePoint</t>
  </si>
  <si>
    <t>Elevance Health - Lessons Learned</t>
  </si>
  <si>
    <t>Each PM will access the lesson learned file in Sharepoint
Update the document with their event details and the upload it on the sharepoint.</t>
  </si>
  <si>
    <t>T+1.03</t>
  </si>
  <si>
    <t>Final status mail to all stakeholders</t>
  </si>
  <si>
    <t>Once sign off is received from application team, drop a final status mail to all stakeholders</t>
  </si>
  <si>
    <t>T+1.04</t>
  </si>
  <si>
    <t>Handover to Steady State</t>
  </si>
  <si>
    <t xml:space="preserve">Kyndryl Migration PM will send a handover mail to Steady state team for the signed off application/servers. </t>
  </si>
  <si>
    <t xml:space="preserve">Use the Event scope template and send the mail to the following stakeholders: "Drop an email to the below stakeholders for hand over.
David.Martin@kyndryl.com ; David.Holt@kyndryl.com, Sunil.Wadhwa@kyndryl.com ; Amy.Cashen@kyndryl.com ; ramakrishnan.s@kyndryl.com ;Suresh.R@kyndryl.com ; Harinarayanan.Sesha@kyndryl.com; GANGA.SAGAR.Kota@kyndryl.com ; Abhinav.Kumar.Amit@kyndryl.com
</t>
  </si>
  <si>
    <t>T+1.05</t>
  </si>
  <si>
    <t>Notify AppOwners of Handover</t>
  </si>
  <si>
    <t>Send a mail to Application team that servers handed over to steady state team and attach the process on how to log a ticket.</t>
  </si>
  <si>
    <t>Box link template on how to log a ticket:</t>
  </si>
  <si>
    <t>T+1.06</t>
  </si>
  <si>
    <t>Raise Ticket to update CMDB with new location</t>
  </si>
  <si>
    <t>Raise a ticket to update CMDB with the new location of the servers and the new IP address assigned to the servers.</t>
  </si>
  <si>
    <t xml:space="preserve">Please update the ticket number in the Runbook, under Change records tab
Refer process document on how to raise the change: </t>
  </si>
  <si>
    <t>T+1.07</t>
  </si>
  <si>
    <t>Backup - Engage BaaS</t>
  </si>
  <si>
    <t>Engage BaaS Team to run the backup</t>
  </si>
  <si>
    <t>T+1.08</t>
  </si>
  <si>
    <t>TM - Close Tasks</t>
  </si>
  <si>
    <t>Close all tasks in TM</t>
  </si>
  <si>
    <t>T+1.09</t>
  </si>
  <si>
    <t>Update/Upload Runbook</t>
  </si>
  <si>
    <t>Update Runbook and upload in Kyndryl &amp; Elevance sharepoint</t>
  </si>
  <si>
    <t>Elevance Health Sharepoint</t>
  </si>
  <si>
    <t>T+1.10</t>
  </si>
  <si>
    <t>Rename Source Hostname to hostname-cmold</t>
  </si>
  <si>
    <r>
      <t xml:space="preserve">Rename the hostname of the vm, removing the additional characters
Disable the NIC at Source (Anthem DC) &amp; Rename the vm to </t>
    </r>
    <r>
      <rPr>
        <b/>
        <sz val="12"/>
        <rFont val="Arial"/>
        <family val="2"/>
      </rPr>
      <t>hostname-cmold</t>
    </r>
    <r>
      <rPr>
        <sz val="12"/>
        <rFont val="Arial"/>
        <family val="2"/>
      </rPr>
      <t xml:space="preserve"> at Source (Anthem DC)</t>
    </r>
  </si>
  <si>
    <t>Kyndryl Steady state team/Migration team</t>
  </si>
  <si>
    <t>T+1.11</t>
  </si>
  <si>
    <t>TM: Update Plan Status</t>
  </si>
  <si>
    <t xml:space="preserve">Update Plan Status field in TM, for both applications and devices to "Moved". If your list is more than 30 servers send an email to Snighda and Deepa requesting to perform this action in bulk. </t>
  </si>
  <si>
    <t>Kyndryl Migration PM / TM SME</t>
  </si>
  <si>
    <t>T+1.12</t>
  </si>
  <si>
    <t>T- Create Application Comment</t>
  </si>
  <si>
    <t xml:space="preserve">Create a comment in every application in TM with the Change ticket # migration result and migration date for documentation. </t>
  </si>
  <si>
    <t>Comment format: Date (Your Name) "Comment content"</t>
  </si>
  <si>
    <t>T+1.13</t>
  </si>
  <si>
    <t>AIX - Start DR Replication</t>
  </si>
  <si>
    <t>Start the DR replication (only for AIX LPAR &amp; Power Linux VM's with active DR replication)</t>
  </si>
  <si>
    <t>DR replication need to be stopped inorder to start the GM replication between source and target for migration. DR replication will be started again after the migration.
arun.yadav@kyndryl.com
nawkhan@kyndryl.com
marc.wright@kyndryl.com</t>
  </si>
  <si>
    <t>T+1.14</t>
  </si>
  <si>
    <t>AIX - Remove Global Mirror Consistency Group</t>
  </si>
  <si>
    <t>Remove Global Mirror Consistency Group</t>
  </si>
  <si>
    <t>arun.yadav@kyndryl.com
nawkhan@kyndryl.com
marc.wright@kyndryl.com</t>
  </si>
  <si>
    <t>T+1.15</t>
  </si>
  <si>
    <t>AIX - Check if sysb backup is working</t>
  </si>
  <si>
    <t>Check if sysb backup is working at target</t>
  </si>
  <si>
    <t>Srinivas.Nimmagoti@kyndryl.com
sunny.khatri@kyndryl.com
Yogesh.Kumar111@kyndryl.com
Ganesan.Murugesan@kyndryl.com
Naresh.Polina@kyndryl.com</t>
  </si>
  <si>
    <t>T+1.16</t>
  </si>
  <si>
    <t>DB2 -  TSM API altered after migration</t>
  </si>
  <si>
    <t>If a VM/LPAR is running DB2, the TSM API will need to be altered after migration as well, to properly backup the DB2 instance.</t>
  </si>
  <si>
    <t>HC</t>
  </si>
  <si>
    <t>T + 3 Days (Non-Prod) or T+ 6 days (prod)</t>
  </si>
  <si>
    <t>HC.01</t>
  </si>
  <si>
    <t>Hypercare End Date</t>
  </si>
  <si>
    <t>Hypercare End Date 3 days for non prod, and 6 days for prod after cutover (Send notification that the hypercare period had been finished).</t>
  </si>
  <si>
    <t>Drop an email to the below stakeholders for hand over.
David.Martin@kyndryl.com , David.Holt@kyndryl.com, Sunil.Wadhwa@kyndryl.com , Amy.Cashen@kyndryl.com , ramakrishnan.s@kyndryl.com , 
Suresh.R@kyndryl.com , Harinarayanan.Sesha@kyndryl.com, Ashwani.Pandey@kyndryl.com , GANGA.SAGAR.Kota@kyndryl.com , Abhinav.Kumar.Amit@kyndryl.com
Include the list of servers with their OS's so INTEL  Vs Linux team know which  servers is moving to their control</t>
  </si>
  <si>
    <t>HC.02</t>
  </si>
  <si>
    <t>Send Signed Off Server Spreadsheet to Lead PM (Keiko)</t>
  </si>
  <si>
    <t>Send the sign off server spreadsheet documents to Keiko</t>
  </si>
  <si>
    <t>David.Martin@kyndryl.com , David.Holt@kyndryl.com, Sunil.Wadhwa@kyndryl.com , Amy.Cashen@kyndryl.com , ramakrishnan.s@kyndryl.com , 
Suresh.R@kyndryl.com , Harinarayanan.Sesha@kyndryl.com, Ashwani.Pandey@kyndryl.com , GANGA.SAGAR.Kota@kyndryl.com , Abhinav.Kumar.Amit@kyndryl.com , Anandharaj.Jayaraman@kyndryl.com , dl-Flexera_support@anthem.com</t>
  </si>
  <si>
    <t>HC.03</t>
  </si>
  <si>
    <t xml:space="preserve">Rename the VM to "hostname"-cmold at Source </t>
  </si>
  <si>
    <t xml:space="preserve">Rename the VM to "hostname"-CMold at Source </t>
  </si>
  <si>
    <t>HC.04</t>
  </si>
  <si>
    <t>Close Change Ticket</t>
  </si>
  <si>
    <t>Be aware of the day when the Cutover and Replication ticket are due. We need to close them before that day. Other wise the change will be considered as unsuccessufl.</t>
  </si>
  <si>
    <t>HC.05</t>
  </si>
  <si>
    <t>Deletion/Decommission request</t>
  </si>
  <si>
    <t>Deletion/Decommission request for Source servers</t>
  </si>
  <si>
    <t>Send the server details, use the format from the Event scope tab to Keiko, so that she can update the sign off spreadsheet  and share with Elumalai for decommission request of Source servers.</t>
  </si>
  <si>
    <t>HC.06</t>
  </si>
  <si>
    <t>Upload All Docs</t>
  </si>
  <si>
    <t>Upload all docs to Elevance Health Sharepoint for Audit.  Include the following: Runbook, Approved Go/No Go Presentation
In Anthem go to SharePoint: https://collaborate.wellpoint.com/sites/DDCS</t>
  </si>
  <si>
    <t>HC.07</t>
  </si>
  <si>
    <t>TM Task Report created and saved</t>
  </si>
  <si>
    <t>Run a task report in TM and save it in your event folder in Box. Analyze actual durations and incorporate any feedback to lessons learned and runbook template</t>
  </si>
  <si>
    <t>In TM. Go To Reports - Task Report- Select your event. 
Uncheck "Include only remaining tasks in report", "Include unpublished Tasks"
Export to Excel</t>
  </si>
  <si>
    <t>HC.08</t>
  </si>
  <si>
    <t>Update Bundle to Moved for application and server</t>
  </si>
  <si>
    <t>Change bundle to "Moved" for servers migrated and associated appliations</t>
  </si>
  <si>
    <t>HC.09</t>
  </si>
  <si>
    <t>Send request to Discovery team to update new Target IP in TM</t>
  </si>
  <si>
    <t>Send request to Discovery team to perform a bulk update in TM with new Target IP address for servers</t>
  </si>
  <si>
    <t>HC.10</t>
  </si>
  <si>
    <t>Name Changing for Backups</t>
  </si>
  <si>
    <t>Name Changing for Backups on Target:</t>
  </si>
  <si>
    <t>Kyndryl Migration SME's</t>
  </si>
  <si>
    <t>Elevance Health - MIGRATION Tasks - Event XX - X servers</t>
  </si>
  <si>
    <t>TM Flow / BAU ID</t>
  </si>
  <si>
    <t>Team</t>
  </si>
  <si>
    <t>Estimated Start (Eastern Time)</t>
  </si>
  <si>
    <t>Estimated Total Duration (mins.)</t>
  </si>
  <si>
    <t>Estimated End (Eastern Time)</t>
  </si>
  <si>
    <t>Task Status</t>
  </si>
  <si>
    <t>Actual Start</t>
  </si>
  <si>
    <t>Actual Duration</t>
  </si>
  <si>
    <t>Actual End</t>
  </si>
  <si>
    <t>Pre-Cutover Activities</t>
  </si>
  <si>
    <t>Send the mail notification to all stakeholders informing Start of migration</t>
  </si>
  <si>
    <t>Open command center conference call. Start Roll Call for all the required Attendees.</t>
  </si>
  <si>
    <t>Confirm GO to proceed with migration</t>
  </si>
  <si>
    <t>Kyndryl / Elevance</t>
  </si>
  <si>
    <t>Enter the server, Source IP address and target ip in slack channel and Webex chat</t>
  </si>
  <si>
    <t>Monitor consistency groups</t>
  </si>
  <si>
    <t>BAU Storage Team (migration team)</t>
  </si>
  <si>
    <t>Disable Monitoring and put AIX LPARs in maintenance mode</t>
  </si>
  <si>
    <t>Anthem BAU (AIX)</t>
  </si>
  <si>
    <t>rajasekar.subburaj@kyndryl.com
syed.murthuja.vali@kyndryl.com
naveen.kumar1111@kyndryl.com</t>
  </si>
  <si>
    <t>Disable Monitoring and put Power Linux servers in maintenance mode</t>
  </si>
  <si>
    <t>suresh.kumar.nagalla@kyndryl.com</t>
  </si>
  <si>
    <t>Pre-Cutover Activities Complete</t>
  </si>
  <si>
    <t>TM Task</t>
  </si>
  <si>
    <t>Begin Migration Event</t>
  </si>
  <si>
    <t>Enter the migration start date and time</t>
  </si>
  <si>
    <t>MILESTONE: Source Shutdown Activities</t>
  </si>
  <si>
    <t>Shutdown Applications.</t>
  </si>
  <si>
    <t>Anthem App Owners / SMEs</t>
  </si>
  <si>
    <t>We need to know if during the cutover day we would need to bring the application down first and then shutdown the server or if we can shutdown the servers without the need of bringing the application down.).</t>
  </si>
  <si>
    <t>Shutdown Middleware  (MQ, WAS, if applicable)</t>
  </si>
  <si>
    <t>Kyndryl Middelware team</t>
  </si>
  <si>
    <t>Shutdown Databases (if applicable)</t>
  </si>
  <si>
    <t>Kyndryl DB Team</t>
  </si>
  <si>
    <t>TM Task / 1001</t>
  </si>
  <si>
    <t>Source VM Shutdown / AIX LPARs
DO NOT shoutdown Source Physical servers migrated via carbonite.</t>
  </si>
  <si>
    <t>Kyndryl Wintel/Unix/AIX team</t>
  </si>
  <si>
    <t>For all servers migrated using Carbonite, the source server should remain on till the end of the cutovver steps.</t>
  </si>
  <si>
    <t>MILESTONE: Source Shutdown Complete</t>
  </si>
  <si>
    <t>Milestone Completed</t>
  </si>
  <si>
    <t>MILESTONE: Final Sync and Cutover</t>
  </si>
  <si>
    <t>DNS configuration pointing to Target (IBM cloud) for all applications
Make DNS entry with the new IP on DNS server</t>
  </si>
  <si>
    <t>Kyndryl Migration Migration SME</t>
  </si>
  <si>
    <t>*This step is for VM's and F5's using the Internal DNS tool.  This effectively cuts over the VM's and F5's to the target.
*DNS to be updated AS soon AS our server is shut down.
*For Source Physical servers this step will be execute once all the Cutover steps have been completed.</t>
  </si>
  <si>
    <t>External DNS changes for NAT's (if applicable)</t>
  </si>
  <si>
    <t>This step uses the External DNS tool, and doesn't enable the NAT at this time because no FW rules have been implemented, pending Penetration testing)</t>
  </si>
  <si>
    <t>Final Sync and Cutover (Zerto)</t>
  </si>
  <si>
    <t>Cutover (final sync)</t>
  </si>
  <si>
    <t xml:space="preserve"> This must be done before F5's and/or NAT's can be app</t>
  </si>
  <si>
    <t>Verify final (Zerto) Tool synchronization and check the status</t>
  </si>
  <si>
    <t>Capture Zerto tool synchronization log for VM's and confirm everything is good</t>
  </si>
  <si>
    <t>Perform cut over of the In scope source VMs using Zerto to the Target DC Hyperflex environment</t>
  </si>
  <si>
    <t>Final Sync and Cutover (Carbonite)</t>
  </si>
  <si>
    <r>
      <t>From Carbonite console ensure 100 % data is replicated to target server</t>
    </r>
    <r>
      <rPr>
        <b/>
        <i/>
        <sz val="14"/>
        <color rgb="FF00B050"/>
        <rFont val="Arial"/>
        <family val="2"/>
      </rPr>
      <t xml:space="preserve"> "Check Replication Queue"</t>
    </r>
  </si>
  <si>
    <t>ONLY applies for Carbonite.</t>
  </si>
  <si>
    <r>
      <t>On the Jobs page, Select the Job to failover and</t>
    </r>
    <r>
      <rPr>
        <b/>
        <i/>
        <sz val="14"/>
        <color rgb="FF00B050"/>
        <rFont val="Arial"/>
        <family val="2"/>
      </rPr>
      <t xml:space="preserve"> click Failover, Cutover</t>
    </r>
  </si>
  <si>
    <r>
      <t xml:space="preserve">From Carbonite Console Select the Job and </t>
    </r>
    <r>
      <rPr>
        <b/>
        <i/>
        <sz val="14"/>
        <color rgb="FF00B050"/>
        <rFont val="Arial"/>
        <family val="2"/>
      </rPr>
      <t>Click on Failover button</t>
    </r>
  </si>
  <si>
    <r>
      <t xml:space="preserve">Select </t>
    </r>
    <r>
      <rPr>
        <b/>
        <i/>
        <sz val="14"/>
        <color rgb="FF00B050"/>
        <rFont val="Arial"/>
        <family val="2"/>
      </rPr>
      <t>Failover to live data-</t>
    </r>
    <r>
      <rPr>
        <i/>
        <sz val="14"/>
        <color rgb="FF00B050"/>
        <rFont val="Arial"/>
        <family val="2"/>
      </rPr>
      <t>this option to initiate a full, live failover using the current data on the target</t>
    </r>
  </si>
  <si>
    <t xml:space="preserve">From Carbonite Migrate Console Check the status in Activity column and ensure all are success </t>
  </si>
  <si>
    <r>
      <t xml:space="preserve">Once the Cutover done, the status of </t>
    </r>
    <r>
      <rPr>
        <b/>
        <i/>
        <sz val="14"/>
        <color rgb="FF00B050"/>
        <rFont val="Arial"/>
        <family val="2"/>
      </rPr>
      <t>Activity column</t>
    </r>
    <r>
      <rPr>
        <i/>
        <sz val="14"/>
        <color rgb="FF00B050"/>
        <rFont val="Arial"/>
        <family val="2"/>
      </rPr>
      <t xml:space="preserve"> will change to </t>
    </r>
    <r>
      <rPr>
        <b/>
        <i/>
        <sz val="14"/>
        <color rgb="FF00B050"/>
        <rFont val="Arial"/>
        <family val="2"/>
      </rPr>
      <t>“Failed Over”</t>
    </r>
  </si>
  <si>
    <t>Final Sync and Cutover (Global Mirror - AIX)</t>
  </si>
  <si>
    <t>Stop consistency groups once synchronized</t>
  </si>
  <si>
    <t>Storage Final Sync</t>
  </si>
  <si>
    <t>Activate zoning</t>
  </si>
  <si>
    <t>Boot target LPAR &amp; Power Linux VM in SMS mode and Identify the rootvg disk</t>
  </si>
  <si>
    <t>Scan all the available LUN's and Devices</t>
  </si>
  <si>
    <t xml:space="preserve">Check whether all other VG imported automatically if not need to import manually </t>
  </si>
  <si>
    <t>Assign new IP address and update /etc/hosts file.</t>
  </si>
  <si>
    <t>AIX Target Configuration Tasks</t>
  </si>
  <si>
    <t>Enable Monitoring</t>
  </si>
  <si>
    <t>Migration AIX SME</t>
  </si>
  <si>
    <t>MILESTONE: Final Sync and Cutover complete</t>
  </si>
  <si>
    <t>MILESTONE: Target Infrastructure Validation</t>
  </si>
  <si>
    <t>Target Infrastructure Validation</t>
  </si>
  <si>
    <t>Verify the target is powered on with New IP address assigned</t>
  </si>
  <si>
    <t>Remove ICO Serial number from server names in vCenter</t>
  </si>
  <si>
    <t>Handover the Servers to Windows /linux team for Configuration Update and verification</t>
  </si>
  <si>
    <t>Windows - Post migration check</t>
  </si>
  <si>
    <t>Kyndryl BAU Windows Team</t>
  </si>
  <si>
    <t>Once servers is migrated and up in IBM Cloud, Validation, RDP to the server, IP address assigned is correct.</t>
  </si>
  <si>
    <t>Drive and shares are correctly assigned</t>
  </si>
  <si>
    <t>Check all the automatic services are running.</t>
  </si>
  <si>
    <t>Troubleshooting incase of issues seen at OS level</t>
  </si>
  <si>
    <t xml:space="preserve">Check for critical event in event log </t>
  </si>
  <si>
    <t>Linux - Post migration check</t>
  </si>
  <si>
    <t>Kyndryl BAU Linux Team</t>
  </si>
  <si>
    <t>Once servers is migrated and up in IBM Cloud, Validation, ssh connection to the server, IP address assigned is correct.</t>
  </si>
  <si>
    <t>Incase it not connecting, manual troubleshooting is required</t>
  </si>
  <si>
    <t>Update DNS and NTP, if required</t>
  </si>
  <si>
    <t>Servers to be reconfigured in Passowrd Vault (Cyberace team)</t>
  </si>
  <si>
    <t>RSA if need to be configured</t>
  </si>
  <si>
    <t>Once login, compare the files systems with source (using script)</t>
  </si>
  <si>
    <t>Post check, be available for troubleshooting incase app owner has issues.</t>
  </si>
  <si>
    <t>In case of Linux, Centrify team to connect VM to AD</t>
  </si>
  <si>
    <t>Centrify team</t>
  </si>
  <si>
    <t>AIX - Post migration check</t>
  </si>
  <si>
    <t>AIX Script to be executed against the migrated servers to collect artifacts and compare them with source servers.</t>
  </si>
  <si>
    <t xml:space="preserve">BAU to execute validations if required </t>
  </si>
  <si>
    <t>Kyndryl BAU AIX Team</t>
  </si>
  <si>
    <t xml:space="preserve">Update Vmware Tools and VM Hardware for Migrated Virtual Machines and validate (Exclude for 2003 Server) </t>
  </si>
  <si>
    <t>Kyndryl BAU Windows/Linux</t>
  </si>
  <si>
    <t>Remove unwanted Drivers / software related to Source environment (OEM drivers).
H/W related driver should be removed from VM ( not needed on VMs). Also need to remove the carbonite agents.</t>
  </si>
  <si>
    <t>Start VR replication for the SRM-Protected servers in the IBM Cloud.</t>
  </si>
  <si>
    <t>If applicable</t>
  </si>
  <si>
    <t>Start DB instances and perform database healthcheck (if applicable)</t>
  </si>
  <si>
    <t>DBAs</t>
  </si>
  <si>
    <t>`</t>
  </si>
  <si>
    <t>Start Middleware (MQ, WAS) ( perform middleware healthcheck) (if applicable)</t>
  </si>
  <si>
    <t>Handover to Anthem Application team to perform checks</t>
  </si>
  <si>
    <t>MILESTONE: Target Infrastructure Validation complete</t>
  </si>
  <si>
    <t>MILESTONE: Application Testing</t>
  </si>
  <si>
    <t>Application testing</t>
  </si>
  <si>
    <t>Perform Application Testing. (Heath Checks / Firewall Checks)</t>
  </si>
  <si>
    <t xml:space="preserve">Anthem App Owners </t>
  </si>
  <si>
    <t>Test applications within the Anthem network without NAT, until Penetration testing has been completed.</t>
  </si>
  <si>
    <t>Inform F5 (Load balancer team) to check connectivity with app owner</t>
  </si>
  <si>
    <t>F5/App team</t>
  </si>
  <si>
    <t>Basic NAT penetration testing (if applicable)</t>
  </si>
  <si>
    <t>Anthem security</t>
  </si>
  <si>
    <t>Terry Pack</t>
  </si>
  <si>
    <t>App must be up and available internally (but not to Internet via
 the NAT), and any app config changes by app owners are completed.</t>
  </si>
  <si>
    <t>Implement NAT FW rules after penetration testing is successful (if applicable)</t>
  </si>
  <si>
    <t>Anthem FW team</t>
  </si>
  <si>
    <t>Yhese FW rules cannot be implemented until penetration
testing is successful.  These NAT FW rules enable the NAT on the Internet and are the cutover step.</t>
  </si>
  <si>
    <t>Test applications and F5's thru the NAT (if applicable)</t>
  </si>
  <si>
    <t>This testing should be done using the NAT from the Internet.</t>
  </si>
  <si>
    <t>Migration team/BAU Team/DNS team/Firewall team/Network on standby to support testing</t>
  </si>
  <si>
    <t>All support teams</t>
  </si>
  <si>
    <r>
      <rPr>
        <b/>
        <sz val="14"/>
        <rFont val="Arial"/>
        <family val="2"/>
      </rPr>
      <t xml:space="preserve">Checkpoint: </t>
    </r>
    <r>
      <rPr>
        <sz val="14"/>
        <rFont val="Arial"/>
        <family val="2"/>
      </rPr>
      <t>GO / NO GO for Rollback.
**Rollback Criteria**
-Any Application or servers not coming up as expected</t>
    </r>
  </si>
  <si>
    <t>mm/dd/yyy</t>
  </si>
  <si>
    <t xml:space="preserve">Define Go no Go for Rollback date and time decision </t>
  </si>
  <si>
    <t>Notify IBM Migration PM with the User Acceptance Testing (UAT) results. (Sign Off)</t>
  </si>
  <si>
    <t>MILESTONE: Application Testing complete</t>
  </si>
  <si>
    <t>MILESTONE: Handover to Steady State</t>
  </si>
  <si>
    <t>Inform Stakeholders about the migration closure and send email with Final Cutover status. Close bridge.</t>
  </si>
  <si>
    <t>Perform post sign off tasks.</t>
  </si>
  <si>
    <t>Kyndryl BAU Team/Kyndryl Migration PM</t>
  </si>
  <si>
    <t>Note: See post migration tasks (tasks documented in change record).</t>
  </si>
  <si>
    <t>MILESTONE: Handover to Steady State Complete</t>
  </si>
  <si>
    <t>no</t>
  </si>
  <si>
    <t>Change No # xxxxxxxxx  - RFS# xxxxxxxxx  RITMxxxxxxxx - Source SVM name  to target SVM name -  Migration Wave plan No xxxxxx</t>
  </si>
  <si>
    <t>Task#</t>
  </si>
  <si>
    <t>Implementation Steps:</t>
  </si>
  <si>
    <t>T - Week</t>
  </si>
  <si>
    <t>Estimated Time(All time in EST)</t>
  </si>
  <si>
    <t>Owner</t>
  </si>
  <si>
    <t>Communication Details</t>
  </si>
  <si>
    <t>Pre-migration</t>
  </si>
  <si>
    <t>Capture NetApp SVM and verify volumes on Source SVMs</t>
  </si>
  <si>
    <t>T-6</t>
  </si>
  <si>
    <t>BAU NAS Team</t>
  </si>
  <si>
    <t>Identify SVM Volumes counts that need mirror for DR SVM</t>
  </si>
  <si>
    <t>Migration PM / Migration Architect</t>
  </si>
  <si>
    <t xml:space="preserve">Identify source NetApp device and Target NetApp device for Mirrors ( SVM on Target verification ) </t>
  </si>
  <si>
    <t xml:space="preserve">Check for Path Exist on Source SVM that need to be migrate ( check for NFS path already migrated ) </t>
  </si>
  <si>
    <t>Migration/ BAU NAS Team</t>
  </si>
  <si>
    <t>Build work sheet for volumes that need  mirror ( Capturing things on target in worksheet )</t>
  </si>
  <si>
    <t>Check AD Authentication .</t>
  </si>
  <si>
    <t>Check Unix to Windows mapping &amp; Vice-versa</t>
  </si>
  <si>
    <t>T-5</t>
  </si>
  <si>
    <t>Check Target &amp; Source Admin Credentials for migrations activity.</t>
  </si>
  <si>
    <t>Firewall status If firewall ports are not open need to be taken care here.</t>
  </si>
  <si>
    <t>T-4</t>
  </si>
  <si>
    <t xml:space="preserve">Need to open a ticket to check Connectivity , Firewall status &amp; test Initialize a test NFS share. </t>
  </si>
  <si>
    <t>Configure mirrors from Source to Target  for NFS volumes .</t>
  </si>
  <si>
    <t xml:space="preserve">Montior mirror baseline. </t>
  </si>
  <si>
    <t>Once base line is complete schedule nightly mirror syncs ( Off Business hours timing ).</t>
  </si>
  <si>
    <t>T-3</t>
  </si>
  <si>
    <t>Throtteling Apply on active job.</t>
  </si>
  <si>
    <t xml:space="preserve">Verify LDAP is active on targeted SVM (If needed)  ( AD by default ) </t>
  </si>
  <si>
    <t>T-1</t>
  </si>
  <si>
    <t xml:space="preserve">For Multiprotocol </t>
  </si>
  <si>
    <t xml:space="preserve">Verify AV is active on Target SVM </t>
  </si>
  <si>
    <t>BAU AV Team</t>
  </si>
  <si>
    <t>Schedule review call with all team (NAS, AOC, AD, Server Admin) required for NAS migration</t>
  </si>
  <si>
    <t>Migration PM</t>
  </si>
  <si>
    <t>Windows / AD / LDAP/ AOC Team(DNS) / AV / Storage / Backup team / Security team (Encriyption) , Target Network team /Linux team.</t>
  </si>
  <si>
    <t>Engage application owner for cutover date and review tester names</t>
  </si>
  <si>
    <t xml:space="preserve">Migration PM </t>
  </si>
  <si>
    <t xml:space="preserve">Collect the source Server details &amp; Target build status before migrating data . </t>
  </si>
  <si>
    <t xml:space="preserve">Ready for cutover plan   ( Go / No-Go Call ) </t>
  </si>
  <si>
    <t>Open ticket for final cutover and assign tasks to each team require for migration</t>
  </si>
  <si>
    <t>Start Migration Cutover</t>
  </si>
  <si>
    <t>Confirm NAS backup completed successful in the last 24 hours</t>
  </si>
  <si>
    <t>Backup Team</t>
  </si>
  <si>
    <t>Contact TOC 15 minutes before and inform them on the commencement of implementation activities related to change ticket( ).</t>
  </si>
  <si>
    <t xml:space="preserve">Open Bridge    </t>
  </si>
  <si>
    <t>Bridge Details. i.e. Dial in number or Webex</t>
  </si>
  <si>
    <t xml:space="preserve">Application team need to stop application to allow NFS unmounts </t>
  </si>
  <si>
    <t>Anthem Application Team</t>
  </si>
  <si>
    <t>Make current source location read-only xxxxxxxx</t>
  </si>
  <si>
    <t>30 mins</t>
  </si>
  <si>
    <t>CTASKxxxxxxx</t>
  </si>
  <si>
    <t>Linux OS Support Un-mount NFS drives</t>
  </si>
  <si>
    <t>1 hr</t>
  </si>
  <si>
    <t>Linux Team</t>
  </si>
  <si>
    <t>AIX OS Support Un-mount NFS drives</t>
  </si>
  <si>
    <t>AIX Team</t>
  </si>
  <si>
    <t xml:space="preserve">Windows OS Support check drives if any mount to drive letter / DFS Path if any. </t>
  </si>
  <si>
    <t>Windows  Team</t>
  </si>
  <si>
    <t xml:space="preserve">NAS team to Initiate final sync updates for all the vols.
Source                                                    Target
</t>
  </si>
  <si>
    <t>3 hrs</t>
  </si>
  <si>
    <t>Linux OS Support remount NFS Drives</t>
  </si>
  <si>
    <t>AOC related Task - Applying share permissions to SVM &amp; SPNs</t>
  </si>
  <si>
    <t>30 min</t>
  </si>
  <si>
    <t>DNS Alias Tasks</t>
  </si>
  <si>
    <t>DNS Team</t>
  </si>
  <si>
    <t>cNAME clean up ( Old SVM Alias )</t>
  </si>
  <si>
    <t>Wait for replication of DNS and SPNs</t>
  </si>
  <si>
    <t>NAS to verify[all alias test] data and provide reconciliation report</t>
  </si>
  <si>
    <t xml:space="preserve">NAS team to verify NFS Mounts
</t>
  </si>
  <si>
    <t>Backup after cutover</t>
  </si>
  <si>
    <t xml:space="preserve">NAS to verify Source is Offline and verify [all alias test] data and provide screen shots. </t>
  </si>
  <si>
    <t xml:space="preserve">1 hr
</t>
  </si>
  <si>
    <t>Checkpoint</t>
  </si>
  <si>
    <t>Application Testing</t>
  </si>
  <si>
    <t>Confirm Backup after cutover -  Snap Mirror to Cluster 2</t>
  </si>
  <si>
    <t>Testing</t>
  </si>
  <si>
    <t>Close the bridge</t>
  </si>
  <si>
    <t>Contact TOC and inform them on the change is complete</t>
  </si>
  <si>
    <t>Post activity</t>
  </si>
  <si>
    <t>Confirm Antivirus is active</t>
  </si>
  <si>
    <t>Confirm Varonis is active</t>
  </si>
  <si>
    <t>Confirm backups are running</t>
  </si>
  <si>
    <t>Confirm DR mirror are active in nightly schedule</t>
  </si>
  <si>
    <t>Change Tickets</t>
  </si>
  <si>
    <t>Number</t>
  </si>
  <si>
    <t>Change Window Start</t>
  </si>
  <si>
    <t>Change Window End</t>
  </si>
  <si>
    <t>Short description</t>
  </si>
  <si>
    <t>State</t>
  </si>
  <si>
    <t>Activity Type</t>
  </si>
  <si>
    <t>Windows/Linux/AIX</t>
  </si>
  <si>
    <t>Environment</t>
  </si>
  <si>
    <t>Raised by</t>
  </si>
  <si>
    <t>Note</t>
  </si>
  <si>
    <t>CHXXXXXX</t>
  </si>
  <si>
    <t>mm-dd-yyyy  09:00:00 AM</t>
  </si>
  <si>
    <t>mm/dd/yyyy  05:00:00 PM</t>
  </si>
  <si>
    <t>Replication Migr2Cloud - St louis to WDC 07 - Nonprod: Event XX-Migration of Y workloads</t>
  </si>
  <si>
    <t>Approved</t>
  </si>
  <si>
    <t>Cutover/Replication</t>
  </si>
  <si>
    <t>Dev/Test</t>
  </si>
  <si>
    <t>PM Name</t>
  </si>
  <si>
    <t>Migr2Cloud - St louis to WDC 07 - Nonprod: Event XX-Migration of Y workloads</t>
  </si>
  <si>
    <t>Firewall requests</t>
  </si>
  <si>
    <t>Request#</t>
  </si>
  <si>
    <t>Migration sent request (date)</t>
  </si>
  <si>
    <t>Creation date</t>
  </si>
  <si>
    <t>Comment</t>
  </si>
  <si>
    <t>F5 (load Balancer) requests</t>
  </si>
  <si>
    <t>Web Content Filtering Request</t>
  </si>
  <si>
    <t>Request #</t>
  </si>
  <si>
    <t>Source Hostname Rename - Ticket requests</t>
  </si>
  <si>
    <t>SME sent request (date)</t>
  </si>
  <si>
    <t>Service now queue names</t>
  </si>
  <si>
    <t>Queue</t>
  </si>
  <si>
    <t>Unix</t>
  </si>
  <si>
    <t>MIDRANGE TECH SUPPORT</t>
  </si>
  <si>
    <t>Linux</t>
  </si>
  <si>
    <t>LINUX OS SUPPORT</t>
  </si>
  <si>
    <t>Windows</t>
  </si>
  <si>
    <t>INTEL SERVER SUPPORT</t>
  </si>
  <si>
    <t>Antivirus</t>
  </si>
  <si>
    <t>SECURITY ANTIVIRUS</t>
  </si>
  <si>
    <t>Middleware</t>
  </si>
  <si>
    <t>MIDDLEWARE SUPPORT</t>
  </si>
  <si>
    <t>DNS</t>
  </si>
  <si>
    <t>DNS-DHCP SUPPORT</t>
  </si>
  <si>
    <t>Solidcore</t>
  </si>
  <si>
    <t>Endpoint App Whitelisting SRV</t>
  </si>
  <si>
    <t>Intel vmware team</t>
  </si>
  <si>
    <t>intel vmware support</t>
  </si>
  <si>
    <t>DB/SQL</t>
  </si>
  <si>
    <t>WDBS SQL SUPPORT REQUEST</t>
  </si>
  <si>
    <t>Kyndryl DB2</t>
  </si>
  <si>
    <t>DB2 CONNECT IBMNY SUPPORT</t>
  </si>
  <si>
    <t>Supporting DB2 connect/gateway servers</t>
  </si>
  <si>
    <t>Anthem DBA team</t>
  </si>
  <si>
    <t>APDS DB2 LUW PROJECT SUPPORT</t>
  </si>
  <si>
    <t>Supporting DB2 LUW servers</t>
  </si>
  <si>
    <t xml:space="preserve">Linux Centrify </t>
  </si>
  <si>
    <t>Directory Services Centrify</t>
  </si>
  <si>
    <t xml:space="preserve">Mongo DB </t>
  </si>
  <si>
    <t>WDBS-Mongo-DB Support</t>
  </si>
  <si>
    <t>ITM Base Monitoring Support</t>
  </si>
  <si>
    <t>F5/Load Balancer team</t>
  </si>
  <si>
    <t>LOAD BALANCER SUPPORT</t>
  </si>
  <si>
    <t>WebSphere, IBM Http Server (IHS), Apache, etc</t>
  </si>
  <si>
    <t>WebSphere Support</t>
  </si>
  <si>
    <t>Archana will take care of resource assignment.
Include Anil in "CC" to help with follow up.</t>
  </si>
  <si>
    <t>IIS, Weblogic</t>
  </si>
  <si>
    <t>Middleware Support</t>
  </si>
  <si>
    <t>Suresh will take care of resource assignment
Include Anil in "CC" to help with follow up.</t>
  </si>
  <si>
    <t>F5 Certificates</t>
  </si>
  <si>
    <t>Security Certificate Management</t>
  </si>
  <si>
    <t>F5 issues/debug/process</t>
  </si>
  <si>
    <t>Oracle Support Team</t>
  </si>
  <si>
    <t>WDBS ORACLE SUPPORT REQUEST</t>
  </si>
  <si>
    <t>Enterprise File Transfer</t>
  </si>
  <si>
    <t>STERLING EFX SUPPORT</t>
  </si>
  <si>
    <t>SITEMINDER</t>
  </si>
  <si>
    <t>Siteminder security support</t>
  </si>
  <si>
    <t>NAS</t>
  </si>
  <si>
    <t>NAS OPEN SYSTEMS</t>
  </si>
  <si>
    <t>NAS related issues/changes</t>
  </si>
  <si>
    <t>Data Network</t>
  </si>
  <si>
    <t>DATA NTWK SUPPORT NOC</t>
  </si>
  <si>
    <t>Network team support</t>
  </si>
  <si>
    <t>Note: IPs change in IBM Cloud. Hostnames stay the same.</t>
  </si>
  <si>
    <t>RollBack plan</t>
  </si>
  <si>
    <t>Responsible / Focal</t>
  </si>
  <si>
    <t>Start Time</t>
  </si>
  <si>
    <t>Duration</t>
  </si>
  <si>
    <t>End Time</t>
  </si>
  <si>
    <t>Shutdown DBs in Target DC: IBM Cloud</t>
  </si>
  <si>
    <t>Kyndryl DBA SME</t>
  </si>
  <si>
    <t>Start and verify DB in Source DC</t>
  </si>
  <si>
    <t>Shutdown VMs in Target DC: IBM Cloud</t>
  </si>
  <si>
    <t>Win SA/Linux SA</t>
  </si>
  <si>
    <t>Ashwani Pandey / Abhinav Amit (Windows)</t>
  </si>
  <si>
    <t xml:space="preserve">
Migration SME to support (if needed)</t>
  </si>
  <si>
    <t>DNS update to old name</t>
  </si>
  <si>
    <t>Amy Drag / Steve Wambach</t>
  </si>
  <si>
    <t>Disconnect NICs for VMs in IBM Cloud</t>
  </si>
  <si>
    <t>Migration SME to support (if needed)</t>
  </si>
  <si>
    <t>Power on VMs in Source DC
(Steady State: Source validation)</t>
  </si>
  <si>
    <t>Handover to App focal for testing</t>
  </si>
  <si>
    <t xml:space="preserve">App validation </t>
  </si>
  <si>
    <t>Anthem App Owner</t>
  </si>
  <si>
    <t xml:space="preserve">Note: Estimated testing duration: </t>
  </si>
  <si>
    <t>Organization</t>
  </si>
  <si>
    <t>Contact Name</t>
  </si>
  <si>
    <t xml:space="preserve">Group / Department </t>
  </si>
  <si>
    <t>Role</t>
  </si>
  <si>
    <t>Phone Number (s)</t>
  </si>
  <si>
    <t>Email</t>
  </si>
  <si>
    <t>Full Elevance Health / Kyndryl consolidated list here: https://kyndryl.ent.box.com/folder/114568255580</t>
  </si>
  <si>
    <t>Migration Event 0X - Main Kyndryl / Elevance Health Contacts</t>
  </si>
  <si>
    <t>Kyndryl</t>
  </si>
  <si>
    <t>ADAI (Applications, Data and AI)</t>
  </si>
  <si>
    <t>Primary Migration Project Manager</t>
  </si>
  <si>
    <t>Migration Project Manager</t>
  </si>
  <si>
    <t>Migration Architect</t>
  </si>
  <si>
    <t>Migration SME</t>
  </si>
  <si>
    <t>Elevance Health</t>
  </si>
  <si>
    <t>App Owner (app#1 name)</t>
  </si>
  <si>
    <t>Primary SME (app#1 name)</t>
  </si>
  <si>
    <t>SME (app#1 name)</t>
  </si>
  <si>
    <t>App Owner (app#2 name)</t>
  </si>
  <si>
    <t>Primary SME (app#2 name)</t>
  </si>
  <si>
    <t>SME (app#2 name)</t>
  </si>
  <si>
    <t xml:space="preserve">Elevance Health (Executives)  - Main contacts </t>
  </si>
  <si>
    <t>Anthem DL address</t>
  </si>
  <si>
    <t>DL.St.Louis.Migration.Status@anthem.com</t>
  </si>
  <si>
    <t>All migration communication will go to this DL ONLY</t>
  </si>
  <si>
    <t>Bill Anderson</t>
  </si>
  <si>
    <t>Infrastructure Platform Services</t>
  </si>
  <si>
    <t>Director</t>
  </si>
  <si>
    <r>
      <t>O: (804) 354-3505 </t>
    </r>
    <r>
      <rPr>
        <sz val="14"/>
        <color rgb="FF595959"/>
        <rFont val="Arial"/>
        <family val="2"/>
      </rPr>
      <t xml:space="preserve">
M: (518) 653-5846</t>
    </r>
  </si>
  <si>
    <t>William.Anderson@anthem.com</t>
  </si>
  <si>
    <t>Bill Stovall</t>
  </si>
  <si>
    <t>William.stovall@anthem.com</t>
  </si>
  <si>
    <t xml:space="preserve">Darren Gibbs </t>
  </si>
  <si>
    <t>darren.gibbs@bcbsmo.com</t>
  </si>
  <si>
    <t>Bill Jones</t>
  </si>
  <si>
    <t>william.jones@anthem.com</t>
  </si>
  <si>
    <t>Kyndryl/Anthem Shared Service Team Contact List</t>
  </si>
  <si>
    <t>Name</t>
  </si>
  <si>
    <t>Email address</t>
  </si>
  <si>
    <t xml:space="preserve"> Mail ID</t>
  </si>
  <si>
    <t>Jason Richmond</t>
  </si>
  <si>
    <t xml:space="preserve">AD </t>
  </si>
  <si>
    <t>IAM, Senior Director – AD, CyberArk</t>
  </si>
  <si>
    <t>Jason.richmond-ITsecurity@anthem.com</t>
  </si>
  <si>
    <t>Anthem</t>
  </si>
  <si>
    <t>John Carnes</t>
  </si>
  <si>
    <t>AD</t>
  </si>
  <si>
    <t>Security Architect</t>
  </si>
  <si>
    <t>John.Carnes@anthem.com</t>
  </si>
  <si>
    <t>Transitioning to IBM</t>
  </si>
  <si>
    <t>Joshua Suchovsky</t>
  </si>
  <si>
    <t>AD Team Lead</t>
  </si>
  <si>
    <t>joshua.suchovsky@anthem.com</t>
  </si>
  <si>
    <t>DeJuan Bishop</t>
  </si>
  <si>
    <t>IAM, Manager (AD)</t>
  </si>
  <si>
    <t>dejuan.bishop@anthem.com</t>
  </si>
  <si>
    <t>Eddie Bugg</t>
  </si>
  <si>
    <t>DNS Architect</t>
  </si>
  <si>
    <t>eddie.bugg@kyndryl.com</t>
  </si>
  <si>
    <t>DONOT contact him for DNS issues</t>
  </si>
  <si>
    <t>Amy Drag</t>
  </si>
  <si>
    <t>Operations Manager-DNS</t>
  </si>
  <si>
    <t>Amy.Drag@kyndryl.com</t>
  </si>
  <si>
    <t>Contact Amy and Steve only for DNS issues</t>
  </si>
  <si>
    <t>Steve Wambach</t>
  </si>
  <si>
    <t>Infra Svcs Analyst Advisor</t>
  </si>
  <si>
    <t>Steven.Wambach@kyndryl.com</t>
  </si>
  <si>
    <t>DNS team</t>
  </si>
  <si>
    <t>Anthem-DNS-F5-Support@kyndryl.com</t>
  </si>
  <si>
    <t>Amy has created this email group to cover f5, dns and dhcp support.</t>
  </si>
  <si>
    <t>Ganga Sagar Kota</t>
  </si>
  <si>
    <t>Patching</t>
  </si>
  <si>
    <t>Windows Admin</t>
  </si>
  <si>
    <t>91-9848386143</t>
  </si>
  <si>
    <t>ganga.sagar.kota@kyndryl.com</t>
  </si>
  <si>
    <t>Maheshwari Ramanathan</t>
  </si>
  <si>
    <t>Linux Admin</t>
  </si>
  <si>
    <t xml:space="preserve">91-7338800896 </t>
  </si>
  <si>
    <t>maheshwari.ramanathan@kyndryl.com</t>
  </si>
  <si>
    <t>Laxmi Manikantan</t>
  </si>
  <si>
    <t>Unix Admin (AIX)</t>
  </si>
  <si>
    <t>91-99027-27278</t>
  </si>
  <si>
    <t>laxmi.manikantan@kyndryl.com</t>
  </si>
  <si>
    <t xml:space="preserve">Rosalez, Rick </t>
  </si>
  <si>
    <t>Rick.Rosalez@Anthem.com</t>
  </si>
  <si>
    <t>Harry Turkette</t>
  </si>
  <si>
    <t>harry.turkette@anthem.com</t>
  </si>
  <si>
    <t>Jason Hall</t>
  </si>
  <si>
    <t>jason.hall@amerigroup.com</t>
  </si>
  <si>
    <t>Rich Santos</t>
  </si>
  <si>
    <t>rich.santos@anthem.com</t>
  </si>
  <si>
    <t>Tracy Woods</t>
  </si>
  <si>
    <t>tracy.woods@anthem.com</t>
  </si>
  <si>
    <t>Brown, Craig</t>
  </si>
  <si>
    <t>Information Security Senior Advisor</t>
  </si>
  <si>
    <t>Craig.Brown@anthem.com</t>
  </si>
  <si>
    <t xml:space="preserve">dl-Endpoint-Security-Operations </t>
  </si>
  <si>
    <t>dl-endpoint-security-operations@anthem.com</t>
  </si>
  <si>
    <t>Dany J. Cassiani</t>
  </si>
  <si>
    <t xml:space="preserve">Monitoring </t>
  </si>
  <si>
    <t xml:space="preserve">Solution Architect </t>
  </si>
  <si>
    <t>1-845-220-6363</t>
  </si>
  <si>
    <t>dany.cassiani@kyndryl.com</t>
  </si>
  <si>
    <t>Damon Light</t>
  </si>
  <si>
    <t xml:space="preserve"> IT Architect</t>
  </si>
  <si>
    <t>1-720-349-0108</t>
  </si>
  <si>
    <t>damon.light@kyndryl.com</t>
  </si>
  <si>
    <t>Bob Abraham</t>
  </si>
  <si>
    <t>Technology – 
ETS Performance Engineering</t>
  </si>
  <si>
    <t>Director II</t>
  </si>
  <si>
    <t xml:space="preserve">(203) 376-5919 </t>
  </si>
  <si>
    <t>robert.abraham@anthem.com</t>
  </si>
  <si>
    <t>Clifford C Samuel</t>
  </si>
  <si>
    <t>Backup Team (Manager)</t>
  </si>
  <si>
    <t>Delivery Operations Manager</t>
  </si>
  <si>
    <t xml:space="preserve">91-9500092293 </t>
  </si>
  <si>
    <t>clifford.samuel.c@kyndryl.com</t>
  </si>
  <si>
    <t>Joe Tarantino</t>
  </si>
  <si>
    <t>Associate IT Architect</t>
  </si>
  <si>
    <t>1-608-217-2264</t>
  </si>
  <si>
    <t>joe.tarantino@kyndryl.com</t>
  </si>
  <si>
    <t>Mohan Raj</t>
  </si>
  <si>
    <t>Backup SME</t>
  </si>
  <si>
    <t>91-950-001-6964</t>
  </si>
  <si>
    <t>mohan.raj1@kyndryl.com</t>
  </si>
  <si>
    <t>DL- St. Louis Backup Team</t>
  </si>
  <si>
    <t>india-bur-Anthem@kyndryl.com</t>
  </si>
  <si>
    <t>Anand MG</t>
  </si>
  <si>
    <t>Target BaaS team (IBM CLOUD)</t>
  </si>
  <si>
    <t>T&amp;T Project Manager-Baas (Backup)</t>
  </si>
  <si>
    <t>91-988-503-2379</t>
  </si>
  <si>
    <t>anand.mg@kyndryl.com</t>
  </si>
  <si>
    <t>Dianna Clark</t>
  </si>
  <si>
    <t>Linux Centrify Team(Manager)</t>
  </si>
  <si>
    <t>dianna.clark@anthem.com</t>
  </si>
  <si>
    <t>Somo, Abdulrahman</t>
  </si>
  <si>
    <t>Linux Centrify Team</t>
  </si>
  <si>
    <t>abdulrahman.somo@anthem.com</t>
  </si>
  <si>
    <t>Kevin Vito-Cruiz</t>
  </si>
  <si>
    <t>kevin.vito-cruiz@anthem.com</t>
  </si>
  <si>
    <t>Anthony Eleko</t>
  </si>
  <si>
    <t>Anthony.eleko@anthem.com</t>
  </si>
  <si>
    <t>Distribution List</t>
  </si>
  <si>
    <t xml:space="preserve">Linux Centrify Team, Single Identity </t>
  </si>
  <si>
    <t>dl-centrify-admins@anthem.com </t>
  </si>
  <si>
    <t>Kevin Pratt</t>
  </si>
  <si>
    <t>Staffing Transition, IBM Security Services, NA</t>
  </si>
  <si>
    <t>Kevin Pratt/Denver/IBM</t>
  </si>
  <si>
    <t>Cyberarc Team</t>
  </si>
  <si>
    <t>TO</t>
  </si>
  <si>
    <t>Ed Eatman</t>
  </si>
  <si>
    <t>CC</t>
  </si>
  <si>
    <t>Eatman, Ed &lt;Ed.Eatman@anthem.com&gt;</t>
  </si>
  <si>
    <t>Carnes, John &lt;John.Carnes@anthem.com&gt;</t>
  </si>
  <si>
    <t>Anil Tadimalla</t>
  </si>
  <si>
    <t>Middleware Team</t>
  </si>
  <si>
    <t>1-732-986-1185</t>
  </si>
  <si>
    <t>anil.tadimalla@kyndryl.com</t>
  </si>
  <si>
    <t>Paul Hutzel</t>
  </si>
  <si>
    <t>1-5132544265</t>
  </si>
  <si>
    <t>paul.hutzel@kyndryl.com</t>
  </si>
  <si>
    <t>DL -Middleware</t>
  </si>
  <si>
    <t xml:space="preserve">Dl-WLP_middleware@anthem.com </t>
  </si>
  <si>
    <t>Sharon.Hines</t>
  </si>
  <si>
    <t>Control M team</t>
  </si>
  <si>
    <t>Sharon.Hines@anthem.com</t>
  </si>
  <si>
    <t>Control M DL address</t>
  </si>
  <si>
    <t>dl-controlmadmin@anthem.com</t>
  </si>
  <si>
    <t>MacDonald</t>
  </si>
  <si>
    <t>Firewall Contact</t>
  </si>
  <si>
    <t>macdonald.mapani@kyndryl.com</t>
  </si>
  <si>
    <t>Nazneen</t>
  </si>
  <si>
    <t>Project manager</t>
  </si>
  <si>
    <t>nazneen.naik@kyndryl.com</t>
  </si>
  <si>
    <t>Erik Hoffman</t>
  </si>
  <si>
    <t>Security Team (main contact)</t>
  </si>
  <si>
    <t>Erik.Hoffman@anthem.com</t>
  </si>
  <si>
    <t xml:space="preserve">Sarah Bailey               </t>
  </si>
  <si>
    <t>Security team</t>
  </si>
  <si>
    <t>Sarah.Bailey@anthem.com</t>
  </si>
  <si>
    <t xml:space="preserve">Milligan, Brenda A. </t>
  </si>
  <si>
    <t>brenda.milligan@amerigroup.com</t>
  </si>
  <si>
    <t xml:space="preserve">Foster, Darryl L.        </t>
  </si>
  <si>
    <t>darryl.foster@anthem.com</t>
  </si>
  <si>
    <t xml:space="preserve">Prickett, Jerry          </t>
  </si>
  <si>
    <t>jerry.prickett@anthem.com</t>
  </si>
  <si>
    <t>Daisy Bhavnani</t>
  </si>
  <si>
    <t>Security team (VM)</t>
  </si>
  <si>
    <t>Daisy.Bhavnani@anthem.com</t>
  </si>
  <si>
    <t>Loretta Oates</t>
  </si>
  <si>
    <t>Loretta.Oates@anthem.com</t>
  </si>
  <si>
    <t>Nardos Asfaw</t>
  </si>
  <si>
    <t>Security team (Illumio)</t>
  </si>
  <si>
    <t>Nardos.Asfaw@anthem.com</t>
  </si>
  <si>
    <t>Nathan Bertram</t>
  </si>
  <si>
    <t>Teradata</t>
  </si>
  <si>
    <t>Nathan.Bertram@anthem.com</t>
  </si>
  <si>
    <t>Tom Jung</t>
  </si>
  <si>
    <t>Manager</t>
  </si>
  <si>
    <t>Tom.Jung@anthem.com</t>
  </si>
  <si>
    <t>Mukesh Singh</t>
  </si>
  <si>
    <t>Netezza</t>
  </si>
  <si>
    <t>mukesh.singh@anthem.com</t>
  </si>
  <si>
    <t>Darren Kilpatrick</t>
  </si>
  <si>
    <t>Mainframe DB2</t>
  </si>
  <si>
    <t>Darren.Kilpatrick@anthem.com</t>
  </si>
  <si>
    <t>Lavanya Devulapalli</t>
  </si>
  <si>
    <t>Siteminder</t>
  </si>
  <si>
    <t>Resource Manager</t>
  </si>
  <si>
    <t>lavanya.devulapalli@anthem.com</t>
  </si>
  <si>
    <t>DL</t>
  </si>
  <si>
    <t>dl-webaccessmanagement</t>
  </si>
  <si>
    <t>TOC (Technical Operations Center)</t>
  </si>
  <si>
    <t>Technical Operations Center</t>
  </si>
  <si>
    <t>1-800-647-1857</t>
  </si>
  <si>
    <t>From Jim McCoy - The TOC # is. 800-647-1857 - Call and give them Change ticket #, experiencing issue and indicate you believe. They can open up the ticket for you a put together a swat call or whatever you need to fix you issue.</t>
  </si>
  <si>
    <t>NOC (Network Operations Center)</t>
  </si>
  <si>
    <t>Network Operations Center</t>
  </si>
  <si>
    <t>1-804-354-2003</t>
  </si>
  <si>
    <t>dl-noc@anthem.com</t>
  </si>
  <si>
    <t>use this email and NOC # for FW and network issues.</t>
  </si>
  <si>
    <t>Mark Chang</t>
  </si>
  <si>
    <t>DB2 DBA team</t>
  </si>
  <si>
    <t>dl-wdbs-udb@anthem.com</t>
  </si>
  <si>
    <t>Kyndryl Steady State Teams</t>
  </si>
  <si>
    <t>IBM Mail ID</t>
  </si>
  <si>
    <t>Mark Emig</t>
  </si>
  <si>
    <t>DPE</t>
  </si>
  <si>
    <t>Director, Sr Delivery Partner Executive - Anthem</t>
  </si>
  <si>
    <t xml:space="preserve">1-845-216-4300 </t>
  </si>
  <si>
    <t>mark.emig@kyndryl.com</t>
  </si>
  <si>
    <t>David Holt</t>
  </si>
  <si>
    <t xml:space="preserve">DPE- Distributed technology support teams. </t>
  </si>
  <si>
    <t xml:space="preserve">1-707-616-4364 </t>
  </si>
  <si>
    <t>david.holt@kyndryl.com</t>
  </si>
  <si>
    <t>David Martin</t>
  </si>
  <si>
    <t>DPE- Lead for Cloud Tranformation</t>
  </si>
  <si>
    <t xml:space="preserve">1-805-506-9360 </t>
  </si>
  <si>
    <t>david.martin@kyndryl.com</t>
  </si>
  <si>
    <t>Charlie Salisbury</t>
  </si>
  <si>
    <t>SAM</t>
  </si>
  <si>
    <t xml:space="preserve">1-919-412-5553 </t>
  </si>
  <si>
    <t>charles.salisbury@kyndryl.com</t>
  </si>
  <si>
    <t>Deyvid Green</t>
  </si>
  <si>
    <t>BAU Architect</t>
  </si>
  <si>
    <t>SO Delivery Architect</t>
  </si>
  <si>
    <t>1-732-301-4270</t>
  </si>
  <si>
    <t>deyvid.green@kyndryl.com</t>
  </si>
  <si>
    <t>Macdonald Mapani</t>
  </si>
  <si>
    <t>BAU Infrastructure Architect</t>
  </si>
  <si>
    <t>Infrastructure Architect</t>
  </si>
  <si>
    <t>1-817-312-0778</t>
  </si>
  <si>
    <t>Amy Cashen</t>
  </si>
  <si>
    <t>Vmware</t>
  </si>
  <si>
    <t>SAM (Manager)</t>
  </si>
  <si>
    <t>1-248-765-4376</t>
  </si>
  <si>
    <t>amy.cashen@kyndryl.com</t>
  </si>
  <si>
    <t>Harinarayanan Sesha</t>
  </si>
  <si>
    <t xml:space="preserve">VMware  </t>
  </si>
  <si>
    <t>Server Leads</t>
  </si>
  <si>
    <t>91-7358378990</t>
  </si>
  <si>
    <t>harinarayanan.sesha@kyndryl.com</t>
  </si>
  <si>
    <t>Sunil Wadhwa</t>
  </si>
  <si>
    <t xml:space="preserve">Windows </t>
  </si>
  <si>
    <t>Delivery Operation Manager</t>
  </si>
  <si>
    <t>91-11-9810633177</t>
  </si>
  <si>
    <t>sunil.wadhwa@kyndryl.com</t>
  </si>
  <si>
    <t>Anandharaj Jayaraman</t>
  </si>
  <si>
    <t>anandharaj.jayaraman@kyndryl.com</t>
  </si>
  <si>
    <t>Windows Server Lead</t>
  </si>
  <si>
    <t>Pragash Rajagandan</t>
  </si>
  <si>
    <t>Windows Patching POC</t>
  </si>
  <si>
    <t>Windows Patching</t>
  </si>
  <si>
    <t>Pragash.Rajagandan@kyndryl.com</t>
  </si>
  <si>
    <t>Ramakrishnan Sankarasubramanian</t>
  </si>
  <si>
    <t xml:space="preserve">Linux </t>
  </si>
  <si>
    <t xml:space="preserve">91-984-095-6366 </t>
  </si>
  <si>
    <t>ramakrishnan.s@kyndryl.com</t>
  </si>
  <si>
    <t>Suresh R</t>
  </si>
  <si>
    <t>91-7358398324</t>
  </si>
  <si>
    <t>suresh.r@kyndryl.com</t>
  </si>
  <si>
    <t>Jason Burnette</t>
  </si>
  <si>
    <t xml:space="preserve">1-757-273-9360 </t>
  </si>
  <si>
    <t>jason.burnette@kyndryl.com</t>
  </si>
  <si>
    <t>Ashok B Kumar</t>
  </si>
  <si>
    <t>Ashok.B1@kyndryl.com</t>
  </si>
  <si>
    <t>Syed Bilal</t>
  </si>
  <si>
    <t>US -Linux team</t>
  </si>
  <si>
    <t>syed.bilal.ali@kyndryl.com</t>
  </si>
  <si>
    <t xml:space="preserve">AIX </t>
  </si>
  <si>
    <t>Rajasekar Subburaj</t>
  </si>
  <si>
    <t>AIX</t>
  </si>
  <si>
    <t>91-988-467-9205</t>
  </si>
  <si>
    <t>rajasekar.subburaj@kyndryl.com</t>
  </si>
  <si>
    <t>Syed Vali</t>
  </si>
  <si>
    <t>AIX Admin</t>
  </si>
  <si>
    <t>syed.murthuja.vali@kyndryl.com</t>
  </si>
  <si>
    <t>Russell Ziska</t>
  </si>
  <si>
    <t xml:space="preserve">1-513-623-2292 </t>
  </si>
  <si>
    <t>russell.ziska@kyndryl.com</t>
  </si>
  <si>
    <t>Michael Hassi</t>
  </si>
  <si>
    <t>UNIX Administration (AIX Build team)</t>
  </si>
  <si>
    <t xml:space="preserve">1-262-470-4509 </t>
  </si>
  <si>
    <t>michael.hassi@kyndryl.com</t>
  </si>
  <si>
    <t>Bill Richardson</t>
  </si>
  <si>
    <t>UNIX</t>
  </si>
  <si>
    <t xml:space="preserve">1-804-239-7167 </t>
  </si>
  <si>
    <t>william.richardson@kyndryl.com</t>
  </si>
  <si>
    <t>dl-aoc-unix@anthem.com</t>
  </si>
  <si>
    <t>Daniel Reyes</t>
  </si>
  <si>
    <t>1-314-365-5262</t>
  </si>
  <si>
    <t>daniel.reyes@anthem.com</t>
  </si>
  <si>
    <t>Philip Stolz</t>
  </si>
  <si>
    <t>philip.stoltz@anthem.com</t>
  </si>
  <si>
    <t>Ameenuddin Fasiuddin</t>
  </si>
  <si>
    <t>Storage</t>
  </si>
  <si>
    <t>Project Manager-SAN</t>
  </si>
  <si>
    <t xml:space="preserve">91-7397338074 </t>
  </si>
  <si>
    <t>ameenuddin.fasiuddin@kyndryl.com</t>
  </si>
  <si>
    <t>Arun Yadav</t>
  </si>
  <si>
    <t>SAN storage SME</t>
  </si>
  <si>
    <t xml:space="preserve">1-563-580-4556 </t>
  </si>
  <si>
    <t>arun.yadav@kyndryl.com</t>
  </si>
  <si>
    <t>Nawaid Ali Khan</t>
  </si>
  <si>
    <t xml:space="preserve">1-312-933-1939 </t>
  </si>
  <si>
    <t>nawkhan@kyndryl.com</t>
  </si>
  <si>
    <t>Marc Wright</t>
  </si>
  <si>
    <t>1-770-843-1233</t>
  </si>
  <si>
    <t>marc.wright@kyndryl.com</t>
  </si>
  <si>
    <t>Prabhat Ranjan</t>
  </si>
  <si>
    <t xml:space="preserve">91-971-759-7793 </t>
  </si>
  <si>
    <t>prabhat.ranjan@kyndryl.com</t>
  </si>
  <si>
    <t>Joseph Adinolfi</t>
  </si>
  <si>
    <t>DBA Team</t>
  </si>
  <si>
    <t>joseph.adinolfi@kyndryl.com
Joseph.Adinolfi@anthem.com</t>
  </si>
  <si>
    <t>Mike Wielonski</t>
  </si>
  <si>
    <t>Michael.Wielonski@anthem.com</t>
  </si>
  <si>
    <t>Anthony Minichino</t>
  </si>
  <si>
    <t>anthony.minichino@kyndryl.com</t>
  </si>
  <si>
    <t>Rebecca Jones</t>
  </si>
  <si>
    <t>Rebecca.Jones@anthem.com</t>
  </si>
  <si>
    <t>Ronald Heckert</t>
  </si>
  <si>
    <t> ronald.heckert@kyndryl.com</t>
  </si>
  <si>
    <t>Chuck Bennett</t>
  </si>
  <si>
    <t>charles.bennett2@anthem.com</t>
  </si>
  <si>
    <t>Gurmeet Singh (Gary)</t>
  </si>
  <si>
    <t>Oracle DB Lead / Oracle Exadata DB Lead</t>
  </si>
  <si>
    <t>Gary.Singh1@kyndryl.com</t>
  </si>
  <si>
    <t>Bali Reddi</t>
  </si>
  <si>
    <t>Oracle DB</t>
  </si>
  <si>
    <t>Bali.Reddy@anthem.com</t>
  </si>
  <si>
    <t>Milind Kandalgaonkar</t>
  </si>
  <si>
    <t>milind.kandalgaonkar@kyndryl.com</t>
  </si>
  <si>
    <t>dl-wdbs-oracle-offshore-project-dbas@anthem.com</t>
  </si>
  <si>
    <t>Jay Nichols</t>
  </si>
  <si>
    <t>SQL Server</t>
  </si>
  <si>
    <t>boyd.nichols.jr@kyndryl.com</t>
  </si>
  <si>
    <t>Amani Thumma</t>
  </si>
  <si>
    <t>amani.thumma@kyndryl.com</t>
  </si>
  <si>
    <t>Kyndryl/Anthem</t>
  </si>
  <si>
    <t>Satyam Adusumilli</t>
  </si>
  <si>
    <t>SQL DBA</t>
  </si>
  <si>
    <t>satyam.adusumilli@kyndryl.com
Satyam.Adusumilli@anthem.com</t>
  </si>
  <si>
    <t>SQL</t>
  </si>
  <si>
    <t>DL-ADBS-SQL-LightsOn@anthem.com</t>
  </si>
  <si>
    <t>John Davis</t>
  </si>
  <si>
    <t>DB2 LUW</t>
  </si>
  <si>
    <t>john.davis@kyndryl.com</t>
  </si>
  <si>
    <t>UDB/DB2 LUW Manager</t>
  </si>
  <si>
    <t>Ronald.Heckert@anthem.com</t>
  </si>
  <si>
    <t>Mark.Chang</t>
  </si>
  <si>
    <t>DB2 LUW Lead</t>
  </si>
  <si>
    <t>mark.chang@kyndryl.com
Mark.Chang@anthem.com</t>
  </si>
  <si>
    <t>Sara Fabiane Cocco</t>
  </si>
  <si>
    <t>DB2 DBA</t>
  </si>
  <si>
    <t>sara.fabiane.cocco@kyndryl.com</t>
  </si>
  <si>
    <t>Rafael Braga da Silva</t>
  </si>
  <si>
    <t>rafael.braga.da.silva@kyndryl.com</t>
  </si>
  <si>
    <t>Glynn Ashdown</t>
  </si>
  <si>
    <t>Sybase</t>
  </si>
  <si>
    <t>glynn.ashdown@kyndryl.com</t>
  </si>
  <si>
    <t>Phil Higgenbottom</t>
  </si>
  <si>
    <t>phil.higgenbottom@kyndryl.com</t>
  </si>
  <si>
    <t>dl-adbs-sybase@anthem.com</t>
  </si>
  <si>
    <t>MONGO DL</t>
  </si>
  <si>
    <t>dl-adbs-mongodb@anthem.com</t>
  </si>
  <si>
    <t>Phillip Higgenbotton</t>
  </si>
  <si>
    <t>Mongo DBA</t>
  </si>
  <si>
    <t>Ajay Bargoti</t>
  </si>
  <si>
    <t>PostgreSQL</t>
  </si>
  <si>
    <t>PostgreSQL questions</t>
  </si>
  <si>
    <t>Ajay.Bargoti@kyndryl.com</t>
  </si>
  <si>
    <t>Nerissa Hilton</t>
  </si>
  <si>
    <t>Change Management</t>
  </si>
  <si>
    <t>Nerissa.Hilton@kyndryl.com</t>
  </si>
  <si>
    <t>cm-admin@anthem.com</t>
  </si>
  <si>
    <t>Change process defined, any queries need to be addressed to cm-admin@anthem.com. Also use the link to get more information about Change management: https://share.antheminc.com/teams/itsm/chm/SitePages/Home.aspx</t>
  </si>
  <si>
    <t>Suresh K Veerasamy</t>
  </si>
  <si>
    <t>IIS and Weblogic</t>
  </si>
  <si>
    <t>Team Lead</t>
  </si>
  <si>
    <t>suresh.kumar.veerasamy@kyndryl.com</t>
  </si>
  <si>
    <t>Rajesh Jayapalan</t>
  </si>
  <si>
    <t>rajesh.jayapalan@kyndryl.com</t>
  </si>
  <si>
    <t>Archana Arekapudi</t>
  </si>
  <si>
    <t>Websphere</t>
  </si>
  <si>
    <t>1-818-205-8992 (Mobile)</t>
  </si>
  <si>
    <t>archana.arekapudi@kyndryl.com</t>
  </si>
  <si>
    <t>Benarjee Sigireddy</t>
  </si>
  <si>
    <t>MQ</t>
  </si>
  <si>
    <t>benarjee.sigireddy@kyndryl.com</t>
  </si>
  <si>
    <t>Srikanthreddy Uyyuru</t>
  </si>
  <si>
    <t>srikanthreddy.uyyuru@kyndryl.com</t>
  </si>
  <si>
    <t>Dan Jones</t>
  </si>
  <si>
    <t>dan.jones@kyndryl.com</t>
  </si>
  <si>
    <t>Robert Livermore</t>
  </si>
  <si>
    <t>bob.livermore@kyndryl.com</t>
  </si>
  <si>
    <t>IIS/SSL</t>
  </si>
  <si>
    <t>iis_support@anthem.com</t>
  </si>
  <si>
    <t>wrkgp-websphere-support@anthem.com</t>
  </si>
  <si>
    <t>mimteam6@kyndryl.com</t>
  </si>
  <si>
    <t>Jyothilakshmi S</t>
  </si>
  <si>
    <t>IBM DB2 Connect/Gateway</t>
  </si>
  <si>
    <t>jyothilakshmi.s@kyndryl.com</t>
  </si>
  <si>
    <t>supporting db2 connect/gateway servers</t>
  </si>
  <si>
    <t>Intel 24x7 Oncall Support</t>
  </si>
  <si>
    <t xml:space="preserve">On-Call Contact Number </t>
  </si>
  <si>
    <t> 0001-866-790-1009</t>
  </si>
  <si>
    <t>On-Call E-mail</t>
  </si>
  <si>
    <t>windiaon@kyndryl.com</t>
  </si>
  <si>
    <t>Kyndryl ADAI Team (Migration Team)</t>
  </si>
  <si>
    <t>Email ID</t>
  </si>
  <si>
    <t>IBM notes ID</t>
  </si>
  <si>
    <t>Jennifer Hynes</t>
  </si>
  <si>
    <t>ADAI</t>
  </si>
  <si>
    <t>Sr. Program Manager</t>
  </si>
  <si>
    <t>1-720-938-2350</t>
  </si>
  <si>
    <t>jennifer.hynes@kyndryl.com</t>
  </si>
  <si>
    <t>Angelina Valesco</t>
  </si>
  <si>
    <t>Lead Project Manager</t>
  </si>
  <si>
    <t>Angelina.Valesco@kyndryl.com</t>
  </si>
  <si>
    <t>512-762-9957</t>
  </si>
  <si>
    <t>mounir.bsaibes@kyndryl.com</t>
  </si>
  <si>
    <t>Sri Krishna Ponnada</t>
  </si>
  <si>
    <t xml:space="preserve">91-97400-89712 </t>
  </si>
  <si>
    <t>sri.krishna.ponnada@kyndryl.com</t>
  </si>
  <si>
    <t>714-357-0105</t>
  </si>
  <si>
    <t>keiko.simkin@kyndryl.com</t>
  </si>
  <si>
    <t>Melania Maria Gutierrez Campos</t>
  </si>
  <si>
    <t>506-88688590</t>
  </si>
  <si>
    <t>mmgutier@kyndryl.com</t>
  </si>
  <si>
    <t>Sandeep Subramanya</t>
  </si>
  <si>
    <t>91-9845096379 / 91-7406344400</t>
  </si>
  <si>
    <t>sandeep.subramanya@kyndryl.com</t>
  </si>
  <si>
    <t>Dennis Headrick</t>
  </si>
  <si>
    <t>Lead Migration Architect</t>
  </si>
  <si>
    <t>1-720-336-9550</t>
  </si>
  <si>
    <t>dennis.headrick@kyndryl.com</t>
  </si>
  <si>
    <t>Jose Fabian Zumbado Bogantes</t>
  </si>
  <si>
    <t>506-8-326-0629</t>
  </si>
  <si>
    <t>jzumbado@kyndryl.com</t>
  </si>
  <si>
    <t>Alonso A. Villalobos Laurent</t>
  </si>
  <si>
    <t>506-88632797</t>
  </si>
  <si>
    <t>avillalobos@kyndryl.com</t>
  </si>
  <si>
    <t>Ana Carolina Gonzalez Godinez</t>
  </si>
  <si>
    <t>506-83185332</t>
  </si>
  <si>
    <t>anagonz@kyndryl.com</t>
  </si>
  <si>
    <t>Ronaldt Rodrigues de Sousa Mendes</t>
  </si>
  <si>
    <t>55-11-97282-6623 (Mobile)</t>
  </si>
  <si>
    <t>rrmendes@kyndryl.com</t>
  </si>
  <si>
    <t>Jose Antonio Ramirez Vargas</t>
  </si>
  <si>
    <t>506-6057-8610</t>
  </si>
  <si>
    <t>jaramire@kyndryl.com</t>
  </si>
  <si>
    <t xml:space="preserve">Suresh Nagalla </t>
  </si>
  <si>
    <t>Lead Discovery SME/CloudScape</t>
  </si>
  <si>
    <t>91-7306866116</t>
  </si>
  <si>
    <t>Noor Mudassir Ahmed</t>
  </si>
  <si>
    <t>Discovery SME/CloudScape, Zerto, HCX</t>
  </si>
  <si>
    <t xml:space="preserve">91-9686990996 </t>
  </si>
  <si>
    <t>No.Ahmed@kyndryl.com</t>
  </si>
  <si>
    <t>Gopikrishna Gunnam</t>
  </si>
  <si>
    <t>Storage PM</t>
  </si>
  <si>
    <t xml:space="preserve">91-7875505588 </t>
  </si>
  <si>
    <t>gopi.gunnam@kyndryl.com</t>
  </si>
  <si>
    <t>Alan Coker</t>
  </si>
  <si>
    <t>Storage Architect</t>
  </si>
  <si>
    <t>1-940-465-0512</t>
  </si>
  <si>
    <t>alan.coker@kyndryl.com</t>
  </si>
  <si>
    <t>Sathya Narayanan Ponmar Dhanapalakrishnan</t>
  </si>
  <si>
    <t>Linux SME/Zerto</t>
  </si>
  <si>
    <t>91-98407 14577</t>
  </si>
  <si>
    <t>satdhana@kyndryl.com</t>
  </si>
  <si>
    <t>Snigdha Goel</t>
  </si>
  <si>
    <t>Transition Manager SME</t>
  </si>
  <si>
    <t>91-9582936297</t>
  </si>
  <si>
    <t>snigdha.goel@kyndryl.com</t>
  </si>
  <si>
    <t>Steven Muñoz Rodríguez</t>
  </si>
  <si>
    <t>506-88618465 (Mobile)</t>
  </si>
  <si>
    <t>steven.munoz@kyndryl.com</t>
  </si>
  <si>
    <t>Nitin Poddar</t>
  </si>
  <si>
    <t>nitin.poddar@kyndryl.com</t>
  </si>
  <si>
    <t>Jyothy Am Ravinambudiri</t>
  </si>
  <si>
    <t>91-978-903-7598</t>
  </si>
  <si>
    <t>Jyothy.Ravinambudiri@kyndryl.com</t>
  </si>
  <si>
    <t>Keith H Anderson</t>
  </si>
  <si>
    <t>+1-7202903586 (Mobile)</t>
  </si>
  <si>
    <t>Keith.Anderson@kyndryl.com</t>
  </si>
  <si>
    <t>Obaiahgari Ramesh Nagella</t>
  </si>
  <si>
    <t>91-9963554535</t>
  </si>
  <si>
    <t>Ramesh.N.O.Nagella@kyndryl.com</t>
  </si>
  <si>
    <t>Mandar Shastri</t>
  </si>
  <si>
    <t xml:space="preserve"> +1-203-998-8089 (Office)</t>
  </si>
  <si>
    <t>Mandar.Shastri@kyndryl.com</t>
  </si>
  <si>
    <t>Vinay Kumar</t>
  </si>
  <si>
    <t xml:space="preserve"> +91-958-2066-644 (Mobile)</t>
  </si>
  <si>
    <t xml:space="preserve"> 	Vinay.Kumar3@kyndryl.com</t>
  </si>
  <si>
    <t>Pooja Koparde</t>
  </si>
  <si>
    <t xml:space="preserve"> +91-8618664895</t>
  </si>
  <si>
    <t>Pooja.Koparde@kyndryl.com</t>
  </si>
  <si>
    <t>Sagar Kulkarni</t>
  </si>
  <si>
    <t xml:space="preserve"> 	Sagar.Kulkarni@kyndryl.com</t>
  </si>
  <si>
    <t>Kuhu Karan</t>
  </si>
  <si>
    <t xml:space="preserve"> +91 9880590812 (Mobile)</t>
  </si>
  <si>
    <t xml:space="preserve"> 	Kuhu.Karan@kyndryl.com</t>
  </si>
  <si>
    <t>Anand Varghese</t>
  </si>
  <si>
    <t xml:space="preserve"> 	anand.varghese@kyndryl.com</t>
  </si>
  <si>
    <t xml:space="preserve"> 	Pooja Koparde</t>
  </si>
  <si>
    <t xml:space="preserve"> 	Rodney Heisey</t>
  </si>
  <si>
    <t>rodney.heisey@kyndryl.com</t>
  </si>
  <si>
    <t>Hypercare (3 days Non-Prod)</t>
  </si>
  <si>
    <t>ME02 - Non Prod</t>
  </si>
  <si>
    <t>Resource Pool 
(ET - Eastern Times)
Times are in ET.</t>
  </si>
  <si>
    <t>Typical Team Resources</t>
  </si>
  <si>
    <t>Tuesday
9am - 5pm</t>
  </si>
  <si>
    <t>Tuesday
5pm - 10pm</t>
  </si>
  <si>
    <t>Wednesday
9am - 5pm</t>
  </si>
  <si>
    <t>Thursday
9am - 5pm</t>
  </si>
  <si>
    <t>Friday
9am - 5pm</t>
  </si>
  <si>
    <t>TEAM</t>
  </si>
  <si>
    <t>ROLE</t>
  </si>
  <si>
    <t>Shift 1</t>
  </si>
  <si>
    <t>Shift 2</t>
  </si>
  <si>
    <t xml:space="preserve">Shift 3 </t>
  </si>
  <si>
    <t>Shift 4</t>
  </si>
  <si>
    <t>Migration 
Project Manager (s)</t>
  </si>
  <si>
    <t>Migration PM (Primary)</t>
  </si>
  <si>
    <t>Jennifer's PM Team</t>
  </si>
  <si>
    <t>N/A (Non Prod)</t>
  </si>
  <si>
    <t>Migration PM #2</t>
  </si>
  <si>
    <t>Lead PM SPOC</t>
  </si>
  <si>
    <t xml:space="preserve">
Jennifer Hynes
</t>
  </si>
  <si>
    <t>Migration Architect (s)</t>
  </si>
  <si>
    <t>Dennis's Arch Team</t>
  </si>
  <si>
    <t>Lead Architect</t>
  </si>
  <si>
    <t>Migration Migration SME (s)</t>
  </si>
  <si>
    <t>Suresh's SME Team</t>
  </si>
  <si>
    <t>Migration Transition Manager SME (s)</t>
  </si>
  <si>
    <t>TM SME</t>
  </si>
  <si>
    <t>Snigdha Goel
Deepa Chaudhary</t>
  </si>
  <si>
    <t>Anthem Management</t>
  </si>
  <si>
    <t>Primary</t>
  </si>
  <si>
    <t>Bill Anderson
Bill Stovall</t>
  </si>
  <si>
    <t>Windows SA</t>
  </si>
  <si>
    <t>Ashwani Pandey / Abhinav Amit</t>
  </si>
  <si>
    <t xml:space="preserve">TBD </t>
  </si>
  <si>
    <t>Combined Communication Plan</t>
  </si>
  <si>
    <t>Status Details:</t>
  </si>
  <si>
    <t>1) Kyndryl will run a 24 hrs. bridge during migration</t>
  </si>
  <si>
    <t>2) Kyndryl Migration PM will eMail status report every 4 hours</t>
  </si>
  <si>
    <t>3) Kyndryl Leads review Status / Issues</t>
  </si>
  <si>
    <r>
      <t xml:space="preserve">Bridge # 1
Command Center Bridge 
</t>
    </r>
    <r>
      <rPr>
        <b/>
        <sz val="11"/>
        <rFont val="Arial"/>
        <family val="2"/>
      </rPr>
      <t xml:space="preserve">(MAIN BRIDGE OPENED 24x7) </t>
    </r>
  </si>
  <si>
    <r>
      <t xml:space="preserve">Bridge # 2
 Issue Bridge 
</t>
    </r>
    <r>
      <rPr>
        <b/>
        <sz val="11"/>
        <rFont val="Arial"/>
        <family val="2"/>
      </rPr>
      <t xml:space="preserve">(On Demand) </t>
    </r>
  </si>
  <si>
    <t>Kyndryl
Elevance Health App. Teams
Executing Runbook Activities</t>
  </si>
  <si>
    <t>Kyndryl 
Technical Team Dial-in</t>
  </si>
  <si>
    <t xml:space="preserve">Purpose of the bridge: To have the migration PM manage the bridge, allowing the technical team members from all parties to dial in as needed, to report and discuss issues requiring a larger technical audience to work together, and provide updates on progress. </t>
  </si>
  <si>
    <t>Purpose of the bridge: When an issue arises that needs a break out bridge the IBM migration PM will open this bridge and technical resources will join-in working through the issue as well healthchecks for application between BNS and IBM.</t>
  </si>
  <si>
    <t>United States of America Toll +xxxx
Canada Toll +xxxxx
Access Code: xxxx
URL: https://kyndryl.webex.com/meet/xxx</t>
  </si>
  <si>
    <r>
      <t>Status update communication list</t>
    </r>
    <r>
      <rPr>
        <sz val="18"/>
        <color rgb="FF000000"/>
        <rFont val="Calibri"/>
        <family val="2"/>
      </rPr>
      <t>- Every 4 hours status update</t>
    </r>
  </si>
  <si>
    <r>
      <rPr>
        <sz val="20"/>
        <rFont val="Calibri"/>
        <family val="2"/>
      </rPr>
      <t xml:space="preserve">Use MANDATORY Distribution list here (Status emails): </t>
    </r>
    <r>
      <rPr>
        <sz val="20"/>
        <color rgb="FF0000FF"/>
        <rFont val="Calibri"/>
        <family val="2"/>
      </rPr>
      <t>https://kyndryl.ent.box.com/file/714342421297</t>
    </r>
  </si>
  <si>
    <t>Add EVENT Distribution list here:</t>
  </si>
  <si>
    <t>Anthem Migration Event Problem Determination Script - https://kyndryl.ent.box.com/notes/833752783803?s=fukx92hffuheus94ubjwfg9aqv3pme2z</t>
  </si>
  <si>
    <t>Phase</t>
  </si>
  <si>
    <t>Issue #</t>
  </si>
  <si>
    <t>Issue or Risk</t>
  </si>
  <si>
    <t>Description</t>
  </si>
  <si>
    <t>Identified By</t>
  </si>
  <si>
    <t>ETA</t>
  </si>
  <si>
    <t>Priority</t>
  </si>
  <si>
    <t>Notes / Resolution</t>
  </si>
  <si>
    <t>Migration (Cutover)</t>
  </si>
  <si>
    <t>Hypercare</t>
  </si>
  <si>
    <t>Please refer to the following BOX Link and enter your Lessons Learned in the excel file.</t>
  </si>
  <si>
    <t>https://kyndryl.ent.box.com/folder/121626619389?s=8s5x5bt1o65am63tvs2n0vt3ug7qymbx</t>
  </si>
  <si>
    <t>Task to be updated in TM</t>
  </si>
  <si>
    <t>DNS Update</t>
  </si>
  <si>
    <t>Stop application</t>
  </si>
  <si>
    <t>Source VM Shutdown</t>
  </si>
  <si>
    <t>Final Sync and Cutover</t>
  </si>
  <si>
    <t>Migration Complete</t>
  </si>
  <si>
    <t>Steady State team</t>
  </si>
  <si>
    <t>Steady Steady Team</t>
  </si>
  <si>
    <t>Stakeholders</t>
  </si>
  <si>
    <t>Migration Wave 1:</t>
  </si>
  <si>
    <t>Company</t>
  </si>
  <si>
    <t>Work telephone</t>
  </si>
  <si>
    <t>Mobile telephone</t>
  </si>
  <si>
    <t>Home telephone</t>
  </si>
  <si>
    <t>Internet email address</t>
  </si>
  <si>
    <t>Current migration</t>
  </si>
  <si>
    <t>Hourly updates</t>
  </si>
  <si>
    <t>Tech meetings</t>
  </si>
  <si>
    <t>Mgmt. meetings</t>
  </si>
  <si>
    <t>Escalate</t>
  </si>
  <si>
    <t>IBM T&amp;T Contacts</t>
  </si>
  <si>
    <t>IBM CMF Team contacts</t>
  </si>
  <si>
    <t>IBM IMI Team contacts</t>
  </si>
  <si>
    <t>TAC Worksafe Application team</t>
  </si>
  <si>
    <t>IBM Tools team</t>
  </si>
  <si>
    <t>TAC Worksafe ITSS team</t>
  </si>
  <si>
    <t>Activities</t>
  </si>
  <si>
    <t>Start Date</t>
  </si>
  <si>
    <t>End Date</t>
  </si>
  <si>
    <t>Check point for Migration Wave</t>
  </si>
  <si>
    <t>Change Approved</t>
  </si>
  <si>
    <t>Wave 1.0 Rundown Start</t>
  </si>
  <si>
    <t>Go No Go call for Wave 1.0 Start</t>
  </si>
  <si>
    <t xml:space="preserve">Check point to discuss the Wave 1.0 Test Results AND confirmation to Rollback. </t>
  </si>
  <si>
    <t>Check point to discuss the  hand over to BAU's or Business for their routine activities.</t>
  </si>
  <si>
    <t>Bridge Details for Checkpoint Calls</t>
  </si>
  <si>
    <t>Start  Time</t>
  </si>
  <si>
    <t>End time</t>
  </si>
  <si>
    <t>http://ibm.webex.com/meet/deepdias</t>
  </si>
  <si>
    <t xml:space="preserve">Meeting No:  </t>
  </si>
  <si>
    <t>Escalation Matrix</t>
  </si>
  <si>
    <t>Contact</t>
  </si>
  <si>
    <t>Mail ID</t>
  </si>
  <si>
    <t>Deepak Dias</t>
  </si>
  <si>
    <t>Deepdias@in.ibm.com</t>
  </si>
  <si>
    <t>Sudhindra Srinivasamurthy</t>
  </si>
  <si>
    <t>Sudhinsr@in.ibm.com</t>
  </si>
  <si>
    <t>Len Neuhoff</t>
  </si>
  <si>
    <t>lNeuhoff@au1.ibm.com</t>
  </si>
  <si>
    <t>Russell Haynes</t>
  </si>
  <si>
    <t>rhaynes@au1.ibm.com</t>
  </si>
  <si>
    <t>Issue ID</t>
  </si>
  <si>
    <t>Date Opened</t>
  </si>
  <si>
    <t>Project/ Region</t>
  </si>
  <si>
    <t>Issue Description</t>
  </si>
  <si>
    <t>Identified by</t>
  </si>
  <si>
    <t>Issue Rating</t>
  </si>
  <si>
    <t>Resolution Owner</t>
  </si>
  <si>
    <t>Target Resolution Date</t>
  </si>
  <si>
    <t>Date Resolved</t>
  </si>
  <si>
    <t>Escalation Owner</t>
  </si>
  <si>
    <t>Escalation Date</t>
  </si>
  <si>
    <t>Risk  #</t>
  </si>
  <si>
    <t>Risk Category</t>
  </si>
  <si>
    <t>Description of Risk &amp; Causes</t>
  </si>
  <si>
    <t>Open Date</t>
  </si>
  <si>
    <t>Initiator</t>
  </si>
  <si>
    <t>Probability</t>
  </si>
  <si>
    <t>Impact</t>
  </si>
  <si>
    <t>Description of Impact</t>
  </si>
  <si>
    <t>Contingency Action/ 
Avoid-Transfer-Mitigate Actions</t>
  </si>
  <si>
    <t>Contingency / Mitigation Owner</t>
  </si>
  <si>
    <t>Estimated Risk Resolution Date</t>
  </si>
  <si>
    <t>Date Closed</t>
  </si>
  <si>
    <t>R-001</t>
  </si>
  <si>
    <t>Landing Zone Availibiility</t>
  </si>
  <si>
    <t>Landing zone needs to be available as per the scheduled dat.</t>
  </si>
  <si>
    <t>M</t>
  </si>
  <si>
    <t>H</t>
  </si>
  <si>
    <t>Avoid</t>
  </si>
  <si>
    <t>R-002</t>
  </si>
  <si>
    <t>WAN Link Connectivity</t>
  </si>
  <si>
    <t>WAN connectivity needs to be established as per project schedule</t>
  </si>
  <si>
    <t>R-003</t>
  </si>
  <si>
    <t>R-004</t>
  </si>
  <si>
    <t>R-005</t>
  </si>
  <si>
    <t>R-006</t>
  </si>
  <si>
    <t xml:space="preserve">Application </t>
  </si>
  <si>
    <t>Link for Documents</t>
  </si>
  <si>
    <t xml:space="preserve">Avanti </t>
  </si>
  <si>
    <t>https://taccbm.sharepoint.com/:f:/s/iaas/EvPwyM6pzgRBmv3irpWkDVcBGNQvMp1BtOHDxMHXR4OBRw?e=lYZc1Y</t>
  </si>
  <si>
    <t>Citrix</t>
  </si>
  <si>
    <t>TRIM</t>
  </si>
  <si>
    <t>https://taccbm.sharepoint.com/:f:/s/iaas/EmEOphZTOZFMk-D_CKVzKb8BxlUYxT-mt0mScA4GXFIOEQ?e=2SQOGv</t>
  </si>
  <si>
    <t>File - Print and Fax</t>
  </si>
  <si>
    <t>Utility Systems</t>
  </si>
  <si>
    <t>WAS - Websphere App Server</t>
  </si>
  <si>
    <t>https://taccbm.sharepoint.com/:w:/r/sites/iaas/_layouts/15/Doc.aspx?sourcedoc=%7B21132CAD-48EA-4464-B288-84CED8E92818%7D&amp;file=WebSphere%20Application%20Server%208.5.5%20Reference%20Architecture%20v071.doc&amp;action=default&amp;mobileredirect=true&amp;DefaultItemOpen=1</t>
  </si>
  <si>
    <t xml:space="preserve">Load Runner Generator </t>
  </si>
  <si>
    <t>Jira</t>
  </si>
  <si>
    <t>Migration Coverage</t>
  </si>
  <si>
    <r>
      <rPr>
        <sz val="9"/>
        <rFont val="Verdana"/>
        <family val="2"/>
        <charset val="1"/>
      </rPr>
      <t>v</t>
    </r>
    <r>
      <rPr>
        <sz val="7"/>
        <rFont val="Verdana"/>
        <family val="2"/>
        <charset val="1"/>
      </rPr>
      <t xml:space="preserve">      </t>
    </r>
    <r>
      <rPr>
        <sz val="9"/>
        <rFont val="Verdana"/>
        <family val="2"/>
        <charset val="1"/>
      </rPr>
      <t>All IBM Technical Support will be logged onto Sametime during their activities.</t>
    </r>
  </si>
  <si>
    <r>
      <rPr>
        <sz val="9"/>
        <rFont val="Verdana"/>
        <family val="2"/>
        <charset val="1"/>
      </rPr>
      <t>v</t>
    </r>
    <r>
      <rPr>
        <sz val="7"/>
        <rFont val="Verdana"/>
        <family val="2"/>
        <charset val="1"/>
      </rPr>
      <t xml:space="preserve">      </t>
    </r>
    <r>
      <rPr>
        <sz val="9"/>
        <rFont val="Verdana"/>
        <family val="2"/>
        <charset val="1"/>
      </rPr>
      <t>All IBM Technical Support identified in the Contact List will be available and ready to work if needed during course of go-live migration.</t>
    </r>
  </si>
  <si>
    <r>
      <rPr>
        <sz val="10"/>
        <rFont val="Verdana"/>
        <family val="2"/>
        <charset val="1"/>
      </rPr>
      <t>v</t>
    </r>
    <r>
      <rPr>
        <sz val="11"/>
        <rFont val="Verdana"/>
        <family val="2"/>
        <charset val="1"/>
      </rPr>
      <t xml:space="preserve">   For All Support Issues please contact the IBM Wave PM (See Section 10 for Contact Information Contact List (Project Stakeholders)). </t>
    </r>
  </si>
  <si>
    <r>
      <rPr>
        <sz val="9"/>
        <rFont val="Verdana"/>
        <family val="2"/>
        <charset val="1"/>
      </rPr>
      <t>v</t>
    </r>
    <r>
      <rPr>
        <sz val="7"/>
        <rFont val="Verdana"/>
        <family val="2"/>
        <charset val="1"/>
      </rPr>
      <t xml:space="preserve">      </t>
    </r>
    <r>
      <rPr>
        <sz val="9"/>
        <rFont val="Verdana"/>
        <family val="2"/>
        <charset val="1"/>
      </rPr>
      <t>All Baxter Application Support will be working remotely unless otherwise indicated.</t>
    </r>
  </si>
  <si>
    <r>
      <rPr>
        <sz val="9"/>
        <rFont val="Verdana"/>
        <family val="2"/>
        <charset val="1"/>
      </rPr>
      <t>v</t>
    </r>
    <r>
      <rPr>
        <sz val="7"/>
        <rFont val="Verdana"/>
        <family val="2"/>
        <charset val="1"/>
      </rPr>
      <t xml:space="preserve">      </t>
    </r>
    <r>
      <rPr>
        <sz val="9"/>
        <rFont val="Verdana"/>
        <family val="2"/>
        <charset val="1"/>
      </rPr>
      <t>All Baxter Application Support will monitor Baxter email for project status updates.</t>
    </r>
  </si>
  <si>
    <r>
      <rPr>
        <sz val="9"/>
        <rFont val="Verdana"/>
        <family val="2"/>
        <charset val="1"/>
      </rPr>
      <t>v</t>
    </r>
    <r>
      <rPr>
        <sz val="7"/>
        <rFont val="Verdana"/>
        <family val="2"/>
        <charset val="1"/>
      </rPr>
      <t xml:space="preserve">      </t>
    </r>
    <r>
      <rPr>
        <sz val="9"/>
        <rFont val="Verdana"/>
        <family val="2"/>
        <charset val="1"/>
      </rPr>
      <t>All Baxter Application Support identified in the Contact List will be available and ready to work if needed during course of go-live migration.</t>
    </r>
  </si>
  <si>
    <t>On-Site Data Center Migration Coverage</t>
  </si>
  <si>
    <t>Dates --&gt;</t>
  </si>
  <si>
    <t>27 Aug (Monday)</t>
  </si>
  <si>
    <t>28 Aug
(Tuesday)</t>
  </si>
  <si>
    <t>IBM Migration PM's</t>
  </si>
  <si>
    <t>IBM Migration Team</t>
  </si>
  <si>
    <t>Len Neuhoff (On site)</t>
  </si>
  <si>
    <t>Sunil</t>
  </si>
  <si>
    <t>Dibya</t>
  </si>
  <si>
    <t>Backup &amp; Contingency</t>
  </si>
  <si>
    <t>Move Method</t>
  </si>
  <si>
    <t>Application</t>
  </si>
  <si>
    <t>Plan</t>
  </si>
  <si>
    <t>Netapp Backup-Setup</t>
  </si>
  <si>
    <t>Context</t>
  </si>
  <si>
    <t>Create SnapVault Relationship</t>
  </si>
  <si>
    <t>Initialize SnapVault Relationship</t>
  </si>
  <si>
    <t>Assign SnapVault Policy</t>
  </si>
  <si>
    <t>snapmirror create -source-path : -destination-path : -schedule  -type XDP</t>
  </si>
  <si>
    <t>snapmirror initialize -destination-path :</t>
  </si>
  <si>
    <t xml:space="preserve">snapmirror modify -destination-path  -destination-path : -policy </t>
  </si>
  <si>
    <t>Netapp Backout Steps</t>
  </si>
  <si>
    <t>Production Site</t>
  </si>
  <si>
    <t>DR Site</t>
  </si>
  <si>
    <t>CLI</t>
  </si>
  <si>
    <t>Delete CIFS from SVM</t>
  </si>
  <si>
    <t xml:space="preserve">cifs show -vserver </t>
  </si>
  <si>
    <t xml:space="preserve">cifs delete -vserver </t>
  </si>
  <si>
    <t>Windows DC</t>
  </si>
  <si>
    <t>Verify Computer Object is deleted</t>
  </si>
  <si>
    <t>Add IP as alias to 7mode</t>
  </si>
  <si>
    <t xml:space="preserve">ifconfig  -alias </t>
  </si>
  <si>
    <t>Setup CIFS on source vFiler</t>
  </si>
  <si>
    <t>Pre-stage Computer Object in required OU</t>
  </si>
  <si>
    <t>vfiler run  cifs setup</t>
  </si>
  <si>
    <t>UAT</t>
  </si>
  <si>
    <t>Conferenece Number:</t>
  </si>
  <si>
    <t>Mobile</t>
  </si>
  <si>
    <t>Project Manager</t>
  </si>
  <si>
    <t>91 9845688947</t>
  </si>
  <si>
    <t>CMF Architect</t>
  </si>
  <si>
    <t>lneuhoff@au1.ibm.com</t>
  </si>
  <si>
    <t>CMF SME</t>
  </si>
  <si>
    <t>Sunil Ka Veeranna</t>
  </si>
  <si>
    <t>Veeransu@in.ibm.com</t>
  </si>
  <si>
    <t>Dibya R Mohanty</t>
  </si>
  <si>
    <t>dibmohan@in.ibm.com</t>
  </si>
  <si>
    <t>Migration Manager</t>
  </si>
  <si>
    <t>Head of IT</t>
  </si>
  <si>
    <t>Migration Team</t>
  </si>
  <si>
    <t>App team</t>
  </si>
  <si>
    <t>Server</t>
  </si>
  <si>
    <t>Primary Application Contact</t>
  </si>
  <si>
    <t>Escalation Mechanism</t>
  </si>
  <si>
    <t>Send a mail indicating the issue description to the following persons:</t>
  </si>
  <si>
    <t>Testing Manager, will log in the issue log and find the support to look at it</t>
  </si>
  <si>
    <t>Test Manager will update the issue progress in the chat group as well as in mail</t>
  </si>
  <si>
    <t>Support will be invited to the conference bridge if necessary</t>
  </si>
  <si>
    <t>Kanishk Yadav</t>
  </si>
  <si>
    <t>Habeeb Rahman</t>
  </si>
  <si>
    <t>Jagjit Singh Saini</t>
  </si>
  <si>
    <t>Rod Williams</t>
  </si>
  <si>
    <t>Brian Hwang</t>
  </si>
  <si>
    <t>Jaspreet Cheema</t>
  </si>
  <si>
    <t>Lou Silva</t>
  </si>
  <si>
    <t>Eugene Hovjacky</t>
  </si>
  <si>
    <t>Ian Roberts</t>
  </si>
  <si>
    <t>Vinaya Kasirala</t>
  </si>
  <si>
    <t>Hostname</t>
  </si>
  <si>
    <t>Scope</t>
  </si>
  <si>
    <t>Source IP Address</t>
  </si>
  <si>
    <t>Device Type</t>
  </si>
  <si>
    <t>DMZ</t>
  </si>
  <si>
    <t>DR Protection</t>
  </si>
  <si>
    <t>V#71</t>
  </si>
  <si>
    <t>Alonso Villalobos</t>
  </si>
  <si>
    <t>Scope
(Initial, New,
  Deleted)</t>
  </si>
  <si>
    <t>AssetDependencyId</t>
  </si>
  <si>
    <t/>
  </si>
  <si>
    <t xml:space="preserve">                                                         *** Copy &amp; Paste Values from Event Scope tab in Migration Event Workbook ***</t>
  </si>
  <si>
    <r>
      <t xml:space="preserve">Migration Event Number </t>
    </r>
    <r>
      <rPr>
        <b/>
        <sz val="16"/>
        <color rgb="FFFF0000"/>
        <rFont val="Arial"/>
        <family val="2"/>
      </rPr>
      <t>(MEAxxx)</t>
    </r>
    <r>
      <rPr>
        <b/>
        <sz val="16"/>
        <rFont val="Arial"/>
        <family val="2"/>
      </rPr>
      <t xml:space="preserve"> - Server Scope</t>
    </r>
  </si>
  <si>
    <r>
      <t>Transition Manager ™ Bundle name:</t>
    </r>
    <r>
      <rPr>
        <sz val="16"/>
        <color rgb="FFFF0000"/>
        <rFont val="Calibri"/>
        <family val="2"/>
      </rPr>
      <t xml:space="preserve"> </t>
    </r>
    <r>
      <rPr>
        <sz val="16"/>
        <color rgb="FF0000FF"/>
        <rFont val="Calibri"/>
        <family val="2"/>
      </rPr>
      <t>AppGroupA</t>
    </r>
    <r>
      <rPr>
        <sz val="16"/>
        <color rgb="FFFF0000"/>
        <rFont val="Calibri"/>
        <family val="2"/>
      </rPr>
      <t xml:space="preserve"> - Non Prod</t>
    </r>
  </si>
  <si>
    <t>•The "Event Scope" sheet format was has been adjusted to be identical to the PM-MEW V1.36
-Added Columns DMZ &amp; Scope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</si>
</sst>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d\ mmm\ yy"/>
    <numFmt numFmtId="165" formatCode="dd\-mmm\-yy\ hh:mm"/>
    <numFmt numFmtId="166" formatCode="d\-mmm\-yy;@"/>
    <numFmt numFmtId="167" formatCode="m/d/yy\ h:mm;@"/>
    <numFmt numFmtId="168" formatCode="dddd&quot;, &quot;mmmm\ dd&quot;, &quot;yyyy&quot;, &quot;hh:mm\ AM/PM"/>
    <numFmt numFmtId="169" formatCode="m/d"/>
    <numFmt numFmtId="170" formatCode="dd\-mmm\-yyyy"/>
    <numFmt numFmtId="171" formatCode="[$-409]m/d/yy\ h:mm\ AM/PM;@"/>
    <numFmt numFmtId="172" formatCode="dddd&quot;, &quot;mmmm\ dd&quot;, &quot;yyyy"/>
    <numFmt numFmtId="173" formatCode="m/d;@"/>
    <numFmt numFmtId="174" formatCode="d\ mmm\,\ yy\ \-\ h:mm\ AM/PM;@"/>
    <numFmt numFmtId="175" formatCode="[$-409]d\-mmm\-yyyy;@"/>
    <numFmt numFmtId="176" formatCode="h:mm\ AM/PM;@"/>
    <numFmt numFmtId="177" formatCode="m/d/yy\ h:mm\ AM/PM;@"/>
    <numFmt numFmtId="178" formatCode="0.0"/>
    <numFmt numFmtId="179" formatCode="d:hh:mm"/>
    <numFmt numFmtId="180" formatCode="[$-409]h:mm\ AM/PM;@"/>
    <numFmt numFmtId="181" formatCode="dd\-mmm\-yy;@"/>
    <numFmt numFmtId="182" formatCode="[$-F800]dddd\,\ mmmm\ dd\,\ yyyy"/>
    <numFmt numFmtId="183" formatCode="[$-409]d\-mmm\-yy;@"/>
    <numFmt numFmtId="184" formatCode="[$-409]ddd\,\ mmm\ dd\,\ yyyy"/>
  </numFmts>
  <fonts count="235" x14ac:knownFonts="1">
    <font>
      <sz val="11"/>
      <color rgb="FF000000"/>
      <name val="Calibri"/>
      <family val="2"/>
      <charset val="1"/>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charset val="1"/>
    </font>
    <font>
      <u/>
      <sz val="11"/>
      <color rgb="FF0563C1"/>
      <name val="Calibri"/>
      <family val="2"/>
      <charset val="1"/>
    </font>
    <font>
      <sz val="10"/>
      <name val="Arial"/>
      <family val="2"/>
      <charset val="1"/>
    </font>
    <font>
      <sz val="11"/>
      <name val="Arial"/>
      <family val="2"/>
      <charset val="1"/>
    </font>
    <font>
      <sz val="11"/>
      <color rgb="FF000000"/>
      <name val="Arial"/>
      <family val="2"/>
      <charset val="1"/>
    </font>
    <font>
      <sz val="12"/>
      <color rgb="FFFFFFFF"/>
      <name val="Calibri"/>
      <family val="2"/>
      <charset val="1"/>
    </font>
    <font>
      <b/>
      <sz val="10"/>
      <color rgb="FFFFFFFF"/>
      <name val="Verdana"/>
      <family val="2"/>
      <charset val="1"/>
    </font>
    <font>
      <sz val="12"/>
      <name val="Calibri"/>
      <family val="2"/>
      <charset val="1"/>
    </font>
    <font>
      <b/>
      <sz val="10"/>
      <name val="Verdana"/>
      <family val="2"/>
      <charset val="1"/>
    </font>
    <font>
      <sz val="10"/>
      <name val="Verdana"/>
      <family val="2"/>
      <charset val="1"/>
    </font>
    <font>
      <sz val="10"/>
      <color rgb="FF000000"/>
      <name val="Verdana"/>
      <family val="2"/>
      <charset val="1"/>
    </font>
    <font>
      <b/>
      <sz val="24"/>
      <name val="Arial"/>
      <family val="2"/>
      <charset val="1"/>
    </font>
    <font>
      <b/>
      <sz val="10"/>
      <name val="Arial"/>
      <family val="2"/>
      <charset val="1"/>
    </font>
    <font>
      <b/>
      <sz val="17"/>
      <name val="Verdana"/>
      <family val="2"/>
      <charset val="1"/>
    </font>
    <font>
      <sz val="11"/>
      <name val="Verdana"/>
      <family val="2"/>
      <charset val="1"/>
    </font>
    <font>
      <b/>
      <sz val="12"/>
      <color rgb="FF000000"/>
      <name val="Verdana"/>
      <family val="2"/>
      <charset val="1"/>
    </font>
    <font>
      <sz val="10"/>
      <name val="Calibri"/>
      <family val="2"/>
      <charset val="1"/>
    </font>
    <font>
      <b/>
      <sz val="12"/>
      <color rgb="FFFFFFFF"/>
      <name val="Verdana"/>
      <family val="2"/>
      <charset val="1"/>
    </font>
    <font>
      <b/>
      <sz val="12"/>
      <name val="Verdana"/>
      <family val="2"/>
      <charset val="1"/>
    </font>
    <font>
      <sz val="12"/>
      <name val="Verdana"/>
      <family val="2"/>
      <charset val="1"/>
    </font>
    <font>
      <sz val="12"/>
      <name val="Arial"/>
      <family val="2"/>
      <charset val="1"/>
    </font>
    <font>
      <b/>
      <sz val="10"/>
      <name val="Calibri"/>
      <family val="2"/>
      <charset val="1"/>
    </font>
    <font>
      <b/>
      <sz val="16"/>
      <name val="Calibri"/>
      <family val="2"/>
      <charset val="1"/>
    </font>
    <font>
      <b/>
      <sz val="12"/>
      <name val="Calibri"/>
      <family val="2"/>
      <charset val="1"/>
    </font>
    <font>
      <sz val="11"/>
      <color rgb="FF000000"/>
      <name val="Verdana"/>
      <family val="2"/>
      <charset val="1"/>
    </font>
    <font>
      <sz val="11"/>
      <name val="Calibri"/>
      <family val="2"/>
      <charset val="1"/>
    </font>
    <font>
      <b/>
      <sz val="10"/>
      <color rgb="FF000000"/>
      <name val="Verdana"/>
      <family val="2"/>
      <charset val="1"/>
    </font>
    <font>
      <u/>
      <sz val="11"/>
      <color rgb="FF0563C1"/>
      <name val="Arial"/>
      <family val="2"/>
      <charset val="1"/>
    </font>
    <font>
      <b/>
      <sz val="16"/>
      <name val="Arial"/>
      <family val="2"/>
      <charset val="1"/>
    </font>
    <font>
      <sz val="16"/>
      <name val="Arial"/>
      <family val="2"/>
      <charset val="1"/>
    </font>
    <font>
      <sz val="16"/>
      <color rgb="FF000000"/>
      <name val="Arial"/>
      <family val="2"/>
      <charset val="1"/>
    </font>
    <font>
      <b/>
      <sz val="11"/>
      <name val="Arial"/>
      <family val="2"/>
      <charset val="1"/>
    </font>
    <font>
      <b/>
      <sz val="12"/>
      <name val="Arial"/>
      <family val="2"/>
      <charset val="1"/>
    </font>
    <font>
      <sz val="10"/>
      <color rgb="FF800000"/>
      <name val="Arial"/>
      <family val="2"/>
      <charset val="1"/>
    </font>
    <font>
      <u/>
      <sz val="11"/>
      <color rgb="FF0563C1"/>
      <name val="Verdana"/>
      <family val="2"/>
      <charset val="1"/>
    </font>
    <font>
      <sz val="10"/>
      <color rgb="FF800080"/>
      <name val="Verdana"/>
      <family val="2"/>
      <charset val="1"/>
    </font>
    <font>
      <sz val="10"/>
      <color rgb="FF800000"/>
      <name val="Verdana"/>
      <family val="2"/>
      <charset val="1"/>
    </font>
    <font>
      <sz val="11"/>
      <color rgb="FF800000"/>
      <name val="Verdana"/>
      <family val="2"/>
      <charset val="1"/>
    </font>
    <font>
      <u/>
      <sz val="11"/>
      <color rgb="FF800000"/>
      <name val="Verdana"/>
      <family val="2"/>
      <charset val="1"/>
    </font>
    <font>
      <sz val="8"/>
      <color rgb="FF002236"/>
      <name val="Arial"/>
      <family val="2"/>
      <charset val="1"/>
    </font>
    <font>
      <u/>
      <sz val="10"/>
      <color rgb="FF800000"/>
      <name val="Arial"/>
      <family val="2"/>
      <charset val="1"/>
    </font>
    <font>
      <b/>
      <sz val="10"/>
      <color rgb="FF800080"/>
      <name val="Arial"/>
      <family val="2"/>
      <charset val="1"/>
    </font>
    <font>
      <sz val="10"/>
      <color rgb="FF800080"/>
      <name val="Arial"/>
      <family val="2"/>
      <charset val="1"/>
    </font>
    <font>
      <sz val="11"/>
      <color rgb="FF800000"/>
      <name val="Calibri"/>
      <family val="2"/>
      <charset val="1"/>
    </font>
    <font>
      <b/>
      <sz val="10"/>
      <color rgb="FF000000"/>
      <name val="Calibri"/>
      <family val="2"/>
      <charset val="1"/>
    </font>
    <font>
      <b/>
      <sz val="11"/>
      <color rgb="FF800000"/>
      <name val="Arial"/>
      <family val="2"/>
      <charset val="1"/>
    </font>
    <font>
      <b/>
      <sz val="13"/>
      <name val="Calibri"/>
      <family val="2"/>
      <charset val="1"/>
    </font>
    <font>
      <sz val="13"/>
      <color rgb="FF000000"/>
      <name val="Calibri"/>
      <family val="2"/>
      <charset val="1"/>
    </font>
    <font>
      <b/>
      <sz val="24"/>
      <name val="Verdana"/>
      <family val="2"/>
      <charset val="1"/>
    </font>
    <font>
      <b/>
      <sz val="16"/>
      <name val="Verdana"/>
      <family val="2"/>
      <charset val="1"/>
    </font>
    <font>
      <sz val="16"/>
      <name val="Verdana"/>
      <family val="2"/>
      <charset val="1"/>
    </font>
    <font>
      <sz val="9"/>
      <name val="Verdana"/>
      <family val="2"/>
      <charset val="1"/>
    </font>
    <font>
      <sz val="7"/>
      <name val="Verdana"/>
      <family val="2"/>
      <charset val="1"/>
    </font>
    <font>
      <u/>
      <sz val="10"/>
      <color rgb="FF800080"/>
      <name val="Verdana"/>
      <family val="2"/>
      <charset val="1"/>
    </font>
    <font>
      <b/>
      <sz val="17"/>
      <name val="Arial"/>
      <family val="2"/>
      <charset val="1"/>
    </font>
    <font>
      <b/>
      <sz val="11"/>
      <color rgb="FF000000"/>
      <name val="Verdana"/>
      <family val="2"/>
      <charset val="1"/>
    </font>
    <font>
      <sz val="26"/>
      <color rgb="FF008000"/>
      <name val="Verdana"/>
      <family val="2"/>
      <charset val="1"/>
    </font>
    <font>
      <b/>
      <sz val="8"/>
      <name val="Verdana"/>
      <family val="2"/>
      <charset val="1"/>
    </font>
    <font>
      <b/>
      <sz val="8"/>
      <color rgb="FF333399"/>
      <name val="Verdana"/>
      <family val="2"/>
      <charset val="1"/>
    </font>
    <font>
      <sz val="8"/>
      <color rgb="FF333399"/>
      <name val="Verdana"/>
      <family val="2"/>
      <charset val="1"/>
    </font>
    <font>
      <sz val="8"/>
      <name val="Verdana"/>
      <family val="2"/>
      <charset val="1"/>
    </font>
    <font>
      <b/>
      <sz val="8"/>
      <color rgb="FF003366"/>
      <name val="Verdana"/>
      <family val="2"/>
      <charset val="1"/>
    </font>
    <font>
      <sz val="8"/>
      <color rgb="FF003366"/>
      <name val="Verdana"/>
      <family val="2"/>
      <charset val="1"/>
    </font>
    <font>
      <sz val="8"/>
      <color rgb="FF800000"/>
      <name val="Verdana"/>
      <family val="2"/>
      <charset val="1"/>
    </font>
    <font>
      <b/>
      <sz val="10"/>
      <color rgb="FF003366"/>
      <name val="Verdana"/>
      <family val="2"/>
      <charset val="1"/>
    </font>
    <font>
      <sz val="12"/>
      <color rgb="FFFFFFFF"/>
      <name val="Arial"/>
      <family val="2"/>
      <charset val="1"/>
    </font>
    <font>
      <b/>
      <sz val="14"/>
      <name val="Verdana"/>
      <family val="2"/>
      <charset val="1"/>
    </font>
    <font>
      <sz val="14"/>
      <name val="Verdana"/>
      <family val="2"/>
      <charset val="1"/>
    </font>
    <font>
      <sz val="14"/>
      <name val="Calibri"/>
      <family val="2"/>
      <charset val="1"/>
    </font>
    <font>
      <sz val="11"/>
      <color rgb="FF0000FF"/>
      <name val="Verdana"/>
      <family val="2"/>
      <charset val="1"/>
    </font>
    <font>
      <sz val="10"/>
      <color rgb="FF0000FF"/>
      <name val="Verdana"/>
      <family val="2"/>
      <charset val="1"/>
    </font>
    <font>
      <u/>
      <sz val="10"/>
      <color rgb="FF0000FF"/>
      <name val="Verdana"/>
      <family val="2"/>
      <charset val="1"/>
    </font>
    <font>
      <u/>
      <sz val="11"/>
      <color rgb="FF0000FF"/>
      <name val="Verdana"/>
      <family val="2"/>
      <charset val="1"/>
    </font>
    <font>
      <sz val="10"/>
      <color rgb="FFFF0000"/>
      <name val="Verdana"/>
      <family val="2"/>
      <charset val="1"/>
    </font>
    <font>
      <sz val="11"/>
      <color rgb="FF9C0006"/>
      <name val="Calibri"/>
      <family val="2"/>
      <scheme val="minor"/>
    </font>
    <font>
      <sz val="11"/>
      <color rgb="FF3F3F76"/>
      <name val="Calibri"/>
      <family val="2"/>
      <scheme val="minor"/>
    </font>
    <font>
      <sz val="12"/>
      <name val="Arial"/>
      <family val="2"/>
    </font>
    <font>
      <b/>
      <sz val="12"/>
      <name val="Arial"/>
      <family val="2"/>
    </font>
    <font>
      <u/>
      <sz val="12"/>
      <color theme="10"/>
      <name val="Arial"/>
      <family val="2"/>
    </font>
    <font>
      <sz val="11"/>
      <color indexed="8"/>
      <name val="Calibri"/>
      <family val="2"/>
    </font>
    <font>
      <sz val="10"/>
      <name val="Arial"/>
      <family val="2"/>
      <charset val="204"/>
    </font>
    <font>
      <sz val="10"/>
      <name val="Arial"/>
      <family val="2"/>
    </font>
    <font>
      <u/>
      <sz val="11"/>
      <color theme="10"/>
      <name val="Calibri"/>
      <family val="2"/>
      <scheme val="minor"/>
    </font>
    <font>
      <i/>
      <sz val="11"/>
      <color indexed="23"/>
      <name val="Calibri"/>
      <family val="2"/>
    </font>
    <font>
      <b/>
      <sz val="10"/>
      <color theme="0"/>
      <name val="Arial"/>
      <family val="2"/>
    </font>
    <font>
      <b/>
      <sz val="12"/>
      <color theme="0"/>
      <name val="Arial"/>
      <family val="2"/>
    </font>
    <font>
      <sz val="12"/>
      <color theme="1"/>
      <name val="Arial"/>
      <family val="2"/>
    </font>
    <font>
      <b/>
      <sz val="11"/>
      <color rgb="FF000000"/>
      <name val="Calibri"/>
      <family val="2"/>
    </font>
    <font>
      <sz val="14"/>
      <color rgb="FF000000"/>
      <name val="Calibri"/>
      <family val="2"/>
      <charset val="1"/>
    </font>
    <font>
      <sz val="12"/>
      <color rgb="FF000000"/>
      <name val="Arial"/>
      <family val="2"/>
    </font>
    <font>
      <b/>
      <sz val="12"/>
      <color indexed="8"/>
      <name val="Arial"/>
      <family val="2"/>
    </font>
    <font>
      <b/>
      <sz val="12"/>
      <color indexed="10"/>
      <name val="Arial"/>
      <family val="2"/>
    </font>
    <font>
      <sz val="12"/>
      <color theme="0"/>
      <name val="Arial"/>
      <family val="2"/>
    </font>
    <font>
      <b/>
      <sz val="11"/>
      <name val="Arial"/>
      <family val="2"/>
    </font>
    <font>
      <b/>
      <sz val="11"/>
      <color rgb="FF0000FF"/>
      <name val="Arial"/>
      <family val="2"/>
    </font>
    <font>
      <sz val="11"/>
      <name val="Arial"/>
      <family val="2"/>
    </font>
    <font>
      <sz val="11"/>
      <name val="Calibri"/>
      <family val="2"/>
      <scheme val="minor"/>
    </font>
    <font>
      <b/>
      <sz val="12"/>
      <color rgb="FF0000FF"/>
      <name val="Arial"/>
      <family val="2"/>
    </font>
    <font>
      <b/>
      <sz val="16"/>
      <color rgb="FFFF0000"/>
      <name val="Arial"/>
      <family val="2"/>
    </font>
    <font>
      <b/>
      <sz val="16"/>
      <name val="Arial"/>
      <family val="2"/>
    </font>
    <font>
      <b/>
      <sz val="14"/>
      <name val="Arial"/>
      <family val="2"/>
    </font>
    <font>
      <b/>
      <sz val="12"/>
      <color rgb="FFFF0000"/>
      <name val="Arial"/>
      <family val="2"/>
    </font>
    <font>
      <b/>
      <sz val="10"/>
      <name val="Arial"/>
      <family val="2"/>
    </font>
    <font>
      <b/>
      <sz val="14"/>
      <color theme="0"/>
      <name val="Arial"/>
      <family val="2"/>
    </font>
    <font>
      <sz val="11"/>
      <color theme="0"/>
      <name val="Arial"/>
      <family val="2"/>
    </font>
    <font>
      <b/>
      <sz val="14"/>
      <color rgb="FF0000FF"/>
      <name val="Arial"/>
      <family val="2"/>
    </font>
    <font>
      <sz val="16"/>
      <name val="Calibri"/>
      <family val="2"/>
    </font>
    <font>
      <u/>
      <sz val="9"/>
      <color rgb="FF0563C1"/>
      <name val="Calibri"/>
      <family val="2"/>
      <charset val="1"/>
    </font>
    <font>
      <b/>
      <sz val="12"/>
      <color theme="0"/>
      <name val="Calibri"/>
      <family val="2"/>
      <scheme val="minor"/>
    </font>
    <font>
      <sz val="12"/>
      <color rgb="FFFF0000"/>
      <name val="Arial"/>
      <family val="2"/>
    </font>
    <font>
      <sz val="16"/>
      <color rgb="FFFF0000"/>
      <name val="Calibri"/>
      <family val="2"/>
    </font>
    <font>
      <sz val="10"/>
      <color rgb="FFFF0000"/>
      <name val="Arial"/>
      <family val="2"/>
      <charset val="1"/>
    </font>
    <font>
      <sz val="10"/>
      <color rgb="FFFF0000"/>
      <name val="Calibri"/>
      <family val="2"/>
      <scheme val="minor"/>
    </font>
    <font>
      <sz val="11"/>
      <color rgb="FFFF0000"/>
      <name val="Calibri"/>
      <family val="2"/>
      <charset val="1"/>
    </font>
    <font>
      <b/>
      <sz val="14"/>
      <color rgb="FFFF0000"/>
      <name val="Arial"/>
      <family val="2"/>
    </font>
    <font>
      <sz val="11"/>
      <color rgb="FF000000"/>
      <name val="Arial"/>
      <family val="2"/>
    </font>
    <font>
      <sz val="16"/>
      <color rgb="FF0000FF"/>
      <name val="Calibri"/>
      <family val="2"/>
    </font>
    <font>
      <sz val="12"/>
      <name val="Calibri"/>
      <family val="2"/>
    </font>
    <font>
      <sz val="12"/>
      <color rgb="FF0070C0"/>
      <name val="Calibri"/>
      <family val="2"/>
    </font>
    <font>
      <sz val="20"/>
      <color rgb="FFFF0000"/>
      <name val="Calibri"/>
      <family val="2"/>
      <charset val="1"/>
    </font>
    <font>
      <sz val="14"/>
      <color rgb="FF000000"/>
      <name val="Arial"/>
      <family val="2"/>
    </font>
    <font>
      <sz val="14"/>
      <color rgb="FF0070C0"/>
      <name val="Arial"/>
      <family val="2"/>
    </font>
    <font>
      <sz val="14"/>
      <name val="Arial"/>
      <family val="2"/>
    </font>
    <font>
      <sz val="14"/>
      <color rgb="FF0000FF"/>
      <name val="Arial"/>
      <family val="2"/>
    </font>
    <font>
      <sz val="14"/>
      <color theme="0"/>
      <name val="Arial"/>
      <family val="2"/>
    </font>
    <font>
      <b/>
      <sz val="12"/>
      <color rgb="FFFFFFFF"/>
      <name val="Calibri"/>
      <family val="2"/>
      <charset val="1"/>
    </font>
    <font>
      <b/>
      <sz val="20"/>
      <color rgb="FFFF0000"/>
      <name val="Arial"/>
      <family val="2"/>
    </font>
    <font>
      <sz val="16"/>
      <color rgb="FF000000"/>
      <name val="Calibri"/>
      <family val="2"/>
      <charset val="1"/>
    </font>
    <font>
      <b/>
      <sz val="11"/>
      <name val="Calibri"/>
      <family val="2"/>
    </font>
    <font>
      <sz val="16"/>
      <name val="Arial"/>
      <family val="2"/>
    </font>
    <font>
      <b/>
      <sz val="16"/>
      <color theme="0"/>
      <name val="Arial"/>
      <family val="2"/>
    </font>
    <font>
      <sz val="16"/>
      <color indexed="9"/>
      <name val="Arial"/>
      <family val="2"/>
    </font>
    <font>
      <b/>
      <sz val="16"/>
      <color indexed="9"/>
      <name val="Arial"/>
      <family val="2"/>
    </font>
    <font>
      <sz val="16"/>
      <color theme="0"/>
      <name val="Arial"/>
      <family val="2"/>
    </font>
    <font>
      <u/>
      <sz val="16"/>
      <color theme="10"/>
      <name val="Arial"/>
      <family val="2"/>
    </font>
    <font>
      <sz val="16"/>
      <color theme="1"/>
      <name val="Calibri"/>
      <family val="2"/>
      <scheme val="minor"/>
    </font>
    <font>
      <sz val="18"/>
      <color rgb="FF000000"/>
      <name val="Calibri"/>
      <family val="2"/>
    </font>
    <font>
      <u/>
      <sz val="14"/>
      <name val="Arial"/>
      <family val="2"/>
    </font>
    <font>
      <sz val="20"/>
      <name val="Calibri"/>
      <family val="2"/>
    </font>
    <font>
      <sz val="20"/>
      <color rgb="FF0000FF"/>
      <name val="Calibri"/>
      <family val="2"/>
    </font>
    <font>
      <sz val="20"/>
      <color rgb="FFFF0000"/>
      <name val="Calibri"/>
      <family val="2"/>
    </font>
    <font>
      <b/>
      <sz val="18"/>
      <color rgb="FF000000"/>
      <name val="Calibri"/>
      <family val="2"/>
    </font>
    <font>
      <sz val="8"/>
      <name val="Calibri"/>
      <family val="2"/>
      <charset val="1"/>
    </font>
    <font>
      <b/>
      <sz val="11"/>
      <color theme="0"/>
      <name val="Calibri"/>
      <family val="2"/>
    </font>
    <font>
      <sz val="18"/>
      <name val="Arial"/>
      <family val="2"/>
    </font>
    <font>
      <b/>
      <sz val="18"/>
      <color rgb="FFFF0000"/>
      <name val="Arial"/>
      <family val="2"/>
    </font>
    <font>
      <sz val="18"/>
      <color rgb="FFFF0000"/>
      <name val="Arial"/>
      <family val="2"/>
    </font>
    <font>
      <b/>
      <sz val="18"/>
      <name val="Arial"/>
      <family val="2"/>
    </font>
    <font>
      <b/>
      <sz val="16"/>
      <color rgb="FF0000FF"/>
      <name val="Arial"/>
      <family val="2"/>
    </font>
    <font>
      <i/>
      <sz val="14"/>
      <color rgb="FF0000FF"/>
      <name val="Arial"/>
      <family val="2"/>
    </font>
    <font>
      <i/>
      <sz val="14"/>
      <name val="Arial"/>
      <family val="2"/>
    </font>
    <font>
      <i/>
      <sz val="14"/>
      <color rgb="FF0070C0"/>
      <name val="Arial"/>
      <family val="2"/>
    </font>
    <font>
      <b/>
      <i/>
      <sz val="14"/>
      <name val="Arial"/>
      <family val="2"/>
    </font>
    <font>
      <i/>
      <sz val="14"/>
      <color rgb="FF00B050"/>
      <name val="Arial"/>
      <family val="2"/>
    </font>
    <font>
      <b/>
      <i/>
      <sz val="14"/>
      <color rgb="FF00B050"/>
      <name val="Arial"/>
      <family val="2"/>
    </font>
    <font>
      <sz val="11"/>
      <color rgb="FFFF0000"/>
      <name val="Arial"/>
      <family val="2"/>
    </font>
    <font>
      <sz val="11"/>
      <color indexed="8"/>
      <name val="Calibri"/>
      <family val="2"/>
      <charset val="1"/>
    </font>
    <font>
      <sz val="11"/>
      <color indexed="8"/>
      <name val="Calibri"/>
      <family val="2"/>
      <scheme val="minor"/>
    </font>
    <font>
      <b/>
      <sz val="11"/>
      <color indexed="8"/>
      <name val="Calibri"/>
      <family val="2"/>
      <scheme val="minor"/>
    </font>
    <font>
      <sz val="11.05"/>
      <color indexed="8"/>
      <name val="Calibri"/>
      <family val="2"/>
    </font>
    <font>
      <sz val="11"/>
      <color rgb="FF000000"/>
      <name val="Calibri"/>
      <family val="2"/>
      <scheme val="minor"/>
    </font>
    <font>
      <sz val="12"/>
      <color rgb="FF000000"/>
      <name val="Calibri"/>
      <family val="2"/>
      <charset val="1"/>
    </font>
    <font>
      <b/>
      <sz val="11"/>
      <color rgb="FF000000"/>
      <name val="Arial"/>
      <family val="2"/>
    </font>
    <font>
      <u/>
      <sz val="11"/>
      <color rgb="FF0563C1"/>
      <name val="Arial"/>
      <family val="2"/>
    </font>
    <font>
      <sz val="11"/>
      <color rgb="FF00B050"/>
      <name val="Arial"/>
      <family val="2"/>
    </font>
    <font>
      <sz val="11"/>
      <color rgb="FFFFC000"/>
      <name val="Arial"/>
      <family val="2"/>
    </font>
    <font>
      <sz val="16"/>
      <color rgb="FF000000"/>
      <name val="Arial"/>
      <family val="2"/>
    </font>
    <font>
      <u/>
      <sz val="20"/>
      <name val="Arial"/>
      <family val="2"/>
    </font>
    <font>
      <b/>
      <sz val="11"/>
      <color rgb="FFFF452D"/>
      <name val="Calibri"/>
      <family val="2"/>
    </font>
    <font>
      <sz val="9"/>
      <color indexed="81"/>
      <name val="Tahoma"/>
      <family val="2"/>
    </font>
    <font>
      <b/>
      <sz val="9"/>
      <color indexed="81"/>
      <name val="Tahoma"/>
      <family val="2"/>
    </font>
    <font>
      <u/>
      <sz val="16"/>
      <name val="Arial"/>
      <family val="2"/>
    </font>
    <font>
      <b/>
      <u/>
      <sz val="20"/>
      <name val="Arial"/>
      <family val="2"/>
    </font>
    <font>
      <u/>
      <sz val="12"/>
      <color rgb="FF0563C1"/>
      <name val="Arial"/>
      <family val="2"/>
    </font>
    <font>
      <u/>
      <sz val="12"/>
      <color rgb="FF0563C1"/>
      <name val="Calibri"/>
      <family val="2"/>
      <charset val="1"/>
    </font>
    <font>
      <sz val="12"/>
      <color theme="7" tint="-0.249977111117893"/>
      <name val="Arial"/>
      <family val="2"/>
    </font>
    <font>
      <b/>
      <sz val="12"/>
      <color rgb="FF800000"/>
      <name val="Arial"/>
      <family val="2"/>
    </font>
    <font>
      <b/>
      <u/>
      <sz val="12"/>
      <color rgb="FF000000"/>
      <name val="Arial"/>
      <family val="2"/>
    </font>
    <font>
      <b/>
      <u/>
      <sz val="12"/>
      <name val="Arial"/>
      <family val="2"/>
    </font>
    <font>
      <sz val="12"/>
      <color rgb="FF00B050"/>
      <name val="Arial"/>
      <family val="2"/>
    </font>
    <font>
      <sz val="12"/>
      <color theme="4" tint="-0.249977111117893"/>
      <name val="Arial"/>
      <family val="2"/>
    </font>
    <font>
      <b/>
      <sz val="12"/>
      <color theme="4" tint="-0.249977111117893"/>
      <name val="Arial"/>
      <family val="2"/>
    </font>
    <font>
      <sz val="12"/>
      <color rgb="FF006666"/>
      <name val="Arial"/>
      <family val="2"/>
    </font>
    <font>
      <sz val="12"/>
      <color rgb="FF7030A0"/>
      <name val="Arial"/>
      <family val="2"/>
    </font>
    <font>
      <u/>
      <sz val="12"/>
      <color theme="4" tint="-0.249977111117893"/>
      <name val="Arial"/>
      <family val="2"/>
    </font>
    <font>
      <b/>
      <sz val="12"/>
      <color rgb="FF000000"/>
      <name val="Arial"/>
      <family val="2"/>
    </font>
    <font>
      <b/>
      <u/>
      <sz val="12"/>
      <color theme="4" tint="-0.249977111117893"/>
      <name val="Arial"/>
      <family val="2"/>
    </font>
    <font>
      <sz val="12"/>
      <color rgb="FFFFC000"/>
      <name val="Arial"/>
      <family val="2"/>
    </font>
    <font>
      <sz val="12"/>
      <color theme="5" tint="-0.249977111117893"/>
      <name val="Arial"/>
      <family val="2"/>
    </font>
    <font>
      <sz val="11"/>
      <color theme="5" tint="-0.249977111117893"/>
      <name val="Arial"/>
      <family val="2"/>
    </font>
    <font>
      <u/>
      <sz val="14"/>
      <color rgb="FF0563C1"/>
      <name val="Calibri"/>
      <family val="2"/>
      <charset val="1"/>
    </font>
    <font>
      <u/>
      <sz val="16"/>
      <color rgb="FF0563C1"/>
      <name val="Calibri"/>
      <family val="2"/>
      <charset val="1"/>
    </font>
    <font>
      <b/>
      <u/>
      <sz val="16"/>
      <color rgb="FF0563C1"/>
      <name val="Calibri"/>
      <family val="2"/>
    </font>
    <font>
      <u/>
      <sz val="16"/>
      <color rgb="FF0563C1"/>
      <name val="Calibri"/>
      <family val="2"/>
    </font>
    <font>
      <sz val="14"/>
      <color theme="5" tint="-0.249977111117893"/>
      <name val="Arial"/>
      <family val="2"/>
    </font>
    <font>
      <sz val="11"/>
      <color theme="5" tint="-0.249977111117893"/>
      <name val="Calibri"/>
      <family val="2"/>
      <scheme val="minor"/>
    </font>
    <font>
      <i/>
      <sz val="14"/>
      <color theme="5" tint="-0.249977111117893"/>
      <name val="Arial"/>
      <family val="2"/>
    </font>
    <font>
      <sz val="14"/>
      <color theme="1"/>
      <name val="Arial"/>
      <family val="2"/>
    </font>
    <font>
      <sz val="14"/>
      <color rgb="FF002236"/>
      <name val="Arial"/>
      <family val="2"/>
    </font>
    <font>
      <sz val="14"/>
      <color rgb="FF595959"/>
      <name val="Arial"/>
      <family val="2"/>
    </font>
    <font>
      <sz val="14"/>
      <color rgb="FFFF0000"/>
      <name val="Arial"/>
      <family val="2"/>
    </font>
    <font>
      <sz val="14"/>
      <color rgb="FF000000"/>
      <name val="Calibri"/>
      <family val="2"/>
    </font>
    <font>
      <sz val="14"/>
      <color theme="3"/>
      <name val="Arial"/>
      <family val="2"/>
    </font>
    <font>
      <u/>
      <sz val="14"/>
      <color theme="3"/>
      <name val="Calibri"/>
      <family val="2"/>
      <charset val="1"/>
    </font>
    <font>
      <b/>
      <sz val="11"/>
      <color rgb="FF000000"/>
      <name val="Calibri"/>
      <family val="2"/>
      <charset val="1"/>
    </font>
    <font>
      <sz val="12"/>
      <color rgb="FF0563C1"/>
      <name val="Arial"/>
      <family val="2"/>
    </font>
    <font>
      <sz val="12"/>
      <color rgb="FF0070C0"/>
      <name val="Arial"/>
      <family val="2"/>
    </font>
    <font>
      <b/>
      <sz val="16"/>
      <color rgb="FF00B0F0"/>
      <name val="Arial"/>
      <family val="2"/>
    </font>
    <font>
      <sz val="12"/>
      <color rgb="FF002060"/>
      <name val="Arial"/>
      <family val="2"/>
    </font>
    <font>
      <b/>
      <sz val="14"/>
      <color rgb="FF0070C0"/>
      <name val="Calibri"/>
      <family val="2"/>
    </font>
    <font>
      <b/>
      <sz val="12"/>
      <color theme="5" tint="-0.249977111117893"/>
      <name val="Arial"/>
      <family val="2"/>
    </font>
    <font>
      <b/>
      <sz val="12"/>
      <color rgb="FF00B050"/>
      <name val="Arial"/>
      <family val="2"/>
    </font>
    <font>
      <b/>
      <sz val="12"/>
      <color rgb="FF006666"/>
      <name val="Arial"/>
      <family val="2"/>
    </font>
    <font>
      <sz val="12"/>
      <color rgb="FFFF00FF"/>
      <name val="Arial"/>
      <family val="2"/>
    </font>
    <font>
      <b/>
      <sz val="12"/>
      <color rgb="FFFF00FF"/>
      <name val="Arial"/>
      <family val="2"/>
    </font>
    <font>
      <sz val="12"/>
      <color rgb="FF800000"/>
      <name val="Arial"/>
      <family val="2"/>
    </font>
    <font>
      <sz val="11"/>
      <color rgb="FF000000"/>
      <name val="Calibri"/>
      <family val="2"/>
      <charset val="1"/>
    </font>
    <font>
      <b/>
      <sz val="10"/>
      <color rgb="FFFFFFFF"/>
      <name val="Calibri"/>
      <family val="2"/>
      <scheme val="minor"/>
    </font>
    <font>
      <sz val="10"/>
      <name val="Calibri"/>
      <family val="2"/>
      <scheme val="minor"/>
    </font>
    <font>
      <sz val="9"/>
      <name val="Calibri"/>
      <family val="2"/>
      <scheme val="minor"/>
    </font>
    <font>
      <sz val="10"/>
      <color theme="1"/>
      <name val="Calibri"/>
      <family val="2"/>
      <scheme val="minor"/>
    </font>
    <font>
      <sz val="10"/>
      <name val="Calibri"/>
      <family val="2"/>
    </font>
  </fonts>
  <fills count="76">
    <fill>
      <patternFill patternType="none"/>
    </fill>
    <fill>
      <patternFill patternType="gray125"/>
    </fill>
    <fill>
      <patternFill patternType="solid">
        <fgColor rgb="FFF2F2F2"/>
        <bgColor rgb="FFEEEDE3"/>
      </patternFill>
    </fill>
    <fill>
      <patternFill patternType="solid">
        <fgColor rgb="FFFFFFFF"/>
        <bgColor rgb="FFF2F2F2"/>
      </patternFill>
    </fill>
    <fill>
      <patternFill patternType="solid">
        <fgColor rgb="FFFFC000"/>
        <bgColor rgb="FFFFCC00"/>
      </patternFill>
    </fill>
    <fill>
      <patternFill patternType="solid">
        <fgColor rgb="FFFFFF00"/>
        <bgColor rgb="FFFFCC00"/>
      </patternFill>
    </fill>
    <fill>
      <patternFill patternType="solid">
        <fgColor rgb="FF92D050"/>
        <bgColor rgb="FF70AD47"/>
      </patternFill>
    </fill>
    <fill>
      <patternFill patternType="solid">
        <fgColor rgb="FFFFCC00"/>
        <bgColor rgb="FFFFC000"/>
      </patternFill>
    </fill>
    <fill>
      <patternFill patternType="solid">
        <fgColor rgb="FF000080"/>
        <bgColor rgb="FF002236"/>
      </patternFill>
    </fill>
    <fill>
      <patternFill patternType="solid">
        <fgColor rgb="FF00B0F0"/>
        <bgColor rgb="FF33CCCC"/>
      </patternFill>
    </fill>
    <fill>
      <patternFill patternType="solid">
        <fgColor rgb="FF969696"/>
        <bgColor rgb="FFA5A5A5"/>
      </patternFill>
    </fill>
    <fill>
      <patternFill patternType="solid">
        <fgColor rgb="FF33CCCC"/>
        <bgColor rgb="FF00B0F0"/>
      </patternFill>
    </fill>
    <fill>
      <patternFill patternType="solid">
        <fgColor rgb="FF007800"/>
        <bgColor rgb="FF008000"/>
      </patternFill>
    </fill>
    <fill>
      <patternFill patternType="solid">
        <fgColor rgb="FF0066CC"/>
        <bgColor rgb="FF0563C1"/>
      </patternFill>
    </fill>
    <fill>
      <patternFill patternType="solid">
        <fgColor rgb="FFFF9900"/>
        <bgColor rgb="FFED7D31"/>
      </patternFill>
    </fill>
    <fill>
      <patternFill patternType="solid">
        <fgColor rgb="FFED7D31"/>
        <bgColor rgb="FFFF9900"/>
      </patternFill>
    </fill>
    <fill>
      <patternFill patternType="solid">
        <fgColor rgb="FF006ECF"/>
        <bgColor rgb="FF0070C0"/>
      </patternFill>
    </fill>
    <fill>
      <patternFill patternType="solid">
        <fgColor rgb="FFFFC7CE"/>
      </patternFill>
    </fill>
    <fill>
      <patternFill patternType="solid">
        <fgColor rgb="FFFFCC99"/>
      </patternFill>
    </fill>
    <fill>
      <patternFill patternType="solid">
        <fgColor theme="0"/>
        <bgColor indexed="64"/>
      </patternFill>
    </fill>
    <fill>
      <patternFill patternType="solid">
        <fgColor rgb="FF0070C0"/>
        <bgColor indexed="64"/>
      </patternFill>
    </fill>
    <fill>
      <patternFill patternType="solid">
        <fgColor indexed="11"/>
        <bgColor indexed="49"/>
      </patternFill>
    </fill>
    <fill>
      <patternFill patternType="solid">
        <fgColor theme="8" tint="0.39997558519241921"/>
        <bgColor indexed="64"/>
      </patternFill>
    </fill>
    <fill>
      <patternFill patternType="solid">
        <fgColor theme="8" tint="0.79998168889431442"/>
        <bgColor indexed="64"/>
      </patternFill>
    </fill>
    <fill>
      <patternFill patternType="solid">
        <fgColor rgb="FF92D050"/>
        <bgColor indexed="64"/>
      </patternFill>
    </fill>
    <fill>
      <patternFill patternType="solid">
        <fgColor indexed="62"/>
        <bgColor indexed="64"/>
      </patternFill>
    </fill>
    <fill>
      <patternFill patternType="solid">
        <fgColor theme="3" tint="0.39997558519241921"/>
        <bgColor indexed="64"/>
      </patternFill>
    </fill>
    <fill>
      <patternFill patternType="solid">
        <fgColor rgb="FFF2F2F2"/>
        <bgColor rgb="FFE0F3E0"/>
      </patternFill>
    </fill>
    <fill>
      <patternFill patternType="solid">
        <fgColor theme="0"/>
        <bgColor indexed="26"/>
      </patternFill>
    </fill>
    <fill>
      <patternFill patternType="solid">
        <fgColor theme="1"/>
        <bgColor indexed="64"/>
      </patternFill>
    </fill>
    <fill>
      <patternFill patternType="solid">
        <fgColor theme="8" tint="0.79998168889431442"/>
        <bgColor indexed="34"/>
      </patternFill>
    </fill>
    <fill>
      <patternFill patternType="solid">
        <fgColor theme="6" tint="0.79998168889431442"/>
        <bgColor indexed="64"/>
      </patternFill>
    </fill>
    <fill>
      <patternFill patternType="solid">
        <fgColor rgb="FF0070C0"/>
        <bgColor indexed="31"/>
      </patternFill>
    </fill>
    <fill>
      <patternFill patternType="solid">
        <fgColor theme="0"/>
        <bgColor indexed="31"/>
      </patternFill>
    </fill>
    <fill>
      <patternFill patternType="solid">
        <fgColor theme="0" tint="-4.9989318521683403E-2"/>
        <bgColor indexed="64"/>
      </patternFill>
    </fill>
    <fill>
      <patternFill patternType="solid">
        <fgColor theme="8" tint="0.79998168889431442"/>
        <bgColor indexed="31"/>
      </patternFill>
    </fill>
    <fill>
      <patternFill patternType="solid">
        <fgColor rgb="FF002060"/>
        <bgColor indexed="64"/>
      </patternFill>
    </fill>
    <fill>
      <patternFill patternType="solid">
        <fgColor rgb="FF002060"/>
        <bgColor indexed="37"/>
      </patternFill>
    </fill>
    <fill>
      <patternFill patternType="solid">
        <fgColor theme="7" tint="0.79998168889431442"/>
        <bgColor indexed="26"/>
      </patternFill>
    </fill>
    <fill>
      <patternFill patternType="solid">
        <fgColor theme="9" tint="0.79998168889431442"/>
        <bgColor indexed="64"/>
      </patternFill>
    </fill>
    <fill>
      <patternFill patternType="solid">
        <fgColor theme="5" tint="0.39997558519241921"/>
        <bgColor indexed="64"/>
      </patternFill>
    </fill>
    <fill>
      <patternFill patternType="solid">
        <fgColor theme="8" tint="0.59999389629810485"/>
        <bgColor indexed="64"/>
      </patternFill>
    </fill>
    <fill>
      <patternFill patternType="solid">
        <fgColor rgb="FFC1FFFF"/>
        <bgColor indexed="64"/>
      </patternFill>
    </fill>
    <fill>
      <patternFill patternType="solid">
        <fgColor theme="0"/>
        <bgColor rgb="FFFFFFCC"/>
      </patternFill>
    </fill>
    <fill>
      <patternFill patternType="solid">
        <fgColor theme="0"/>
        <bgColor rgb="FF3399FF"/>
      </patternFill>
    </fill>
    <fill>
      <patternFill patternType="solid">
        <fgColor theme="1"/>
        <bgColor rgb="FF000080"/>
      </patternFill>
    </fill>
    <fill>
      <patternFill patternType="solid">
        <fgColor theme="8" tint="0.79998168889431442"/>
        <bgColor rgb="FF3399FF"/>
      </patternFill>
    </fill>
    <fill>
      <patternFill patternType="solid">
        <fgColor rgb="FFF9F9F9"/>
        <bgColor rgb="FFFFCC00"/>
      </patternFill>
    </fill>
    <fill>
      <patternFill patternType="solid">
        <fgColor rgb="FFF9F9F9"/>
        <bgColor indexed="64"/>
      </patternFill>
    </fill>
    <fill>
      <patternFill patternType="solid">
        <fgColor theme="1"/>
        <bgColor rgb="FF3399FF"/>
      </patternFill>
    </fill>
    <fill>
      <patternFill patternType="solid">
        <fgColor rgb="FF0070C0"/>
        <bgColor rgb="FF3399FF"/>
      </patternFill>
    </fill>
    <fill>
      <patternFill patternType="solid">
        <fgColor theme="4" tint="0.79998168889431442"/>
        <bgColor rgb="FF3399FF"/>
      </patternFill>
    </fill>
    <fill>
      <patternFill patternType="solid">
        <fgColor theme="8" tint="0.79998168889431442"/>
        <bgColor rgb="FFF2F2F2"/>
      </patternFill>
    </fill>
    <fill>
      <patternFill patternType="solid">
        <fgColor theme="4" tint="0.59999389629810485"/>
        <bgColor indexed="64"/>
      </patternFill>
    </fill>
    <fill>
      <patternFill patternType="solid">
        <fgColor rgb="FF66FFFF"/>
        <bgColor indexed="64"/>
      </patternFill>
    </fill>
    <fill>
      <patternFill patternType="solid">
        <fgColor theme="0" tint="-0.14999847407452621"/>
        <bgColor indexed="64"/>
      </patternFill>
    </fill>
    <fill>
      <patternFill patternType="solid">
        <fgColor rgb="FF66FFFF"/>
        <bgColor rgb="FFFFFFCC"/>
      </patternFill>
    </fill>
    <fill>
      <patternFill patternType="solid">
        <fgColor rgb="FF66FFFF"/>
        <bgColor rgb="FF3399FF"/>
      </patternFill>
    </fill>
    <fill>
      <patternFill patternType="solid">
        <fgColor rgb="FFFFFF00"/>
        <bgColor indexed="64"/>
      </patternFill>
    </fill>
    <fill>
      <patternFill patternType="solid">
        <fgColor indexed="8"/>
        <bgColor indexed="58"/>
      </patternFill>
    </fill>
    <fill>
      <patternFill patternType="solid">
        <fgColor theme="3" tint="0.79998168889431442"/>
        <bgColor indexed="35"/>
      </patternFill>
    </fill>
    <fill>
      <patternFill patternType="solid">
        <fgColor theme="0" tint="-0.249977111117893"/>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rgb="FFFF452D"/>
        <bgColor indexed="64"/>
      </patternFill>
    </fill>
    <fill>
      <patternFill patternType="solid">
        <fgColor rgb="FFFF452D"/>
        <bgColor rgb="FFFFFFCC"/>
      </patternFill>
    </fill>
    <fill>
      <patternFill patternType="solid">
        <fgColor rgb="FFFF452D"/>
        <bgColor rgb="FF3399FF"/>
      </patternFill>
    </fill>
    <fill>
      <patternFill patternType="solid">
        <fgColor rgb="FFFF452D"/>
        <bgColor rgb="FF333399"/>
      </patternFill>
    </fill>
    <fill>
      <patternFill patternType="solid">
        <fgColor rgb="FFFF452D"/>
        <bgColor rgb="FFFFCC00"/>
      </patternFill>
    </fill>
    <fill>
      <patternFill patternType="solid">
        <fgColor rgb="FFFF452D"/>
        <bgColor indexed="31"/>
      </patternFill>
    </fill>
    <fill>
      <patternFill patternType="solid">
        <fgColor theme="7" tint="0.79998168889431442"/>
        <bgColor indexed="64"/>
      </patternFill>
    </fill>
    <fill>
      <patternFill patternType="solid">
        <fgColor rgb="FFFFFF00"/>
        <bgColor rgb="FF3399FF"/>
      </patternFill>
    </fill>
    <fill>
      <patternFill patternType="solid">
        <fgColor theme="7" tint="0.59999389629810485"/>
        <bgColor indexed="64"/>
      </patternFill>
    </fill>
    <fill>
      <patternFill patternType="solid">
        <fgColor theme="9" tint="-0.249977111117893"/>
        <bgColor indexed="64"/>
      </patternFill>
    </fill>
    <fill>
      <patternFill patternType="solid">
        <fgColor rgb="FFFF0000"/>
        <bgColor indexed="64"/>
      </patternFill>
    </fill>
  </fills>
  <borders count="58">
    <border>
      <left/>
      <right/>
      <top/>
      <bottom/>
      <diagonal/>
    </border>
    <border>
      <left style="thin">
        <color rgb="FF333333"/>
      </left>
      <right style="thin">
        <color rgb="FF333333"/>
      </right>
      <top style="thin">
        <color rgb="FF333333"/>
      </top>
      <bottom style="thin">
        <color rgb="FF333333"/>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hair">
        <color auto="1"/>
      </left>
      <right style="hair">
        <color auto="1"/>
      </right>
      <top style="hair">
        <color auto="1"/>
      </top>
      <bottom style="hair">
        <color auto="1"/>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bottom style="thin">
        <color indexed="64"/>
      </bottom>
      <diagonal/>
    </border>
    <border>
      <left style="thin">
        <color rgb="FF343479"/>
      </left>
      <right style="thin">
        <color rgb="FF343479"/>
      </right>
      <top style="thin">
        <color rgb="FF343479"/>
      </top>
      <bottom style="thin">
        <color rgb="FF343479"/>
      </bottom>
      <diagonal/>
    </border>
    <border>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medium">
        <color indexed="8"/>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top style="thin">
        <color indexed="64"/>
      </top>
      <bottom style="thin">
        <color indexed="64"/>
      </bottom>
      <diagonal/>
    </border>
    <border>
      <left/>
      <right style="thin">
        <color auto="1"/>
      </right>
      <top style="medium">
        <color auto="1"/>
      </top>
      <bottom/>
      <diagonal/>
    </border>
    <border>
      <left style="medium">
        <color indexed="64"/>
      </left>
      <right style="medium">
        <color indexed="8"/>
      </right>
      <top/>
      <bottom/>
      <diagonal/>
    </border>
    <border>
      <left style="medium">
        <color indexed="8"/>
      </left>
      <right style="medium">
        <color indexed="64"/>
      </right>
      <top/>
      <bottom/>
      <diagonal/>
    </border>
    <border>
      <left style="thin">
        <color indexed="64"/>
      </left>
      <right style="thin">
        <color indexed="64"/>
      </right>
      <top style="thin">
        <color indexed="64"/>
      </top>
      <bottom style="thin">
        <color indexed="64"/>
      </bottom>
      <diagonal/>
    </border>
    <border>
      <left/>
      <right/>
      <top style="thin">
        <color auto="1"/>
      </top>
      <bottom style="thin">
        <color auto="1"/>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8"/>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top style="medium">
        <color indexed="64"/>
      </top>
      <bottom/>
      <diagonal/>
    </border>
    <border>
      <left/>
      <right style="medium">
        <color indexed="64"/>
      </right>
      <top style="thin">
        <color indexed="64"/>
      </top>
      <bottom style="thin">
        <color indexed="64"/>
      </bottom>
      <diagonal/>
    </border>
    <border>
      <left style="thin">
        <color auto="1"/>
      </left>
      <right/>
      <top style="medium">
        <color auto="1"/>
      </top>
      <bottom style="thin">
        <color auto="1"/>
      </bottom>
      <diagonal/>
    </border>
    <border>
      <left/>
      <right style="medium">
        <color indexed="64"/>
      </right>
      <top style="medium">
        <color indexed="8"/>
      </top>
      <bottom/>
      <diagonal/>
    </border>
    <border>
      <left style="medium">
        <color indexed="64"/>
      </left>
      <right style="medium">
        <color indexed="8"/>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64"/>
      </right>
      <top style="medium">
        <color indexed="8"/>
      </top>
      <bottom style="medium">
        <color indexed="8"/>
      </bottom>
      <diagonal/>
    </border>
    <border>
      <left style="medium">
        <color indexed="64"/>
      </left>
      <right style="medium">
        <color indexed="8"/>
      </right>
      <top style="medium">
        <color indexed="8"/>
      </top>
      <bottom/>
      <diagonal/>
    </border>
    <border>
      <left style="medium">
        <color indexed="8"/>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64"/>
      </left>
      <right/>
      <top style="medium">
        <color indexed="64"/>
      </top>
      <bottom/>
      <diagonal/>
    </border>
    <border>
      <left style="medium">
        <color indexed="64"/>
      </left>
      <right style="medium">
        <color indexed="8"/>
      </right>
      <top style="medium">
        <color indexed="64"/>
      </top>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auto="1"/>
      </left>
      <right/>
      <top style="thin">
        <color auto="1"/>
      </top>
      <bottom style="thin">
        <color auto="1"/>
      </bottom>
      <diagonal/>
    </border>
    <border>
      <left/>
      <right/>
      <top style="medium">
        <color indexed="64"/>
      </top>
      <bottom/>
      <diagonal/>
    </border>
  </borders>
  <cellStyleXfs count="50">
    <xf numFmtId="0" fontId="0" fillId="0" borderId="0"/>
    <xf numFmtId="0" fontId="14" fillId="0" borderId="0" applyBorder="0" applyProtection="0"/>
    <xf numFmtId="0" fontId="13" fillId="2" borderId="1" applyProtection="0"/>
    <xf numFmtId="0" fontId="89" fillId="0" borderId="0"/>
    <xf numFmtId="0" fontId="91" fillId="0" borderId="0" applyNumberFormat="0" applyFill="0" applyBorder="0" applyAlignment="0" applyProtection="0"/>
    <xf numFmtId="0" fontId="89" fillId="0" borderId="0"/>
    <xf numFmtId="0" fontId="88" fillId="18" borderId="9" applyNumberFormat="0" applyAlignment="0" applyProtection="0"/>
    <xf numFmtId="0" fontId="92" fillId="21" borderId="0" applyNumberFormat="0" applyBorder="0" applyAlignment="0" applyProtection="0"/>
    <xf numFmtId="0" fontId="89" fillId="0" borderId="0"/>
    <xf numFmtId="0" fontId="93" fillId="0" borderId="0"/>
    <xf numFmtId="0" fontId="94" fillId="0" borderId="0"/>
    <xf numFmtId="0" fontId="12" fillId="0" borderId="0"/>
    <xf numFmtId="0" fontId="95" fillId="0" borderId="0" applyNumberFormat="0" applyFill="0" applyBorder="0" applyAlignment="0" applyProtection="0"/>
    <xf numFmtId="0" fontId="12" fillId="0" borderId="0"/>
    <xf numFmtId="0" fontId="87" fillId="17" borderId="0" applyNumberFormat="0" applyBorder="0" applyAlignment="0" applyProtection="0"/>
    <xf numFmtId="0" fontId="12" fillId="0" borderId="0"/>
    <xf numFmtId="0" fontId="12" fillId="0" borderId="0"/>
    <xf numFmtId="0" fontId="96" fillId="0" borderId="0" applyNumberFormat="0" applyFill="0" applyBorder="0" applyAlignment="0" applyProtection="0"/>
    <xf numFmtId="0" fontId="12" fillId="0" borderId="0"/>
    <xf numFmtId="0" fontId="12" fillId="0" borderId="0"/>
    <xf numFmtId="9" fontId="94" fillId="0" borderId="0" applyFont="0" applyFill="0" applyBorder="0" applyAlignment="0" applyProtection="0"/>
    <xf numFmtId="0" fontId="89" fillId="0" borderId="0"/>
    <xf numFmtId="0" fontId="12" fillId="0" borderId="0"/>
    <xf numFmtId="0" fontId="13" fillId="27" borderId="11" applyProtection="0"/>
    <xf numFmtId="0" fontId="94" fillId="0" borderId="0"/>
    <xf numFmtId="0" fontId="94" fillId="0" borderId="0"/>
    <xf numFmtId="0" fontId="11" fillId="0" borderId="0"/>
    <xf numFmtId="0" fontId="10" fillId="0" borderId="0"/>
    <xf numFmtId="0" fontId="9" fillId="0" borderId="0"/>
    <xf numFmtId="0" fontId="8" fillId="0" borderId="0"/>
    <xf numFmtId="0" fontId="7" fillId="0" borderId="0"/>
    <xf numFmtId="0" fontId="94" fillId="0" borderId="0"/>
    <xf numFmtId="0" fontId="6" fillId="0" borderId="0"/>
    <xf numFmtId="0" fontId="6" fillId="0" borderId="0"/>
    <xf numFmtId="0" fontId="6" fillId="0" borderId="0"/>
    <xf numFmtId="0" fontId="33" fillId="0" borderId="0"/>
    <xf numFmtId="0" fontId="33" fillId="0" borderId="0"/>
    <xf numFmtId="0" fontId="5" fillId="0" borderId="0"/>
    <xf numFmtId="0" fontId="4" fillId="0" borderId="0"/>
    <xf numFmtId="0" fontId="4" fillId="0" borderId="0"/>
    <xf numFmtId="0" fontId="4" fillId="0" borderId="0"/>
    <xf numFmtId="0" fontId="89" fillId="0" borderId="0"/>
    <xf numFmtId="0" fontId="4" fillId="0" borderId="0"/>
    <xf numFmtId="0" fontId="3" fillId="0" borderId="0"/>
    <xf numFmtId="9" fontId="3" fillId="0" borderId="0" applyFont="0" applyFill="0" applyBorder="0" applyAlignment="0" applyProtection="0"/>
    <xf numFmtId="0" fontId="94" fillId="0" borderId="0"/>
    <xf numFmtId="0" fontId="169" fillId="0" borderId="0"/>
    <xf numFmtId="0" fontId="92" fillId="0" borderId="0"/>
    <xf numFmtId="0" fontId="1" fillId="0" borderId="0"/>
    <xf numFmtId="0" fontId="229" fillId="0" borderId="0"/>
  </cellStyleXfs>
  <cellXfs count="1167">
    <xf numFmtId="0" fontId="0" fillId="0" borderId="0" xfId="0"/>
    <xf numFmtId="0" fontId="17" fillId="0" borderId="0" xfId="0" applyFont="1" applyAlignment="1">
      <alignment vertical="center"/>
    </xf>
    <xf numFmtId="0" fontId="16" fillId="0" borderId="0" xfId="0" applyFont="1" applyAlignment="1">
      <alignment vertical="center"/>
    </xf>
    <xf numFmtId="0" fontId="23" fillId="0" borderId="0" xfId="0" applyFont="1" applyAlignment="1">
      <alignment vertical="center"/>
    </xf>
    <xf numFmtId="0" fontId="24" fillId="6" borderId="0" xfId="0" applyFont="1" applyFill="1" applyAlignment="1">
      <alignment horizontal="left" vertical="top"/>
    </xf>
    <xf numFmtId="0" fontId="24" fillId="6" borderId="0" xfId="0" applyFont="1" applyFill="1" applyAlignment="1">
      <alignment horizontal="left"/>
    </xf>
    <xf numFmtId="0" fontId="16" fillId="6" borderId="0" xfId="0" applyFont="1" applyFill="1"/>
    <xf numFmtId="0" fontId="16" fillId="0" borderId="0" xfId="0" applyFont="1"/>
    <xf numFmtId="0" fontId="25" fillId="0" borderId="0" xfId="0" applyFont="1"/>
    <xf numFmtId="14" fontId="16" fillId="0" borderId="0" xfId="0" applyNumberFormat="1" applyFont="1" applyAlignment="1">
      <alignment horizontal="right"/>
    </xf>
    <xf numFmtId="0" fontId="26" fillId="7" borderId="0" xfId="0" applyFont="1" applyFill="1" applyAlignment="1">
      <alignment horizontal="left" vertical="top"/>
    </xf>
    <xf numFmtId="0" fontId="27" fillId="7" borderId="0" xfId="0" applyFont="1" applyFill="1" applyAlignment="1">
      <alignment horizontal="left" vertical="top"/>
    </xf>
    <xf numFmtId="0" fontId="16" fillId="7" borderId="0" xfId="0" applyFont="1" applyFill="1" applyAlignment="1">
      <alignment horizontal="left" vertical="top"/>
    </xf>
    <xf numFmtId="0" fontId="27" fillId="0" borderId="0" xfId="0" applyFont="1"/>
    <xf numFmtId="0" fontId="27" fillId="0" borderId="0" xfId="0" applyFont="1" applyAlignment="1">
      <alignment horizontal="left"/>
    </xf>
    <xf numFmtId="0" fontId="16" fillId="0" borderId="0" xfId="0" applyFont="1" applyAlignment="1">
      <alignment horizontal="center" vertical="center"/>
    </xf>
    <xf numFmtId="165" fontId="16" fillId="0" borderId="0" xfId="0" applyNumberFormat="1" applyFont="1" applyAlignment="1">
      <alignment vertical="center"/>
    </xf>
    <xf numFmtId="46" fontId="16" fillId="0" borderId="0" xfId="0" applyNumberFormat="1" applyFont="1" applyAlignment="1">
      <alignment vertical="center"/>
    </xf>
    <xf numFmtId="165" fontId="22" fillId="0" borderId="0" xfId="0" applyNumberFormat="1" applyFont="1"/>
    <xf numFmtId="46" fontId="22" fillId="0" borderId="0" xfId="0" applyNumberFormat="1" applyFont="1"/>
    <xf numFmtId="0" fontId="22" fillId="0" borderId="0" xfId="0" applyFont="1" applyAlignment="1">
      <alignment horizontal="center"/>
    </xf>
    <xf numFmtId="0" fontId="22" fillId="0" borderId="0" xfId="0" applyFont="1"/>
    <xf numFmtId="0" fontId="29" fillId="0" borderId="0" xfId="0" applyFont="1"/>
    <xf numFmtId="0" fontId="30" fillId="0" borderId="0" xfId="0" applyFont="1" applyAlignment="1">
      <alignment vertical="top" wrapText="1"/>
    </xf>
    <xf numFmtId="0" fontId="18" fillId="0" borderId="0" xfId="0" applyFont="1"/>
    <xf numFmtId="0" fontId="32" fillId="0" borderId="0" xfId="0" applyFont="1"/>
    <xf numFmtId="0" fontId="33" fillId="0" borderId="0" xfId="0" applyFont="1"/>
    <xf numFmtId="0" fontId="21" fillId="4" borderId="2" xfId="0" applyFont="1" applyFill="1" applyBorder="1" applyAlignment="1">
      <alignment horizontal="left" vertical="top" wrapText="1"/>
    </xf>
    <xf numFmtId="0" fontId="23" fillId="0" borderId="0" xfId="0" applyFont="1"/>
    <xf numFmtId="0" fontId="22" fillId="0" borderId="0" xfId="0" applyFont="1" applyAlignment="1">
      <alignment vertical="center"/>
    </xf>
    <xf numFmtId="0" fontId="22" fillId="0" borderId="0" xfId="0" applyFont="1" applyAlignment="1">
      <alignment vertical="top"/>
    </xf>
    <xf numFmtId="0" fontId="36" fillId="0" borderId="0" xfId="0" applyFont="1" applyAlignment="1">
      <alignment vertical="top"/>
    </xf>
    <xf numFmtId="0" fontId="32" fillId="0" borderId="0" xfId="0" applyFont="1" applyAlignment="1">
      <alignment vertical="top"/>
    </xf>
    <xf numFmtId="0" fontId="37" fillId="0" borderId="0" xfId="0" applyFont="1"/>
    <xf numFmtId="0" fontId="27" fillId="0" borderId="0" xfId="0" applyFont="1" applyAlignment="1">
      <alignment vertical="center"/>
    </xf>
    <xf numFmtId="0" fontId="23" fillId="3" borderId="0" xfId="0" applyFont="1" applyFill="1"/>
    <xf numFmtId="0" fontId="22" fillId="3" borderId="0" xfId="0" applyFont="1" applyFill="1" applyAlignment="1">
      <alignment vertical="center"/>
    </xf>
    <xf numFmtId="0" fontId="21" fillId="0" borderId="2" xfId="0" applyFont="1" applyBorder="1" applyAlignment="1">
      <alignment horizontal="center" vertical="top" wrapText="1"/>
    </xf>
    <xf numFmtId="49" fontId="22" fillId="0" borderId="0" xfId="0" applyNumberFormat="1" applyFont="1" applyAlignment="1">
      <alignment vertical="top" wrapText="1"/>
    </xf>
    <xf numFmtId="0" fontId="21" fillId="0" borderId="0" xfId="0" applyFont="1" applyAlignment="1">
      <alignment horizontal="center" vertical="top" wrapText="1"/>
    </xf>
    <xf numFmtId="49" fontId="22" fillId="3" borderId="0" xfId="0" applyNumberFormat="1" applyFont="1" applyFill="1" applyAlignment="1">
      <alignment vertical="top" wrapText="1"/>
    </xf>
    <xf numFmtId="0" fontId="29" fillId="0" borderId="0" xfId="0" applyFont="1" applyAlignment="1">
      <alignment horizontal="left" vertical="top"/>
    </xf>
    <xf numFmtId="165" fontId="29" fillId="0" borderId="0" xfId="0" applyNumberFormat="1" applyFont="1"/>
    <xf numFmtId="46" fontId="29" fillId="0" borderId="0" xfId="0" applyNumberFormat="1" applyFont="1"/>
    <xf numFmtId="0" fontId="29" fillId="0" borderId="0" xfId="0" applyFont="1" applyAlignment="1">
      <alignment horizontal="center"/>
    </xf>
    <xf numFmtId="165" fontId="0" fillId="0" borderId="0" xfId="0" applyNumberFormat="1"/>
    <xf numFmtId="46" fontId="0" fillId="0" borderId="0" xfId="0" applyNumberFormat="1"/>
    <xf numFmtId="0" fontId="0" fillId="0" borderId="0" xfId="0" applyAlignment="1">
      <alignment horizontal="center" vertical="center"/>
    </xf>
    <xf numFmtId="165" fontId="27" fillId="0" borderId="0" xfId="0" applyNumberFormat="1" applyFont="1" applyAlignment="1">
      <alignment vertical="center"/>
    </xf>
    <xf numFmtId="46" fontId="27" fillId="0" borderId="0" xfId="0" applyNumberFormat="1" applyFont="1" applyAlignment="1">
      <alignment vertical="center"/>
    </xf>
    <xf numFmtId="0" fontId="27" fillId="0" borderId="0" xfId="0" applyFont="1" applyAlignment="1">
      <alignment horizontal="center" vertical="center"/>
    </xf>
    <xf numFmtId="0" fontId="0" fillId="0" borderId="0" xfId="0" applyAlignment="1">
      <alignment vertical="center"/>
    </xf>
    <xf numFmtId="0" fontId="15" fillId="0" borderId="0" xfId="0" applyFont="1"/>
    <xf numFmtId="0" fontId="17" fillId="0" borderId="2" xfId="0" applyFont="1" applyBorder="1" applyAlignment="1">
      <alignment vertical="center"/>
    </xf>
    <xf numFmtId="0" fontId="43" fillId="0" borderId="0" xfId="0" applyFont="1" applyAlignment="1">
      <alignment vertical="center"/>
    </xf>
    <xf numFmtId="0" fontId="37" fillId="0" borderId="0" xfId="0" applyFont="1" applyAlignment="1">
      <alignment vertical="center"/>
    </xf>
    <xf numFmtId="0" fontId="52" fillId="0" borderId="0" xfId="0" applyFont="1" applyAlignment="1">
      <alignment vertical="center"/>
    </xf>
    <xf numFmtId="0" fontId="16" fillId="0" borderId="0" xfId="0" applyFont="1" applyAlignment="1">
      <alignment horizontal="left" vertical="center"/>
    </xf>
    <xf numFmtId="0" fontId="16" fillId="0" borderId="4" xfId="0" applyFont="1" applyBorder="1" applyAlignment="1">
      <alignment horizontal="left" vertical="center"/>
    </xf>
    <xf numFmtId="0" fontId="38" fillId="0" borderId="0" xfId="0" applyFont="1" applyAlignment="1">
      <alignment horizontal="left" vertical="center"/>
    </xf>
    <xf numFmtId="0" fontId="17" fillId="0" borderId="0" xfId="0" applyFont="1" applyAlignment="1">
      <alignment vertical="center" wrapText="1"/>
    </xf>
    <xf numFmtId="0" fontId="60" fillId="0" borderId="0" xfId="0" applyFont="1"/>
    <xf numFmtId="0" fontId="60" fillId="0" borderId="5" xfId="0" applyFont="1" applyBorder="1"/>
    <xf numFmtId="0" fontId="15" fillId="12" borderId="0" xfId="0" applyFont="1" applyFill="1"/>
    <xf numFmtId="0" fontId="42" fillId="0" borderId="0" xfId="0" applyFont="1"/>
    <xf numFmtId="0" fontId="67" fillId="0" borderId="0" xfId="0" applyFont="1"/>
    <xf numFmtId="0" fontId="26" fillId="0" borderId="0" xfId="0" applyFont="1"/>
    <xf numFmtId="0" fontId="22" fillId="0" borderId="0" xfId="0" applyFont="1" applyAlignment="1">
      <alignment textRotation="43"/>
    </xf>
    <xf numFmtId="0" fontId="49" fillId="0" borderId="0" xfId="0" applyFont="1"/>
    <xf numFmtId="0" fontId="68" fillId="4" borderId="0" xfId="0" applyFont="1" applyFill="1" applyAlignment="1">
      <alignment vertical="center"/>
    </xf>
    <xf numFmtId="0" fontId="69" fillId="3" borderId="0" xfId="0" applyFont="1" applyFill="1" applyAlignment="1">
      <alignment horizontal="left" vertical="top"/>
    </xf>
    <xf numFmtId="0" fontId="22" fillId="3" borderId="0" xfId="0" applyFont="1" applyFill="1"/>
    <xf numFmtId="0" fontId="73" fillId="3" borderId="0" xfId="0" applyFont="1" applyFill="1" applyAlignment="1">
      <alignment horizontal="left" vertical="center" wrapText="1"/>
    </xf>
    <xf numFmtId="0" fontId="76" fillId="3" borderId="0" xfId="0" applyFont="1" applyFill="1" applyAlignment="1">
      <alignment vertical="center"/>
    </xf>
    <xf numFmtId="14" fontId="74" fillId="3" borderId="0" xfId="0" applyNumberFormat="1" applyFont="1" applyFill="1" applyAlignment="1">
      <alignment horizontal="left" vertical="center" wrapText="1"/>
    </xf>
    <xf numFmtId="18" fontId="75" fillId="3" borderId="0" xfId="0" applyNumberFormat="1" applyFont="1" applyFill="1" applyAlignment="1">
      <alignment horizontal="left" vertical="center" wrapText="1"/>
    </xf>
    <xf numFmtId="0" fontId="75" fillId="3" borderId="0" xfId="0" applyFont="1" applyFill="1" applyAlignment="1">
      <alignment horizontal="left" vertical="center" wrapText="1"/>
    </xf>
    <xf numFmtId="0" fontId="73" fillId="3" borderId="0" xfId="0" applyFont="1" applyFill="1" applyAlignment="1">
      <alignment vertical="center"/>
    </xf>
    <xf numFmtId="0" fontId="79" fillId="0" borderId="0" xfId="0" applyFont="1" applyAlignment="1">
      <alignment horizontal="left" vertical="center"/>
    </xf>
    <xf numFmtId="0" fontId="80" fillId="0" borderId="0" xfId="0" applyFont="1" applyAlignment="1">
      <alignment vertical="center"/>
    </xf>
    <xf numFmtId="0" fontId="80" fillId="0" borderId="0" xfId="0" applyFont="1" applyAlignment="1">
      <alignment horizontal="left" vertical="center"/>
    </xf>
    <xf numFmtId="0" fontId="81" fillId="0" borderId="0" xfId="0" applyFont="1" applyAlignment="1">
      <alignment vertical="center"/>
    </xf>
    <xf numFmtId="0" fontId="21" fillId="0" borderId="0" xfId="0" applyFont="1" applyAlignment="1">
      <alignment horizontal="left" vertical="center"/>
    </xf>
    <xf numFmtId="0" fontId="84" fillId="0" borderId="0" xfId="0" applyFont="1" applyAlignment="1">
      <alignment horizontal="left" vertical="center"/>
    </xf>
    <xf numFmtId="0" fontId="21" fillId="0" borderId="0" xfId="0" applyFont="1" applyAlignment="1">
      <alignment vertical="center"/>
    </xf>
    <xf numFmtId="0" fontId="22" fillId="0" borderId="0" xfId="0" applyFont="1" applyAlignment="1">
      <alignment horizontal="right" vertical="center"/>
    </xf>
    <xf numFmtId="0" fontId="22" fillId="0" borderId="0" xfId="0" applyFont="1" applyAlignment="1">
      <alignment horizontal="left" vertical="center"/>
    </xf>
    <xf numFmtId="0" fontId="27" fillId="0" borderId="0" xfId="0" applyFont="1" applyAlignment="1">
      <alignment horizontal="left" vertical="center"/>
    </xf>
    <xf numFmtId="0" fontId="22" fillId="0" borderId="3" xfId="0" applyFont="1" applyBorder="1" applyAlignment="1">
      <alignment vertical="center"/>
    </xf>
    <xf numFmtId="0" fontId="22" fillId="0" borderId="6" xfId="0" applyFont="1" applyBorder="1" applyAlignment="1">
      <alignment horizontal="left" vertical="center"/>
    </xf>
    <xf numFmtId="0" fontId="84" fillId="0" borderId="3" xfId="0" applyFont="1" applyBorder="1" applyAlignment="1">
      <alignment vertical="center"/>
    </xf>
    <xf numFmtId="0" fontId="22" fillId="0" borderId="7" xfId="0" applyFont="1" applyBorder="1" applyAlignment="1">
      <alignment vertical="center"/>
    </xf>
    <xf numFmtId="0" fontId="22" fillId="0" borderId="8" xfId="0" applyFont="1" applyBorder="1" applyAlignment="1">
      <alignment horizontal="left" vertical="center"/>
    </xf>
    <xf numFmtId="0" fontId="0" fillId="3" borderId="0" xfId="0" applyFill="1"/>
    <xf numFmtId="0" fontId="89" fillId="0" borderId="0" xfId="3"/>
    <xf numFmtId="0" fontId="102" fillId="0" borderId="0" xfId="8" applyFont="1" applyAlignment="1">
      <alignment horizontal="left"/>
    </xf>
    <xf numFmtId="0" fontId="89" fillId="0" borderId="13" xfId="8" applyBorder="1"/>
    <xf numFmtId="0" fontId="102" fillId="0" borderId="0" xfId="8" applyFont="1"/>
    <xf numFmtId="0" fontId="89" fillId="0" borderId="13" xfId="8" applyBorder="1" applyAlignment="1">
      <alignment horizontal="left"/>
    </xf>
    <xf numFmtId="0" fontId="102" fillId="0" borderId="14" xfId="8" applyFont="1" applyBorder="1" applyAlignment="1">
      <alignment horizontal="left"/>
    </xf>
    <xf numFmtId="172" fontId="104" fillId="0" borderId="17" xfId="8" applyNumberFormat="1" applyFont="1" applyBorder="1" applyAlignment="1">
      <alignment horizontal="left" vertical="top" wrapText="1"/>
    </xf>
    <xf numFmtId="0" fontId="103" fillId="0" borderId="17" xfId="8" applyFont="1" applyBorder="1" applyAlignment="1">
      <alignment vertical="top" wrapText="1"/>
    </xf>
    <xf numFmtId="0" fontId="89" fillId="19" borderId="0" xfId="3" applyFill="1"/>
    <xf numFmtId="0" fontId="90" fillId="0" borderId="15" xfId="8" applyFont="1" applyBorder="1" applyAlignment="1">
      <alignment vertical="top" wrapText="1"/>
    </xf>
    <xf numFmtId="166" fontId="90" fillId="0" borderId="15" xfId="8" applyNumberFormat="1" applyFont="1" applyBorder="1" applyAlignment="1">
      <alignment vertical="top" wrapText="1"/>
    </xf>
    <xf numFmtId="0" fontId="89" fillId="0" borderId="15" xfId="3" applyBorder="1"/>
    <xf numFmtId="0" fontId="89" fillId="23" borderId="18" xfId="3" applyFill="1" applyBorder="1"/>
    <xf numFmtId="0" fontId="90" fillId="23" borderId="20" xfId="0" applyFont="1" applyFill="1" applyBorder="1"/>
    <xf numFmtId="0" fontId="99" fillId="23" borderId="19" xfId="30" applyFont="1" applyFill="1" applyBorder="1" applyAlignment="1">
      <alignment horizontal="right"/>
    </xf>
    <xf numFmtId="0" fontId="89" fillId="23" borderId="15" xfId="3" applyFill="1" applyBorder="1"/>
    <xf numFmtId="0" fontId="90" fillId="23" borderId="17" xfId="0" applyFont="1" applyFill="1" applyBorder="1"/>
    <xf numFmtId="0" fontId="0" fillId="19" borderId="0" xfId="0" applyFill="1"/>
    <xf numFmtId="0" fontId="111" fillId="19" borderId="0" xfId="3" applyFont="1" applyFill="1"/>
    <xf numFmtId="0" fontId="99" fillId="19" borderId="0" xfId="18" applyFont="1" applyFill="1" applyAlignment="1">
      <alignment horizontal="center" vertical="center"/>
    </xf>
    <xf numFmtId="0" fontId="99" fillId="19" borderId="0" xfId="18" applyFont="1" applyFill="1" applyAlignment="1">
      <alignment vertical="center"/>
    </xf>
    <xf numFmtId="0" fontId="0" fillId="19" borderId="0" xfId="0" applyFill="1" applyAlignment="1">
      <alignment wrapText="1"/>
    </xf>
    <xf numFmtId="0" fontId="99" fillId="19" borderId="0" xfId="18" applyFont="1" applyFill="1" applyAlignment="1">
      <alignment horizontal="center" vertical="center" wrapText="1"/>
    </xf>
    <xf numFmtId="0" fontId="0" fillId="0" borderId="0" xfId="0" applyAlignment="1">
      <alignment wrapText="1"/>
    </xf>
    <xf numFmtId="0" fontId="94" fillId="33" borderId="0" xfId="8" applyFont="1" applyFill="1" applyAlignment="1">
      <alignment wrapText="1"/>
    </xf>
    <xf numFmtId="0" fontId="14" fillId="19" borderId="0" xfId="1" applyFill="1" applyBorder="1" applyAlignment="1">
      <alignment vertical="center"/>
    </xf>
    <xf numFmtId="0" fontId="119" fillId="19" borderId="0" xfId="1" applyFont="1" applyFill="1" applyBorder="1" applyAlignment="1">
      <alignment vertical="center"/>
    </xf>
    <xf numFmtId="0" fontId="120" fillId="19" borderId="0" xfId="1" applyFont="1" applyFill="1" applyBorder="1" applyAlignment="1">
      <alignment vertical="center"/>
    </xf>
    <xf numFmtId="0" fontId="122" fillId="0" borderId="15" xfId="3" applyFont="1" applyBorder="1"/>
    <xf numFmtId="0" fontId="128" fillId="0" borderId="0" xfId="0" applyFont="1" applyAlignment="1">
      <alignment vertical="center"/>
    </xf>
    <xf numFmtId="0" fontId="122" fillId="0" borderId="17" xfId="0" applyFont="1" applyBorder="1"/>
    <xf numFmtId="0" fontId="122" fillId="0" borderId="17" xfId="0" applyFont="1" applyBorder="1" applyAlignment="1">
      <alignment horizontal="right"/>
    </xf>
    <xf numFmtId="0" fontId="130" fillId="19" borderId="0" xfId="1" applyFont="1" applyFill="1" applyBorder="1" applyAlignment="1">
      <alignment vertical="center"/>
    </xf>
    <xf numFmtId="177" fontId="106" fillId="48" borderId="7" xfId="31" applyNumberFormat="1" applyFont="1" applyFill="1" applyBorder="1" applyAlignment="1">
      <alignment horizontal="center" vertical="center" wrapText="1"/>
    </xf>
    <xf numFmtId="0" fontId="127" fillId="0" borderId="0" xfId="0" applyFont="1" applyAlignment="1">
      <alignment vertical="center"/>
    </xf>
    <xf numFmtId="0" fontId="0" fillId="33" borderId="0" xfId="8" applyFont="1" applyFill="1" applyAlignment="1">
      <alignment horizontal="left" vertical="center"/>
    </xf>
    <xf numFmtId="0" fontId="133" fillId="33" borderId="4" xfId="8" applyFont="1" applyFill="1" applyBorder="1" applyAlignment="1">
      <alignment horizontal="left" vertical="center"/>
    </xf>
    <xf numFmtId="0" fontId="133" fillId="33" borderId="10" xfId="8" applyFont="1" applyFill="1" applyBorder="1" applyAlignment="1">
      <alignment horizontal="left" vertical="center"/>
    </xf>
    <xf numFmtId="0" fontId="112" fillId="19" borderId="0" xfId="18" applyFont="1" applyFill="1" applyAlignment="1">
      <alignment horizontal="left" vertical="center"/>
    </xf>
    <xf numFmtId="177" fontId="113" fillId="47" borderId="15" xfId="35" applyNumberFormat="1" applyFont="1" applyFill="1" applyBorder="1" applyAlignment="1">
      <alignment horizontal="left" vertical="center" wrapText="1"/>
    </xf>
    <xf numFmtId="0" fontId="140" fillId="0" borderId="0" xfId="0" applyFont="1"/>
    <xf numFmtId="0" fontId="0" fillId="53" borderId="0" xfId="0" applyFill="1"/>
    <xf numFmtId="0" fontId="135" fillId="19" borderId="0" xfId="3" applyFont="1" applyFill="1"/>
    <xf numFmtId="0" fontId="113" fillId="0" borderId="0" xfId="5" applyFont="1" applyAlignment="1">
      <alignment vertical="top" wrapText="1"/>
    </xf>
    <xf numFmtId="0" fontId="135" fillId="0" borderId="0" xfId="3" applyFont="1" applyAlignment="1">
      <alignment vertical="top"/>
    </xf>
    <xf numFmtId="0" fontId="135" fillId="0" borderId="0" xfId="3" applyFont="1"/>
    <xf numFmtId="0" fontId="111" fillId="19" borderId="0" xfId="3" applyFont="1" applyFill="1" applyAlignment="1">
      <alignment vertical="center"/>
    </xf>
    <xf numFmtId="0" fontId="142" fillId="19" borderId="0" xfId="3" applyFont="1" applyFill="1" applyAlignment="1">
      <alignment vertical="center"/>
    </xf>
    <xf numFmtId="0" fontId="142" fillId="19" borderId="0" xfId="3" applyFont="1" applyFill="1"/>
    <xf numFmtId="0" fontId="142" fillId="19" borderId="0" xfId="3" applyFont="1" applyFill="1" applyAlignment="1">
      <alignment horizontal="center" vertical="center"/>
    </xf>
    <xf numFmtId="0" fontId="144" fillId="0" borderId="0" xfId="3" applyFont="1"/>
    <xf numFmtId="0" fontId="142" fillId="0" borderId="0" xfId="3" applyFont="1"/>
    <xf numFmtId="0" fontId="144" fillId="0" borderId="0" xfId="3" applyFont="1" applyAlignment="1">
      <alignment horizontal="center" wrapText="1"/>
    </xf>
    <xf numFmtId="0" fontId="145" fillId="19" borderId="0" xfId="3" applyFont="1" applyFill="1" applyAlignment="1">
      <alignment textRotation="45"/>
    </xf>
    <xf numFmtId="9" fontId="142" fillId="0" borderId="10" xfId="20" applyFont="1" applyBorder="1" applyAlignment="1">
      <alignment horizontal="center" vertical="center"/>
    </xf>
    <xf numFmtId="0" fontId="144" fillId="0" borderId="0" xfId="3" applyFont="1" applyAlignment="1">
      <alignment horizontal="center" vertical="center" wrapText="1"/>
    </xf>
    <xf numFmtId="0" fontId="145" fillId="25" borderId="6" xfId="19" applyFont="1" applyFill="1" applyBorder="1" applyAlignment="1">
      <alignment vertical="center" wrapText="1"/>
    </xf>
    <xf numFmtId="0" fontId="145" fillId="26" borderId="0" xfId="3" applyFont="1" applyFill="1" applyAlignment="1">
      <alignment vertical="center" textRotation="45"/>
    </xf>
    <xf numFmtId="0" fontId="145" fillId="19" borderId="0" xfId="3" applyFont="1" applyFill="1" applyAlignment="1">
      <alignment vertical="center" textRotation="45"/>
    </xf>
    <xf numFmtId="0" fontId="142" fillId="0" borderId="0" xfId="3" applyFont="1" applyAlignment="1">
      <alignment vertical="center"/>
    </xf>
    <xf numFmtId="0" fontId="147" fillId="22" borderId="0" xfId="4" applyFont="1" applyFill="1" applyBorder="1" applyAlignment="1">
      <alignment vertical="center"/>
    </xf>
    <xf numFmtId="0" fontId="142" fillId="22" borderId="10" xfId="3" applyFont="1" applyFill="1" applyBorder="1" applyAlignment="1">
      <alignment vertical="center"/>
    </xf>
    <xf numFmtId="0" fontId="142" fillId="24" borderId="0" xfId="3" applyFont="1" applyFill="1" applyAlignment="1">
      <alignment vertical="center"/>
    </xf>
    <xf numFmtId="9" fontId="112" fillId="19" borderId="19" xfId="20" applyFont="1" applyFill="1" applyBorder="1" applyAlignment="1">
      <alignment horizontal="center" vertical="center"/>
    </xf>
    <xf numFmtId="9" fontId="112" fillId="19" borderId="20" xfId="20" applyFont="1" applyFill="1" applyBorder="1" applyAlignment="1">
      <alignment horizontal="center" vertical="center"/>
    </xf>
    <xf numFmtId="9" fontId="112" fillId="0" borderId="0" xfId="20" applyFont="1" applyFill="1" applyBorder="1" applyAlignment="1">
      <alignment horizontal="center" vertical="center"/>
    </xf>
    <xf numFmtId="0" fontId="133" fillId="0" borderId="0" xfId="0" applyFont="1"/>
    <xf numFmtId="0" fontId="133" fillId="0" borderId="0" xfId="0" applyFont="1" applyAlignment="1">
      <alignment horizontal="left"/>
    </xf>
    <xf numFmtId="0" fontId="144" fillId="19" borderId="0" xfId="3" applyFont="1" applyFill="1"/>
    <xf numFmtId="0" fontId="144" fillId="19" borderId="0" xfId="3" applyFont="1" applyFill="1" applyAlignment="1">
      <alignment horizontal="center" wrapText="1"/>
    </xf>
    <xf numFmtId="0" fontId="144" fillId="19" borderId="0" xfId="3" applyFont="1" applyFill="1" applyAlignment="1">
      <alignment horizontal="center" vertical="center" wrapText="1"/>
    </xf>
    <xf numFmtId="0" fontId="142" fillId="19" borderId="0" xfId="10" applyFont="1" applyFill="1" applyAlignment="1">
      <alignment vertical="center"/>
    </xf>
    <xf numFmtId="9" fontId="112" fillId="19" borderId="0" xfId="20" applyFont="1" applyFill="1" applyBorder="1" applyAlignment="1">
      <alignment horizontal="center" vertical="center"/>
    </xf>
    <xf numFmtId="0" fontId="112" fillId="19" borderId="0" xfId="3" applyFont="1" applyFill="1" applyAlignment="1">
      <alignment vertical="center"/>
    </xf>
    <xf numFmtId="0" fontId="112" fillId="19" borderId="0" xfId="3" applyFont="1" applyFill="1" applyAlignment="1">
      <alignment horizontal="center" vertical="center"/>
    </xf>
    <xf numFmtId="0" fontId="157" fillId="19" borderId="0" xfId="3" applyFont="1" applyFill="1" applyAlignment="1">
      <alignment vertical="center"/>
    </xf>
    <xf numFmtId="0" fontId="113" fillId="57" borderId="10" xfId="35" applyFont="1" applyFill="1" applyBorder="1" applyAlignment="1">
      <alignment vertical="center" wrapText="1"/>
    </xf>
    <xf numFmtId="0" fontId="112" fillId="34" borderId="15" xfId="3" applyFont="1" applyFill="1" applyBorder="1" applyAlignment="1">
      <alignment vertical="center" wrapText="1"/>
    </xf>
    <xf numFmtId="0" fontId="142" fillId="19" borderId="17" xfId="3" applyFont="1" applyFill="1" applyBorder="1" applyAlignment="1">
      <alignment vertical="center" wrapText="1"/>
    </xf>
    <xf numFmtId="9" fontId="142" fillId="19" borderId="17" xfId="20" applyFont="1" applyFill="1" applyBorder="1" applyAlignment="1">
      <alignment horizontal="center" vertical="center"/>
    </xf>
    <xf numFmtId="0" fontId="14" fillId="0" borderId="0" xfId="1"/>
    <xf numFmtId="0" fontId="168" fillId="0" borderId="0" xfId="0" applyFont="1" applyAlignment="1">
      <alignment vertical="center" wrapText="1"/>
    </xf>
    <xf numFmtId="0" fontId="170" fillId="59" borderId="0" xfId="46" applyFont="1" applyFill="1" applyAlignment="1">
      <alignment wrapText="1"/>
    </xf>
    <xf numFmtId="0" fontId="145" fillId="25" borderId="25" xfId="19" applyFont="1" applyFill="1" applyBorder="1" applyAlignment="1">
      <alignment wrapText="1"/>
    </xf>
    <xf numFmtId="0" fontId="61" fillId="6" borderId="12" xfId="0" applyFont="1" applyFill="1" applyBorder="1" applyAlignment="1">
      <alignment horizontal="left" vertical="top"/>
    </xf>
    <xf numFmtId="0" fontId="61" fillId="6" borderId="12" xfId="0" applyFont="1" applyFill="1" applyBorder="1" applyAlignment="1">
      <alignment horizontal="left"/>
    </xf>
    <xf numFmtId="0" fontId="22" fillId="6" borderId="12" xfId="0" applyFont="1" applyFill="1" applyBorder="1"/>
    <xf numFmtId="0" fontId="22" fillId="0" borderId="13" xfId="0" applyFont="1" applyBorder="1"/>
    <xf numFmtId="0" fontId="62" fillId="6" borderId="12" xfId="0" applyFont="1" applyFill="1" applyBorder="1" applyAlignment="1">
      <alignment horizontal="left" vertical="top"/>
    </xf>
    <xf numFmtId="0" fontId="62" fillId="6" borderId="12" xfId="0" applyFont="1" applyFill="1" applyBorder="1" applyAlignment="1">
      <alignment horizontal="left"/>
    </xf>
    <xf numFmtId="0" fontId="63" fillId="6" borderId="12" xfId="0" applyFont="1" applyFill="1" applyBorder="1"/>
    <xf numFmtId="0" fontId="64" fillId="0" borderId="13" xfId="0" applyFont="1" applyBorder="1" applyAlignment="1">
      <alignment horizontal="left"/>
    </xf>
    <xf numFmtId="0" fontId="22" fillId="0" borderId="13" xfId="0" applyFont="1" applyBorder="1" applyAlignment="1">
      <alignment horizontal="left"/>
    </xf>
    <xf numFmtId="0" fontId="66" fillId="0" borderId="13" xfId="0" applyFont="1" applyBorder="1" applyAlignment="1">
      <alignment horizontal="left"/>
    </xf>
    <xf numFmtId="0" fontId="22" fillId="7" borderId="12" xfId="0" applyFont="1" applyFill="1" applyBorder="1" applyAlignment="1">
      <alignment horizontal="center"/>
    </xf>
    <xf numFmtId="0" fontId="21" fillId="7" borderId="12" xfId="0" applyFont="1" applyFill="1" applyBorder="1" applyAlignment="1">
      <alignment horizontal="center"/>
    </xf>
    <xf numFmtId="0" fontId="78" fillId="16" borderId="10" xfId="0" applyFont="1" applyFill="1" applyBorder="1" applyAlignment="1">
      <alignment horizontal="left" vertical="top"/>
    </xf>
    <xf numFmtId="0" fontId="22" fillId="0" borderId="12" xfId="0" applyFont="1" applyBorder="1" applyAlignment="1">
      <alignment horizontal="left" vertical="center"/>
    </xf>
    <xf numFmtId="0" fontId="90" fillId="30" borderId="15" xfId="0" applyFont="1" applyFill="1" applyBorder="1" applyAlignment="1">
      <alignment horizontal="center" vertical="center" wrapText="1"/>
    </xf>
    <xf numFmtId="1" fontId="90" fillId="30" borderId="17" xfId="0" applyNumberFormat="1" applyFont="1" applyFill="1" applyBorder="1" applyAlignment="1">
      <alignment vertical="center" wrapText="1"/>
    </xf>
    <xf numFmtId="0" fontId="174" fillId="0" borderId="0" xfId="0" applyFont="1"/>
    <xf numFmtId="0" fontId="89" fillId="19" borderId="15" xfId="0" applyFont="1" applyFill="1" applyBorder="1" applyAlignment="1">
      <alignment horizontal="left" vertical="center" wrapText="1"/>
    </xf>
    <xf numFmtId="0" fontId="102" fillId="19" borderId="17" xfId="0" applyFont="1" applyFill="1" applyBorder="1" applyAlignment="1">
      <alignment vertical="top" wrapText="1"/>
    </xf>
    <xf numFmtId="0" fontId="102" fillId="0" borderId="17" xfId="0" applyFont="1" applyBorder="1" applyAlignment="1">
      <alignment vertical="top" wrapText="1"/>
    </xf>
    <xf numFmtId="0" fontId="89" fillId="55" borderId="15" xfId="0" applyFont="1" applyFill="1" applyBorder="1" applyAlignment="1">
      <alignment horizontal="left" vertical="center" wrapText="1"/>
    </xf>
    <xf numFmtId="0" fontId="102" fillId="55" borderId="17" xfId="0" applyFont="1" applyFill="1" applyBorder="1" applyAlignment="1">
      <alignment vertical="top" wrapText="1"/>
    </xf>
    <xf numFmtId="0" fontId="89" fillId="0" borderId="15" xfId="0" applyFont="1" applyBorder="1" applyAlignment="1">
      <alignment horizontal="left" vertical="center" wrapText="1"/>
    </xf>
    <xf numFmtId="0" fontId="89" fillId="0" borderId="15" xfId="0" applyFont="1" applyBorder="1" applyAlignment="1">
      <alignment vertical="center"/>
    </xf>
    <xf numFmtId="0" fontId="89" fillId="0" borderId="17" xfId="0" applyFont="1" applyBorder="1" applyAlignment="1">
      <alignment vertical="top" wrapText="1"/>
    </xf>
    <xf numFmtId="0" fontId="89" fillId="24" borderId="13" xfId="0" applyFont="1" applyFill="1" applyBorder="1" applyAlignment="1">
      <alignment vertical="center"/>
    </xf>
    <xf numFmtId="0" fontId="102" fillId="24" borderId="0" xfId="0" applyFont="1" applyFill="1" applyAlignment="1">
      <alignment vertical="center"/>
    </xf>
    <xf numFmtId="0" fontId="102" fillId="24" borderId="0" xfId="0" applyFont="1" applyFill="1"/>
    <xf numFmtId="174" fontId="89" fillId="24" borderId="0" xfId="31" applyNumberFormat="1" applyFont="1" applyFill="1" applyAlignment="1">
      <alignment horizontal="left" vertical="center" wrapText="1"/>
    </xf>
    <xf numFmtId="0" fontId="89" fillId="24" borderId="0" xfId="31" applyFont="1" applyFill="1" applyAlignment="1">
      <alignment horizontal="center" vertical="center" wrapText="1"/>
    </xf>
    <xf numFmtId="18" fontId="89" fillId="24" borderId="0" xfId="8" applyNumberFormat="1" applyFill="1" applyAlignment="1">
      <alignment horizontal="left" vertical="center"/>
    </xf>
    <xf numFmtId="0" fontId="102" fillId="24" borderId="14" xfId="0" applyFont="1" applyFill="1" applyBorder="1"/>
    <xf numFmtId="0" fontId="175" fillId="19" borderId="0" xfId="0" applyFont="1" applyFill="1"/>
    <xf numFmtId="0" fontId="133" fillId="0" borderId="10" xfId="0" applyFont="1" applyBorder="1" applyAlignment="1">
      <alignment horizontal="left"/>
    </xf>
    <xf numFmtId="0" fontId="133" fillId="0" borderId="7" xfId="0" applyFont="1" applyBorder="1" applyAlignment="1">
      <alignment horizontal="left"/>
    </xf>
    <xf numFmtId="0" fontId="179" fillId="0" borderId="0" xfId="0" applyFont="1"/>
    <xf numFmtId="0" fontId="2" fillId="0" borderId="16" xfId="0" applyFont="1" applyBorder="1" applyAlignment="1">
      <alignment wrapText="1"/>
    </xf>
    <xf numFmtId="0" fontId="2" fillId="19" borderId="16" xfId="0" applyFont="1" applyFill="1" applyBorder="1" applyAlignment="1">
      <alignment wrapText="1"/>
    </xf>
    <xf numFmtId="0" fontId="14" fillId="0" borderId="0" xfId="1" applyBorder="1"/>
    <xf numFmtId="0" fontId="136" fillId="0" borderId="0" xfId="0" applyFont="1"/>
    <xf numFmtId="0" fontId="135" fillId="0" borderId="0" xfId="0" applyFont="1"/>
    <xf numFmtId="0" fontId="133" fillId="0" borderId="16" xfId="0" applyFont="1" applyBorder="1"/>
    <xf numFmtId="0" fontId="90" fillId="0" borderId="0" xfId="5" applyFont="1" applyAlignment="1">
      <alignment vertical="top" wrapText="1"/>
    </xf>
    <xf numFmtId="0" fontId="145" fillId="65" borderId="15" xfId="19" applyFont="1" applyFill="1" applyBorder="1" applyAlignment="1">
      <alignment vertical="center" wrapText="1"/>
    </xf>
    <xf numFmtId="0" fontId="137" fillId="65" borderId="10" xfId="0" applyFont="1" applyFill="1" applyBorder="1"/>
    <xf numFmtId="0" fontId="181" fillId="0" borderId="0" xfId="0" applyFont="1" applyAlignment="1">
      <alignment vertical="center"/>
    </xf>
    <xf numFmtId="0" fontId="113" fillId="69" borderId="24" xfId="35" applyFont="1" applyFill="1" applyBorder="1" applyAlignment="1">
      <alignment horizontal="center" vertical="center"/>
    </xf>
    <xf numFmtId="0" fontId="105" fillId="65" borderId="15" xfId="3" applyFont="1" applyFill="1" applyBorder="1"/>
    <xf numFmtId="0" fontId="98" fillId="65" borderId="17" xfId="0" applyFont="1" applyFill="1" applyBorder="1" applyAlignment="1">
      <alignment horizontal="right" wrapText="1"/>
    </xf>
    <xf numFmtId="0" fontId="98" fillId="65" borderId="15" xfId="3" applyFont="1" applyFill="1" applyBorder="1"/>
    <xf numFmtId="0" fontId="128" fillId="0" borderId="0" xfId="0" applyFont="1" applyAlignment="1">
      <alignment horizontal="center" vertical="top"/>
    </xf>
    <xf numFmtId="0" fontId="128" fillId="0" borderId="0" xfId="0" applyFont="1" applyAlignment="1">
      <alignment vertical="top"/>
    </xf>
    <xf numFmtId="0" fontId="180" fillId="0" borderId="12" xfId="1" applyFont="1" applyBorder="1" applyAlignment="1">
      <alignment horizontal="center" vertical="top"/>
    </xf>
    <xf numFmtId="0" fontId="178" fillId="0" borderId="0" xfId="0" applyFont="1" applyAlignment="1">
      <alignment vertical="top"/>
    </xf>
    <xf numFmtId="0" fontId="108" fillId="0" borderId="0" xfId="0" applyFont="1" applyAlignment="1">
      <alignment vertical="top"/>
    </xf>
    <xf numFmtId="0" fontId="176" fillId="0" borderId="0" xfId="1" applyFont="1" applyAlignment="1">
      <alignment vertical="top" wrapText="1"/>
    </xf>
    <xf numFmtId="0" fontId="177" fillId="0" borderId="0" xfId="0" applyFont="1" applyAlignment="1">
      <alignment vertical="top"/>
    </xf>
    <xf numFmtId="0" fontId="127" fillId="0" borderId="0" xfId="0" applyFont="1" applyAlignment="1">
      <alignment horizontal="center" vertical="top"/>
    </xf>
    <xf numFmtId="0" fontId="128" fillId="0" borderId="0" xfId="0" applyFont="1" applyAlignment="1">
      <alignment vertical="top" wrapText="1"/>
    </xf>
    <xf numFmtId="0" fontId="133" fillId="0" borderId="0" xfId="0" applyFont="1" applyAlignment="1">
      <alignment horizontal="center" vertical="top"/>
    </xf>
    <xf numFmtId="0" fontId="128" fillId="19" borderId="0" xfId="0" applyFont="1" applyFill="1" applyAlignment="1">
      <alignment vertical="top" wrapText="1"/>
    </xf>
    <xf numFmtId="0" fontId="176" fillId="19" borderId="0" xfId="1" applyFont="1" applyFill="1" applyAlignment="1">
      <alignment vertical="top" wrapText="1"/>
    </xf>
    <xf numFmtId="0" fontId="184" fillId="0" borderId="12" xfId="1" applyFont="1" applyBorder="1" applyAlignment="1">
      <alignment horizontal="center" vertical="top" wrapText="1"/>
    </xf>
    <xf numFmtId="0" fontId="89" fillId="0" borderId="4" xfId="0" applyFont="1" applyBorder="1" applyAlignment="1">
      <alignment horizontal="left" vertical="top" wrapText="1"/>
    </xf>
    <xf numFmtId="0" fontId="193" fillId="0" borderId="0" xfId="0" applyFont="1" applyAlignment="1">
      <alignment vertical="top"/>
    </xf>
    <xf numFmtId="0" fontId="193" fillId="0" borderId="0" xfId="0" applyFont="1" applyAlignment="1">
      <alignment vertical="top" wrapText="1"/>
    </xf>
    <xf numFmtId="0" fontId="202" fillId="0" borderId="0" xfId="0" applyFont="1" applyAlignment="1">
      <alignment vertical="top"/>
    </xf>
    <xf numFmtId="0" fontId="202" fillId="0" borderId="0" xfId="0" applyFont="1" applyAlignment="1">
      <alignment vertical="center"/>
    </xf>
    <xf numFmtId="0" fontId="207" fillId="0" borderId="0" xfId="0" applyFont="1" applyAlignment="1">
      <alignment horizontal="center" vertical="top"/>
    </xf>
    <xf numFmtId="0" fontId="133" fillId="0" borderId="16" xfId="0" applyFont="1" applyBorder="1" applyAlignment="1">
      <alignment horizontal="center"/>
    </xf>
    <xf numFmtId="0" fontId="135" fillId="0" borderId="16" xfId="0" applyFont="1" applyBorder="1" applyAlignment="1">
      <alignment horizontal="left" vertical="center" wrapText="1"/>
    </xf>
    <xf numFmtId="0" fontId="133" fillId="19" borderId="16" xfId="0" applyFont="1" applyFill="1" applyBorder="1"/>
    <xf numFmtId="0" fontId="133" fillId="0" borderId="16" xfId="0" applyFont="1" applyBorder="1" applyAlignment="1">
      <alignment horizontal="left"/>
    </xf>
    <xf numFmtId="0" fontId="213" fillId="0" borderId="16" xfId="0" applyFont="1" applyBorder="1"/>
    <xf numFmtId="0" fontId="215" fillId="19" borderId="16" xfId="0" applyFont="1" applyFill="1" applyBorder="1"/>
    <xf numFmtId="0" fontId="213" fillId="19" borderId="16" xfId="0" applyFont="1" applyFill="1" applyBorder="1"/>
    <xf numFmtId="0" fontId="90" fillId="19" borderId="0" xfId="5" applyFont="1" applyFill="1" applyAlignment="1">
      <alignment horizontal="left" vertical="top" wrapText="1"/>
    </xf>
    <xf numFmtId="0" fontId="106" fillId="0" borderId="0" xfId="0" applyFont="1" applyAlignment="1">
      <alignment horizontal="left" vertical="top"/>
    </xf>
    <xf numFmtId="0" fontId="193" fillId="0" borderId="0" xfId="0" applyFont="1" applyAlignment="1">
      <alignment horizontal="center" vertical="top" wrapText="1"/>
    </xf>
    <xf numFmtId="2" fontId="128" fillId="0" borderId="0" xfId="0" applyNumberFormat="1" applyFont="1" applyAlignment="1">
      <alignment vertical="top"/>
    </xf>
    <xf numFmtId="2" fontId="127" fillId="0" borderId="0" xfId="0" applyNumberFormat="1" applyFont="1" applyAlignment="1">
      <alignment horizontal="center" vertical="top"/>
    </xf>
    <xf numFmtId="2" fontId="133" fillId="0" borderId="0" xfId="0" applyNumberFormat="1" applyFont="1" applyAlignment="1">
      <alignment horizontal="center" vertical="top"/>
    </xf>
    <xf numFmtId="2" fontId="128" fillId="0" borderId="0" xfId="0" applyNumberFormat="1" applyFont="1" applyAlignment="1">
      <alignment horizontal="center" vertical="top"/>
    </xf>
    <xf numFmtId="0" fontId="0" fillId="0" borderId="12" xfId="0" applyBorder="1" applyAlignment="1">
      <alignment horizontal="left" vertical="top"/>
    </xf>
    <xf numFmtId="0" fontId="217" fillId="0" borderId="0" xfId="0" applyFont="1"/>
    <xf numFmtId="0" fontId="186" fillId="0" borderId="0" xfId="1" applyFont="1" applyAlignment="1">
      <alignment vertical="center" wrapText="1"/>
    </xf>
    <xf numFmtId="0" fontId="186" fillId="0" borderId="0" xfId="1" applyFont="1"/>
    <xf numFmtId="0" fontId="192" fillId="0" borderId="10" xfId="0" applyFont="1" applyBorder="1" applyAlignment="1">
      <alignment horizontal="left" vertical="top" wrapText="1"/>
    </xf>
    <xf numFmtId="0" fontId="192" fillId="0" borderId="10" xfId="12" applyFont="1" applyBorder="1" applyAlignment="1">
      <alignment vertical="top" wrapText="1"/>
    </xf>
    <xf numFmtId="0" fontId="89" fillId="0" borderId="10" xfId="0" applyFont="1" applyBorder="1" applyAlignment="1">
      <alignment horizontal="left" vertical="top" wrapText="1"/>
    </xf>
    <xf numFmtId="0" fontId="89" fillId="0" borderId="0" xfId="0" applyFont="1" applyAlignment="1">
      <alignment wrapText="1"/>
    </xf>
    <xf numFmtId="0" fontId="0" fillId="0" borderId="0" xfId="0" applyAlignment="1">
      <alignment horizontal="center"/>
    </xf>
    <xf numFmtId="0" fontId="0" fillId="19" borderId="0" xfId="0" applyFill="1" applyAlignment="1">
      <alignment horizontal="center"/>
    </xf>
    <xf numFmtId="0" fontId="218" fillId="0" borderId="0" xfId="1" applyFont="1"/>
    <xf numFmtId="0" fontId="89" fillId="0" borderId="0" xfId="1" applyFont="1"/>
    <xf numFmtId="0" fontId="218" fillId="0" borderId="0" xfId="1" applyFont="1" applyAlignment="1">
      <alignment wrapText="1"/>
    </xf>
    <xf numFmtId="0" fontId="221" fillId="19" borderId="0" xfId="18" applyFont="1" applyFill="1" applyAlignment="1">
      <alignment horizontal="center" vertical="center"/>
    </xf>
    <xf numFmtId="0" fontId="222" fillId="19" borderId="0" xfId="0" applyFont="1" applyFill="1" applyAlignment="1">
      <alignment horizontal="center" wrapText="1"/>
    </xf>
    <xf numFmtId="0" fontId="98" fillId="70" borderId="26" xfId="8" applyFont="1" applyFill="1" applyBorder="1" applyAlignment="1">
      <alignment horizontal="center" vertical="center"/>
    </xf>
    <xf numFmtId="0" fontId="98" fillId="70" borderId="27" xfId="8" applyFont="1" applyFill="1" applyBorder="1" applyAlignment="1">
      <alignment horizontal="center" vertical="center"/>
    </xf>
    <xf numFmtId="0" fontId="170" fillId="0" borderId="28" xfId="46" applyFont="1" applyBorder="1" applyAlignment="1">
      <alignment wrapText="1"/>
    </xf>
    <xf numFmtId="0" fontId="171" fillId="60" borderId="28" xfId="46" applyFont="1" applyFill="1" applyBorder="1" applyAlignment="1">
      <alignment horizontal="center" wrapText="1"/>
    </xf>
    <xf numFmtId="0" fontId="171" fillId="60" borderId="28" xfId="46" applyFont="1" applyFill="1" applyBorder="1" applyAlignment="1">
      <alignment horizontal="left" wrapText="1"/>
    </xf>
    <xf numFmtId="0" fontId="171" fillId="60" borderId="28" xfId="46" applyFont="1" applyFill="1" applyBorder="1" applyAlignment="1">
      <alignment wrapText="1"/>
    </xf>
    <xf numFmtId="0" fontId="171" fillId="0" borderId="28" xfId="46" applyFont="1" applyBorder="1" applyAlignment="1">
      <alignment wrapText="1"/>
    </xf>
    <xf numFmtId="0" fontId="170" fillId="59" borderId="28" xfId="46" applyFont="1" applyFill="1" applyBorder="1" applyAlignment="1">
      <alignment horizontal="center" wrapText="1"/>
    </xf>
    <xf numFmtId="0" fontId="170" fillId="59" borderId="28" xfId="46" applyFont="1" applyFill="1" applyBorder="1" applyAlignment="1">
      <alignment wrapText="1"/>
    </xf>
    <xf numFmtId="0" fontId="2" fillId="0" borderId="28" xfId="0" applyFont="1" applyBorder="1" applyAlignment="1">
      <alignment wrapText="1"/>
    </xf>
    <xf numFmtId="0" fontId="2" fillId="61" borderId="28" xfId="0" applyFont="1" applyFill="1" applyBorder="1" applyAlignment="1">
      <alignment wrapText="1"/>
    </xf>
    <xf numFmtId="0" fontId="2" fillId="61" borderId="28" xfId="0" applyFont="1" applyFill="1" applyBorder="1" applyAlignment="1">
      <alignment horizontal="left" wrapText="1"/>
    </xf>
    <xf numFmtId="0" fontId="2" fillId="0" borderId="28" xfId="0" applyFont="1" applyBorder="1" applyAlignment="1">
      <alignment horizontal="left" wrapText="1"/>
    </xf>
    <xf numFmtId="0" fontId="2" fillId="19" borderId="28" xfId="0" applyFont="1" applyFill="1" applyBorder="1" applyAlignment="1">
      <alignment wrapText="1"/>
    </xf>
    <xf numFmtId="0" fontId="2" fillId="58" borderId="28" xfId="0" applyFont="1" applyFill="1" applyBorder="1" applyAlignment="1">
      <alignment wrapText="1"/>
    </xf>
    <xf numFmtId="0" fontId="2" fillId="58" borderId="28" xfId="0" applyFont="1" applyFill="1" applyBorder="1" applyAlignment="1">
      <alignment horizontal="left" wrapText="1"/>
    </xf>
    <xf numFmtId="0" fontId="2" fillId="62" borderId="28" xfId="0" applyFont="1" applyFill="1" applyBorder="1" applyAlignment="1">
      <alignment wrapText="1"/>
    </xf>
    <xf numFmtId="0" fontId="170" fillId="19" borderId="28" xfId="46" applyFont="1" applyFill="1" applyBorder="1" applyAlignment="1">
      <alignment wrapText="1"/>
    </xf>
    <xf numFmtId="0" fontId="172" fillId="28" borderId="28" xfId="46" applyFont="1" applyFill="1" applyBorder="1" applyAlignment="1">
      <alignment wrapText="1"/>
    </xf>
    <xf numFmtId="0" fontId="170" fillId="28" borderId="28" xfId="46" applyFont="1" applyFill="1" applyBorder="1" applyAlignment="1">
      <alignment wrapText="1"/>
    </xf>
    <xf numFmtId="14" fontId="2" fillId="19" borderId="28" xfId="0" applyNumberFormat="1" applyFont="1" applyFill="1" applyBorder="1" applyAlignment="1">
      <alignment horizontal="center" wrapText="1"/>
    </xf>
    <xf numFmtId="0" fontId="170" fillId="28" borderId="28" xfId="46" applyFont="1" applyFill="1" applyBorder="1" applyAlignment="1">
      <alignment horizontal="center" wrapText="1"/>
    </xf>
    <xf numFmtId="0" fontId="0" fillId="0" borderId="28" xfId="0" applyBorder="1" applyAlignment="1">
      <alignment wrapText="1"/>
    </xf>
    <xf numFmtId="0" fontId="170" fillId="19" borderId="28" xfId="46" applyFont="1" applyFill="1" applyBorder="1" applyAlignment="1">
      <alignment horizontal="center" wrapText="1"/>
    </xf>
    <xf numFmtId="0" fontId="109" fillId="19" borderId="28" xfId="46" applyFont="1" applyFill="1" applyBorder="1" applyAlignment="1">
      <alignment wrapText="1"/>
    </xf>
    <xf numFmtId="0" fontId="92" fillId="28" borderId="28" xfId="46" applyFont="1" applyFill="1" applyBorder="1" applyAlignment="1">
      <alignment wrapText="1"/>
    </xf>
    <xf numFmtId="0" fontId="170" fillId="19" borderId="28" xfId="47" applyFont="1" applyFill="1" applyBorder="1" applyAlignment="1">
      <alignment wrapText="1"/>
    </xf>
    <xf numFmtId="0" fontId="92" fillId="28" borderId="28" xfId="46" applyFont="1" applyFill="1" applyBorder="1" applyAlignment="1">
      <alignment horizontal="center" wrapText="1"/>
    </xf>
    <xf numFmtId="0" fontId="0" fillId="19" borderId="28" xfId="0" applyFill="1" applyBorder="1" applyAlignment="1">
      <alignment wrapText="1"/>
    </xf>
    <xf numFmtId="0" fontId="172" fillId="28" borderId="28" xfId="46" applyFont="1" applyFill="1" applyBorder="1" applyAlignment="1">
      <alignment horizontal="center" wrapText="1"/>
    </xf>
    <xf numFmtId="0" fontId="172" fillId="28" borderId="28" xfId="47" applyFont="1" applyFill="1" applyBorder="1" applyAlignment="1">
      <alignment wrapText="1"/>
    </xf>
    <xf numFmtId="0" fontId="170" fillId="63" borderId="28" xfId="47" applyFont="1" applyFill="1" applyBorder="1" applyAlignment="1">
      <alignment wrapText="1"/>
    </xf>
    <xf numFmtId="14" fontId="2" fillId="63" borderId="28" xfId="0" applyNumberFormat="1" applyFont="1" applyFill="1" applyBorder="1" applyAlignment="1">
      <alignment horizontal="center" wrapText="1"/>
    </xf>
    <xf numFmtId="0" fontId="170" fillId="63" borderId="28" xfId="46" applyFont="1" applyFill="1" applyBorder="1" applyAlignment="1">
      <alignment horizontal="center" wrapText="1"/>
    </xf>
    <xf numFmtId="0" fontId="109" fillId="63" borderId="28" xfId="46" applyFont="1" applyFill="1" applyBorder="1" applyAlignment="1">
      <alignment wrapText="1"/>
    </xf>
    <xf numFmtId="0" fontId="2" fillId="63" borderId="28" xfId="0" applyFont="1" applyFill="1" applyBorder="1" applyAlignment="1">
      <alignment wrapText="1"/>
    </xf>
    <xf numFmtId="14" fontId="170" fillId="0" borderId="28" xfId="46" applyNumberFormat="1" applyFont="1" applyBorder="1" applyAlignment="1">
      <alignment horizontal="center" wrapText="1"/>
    </xf>
    <xf numFmtId="0" fontId="170" fillId="0" borderId="28" xfId="46" applyFont="1" applyBorder="1" applyAlignment="1">
      <alignment horizontal="center" wrapText="1"/>
    </xf>
    <xf numFmtId="0" fontId="173" fillId="0" borderId="28" xfId="46" applyFont="1" applyBorder="1" applyAlignment="1">
      <alignment wrapText="1"/>
    </xf>
    <xf numFmtId="0" fontId="173" fillId="0" borderId="28" xfId="47" applyFont="1" applyBorder="1" applyAlignment="1">
      <alignment wrapText="1"/>
    </xf>
    <xf numFmtId="0" fontId="2" fillId="64" borderId="28" xfId="0" applyFont="1" applyFill="1" applyBorder="1" applyAlignment="1">
      <alignment wrapText="1"/>
    </xf>
    <xf numFmtId="0" fontId="2" fillId="64" borderId="28" xfId="0" applyFont="1" applyFill="1" applyBorder="1" applyAlignment="1">
      <alignment horizontal="left" wrapText="1"/>
    </xf>
    <xf numFmtId="0" fontId="90" fillId="23" borderId="28" xfId="5" applyFont="1" applyFill="1" applyBorder="1" applyAlignment="1">
      <alignment horizontal="left" vertical="center"/>
    </xf>
    <xf numFmtId="0" fontId="89" fillId="23" borderId="28" xfId="5" applyFill="1" applyBorder="1" applyAlignment="1">
      <alignment horizontal="center" vertical="center"/>
    </xf>
    <xf numFmtId="0" fontId="89" fillId="23" borderId="28" xfId="5" applyFill="1" applyBorder="1" applyAlignment="1">
      <alignment horizontal="left" vertical="center"/>
    </xf>
    <xf numFmtId="0" fontId="89" fillId="23" borderId="28" xfId="5" applyFill="1" applyBorder="1"/>
    <xf numFmtId="0" fontId="89" fillId="23" borderId="28" xfId="3" applyFill="1" applyBorder="1"/>
    <xf numFmtId="0" fontId="121" fillId="65" borderId="28" xfId="5" applyFont="1" applyFill="1" applyBorder="1" applyAlignment="1">
      <alignment horizontal="center" vertical="center" wrapText="1"/>
    </xf>
    <xf numFmtId="0" fontId="124" fillId="0" borderId="28" xfId="0" applyFont="1" applyBorder="1" applyAlignment="1">
      <alignment vertical="center"/>
    </xf>
    <xf numFmtId="22" fontId="125" fillId="0" borderId="28" xfId="5" applyNumberFormat="1" applyFont="1" applyBorder="1" applyAlignment="1">
      <alignment horizontal="center" vertical="center"/>
    </xf>
    <xf numFmtId="0" fontId="124" fillId="0" borderId="28" xfId="0" applyFont="1" applyBorder="1" applyAlignment="1">
      <alignment vertical="center" wrapText="1"/>
    </xf>
    <xf numFmtId="0" fontId="126" fillId="0" borderId="28" xfId="0" applyFont="1" applyBorder="1" applyAlignment="1">
      <alignment vertical="center"/>
    </xf>
    <xf numFmtId="0" fontId="133" fillId="0" borderId="28" xfId="0" applyFont="1" applyBorder="1" applyAlignment="1">
      <alignment horizontal="right"/>
    </xf>
    <xf numFmtId="16" fontId="133" fillId="0" borderId="28" xfId="0" applyNumberFormat="1" applyFont="1" applyBorder="1" applyAlignment="1">
      <alignment horizontal="center"/>
    </xf>
    <xf numFmtId="0" fontId="102" fillId="0" borderId="28" xfId="0" applyFont="1" applyBorder="1"/>
    <xf numFmtId="16" fontId="133" fillId="19" borderId="28" xfId="0" applyNumberFormat="1" applyFont="1" applyFill="1" applyBorder="1" applyAlignment="1">
      <alignment horizontal="center"/>
    </xf>
    <xf numFmtId="0" fontId="133" fillId="54" borderId="28" xfId="0" applyFont="1" applyFill="1" applyBorder="1" applyAlignment="1">
      <alignment horizontal="left"/>
    </xf>
    <xf numFmtId="0" fontId="133" fillId="0" borderId="28" xfId="0" applyFont="1" applyBorder="1"/>
    <xf numFmtId="0" fontId="0" fillId="0" borderId="28" xfId="0" applyBorder="1"/>
    <xf numFmtId="0" fontId="133" fillId="0" borderId="28" xfId="0" applyFont="1" applyBorder="1" applyAlignment="1">
      <alignment wrapText="1"/>
    </xf>
    <xf numFmtId="0" fontId="133" fillId="0" borderId="28" xfId="0" applyFont="1" applyBorder="1" applyAlignment="1">
      <alignment vertical="center"/>
    </xf>
    <xf numFmtId="0" fontId="133" fillId="0" borderId="28" xfId="0" applyFont="1" applyBorder="1" applyAlignment="1">
      <alignment vertical="center" wrapText="1"/>
    </xf>
    <xf numFmtId="0" fontId="90" fillId="30" borderId="28" xfId="0" applyFont="1" applyFill="1" applyBorder="1" applyAlignment="1">
      <alignment vertical="center" wrapText="1"/>
    </xf>
    <xf numFmtId="0" fontId="102" fillId="19" borderId="28" xfId="0" applyFont="1" applyFill="1" applyBorder="1" applyAlignment="1">
      <alignment vertical="center"/>
    </xf>
    <xf numFmtId="174" fontId="89" fillId="19" borderId="28" xfId="31" applyNumberFormat="1" applyFont="1" applyFill="1" applyBorder="1" applyAlignment="1">
      <alignment horizontal="left" vertical="center" wrapText="1"/>
    </xf>
    <xf numFmtId="0" fontId="89" fillId="19" borderId="28" xfId="31" applyFont="1" applyFill="1" applyBorder="1" applyAlignment="1">
      <alignment horizontal="center" vertical="center" wrapText="1"/>
    </xf>
    <xf numFmtId="18" fontId="89" fillId="19" borderId="28" xfId="8" applyNumberFormat="1" applyFill="1" applyBorder="1" applyAlignment="1">
      <alignment horizontal="left" vertical="center"/>
    </xf>
    <xf numFmtId="0" fontId="99" fillId="0" borderId="28" xfId="5" applyFont="1" applyBorder="1" applyAlignment="1">
      <alignment horizontal="center" vertical="center" wrapText="1"/>
    </xf>
    <xf numFmtId="0" fontId="102" fillId="19" borderId="28" xfId="0" applyFont="1" applyFill="1" applyBorder="1" applyAlignment="1">
      <alignment vertical="center" wrapText="1"/>
    </xf>
    <xf numFmtId="0" fontId="102" fillId="55" borderId="28" xfId="0" applyFont="1" applyFill="1" applyBorder="1" applyAlignment="1">
      <alignment vertical="center"/>
    </xf>
    <xf numFmtId="0" fontId="102" fillId="55" borderId="28" xfId="0" applyFont="1" applyFill="1" applyBorder="1" applyAlignment="1">
      <alignment vertical="center" wrapText="1"/>
    </xf>
    <xf numFmtId="174" fontId="89" fillId="55" borderId="28" xfId="31" applyNumberFormat="1" applyFont="1" applyFill="1" applyBorder="1" applyAlignment="1">
      <alignment horizontal="left" vertical="center" wrapText="1"/>
    </xf>
    <xf numFmtId="0" fontId="89" fillId="55" borderId="28" xfId="31" applyFont="1" applyFill="1" applyBorder="1" applyAlignment="1">
      <alignment horizontal="center" vertical="center" wrapText="1"/>
    </xf>
    <xf numFmtId="18" fontId="89" fillId="55" borderId="28" xfId="8" applyNumberFormat="1" applyFill="1" applyBorder="1" applyAlignment="1">
      <alignment horizontal="left" vertical="center"/>
    </xf>
    <xf numFmtId="0" fontId="102" fillId="0" borderId="28" xfId="0" applyFont="1" applyBorder="1" applyAlignment="1">
      <alignment vertical="center"/>
    </xf>
    <xf numFmtId="0" fontId="102" fillId="0" borderId="28" xfId="0" applyFont="1" applyBorder="1" applyAlignment="1">
      <alignment vertical="center" wrapText="1"/>
    </xf>
    <xf numFmtId="0" fontId="102" fillId="0" borderId="28" xfId="0" applyFont="1" applyBorder="1" applyAlignment="1">
      <alignment vertical="top" wrapText="1"/>
    </xf>
    <xf numFmtId="0" fontId="113" fillId="39" borderId="28" xfId="24" applyFont="1" applyFill="1" applyBorder="1" applyAlignment="1">
      <alignment horizontal="center" vertical="center"/>
    </xf>
    <xf numFmtId="0" fontId="113" fillId="39" borderId="28" xfId="24" applyFont="1" applyFill="1" applyBorder="1" applyAlignment="1">
      <alignment horizontal="center" vertical="center" wrapText="1"/>
    </xf>
    <xf numFmtId="0" fontId="135" fillId="19" borderId="28" xfId="8" applyFont="1" applyFill="1" applyBorder="1" applyAlignment="1">
      <alignment horizontal="center" vertical="top" wrapText="1"/>
    </xf>
    <xf numFmtId="0" fontId="113" fillId="0" borderId="28" xfId="39" applyFont="1" applyBorder="1" applyAlignment="1">
      <alignment horizontal="left" vertical="center"/>
    </xf>
    <xf numFmtId="0" fontId="210" fillId="0" borderId="28" xfId="39" applyFont="1" applyBorder="1" applyAlignment="1">
      <alignment horizontal="left"/>
    </xf>
    <xf numFmtId="0" fontId="210" fillId="0" borderId="28" xfId="39" applyFont="1" applyBorder="1"/>
    <xf numFmtId="0" fontId="210" fillId="19" borderId="28" xfId="39" applyFont="1" applyFill="1" applyBorder="1"/>
    <xf numFmtId="0" fontId="135" fillId="0" borderId="28" xfId="8" applyFont="1" applyBorder="1" applyAlignment="1">
      <alignment horizontal="left" vertical="top" wrapText="1"/>
    </xf>
    <xf numFmtId="173" fontId="135" fillId="0" borderId="28" xfId="8" applyNumberFormat="1" applyFont="1" applyBorder="1" applyAlignment="1">
      <alignment vertical="top" wrapText="1"/>
    </xf>
    <xf numFmtId="0" fontId="135" fillId="0" borderId="28" xfId="8" applyFont="1" applyBorder="1" applyAlignment="1">
      <alignment vertical="top" wrapText="1"/>
    </xf>
    <xf numFmtId="0" fontId="135" fillId="19" borderId="28" xfId="8" applyFont="1" applyFill="1" applyBorder="1" applyAlignment="1">
      <alignment vertical="top" wrapText="1"/>
    </xf>
    <xf numFmtId="0" fontId="113" fillId="39" borderId="28" xfId="24" applyFont="1" applyFill="1" applyBorder="1" applyAlignment="1">
      <alignment horizontal="left" vertical="center"/>
    </xf>
    <xf numFmtId="0" fontId="113" fillId="39" borderId="28" xfId="24" applyFont="1" applyFill="1" applyBorder="1" applyAlignment="1">
      <alignment horizontal="left" vertical="center" wrapText="1"/>
    </xf>
    <xf numFmtId="0" fontId="133" fillId="0" borderId="28" xfId="0" applyFont="1" applyBorder="1" applyAlignment="1">
      <alignment horizontal="left" vertical="center"/>
    </xf>
    <xf numFmtId="0" fontId="135" fillId="0" borderId="28" xfId="0" applyFont="1" applyBorder="1" applyAlignment="1">
      <alignment horizontal="left" vertical="center"/>
    </xf>
    <xf numFmtId="0" fontId="210" fillId="0" borderId="28" xfId="39" applyFont="1" applyBorder="1" applyAlignment="1">
      <alignment horizontal="left" vertical="center"/>
    </xf>
    <xf numFmtId="0" fontId="135" fillId="19" borderId="28" xfId="8" applyFont="1" applyFill="1" applyBorder="1" applyAlignment="1">
      <alignment vertical="top"/>
    </xf>
    <xf numFmtId="0" fontId="135" fillId="0" borderId="28" xfId="8" applyFont="1" applyBorder="1" applyAlignment="1">
      <alignment horizontal="left" vertical="center"/>
    </xf>
    <xf numFmtId="0" fontId="136" fillId="0" borderId="28" xfId="8" applyFont="1" applyBorder="1" applyAlignment="1">
      <alignment horizontal="left" vertical="center"/>
    </xf>
    <xf numFmtId="0" fontId="135" fillId="19" borderId="28" xfId="8" applyFont="1" applyFill="1" applyBorder="1" applyAlignment="1">
      <alignment horizontal="left" vertical="top" wrapText="1"/>
    </xf>
    <xf numFmtId="173" fontId="135" fillId="19" borderId="28" xfId="8" applyNumberFormat="1" applyFont="1" applyFill="1" applyBorder="1" applyAlignment="1">
      <alignment vertical="top" wrapText="1"/>
    </xf>
    <xf numFmtId="0" fontId="135" fillId="0" borderId="28" xfId="0" applyFont="1" applyBorder="1" applyAlignment="1">
      <alignment horizontal="left" vertical="center" wrapText="1"/>
    </xf>
    <xf numFmtId="0" fontId="211" fillId="0" borderId="28" xfId="0" applyFont="1" applyBorder="1" applyAlignment="1">
      <alignment wrapText="1"/>
    </xf>
    <xf numFmtId="0" fontId="135" fillId="0" borderId="28" xfId="40" applyFont="1" applyBorder="1" applyAlignment="1">
      <alignment horizontal="left" vertical="center" wrapText="1"/>
    </xf>
    <xf numFmtId="0" fontId="135" fillId="0" borderId="28" xfId="12" applyFont="1" applyBorder="1" applyAlignment="1">
      <alignment horizontal="left" vertical="center" wrapText="1"/>
    </xf>
    <xf numFmtId="0" fontId="113" fillId="0" borderId="28" xfId="12" applyFont="1" applyBorder="1" applyAlignment="1">
      <alignment horizontal="left" vertical="center" wrapText="1"/>
    </xf>
    <xf numFmtId="0" fontId="133" fillId="19" borderId="28" xfId="0" applyFont="1" applyFill="1" applyBorder="1" applyAlignment="1">
      <alignment horizontal="left"/>
    </xf>
    <xf numFmtId="0" fontId="210" fillId="19" borderId="28" xfId="39" applyFont="1" applyFill="1" applyBorder="1" applyAlignment="1">
      <alignment horizontal="left"/>
    </xf>
    <xf numFmtId="0" fontId="210" fillId="19" borderId="28" xfId="39" applyFont="1" applyFill="1" applyBorder="1" applyAlignment="1">
      <alignment horizontal="center"/>
    </xf>
    <xf numFmtId="0" fontId="133" fillId="19" borderId="28" xfId="0" applyFont="1" applyFill="1" applyBorder="1" applyAlignment="1">
      <alignment horizontal="left" vertical="center" wrapText="1"/>
    </xf>
    <xf numFmtId="0" fontId="133" fillId="19" borderId="28" xfId="0" applyFont="1" applyFill="1" applyBorder="1" applyAlignment="1">
      <alignment horizontal="center"/>
    </xf>
    <xf numFmtId="0" fontId="135" fillId="19" borderId="28" xfId="0" applyFont="1" applyFill="1" applyBorder="1" applyAlignment="1">
      <alignment horizontal="left" vertical="center" wrapText="1"/>
    </xf>
    <xf numFmtId="0" fontId="203" fillId="19" borderId="28" xfId="1" applyFont="1" applyFill="1" applyBorder="1"/>
    <xf numFmtId="0" fontId="211" fillId="0" borderId="28" xfId="0" applyFont="1" applyBorder="1"/>
    <xf numFmtId="0" fontId="133" fillId="0" borderId="28" xfId="0" applyFont="1" applyBorder="1" applyAlignment="1">
      <alignment horizontal="left"/>
    </xf>
    <xf numFmtId="0" fontId="211" fillId="0" borderId="28" xfId="0" applyFont="1" applyBorder="1" applyAlignment="1">
      <alignment horizontal="left" vertical="center"/>
    </xf>
    <xf numFmtId="0" fontId="213" fillId="0" borderId="28" xfId="0" applyFont="1" applyBorder="1" applyAlignment="1">
      <alignment horizontal="left" vertical="center" wrapText="1"/>
    </xf>
    <xf numFmtId="0" fontId="213" fillId="0" borderId="28" xfId="0" applyFont="1" applyBorder="1"/>
    <xf numFmtId="0" fontId="101" fillId="0" borderId="28" xfId="0" applyFont="1" applyBorder="1" applyAlignment="1">
      <alignment horizontal="left"/>
    </xf>
    <xf numFmtId="0" fontId="214" fillId="0" borderId="28" xfId="0" applyFont="1" applyBorder="1" applyAlignment="1">
      <alignment horizontal="left" vertical="center" readingOrder="1"/>
    </xf>
    <xf numFmtId="0" fontId="150" fillId="0" borderId="28" xfId="1" applyFont="1" applyBorder="1" applyAlignment="1">
      <alignment horizontal="left"/>
    </xf>
    <xf numFmtId="0" fontId="211" fillId="19" borderId="28" xfId="0" applyFont="1" applyFill="1" applyBorder="1"/>
    <xf numFmtId="0" fontId="135" fillId="19" borderId="28" xfId="0" applyFont="1" applyFill="1" applyBorder="1" applyAlignment="1">
      <alignment horizontal="left" vertical="center"/>
    </xf>
    <xf numFmtId="0" fontId="133" fillId="19" borderId="28" xfId="0" applyFont="1" applyFill="1" applyBorder="1" applyAlignment="1">
      <alignment horizontal="left" vertical="center"/>
    </xf>
    <xf numFmtId="0" fontId="133" fillId="19" borderId="28" xfId="0" applyFont="1" applyFill="1" applyBorder="1"/>
    <xf numFmtId="0" fontId="215" fillId="19" borderId="28" xfId="0" applyFont="1" applyFill="1" applyBorder="1" applyAlignment="1">
      <alignment horizontal="left" vertical="center"/>
    </xf>
    <xf numFmtId="0" fontId="215" fillId="19" borderId="28" xfId="0" applyFont="1" applyFill="1" applyBorder="1" applyAlignment="1">
      <alignment horizontal="left" vertical="center" wrapText="1"/>
    </xf>
    <xf numFmtId="0" fontId="216" fillId="19" borderId="28" xfId="1" applyFont="1" applyFill="1" applyBorder="1"/>
    <xf numFmtId="0" fontId="213" fillId="19" borderId="28" xfId="0" applyFont="1" applyFill="1" applyBorder="1" applyAlignment="1">
      <alignment horizontal="left"/>
    </xf>
    <xf numFmtId="0" fontId="213" fillId="19" borderId="28" xfId="0" applyFont="1" applyFill="1" applyBorder="1" applyAlignment="1">
      <alignment horizontal="left" vertical="center" wrapText="1"/>
    </xf>
    <xf numFmtId="0" fontId="135" fillId="0" borderId="28" xfId="0" applyFont="1" applyBorder="1" applyAlignment="1">
      <alignment horizontal="left" vertical="top"/>
    </xf>
    <xf numFmtId="0" fontId="135" fillId="0" borderId="28" xfId="0" applyFont="1" applyBorder="1" applyAlignment="1">
      <alignment horizontal="left" vertical="top" wrapText="1"/>
    </xf>
    <xf numFmtId="0" fontId="210" fillId="0" borderId="28" xfId="39" applyFont="1" applyBorder="1" applyAlignment="1">
      <alignment vertical="top"/>
    </xf>
    <xf numFmtId="0" fontId="211" fillId="19" borderId="28" xfId="0" applyFont="1" applyFill="1" applyBorder="1" applyAlignment="1">
      <alignment wrapText="1"/>
    </xf>
    <xf numFmtId="0" fontId="210" fillId="19" borderId="28" xfId="39" applyFont="1" applyFill="1" applyBorder="1" applyAlignment="1">
      <alignment horizontal="left" vertical="center"/>
    </xf>
    <xf numFmtId="0" fontId="203" fillId="0" borderId="28" xfId="1" applyFont="1" applyBorder="1"/>
    <xf numFmtId="0" fontId="90" fillId="29" borderId="28" xfId="43" applyFont="1" applyFill="1" applyBorder="1" applyAlignment="1">
      <alignment horizontal="center" vertical="center" wrapText="1"/>
    </xf>
    <xf numFmtId="175" fontId="113" fillId="54" borderId="28" xfId="14" applyNumberFormat="1" applyFont="1" applyFill="1" applyBorder="1" applyAlignment="1">
      <alignment horizontal="center" vertical="center" wrapText="1"/>
    </xf>
    <xf numFmtId="0" fontId="113" fillId="54" borderId="28" xfId="43" applyFont="1" applyFill="1" applyBorder="1" applyAlignment="1">
      <alignment horizontal="center" vertical="center" wrapText="1"/>
    </xf>
    <xf numFmtId="0" fontId="116" fillId="65" borderId="28" xfId="43" applyFont="1" applyFill="1" applyBorder="1" applyAlignment="1">
      <alignment horizontal="center" vertical="center" wrapText="1"/>
    </xf>
    <xf numFmtId="0" fontId="137" fillId="65" borderId="28" xfId="43" applyFont="1" applyFill="1" applyBorder="1" applyAlignment="1">
      <alignment horizontal="center" vertical="center" wrapText="1"/>
    </xf>
    <xf numFmtId="9" fontId="137" fillId="65" borderId="28" xfId="44" applyFont="1" applyFill="1" applyBorder="1" applyAlignment="1">
      <alignment horizontal="center" vertical="center" wrapText="1"/>
    </xf>
    <xf numFmtId="0" fontId="113" fillId="19" borderId="28" xfId="43" applyFont="1" applyFill="1" applyBorder="1" applyAlignment="1">
      <alignment horizontal="center" vertical="center" wrapText="1"/>
    </xf>
    <xf numFmtId="0" fontId="106" fillId="29" borderId="28" xfId="43" applyFont="1" applyFill="1" applyBorder="1" applyAlignment="1">
      <alignment horizontal="center" vertical="center" wrapText="1"/>
    </xf>
    <xf numFmtId="0" fontId="135" fillId="19" borderId="28" xfId="43" applyFont="1" applyFill="1" applyBorder="1" applyAlignment="1">
      <alignment horizontal="center" vertical="center" wrapText="1"/>
    </xf>
    <xf numFmtId="0" fontId="113" fillId="23" borderId="28" xfId="43" applyFont="1" applyFill="1" applyBorder="1" applyAlignment="1">
      <alignment horizontal="center" vertical="center" wrapText="1"/>
    </xf>
    <xf numFmtId="0" fontId="113" fillId="35" borderId="28" xfId="8" applyFont="1" applyFill="1" applyBorder="1" applyAlignment="1">
      <alignment horizontal="left" vertical="center" wrapText="1"/>
    </xf>
    <xf numFmtId="0" fontId="107" fillId="23" borderId="28" xfId="0" applyFont="1" applyFill="1" applyBorder="1" applyAlignment="1">
      <alignment horizontal="center" vertical="center" wrapText="1"/>
    </xf>
    <xf numFmtId="0" fontId="106" fillId="0" borderId="28" xfId="0" applyFont="1" applyBorder="1" applyAlignment="1">
      <alignment horizontal="center" vertical="center" wrapText="1"/>
    </xf>
    <xf numFmtId="0" fontId="106" fillId="29" borderId="28" xfId="0" applyFont="1" applyFill="1" applyBorder="1" applyAlignment="1">
      <alignment horizontal="center" vertical="center" wrapText="1"/>
    </xf>
    <xf numFmtId="0" fontId="0" fillId="0" borderId="28" xfId="0" applyBorder="1" applyAlignment="1">
      <alignment horizontal="center" vertical="center" wrapText="1"/>
    </xf>
    <xf numFmtId="49" fontId="97" fillId="65" borderId="28" xfId="8" applyNumberFormat="1" applyFont="1" applyFill="1" applyBorder="1" applyAlignment="1">
      <alignment horizontal="center" vertical="center" wrapText="1"/>
    </xf>
    <xf numFmtId="0" fontId="97" fillId="65" borderId="28" xfId="8" applyFont="1" applyFill="1" applyBorder="1" applyAlignment="1">
      <alignment horizontal="center" vertical="center" wrapText="1"/>
    </xf>
    <xf numFmtId="173" fontId="97" fillId="65" borderId="28" xfId="8" applyNumberFormat="1" applyFont="1" applyFill="1" applyBorder="1" applyAlignment="1">
      <alignment horizontal="center" vertical="center" wrapText="1"/>
    </xf>
    <xf numFmtId="0" fontId="115" fillId="31" borderId="28" xfId="8" applyFont="1" applyFill="1" applyBorder="1" applyAlignment="1">
      <alignment vertical="center" wrapText="1"/>
    </xf>
    <xf numFmtId="0" fontId="100" fillId="23" borderId="28" xfId="0" applyFont="1" applyFill="1" applyBorder="1" applyAlignment="1">
      <alignment horizontal="center" vertical="center"/>
    </xf>
    <xf numFmtId="0" fontId="0" fillId="0" borderId="28" xfId="0" applyBorder="1" applyAlignment="1">
      <alignment vertical="center" wrapText="1"/>
    </xf>
    <xf numFmtId="0" fontId="0" fillId="0" borderId="28" xfId="0" applyBorder="1" applyAlignment="1">
      <alignment vertical="center"/>
    </xf>
    <xf numFmtId="0" fontId="15" fillId="0" borderId="28" xfId="0" applyFont="1" applyBorder="1"/>
    <xf numFmtId="0" fontId="22" fillId="0" borderId="28" xfId="0" applyFont="1" applyBorder="1"/>
    <xf numFmtId="0" fontId="15" fillId="0" borderId="28" xfId="0" applyFont="1" applyBorder="1" applyAlignment="1">
      <alignment horizontal="center"/>
    </xf>
    <xf numFmtId="0" fontId="22" fillId="0" borderId="28" xfId="0" applyFont="1" applyBorder="1" applyAlignment="1">
      <alignment horizontal="left"/>
    </xf>
    <xf numFmtId="0" fontId="22" fillId="0" borderId="28" xfId="0" applyFont="1" applyBorder="1" applyAlignment="1">
      <alignment wrapText="1"/>
    </xf>
    <xf numFmtId="0" fontId="41" fillId="6" borderId="28" xfId="0" applyFont="1" applyFill="1" applyBorder="1" applyAlignment="1">
      <alignment horizontal="left" vertical="top"/>
    </xf>
    <xf numFmtId="0" fontId="41" fillId="6" borderId="28" xfId="0" applyFont="1" applyFill="1" applyBorder="1" applyAlignment="1">
      <alignment horizontal="left"/>
    </xf>
    <xf numFmtId="0" fontId="42" fillId="6" borderId="28" xfId="0" applyFont="1" applyFill="1" applyBorder="1" applyAlignment="1">
      <alignment horizontal="left"/>
    </xf>
    <xf numFmtId="0" fontId="41" fillId="0" borderId="28" xfId="0" applyFont="1" applyBorder="1"/>
    <xf numFmtId="0" fontId="42" fillId="0" borderId="28" xfId="0" applyFont="1" applyBorder="1"/>
    <xf numFmtId="169" fontId="44" fillId="10" borderId="28" xfId="0" applyNumberFormat="1" applyFont="1" applyFill="1" applyBorder="1" applyAlignment="1">
      <alignment horizontal="center" wrapText="1"/>
    </xf>
    <xf numFmtId="169" fontId="44" fillId="10" borderId="28" xfId="0" applyNumberFormat="1" applyFont="1" applyFill="1" applyBorder="1" applyAlignment="1">
      <alignment horizontal="center" textRotation="90" wrapText="1"/>
    </xf>
    <xf numFmtId="169" fontId="44" fillId="10" borderId="28" xfId="0" applyNumberFormat="1" applyFont="1" applyFill="1" applyBorder="1" applyAlignment="1">
      <alignment horizontal="left" wrapText="1"/>
    </xf>
    <xf numFmtId="169" fontId="45" fillId="10" borderId="28" xfId="0" applyNumberFormat="1" applyFont="1" applyFill="1" applyBorder="1" applyAlignment="1">
      <alignment horizontal="center" wrapText="1"/>
    </xf>
    <xf numFmtId="0" fontId="15" fillId="0" borderId="28" xfId="0" applyFont="1" applyBorder="1" applyAlignment="1">
      <alignment vertical="top" wrapText="1"/>
    </xf>
    <xf numFmtId="0" fontId="22" fillId="0" borderId="28" xfId="0" applyFont="1" applyBorder="1" applyAlignment="1">
      <alignment vertical="top" wrapText="1"/>
    </xf>
    <xf numFmtId="0" fontId="15" fillId="0" borderId="28" xfId="0" applyFont="1" applyBorder="1" applyAlignment="1">
      <alignment horizontal="center" vertical="top" wrapText="1"/>
    </xf>
    <xf numFmtId="0" fontId="15" fillId="0" borderId="28" xfId="0" applyFont="1" applyBorder="1" applyAlignment="1">
      <alignment horizontal="left" vertical="top" wrapText="1"/>
    </xf>
    <xf numFmtId="0" fontId="40" fillId="0" borderId="28" xfId="0" applyFont="1" applyBorder="1" applyAlignment="1">
      <alignment vertical="top"/>
    </xf>
    <xf numFmtId="0" fontId="16" fillId="0" borderId="28" xfId="0" applyFont="1" applyBorder="1" applyAlignment="1">
      <alignment horizontal="center" vertical="top" wrapText="1"/>
    </xf>
    <xf numFmtId="0" fontId="0" fillId="0" borderId="28" xfId="0" applyBorder="1" applyAlignment="1">
      <alignment vertical="top"/>
    </xf>
    <xf numFmtId="0" fontId="46" fillId="0" borderId="28" xfId="0" applyFont="1" applyBorder="1" applyAlignment="1">
      <alignment horizontal="left" vertical="top"/>
    </xf>
    <xf numFmtId="0" fontId="22" fillId="0" borderId="28" xfId="0" applyFont="1" applyBorder="1" applyAlignment="1">
      <alignment horizontal="center" vertical="top" wrapText="1"/>
    </xf>
    <xf numFmtId="0" fontId="22" fillId="0" borderId="28" xfId="0" applyFont="1" applyBorder="1" applyAlignment="1">
      <alignment horizontal="left" vertical="top" wrapText="1"/>
    </xf>
    <xf numFmtId="0" fontId="47" fillId="0" borderId="28" xfId="0" applyFont="1" applyBorder="1" applyAlignment="1">
      <alignment vertical="top"/>
    </xf>
    <xf numFmtId="0" fontId="27" fillId="0" borderId="28" xfId="0" applyFont="1" applyBorder="1" applyAlignment="1">
      <alignment horizontal="center" vertical="top" wrapText="1"/>
    </xf>
    <xf numFmtId="0" fontId="37" fillId="0" borderId="28" xfId="0" applyFont="1" applyBorder="1"/>
    <xf numFmtId="0" fontId="47" fillId="0" borderId="28" xfId="0" applyFont="1" applyBorder="1" applyAlignment="1">
      <alignment vertical="center"/>
    </xf>
    <xf numFmtId="0" fontId="15" fillId="0" borderId="28" xfId="0" applyFont="1" applyBorder="1" applyAlignment="1">
      <alignment horizontal="left"/>
    </xf>
    <xf numFmtId="0" fontId="15" fillId="0" borderId="28" xfId="0" applyFont="1" applyBorder="1" applyAlignment="1">
      <alignment vertical="top"/>
    </xf>
    <xf numFmtId="0" fontId="22" fillId="0" borderId="28" xfId="0" applyFont="1" applyBorder="1" applyAlignment="1">
      <alignment vertical="top"/>
    </xf>
    <xf numFmtId="0" fontId="49" fillId="0" borderId="28" xfId="0" applyFont="1" applyBorder="1" applyAlignment="1">
      <alignment horizontal="left"/>
    </xf>
    <xf numFmtId="0" fontId="21" fillId="0" borderId="28" xfId="0" applyFont="1" applyBorder="1" applyAlignment="1">
      <alignment vertical="top" wrapText="1"/>
    </xf>
    <xf numFmtId="0" fontId="27" fillId="0" borderId="28" xfId="0" applyFont="1" applyBorder="1" applyAlignment="1">
      <alignment horizontal="left" vertical="top" wrapText="1"/>
    </xf>
    <xf numFmtId="0" fontId="47" fillId="0" borderId="28" xfId="0" applyFont="1" applyBorder="1" applyAlignment="1">
      <alignment vertical="top" wrapText="1"/>
    </xf>
    <xf numFmtId="0" fontId="22" fillId="0" borderId="28" xfId="0" applyFont="1" applyBorder="1" applyAlignment="1">
      <alignment horizontal="left" vertical="top"/>
    </xf>
    <xf numFmtId="0" fontId="15" fillId="0" borderId="28" xfId="0" applyFont="1" applyBorder="1" applyAlignment="1">
      <alignment horizontal="left" vertical="top" shrinkToFit="1"/>
    </xf>
    <xf numFmtId="0" fontId="27" fillId="0" borderId="28" xfId="0" applyFont="1" applyBorder="1" applyAlignment="1">
      <alignment horizontal="left"/>
    </xf>
    <xf numFmtId="0" fontId="50" fillId="0" borderId="28" xfId="0" applyFont="1" applyBorder="1" applyAlignment="1">
      <alignment horizontal="left"/>
    </xf>
    <xf numFmtId="0" fontId="47" fillId="0" borderId="28" xfId="0" applyFont="1" applyBorder="1" applyAlignment="1">
      <alignment horizontal="left" vertical="top"/>
    </xf>
    <xf numFmtId="0" fontId="49" fillId="0" borderId="28" xfId="0" applyFont="1" applyBorder="1" applyAlignment="1">
      <alignment horizontal="left" vertical="top"/>
    </xf>
    <xf numFmtId="0" fontId="40" fillId="0" borderId="28" xfId="0" applyFont="1" applyBorder="1" applyAlignment="1">
      <alignment vertical="center"/>
    </xf>
    <xf numFmtId="0" fontId="46" fillId="0" borderId="28" xfId="0" applyFont="1" applyBorder="1" applyAlignment="1">
      <alignment horizontal="left" vertical="top" shrinkToFit="1"/>
    </xf>
    <xf numFmtId="0" fontId="53" fillId="0" borderId="28" xfId="0" applyFont="1" applyBorder="1" applyAlignment="1">
      <alignment horizontal="left" vertical="top"/>
    </xf>
    <xf numFmtId="0" fontId="54" fillId="0" borderId="28" xfId="0" applyFont="1" applyBorder="1" applyAlignment="1">
      <alignment horizontal="left" vertical="top"/>
    </xf>
    <xf numFmtId="0" fontId="46" fillId="0" borderId="28" xfId="0" applyFont="1" applyBorder="1" applyAlignment="1">
      <alignment horizontal="left"/>
    </xf>
    <xf numFmtId="0" fontId="56" fillId="0" borderId="28" xfId="0" applyFont="1" applyBorder="1" applyAlignment="1">
      <alignment horizontal="left"/>
    </xf>
    <xf numFmtId="0" fontId="17" fillId="0" borderId="28" xfId="0" applyFont="1" applyBorder="1" applyAlignment="1">
      <alignment vertical="center"/>
    </xf>
    <xf numFmtId="0" fontId="22" fillId="5" borderId="28" xfId="0" applyFont="1" applyFill="1" applyBorder="1" applyAlignment="1">
      <alignment vertical="center"/>
    </xf>
    <xf numFmtId="0" fontId="23" fillId="5" borderId="28" xfId="0" applyFont="1" applyFill="1" applyBorder="1" applyAlignment="1">
      <alignment horizontal="left"/>
    </xf>
    <xf numFmtId="0" fontId="23" fillId="5" borderId="28" xfId="0" applyFont="1" applyFill="1" applyBorder="1" applyAlignment="1">
      <alignment vertical="center"/>
    </xf>
    <xf numFmtId="0" fontId="22" fillId="0" borderId="28" xfId="0" applyFont="1" applyBorder="1" applyAlignment="1">
      <alignment vertical="center"/>
    </xf>
    <xf numFmtId="0" fontId="22" fillId="0" borderId="28" xfId="0" applyFont="1" applyBorder="1" applyAlignment="1">
      <alignment horizontal="left" vertical="center"/>
    </xf>
    <xf numFmtId="20" fontId="22" fillId="0" borderId="28" xfId="0" applyNumberFormat="1" applyFont="1" applyBorder="1" applyAlignment="1">
      <alignment horizontal="left" vertical="center"/>
    </xf>
    <xf numFmtId="20" fontId="23" fillId="0" borderId="28" xfId="0" applyNumberFormat="1" applyFont="1" applyBorder="1" applyAlignment="1">
      <alignment vertical="center"/>
    </xf>
    <xf numFmtId="0" fontId="23" fillId="0" borderId="28" xfId="0" applyFont="1" applyBorder="1" applyAlignment="1">
      <alignment vertical="center"/>
    </xf>
    <xf numFmtId="20" fontId="23" fillId="0" borderId="28" xfId="0" applyNumberFormat="1" applyFont="1" applyBorder="1" applyAlignment="1">
      <alignment horizontal="left"/>
    </xf>
    <xf numFmtId="0" fontId="23" fillId="0" borderId="28" xfId="0" applyFont="1" applyBorder="1" applyAlignment="1">
      <alignment wrapText="1"/>
    </xf>
    <xf numFmtId="16" fontId="23" fillId="0" borderId="28" xfId="0" applyNumberFormat="1" applyFont="1" applyBorder="1" applyAlignment="1">
      <alignment horizontal="left"/>
    </xf>
    <xf numFmtId="0" fontId="23" fillId="0" borderId="28" xfId="0" applyFont="1" applyBorder="1" applyAlignment="1">
      <alignment vertical="top" wrapText="1"/>
    </xf>
    <xf numFmtId="0" fontId="57" fillId="5" borderId="28" xfId="0" applyFont="1" applyFill="1" applyBorder="1" applyAlignment="1">
      <alignment wrapText="1"/>
    </xf>
    <xf numFmtId="0" fontId="14" fillId="0" borderId="28" xfId="1" applyBorder="1" applyAlignment="1" applyProtection="1">
      <alignment vertical="center"/>
    </xf>
    <xf numFmtId="16" fontId="57" fillId="0" borderId="28" xfId="0" applyNumberFormat="1" applyFont="1" applyBorder="1" applyAlignment="1">
      <alignment horizontal="left"/>
    </xf>
    <xf numFmtId="0" fontId="57" fillId="0" borderId="28" xfId="0" applyFont="1" applyBorder="1" applyAlignment="1">
      <alignment horizontal="left"/>
    </xf>
    <xf numFmtId="0" fontId="38" fillId="0" borderId="28" xfId="0" applyFont="1" applyBorder="1" applyAlignment="1">
      <alignment horizontal="left" vertical="center"/>
    </xf>
    <xf numFmtId="0" fontId="38" fillId="0" borderId="28" xfId="0" applyFont="1" applyBorder="1" applyAlignment="1">
      <alignment vertical="center"/>
    </xf>
    <xf numFmtId="0" fontId="38" fillId="5" borderId="28" xfId="0" applyFont="1" applyFill="1" applyBorder="1" applyAlignment="1">
      <alignment vertical="center"/>
    </xf>
    <xf numFmtId="0" fontId="38" fillId="5" borderId="28" xfId="0" applyFont="1" applyFill="1" applyBorder="1" applyAlignment="1">
      <alignment horizontal="left" vertical="center"/>
    </xf>
    <xf numFmtId="0" fontId="16" fillId="0" borderId="28" xfId="0" applyFont="1" applyBorder="1" applyAlignment="1">
      <alignment horizontal="left" vertical="center"/>
    </xf>
    <xf numFmtId="0" fontId="14" fillId="0" borderId="28" xfId="1" applyBorder="1" applyAlignment="1" applyProtection="1">
      <alignment horizontal="left" vertical="center"/>
    </xf>
    <xf numFmtId="0" fontId="29" fillId="0" borderId="28" xfId="0" applyFont="1" applyBorder="1" applyAlignment="1">
      <alignment horizontal="left" vertical="top" wrapText="1"/>
    </xf>
    <xf numFmtId="1" fontId="22" fillId="0" borderId="28" xfId="0" applyNumberFormat="1" applyFont="1" applyBorder="1" applyAlignment="1">
      <alignment horizontal="left" vertical="top"/>
    </xf>
    <xf numFmtId="170" fontId="22" fillId="0" borderId="28" xfId="0" applyNumberFormat="1" applyFont="1" applyBorder="1" applyAlignment="1">
      <alignment horizontal="left" vertical="top" wrapText="1"/>
    </xf>
    <xf numFmtId="170" fontId="22" fillId="0" borderId="28" xfId="0" applyNumberFormat="1" applyFont="1" applyBorder="1" applyAlignment="1">
      <alignment horizontal="left" vertical="top"/>
    </xf>
    <xf numFmtId="0" fontId="22" fillId="0" borderId="28" xfId="0" applyFont="1" applyBorder="1" applyAlignment="1">
      <alignment horizontal="center" wrapText="1"/>
    </xf>
    <xf numFmtId="170" fontId="22" fillId="0" borderId="28" xfId="0" applyNumberFormat="1" applyFont="1" applyBorder="1" applyAlignment="1">
      <alignment horizontal="center" vertical="top" wrapText="1"/>
    </xf>
    <xf numFmtId="0" fontId="15" fillId="0" borderId="28" xfId="0" applyFont="1" applyBorder="1" applyAlignment="1">
      <alignment wrapText="1"/>
    </xf>
    <xf numFmtId="0" fontId="45" fillId="10" borderId="28" xfId="0" applyFont="1" applyFill="1" applyBorder="1" applyAlignment="1">
      <alignment horizontal="center" vertical="center" wrapText="1"/>
    </xf>
    <xf numFmtId="170" fontId="45" fillId="10" borderId="28" xfId="0" applyNumberFormat="1" applyFont="1" applyFill="1" applyBorder="1" applyAlignment="1">
      <alignment horizontal="center" vertical="center" wrapText="1"/>
    </xf>
    <xf numFmtId="0" fontId="45" fillId="6" borderId="28" xfId="0" applyFont="1" applyFill="1" applyBorder="1" applyAlignment="1">
      <alignment horizontal="center" vertical="center" wrapText="1"/>
    </xf>
    <xf numFmtId="0" fontId="45" fillId="11" borderId="28" xfId="0" applyFont="1" applyFill="1" applyBorder="1" applyAlignment="1">
      <alignment horizontal="center" vertical="center" wrapText="1"/>
    </xf>
    <xf numFmtId="0" fontId="45" fillId="0" borderId="28" xfId="0" applyFont="1" applyBorder="1" applyAlignment="1">
      <alignment horizontal="center" vertical="center" wrapText="1"/>
    </xf>
    <xf numFmtId="0" fontId="21" fillId="0" borderId="28" xfId="0" applyFont="1" applyBorder="1" applyAlignment="1">
      <alignment horizontal="center" vertical="center" wrapText="1"/>
    </xf>
    <xf numFmtId="0" fontId="22" fillId="0" borderId="28" xfId="0" applyFont="1" applyBorder="1" applyAlignment="1">
      <alignment horizontal="center" vertical="center" wrapText="1"/>
    </xf>
    <xf numFmtId="170" fontId="22" fillId="0" borderId="28" xfId="0" applyNumberFormat="1" applyFont="1" applyBorder="1" applyAlignment="1">
      <alignment horizontal="center" vertical="center" wrapText="1"/>
    </xf>
    <xf numFmtId="0" fontId="15" fillId="0" borderId="28" xfId="0" applyFont="1" applyBorder="1" applyAlignment="1">
      <alignment horizontal="center" vertical="center" wrapText="1"/>
    </xf>
    <xf numFmtId="164" fontId="15" fillId="0" borderId="28" xfId="0" applyNumberFormat="1" applyFont="1" applyBorder="1" applyAlignment="1">
      <alignment horizontal="center" vertical="center" wrapText="1"/>
    </xf>
    <xf numFmtId="170" fontId="15" fillId="0" borderId="28" xfId="0" applyNumberFormat="1" applyFont="1" applyBorder="1" applyAlignment="1">
      <alignment horizontal="center" vertical="center" wrapText="1"/>
    </xf>
    <xf numFmtId="0" fontId="25" fillId="0" borderId="28" xfId="0" applyFont="1" applyBorder="1" applyAlignment="1">
      <alignment horizontal="center" vertical="center" wrapText="1"/>
    </xf>
    <xf numFmtId="16" fontId="15" fillId="0" borderId="28" xfId="0" applyNumberFormat="1" applyFont="1" applyBorder="1" applyAlignment="1">
      <alignment horizontal="center" vertical="center" wrapText="1"/>
    </xf>
    <xf numFmtId="0" fontId="59" fillId="5" borderId="28" xfId="0" applyFont="1" applyFill="1" applyBorder="1" applyAlignment="1">
      <alignment horizontal="center" vertical="center"/>
    </xf>
    <xf numFmtId="0" fontId="31" fillId="10" borderId="28" xfId="0" applyFont="1" applyFill="1" applyBorder="1" applyAlignment="1">
      <alignment horizontal="right" wrapText="1"/>
    </xf>
    <xf numFmtId="16" fontId="31" fillId="10" borderId="28" xfId="0" applyNumberFormat="1" applyFont="1" applyFill="1" applyBorder="1" applyAlignment="1">
      <alignment horizontal="center" wrapText="1"/>
    </xf>
    <xf numFmtId="0" fontId="22" fillId="13" borderId="28" xfId="0" applyFont="1" applyFill="1" applyBorder="1" applyAlignment="1">
      <alignment horizontal="center"/>
    </xf>
    <xf numFmtId="0" fontId="22" fillId="0" borderId="28" xfId="0" applyFont="1" applyBorder="1" applyAlignment="1">
      <alignment horizontal="center"/>
    </xf>
    <xf numFmtId="0" fontId="49" fillId="12" borderId="28" xfId="0" applyFont="1" applyFill="1" applyBorder="1" applyAlignment="1">
      <alignment horizontal="left"/>
    </xf>
    <xf numFmtId="0" fontId="22" fillId="4" borderId="28" xfId="0" applyFont="1" applyFill="1" applyBorder="1" applyAlignment="1">
      <alignment horizontal="center"/>
    </xf>
    <xf numFmtId="0" fontId="22" fillId="4" borderId="28" xfId="0" applyFont="1" applyFill="1" applyBorder="1" applyAlignment="1">
      <alignment horizontal="left" vertical="top" wrapText="1"/>
    </xf>
    <xf numFmtId="0" fontId="15" fillId="13" borderId="28" xfId="0" applyFont="1" applyFill="1" applyBorder="1" applyAlignment="1">
      <alignment horizontal="center"/>
    </xf>
    <xf numFmtId="0" fontId="16" fillId="0" borderId="28" xfId="0" applyFont="1" applyBorder="1"/>
    <xf numFmtId="0" fontId="16" fillId="0" borderId="28" xfId="0" applyFont="1" applyBorder="1" applyAlignment="1">
      <alignment horizontal="center"/>
    </xf>
    <xf numFmtId="0" fontId="16" fillId="14" borderId="28" xfId="0" applyFont="1" applyFill="1" applyBorder="1"/>
    <xf numFmtId="14" fontId="71" fillId="3" borderId="28" xfId="0" applyNumberFormat="1" applyFont="1" applyFill="1" applyBorder="1" applyAlignment="1">
      <alignment horizontal="left" vertical="center" wrapText="1"/>
    </xf>
    <xf numFmtId="18" fontId="72" fillId="3" borderId="28" xfId="0" applyNumberFormat="1" applyFont="1" applyFill="1" applyBorder="1" applyAlignment="1">
      <alignment horizontal="left" vertical="center" wrapText="1"/>
    </xf>
    <xf numFmtId="14" fontId="74" fillId="3" borderId="28" xfId="0" applyNumberFormat="1" applyFont="1" applyFill="1" applyBorder="1" applyAlignment="1">
      <alignment horizontal="left" vertical="center" wrapText="1"/>
    </xf>
    <xf numFmtId="18" fontId="75" fillId="3" borderId="28" xfId="0" applyNumberFormat="1" applyFont="1" applyFill="1" applyBorder="1" applyAlignment="1">
      <alignment horizontal="left" vertical="center" wrapText="1"/>
    </xf>
    <xf numFmtId="0" fontId="75" fillId="3" borderId="28" xfId="0" applyFont="1" applyFill="1" applyBorder="1" applyAlignment="1">
      <alignment horizontal="left" vertical="center" wrapText="1"/>
    </xf>
    <xf numFmtId="14" fontId="77" fillId="9" borderId="28" xfId="0" applyNumberFormat="1" applyFont="1" applyFill="1" applyBorder="1" applyAlignment="1">
      <alignment horizontal="left" vertical="center" wrapText="1"/>
    </xf>
    <xf numFmtId="0" fontId="78" fillId="16" borderId="28" xfId="0" applyFont="1" applyFill="1" applyBorder="1" applyAlignment="1">
      <alignment horizontal="left" vertical="top"/>
    </xf>
    <xf numFmtId="0" fontId="76" fillId="3" borderId="28" xfId="0" applyFont="1" applyFill="1" applyBorder="1" applyAlignment="1">
      <alignment vertical="center"/>
    </xf>
    <xf numFmtId="0" fontId="0" fillId="0" borderId="28" xfId="0" applyBorder="1" applyAlignment="1">
      <alignment horizontal="left" vertical="top"/>
    </xf>
    <xf numFmtId="0" fontId="13" fillId="2" borderId="28" xfId="2" applyBorder="1" applyAlignment="1" applyProtection="1">
      <alignment horizontal="left" vertical="top"/>
    </xf>
    <xf numFmtId="0" fontId="22" fillId="3" borderId="28" xfId="0" applyFont="1" applyFill="1" applyBorder="1"/>
    <xf numFmtId="0" fontId="21" fillId="4" borderId="28" xfId="0" applyFont="1" applyFill="1" applyBorder="1" applyAlignment="1">
      <alignment horizontal="left" vertical="center"/>
    </xf>
    <xf numFmtId="0" fontId="27" fillId="0" borderId="28" xfId="0" applyFont="1" applyBorder="1"/>
    <xf numFmtId="0" fontId="82" fillId="0" borderId="28" xfId="1" applyFont="1" applyBorder="1" applyProtection="1"/>
    <xf numFmtId="0" fontId="27" fillId="0" borderId="28" xfId="0" applyFont="1" applyBorder="1" applyAlignment="1">
      <alignment vertical="center"/>
    </xf>
    <xf numFmtId="0" fontId="22" fillId="0" borderId="28" xfId="0" applyFont="1" applyBorder="1" applyAlignment="1">
      <alignment vertical="center" wrapText="1"/>
    </xf>
    <xf numFmtId="0" fontId="83" fillId="0" borderId="28" xfId="0" applyFont="1" applyBorder="1" applyAlignment="1">
      <alignment vertical="center"/>
    </xf>
    <xf numFmtId="0" fontId="84" fillId="0" borderId="28" xfId="0" applyFont="1" applyBorder="1" applyAlignment="1">
      <alignment vertical="center" wrapText="1"/>
    </xf>
    <xf numFmtId="0" fontId="84" fillId="0" borderId="28" xfId="0" applyFont="1" applyBorder="1" applyAlignment="1">
      <alignment vertical="center"/>
    </xf>
    <xf numFmtId="16" fontId="22" fillId="0" borderId="28" xfId="0" applyNumberFormat="1" applyFont="1" applyBorder="1" applyAlignment="1">
      <alignment horizontal="left" vertical="center"/>
    </xf>
    <xf numFmtId="0" fontId="85" fillId="0" borderId="28" xfId="0" applyFont="1" applyBorder="1" applyAlignment="1">
      <alignment vertical="center"/>
    </xf>
    <xf numFmtId="0" fontId="84" fillId="0" borderId="28" xfId="0" applyFont="1" applyBorder="1" applyAlignment="1">
      <alignment horizontal="left" vertical="center"/>
    </xf>
    <xf numFmtId="0" fontId="37" fillId="0" borderId="28" xfId="0" applyFont="1" applyBorder="1" applyAlignment="1">
      <alignment vertical="center"/>
    </xf>
    <xf numFmtId="0" fontId="22" fillId="0" borderId="28" xfId="0" applyFont="1" applyBorder="1" applyAlignment="1">
      <alignment horizontal="left" vertical="center" wrapText="1"/>
    </xf>
    <xf numFmtId="0" fontId="21" fillId="0" borderId="28" xfId="0" applyFont="1" applyBorder="1" applyAlignment="1">
      <alignment horizontal="left" vertical="center"/>
    </xf>
    <xf numFmtId="0" fontId="86" fillId="0" borderId="28" xfId="0" applyFont="1" applyBorder="1"/>
    <xf numFmtId="0" fontId="86" fillId="0" borderId="28" xfId="0" applyFont="1" applyBorder="1" applyAlignment="1">
      <alignment horizontal="left" vertical="center"/>
    </xf>
    <xf numFmtId="0" fontId="0" fillId="0" borderId="28" xfId="0" applyBorder="1" applyAlignment="1">
      <alignment horizontal="center"/>
    </xf>
    <xf numFmtId="0" fontId="0" fillId="3" borderId="28" xfId="0" applyFill="1" applyBorder="1" applyAlignment="1">
      <alignment horizontal="center" vertical="center"/>
    </xf>
    <xf numFmtId="181" fontId="0" fillId="3" borderId="28" xfId="0" applyNumberFormat="1" applyFill="1" applyBorder="1" applyAlignment="1">
      <alignment horizontal="center" vertical="center"/>
    </xf>
    <xf numFmtId="0" fontId="0" fillId="3" borderId="28" xfId="0" applyFill="1" applyBorder="1" applyAlignment="1">
      <alignment horizontal="left" vertical="center" wrapText="1"/>
    </xf>
    <xf numFmtId="15" fontId="0" fillId="0" borderId="28" xfId="0" applyNumberFormat="1" applyBorder="1" applyAlignment="1">
      <alignment horizontal="center"/>
    </xf>
    <xf numFmtId="15" fontId="0" fillId="0" borderId="28" xfId="0" applyNumberFormat="1" applyBorder="1" applyAlignment="1">
      <alignment horizontal="center" vertical="center"/>
    </xf>
    <xf numFmtId="0" fontId="0" fillId="3" borderId="28" xfId="0" applyFill="1" applyBorder="1" applyAlignment="1">
      <alignment horizontal="center"/>
    </xf>
    <xf numFmtId="183" fontId="0" fillId="0" borderId="28" xfId="0" applyNumberFormat="1" applyBorder="1" applyAlignment="1">
      <alignment horizontal="center"/>
    </xf>
    <xf numFmtId="0" fontId="112" fillId="23" borderId="28" xfId="3" applyFont="1" applyFill="1" applyBorder="1" applyAlignment="1">
      <alignment horizontal="center" textRotation="45"/>
    </xf>
    <xf numFmtId="0" fontId="146" fillId="20" borderId="28" xfId="3" applyFont="1" applyFill="1" applyBorder="1" applyAlignment="1">
      <alignment horizontal="left" textRotation="45" wrapText="1"/>
    </xf>
    <xf numFmtId="0" fontId="142" fillId="0" borderId="28" xfId="3" applyFont="1" applyBorder="1"/>
    <xf numFmtId="0" fontId="142" fillId="0" borderId="28" xfId="3" applyFont="1" applyBorder="1" applyAlignment="1">
      <alignment vertical="center"/>
    </xf>
    <xf numFmtId="0" fontId="148" fillId="0" borderId="28" xfId="27" applyFont="1" applyBorder="1" applyAlignment="1">
      <alignment horizontal="center" vertical="top"/>
    </xf>
    <xf numFmtId="0" fontId="90" fillId="28" borderId="28" xfId="8" applyFont="1" applyFill="1" applyBorder="1" applyAlignment="1">
      <alignment vertical="center" wrapText="1"/>
    </xf>
    <xf numFmtId="0" fontId="114" fillId="28" borderId="28" xfId="8" applyFont="1" applyFill="1" applyBorder="1" applyAlignment="1">
      <alignment vertical="center" wrapText="1"/>
    </xf>
    <xf numFmtId="0" fontId="89" fillId="0" borderId="28" xfId="3" applyBorder="1"/>
    <xf numFmtId="171" fontId="114" fillId="0" borderId="28" xfId="8" applyNumberFormat="1" applyFont="1" applyBorder="1" applyAlignment="1">
      <alignment horizontal="left" vertical="top" wrapText="1"/>
    </xf>
    <xf numFmtId="0" fontId="98" fillId="65" borderId="28" xfId="0" applyFont="1" applyFill="1" applyBorder="1" applyAlignment="1">
      <alignment wrapText="1"/>
    </xf>
    <xf numFmtId="0" fontId="122" fillId="0" borderId="28" xfId="30" applyFont="1" applyBorder="1"/>
    <xf numFmtId="0" fontId="99" fillId="23" borderId="28" xfId="30" applyFont="1" applyFill="1" applyBorder="1" applyAlignment="1">
      <alignment horizontal="right"/>
    </xf>
    <xf numFmtId="0" fontId="99" fillId="0" borderId="28" xfId="30" applyFont="1" applyBorder="1"/>
    <xf numFmtId="49" fontId="30" fillId="8" borderId="28" xfId="0" applyNumberFormat="1" applyFont="1" applyFill="1" applyBorder="1" applyAlignment="1">
      <alignment horizontal="center" vertical="top"/>
    </xf>
    <xf numFmtId="0" fontId="30" fillId="8" borderId="28" xfId="0" applyFont="1" applyFill="1" applyBorder="1" applyAlignment="1">
      <alignment vertical="top" wrapText="1"/>
    </xf>
    <xf numFmtId="165" fontId="30" fillId="8" borderId="28" xfId="0" applyNumberFormat="1" applyFont="1" applyFill="1" applyBorder="1" applyAlignment="1">
      <alignment horizontal="center" vertical="top" wrapText="1"/>
    </xf>
    <xf numFmtId="46" fontId="30" fillId="8" borderId="28" xfId="0" applyNumberFormat="1" applyFont="1" applyFill="1" applyBorder="1" applyAlignment="1">
      <alignment horizontal="center" vertical="top" wrapText="1"/>
    </xf>
    <xf numFmtId="0" fontId="30" fillId="8" borderId="28" xfId="0" applyFont="1" applyFill="1" applyBorder="1" applyAlignment="1">
      <alignment horizontal="center" vertical="top" wrapText="1"/>
    </xf>
    <xf numFmtId="0" fontId="31" fillId="6" borderId="28" xfId="0" applyFont="1" applyFill="1" applyBorder="1" applyAlignment="1">
      <alignment horizontal="left" vertical="top"/>
    </xf>
    <xf numFmtId="49" fontId="31" fillId="6" borderId="28" xfId="0" applyNumberFormat="1" applyFont="1" applyFill="1" applyBorder="1" applyAlignment="1">
      <alignment horizontal="left" vertical="top"/>
    </xf>
    <xf numFmtId="49" fontId="32" fillId="6" borderId="28" xfId="0" applyNumberFormat="1" applyFont="1" applyFill="1" applyBorder="1" applyAlignment="1">
      <alignment horizontal="center"/>
    </xf>
    <xf numFmtId="165" fontId="32" fillId="6" borderId="28" xfId="0" applyNumberFormat="1" applyFont="1" applyFill="1" applyBorder="1" applyAlignment="1">
      <alignment horizontal="center"/>
    </xf>
    <xf numFmtId="46" fontId="32" fillId="6" borderId="28" xfId="0" applyNumberFormat="1" applyFont="1" applyFill="1" applyBorder="1" applyAlignment="1">
      <alignment horizontal="center"/>
    </xf>
    <xf numFmtId="0" fontId="32" fillId="6" borderId="28" xfId="0" applyFont="1" applyFill="1" applyBorder="1" applyAlignment="1">
      <alignment horizontal="center"/>
    </xf>
    <xf numFmtId="0" fontId="32" fillId="6" borderId="28" xfId="0" applyFont="1" applyFill="1" applyBorder="1"/>
    <xf numFmtId="0" fontId="21" fillId="4" borderId="28" xfId="0" applyFont="1" applyFill="1" applyBorder="1" applyAlignment="1">
      <alignment horizontal="left" vertical="top" wrapText="1"/>
    </xf>
    <xf numFmtId="49" fontId="21" fillId="4" borderId="28" xfId="0" applyNumberFormat="1" applyFont="1" applyFill="1" applyBorder="1" applyAlignment="1">
      <alignment horizontal="left" vertical="top" wrapText="1"/>
    </xf>
    <xf numFmtId="49" fontId="22" fillId="4" borderId="28" xfId="0" applyNumberFormat="1" applyFont="1" applyFill="1" applyBorder="1" applyAlignment="1">
      <alignment horizontal="center" vertical="center"/>
    </xf>
    <xf numFmtId="165" fontId="22" fillId="4" borderId="28" xfId="0" applyNumberFormat="1" applyFont="1" applyFill="1" applyBorder="1" applyAlignment="1">
      <alignment horizontal="center" vertical="center"/>
    </xf>
    <xf numFmtId="46" fontId="22" fillId="4" borderId="28" xfId="0" applyNumberFormat="1" applyFont="1" applyFill="1" applyBorder="1" applyAlignment="1">
      <alignment horizontal="center" vertical="center"/>
    </xf>
    <xf numFmtId="0" fontId="22" fillId="4" borderId="28" xfId="0" applyFont="1" applyFill="1" applyBorder="1" applyAlignment="1">
      <alignment horizontal="center" vertical="center"/>
    </xf>
    <xf numFmtId="0" fontId="22" fillId="4" borderId="28" xfId="0" applyFont="1" applyFill="1" applyBorder="1"/>
    <xf numFmtId="0" fontId="21" fillId="0" borderId="28" xfId="0" applyFont="1" applyBorder="1" applyAlignment="1">
      <alignment horizontal="left" vertical="top" wrapText="1"/>
    </xf>
    <xf numFmtId="49" fontId="22" fillId="0" borderId="28" xfId="0" applyNumberFormat="1" applyFont="1" applyBorder="1" applyAlignment="1">
      <alignment horizontal="left" vertical="top" wrapText="1"/>
    </xf>
    <xf numFmtId="166" fontId="22" fillId="0" borderId="28" xfId="0" applyNumberFormat="1" applyFont="1" applyBorder="1" applyAlignment="1">
      <alignment horizontal="center" vertical="top"/>
    </xf>
    <xf numFmtId="167" fontId="22" fillId="0" borderId="28" xfId="0" applyNumberFormat="1" applyFont="1" applyBorder="1" applyAlignment="1">
      <alignment horizontal="center" vertical="top"/>
    </xf>
    <xf numFmtId="166" fontId="22" fillId="0" borderId="28" xfId="0" applyNumberFormat="1" applyFont="1" applyBorder="1" applyAlignment="1">
      <alignment horizontal="center" vertical="center"/>
    </xf>
    <xf numFmtId="165" fontId="22" fillId="4" borderId="28" xfId="0" applyNumberFormat="1" applyFont="1" applyFill="1" applyBorder="1" applyAlignment="1">
      <alignment horizontal="center" vertical="top"/>
    </xf>
    <xf numFmtId="46" fontId="22" fillId="4" borderId="28" xfId="0" applyNumberFormat="1" applyFont="1" applyFill="1" applyBorder="1" applyAlignment="1">
      <alignment horizontal="center" vertical="top"/>
    </xf>
    <xf numFmtId="0" fontId="22" fillId="4" borderId="28" xfId="0" applyFont="1" applyFill="1" applyBorder="1" applyAlignment="1">
      <alignment horizontal="center" vertical="top" wrapText="1"/>
    </xf>
    <xf numFmtId="0" fontId="22" fillId="4" borderId="28" xfId="0" applyFont="1" applyFill="1" applyBorder="1" applyAlignment="1">
      <alignment vertical="top"/>
    </xf>
    <xf numFmtId="0" fontId="20" fillId="0" borderId="28" xfId="0" applyFont="1" applyBorder="1"/>
    <xf numFmtId="0" fontId="20" fillId="0" borderId="28" xfId="0" applyFont="1" applyBorder="1" applyAlignment="1">
      <alignment horizontal="center" vertical="top"/>
    </xf>
    <xf numFmtId="0" fontId="22" fillId="3" borderId="28" xfId="0" applyFont="1" applyFill="1" applyBorder="1" applyAlignment="1">
      <alignment vertical="top"/>
    </xf>
    <xf numFmtId="49" fontId="22" fillId="4" borderId="28" xfId="0" applyNumberFormat="1" applyFont="1" applyFill="1" applyBorder="1" applyAlignment="1">
      <alignment horizontal="center" vertical="top" wrapText="1"/>
    </xf>
    <xf numFmtId="0" fontId="21" fillId="3" borderId="28" xfId="0" applyFont="1" applyFill="1" applyBorder="1" applyAlignment="1">
      <alignment horizontal="left" vertical="top" wrapText="1"/>
    </xf>
    <xf numFmtId="49" fontId="22" fillId="3" borderId="28" xfId="0" applyNumberFormat="1" applyFont="1" applyFill="1" applyBorder="1" applyAlignment="1">
      <alignment horizontal="center" vertical="top" wrapText="1"/>
    </xf>
    <xf numFmtId="165" fontId="22" fillId="3" borderId="28" xfId="0" applyNumberFormat="1" applyFont="1" applyFill="1" applyBorder="1" applyAlignment="1">
      <alignment horizontal="center" vertical="top"/>
    </xf>
    <xf numFmtId="46" fontId="22" fillId="3" borderId="28" xfId="0" applyNumberFormat="1" applyFont="1" applyFill="1" applyBorder="1" applyAlignment="1">
      <alignment horizontal="center" vertical="top"/>
    </xf>
    <xf numFmtId="0" fontId="22" fillId="3" borderId="28" xfId="0" applyFont="1" applyFill="1" applyBorder="1" applyAlignment="1">
      <alignment horizontal="center" vertical="top" wrapText="1"/>
    </xf>
    <xf numFmtId="0" fontId="34" fillId="9" borderId="28" xfId="0" applyFont="1" applyFill="1" applyBorder="1" applyAlignment="1">
      <alignment horizontal="left" vertical="top" wrapText="1"/>
    </xf>
    <xf numFmtId="49" fontId="35" fillId="9" borderId="28" xfId="0" applyNumberFormat="1" applyFont="1" applyFill="1" applyBorder="1" applyAlignment="1">
      <alignment horizontal="left" vertical="top" wrapText="1"/>
    </xf>
    <xf numFmtId="49" fontId="34" fillId="9" borderId="28" xfId="0" applyNumberFormat="1" applyFont="1" applyFill="1" applyBorder="1" applyAlignment="1">
      <alignment horizontal="center" vertical="top"/>
    </xf>
    <xf numFmtId="165" fontId="34" fillId="9" borderId="28" xfId="0" applyNumberFormat="1" applyFont="1" applyFill="1" applyBorder="1" applyAlignment="1">
      <alignment horizontal="center" vertical="top"/>
    </xf>
    <xf numFmtId="0" fontId="34" fillId="9" borderId="28" xfId="0" applyFont="1" applyFill="1" applyBorder="1" applyAlignment="1">
      <alignment horizontal="center" vertical="top" wrapText="1"/>
    </xf>
    <xf numFmtId="0" fontId="36" fillId="9" borderId="28" xfId="0" applyFont="1" applyFill="1" applyBorder="1" applyAlignment="1">
      <alignment vertical="top"/>
    </xf>
    <xf numFmtId="0" fontId="31" fillId="6" borderId="28" xfId="0" applyFont="1" applyFill="1" applyBorder="1" applyAlignment="1">
      <alignment horizontal="left" vertical="top" wrapText="1"/>
    </xf>
    <xf numFmtId="49" fontId="31" fillId="6" borderId="28" xfId="0" applyNumberFormat="1" applyFont="1" applyFill="1" applyBorder="1" applyAlignment="1">
      <alignment horizontal="left" vertical="top" wrapText="1"/>
    </xf>
    <xf numFmtId="49" fontId="32" fillId="6" borderId="28" xfId="0" applyNumberFormat="1" applyFont="1" applyFill="1" applyBorder="1" applyAlignment="1">
      <alignment horizontal="center" vertical="top"/>
    </xf>
    <xf numFmtId="165" fontId="32" fillId="6" borderId="28" xfId="0" applyNumberFormat="1" applyFont="1" applyFill="1" applyBorder="1" applyAlignment="1">
      <alignment horizontal="center" vertical="top"/>
    </xf>
    <xf numFmtId="46" fontId="32" fillId="6" borderId="28" xfId="0" applyNumberFormat="1" applyFont="1" applyFill="1" applyBorder="1" applyAlignment="1">
      <alignment horizontal="center" vertical="top"/>
    </xf>
    <xf numFmtId="0" fontId="32" fillId="6" borderId="28" xfId="0" applyFont="1" applyFill="1" applyBorder="1" applyAlignment="1">
      <alignment horizontal="center" vertical="top"/>
    </xf>
    <xf numFmtId="0" fontId="32" fillId="6" borderId="28" xfId="0" applyFont="1" applyFill="1" applyBorder="1" applyAlignment="1">
      <alignment vertical="top"/>
    </xf>
    <xf numFmtId="0" fontId="21" fillId="4" borderId="28" xfId="0" applyFont="1" applyFill="1" applyBorder="1" applyAlignment="1">
      <alignment horizontal="left" vertical="center" wrapText="1"/>
    </xf>
    <xf numFmtId="49" fontId="21" fillId="4" borderId="28" xfId="0" applyNumberFormat="1" applyFont="1" applyFill="1" applyBorder="1" applyAlignment="1">
      <alignment horizontal="left" vertical="center" wrapText="1"/>
    </xf>
    <xf numFmtId="46" fontId="21" fillId="4" borderId="28" xfId="0" applyNumberFormat="1" applyFont="1" applyFill="1" applyBorder="1" applyAlignment="1">
      <alignment horizontal="center" vertical="center"/>
    </xf>
    <xf numFmtId="0" fontId="22" fillId="4" borderId="28" xfId="0" applyFont="1" applyFill="1" applyBorder="1" applyAlignment="1">
      <alignment vertical="center"/>
    </xf>
    <xf numFmtId="49" fontId="22" fillId="0" borderId="28" xfId="0" applyNumberFormat="1" applyFont="1" applyBorder="1" applyAlignment="1">
      <alignment horizontal="center" vertical="top"/>
    </xf>
    <xf numFmtId="165" fontId="22" fillId="0" borderId="28" xfId="0" applyNumberFormat="1" applyFont="1" applyBorder="1" applyAlignment="1">
      <alignment horizontal="center" vertical="top"/>
    </xf>
    <xf numFmtId="0" fontId="22" fillId="0" borderId="28" xfId="0" applyFont="1" applyBorder="1" applyAlignment="1">
      <alignment horizontal="center" vertical="top"/>
    </xf>
    <xf numFmtId="49" fontId="22" fillId="4" borderId="28" xfId="0" applyNumberFormat="1" applyFont="1" applyFill="1" applyBorder="1" applyAlignment="1">
      <alignment horizontal="center" vertical="top"/>
    </xf>
    <xf numFmtId="46" fontId="21" fillId="4" borderId="28" xfId="0" applyNumberFormat="1" applyFont="1" applyFill="1" applyBorder="1" applyAlignment="1">
      <alignment horizontal="center" vertical="top"/>
    </xf>
    <xf numFmtId="0" fontId="22" fillId="4" borderId="28" xfId="0" applyFont="1" applyFill="1" applyBorder="1" applyAlignment="1">
      <alignment horizontal="center" vertical="top"/>
    </xf>
    <xf numFmtId="49" fontId="22" fillId="3" borderId="28" xfId="0" applyNumberFormat="1" applyFont="1" applyFill="1" applyBorder="1" applyAlignment="1">
      <alignment horizontal="center" vertical="top"/>
    </xf>
    <xf numFmtId="46" fontId="21" fillId="3" borderId="28" xfId="0" applyNumberFormat="1" applyFont="1" applyFill="1" applyBorder="1" applyAlignment="1">
      <alignment horizontal="center" vertical="top"/>
    </xf>
    <xf numFmtId="0" fontId="22" fillId="3" borderId="28" xfId="0" applyFont="1" applyFill="1" applyBorder="1" applyAlignment="1">
      <alignment horizontal="center" vertical="top"/>
    </xf>
    <xf numFmtId="49" fontId="22" fillId="3" borderId="28" xfId="0" applyNumberFormat="1" applyFont="1" applyFill="1" applyBorder="1" applyAlignment="1">
      <alignment horizontal="left" vertical="top" wrapText="1"/>
    </xf>
    <xf numFmtId="0" fontId="21" fillId="0" borderId="28" xfId="0" applyFont="1" applyBorder="1" applyAlignment="1">
      <alignment horizontal="center" vertical="top" wrapText="1"/>
    </xf>
    <xf numFmtId="49" fontId="22" fillId="3" borderId="28" xfId="0" applyNumberFormat="1" applyFont="1" applyFill="1" applyBorder="1" applyAlignment="1">
      <alignment vertical="top" wrapText="1"/>
    </xf>
    <xf numFmtId="0" fontId="38" fillId="0" borderId="28" xfId="0" applyFont="1" applyBorder="1" applyAlignment="1">
      <alignment horizontal="center" vertical="top"/>
    </xf>
    <xf numFmtId="0" fontId="38" fillId="0" borderId="28" xfId="0" applyFont="1" applyBorder="1"/>
    <xf numFmtId="0" fontId="38" fillId="0" borderId="28" xfId="0" applyFont="1" applyBorder="1" applyAlignment="1">
      <alignment vertical="top"/>
    </xf>
    <xf numFmtId="49" fontId="22" fillId="0" borderId="28" xfId="0" applyNumberFormat="1" applyFont="1" applyBorder="1" applyAlignment="1">
      <alignment vertical="top" wrapText="1"/>
    </xf>
    <xf numFmtId="0" fontId="21" fillId="9" borderId="28" xfId="0" applyFont="1" applyFill="1" applyBorder="1" applyAlignment="1">
      <alignment horizontal="left" vertical="top" wrapText="1"/>
    </xf>
    <xf numFmtId="165" fontId="21" fillId="9" borderId="28" xfId="0" applyNumberFormat="1" applyFont="1" applyFill="1" applyBorder="1" applyAlignment="1">
      <alignment horizontal="left" vertical="top"/>
    </xf>
    <xf numFmtId="49" fontId="21" fillId="9" borderId="28" xfId="0" applyNumberFormat="1" applyFont="1" applyFill="1" applyBorder="1" applyAlignment="1">
      <alignment horizontal="center" vertical="center"/>
    </xf>
    <xf numFmtId="165" fontId="21" fillId="9" borderId="28" xfId="0" applyNumberFormat="1" applyFont="1" applyFill="1" applyBorder="1" applyAlignment="1">
      <alignment horizontal="center" vertical="center"/>
    </xf>
    <xf numFmtId="0" fontId="21" fillId="9" borderId="28" xfId="0" applyFont="1" applyFill="1" applyBorder="1" applyAlignment="1">
      <alignment horizontal="center" vertical="top" wrapText="1"/>
    </xf>
    <xf numFmtId="0" fontId="22" fillId="9" borderId="28" xfId="0" applyFont="1" applyFill="1" applyBorder="1"/>
    <xf numFmtId="0" fontId="23" fillId="0" borderId="28" xfId="0" applyFont="1" applyBorder="1"/>
    <xf numFmtId="165" fontId="22" fillId="0" borderId="28" xfId="0" applyNumberFormat="1" applyFont="1" applyBorder="1" applyAlignment="1">
      <alignment horizontal="center" vertical="top" wrapText="1"/>
    </xf>
    <xf numFmtId="46" fontId="22" fillId="0" borderId="28" xfId="0" applyNumberFormat="1" applyFont="1" applyBorder="1" applyAlignment="1">
      <alignment horizontal="center" vertical="top"/>
    </xf>
    <xf numFmtId="0" fontId="22" fillId="0" borderId="28" xfId="0" applyFont="1" applyBorder="1" applyAlignment="1">
      <alignment horizontal="center" vertical="center"/>
    </xf>
    <xf numFmtId="20" fontId="22" fillId="0" borderId="28" xfId="0" applyNumberFormat="1" applyFont="1" applyBorder="1" applyAlignment="1">
      <alignment horizontal="center" vertical="top" wrapText="1"/>
    </xf>
    <xf numFmtId="0" fontId="23" fillId="0" borderId="28" xfId="0" applyFont="1" applyBorder="1" applyAlignment="1">
      <alignment horizontal="left" vertical="top"/>
    </xf>
    <xf numFmtId="49" fontId="21" fillId="9" borderId="28" xfId="0" applyNumberFormat="1" applyFont="1" applyFill="1" applyBorder="1" applyAlignment="1">
      <alignment horizontal="left" vertical="top" wrapText="1"/>
    </xf>
    <xf numFmtId="49" fontId="21" fillId="9" borderId="28" xfId="0" applyNumberFormat="1" applyFont="1" applyFill="1" applyBorder="1" applyAlignment="1">
      <alignment horizontal="center" vertical="top" wrapText="1"/>
    </xf>
    <xf numFmtId="165" fontId="21" fillId="9" borderId="28" xfId="0" applyNumberFormat="1" applyFont="1" applyFill="1" applyBorder="1" applyAlignment="1">
      <alignment horizontal="center" vertical="top"/>
    </xf>
    <xf numFmtId="0" fontId="22" fillId="9" borderId="28" xfId="0" applyFont="1" applyFill="1" applyBorder="1" applyAlignment="1">
      <alignment vertical="top"/>
    </xf>
    <xf numFmtId="0" fontId="29" fillId="0" borderId="28" xfId="0" applyFont="1" applyBorder="1" applyAlignment="1">
      <alignment horizontal="center" vertical="center" wrapText="1"/>
    </xf>
    <xf numFmtId="165" fontId="29" fillId="0" borderId="28" xfId="0" applyNumberFormat="1" applyFont="1" applyBorder="1" applyAlignment="1">
      <alignment horizontal="center" vertical="center"/>
    </xf>
    <xf numFmtId="46" fontId="29" fillId="0" borderId="28" xfId="0" applyNumberFormat="1" applyFont="1" applyBorder="1" applyAlignment="1">
      <alignment horizontal="center" vertical="center"/>
    </xf>
    <xf numFmtId="0" fontId="29" fillId="0" borderId="28" xfId="0" applyFont="1" applyBorder="1"/>
    <xf numFmtId="0" fontId="21" fillId="7" borderId="28" xfId="0" applyFont="1" applyFill="1" applyBorder="1" applyAlignment="1">
      <alignment horizontal="left" vertical="top" wrapText="1"/>
    </xf>
    <xf numFmtId="0" fontId="21" fillId="7" borderId="28" xfId="0" applyFont="1" applyFill="1" applyBorder="1" applyAlignment="1">
      <alignment horizontal="center" vertical="top"/>
    </xf>
    <xf numFmtId="165" fontId="21" fillId="7" borderId="28" xfId="0" applyNumberFormat="1" applyFont="1" applyFill="1" applyBorder="1" applyAlignment="1">
      <alignment horizontal="center" vertical="top" wrapText="1"/>
    </xf>
    <xf numFmtId="165" fontId="21" fillId="7" borderId="28" xfId="0" applyNumberFormat="1" applyFont="1" applyFill="1" applyBorder="1" applyAlignment="1">
      <alignment horizontal="center" vertical="top"/>
    </xf>
    <xf numFmtId="46" fontId="21" fillId="7" borderId="28" xfId="0" applyNumberFormat="1" applyFont="1" applyFill="1" applyBorder="1" applyAlignment="1">
      <alignment horizontal="center" vertical="top"/>
    </xf>
    <xf numFmtId="0" fontId="21" fillId="7" borderId="28" xfId="0" applyFont="1" applyFill="1" applyBorder="1" applyAlignment="1">
      <alignment horizontal="center" vertical="top" wrapText="1"/>
    </xf>
    <xf numFmtId="20" fontId="29" fillId="0" borderId="28" xfId="0" applyNumberFormat="1" applyFont="1" applyBorder="1" applyAlignment="1">
      <alignment horizontal="center"/>
    </xf>
    <xf numFmtId="0" fontId="29" fillId="0" borderId="28" xfId="0" applyFont="1" applyBorder="1" applyAlignment="1">
      <alignment horizontal="center" vertical="center"/>
    </xf>
    <xf numFmtId="0" fontId="29" fillId="0" borderId="28" xfId="0" applyFont="1" applyBorder="1" applyAlignment="1">
      <alignment horizontal="center" vertical="top"/>
    </xf>
    <xf numFmtId="0" fontId="29" fillId="0" borderId="28" xfId="0" applyFont="1" applyBorder="1" applyAlignment="1">
      <alignment horizontal="left" vertical="top"/>
    </xf>
    <xf numFmtId="165" fontId="29" fillId="0" borderId="28" xfId="0" applyNumberFormat="1" applyFont="1" applyBorder="1"/>
    <xf numFmtId="49" fontId="19" fillId="8" borderId="28" xfId="0" applyNumberFormat="1" applyFont="1" applyFill="1" applyBorder="1" applyAlignment="1">
      <alignment horizontal="center" vertical="top"/>
    </xf>
    <xf numFmtId="0" fontId="19" fillId="8" borderId="28" xfId="0" applyFont="1" applyFill="1" applyBorder="1" applyAlignment="1">
      <alignment horizontal="left" vertical="top" wrapText="1"/>
    </xf>
    <xf numFmtId="0" fontId="19" fillId="8" borderId="28" xfId="0" applyFont="1" applyFill="1" applyBorder="1" applyAlignment="1">
      <alignment horizontal="center" vertical="top" wrapText="1"/>
    </xf>
    <xf numFmtId="165" fontId="19" fillId="8" borderId="28" xfId="0" applyNumberFormat="1" applyFont="1" applyFill="1" applyBorder="1" applyAlignment="1">
      <alignment horizontal="center" vertical="top" wrapText="1"/>
    </xf>
    <xf numFmtId="49" fontId="21" fillId="0" borderId="28" xfId="0" applyNumberFormat="1" applyFont="1" applyBorder="1" applyAlignment="1">
      <alignment horizontal="left" vertical="top"/>
    </xf>
    <xf numFmtId="0" fontId="21" fillId="0" borderId="28" xfId="0" applyFont="1" applyBorder="1" applyAlignment="1">
      <alignment horizontal="left" vertical="top"/>
    </xf>
    <xf numFmtId="165" fontId="22" fillId="0" borderId="28" xfId="0" applyNumberFormat="1" applyFont="1" applyBorder="1" applyAlignment="1">
      <alignment horizontal="center"/>
    </xf>
    <xf numFmtId="14" fontId="156" fillId="65" borderId="28" xfId="45" applyNumberFormat="1" applyFont="1" applyFill="1" applyBorder="1" applyAlignment="1">
      <alignment horizontal="center" vertical="center" wrapText="1"/>
    </xf>
    <xf numFmtId="182" fontId="111" fillId="0" borderId="29" xfId="1" applyNumberFormat="1" applyFont="1" applyBorder="1" applyAlignment="1">
      <alignment horizontal="center" vertical="top" wrapText="1"/>
    </xf>
    <xf numFmtId="2" fontId="111" fillId="0" borderId="29" xfId="1" applyNumberFormat="1" applyFont="1" applyBorder="1" applyAlignment="1">
      <alignment horizontal="center" vertical="top" wrapText="1"/>
    </xf>
    <xf numFmtId="0" fontId="98" fillId="65" borderId="28" xfId="38" applyFont="1" applyFill="1" applyBorder="1" applyAlignment="1">
      <alignment horizontal="center" vertical="top" wrapText="1"/>
    </xf>
    <xf numFmtId="2" fontId="98" fillId="65" borderId="28" xfId="38" applyNumberFormat="1" applyFont="1" applyFill="1" applyBorder="1" applyAlignment="1">
      <alignment horizontal="center" vertical="top" wrapText="1"/>
    </xf>
    <xf numFmtId="0" fontId="98" fillId="65" borderId="28" xfId="38" applyFont="1" applyFill="1" applyBorder="1" applyAlignment="1">
      <alignment horizontal="left" vertical="top" wrapText="1"/>
    </xf>
    <xf numFmtId="16" fontId="98" fillId="41" borderId="28" xfId="38" applyNumberFormat="1" applyFont="1" applyFill="1" applyBorder="1" applyAlignment="1">
      <alignment horizontal="center" vertical="top" wrapText="1"/>
    </xf>
    <xf numFmtId="2" fontId="98" fillId="41" borderId="28" xfId="38" applyNumberFormat="1" applyFont="1" applyFill="1" applyBorder="1" applyAlignment="1">
      <alignment horizontal="center" vertical="top" wrapText="1"/>
    </xf>
    <xf numFmtId="0" fontId="98" fillId="41" borderId="28" xfId="38" applyFont="1" applyFill="1" applyBorder="1" applyAlignment="1">
      <alignment horizontal="center" vertical="top" wrapText="1"/>
    </xf>
    <xf numFmtId="0" fontId="90" fillId="41" borderId="28" xfId="38" applyFont="1" applyFill="1" applyBorder="1" applyAlignment="1">
      <alignment horizontal="left" vertical="top" wrapText="1"/>
    </xf>
    <xf numFmtId="0" fontId="98" fillId="41" borderId="28" xfId="38" applyFont="1" applyFill="1" applyBorder="1" applyAlignment="1">
      <alignment vertical="top" wrapText="1"/>
    </xf>
    <xf numFmtId="175" fontId="98" fillId="41" borderId="28" xfId="38" applyNumberFormat="1" applyFont="1" applyFill="1" applyBorder="1" applyAlignment="1">
      <alignment horizontal="center" vertical="top" wrapText="1"/>
    </xf>
    <xf numFmtId="0" fontId="114" fillId="42" borderId="28" xfId="0" applyFont="1" applyFill="1" applyBorder="1" applyAlignment="1">
      <alignment horizontal="center" vertical="top"/>
    </xf>
    <xf numFmtId="2" fontId="114" fillId="42" borderId="28" xfId="0" applyNumberFormat="1" applyFont="1" applyFill="1" applyBorder="1" applyAlignment="1">
      <alignment horizontal="center" vertical="top"/>
    </xf>
    <xf numFmtId="0" fontId="114" fillId="42" borderId="28" xfId="0" applyFont="1" applyFill="1" applyBorder="1" applyAlignment="1">
      <alignment horizontal="left" vertical="top"/>
    </xf>
    <xf numFmtId="0" fontId="90" fillId="42" borderId="28" xfId="0" applyFont="1" applyFill="1" applyBorder="1" applyAlignment="1">
      <alignment horizontal="left" vertical="top"/>
    </xf>
    <xf numFmtId="0" fontId="102" fillId="0" borderId="28" xfId="0" applyFont="1" applyBorder="1" applyAlignment="1">
      <alignment horizontal="center" vertical="top"/>
    </xf>
    <xf numFmtId="2" fontId="102" fillId="0" borderId="28" xfId="0" applyNumberFormat="1" applyFont="1" applyBorder="1" applyAlignment="1">
      <alignment horizontal="center" vertical="top"/>
    </xf>
    <xf numFmtId="0" fontId="99" fillId="0" borderId="28" xfId="5" applyFont="1" applyBorder="1" applyAlignment="1">
      <alignment horizontal="center" vertical="top" wrapText="1"/>
    </xf>
    <xf numFmtId="0" fontId="90" fillId="71" borderId="28" xfId="5" applyFont="1" applyFill="1" applyBorder="1" applyAlignment="1">
      <alignment horizontal="left" vertical="top" wrapText="1"/>
    </xf>
    <xf numFmtId="0" fontId="89" fillId="0" borderId="28" xfId="0" applyFont="1" applyBorder="1" applyAlignment="1">
      <alignment horizontal="left" vertical="top" wrapText="1"/>
    </xf>
    <xf numFmtId="0" fontId="102" fillId="0" borderId="28" xfId="0" applyFont="1" applyBorder="1" applyAlignment="1">
      <alignment horizontal="left" vertical="top" wrapText="1"/>
    </xf>
    <xf numFmtId="14" fontId="102" fillId="0" borderId="28" xfId="0" applyNumberFormat="1" applyFont="1" applyBorder="1" applyAlignment="1">
      <alignment horizontal="center" vertical="top" wrapText="1"/>
    </xf>
    <xf numFmtId="0" fontId="102" fillId="0" borderId="28" xfId="0" applyFont="1" applyBorder="1" applyAlignment="1">
      <alignment vertical="top"/>
    </xf>
    <xf numFmtId="0" fontId="102" fillId="0" borderId="28" xfId="0" applyFont="1" applyBorder="1" applyAlignment="1">
      <alignment horizontal="center" vertical="top" wrapText="1"/>
    </xf>
    <xf numFmtId="0" fontId="218" fillId="0" borderId="28" xfId="1" applyFont="1" applyBorder="1" applyAlignment="1">
      <alignment vertical="center" wrapText="1"/>
    </xf>
    <xf numFmtId="0" fontId="102" fillId="0" borderId="28" xfId="0" applyFont="1" applyBorder="1" applyAlignment="1">
      <alignment wrapText="1"/>
    </xf>
    <xf numFmtId="0" fontId="90" fillId="0" borderId="28" xfId="5" applyFont="1" applyBorder="1" applyAlignment="1">
      <alignment horizontal="left" vertical="top" wrapText="1"/>
    </xf>
    <xf numFmtId="0" fontId="186" fillId="0" borderId="28" xfId="1" applyFont="1" applyBorder="1" applyAlignment="1">
      <alignment horizontal="left" vertical="top" wrapText="1"/>
    </xf>
    <xf numFmtId="0" fontId="186" fillId="58" borderId="28" xfId="1" applyFont="1" applyFill="1" applyBorder="1" applyAlignment="1">
      <alignment vertical="top" wrapText="1"/>
    </xf>
    <xf numFmtId="0" fontId="201" fillId="0" borderId="28" xfId="0" applyFont="1" applyBorder="1" applyAlignment="1">
      <alignment horizontal="center" vertical="top" wrapText="1"/>
    </xf>
    <xf numFmtId="0" fontId="201" fillId="0" borderId="28" xfId="0" applyFont="1" applyBorder="1" applyAlignment="1">
      <alignment horizontal="left" vertical="top" wrapText="1"/>
    </xf>
    <xf numFmtId="0" fontId="188" fillId="0" borderId="28" xfId="0" applyFont="1" applyBorder="1" applyAlignment="1">
      <alignment horizontal="left" vertical="top" wrapText="1"/>
    </xf>
    <xf numFmtId="0" fontId="188" fillId="0" borderId="28" xfId="0" applyFont="1" applyBorder="1" applyAlignment="1">
      <alignment horizontal="center" vertical="top" wrapText="1"/>
    </xf>
    <xf numFmtId="0" fontId="188" fillId="0" borderId="28" xfId="0" applyFont="1" applyBorder="1" applyAlignment="1">
      <alignment vertical="top"/>
    </xf>
    <xf numFmtId="0" fontId="89" fillId="0" borderId="28" xfId="0" applyFont="1" applyBorder="1" applyAlignment="1">
      <alignment horizontal="center" vertical="top"/>
    </xf>
    <xf numFmtId="0" fontId="89" fillId="0" borderId="28" xfId="5" applyBorder="1" applyAlignment="1">
      <alignment horizontal="center" vertical="top" wrapText="1"/>
    </xf>
    <xf numFmtId="0" fontId="89" fillId="0" borderId="28" xfId="0" applyFont="1" applyBorder="1" applyAlignment="1">
      <alignment horizontal="center" vertical="top" wrapText="1"/>
    </xf>
    <xf numFmtId="0" fontId="89" fillId="0" borderId="28" xfId="0" applyFont="1" applyBorder="1" applyAlignment="1">
      <alignment vertical="top"/>
    </xf>
    <xf numFmtId="0" fontId="89" fillId="0" borderId="28" xfId="0" applyFont="1" applyBorder="1" applyAlignment="1">
      <alignment vertical="top" wrapText="1"/>
    </xf>
    <xf numFmtId="2" fontId="89" fillId="0" borderId="28" xfId="0" applyNumberFormat="1" applyFont="1" applyBorder="1" applyAlignment="1">
      <alignment horizontal="center" vertical="top"/>
    </xf>
    <xf numFmtId="0" fontId="122" fillId="0" borderId="28" xfId="3" applyFont="1" applyBorder="1" applyAlignment="1">
      <alignment horizontal="left" vertical="top" wrapText="1"/>
    </xf>
    <xf numFmtId="0" fontId="128" fillId="0" borderId="28" xfId="0" applyFont="1" applyBorder="1" applyAlignment="1">
      <alignment vertical="top"/>
    </xf>
    <xf numFmtId="0" fontId="218" fillId="0" borderId="28" xfId="1" applyFont="1" applyBorder="1"/>
    <xf numFmtId="0" fontId="89" fillId="0" borderId="28" xfId="3" applyBorder="1" applyAlignment="1">
      <alignment horizontal="left" vertical="top" wrapText="1"/>
    </xf>
    <xf numFmtId="0" fontId="89" fillId="0" borderId="28" xfId="3" applyBorder="1" applyAlignment="1">
      <alignment horizontal="center" vertical="top" wrapText="1"/>
    </xf>
    <xf numFmtId="0" fontId="89" fillId="58" borderId="28" xfId="3" applyFill="1" applyBorder="1" applyAlignment="1">
      <alignment horizontal="left" vertical="top" wrapText="1"/>
    </xf>
    <xf numFmtId="16" fontId="102" fillId="0" borderId="28" xfId="0" applyNumberFormat="1" applyFont="1" applyBorder="1" applyAlignment="1">
      <alignment horizontal="center" vertical="top"/>
    </xf>
    <xf numFmtId="0" fontId="89" fillId="0" borderId="28" xfId="1" applyFont="1" applyBorder="1" applyAlignment="1">
      <alignment vertical="top" wrapText="1"/>
    </xf>
    <xf numFmtId="0" fontId="89" fillId="19" borderId="28" xfId="0" applyFont="1" applyFill="1" applyBorder="1" applyAlignment="1">
      <alignment horizontal="center" vertical="top" wrapText="1"/>
    </xf>
    <xf numFmtId="2" fontId="89" fillId="19" borderId="28" xfId="0" applyNumberFormat="1" applyFont="1" applyFill="1" applyBorder="1" applyAlignment="1">
      <alignment horizontal="center" vertical="top" wrapText="1"/>
    </xf>
    <xf numFmtId="0" fontId="102" fillId="19" borderId="28" xfId="0" applyFont="1" applyFill="1" applyBorder="1" applyAlignment="1">
      <alignment horizontal="center" vertical="top" wrapText="1"/>
    </xf>
    <xf numFmtId="0" fontId="99" fillId="19" borderId="28" xfId="5" applyFont="1" applyFill="1" applyBorder="1" applyAlignment="1">
      <alignment horizontal="center" vertical="top" wrapText="1"/>
    </xf>
    <xf numFmtId="0" fontId="90" fillId="19" borderId="28" xfId="5" applyFont="1" applyFill="1" applyBorder="1" applyAlignment="1">
      <alignment horizontal="left" vertical="top" wrapText="1"/>
    </xf>
    <xf numFmtId="0" fontId="89" fillId="19" borderId="28" xfId="3" applyFill="1" applyBorder="1" applyAlignment="1">
      <alignment horizontal="left" vertical="top" wrapText="1"/>
    </xf>
    <xf numFmtId="0" fontId="102" fillId="19" borderId="28" xfId="0" applyFont="1" applyFill="1" applyBorder="1" applyAlignment="1">
      <alignment horizontal="left" vertical="top" wrapText="1"/>
    </xf>
    <xf numFmtId="0" fontId="187" fillId="58" borderId="28" xfId="1" applyFont="1" applyFill="1" applyBorder="1" applyAlignment="1">
      <alignment vertical="top" wrapText="1"/>
    </xf>
    <xf numFmtId="0" fontId="89" fillId="19" borderId="28" xfId="0" applyFont="1" applyFill="1" applyBorder="1" applyAlignment="1">
      <alignment horizontal="left" vertical="top" wrapText="1"/>
    </xf>
    <xf numFmtId="0" fontId="201" fillId="0" borderId="28" xfId="5" applyFont="1" applyBorder="1" applyAlignment="1">
      <alignment horizontal="center" vertical="top" wrapText="1"/>
    </xf>
    <xf numFmtId="16" fontId="201" fillId="0" borderId="28" xfId="0" applyNumberFormat="1" applyFont="1" applyBorder="1" applyAlignment="1">
      <alignment horizontal="center" vertical="top"/>
    </xf>
    <xf numFmtId="0" fontId="189" fillId="0" borderId="28" xfId="0" applyFont="1" applyBorder="1" applyAlignment="1">
      <alignment horizontal="left" vertical="top" wrapText="1"/>
    </xf>
    <xf numFmtId="0" fontId="189" fillId="0" borderId="28" xfId="0" applyFont="1" applyBorder="1" applyAlignment="1">
      <alignment horizontal="center" vertical="top" wrapText="1"/>
    </xf>
    <xf numFmtId="0" fontId="189" fillId="0" borderId="28" xfId="0" applyFont="1" applyBorder="1" applyAlignment="1">
      <alignment horizontal="center" vertical="top"/>
    </xf>
    <xf numFmtId="0" fontId="189" fillId="58" borderId="28" xfId="0" applyFont="1" applyFill="1" applyBorder="1" applyAlignment="1">
      <alignment vertical="top" wrapText="1"/>
    </xf>
    <xf numFmtId="0" fontId="190" fillId="0" borderId="28" xfId="3" applyFont="1" applyBorder="1" applyAlignment="1">
      <alignment horizontal="left" vertical="top" wrapText="1"/>
    </xf>
    <xf numFmtId="0" fontId="186" fillId="19" borderId="28" xfId="1" applyFont="1" applyFill="1" applyBorder="1" applyAlignment="1">
      <alignment vertical="top" wrapText="1"/>
    </xf>
    <xf numFmtId="16" fontId="102" fillId="19" borderId="28" xfId="0" applyNumberFormat="1" applyFont="1" applyFill="1" applyBorder="1" applyAlignment="1">
      <alignment horizontal="center" vertical="top" wrapText="1"/>
    </xf>
    <xf numFmtId="0" fontId="219" fillId="19" borderId="28" xfId="0" applyFont="1" applyFill="1" applyBorder="1" applyAlignment="1">
      <alignment horizontal="left" vertical="top" wrapText="1"/>
    </xf>
    <xf numFmtId="0" fontId="218" fillId="19" borderId="28" xfId="1" applyFont="1" applyFill="1" applyBorder="1" applyAlignment="1">
      <alignment vertical="top" wrapText="1"/>
    </xf>
    <xf numFmtId="0" fontId="89" fillId="19" borderId="28" xfId="0" applyFont="1" applyFill="1" applyBorder="1" applyAlignment="1">
      <alignment horizontal="left" wrapText="1"/>
    </xf>
    <xf numFmtId="0" fontId="89" fillId="19" borderId="28" xfId="0" applyFont="1" applyFill="1" applyBorder="1" applyAlignment="1">
      <alignment horizontal="center" wrapText="1"/>
    </xf>
    <xf numFmtId="0" fontId="89" fillId="19" borderId="28" xfId="0" applyFont="1" applyFill="1" applyBorder="1" applyAlignment="1">
      <alignment horizontal="center" vertical="top"/>
    </xf>
    <xf numFmtId="0" fontId="90" fillId="0" borderId="28" xfId="0" applyFont="1" applyBorder="1" applyAlignment="1">
      <alignment horizontal="left" vertical="top" wrapText="1"/>
    </xf>
    <xf numFmtId="0" fontId="99" fillId="0" borderId="28" xfId="0" applyFont="1" applyBorder="1" applyAlignment="1">
      <alignment horizontal="center" vertical="top"/>
    </xf>
    <xf numFmtId="0" fontId="99" fillId="0" borderId="28" xfId="0" applyFont="1" applyBorder="1" applyAlignment="1">
      <alignment horizontal="center" vertical="top" wrapText="1"/>
    </xf>
    <xf numFmtId="0" fontId="89" fillId="0" borderId="28" xfId="0" applyFont="1" applyBorder="1" applyAlignment="1">
      <alignment horizontal="left" wrapText="1"/>
    </xf>
    <xf numFmtId="0" fontId="89" fillId="0" borderId="30" xfId="1" applyFont="1" applyBorder="1" applyAlignment="1">
      <alignment vertical="top" wrapText="1"/>
    </xf>
    <xf numFmtId="0" fontId="195" fillId="0" borderId="28" xfId="0" applyFont="1" applyBorder="1" applyAlignment="1">
      <alignment horizontal="left" vertical="top" wrapText="1"/>
    </xf>
    <xf numFmtId="0" fontId="195" fillId="0" borderId="28" xfId="0" applyFont="1" applyBorder="1" applyAlignment="1">
      <alignment horizontal="center" vertical="top" wrapText="1"/>
    </xf>
    <xf numFmtId="0" fontId="195" fillId="0" borderId="28" xfId="0" applyFont="1" applyBorder="1" applyAlignment="1">
      <alignment horizontal="left" vertical="center" wrapText="1"/>
    </xf>
    <xf numFmtId="0" fontId="218" fillId="0" borderId="28" xfId="1" applyFont="1" applyBorder="1" applyAlignment="1">
      <alignment wrapText="1"/>
    </xf>
    <xf numFmtId="0" fontId="128" fillId="0" borderId="28" xfId="0" applyFont="1" applyBorder="1" applyAlignment="1">
      <alignment vertical="top" wrapText="1"/>
    </xf>
    <xf numFmtId="0" fontId="195" fillId="0" borderId="28" xfId="0" applyFont="1" applyBorder="1" applyAlignment="1">
      <alignment vertical="top"/>
    </xf>
    <xf numFmtId="0" fontId="195" fillId="19" borderId="28" xfId="1" applyFont="1" applyFill="1" applyBorder="1" applyAlignment="1">
      <alignment wrapText="1"/>
    </xf>
    <xf numFmtId="0" fontId="201" fillId="0" borderId="28" xfId="1" applyFont="1" applyBorder="1" applyAlignment="1">
      <alignment vertical="top" wrapText="1"/>
    </xf>
    <xf numFmtId="0" fontId="201" fillId="0" borderId="28" xfId="0" applyFont="1" applyBorder="1" applyAlignment="1">
      <alignment horizontal="center" vertical="top"/>
    </xf>
    <xf numFmtId="0" fontId="201" fillId="0" borderId="28" xfId="3" applyFont="1" applyBorder="1" applyAlignment="1">
      <alignment horizontal="left" vertical="top" wrapText="1"/>
    </xf>
    <xf numFmtId="0" fontId="201" fillId="0" borderId="28" xfId="0" applyFont="1" applyBorder="1" applyAlignment="1">
      <alignment vertical="top"/>
    </xf>
    <xf numFmtId="0" fontId="186" fillId="0" borderId="28" xfId="1" applyFont="1" applyBorder="1"/>
    <xf numFmtId="0" fontId="89" fillId="19" borderId="28" xfId="0" applyFont="1" applyFill="1" applyBorder="1" applyAlignment="1">
      <alignment vertical="top" wrapText="1"/>
    </xf>
    <xf numFmtId="0" fontId="186" fillId="0" borderId="28" xfId="1" applyFont="1" applyBorder="1" applyAlignment="1">
      <alignment wrapText="1"/>
    </xf>
    <xf numFmtId="0" fontId="91" fillId="0" borderId="28" xfId="12" applyFont="1" applyBorder="1" applyAlignment="1">
      <alignment vertical="top" wrapText="1"/>
    </xf>
    <xf numFmtId="0" fontId="192" fillId="0" borderId="28" xfId="0" applyFont="1" applyBorder="1" applyAlignment="1">
      <alignment horizontal="left" vertical="top" wrapText="1"/>
    </xf>
    <xf numFmtId="0" fontId="192" fillId="0" borderId="28" xfId="0" applyFont="1" applyBorder="1" applyAlignment="1">
      <alignment horizontal="center" vertical="top" wrapText="1"/>
    </xf>
    <xf numFmtId="16" fontId="192" fillId="0" borderId="28" xfId="0" applyNumberFormat="1" applyFont="1" applyBorder="1" applyAlignment="1">
      <alignment horizontal="center" vertical="top"/>
    </xf>
    <xf numFmtId="0" fontId="192" fillId="0" borderId="28" xfId="12" applyFont="1" applyBorder="1" applyAlignment="1">
      <alignment vertical="top" wrapText="1"/>
    </xf>
    <xf numFmtId="0" fontId="193" fillId="0" borderId="28" xfId="0" applyFont="1" applyBorder="1" applyAlignment="1">
      <alignment horizontal="left" vertical="top" wrapText="1"/>
    </xf>
    <xf numFmtId="0" fontId="193" fillId="0" borderId="28" xfId="0" applyFont="1" applyBorder="1" applyAlignment="1">
      <alignment horizontal="center" vertical="top" wrapText="1"/>
    </xf>
    <xf numFmtId="16" fontId="193" fillId="0" borderId="28" xfId="0" applyNumberFormat="1" applyFont="1" applyBorder="1" applyAlignment="1">
      <alignment horizontal="center" vertical="top"/>
    </xf>
    <xf numFmtId="16" fontId="195" fillId="0" borderId="28" xfId="0" applyNumberFormat="1" applyFont="1" applyBorder="1" applyAlignment="1">
      <alignment horizontal="center" vertical="top"/>
    </xf>
    <xf numFmtId="0" fontId="192" fillId="0" borderId="28" xfId="0" applyFont="1" applyBorder="1" applyAlignment="1">
      <alignment vertical="top"/>
    </xf>
    <xf numFmtId="0" fontId="193" fillId="0" borderId="28" xfId="0" applyFont="1" applyBorder="1" applyAlignment="1">
      <alignment horizontal="center" vertical="top"/>
    </xf>
    <xf numFmtId="0" fontId="196" fillId="0" borderId="28" xfId="0" applyFont="1" applyBorder="1" applyAlignment="1">
      <alignment horizontal="left" vertical="top" wrapText="1"/>
    </xf>
    <xf numFmtId="0" fontId="135" fillId="0" borderId="28" xfId="0" applyFont="1" applyBorder="1" applyAlignment="1">
      <alignment horizontal="center" vertical="top" wrapText="1"/>
    </xf>
    <xf numFmtId="0" fontId="186" fillId="0" borderId="28" xfId="1" applyFont="1" applyBorder="1" applyAlignment="1">
      <alignment vertical="top" wrapText="1"/>
    </xf>
    <xf numFmtId="0" fontId="193" fillId="19" borderId="28" xfId="0" applyFont="1" applyFill="1" applyBorder="1" applyAlignment="1">
      <alignment horizontal="left" vertical="top" wrapText="1"/>
    </xf>
    <xf numFmtId="0" fontId="193" fillId="19" borderId="28" xfId="0" applyFont="1" applyFill="1" applyBorder="1" applyAlignment="1">
      <alignment horizontal="center" vertical="top" wrapText="1"/>
    </xf>
    <xf numFmtId="0" fontId="197" fillId="19" borderId="28" xfId="1" applyFont="1" applyFill="1" applyBorder="1" applyAlignment="1">
      <alignment vertical="top" wrapText="1"/>
    </xf>
    <xf numFmtId="0" fontId="193" fillId="19" borderId="28" xfId="0" applyFont="1" applyFill="1" applyBorder="1" applyAlignment="1">
      <alignment vertical="top" wrapText="1"/>
    </xf>
    <xf numFmtId="0" fontId="192" fillId="0" borderId="28" xfId="0" applyFont="1" applyBorder="1" applyAlignment="1">
      <alignment horizontal="center" vertical="top"/>
    </xf>
    <xf numFmtId="0" fontId="187" fillId="58" borderId="28" xfId="1" applyFont="1" applyFill="1" applyBorder="1" applyAlignment="1">
      <alignment horizontal="center" vertical="top" wrapText="1"/>
    </xf>
    <xf numFmtId="0" fontId="89" fillId="0" borderId="28" xfId="5" applyBorder="1" applyAlignment="1">
      <alignment horizontal="left" vertical="top" wrapText="1"/>
    </xf>
    <xf numFmtId="2" fontId="89" fillId="0" borderId="28" xfId="0" applyNumberFormat="1" applyFont="1" applyBorder="1" applyAlignment="1">
      <alignment horizontal="center" vertical="top" wrapText="1"/>
    </xf>
    <xf numFmtId="2" fontId="99" fillId="0" borderId="28" xfId="0" applyNumberFormat="1" applyFont="1" applyBorder="1" applyAlignment="1">
      <alignment horizontal="center" vertical="top"/>
    </xf>
    <xf numFmtId="0" fontId="201" fillId="19" borderId="28" xfId="0" applyFont="1" applyFill="1" applyBorder="1" applyAlignment="1">
      <alignment horizontal="left" vertical="top" wrapText="1"/>
    </xf>
    <xf numFmtId="0" fontId="102" fillId="58" borderId="28" xfId="0" applyFont="1" applyFill="1" applyBorder="1" applyAlignment="1">
      <alignment horizontal="center" vertical="top"/>
    </xf>
    <xf numFmtId="2" fontId="102" fillId="58" borderId="28" xfId="0" applyNumberFormat="1" applyFont="1" applyFill="1" applyBorder="1" applyAlignment="1">
      <alignment horizontal="center" vertical="top"/>
    </xf>
    <xf numFmtId="0" fontId="192" fillId="58" borderId="28" xfId="0" applyFont="1" applyFill="1" applyBorder="1" applyAlignment="1">
      <alignment horizontal="left" vertical="top" wrapText="1"/>
    </xf>
    <xf numFmtId="0" fontId="192" fillId="58" borderId="28" xfId="0" applyFont="1" applyFill="1" applyBorder="1" applyAlignment="1">
      <alignment horizontal="center" vertical="top" wrapText="1"/>
    </xf>
    <xf numFmtId="0" fontId="192" fillId="72" borderId="28" xfId="35" applyFont="1" applyFill="1" applyBorder="1" applyAlignment="1">
      <alignment horizontal="left" vertical="top" wrapText="1"/>
    </xf>
    <xf numFmtId="0" fontId="192" fillId="44" borderId="28" xfId="35" applyFont="1" applyFill="1" applyBorder="1" applyAlignment="1">
      <alignment horizontal="left" vertical="top" wrapText="1"/>
    </xf>
    <xf numFmtId="0" fontId="102" fillId="41" borderId="28" xfId="0" applyFont="1" applyFill="1" applyBorder="1" applyAlignment="1">
      <alignment horizontal="center" vertical="top"/>
    </xf>
    <xf numFmtId="2" fontId="102" fillId="41" borderId="28" xfId="0" applyNumberFormat="1" applyFont="1" applyFill="1" applyBorder="1" applyAlignment="1">
      <alignment horizontal="center" vertical="top"/>
    </xf>
    <xf numFmtId="0" fontId="99" fillId="41" borderId="28" xfId="5" applyFont="1" applyFill="1" applyBorder="1" applyAlignment="1">
      <alignment horizontal="center" vertical="top" wrapText="1"/>
    </xf>
    <xf numFmtId="0" fontId="90" fillId="41" borderId="28" xfId="5" applyFont="1" applyFill="1" applyBorder="1" applyAlignment="1">
      <alignment horizontal="left" vertical="top" wrapText="1"/>
    </xf>
    <xf numFmtId="0" fontId="90" fillId="41" borderId="28" xfId="0" applyFont="1" applyFill="1" applyBorder="1" applyAlignment="1">
      <alignment horizontal="left" vertical="top" wrapText="1"/>
    </xf>
    <xf numFmtId="0" fontId="102" fillId="41" borderId="28" xfId="0" applyFont="1" applyFill="1" applyBorder="1" applyAlignment="1">
      <alignment horizontal="left" vertical="top" wrapText="1"/>
    </xf>
    <xf numFmtId="0" fontId="102" fillId="41" borderId="28" xfId="0" applyFont="1" applyFill="1" applyBorder="1" applyAlignment="1">
      <alignment horizontal="center" vertical="top" wrapText="1"/>
    </xf>
    <xf numFmtId="0" fontId="102" fillId="41" borderId="28" xfId="0" applyFont="1" applyFill="1" applyBorder="1" applyAlignment="1">
      <alignment vertical="top" wrapText="1"/>
    </xf>
    <xf numFmtId="0" fontId="102" fillId="42" borderId="28" xfId="0" applyFont="1" applyFill="1" applyBorder="1" applyAlignment="1">
      <alignment horizontal="center" vertical="top"/>
    </xf>
    <xf numFmtId="0" fontId="102" fillId="58" borderId="28" xfId="0" applyFont="1" applyFill="1" applyBorder="1" applyAlignment="1">
      <alignment vertical="top" wrapText="1"/>
    </xf>
    <xf numFmtId="0" fontId="201" fillId="0" borderId="28" xfId="0" applyFont="1" applyBorder="1" applyAlignment="1">
      <alignment vertical="top" wrapText="1"/>
    </xf>
    <xf numFmtId="0" fontId="200" fillId="0" borderId="28" xfId="0" applyFont="1" applyBorder="1" applyAlignment="1">
      <alignment horizontal="left" vertical="top" wrapText="1"/>
    </xf>
    <xf numFmtId="0" fontId="200" fillId="0" borderId="28" xfId="0" applyFont="1" applyBorder="1" applyAlignment="1">
      <alignment vertical="top" wrapText="1"/>
    </xf>
    <xf numFmtId="0" fontId="200" fillId="0" borderId="28" xfId="0" applyFont="1" applyBorder="1" applyAlignment="1">
      <alignment horizontal="center" vertical="top"/>
    </xf>
    <xf numFmtId="176" fontId="116" fillId="69" borderId="29" xfId="35" applyNumberFormat="1" applyFont="1" applyFill="1" applyBorder="1" applyAlignment="1">
      <alignment horizontal="center" vertical="center" wrapText="1"/>
    </xf>
    <xf numFmtId="0" fontId="135" fillId="69" borderId="29" xfId="35" applyFont="1" applyFill="1" applyBorder="1" applyAlignment="1">
      <alignment horizontal="center" vertical="center" wrapText="1"/>
    </xf>
    <xf numFmtId="176" fontId="113" fillId="69" borderId="29" xfId="35" applyNumberFormat="1" applyFont="1" applyFill="1" applyBorder="1" applyAlignment="1">
      <alignment vertical="center" wrapText="1"/>
    </xf>
    <xf numFmtId="0" fontId="113" fillId="69" borderId="28" xfId="35" applyFont="1" applyFill="1" applyBorder="1" applyAlignment="1">
      <alignment vertical="center" wrapText="1"/>
    </xf>
    <xf numFmtId="0" fontId="108" fillId="45" borderId="28" xfId="35" applyFont="1" applyFill="1" applyBorder="1" applyAlignment="1">
      <alignment horizontal="center" vertical="center"/>
    </xf>
    <xf numFmtId="176" fontId="106" fillId="47" borderId="29" xfId="35" applyNumberFormat="1" applyFont="1" applyFill="1" applyBorder="1" applyAlignment="1">
      <alignment vertical="center" wrapText="1"/>
    </xf>
    <xf numFmtId="0" fontId="108" fillId="47" borderId="28" xfId="35" applyFont="1" applyFill="1" applyBorder="1" applyAlignment="1">
      <alignment vertical="center" wrapText="1"/>
    </xf>
    <xf numFmtId="0" fontId="113" fillId="47" borderId="28" xfId="35" applyFont="1" applyFill="1" applyBorder="1" applyAlignment="1">
      <alignment horizontal="center" vertical="center" wrapText="1"/>
    </xf>
    <xf numFmtId="176" fontId="113" fillId="47" borderId="28" xfId="35" applyNumberFormat="1" applyFont="1" applyFill="1" applyBorder="1" applyAlignment="1">
      <alignment horizontal="center" vertical="center" wrapText="1"/>
    </xf>
    <xf numFmtId="0" fontId="106" fillId="47" borderId="28" xfId="35" applyFont="1" applyFill="1" applyBorder="1" applyAlignment="1">
      <alignment horizontal="center" vertical="center" wrapText="1"/>
    </xf>
    <xf numFmtId="178" fontId="134" fillId="66" borderId="28" xfId="35" applyNumberFormat="1" applyFont="1" applyFill="1" applyBorder="1" applyAlignment="1">
      <alignment horizontal="center" vertical="center"/>
    </xf>
    <xf numFmtId="0" fontId="150" fillId="67" borderId="28" xfId="35" applyFont="1" applyFill="1" applyBorder="1" applyAlignment="1">
      <alignment vertical="center" wrapText="1"/>
    </xf>
    <xf numFmtId="0" fontId="135" fillId="67" borderId="28" xfId="35" applyFont="1" applyFill="1" applyBorder="1" applyAlignment="1">
      <alignment horizontal="center" vertical="center"/>
    </xf>
    <xf numFmtId="176" fontId="135" fillId="67" borderId="28" xfId="35" applyNumberFormat="1" applyFont="1" applyFill="1" applyBorder="1" applyAlignment="1">
      <alignment horizontal="center" vertical="center" wrapText="1"/>
    </xf>
    <xf numFmtId="20" fontId="135" fillId="67" borderId="28" xfId="35" applyNumberFormat="1" applyFont="1" applyFill="1" applyBorder="1" applyAlignment="1">
      <alignment horizontal="center" vertical="center"/>
    </xf>
    <xf numFmtId="0" fontId="135" fillId="67" borderId="28" xfId="35" applyFont="1" applyFill="1" applyBorder="1" applyAlignment="1">
      <alignment horizontal="left" vertical="center"/>
    </xf>
    <xf numFmtId="0" fontId="108" fillId="45" borderId="28" xfId="35" applyFont="1" applyFill="1" applyBorder="1" applyAlignment="1">
      <alignment horizontal="left" vertical="center"/>
    </xf>
    <xf numFmtId="20" fontId="108" fillId="46" borderId="28" xfId="35" applyNumberFormat="1" applyFont="1" applyFill="1" applyBorder="1" applyAlignment="1">
      <alignment horizontal="center" vertical="center"/>
    </xf>
    <xf numFmtId="0" fontId="108" fillId="46" borderId="28" xfId="35" applyFont="1" applyFill="1" applyBorder="1" applyAlignment="1">
      <alignment horizontal="center" vertical="center"/>
    </xf>
    <xf numFmtId="178" fontId="134" fillId="43" borderId="28" xfId="35" applyNumberFormat="1" applyFont="1" applyFill="1" applyBorder="1" applyAlignment="1">
      <alignment horizontal="center" vertical="center"/>
    </xf>
    <xf numFmtId="0" fontId="135" fillId="19" borderId="28" xfId="31" applyFont="1" applyFill="1" applyBorder="1" applyAlignment="1">
      <alignment vertical="center" wrapText="1"/>
    </xf>
    <xf numFmtId="0" fontId="135" fillId="0" borderId="28" xfId="38" applyFont="1" applyBorder="1" applyAlignment="1">
      <alignment horizontal="left" vertical="center" wrapText="1"/>
    </xf>
    <xf numFmtId="0" fontId="135" fillId="44" borderId="28" xfId="35" applyFont="1" applyFill="1" applyBorder="1" applyAlignment="1">
      <alignment horizontal="center" vertical="center"/>
    </xf>
    <xf numFmtId="171" fontId="135" fillId="19" borderId="28" xfId="35" applyNumberFormat="1" applyFont="1" applyFill="1" applyBorder="1" applyAlignment="1">
      <alignment horizontal="center" vertical="center"/>
    </xf>
    <xf numFmtId="0" fontId="135" fillId="0" borderId="28" xfId="31" applyFont="1" applyBorder="1" applyAlignment="1">
      <alignment horizontal="center" vertical="center" wrapText="1"/>
    </xf>
    <xf numFmtId="171" fontId="135" fillId="0" borderId="28" xfId="35" applyNumberFormat="1" applyFont="1" applyBorder="1" applyAlignment="1">
      <alignment horizontal="center" vertical="center"/>
    </xf>
    <xf numFmtId="0" fontId="135" fillId="44" borderId="28" xfId="35" applyFont="1" applyFill="1" applyBorder="1" applyAlignment="1">
      <alignment horizontal="left" vertical="center"/>
    </xf>
    <xf numFmtId="0" fontId="108" fillId="0" borderId="28" xfId="31" applyFont="1" applyBorder="1" applyAlignment="1" applyProtection="1">
      <alignment horizontal="center" vertical="center"/>
      <protection locked="0" hidden="1"/>
    </xf>
    <xf numFmtId="171" fontId="89" fillId="19" borderId="28" xfId="35" applyNumberFormat="1" applyFont="1" applyFill="1" applyBorder="1" applyAlignment="1">
      <alignment horizontal="center" vertical="center"/>
    </xf>
    <xf numFmtId="20" fontId="109" fillId="0" borderId="28" xfId="31" applyNumberFormat="1" applyFont="1" applyBorder="1" applyAlignment="1">
      <alignment horizontal="center" vertical="center" wrapText="1"/>
    </xf>
    <xf numFmtId="180" fontId="109" fillId="0" borderId="28" xfId="31" applyNumberFormat="1" applyFont="1" applyBorder="1" applyAlignment="1">
      <alignment horizontal="left" vertical="center" wrapText="1"/>
    </xf>
    <xf numFmtId="0" fontId="108" fillId="44" borderId="28" xfId="35" applyFont="1" applyFill="1" applyBorder="1" applyAlignment="1">
      <alignment horizontal="center" vertical="center"/>
    </xf>
    <xf numFmtId="178" fontId="135" fillId="43" borderId="28" xfId="35" applyNumberFormat="1" applyFont="1" applyFill="1" applyBorder="1" applyAlignment="1">
      <alignment horizontal="center" vertical="center"/>
    </xf>
    <xf numFmtId="178" fontId="207" fillId="43" borderId="28" xfId="35" applyNumberFormat="1" applyFont="1" applyFill="1" applyBorder="1" applyAlignment="1">
      <alignment horizontal="center" vertical="center"/>
    </xf>
    <xf numFmtId="0" fontId="207" fillId="19" borderId="28" xfId="31" applyFont="1" applyFill="1" applyBorder="1" applyAlignment="1">
      <alignment vertical="center" wrapText="1"/>
    </xf>
    <xf numFmtId="0" fontId="207" fillId="0" borderId="28" xfId="38" applyFont="1" applyBorder="1" applyAlignment="1">
      <alignment horizontal="left" vertical="center" wrapText="1"/>
    </xf>
    <xf numFmtId="0" fontId="207" fillId="44" borderId="28" xfId="35" applyFont="1" applyFill="1" applyBorder="1" applyAlignment="1">
      <alignment horizontal="center" vertical="center"/>
    </xf>
    <xf numFmtId="171" fontId="207" fillId="19" borderId="28" xfId="35" applyNumberFormat="1" applyFont="1" applyFill="1" applyBorder="1" applyAlignment="1">
      <alignment horizontal="center" vertical="center"/>
    </xf>
    <xf numFmtId="0" fontId="207" fillId="0" borderId="28" xfId="31" applyFont="1" applyBorder="1" applyAlignment="1">
      <alignment horizontal="center" vertical="center" wrapText="1"/>
    </xf>
    <xf numFmtId="171" fontId="207" fillId="0" borderId="28" xfId="35" applyNumberFormat="1" applyFont="1" applyBorder="1" applyAlignment="1">
      <alignment horizontal="center" vertical="center"/>
    </xf>
    <xf numFmtId="0" fontId="207" fillId="0" borderId="28" xfId="0" applyFont="1" applyBorder="1" applyAlignment="1">
      <alignment horizontal="center" vertical="top" wrapText="1"/>
    </xf>
    <xf numFmtId="0" fontId="202" fillId="45" borderId="28" xfId="35" applyFont="1" applyFill="1" applyBorder="1" applyAlignment="1">
      <alignment horizontal="left" vertical="center"/>
    </xf>
    <xf numFmtId="0" fontId="202" fillId="0" borderId="28" xfId="31" applyFont="1" applyBorder="1" applyAlignment="1" applyProtection="1">
      <alignment horizontal="center" vertical="center"/>
      <protection locked="0" hidden="1"/>
    </xf>
    <xf numFmtId="171" fontId="201" fillId="19" borderId="28" xfId="35" applyNumberFormat="1" applyFont="1" applyFill="1" applyBorder="1" applyAlignment="1">
      <alignment horizontal="center" vertical="center"/>
    </xf>
    <xf numFmtId="20" fontId="208" fillId="0" borderId="28" xfId="31" applyNumberFormat="1" applyFont="1" applyBorder="1" applyAlignment="1">
      <alignment horizontal="center" vertical="center" wrapText="1"/>
    </xf>
    <xf numFmtId="180" fontId="208" fillId="0" borderId="28" xfId="31" applyNumberFormat="1" applyFont="1" applyBorder="1" applyAlignment="1">
      <alignment horizontal="left" vertical="center" wrapText="1"/>
    </xf>
    <xf numFmtId="0" fontId="202" fillId="44" borderId="28" xfId="35" applyFont="1" applyFill="1" applyBorder="1" applyAlignment="1">
      <alignment horizontal="center" vertical="center"/>
    </xf>
    <xf numFmtId="178" fontId="135" fillId="56" borderId="28" xfId="35" applyNumberFormat="1" applyFont="1" applyFill="1" applyBorder="1" applyAlignment="1">
      <alignment horizontal="center" vertical="center"/>
    </xf>
    <xf numFmtId="0" fontId="135" fillId="54" borderId="28" xfId="31" applyFont="1" applyFill="1" applyBorder="1" applyAlignment="1">
      <alignment vertical="center" wrapText="1"/>
    </xf>
    <xf numFmtId="0" fontId="135" fillId="54" borderId="28" xfId="38" applyFont="1" applyFill="1" applyBorder="1" applyAlignment="1">
      <alignment horizontal="left" vertical="center" wrapText="1"/>
    </xf>
    <xf numFmtId="0" fontId="135" fillId="57" borderId="28" xfId="35" applyFont="1" applyFill="1" applyBorder="1" applyAlignment="1">
      <alignment horizontal="center" vertical="center"/>
    </xf>
    <xf numFmtId="171" fontId="135" fillId="54" borderId="28" xfId="35" applyNumberFormat="1" applyFont="1" applyFill="1" applyBorder="1" applyAlignment="1">
      <alignment horizontal="center" vertical="center"/>
    </xf>
    <xf numFmtId="21" fontId="112" fillId="54" borderId="28" xfId="31" applyNumberFormat="1" applyFont="1" applyFill="1" applyBorder="1" applyAlignment="1">
      <alignment horizontal="center" vertical="center" wrapText="1"/>
    </xf>
    <xf numFmtId="171" fontId="135" fillId="54" borderId="28" xfId="8" applyNumberFormat="1" applyFont="1" applyFill="1" applyBorder="1" applyAlignment="1">
      <alignment horizontal="left" vertical="center"/>
    </xf>
    <xf numFmtId="0" fontId="135" fillId="57" borderId="28" xfId="35" applyFont="1" applyFill="1" applyBorder="1" applyAlignment="1">
      <alignment horizontal="left" vertical="center"/>
    </xf>
    <xf numFmtId="0" fontId="117" fillId="45" borderId="28" xfId="35" applyFont="1" applyFill="1" applyBorder="1" applyAlignment="1">
      <alignment horizontal="left" vertical="center"/>
    </xf>
    <xf numFmtId="20" fontId="117" fillId="50" borderId="28" xfId="35" applyNumberFormat="1" applyFont="1" applyFill="1" applyBorder="1" applyAlignment="1">
      <alignment horizontal="center" vertical="center"/>
    </xf>
    <xf numFmtId="0" fontId="117" fillId="50" borderId="28" xfId="35" applyFont="1" applyFill="1" applyBorder="1" applyAlignment="1">
      <alignment horizontal="center" vertical="center"/>
    </xf>
    <xf numFmtId="178" fontId="134" fillId="0" borderId="28" xfId="35" applyNumberFormat="1" applyFont="1" applyBorder="1" applyAlignment="1">
      <alignment horizontal="center" vertical="center"/>
    </xf>
    <xf numFmtId="0" fontId="134" fillId="0" borderId="28" xfId="31" applyFont="1" applyBorder="1" applyAlignment="1">
      <alignment vertical="center" wrapText="1"/>
    </xf>
    <xf numFmtId="0" fontId="134" fillId="0" borderId="28" xfId="38" applyFont="1" applyBorder="1" applyAlignment="1">
      <alignment horizontal="left" vertical="center" wrapText="1"/>
    </xf>
    <xf numFmtId="0" fontId="134" fillId="0" borderId="28" xfId="35" applyFont="1" applyBorder="1" applyAlignment="1">
      <alignment horizontal="center" vertical="center"/>
    </xf>
    <xf numFmtId="171" fontId="134" fillId="0" borderId="28" xfId="35" applyNumberFormat="1" applyFont="1" applyBorder="1" applyAlignment="1">
      <alignment horizontal="center" vertical="center"/>
    </xf>
    <xf numFmtId="0" fontId="134" fillId="0" borderId="28" xfId="31" applyFont="1" applyBorder="1" applyAlignment="1">
      <alignment horizontal="center" vertical="center" wrapText="1"/>
    </xf>
    <xf numFmtId="171" fontId="134" fillId="0" borderId="28" xfId="8" applyNumberFormat="1" applyFont="1" applyBorder="1" applyAlignment="1">
      <alignment horizontal="left" vertical="center"/>
    </xf>
    <xf numFmtId="0" fontId="134" fillId="0" borderId="28" xfId="35" applyFont="1" applyBorder="1" applyAlignment="1">
      <alignment horizontal="left" vertical="center"/>
    </xf>
    <xf numFmtId="20" fontId="108" fillId="51" borderId="28" xfId="35" applyNumberFormat="1" applyFont="1" applyFill="1" applyBorder="1" applyAlignment="1">
      <alignment horizontal="center" vertical="center"/>
    </xf>
    <xf numFmtId="0" fontId="108" fillId="51" borderId="28" xfId="35" applyFont="1" applyFill="1" applyBorder="1" applyAlignment="1">
      <alignment horizontal="center" vertical="center"/>
    </xf>
    <xf numFmtId="178" fontId="118" fillId="0" borderId="28" xfId="35" applyNumberFormat="1" applyFont="1" applyBorder="1" applyAlignment="1">
      <alignment horizontal="center" vertical="center"/>
    </xf>
    <xf numFmtId="0" fontId="136" fillId="0" borderId="28" xfId="31" applyFont="1" applyBorder="1" applyAlignment="1">
      <alignment vertical="center" wrapText="1"/>
    </xf>
    <xf numFmtId="0" fontId="136" fillId="0" borderId="28" xfId="38" applyFont="1" applyBorder="1" applyAlignment="1">
      <alignment horizontal="left" vertical="center" wrapText="1"/>
    </xf>
    <xf numFmtId="0" fontId="118" fillId="0" borderId="28" xfId="35" applyFont="1" applyBorder="1" applyAlignment="1">
      <alignment horizontal="center" vertical="center"/>
    </xf>
    <xf numFmtId="171" fontId="136" fillId="0" borderId="28" xfId="35" applyNumberFormat="1" applyFont="1" applyBorder="1" applyAlignment="1">
      <alignment horizontal="center" vertical="center"/>
    </xf>
    <xf numFmtId="0" fontId="136" fillId="0" borderId="28" xfId="31" applyFont="1" applyBorder="1" applyAlignment="1">
      <alignment horizontal="center" vertical="center" wrapText="1"/>
    </xf>
    <xf numFmtId="171" fontId="136" fillId="0" borderId="28" xfId="8" applyNumberFormat="1" applyFont="1" applyBorder="1" applyAlignment="1">
      <alignment horizontal="left" vertical="center"/>
    </xf>
    <xf numFmtId="0" fontId="136" fillId="0" borderId="28" xfId="35" applyFont="1" applyBorder="1" applyAlignment="1">
      <alignment horizontal="left" vertical="center" wrapText="1"/>
    </xf>
    <xf numFmtId="178" fontId="136" fillId="43" borderId="28" xfId="35" applyNumberFormat="1" applyFont="1" applyFill="1" applyBorder="1" applyAlignment="1">
      <alignment horizontal="center" vertical="center"/>
    </xf>
    <xf numFmtId="0" fontId="136" fillId="0" borderId="28" xfId="35" applyFont="1" applyBorder="1" applyAlignment="1">
      <alignment horizontal="center" vertical="center"/>
    </xf>
    <xf numFmtId="178" fontId="134" fillId="56" borderId="28" xfId="35" applyNumberFormat="1" applyFont="1" applyFill="1" applyBorder="1" applyAlignment="1">
      <alignment horizontal="center" vertical="center"/>
    </xf>
    <xf numFmtId="0" fontId="113" fillId="57" borderId="28" xfId="35" applyFont="1" applyFill="1" applyBorder="1" applyAlignment="1">
      <alignment vertical="center" wrapText="1"/>
    </xf>
    <xf numFmtId="171" fontId="112" fillId="54" borderId="28" xfId="35" applyNumberFormat="1" applyFont="1" applyFill="1" applyBorder="1" applyAlignment="1">
      <alignment horizontal="center" vertical="center"/>
    </xf>
    <xf numFmtId="178" fontId="118" fillId="66" borderId="28" xfId="35" applyNumberFormat="1" applyFont="1" applyFill="1" applyBorder="1" applyAlignment="1">
      <alignment horizontal="center" vertical="center"/>
    </xf>
    <xf numFmtId="0" fontId="150" fillId="65" borderId="28" xfId="31" applyFont="1" applyFill="1" applyBorder="1" applyAlignment="1">
      <alignment vertical="center" wrapText="1"/>
    </xf>
    <xf numFmtId="171" fontId="112" fillId="65" borderId="28" xfId="35" applyNumberFormat="1" applyFont="1" applyFill="1" applyBorder="1" applyAlignment="1">
      <alignment horizontal="center" vertical="center"/>
    </xf>
    <xf numFmtId="21" fontId="112" fillId="65" borderId="28" xfId="31" applyNumberFormat="1" applyFont="1" applyFill="1" applyBorder="1" applyAlignment="1">
      <alignment horizontal="center" vertical="center" wrapText="1"/>
    </xf>
    <xf numFmtId="171" fontId="89" fillId="0" borderId="28" xfId="35" applyNumberFormat="1" applyFont="1" applyBorder="1" applyAlignment="1">
      <alignment horizontal="center" vertical="center"/>
    </xf>
    <xf numFmtId="0" fontId="108" fillId="0" borderId="28" xfId="35" applyFont="1" applyBorder="1" applyAlignment="1">
      <alignment horizontal="center" vertical="center"/>
    </xf>
    <xf numFmtId="178" fontId="118" fillId="43" borderId="28" xfId="35" applyNumberFormat="1" applyFont="1" applyFill="1" applyBorder="1" applyAlignment="1">
      <alignment horizontal="center" vertical="center"/>
    </xf>
    <xf numFmtId="0" fontId="118" fillId="19" borderId="28" xfId="31" applyFont="1" applyFill="1" applyBorder="1" applyAlignment="1">
      <alignment vertical="center" wrapText="1"/>
    </xf>
    <xf numFmtId="0" fontId="118" fillId="19" borderId="28" xfId="38" applyFont="1" applyFill="1" applyBorder="1" applyAlignment="1">
      <alignment horizontal="left" vertical="center" wrapText="1"/>
    </xf>
    <xf numFmtId="0" fontId="118" fillId="44" borderId="28" xfId="35" applyFont="1" applyFill="1" applyBorder="1" applyAlignment="1">
      <alignment horizontal="center" vertical="center"/>
    </xf>
    <xf numFmtId="171" fontId="118" fillId="19" borderId="28" xfId="35" applyNumberFormat="1" applyFont="1" applyFill="1" applyBorder="1" applyAlignment="1">
      <alignment horizontal="center" vertical="center"/>
    </xf>
    <xf numFmtId="21" fontId="161" fillId="19" borderId="28" xfId="31" applyNumberFormat="1" applyFont="1" applyFill="1" applyBorder="1" applyAlignment="1">
      <alignment horizontal="center" vertical="center" wrapText="1"/>
    </xf>
    <xf numFmtId="171" fontId="118" fillId="58" borderId="28" xfId="8" applyNumberFormat="1" applyFont="1" applyFill="1" applyBorder="1" applyAlignment="1">
      <alignment horizontal="left" vertical="center"/>
    </xf>
    <xf numFmtId="0" fontId="118" fillId="44" borderId="28" xfId="35" applyFont="1" applyFill="1" applyBorder="1" applyAlignment="1">
      <alignment horizontal="left" vertical="center" wrapText="1"/>
    </xf>
    <xf numFmtId="178" fontId="162" fillId="43" borderId="28" xfId="35" applyNumberFormat="1" applyFont="1" applyFill="1" applyBorder="1" applyAlignment="1">
      <alignment horizontal="center" vertical="center"/>
    </xf>
    <xf numFmtId="0" fontId="163" fillId="19" borderId="28" xfId="31" applyFont="1" applyFill="1" applyBorder="1" applyAlignment="1">
      <alignment horizontal="left" vertical="center" wrapText="1"/>
    </xf>
    <xf numFmtId="0" fontId="163" fillId="0" borderId="28" xfId="38" applyFont="1" applyBorder="1" applyAlignment="1">
      <alignment horizontal="left" vertical="center" wrapText="1"/>
    </xf>
    <xf numFmtId="0" fontId="163" fillId="44" borderId="28" xfId="35" applyFont="1" applyFill="1" applyBorder="1" applyAlignment="1">
      <alignment horizontal="center" vertical="center"/>
    </xf>
    <xf numFmtId="171" fontId="163" fillId="19" borderId="28" xfId="35" applyNumberFormat="1" applyFont="1" applyFill="1" applyBorder="1" applyAlignment="1">
      <alignment horizontal="center" vertical="center"/>
    </xf>
    <xf numFmtId="0" fontId="163" fillId="19" borderId="28" xfId="31" applyFont="1" applyFill="1" applyBorder="1" applyAlignment="1">
      <alignment horizontal="center" vertical="center" wrapText="1"/>
    </xf>
    <xf numFmtId="171" fontId="163" fillId="19" borderId="28" xfId="8" applyNumberFormat="1" applyFont="1" applyFill="1" applyBorder="1" applyAlignment="1">
      <alignment horizontal="left" vertical="center"/>
    </xf>
    <xf numFmtId="0" fontId="163" fillId="44" borderId="28" xfId="35" applyFont="1" applyFill="1" applyBorder="1" applyAlignment="1">
      <alignment horizontal="left" vertical="center"/>
    </xf>
    <xf numFmtId="178" fontId="164" fillId="43" borderId="28" xfId="35" applyNumberFormat="1" applyFont="1" applyFill="1" applyBorder="1" applyAlignment="1">
      <alignment horizontal="center" vertical="center"/>
    </xf>
    <xf numFmtId="0" fontId="118" fillId="19" borderId="30" xfId="31" applyFont="1" applyFill="1" applyBorder="1" applyAlignment="1">
      <alignment vertical="center" wrapText="1"/>
    </xf>
    <xf numFmtId="0" fontId="166" fillId="43" borderId="28" xfId="0" applyFont="1" applyFill="1" applyBorder="1" applyAlignment="1">
      <alignment horizontal="left" wrapText="1"/>
    </xf>
    <xf numFmtId="0" fontId="166" fillId="0" borderId="28" xfId="38" applyFont="1" applyBorder="1" applyAlignment="1">
      <alignment horizontal="left" vertical="center" wrapText="1"/>
    </xf>
    <xf numFmtId="0" fontId="166" fillId="44" borderId="28" xfId="35" applyFont="1" applyFill="1" applyBorder="1" applyAlignment="1">
      <alignment horizontal="center" vertical="center"/>
    </xf>
    <xf numFmtId="171" fontId="166" fillId="19" borderId="28" xfId="35" applyNumberFormat="1" applyFont="1" applyFill="1" applyBorder="1" applyAlignment="1">
      <alignment horizontal="center" vertical="center"/>
    </xf>
    <xf numFmtId="0" fontId="166" fillId="19" borderId="28" xfId="31" applyFont="1" applyFill="1" applyBorder="1" applyAlignment="1">
      <alignment horizontal="center" vertical="center" wrapText="1"/>
    </xf>
    <xf numFmtId="171" fontId="166" fillId="19" borderId="28" xfId="8" applyNumberFormat="1" applyFont="1" applyFill="1" applyBorder="1" applyAlignment="1">
      <alignment horizontal="left" vertical="center"/>
    </xf>
    <xf numFmtId="0" fontId="166" fillId="44" borderId="28" xfId="35" applyFont="1" applyFill="1" applyBorder="1" applyAlignment="1">
      <alignment horizontal="left" vertical="center"/>
    </xf>
    <xf numFmtId="171" fontId="209" fillId="19" borderId="28" xfId="35" applyNumberFormat="1" applyFont="1" applyFill="1" applyBorder="1" applyAlignment="1">
      <alignment horizontal="center" vertical="center"/>
    </xf>
    <xf numFmtId="0" fontId="209" fillId="19" borderId="28" xfId="31" applyFont="1" applyFill="1" applyBorder="1" applyAlignment="1">
      <alignment horizontal="left" vertical="center" wrapText="1"/>
    </xf>
    <xf numFmtId="0" fontId="209" fillId="0" borderId="28" xfId="38" applyFont="1" applyBorder="1" applyAlignment="1">
      <alignment horizontal="left" vertical="center" wrapText="1"/>
    </xf>
    <xf numFmtId="0" fontId="209" fillId="44" borderId="28" xfId="35" applyFont="1" applyFill="1" applyBorder="1" applyAlignment="1">
      <alignment horizontal="center" vertical="center"/>
    </xf>
    <xf numFmtId="0" fontId="209" fillId="19" borderId="28" xfId="31" applyFont="1" applyFill="1" applyBorder="1" applyAlignment="1">
      <alignment horizontal="center" vertical="center" wrapText="1"/>
    </xf>
    <xf numFmtId="171" fontId="209" fillId="19" borderId="28" xfId="8" applyNumberFormat="1" applyFont="1" applyFill="1" applyBorder="1" applyAlignment="1">
      <alignment horizontal="left" vertical="center"/>
    </xf>
    <xf numFmtId="0" fontId="207" fillId="19" borderId="28" xfId="0" applyFont="1" applyFill="1" applyBorder="1" applyAlignment="1">
      <alignment horizontal="center" vertical="center" wrapText="1"/>
    </xf>
    <xf numFmtId="171" fontId="112" fillId="58" borderId="28" xfId="35" applyNumberFormat="1" applyFont="1" applyFill="1" applyBorder="1" applyAlignment="1">
      <alignment horizontal="center" vertical="center"/>
    </xf>
    <xf numFmtId="179" fontId="118" fillId="19" borderId="28" xfId="0" applyNumberFormat="1" applyFont="1" applyFill="1" applyBorder="1" applyAlignment="1" applyProtection="1">
      <alignment horizontal="center" vertical="center"/>
      <protection hidden="1"/>
    </xf>
    <xf numFmtId="171" fontId="118" fillId="19" borderId="28" xfId="8" applyNumberFormat="1" applyFont="1" applyFill="1" applyBorder="1" applyAlignment="1">
      <alignment horizontal="left" vertical="center"/>
    </xf>
    <xf numFmtId="0" fontId="163" fillId="19" borderId="28" xfId="31" applyFont="1" applyFill="1" applyBorder="1" applyAlignment="1">
      <alignment vertical="center" wrapText="1"/>
    </xf>
    <xf numFmtId="0" fontId="163" fillId="0" borderId="28" xfId="31" applyFont="1" applyBorder="1" applyAlignment="1">
      <alignment horizontal="center" vertical="center" wrapText="1"/>
    </xf>
    <xf numFmtId="171" fontId="163" fillId="0" borderId="28" xfId="35" applyNumberFormat="1" applyFont="1" applyBorder="1" applyAlignment="1">
      <alignment horizontal="center" vertical="center"/>
    </xf>
    <xf numFmtId="0" fontId="165" fillId="19" borderId="28" xfId="31" applyFont="1" applyFill="1" applyBorder="1" applyAlignment="1">
      <alignment vertical="center" wrapText="1"/>
    </xf>
    <xf numFmtId="171" fontId="165" fillId="19" borderId="28" xfId="35" applyNumberFormat="1" applyFont="1" applyFill="1" applyBorder="1" applyAlignment="1">
      <alignment horizontal="center" vertical="center"/>
    </xf>
    <xf numFmtId="21" fontId="112" fillId="19" borderId="28" xfId="31" applyNumberFormat="1" applyFont="1" applyFill="1" applyBorder="1" applyAlignment="1">
      <alignment horizontal="center" vertical="center" wrapText="1"/>
    </xf>
    <xf numFmtId="171" fontId="165" fillId="58" borderId="28" xfId="35" applyNumberFormat="1" applyFont="1" applyFill="1" applyBorder="1" applyAlignment="1">
      <alignment horizontal="center" vertical="center"/>
    </xf>
    <xf numFmtId="0" fontId="166" fillId="19" borderId="28" xfId="31" applyFont="1" applyFill="1" applyBorder="1" applyAlignment="1">
      <alignment vertical="center" wrapText="1"/>
    </xf>
    <xf numFmtId="171" fontId="166" fillId="58" borderId="28" xfId="35" applyNumberFormat="1" applyFont="1" applyFill="1" applyBorder="1" applyAlignment="1">
      <alignment horizontal="center" vertical="center"/>
    </xf>
    <xf numFmtId="0" fontId="166" fillId="0" borderId="28" xfId="31" applyFont="1" applyBorder="1" applyAlignment="1">
      <alignment horizontal="center" vertical="center" wrapText="1"/>
    </xf>
    <xf numFmtId="171" fontId="166" fillId="0" borderId="28" xfId="35" applyNumberFormat="1" applyFont="1" applyBorder="1" applyAlignment="1">
      <alignment horizontal="center" vertical="center"/>
    </xf>
    <xf numFmtId="0" fontId="135" fillId="19" borderId="28" xfId="31" applyFont="1" applyFill="1" applyBorder="1" applyAlignment="1">
      <alignment horizontal="center" vertical="center" wrapText="1"/>
    </xf>
    <xf numFmtId="171" fontId="135" fillId="19" borderId="28" xfId="8" applyNumberFormat="1" applyFont="1" applyFill="1" applyBorder="1" applyAlignment="1">
      <alignment horizontal="left" vertical="center"/>
    </xf>
    <xf numFmtId="178" fontId="162" fillId="0" borderId="28" xfId="35" applyNumberFormat="1" applyFont="1" applyBorder="1" applyAlignment="1">
      <alignment horizontal="center" vertical="center"/>
    </xf>
    <xf numFmtId="0" fontId="163" fillId="0" borderId="28" xfId="31" applyFont="1" applyBorder="1" applyAlignment="1">
      <alignment vertical="center" wrapText="1"/>
    </xf>
    <xf numFmtId="0" fontId="163" fillId="0" borderId="28" xfId="35" applyFont="1" applyBorder="1" applyAlignment="1">
      <alignment horizontal="center" vertical="center" wrapText="1"/>
    </xf>
    <xf numFmtId="0" fontId="135" fillId="0" borderId="28" xfId="35" applyFont="1" applyBorder="1" applyAlignment="1">
      <alignment horizontal="left" vertical="center" wrapText="1"/>
    </xf>
    <xf numFmtId="178" fontId="164" fillId="0" borderId="28" xfId="35" applyNumberFormat="1" applyFont="1" applyBorder="1" applyAlignment="1">
      <alignment horizontal="center" vertical="center"/>
    </xf>
    <xf numFmtId="0" fontId="163" fillId="0" borderId="28" xfId="35" applyFont="1" applyBorder="1" applyAlignment="1">
      <alignment horizontal="center" vertical="center"/>
    </xf>
    <xf numFmtId="0" fontId="163" fillId="0" borderId="28" xfId="35" applyFont="1" applyBorder="1" applyAlignment="1">
      <alignment horizontal="left" vertical="center"/>
    </xf>
    <xf numFmtId="0" fontId="163" fillId="0" borderId="28" xfId="35" applyFont="1" applyBorder="1" applyAlignment="1">
      <alignment horizontal="left" vertical="center" wrapText="1"/>
    </xf>
    <xf numFmtId="0" fontId="108" fillId="49" borderId="28" xfId="35" applyFont="1" applyFill="1" applyBorder="1" applyAlignment="1">
      <alignment horizontal="left" vertical="center"/>
    </xf>
    <xf numFmtId="171" fontId="113" fillId="19" borderId="28" xfId="35" applyNumberFormat="1" applyFont="1" applyFill="1" applyBorder="1" applyAlignment="1">
      <alignment horizontal="center" vertical="center"/>
    </xf>
    <xf numFmtId="0" fontId="135" fillId="44" borderId="28" xfId="35" applyFont="1" applyFill="1" applyBorder="1" applyAlignment="1">
      <alignment horizontal="left" vertical="center" wrapText="1"/>
    </xf>
    <xf numFmtId="0" fontId="108" fillId="29" borderId="28" xfId="35" applyFont="1" applyFill="1" applyBorder="1" applyAlignment="1">
      <alignment horizontal="center" vertical="center"/>
    </xf>
    <xf numFmtId="0" fontId="108" fillId="29" borderId="28" xfId="35" applyFont="1" applyFill="1" applyBorder="1" applyAlignment="1">
      <alignment horizontal="left" vertical="center" wrapText="1"/>
    </xf>
    <xf numFmtId="176" fontId="108" fillId="29" borderId="28" xfId="35" applyNumberFormat="1" applyFont="1" applyFill="1" applyBorder="1" applyAlignment="1">
      <alignment horizontal="center" vertical="center" wrapText="1"/>
    </xf>
    <xf numFmtId="0" fontId="108" fillId="29" borderId="28" xfId="35" applyFont="1" applyFill="1" applyBorder="1" applyAlignment="1">
      <alignment vertical="center"/>
    </xf>
    <xf numFmtId="0" fontId="170" fillId="59" borderId="31" xfId="46" applyFont="1" applyFill="1" applyBorder="1" applyAlignment="1">
      <alignment horizontal="center" wrapText="1"/>
    </xf>
    <xf numFmtId="0" fontId="170" fillId="59" borderId="31" xfId="46" applyFont="1" applyFill="1" applyBorder="1" applyAlignment="1">
      <alignment wrapText="1"/>
    </xf>
    <xf numFmtId="0" fontId="113" fillId="23" borderId="32" xfId="0" applyFont="1" applyFill="1" applyBorder="1" applyAlignment="1">
      <alignment horizontal="left" vertical="center"/>
    </xf>
    <xf numFmtId="0" fontId="113" fillId="23" borderId="29" xfId="0" applyFont="1" applyFill="1" applyBorder="1"/>
    <xf numFmtId="0" fontId="113" fillId="23" borderId="33" xfId="0" applyFont="1" applyFill="1" applyBorder="1"/>
    <xf numFmtId="0" fontId="133" fillId="0" borderId="30" xfId="0" applyFont="1" applyBorder="1" applyAlignment="1">
      <alignment horizontal="right"/>
    </xf>
    <xf numFmtId="16" fontId="133" fillId="0" borderId="30" xfId="0" applyNumberFormat="1" applyFont="1" applyBorder="1" applyAlignment="1">
      <alignment horizontal="center"/>
    </xf>
    <xf numFmtId="16" fontId="133" fillId="19" borderId="30" xfId="0" applyNumberFormat="1" applyFont="1" applyFill="1" applyBorder="1" applyAlignment="1">
      <alignment horizontal="center"/>
    </xf>
    <xf numFmtId="0" fontId="102" fillId="0" borderId="30" xfId="0" applyFont="1" applyBorder="1"/>
    <xf numFmtId="0" fontId="117" fillId="65" borderId="34" xfId="0" applyFont="1" applyFill="1" applyBorder="1"/>
    <xf numFmtId="0" fontId="113" fillId="19" borderId="30" xfId="43" applyFont="1" applyFill="1" applyBorder="1" applyAlignment="1">
      <alignment horizontal="center" vertical="center" wrapText="1"/>
    </xf>
    <xf numFmtId="0" fontId="113" fillId="23" borderId="30" xfId="43" applyFont="1" applyFill="1" applyBorder="1" applyAlignment="1">
      <alignment horizontal="center" vertical="center" wrapText="1"/>
    </xf>
    <xf numFmtId="0" fontId="118" fillId="35" borderId="30" xfId="8" applyFont="1" applyFill="1" applyBorder="1" applyAlignment="1">
      <alignment horizontal="left" vertical="center"/>
    </xf>
    <xf numFmtId="0" fontId="0" fillId="19" borderId="35" xfId="0" applyFill="1" applyBorder="1" applyAlignment="1">
      <alignment horizontal="center" vertical="center" wrapText="1"/>
    </xf>
    <xf numFmtId="0" fontId="0" fillId="19" borderId="35" xfId="0" applyFill="1" applyBorder="1" applyAlignment="1">
      <alignment vertical="center" wrapText="1"/>
    </xf>
    <xf numFmtId="0" fontId="154" fillId="52" borderId="36" xfId="0" applyFont="1" applyFill="1" applyBorder="1" applyAlignment="1">
      <alignment vertical="center"/>
    </xf>
    <xf numFmtId="0" fontId="101" fillId="52" borderId="37" xfId="0" applyFont="1" applyFill="1" applyBorder="1" applyAlignment="1">
      <alignment vertical="center"/>
    </xf>
    <xf numFmtId="0" fontId="22" fillId="0" borderId="32" xfId="0" applyFont="1" applyBorder="1" applyAlignment="1">
      <alignment horizontal="center"/>
    </xf>
    <xf numFmtId="0" fontId="22" fillId="0" borderId="33" xfId="0" applyFont="1" applyBorder="1"/>
    <xf numFmtId="0" fontId="41" fillId="6" borderId="32" xfId="0" applyFont="1" applyFill="1" applyBorder="1" applyAlignment="1">
      <alignment horizontal="right"/>
    </xf>
    <xf numFmtId="169" fontId="44" fillId="10" borderId="32" xfId="0" applyNumberFormat="1" applyFont="1" applyFill="1" applyBorder="1" applyAlignment="1">
      <alignment horizontal="center" wrapText="1"/>
    </xf>
    <xf numFmtId="169" fontId="44" fillId="10" borderId="33" xfId="0" applyNumberFormat="1" applyFont="1" applyFill="1" applyBorder="1" applyAlignment="1">
      <alignment horizontal="center" textRotation="90" wrapText="1"/>
    </xf>
    <xf numFmtId="0" fontId="15" fillId="0" borderId="32" xfId="0" applyFont="1" applyBorder="1" applyAlignment="1">
      <alignment horizontal="center" vertical="top" wrapText="1"/>
    </xf>
    <xf numFmtId="0" fontId="15" fillId="0" borderId="33" xfId="0" applyFont="1" applyBorder="1" applyAlignment="1">
      <alignment horizontal="center" vertical="top" wrapText="1"/>
    </xf>
    <xf numFmtId="0" fontId="22" fillId="0" borderId="32" xfId="0" applyFont="1" applyBorder="1" applyAlignment="1">
      <alignment horizontal="center" vertical="top" wrapText="1"/>
    </xf>
    <xf numFmtId="0" fontId="22" fillId="0" borderId="33" xfId="0" applyFont="1" applyBorder="1" applyAlignment="1">
      <alignment horizontal="center" vertical="top" wrapText="1"/>
    </xf>
    <xf numFmtId="0" fontId="48" fillId="0" borderId="32" xfId="0" applyFont="1" applyBorder="1" applyAlignment="1">
      <alignment horizontal="center" vertical="top"/>
    </xf>
    <xf numFmtId="0" fontId="22" fillId="0" borderId="32" xfId="0" applyFont="1" applyBorder="1" applyAlignment="1">
      <alignment horizontal="center" vertical="top"/>
    </xf>
    <xf numFmtId="0" fontId="22" fillId="0" borderId="32" xfId="0" applyFont="1" applyBorder="1" applyAlignment="1">
      <alignment horizontal="left"/>
    </xf>
    <xf numFmtId="0" fontId="22" fillId="0" borderId="33" xfId="0" applyFont="1" applyBorder="1" applyAlignment="1">
      <alignment horizontal="left" vertical="top" wrapText="1"/>
    </xf>
    <xf numFmtId="0" fontId="49" fillId="0" borderId="32" xfId="0" applyFont="1" applyBorder="1" applyAlignment="1">
      <alignment horizontal="left" vertical="top"/>
    </xf>
    <xf numFmtId="0" fontId="51" fillId="0" borderId="33" xfId="0" applyFont="1" applyBorder="1" applyAlignment="1">
      <alignment horizontal="left" vertical="top"/>
    </xf>
    <xf numFmtId="0" fontId="46" fillId="0" borderId="32" xfId="0" applyFont="1" applyBorder="1" applyAlignment="1">
      <alignment horizontal="left" vertical="top"/>
    </xf>
    <xf numFmtId="0" fontId="53" fillId="0" borderId="33" xfId="0" applyFont="1" applyBorder="1" applyAlignment="1">
      <alignment horizontal="left" vertical="top"/>
    </xf>
    <xf numFmtId="0" fontId="55" fillId="0" borderId="32" xfId="0" applyFont="1" applyBorder="1" applyAlignment="1">
      <alignment horizontal="center" vertical="top"/>
    </xf>
    <xf numFmtId="0" fontId="46" fillId="0" borderId="33" xfId="0" applyFont="1" applyBorder="1" applyAlignment="1">
      <alignment horizontal="left"/>
    </xf>
    <xf numFmtId="0" fontId="44" fillId="10" borderId="30" xfId="0" applyFont="1" applyFill="1" applyBorder="1" applyAlignment="1">
      <alignment horizontal="center" vertical="center" wrapText="1"/>
    </xf>
    <xf numFmtId="0" fontId="58" fillId="10" borderId="30" xfId="0" applyFont="1" applyFill="1" applyBorder="1" applyAlignment="1">
      <alignment horizontal="center" vertical="center" wrapText="1"/>
    </xf>
    <xf numFmtId="170" fontId="58" fillId="10" borderId="30" xfId="0" applyNumberFormat="1" applyFont="1" applyFill="1" applyBorder="1" applyAlignment="1">
      <alignment horizontal="center" vertical="center" wrapText="1"/>
    </xf>
    <xf numFmtId="0" fontId="22" fillId="0" borderId="35" xfId="0" applyFont="1" applyBorder="1"/>
    <xf numFmtId="0" fontId="21" fillId="7" borderId="32" xfId="0" applyFont="1" applyFill="1" applyBorder="1" applyAlignment="1">
      <alignment horizontal="left"/>
    </xf>
    <xf numFmtId="20" fontId="22" fillId="7" borderId="29" xfId="0" applyNumberFormat="1" applyFont="1" applyFill="1" applyBorder="1" applyAlignment="1">
      <alignment horizontal="left"/>
    </xf>
    <xf numFmtId="0" fontId="21" fillId="7" borderId="29" xfId="0" applyFont="1" applyFill="1" applyBorder="1" applyAlignment="1">
      <alignment horizontal="left"/>
    </xf>
    <xf numFmtId="0" fontId="22" fillId="7" borderId="32" xfId="0" applyFont="1" applyFill="1" applyBorder="1" applyAlignment="1">
      <alignment horizontal="left"/>
    </xf>
    <xf numFmtId="0" fontId="22" fillId="7" borderId="29" xfId="0" applyFont="1" applyFill="1" applyBorder="1" applyAlignment="1">
      <alignment horizontal="center"/>
    </xf>
    <xf numFmtId="0" fontId="21" fillId="7" borderId="29" xfId="0" applyFont="1" applyFill="1" applyBorder="1" applyAlignment="1">
      <alignment horizontal="center"/>
    </xf>
    <xf numFmtId="0" fontId="25" fillId="7" borderId="32" xfId="0" applyFont="1" applyFill="1" applyBorder="1" applyAlignment="1">
      <alignment horizontal="left"/>
    </xf>
    <xf numFmtId="0" fontId="25" fillId="7" borderId="29" xfId="0" applyFont="1" applyFill="1" applyBorder="1" applyAlignment="1">
      <alignment horizontal="center"/>
    </xf>
    <xf numFmtId="0" fontId="15" fillId="0" borderId="32" xfId="0" applyFont="1" applyBorder="1"/>
    <xf numFmtId="0" fontId="15" fillId="14" borderId="32" xfId="0" applyFont="1" applyFill="1" applyBorder="1"/>
    <xf numFmtId="0" fontId="15" fillId="14" borderId="29" xfId="0" applyFont="1" applyFill="1" applyBorder="1"/>
    <xf numFmtId="0" fontId="16" fillId="0" borderId="32" xfId="0" applyFont="1" applyBorder="1"/>
    <xf numFmtId="0" fontId="16" fillId="0" borderId="33" xfId="0" applyFont="1" applyBorder="1" applyAlignment="1">
      <alignment horizontal="center"/>
    </xf>
    <xf numFmtId="0" fontId="16" fillId="14" borderId="32" xfId="0" applyFont="1" applyFill="1" applyBorder="1"/>
    <xf numFmtId="0" fontId="15" fillId="14" borderId="29" xfId="0" applyFont="1" applyFill="1" applyBorder="1" applyAlignment="1">
      <alignment horizontal="center"/>
    </xf>
    <xf numFmtId="0" fontId="16" fillId="14" borderId="29" xfId="0" applyFont="1" applyFill="1" applyBorder="1" applyAlignment="1">
      <alignment horizontal="center"/>
    </xf>
    <xf numFmtId="0" fontId="22" fillId="0" borderId="36" xfId="0" applyFont="1" applyBorder="1" applyAlignment="1">
      <alignment vertical="center"/>
    </xf>
    <xf numFmtId="0" fontId="22" fillId="0" borderId="35" xfId="0" applyFont="1" applyBorder="1" applyAlignment="1">
      <alignment horizontal="left" vertical="center"/>
    </xf>
    <xf numFmtId="0" fontId="22" fillId="0" borderId="37" xfId="0" applyFont="1" applyBorder="1" applyAlignment="1">
      <alignment horizontal="left" vertical="center"/>
    </xf>
    <xf numFmtId="0" fontId="223" fillId="0" borderId="28" xfId="5" applyFont="1" applyBorder="1" applyAlignment="1">
      <alignment horizontal="left" vertical="top" wrapText="1"/>
    </xf>
    <xf numFmtId="0" fontId="223" fillId="71" borderId="28" xfId="5" applyFont="1" applyFill="1" applyBorder="1" applyAlignment="1">
      <alignment horizontal="left" vertical="top" wrapText="1"/>
    </xf>
    <xf numFmtId="0" fontId="201" fillId="19" borderId="28" xfId="0" applyFont="1" applyFill="1" applyBorder="1" applyAlignment="1">
      <alignment horizontal="center" vertical="top"/>
    </xf>
    <xf numFmtId="0" fontId="201" fillId="19" borderId="28" xfId="0" applyFont="1" applyFill="1" applyBorder="1" applyAlignment="1">
      <alignment horizontal="center" vertical="top" wrapText="1"/>
    </xf>
    <xf numFmtId="0" fontId="201" fillId="19" borderId="28" xfId="5" applyFont="1" applyFill="1" applyBorder="1" applyAlignment="1">
      <alignment horizontal="center" vertical="top" wrapText="1"/>
    </xf>
    <xf numFmtId="0" fontId="223" fillId="19" borderId="28" xfId="5" applyFont="1" applyFill="1" applyBorder="1" applyAlignment="1">
      <alignment horizontal="left" vertical="top" wrapText="1"/>
    </xf>
    <xf numFmtId="0" fontId="192" fillId="0" borderId="28" xfId="5" applyFont="1" applyBorder="1" applyAlignment="1">
      <alignment horizontal="center" vertical="top" wrapText="1"/>
    </xf>
    <xf numFmtId="0" fontId="224" fillId="0" borderId="28" xfId="5" applyFont="1" applyBorder="1" applyAlignment="1">
      <alignment horizontal="left" vertical="top" wrapText="1"/>
    </xf>
    <xf numFmtId="0" fontId="192" fillId="58" borderId="28" xfId="0" applyFont="1" applyFill="1" applyBorder="1" applyAlignment="1">
      <alignment horizontal="center" vertical="top"/>
    </xf>
    <xf numFmtId="0" fontId="192" fillId="58" borderId="28" xfId="5" applyFont="1" applyFill="1" applyBorder="1" applyAlignment="1">
      <alignment horizontal="center" vertical="top" wrapText="1"/>
    </xf>
    <xf numFmtId="0" fontId="224" fillId="58" borderId="28" xfId="5" applyFont="1" applyFill="1" applyBorder="1" applyAlignment="1">
      <alignment horizontal="left" vertical="top" wrapText="1"/>
    </xf>
    <xf numFmtId="0" fontId="193" fillId="0" borderId="28" xfId="5" applyFont="1" applyBorder="1" applyAlignment="1">
      <alignment horizontal="center" vertical="top" wrapText="1"/>
    </xf>
    <xf numFmtId="0" fontId="194" fillId="0" borderId="28" xfId="5" applyFont="1" applyBorder="1" applyAlignment="1">
      <alignment horizontal="left" vertical="top" wrapText="1"/>
    </xf>
    <xf numFmtId="0" fontId="193" fillId="19" borderId="28" xfId="0" applyFont="1" applyFill="1" applyBorder="1" applyAlignment="1">
      <alignment horizontal="center" vertical="top"/>
    </xf>
    <xf numFmtId="0" fontId="193" fillId="19" borderId="28" xfId="5" applyFont="1" applyFill="1" applyBorder="1" applyAlignment="1">
      <alignment horizontal="center" vertical="top" wrapText="1"/>
    </xf>
    <xf numFmtId="0" fontId="194" fillId="19" borderId="28" xfId="5" applyFont="1" applyFill="1" applyBorder="1" applyAlignment="1">
      <alignment horizontal="left" vertical="top" wrapText="1"/>
    </xf>
    <xf numFmtId="0" fontId="194" fillId="71" borderId="28" xfId="5" applyFont="1" applyFill="1" applyBorder="1" applyAlignment="1">
      <alignment horizontal="left" vertical="top" wrapText="1"/>
    </xf>
    <xf numFmtId="0" fontId="195" fillId="0" borderId="28" xfId="5" applyFont="1" applyBorder="1" applyAlignment="1">
      <alignment horizontal="center" vertical="top" wrapText="1"/>
    </xf>
    <xf numFmtId="0" fontId="225" fillId="0" borderId="28" xfId="5" applyFont="1" applyBorder="1" applyAlignment="1">
      <alignment horizontal="left" vertical="top" wrapText="1"/>
    </xf>
    <xf numFmtId="0" fontId="226" fillId="0" borderId="28" xfId="0" applyFont="1" applyBorder="1" applyAlignment="1">
      <alignment horizontal="left" vertical="top" wrapText="1"/>
    </xf>
    <xf numFmtId="0" fontId="227" fillId="71" borderId="28" xfId="5" applyFont="1" applyFill="1" applyBorder="1" applyAlignment="1">
      <alignment horizontal="left" vertical="top" wrapText="1"/>
    </xf>
    <xf numFmtId="0" fontId="189" fillId="0" borderId="28" xfId="5" applyFont="1" applyBorder="1" applyAlignment="1">
      <alignment horizontal="left" vertical="top" wrapText="1"/>
    </xf>
    <xf numFmtId="0" fontId="189" fillId="71" borderId="28" xfId="5" applyFont="1" applyFill="1" applyBorder="1" applyAlignment="1">
      <alignment horizontal="left" vertical="top" wrapText="1"/>
    </xf>
    <xf numFmtId="0" fontId="228" fillId="0" borderId="28" xfId="0" applyFont="1" applyBorder="1" applyAlignment="1">
      <alignment horizontal="left" vertical="top" wrapText="1"/>
    </xf>
    <xf numFmtId="0" fontId="89" fillId="0" borderId="28" xfId="0" applyFont="1" applyBorder="1" applyAlignment="1">
      <alignment horizontal="center" vertical="center" wrapText="1"/>
    </xf>
    <xf numFmtId="0" fontId="14" fillId="0" borderId="28" xfId="1" applyBorder="1"/>
    <xf numFmtId="0" fontId="138" fillId="68" borderId="38" xfId="0" applyFont="1" applyFill="1" applyBorder="1" applyAlignment="1">
      <alignment horizontal="center" vertical="center"/>
    </xf>
    <xf numFmtId="181" fontId="138" fillId="68" borderId="39" xfId="0" applyNumberFormat="1" applyFont="1" applyFill="1" applyBorder="1" applyAlignment="1">
      <alignment horizontal="center" vertical="center"/>
    </xf>
    <xf numFmtId="0" fontId="138" fillId="68" borderId="39" xfId="0" applyFont="1" applyFill="1" applyBorder="1" applyAlignment="1">
      <alignment horizontal="center" vertical="center"/>
    </xf>
    <xf numFmtId="0" fontId="138" fillId="68" borderId="40" xfId="0" applyFont="1" applyFill="1" applyBorder="1" applyAlignment="1">
      <alignment horizontal="left" vertical="center"/>
    </xf>
    <xf numFmtId="0" fontId="146" fillId="65" borderId="42" xfId="3" applyFont="1" applyFill="1" applyBorder="1" applyAlignment="1">
      <alignment horizontal="center" wrapText="1"/>
    </xf>
    <xf numFmtId="0" fontId="145" fillId="26" borderId="39" xfId="3" applyFont="1" applyFill="1" applyBorder="1" applyAlignment="1">
      <alignment textRotation="45"/>
    </xf>
    <xf numFmtId="0" fontId="145" fillId="26" borderId="43" xfId="3" applyFont="1" applyFill="1" applyBorder="1" applyAlignment="1">
      <alignment textRotation="45"/>
    </xf>
    <xf numFmtId="0" fontId="102" fillId="0" borderId="44" xfId="8" applyFont="1" applyBorder="1"/>
    <xf numFmtId="0" fontId="98" fillId="70" borderId="52" xfId="8" applyFont="1" applyFill="1" applyBorder="1" applyAlignment="1">
      <alignment horizontal="center" vertical="center"/>
    </xf>
    <xf numFmtId="49" fontId="22" fillId="3" borderId="53" xfId="0" applyNumberFormat="1" applyFont="1" applyFill="1" applyBorder="1" applyAlignment="1">
      <alignment vertical="top" wrapText="1"/>
    </xf>
    <xf numFmtId="49" fontId="22" fillId="0" borderId="53" xfId="0" applyNumberFormat="1" applyFont="1" applyBorder="1" applyAlignment="1">
      <alignment vertical="top" wrapText="1"/>
    </xf>
    <xf numFmtId="0" fontId="206" fillId="0" borderId="54" xfId="1" applyFont="1" applyBorder="1"/>
    <xf numFmtId="0" fontId="180" fillId="0" borderId="55" xfId="1" applyFont="1" applyBorder="1" applyAlignment="1">
      <alignment vertical="top"/>
    </xf>
    <xf numFmtId="0" fontId="185" fillId="0" borderId="55" xfId="1" applyFont="1" applyBorder="1" applyAlignment="1">
      <alignment vertical="top"/>
    </xf>
    <xf numFmtId="0" fontId="220" fillId="71" borderId="55" xfId="1" applyFont="1" applyFill="1" applyBorder="1" applyAlignment="1">
      <alignment vertical="top"/>
    </xf>
    <xf numFmtId="0" fontId="180" fillId="0" borderId="55" xfId="1" applyFont="1" applyBorder="1" applyAlignment="1">
      <alignment horizontal="center" vertical="top"/>
    </xf>
    <xf numFmtId="16" fontId="102" fillId="0" borderId="53" xfId="0" applyNumberFormat="1" applyFont="1" applyBorder="1" applyAlignment="1">
      <alignment horizontal="center" vertical="top"/>
    </xf>
    <xf numFmtId="16" fontId="102" fillId="19" borderId="53" xfId="0" applyNumberFormat="1" applyFont="1" applyFill="1" applyBorder="1" applyAlignment="1">
      <alignment horizontal="center" vertical="top" wrapText="1"/>
    </xf>
    <xf numFmtId="0" fontId="89" fillId="0" borderId="53" xfId="0" applyFont="1" applyBorder="1" applyAlignment="1">
      <alignment horizontal="left" vertical="top" wrapText="1"/>
    </xf>
    <xf numFmtId="0" fontId="102" fillId="0" borderId="53" xfId="0" applyFont="1" applyBorder="1" applyAlignment="1">
      <alignment horizontal="center" vertical="top"/>
    </xf>
    <xf numFmtId="178" fontId="162" fillId="43" borderId="56" xfId="35" applyNumberFormat="1" applyFont="1" applyFill="1" applyBorder="1" applyAlignment="1">
      <alignment horizontal="center" vertical="center"/>
    </xf>
    <xf numFmtId="178" fontId="164" fillId="43" borderId="56" xfId="35" applyNumberFormat="1" applyFont="1" applyFill="1" applyBorder="1" applyAlignment="1">
      <alignment horizontal="center" vertical="center"/>
    </xf>
    <xf numFmtId="178" fontId="209" fillId="43" borderId="56" xfId="35" applyNumberFormat="1" applyFont="1" applyFill="1" applyBorder="1" applyAlignment="1">
      <alignment horizontal="center" vertical="center"/>
    </xf>
    <xf numFmtId="0" fontId="143" fillId="65" borderId="51" xfId="0" applyFont="1" applyFill="1" applyBorder="1" applyAlignment="1">
      <alignment horizontal="center" vertical="center"/>
    </xf>
    <xf numFmtId="0" fontId="117" fillId="65" borderId="57" xfId="0" applyFont="1" applyFill="1" applyBorder="1"/>
    <xf numFmtId="14" fontId="156" fillId="65" borderId="0" xfId="45" applyNumberFormat="1" applyFont="1" applyFill="1" applyAlignment="1">
      <alignment horizontal="center" vertical="center" wrapText="1"/>
    </xf>
    <xf numFmtId="14" fontId="141" fillId="40" borderId="0" xfId="45" applyNumberFormat="1" applyFont="1" applyFill="1" applyAlignment="1">
      <alignment horizontal="center" vertical="center" wrapText="1"/>
    </xf>
    <xf numFmtId="0" fontId="0" fillId="74" borderId="0" xfId="0" applyFill="1" applyAlignment="1">
      <alignment horizontal="center" vertical="center"/>
    </xf>
    <xf numFmtId="0" fontId="230" fillId="75" borderId="0" xfId="48" applyFont="1" applyFill="1" applyAlignment="1">
      <alignment vertical="center" wrapText="1"/>
    </xf>
    <xf numFmtId="0" fontId="231" fillId="0" borderId="0" xfId="49" applyFont="1" applyAlignment="1">
      <alignment horizontal="center" vertical="center"/>
    </xf>
    <xf numFmtId="184" fontId="231" fillId="0" borderId="0" xfId="49" applyNumberFormat="1" applyFont="1" applyAlignment="1">
      <alignment horizontal="center" vertical="center"/>
    </xf>
    <xf numFmtId="15" fontId="231" fillId="0" borderId="0" xfId="49" applyNumberFormat="1" applyFont="1" applyAlignment="1">
      <alignment horizontal="center" vertical="center"/>
    </xf>
    <xf numFmtId="0" fontId="231" fillId="0" borderId="0" xfId="49" applyFont="1" applyAlignment="1">
      <alignment vertical="center"/>
    </xf>
    <xf numFmtId="0" fontId="231" fillId="0" borderId="0" xfId="49" applyFont="1" applyAlignment="1">
      <alignment horizontal="left" vertical="center"/>
    </xf>
    <xf numFmtId="0" fontId="232" fillId="0" borderId="0" xfId="48" applyFont="1" applyAlignment="1">
      <alignment horizontal="center" vertical="center"/>
    </xf>
    <xf numFmtId="0" fontId="233" fillId="0" borderId="0" xfId="49" applyFont="1"/>
    <xf numFmtId="0" fontId="234" fillId="0" borderId="0" xfId="49" applyFont="1" applyAlignment="1">
      <alignment horizontal="center" vertical="center"/>
    </xf>
    <xf numFmtId="3" fontId="233" fillId="0" borderId="0" xfId="49" applyNumberFormat="1" applyFont="1" applyAlignment="1">
      <alignment vertical="center"/>
    </xf>
    <xf numFmtId="0" fontId="234" fillId="0" borderId="0" xfId="49" applyFont="1"/>
    <xf numFmtId="0" fontId="234" fillId="0" borderId="0" xfId="3" applyFont="1" applyAlignment="1">
      <alignment horizontal="center" vertical="center"/>
    </xf>
    <xf numFmtId="0" fontId="145" fillId="0" borderId="0" xfId="3" applyFont="1" applyAlignment="1">
      <alignment horizontal="center"/>
    </xf>
    <xf numFmtId="0" fontId="143" fillId="36" borderId="18" xfId="3" applyFont="1" applyFill="1" applyBorder="1" applyAlignment="1">
      <alignment horizontal="center" vertical="center"/>
    </xf>
    <xf numFmtId="0" fontId="143" fillId="36" borderId="19" xfId="3" applyFont="1" applyFill="1" applyBorder="1" applyAlignment="1">
      <alignment horizontal="center" vertical="center"/>
    </xf>
    <xf numFmtId="0" fontId="143" fillId="37" borderId="38" xfId="3" applyFont="1" applyFill="1" applyBorder="1" applyAlignment="1">
      <alignment horizontal="center" vertical="center"/>
    </xf>
    <xf numFmtId="0" fontId="143" fillId="37" borderId="39" xfId="3" applyFont="1" applyFill="1" applyBorder="1" applyAlignment="1">
      <alignment horizontal="center" vertical="center"/>
    </xf>
    <xf numFmtId="0" fontId="143" fillId="37" borderId="41" xfId="3" applyFont="1" applyFill="1" applyBorder="1" applyAlignment="1">
      <alignment horizontal="center" vertical="center"/>
    </xf>
    <xf numFmtId="0" fontId="143" fillId="37" borderId="40" xfId="3" applyFont="1" applyFill="1" applyBorder="1" applyAlignment="1">
      <alignment horizontal="center" vertical="center"/>
    </xf>
    <xf numFmtId="0" fontId="98" fillId="70" borderId="24" xfId="8" applyFont="1" applyFill="1" applyBorder="1" applyAlignment="1">
      <alignment horizontal="center" vertical="center"/>
    </xf>
    <xf numFmtId="0" fontId="98" fillId="70" borderId="29" xfId="8" applyFont="1" applyFill="1" applyBorder="1" applyAlignment="1">
      <alignment horizontal="center" vertical="center"/>
    </xf>
    <xf numFmtId="0" fontId="98" fillId="70" borderId="42" xfId="8" applyFont="1" applyFill="1" applyBorder="1" applyAlignment="1">
      <alignment horizontal="center" vertical="center"/>
    </xf>
    <xf numFmtId="0" fontId="110" fillId="33" borderId="24" xfId="8" applyFont="1" applyFill="1" applyBorder="1" applyAlignment="1">
      <alignment horizontal="center" vertical="center"/>
    </xf>
    <xf numFmtId="0" fontId="110" fillId="33" borderId="29" xfId="8" applyFont="1" applyFill="1" applyBorder="1" applyAlignment="1">
      <alignment horizontal="center" vertical="center"/>
    </xf>
    <xf numFmtId="0" fontId="110" fillId="33" borderId="42" xfId="8" applyFont="1" applyFill="1" applyBorder="1" applyAlignment="1">
      <alignment horizontal="center" vertical="center"/>
    </xf>
    <xf numFmtId="0" fontId="90" fillId="28" borderId="51" xfId="8" applyFont="1" applyFill="1" applyBorder="1" applyAlignment="1">
      <alignment horizontal="center" vertical="center" wrapText="1"/>
    </xf>
    <xf numFmtId="0" fontId="90" fillId="28" borderId="13" xfId="8" applyFont="1" applyFill="1" applyBorder="1" applyAlignment="1">
      <alignment horizontal="center" vertical="center" wrapText="1"/>
    </xf>
    <xf numFmtId="0" fontId="98" fillId="32" borderId="21" xfId="8" applyFont="1" applyFill="1" applyBorder="1" applyAlignment="1">
      <alignment horizontal="left"/>
    </xf>
    <xf numFmtId="0" fontId="98" fillId="32" borderId="22" xfId="8" applyFont="1" applyFill="1" applyBorder="1" applyAlignment="1">
      <alignment horizontal="left"/>
    </xf>
    <xf numFmtId="0" fontId="98" fillId="32" borderId="23" xfId="8" applyFont="1" applyFill="1" applyBorder="1" applyAlignment="1">
      <alignment horizontal="left"/>
    </xf>
    <xf numFmtId="0" fontId="98" fillId="32" borderId="45" xfId="8" applyFont="1" applyFill="1" applyBorder="1" applyAlignment="1">
      <alignment horizontal="left"/>
    </xf>
    <xf numFmtId="0" fontId="98" fillId="32" borderId="46" xfId="8" applyFont="1" applyFill="1" applyBorder="1" applyAlignment="1">
      <alignment horizontal="left"/>
    </xf>
    <xf numFmtId="0" fontId="98" fillId="32" borderId="47" xfId="8" applyFont="1" applyFill="1" applyBorder="1" applyAlignment="1">
      <alignment horizontal="left"/>
    </xf>
    <xf numFmtId="0" fontId="98" fillId="32" borderId="45" xfId="9" applyFont="1" applyFill="1" applyBorder="1" applyAlignment="1">
      <alignment horizontal="center" vertical="center" wrapText="1"/>
    </xf>
    <xf numFmtId="0" fontId="98" fillId="32" borderId="46" xfId="9" applyFont="1" applyFill="1" applyBorder="1" applyAlignment="1">
      <alignment horizontal="center" vertical="center" wrapText="1"/>
    </xf>
    <xf numFmtId="0" fontId="98" fillId="32" borderId="47" xfId="9" applyFont="1" applyFill="1" applyBorder="1" applyAlignment="1">
      <alignment horizontal="center" vertical="center" wrapText="1"/>
    </xf>
    <xf numFmtId="0" fontId="90" fillId="38" borderId="48" xfId="8" applyFont="1" applyFill="1" applyBorder="1" applyAlignment="1">
      <alignment horizontal="center" vertical="center"/>
    </xf>
    <xf numFmtId="0" fontId="90" fillId="38" borderId="49" xfId="8" applyFont="1" applyFill="1" applyBorder="1" applyAlignment="1">
      <alignment horizontal="center" vertical="center"/>
    </xf>
    <xf numFmtId="0" fontId="90" fillId="38" borderId="50" xfId="8" applyFont="1" applyFill="1" applyBorder="1" applyAlignment="1">
      <alignment horizontal="center" vertical="center"/>
    </xf>
    <xf numFmtId="0" fontId="27" fillId="0" borderId="0" xfId="0" applyFont="1" applyAlignment="1">
      <alignment vertical="top" wrapText="1"/>
    </xf>
    <xf numFmtId="0" fontId="27" fillId="0" borderId="0" xfId="0" applyFont="1"/>
    <xf numFmtId="0" fontId="24" fillId="6" borderId="0" xfId="0" applyFont="1" applyFill="1" applyAlignment="1">
      <alignment horizontal="left" vertical="top" wrapText="1"/>
    </xf>
    <xf numFmtId="0" fontId="16" fillId="0" borderId="0" xfId="0" applyFont="1"/>
    <xf numFmtId="0" fontId="16" fillId="0" borderId="0" xfId="0" applyFont="1" applyAlignment="1">
      <alignment vertical="top" wrapText="1"/>
    </xf>
    <xf numFmtId="0" fontId="15" fillId="0" borderId="0" xfId="0" applyFont="1"/>
    <xf numFmtId="0" fontId="28" fillId="0" borderId="12" xfId="0" applyFont="1" applyBorder="1" applyAlignment="1">
      <alignment horizontal="left" vertical="top" wrapText="1"/>
    </xf>
    <xf numFmtId="168" fontId="39" fillId="9" borderId="28" xfId="0" applyNumberFormat="1" applyFont="1" applyFill="1" applyBorder="1" applyAlignment="1">
      <alignment horizontal="center"/>
    </xf>
    <xf numFmtId="0" fontId="31" fillId="9" borderId="28" xfId="0" applyFont="1" applyFill="1" applyBorder="1" applyAlignment="1">
      <alignment horizontal="center" vertical="top" wrapText="1"/>
    </xf>
    <xf numFmtId="0" fontId="222" fillId="73" borderId="0" xfId="0" applyFont="1" applyFill="1" applyAlignment="1">
      <alignment vertical="center" wrapText="1"/>
    </xf>
    <xf numFmtId="0" fontId="0" fillId="0" borderId="0" xfId="0" applyAlignment="1">
      <alignment vertical="center" wrapText="1"/>
    </xf>
    <xf numFmtId="182" fontId="139" fillId="0" borderId="29" xfId="1" applyNumberFormat="1" applyFont="1" applyBorder="1" applyAlignment="1">
      <alignment horizontal="left" vertical="top"/>
    </xf>
    <xf numFmtId="0" fontId="0" fillId="0" borderId="29" xfId="0" applyBorder="1" applyAlignment="1">
      <alignment horizontal="left" vertical="top"/>
    </xf>
    <xf numFmtId="0" fontId="171" fillId="0" borderId="0" xfId="46" applyFont="1" applyAlignment="1">
      <alignment horizontal="center" wrapText="1"/>
    </xf>
    <xf numFmtId="0" fontId="171" fillId="0" borderId="14" xfId="46" applyFont="1" applyBorder="1" applyAlignment="1">
      <alignment horizontal="center" wrapText="1"/>
    </xf>
    <xf numFmtId="0" fontId="116" fillId="65" borderId="28" xfId="24" applyFont="1" applyFill="1" applyBorder="1" applyAlignment="1">
      <alignment horizontal="center" vertical="center"/>
    </xf>
    <xf numFmtId="0" fontId="116" fillId="65" borderId="32" xfId="24" applyFont="1" applyFill="1" applyBorder="1" applyAlignment="1">
      <alignment horizontal="center" vertical="center"/>
    </xf>
    <xf numFmtId="0" fontId="116" fillId="65" borderId="29" xfId="24" applyFont="1" applyFill="1" applyBorder="1" applyAlignment="1">
      <alignment horizontal="center" vertical="center"/>
    </xf>
    <xf numFmtId="0" fontId="116" fillId="65" borderId="33" xfId="24" applyFont="1" applyFill="1" applyBorder="1" applyAlignment="1">
      <alignment horizontal="center" vertical="center"/>
    </xf>
    <xf numFmtId="0" fontId="113" fillId="23" borderId="30" xfId="43" applyFont="1" applyFill="1" applyBorder="1" applyAlignment="1">
      <alignment horizontal="center" vertical="center" wrapText="1"/>
    </xf>
    <xf numFmtId="0" fontId="113" fillId="23" borderId="4" xfId="43" applyFont="1" applyFill="1" applyBorder="1" applyAlignment="1">
      <alignment horizontal="center" vertical="center" wrapText="1"/>
    </xf>
    <xf numFmtId="0" fontId="113" fillId="19" borderId="30" xfId="43" applyFont="1" applyFill="1" applyBorder="1" applyAlignment="1">
      <alignment horizontal="center" vertical="center" wrapText="1"/>
    </xf>
    <xf numFmtId="0" fontId="113" fillId="19" borderId="10" xfId="43" applyFont="1" applyFill="1" applyBorder="1" applyAlignment="1">
      <alignment horizontal="center" vertical="center" wrapText="1"/>
    </xf>
    <xf numFmtId="0" fontId="90" fillId="0" borderId="0" xfId="5" applyFont="1" applyAlignment="1">
      <alignment vertical="top" wrapText="1"/>
    </xf>
    <xf numFmtId="0" fontId="89" fillId="0" borderId="0" xfId="3" applyAlignment="1">
      <alignment vertical="top"/>
    </xf>
    <xf numFmtId="0" fontId="113" fillId="54" borderId="32" xfId="3" applyFont="1" applyFill="1" applyBorder="1" applyAlignment="1">
      <alignment horizontal="center" vertical="center"/>
    </xf>
    <xf numFmtId="0" fontId="113" fillId="54" borderId="29" xfId="3" applyFont="1" applyFill="1" applyBorder="1" applyAlignment="1">
      <alignment horizontal="center" vertical="center"/>
    </xf>
    <xf numFmtId="0" fontId="113" fillId="54" borderId="33" xfId="3" applyFont="1" applyFill="1" applyBorder="1" applyAlignment="1">
      <alignment horizontal="center" vertical="center"/>
    </xf>
    <xf numFmtId="0" fontId="113" fillId="54" borderId="30" xfId="43" applyFont="1" applyFill="1" applyBorder="1" applyAlignment="1">
      <alignment horizontal="center" vertical="center" wrapText="1"/>
    </xf>
    <xf numFmtId="0" fontId="113" fillId="54" borderId="10" xfId="43" applyFont="1" applyFill="1" applyBorder="1" applyAlignment="1">
      <alignment horizontal="center" vertical="center" wrapText="1"/>
    </xf>
    <xf numFmtId="0" fontId="113" fillId="19" borderId="4" xfId="43" applyFont="1" applyFill="1" applyBorder="1" applyAlignment="1">
      <alignment horizontal="center" vertical="center" wrapText="1"/>
    </xf>
    <xf numFmtId="0" fontId="132" fillId="3" borderId="32" xfId="0" applyFont="1" applyFill="1" applyBorder="1" applyAlignment="1">
      <alignment horizontal="left" vertical="top" wrapText="1"/>
    </xf>
    <xf numFmtId="0" fontId="132" fillId="3" borderId="33" xfId="0" applyFont="1" applyFill="1" applyBorder="1" applyAlignment="1">
      <alignment horizontal="left" vertical="top" wrapText="1"/>
    </xf>
    <xf numFmtId="0" fontId="153" fillId="3" borderId="32" xfId="0" applyFont="1" applyFill="1" applyBorder="1" applyAlignment="1">
      <alignment horizontal="left" vertical="center" wrapText="1"/>
    </xf>
    <xf numFmtId="0" fontId="132" fillId="3" borderId="33" xfId="0" applyFont="1" applyFill="1" applyBorder="1" applyAlignment="1">
      <alignment horizontal="left" vertical="center" wrapText="1"/>
    </xf>
    <xf numFmtId="0" fontId="41" fillId="6" borderId="28" xfId="0" applyFont="1" applyFill="1" applyBorder="1"/>
    <xf numFmtId="0" fontId="0" fillId="0" borderId="28" xfId="0" applyBorder="1" applyAlignment="1">
      <alignment horizontal="left" vertical="top"/>
    </xf>
    <xf numFmtId="0" fontId="0" fillId="0" borderId="28" xfId="0" applyBorder="1" applyAlignment="1">
      <alignment horizontal="center"/>
    </xf>
    <xf numFmtId="0" fontId="70" fillId="15" borderId="28" xfId="0" applyFont="1" applyFill="1" applyBorder="1" applyAlignment="1">
      <alignment horizontal="left" vertical="center" wrapText="1"/>
    </xf>
    <xf numFmtId="0" fontId="70" fillId="15" borderId="28" xfId="0" applyFont="1" applyFill="1" applyBorder="1" applyAlignment="1">
      <alignment horizontal="center" vertical="center" wrapText="1"/>
    </xf>
    <xf numFmtId="0" fontId="20" fillId="0" borderId="28" xfId="0" applyFont="1" applyBorder="1" applyAlignment="1">
      <alignment horizontal="center"/>
    </xf>
  </cellXfs>
  <cellStyles count="50">
    <cellStyle name="%" xfId="8" xr:uid="{F036C6B2-8309-46DC-B2A5-90A943DFA1E3}"/>
    <cellStyle name="40% - Accent3 2" xfId="7" xr:uid="{63BEE694-0DA2-4A25-A885-A1FB5479149B}"/>
    <cellStyle name="Bad 2" xfId="14" xr:uid="{A7397915-D0C9-4E10-B5A3-6D3B313377EF}"/>
    <cellStyle name="Excel Built-in Normal" xfId="46" xr:uid="{9DF737C4-D017-48CE-9F43-D0BECA41CCC2}"/>
    <cellStyle name="Excel Built-in Normal 1" xfId="47" xr:uid="{CDD9C893-CC27-4F5D-9A00-C9F490AA4FF4}"/>
    <cellStyle name="Excel Built-in Normal 3" xfId="25" xr:uid="{C98B1A78-B0F0-45E5-A8CD-3E9DC0A2C865}"/>
    <cellStyle name="Explanatory Text" xfId="2" builtinId="53" customBuiltin="1"/>
    <cellStyle name="Explanatory Text 2" xfId="17" xr:uid="{43BADFB4-B838-4541-A47A-775A08FEEEC6}"/>
    <cellStyle name="Explanatory Text 3" xfId="23" xr:uid="{FBA6BECC-59A1-44E6-9034-BFF4DF13ED6C}"/>
    <cellStyle name="Explanatory Text 4" xfId="35" xr:uid="{22D8FE9A-D483-4F08-A7F8-F4B269028CB5}"/>
    <cellStyle name="Hyperlink" xfId="1" builtinId="8"/>
    <cellStyle name="Hyperlink 2" xfId="4" xr:uid="{509092BA-36DE-4F82-877C-CCA3D0CA8463}"/>
    <cellStyle name="Hyperlink 3" xfId="12" xr:uid="{E49E33AB-A8B8-4731-86B6-37E588E21E91}"/>
    <cellStyle name="Input 65" xfId="6" xr:uid="{91C271B1-5409-4C79-887B-B300A861F1FA}"/>
    <cellStyle name="Normal" xfId="0" builtinId="0"/>
    <cellStyle name="Normal 11 3" xfId="41" xr:uid="{F3F058CD-A6A2-4751-A8F6-FB60F6246F97}"/>
    <cellStyle name="Normal 149" xfId="18" xr:uid="{88A542FA-33A8-4FF0-949D-79C9D75BD4D5}"/>
    <cellStyle name="Normal 149 2" xfId="27" xr:uid="{DC38426C-AFC3-407E-ADAD-74E00EE779BC}"/>
    <cellStyle name="Normal 149 3" xfId="28" xr:uid="{6B834850-4A17-472C-B9D4-1229D5FE157B}"/>
    <cellStyle name="Normal 152" xfId="15" xr:uid="{AEB50729-CB5C-4D96-B28B-F149E8949E55}"/>
    <cellStyle name="Normal 154" xfId="16" xr:uid="{CF850EB4-1BFE-4502-A67C-B305DE97E886}"/>
    <cellStyle name="Normal 18 6 2 2 2 3" xfId="13" xr:uid="{CDDC18AF-0C16-49C6-A1BA-3BB2C3ADD91B}"/>
    <cellStyle name="Normal 18 6 2 2 2 3 2" xfId="40" xr:uid="{907EC7DB-8B67-4984-A97E-02C6EA137D43}"/>
    <cellStyle name="Normal 18 6 2 2 2 3 3" xfId="43" xr:uid="{7DCA590B-12BD-430D-BF44-B8CEB7A76973}"/>
    <cellStyle name="Normal 2" xfId="3" xr:uid="{FD85CE1E-05F0-4756-A20A-29083ACC135F}"/>
    <cellStyle name="Normal 2 23" xfId="5" xr:uid="{C4C83C8B-C9E6-4D63-BDE2-4B5B9E59B614}"/>
    <cellStyle name="Normal 2 3" xfId="48" xr:uid="{4A7BCF4F-0888-4B65-B0E3-025C2F451CE7}"/>
    <cellStyle name="Normal 23 7" xfId="19" xr:uid="{ABF65D2E-C833-41FC-A6F7-56425615928B}"/>
    <cellStyle name="Normal 23 7 2" xfId="32" xr:uid="{BBDFBE0A-474C-4FD0-8BC1-31C54C632E6F}"/>
    <cellStyle name="Normal 23 7 2 2" xfId="38" xr:uid="{40855F0E-6AF7-474B-8F33-B4E31E994B5D}"/>
    <cellStyle name="Normal 23 7 2 3 2" xfId="34" xr:uid="{5A48DB74-8982-4A44-8FCD-EA121ABBB8A3}"/>
    <cellStyle name="Normal 23 7 2 3 2 2" xfId="42" xr:uid="{81F38337-5329-49B1-AB37-1FE8E6E66C6C}"/>
    <cellStyle name="Normal 23 7 2 7" xfId="33" xr:uid="{73D4B922-1699-4683-BE45-74B3B7680097}"/>
    <cellStyle name="Normal 3" xfId="26" xr:uid="{6D30537A-9CA0-41D7-BC37-47A93ED64B0F}"/>
    <cellStyle name="Normal 3 2" xfId="39" xr:uid="{0A4A339C-73B0-4BC8-B8EB-ED770CB4E6FA}"/>
    <cellStyle name="Normal 4" xfId="29" xr:uid="{062694DA-3E95-41FE-A0CF-3019328920C5}"/>
    <cellStyle name="Normal 5" xfId="36" xr:uid="{FF80C2DE-5912-415A-AC04-0B2A219E2209}"/>
    <cellStyle name="Normal 59" xfId="30" xr:uid="{05E15C5D-2D09-4003-867F-FC359C5F0704}"/>
    <cellStyle name="Normal 59 8" xfId="11" xr:uid="{0BA02540-0080-4DB3-9FE3-6F7AF474B517}"/>
    <cellStyle name="Normal 6" xfId="37" xr:uid="{3878B228-EF99-45C5-926C-450378A19A55}"/>
    <cellStyle name="Normal 63 4" xfId="21" xr:uid="{8196C50A-2BBE-4F17-88B8-19B2F82848C0}"/>
    <cellStyle name="Normal 7" xfId="49" xr:uid="{CB07BCB9-B8A1-4874-9941-6C2A3F543263}"/>
    <cellStyle name="Normal 88" xfId="22" xr:uid="{9613DD17-C43B-4B9B-A323-7EA78EBB6154}"/>
    <cellStyle name="Normal_Contacts" xfId="24" xr:uid="{DC864293-C89E-4596-AB95-152A4D4DA788}"/>
    <cellStyle name="Normal_Relo Move Plan 02-26A" xfId="31" xr:uid="{69E5E6F7-1312-4ADE-84CE-825D66DB6584}"/>
    <cellStyle name="Normal_SCON Server_inventory_data collection worksheet" xfId="10" xr:uid="{BA1F3A20-BF24-4D78-B21E-3BA82555E389}"/>
    <cellStyle name="Normal_WPInitialQuestionnaire.ppt" xfId="45" xr:uid="{567716D2-769D-4AE0-AD7C-254A58E8629C}"/>
    <cellStyle name="Percent 2" xfId="20" xr:uid="{248A8F16-ED52-4081-885E-E66A7BA65D94}"/>
    <cellStyle name="Percent 3" xfId="44" xr:uid="{3095E710-2201-4FFB-AEEB-8CF5205C598B}"/>
    <cellStyle name="Style 1" xfId="9" xr:uid="{57E01715-7AEF-478D-A2CB-4BA2A17899F8}"/>
  </cellStyles>
  <dxfs count="36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ill>
        <patternFill>
          <bgColor rgb="FFE6E0EC"/>
        </patternFill>
      </fill>
    </dxf>
    <dxf>
      <fill>
        <patternFill>
          <bgColor rgb="FFE6E0EC"/>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ont>
        <color theme="0"/>
      </font>
      <fill>
        <patternFill patternType="gray0625">
          <bgColor theme="0" tint="-4.9989318521683403E-2"/>
        </patternFill>
      </fill>
    </dxf>
    <dxf>
      <font>
        <color theme="0"/>
      </font>
      <fill>
        <patternFill>
          <bgColor theme="0" tint="-0.34998626667073579"/>
        </patternFill>
      </fill>
    </dxf>
    <dxf>
      <fill>
        <patternFill>
          <bgColor rgb="FF00B0F0"/>
        </patternFill>
      </fill>
    </dxf>
    <dxf>
      <fill>
        <patternFill>
          <bgColor rgb="FFFFFF00"/>
        </patternFill>
      </fill>
    </dxf>
    <dxf>
      <font>
        <color theme="0"/>
      </font>
      <fill>
        <patternFill>
          <bgColor rgb="FFFF0000"/>
        </patternFill>
      </fill>
    </dxf>
    <dxf>
      <fill>
        <patternFill>
          <bgColor rgb="FF00FF00"/>
        </patternFill>
      </fill>
    </dxf>
    <dxf>
      <font>
        <color theme="0"/>
      </font>
      <fill>
        <patternFill>
          <bgColor theme="1" tint="0.34998626667073579"/>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ill>
        <patternFill>
          <bgColor rgb="FFFFFF00"/>
        </patternFill>
      </fill>
    </dxf>
    <dxf>
      <fill>
        <patternFill>
          <bgColor theme="0" tint="-0.24994659260841701"/>
        </patternFill>
      </fill>
    </dxf>
    <dxf>
      <font>
        <color theme="0"/>
      </font>
      <fill>
        <patternFill>
          <bgColor rgb="FF0070C0"/>
        </patternFill>
      </fill>
    </dxf>
    <dxf>
      <fill>
        <patternFill>
          <bgColor rgb="FF33CC33"/>
        </patternFill>
      </fill>
    </dxf>
    <dxf>
      <font>
        <b val="0"/>
        <i val="0"/>
        <strike val="0"/>
        <condense val="0"/>
        <extend val="0"/>
        <outline val="0"/>
        <shadow val="0"/>
        <u val="none"/>
        <vertAlign val="baseline"/>
        <sz val="10"/>
        <color auto="1"/>
        <name val="Calibri"/>
        <family val="2"/>
        <scheme val="none"/>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auto="1"/>
        <name val="Calibri"/>
        <family val="2"/>
      </font>
      <fill>
        <patternFill patternType="none">
          <fgColor indexed="64"/>
          <bgColor auto="1"/>
        </patternFill>
      </fill>
    </dxf>
    <dxf>
      <font>
        <strike val="0"/>
        <outline val="0"/>
        <shadow val="0"/>
        <u val="none"/>
        <vertAlign val="baseline"/>
        <sz val="10"/>
        <color theme="1"/>
        <name val="Calibri"/>
        <family val="2"/>
        <scheme val="minor"/>
      </font>
      <numFmt numFmtId="3" formatCode="#,##0"/>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bottom style="thick">
          <color rgb="FFA2B8E1"/>
        </bottom>
      </border>
    </dxf>
    <dxf>
      <font>
        <strike val="0"/>
        <outline val="0"/>
        <shadow val="0"/>
        <u val="none"/>
        <vertAlign val="baseline"/>
        <sz val="10"/>
        <color theme="1"/>
        <name val="Calibri"/>
        <family val="2"/>
        <scheme val="minor"/>
      </font>
      <fill>
        <patternFill patternType="none">
          <fgColor indexed="64"/>
          <bgColor auto="1"/>
        </patternFill>
      </fill>
    </dxf>
    <dxf>
      <font>
        <b val="0"/>
        <i val="0"/>
        <strike val="0"/>
        <condense val="0"/>
        <extend val="0"/>
        <outline val="0"/>
        <shadow val="0"/>
        <u val="none"/>
        <vertAlign val="baseline"/>
        <sz val="9"/>
        <color auto="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20" formatCode="d\-mmm\-yy"/>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84" formatCode="[$-409]ddd\,\ mmm\ dd\,\ yy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fill>
        <patternFill patternType="none">
          <fgColor indexed="64"/>
          <bgColor auto="1"/>
        </patternFill>
      </fill>
    </dxf>
    <dxf>
      <font>
        <b/>
        <i val="0"/>
        <strike val="0"/>
        <condense val="0"/>
        <extend val="0"/>
        <outline val="0"/>
        <shadow val="0"/>
        <u val="none"/>
        <vertAlign val="baseline"/>
        <sz val="11"/>
        <color auto="1"/>
        <name val="Calibri"/>
        <family val="2"/>
        <scheme val="none"/>
      </font>
      <numFmt numFmtId="19" formatCode="m/d/yyyy"/>
      <fill>
        <patternFill patternType="solid">
          <fgColor indexed="64"/>
          <bgColor theme="5"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5700"/>
      </font>
      <fill>
        <patternFill>
          <bgColor rgb="FFFFEB9C"/>
        </patternFill>
      </fill>
    </dxf>
    <dxf>
      <font>
        <color rgb="FFFF0000"/>
      </font>
    </dxf>
    <dxf>
      <font>
        <color rgb="FFC65911"/>
      </font>
    </dxf>
    <dxf>
      <font>
        <color rgb="FF006699"/>
      </font>
    </dxf>
    <dxf>
      <font>
        <color rgb="FF9933FF"/>
      </font>
    </dxf>
    <dxf>
      <font>
        <color rgb="FFFFFF00"/>
      </font>
      <fill>
        <patternFill>
          <bgColor rgb="FFC00000"/>
        </patternFill>
      </fill>
    </dxf>
    <dxf>
      <font>
        <b val="0"/>
        <i val="0"/>
        <color rgb="FFA50021"/>
      </font>
      <fill>
        <patternFill>
          <bgColor theme="0" tint="-4.9989318521683403E-2"/>
        </patternFill>
      </fill>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color rgb="FFFF0000"/>
      </font>
    </dxf>
    <dxf>
      <font>
        <color rgb="FFC65911"/>
      </font>
    </dxf>
    <dxf>
      <font>
        <color rgb="FF006699"/>
      </font>
    </dxf>
    <dxf>
      <font>
        <color rgb="FF9933FF"/>
      </font>
    </dxf>
    <dxf>
      <font>
        <color rgb="FFA50021"/>
      </font>
      <fill>
        <patternFill>
          <bgColor rgb="FFFFC7CE"/>
        </patternFill>
      </fill>
    </dxf>
    <dxf>
      <font>
        <b val="0"/>
        <i val="0"/>
        <color rgb="FF7030A0"/>
      </font>
    </dxf>
    <dxf>
      <font>
        <b val="0"/>
        <i val="0"/>
        <color rgb="FF7030A0"/>
      </font>
    </dxf>
    <dxf>
      <font>
        <b val="0"/>
        <i val="0"/>
        <color rgb="FFC00000"/>
      </font>
    </dxf>
    <dxf>
      <font>
        <b/>
        <i val="0"/>
        <color theme="9" tint="-0.499984740745262"/>
      </font>
    </dxf>
    <dxf>
      <font>
        <b val="0"/>
        <i val="0"/>
        <color theme="9" tint="-0.499984740745262"/>
      </font>
    </dxf>
    <dxf>
      <font>
        <b val="0"/>
        <i val="0"/>
        <color theme="9" tint="-0.24994659260841701"/>
      </font>
    </dxf>
    <dxf>
      <font>
        <color rgb="FF632523"/>
      </font>
    </dxf>
    <dxf>
      <font>
        <color rgb="FF215967"/>
      </font>
    </dxf>
    <dxf>
      <font>
        <color rgb="FF974706"/>
      </font>
    </dxf>
    <dxf>
      <font>
        <color rgb="FF4F6228"/>
      </font>
    </dxf>
    <dxf>
      <font>
        <color theme="0" tint="-0.34998626667073579"/>
      </font>
      <fill>
        <patternFill>
          <bgColor theme="0" tint="-0.34998626667073579"/>
        </patternFill>
      </fill>
    </dxf>
    <dxf>
      <font>
        <color auto="1"/>
      </font>
      <fill>
        <patternFill>
          <bgColor theme="1"/>
        </patternFill>
      </fill>
    </dxf>
    <dxf>
      <font>
        <color rgb="FFFF0000"/>
      </font>
      <fill>
        <patternFill>
          <bgColor rgb="FFFF0000"/>
        </patternFill>
      </fill>
    </dxf>
    <dxf>
      <font>
        <color rgb="FF00B0F0"/>
      </font>
      <fill>
        <patternFill>
          <bgColor rgb="FF00B0F0"/>
        </patternFill>
      </fill>
    </dxf>
    <dxf>
      <font>
        <color rgb="FF00FF00"/>
      </font>
      <fill>
        <patternFill>
          <bgColor rgb="FF00FF00"/>
        </patternFill>
      </fill>
    </dxf>
    <dxf>
      <font>
        <color rgb="FFFFFF00"/>
      </font>
      <fill>
        <patternFill>
          <bgColor rgb="FFFFFF00"/>
        </patternFill>
      </fill>
    </dxf>
    <dxf>
      <font>
        <color theme="0" tint="-0.34998626667073579"/>
      </font>
      <fill>
        <patternFill>
          <bgColor theme="0" tint="-0.34998626667073579"/>
        </patternFill>
      </fill>
    </dxf>
    <dxf>
      <font>
        <color auto="1"/>
      </font>
      <fill>
        <patternFill>
          <bgColor theme="1"/>
        </patternFill>
      </fill>
    </dxf>
    <dxf>
      <font>
        <color rgb="FFFF0000"/>
      </font>
      <fill>
        <patternFill>
          <bgColor rgb="FFFF0000"/>
        </patternFill>
      </fill>
    </dxf>
    <dxf>
      <font>
        <color rgb="FF00B0F0"/>
      </font>
      <fill>
        <patternFill>
          <bgColor rgb="FF00B0F0"/>
        </patternFill>
      </fill>
    </dxf>
    <dxf>
      <font>
        <color rgb="FF00FF00"/>
      </font>
      <fill>
        <patternFill>
          <bgColor rgb="FF00FF00"/>
        </patternFill>
      </fill>
    </dxf>
    <dxf>
      <font>
        <color rgb="FFFFFF00"/>
      </font>
      <fill>
        <patternFill>
          <bgColor rgb="FFFFFF00"/>
        </patternFill>
      </fill>
    </dxf>
    <dxf>
      <font>
        <color theme="0" tint="-0.34998626667073579"/>
      </font>
      <fill>
        <patternFill>
          <bgColor theme="0" tint="-0.34998626667073579"/>
        </patternFill>
      </fill>
    </dxf>
    <dxf>
      <font>
        <color auto="1"/>
      </font>
      <fill>
        <patternFill>
          <bgColor theme="1"/>
        </patternFill>
      </fill>
    </dxf>
    <dxf>
      <font>
        <color rgb="FFFF0000"/>
      </font>
      <fill>
        <patternFill>
          <bgColor rgb="FFFF0000"/>
        </patternFill>
      </fill>
    </dxf>
    <dxf>
      <font>
        <color rgb="FF00B0F0"/>
      </font>
      <fill>
        <patternFill>
          <bgColor rgb="FF00B0F0"/>
        </patternFill>
      </fill>
    </dxf>
    <dxf>
      <font>
        <color rgb="FF00FF00"/>
      </font>
      <fill>
        <patternFill>
          <bgColor rgb="FF00FF00"/>
        </patternFill>
      </fill>
    </dxf>
    <dxf>
      <font>
        <color rgb="FFFFFF00"/>
      </font>
      <fill>
        <patternFill>
          <bgColor rgb="FFFFFF00"/>
        </patternFill>
      </fill>
    </dxf>
    <dxf>
      <font>
        <color theme="0" tint="-0.34998626667073579"/>
      </font>
      <fill>
        <patternFill>
          <bgColor theme="0" tint="-0.34998626667073579"/>
        </patternFill>
      </fill>
    </dxf>
    <dxf>
      <font>
        <color auto="1"/>
      </font>
      <fill>
        <patternFill>
          <bgColor theme="1"/>
        </patternFill>
      </fill>
    </dxf>
    <dxf>
      <font>
        <color rgb="FFFF0000"/>
      </font>
      <fill>
        <patternFill>
          <bgColor rgb="FFFF0000"/>
        </patternFill>
      </fill>
    </dxf>
    <dxf>
      <font>
        <color rgb="FF00B0F0"/>
      </font>
      <fill>
        <patternFill>
          <bgColor rgb="FF00B0F0"/>
        </patternFill>
      </fill>
    </dxf>
    <dxf>
      <font>
        <color rgb="FF00FF00"/>
      </font>
      <fill>
        <patternFill>
          <bgColor rgb="FF00FF00"/>
        </patternFill>
      </fill>
    </dxf>
    <dxf>
      <font>
        <color rgb="FFFFFF00"/>
      </font>
      <fill>
        <patternFill>
          <bgColor rgb="FFFFFF00"/>
        </patternFill>
      </fill>
    </dxf>
    <dxf>
      <font>
        <color theme="0" tint="-0.34998626667073579"/>
      </font>
      <fill>
        <patternFill>
          <bgColor theme="0" tint="-0.34998626667073579"/>
        </patternFill>
      </fill>
    </dxf>
    <dxf>
      <font>
        <color auto="1"/>
      </font>
      <fill>
        <patternFill>
          <bgColor theme="1"/>
        </patternFill>
      </fill>
    </dxf>
    <dxf>
      <font>
        <color rgb="FFFF0000"/>
      </font>
      <fill>
        <patternFill>
          <bgColor rgb="FFFF0000"/>
        </patternFill>
      </fill>
    </dxf>
    <dxf>
      <font>
        <color rgb="FF00B0F0"/>
      </font>
      <fill>
        <patternFill>
          <bgColor rgb="FF00B0F0"/>
        </patternFill>
      </fill>
    </dxf>
    <dxf>
      <font>
        <color rgb="FF00FF00"/>
      </font>
      <fill>
        <patternFill>
          <bgColor rgb="FF00FF00"/>
        </patternFill>
      </fill>
    </dxf>
    <dxf>
      <font>
        <color rgb="FFFFFF00"/>
      </font>
      <fill>
        <patternFill>
          <bgColor rgb="FFFFFF00"/>
        </patternFill>
      </fill>
    </dxf>
    <dxf>
      <font>
        <color theme="0" tint="-0.34998626667073579"/>
      </font>
      <fill>
        <patternFill>
          <bgColor theme="0" tint="-0.34998626667073579"/>
        </patternFill>
      </fill>
    </dxf>
    <dxf>
      <font>
        <color auto="1"/>
      </font>
      <fill>
        <patternFill>
          <bgColor theme="1"/>
        </patternFill>
      </fill>
    </dxf>
    <dxf>
      <font>
        <color rgb="FFFF0000"/>
      </font>
      <fill>
        <patternFill>
          <bgColor rgb="FFFF0000"/>
        </patternFill>
      </fill>
    </dxf>
    <dxf>
      <font>
        <color rgb="FF00B0F0"/>
      </font>
      <fill>
        <patternFill>
          <bgColor rgb="FF00B0F0"/>
        </patternFill>
      </fill>
    </dxf>
    <dxf>
      <font>
        <color rgb="FF00FF00"/>
      </font>
      <fill>
        <patternFill>
          <bgColor rgb="FF00FF00"/>
        </patternFill>
      </fill>
    </dxf>
    <dxf>
      <font>
        <color rgb="FFFFFF00"/>
      </font>
      <fill>
        <patternFill>
          <bgColor rgb="FFFFFF00"/>
        </patternFill>
      </fill>
    </dxf>
    <dxf>
      <font>
        <color theme="0" tint="-0.34998626667073579"/>
      </font>
      <fill>
        <patternFill>
          <bgColor theme="0" tint="-0.34998626667073579"/>
        </patternFill>
      </fill>
    </dxf>
    <dxf>
      <font>
        <color auto="1"/>
      </font>
      <fill>
        <patternFill>
          <bgColor theme="1"/>
        </patternFill>
      </fill>
    </dxf>
    <dxf>
      <font>
        <color rgb="FFFF0000"/>
      </font>
      <fill>
        <patternFill>
          <bgColor rgb="FFFF0000"/>
        </patternFill>
      </fill>
    </dxf>
    <dxf>
      <font>
        <color rgb="FF00B0F0"/>
      </font>
      <fill>
        <patternFill>
          <bgColor rgb="FF00B0F0"/>
        </patternFill>
      </fill>
    </dxf>
    <dxf>
      <font>
        <color rgb="FF00FF00"/>
      </font>
      <fill>
        <patternFill>
          <bgColor rgb="FF00FF00"/>
        </patternFill>
      </fill>
    </dxf>
    <dxf>
      <font>
        <color rgb="FFFFFF00"/>
      </font>
      <fill>
        <patternFill>
          <bgColor rgb="FFFFFF00"/>
        </patternFill>
      </fill>
    </dxf>
    <dxf>
      <font>
        <color theme="0" tint="-0.34998626667073579"/>
      </font>
      <fill>
        <patternFill>
          <bgColor theme="0" tint="-0.34998626667073579"/>
        </patternFill>
      </fill>
    </dxf>
    <dxf>
      <font>
        <color auto="1"/>
      </font>
      <fill>
        <patternFill>
          <bgColor theme="1"/>
        </patternFill>
      </fill>
    </dxf>
    <dxf>
      <font>
        <color rgb="FFFF0000"/>
      </font>
      <fill>
        <patternFill>
          <bgColor rgb="FFFF0000"/>
        </patternFill>
      </fill>
    </dxf>
    <dxf>
      <font>
        <color rgb="FF00B0F0"/>
      </font>
      <fill>
        <patternFill>
          <bgColor rgb="FF00B0F0"/>
        </patternFill>
      </fill>
    </dxf>
    <dxf>
      <font>
        <color rgb="FF00FF00"/>
      </font>
      <fill>
        <patternFill>
          <bgColor rgb="FF00FF00"/>
        </patternFill>
      </fill>
    </dxf>
    <dxf>
      <font>
        <color rgb="FFFFFF00"/>
      </font>
      <fill>
        <patternFill>
          <bgColor rgb="FFFFFF00"/>
        </patternFill>
      </fill>
    </dxf>
    <dxf>
      <font>
        <color theme="0" tint="-0.34998626667073579"/>
      </font>
      <fill>
        <patternFill>
          <bgColor theme="0" tint="-0.34998626667073579"/>
        </patternFill>
      </fill>
    </dxf>
    <dxf>
      <font>
        <color auto="1"/>
      </font>
      <fill>
        <patternFill>
          <bgColor theme="1"/>
        </patternFill>
      </fill>
    </dxf>
    <dxf>
      <font>
        <color rgb="FFFF0000"/>
      </font>
      <fill>
        <patternFill>
          <bgColor rgb="FFFF0000"/>
        </patternFill>
      </fill>
    </dxf>
    <dxf>
      <font>
        <color rgb="FF00B0F0"/>
      </font>
      <fill>
        <patternFill>
          <bgColor rgb="FF00B0F0"/>
        </patternFill>
      </fill>
    </dxf>
    <dxf>
      <font>
        <color rgb="FF00FF00"/>
      </font>
      <fill>
        <patternFill>
          <bgColor rgb="FF00FF00"/>
        </patternFill>
      </fill>
    </dxf>
    <dxf>
      <font>
        <color rgb="FFFFFF00"/>
      </font>
      <fill>
        <patternFill>
          <bgColor rgb="FFFFFF00"/>
        </patternFill>
      </fill>
    </dxf>
    <dxf>
      <font>
        <color theme="0" tint="-0.34998626667073579"/>
      </font>
      <fill>
        <patternFill>
          <bgColor theme="0" tint="-0.34998626667073579"/>
        </patternFill>
      </fill>
    </dxf>
    <dxf>
      <font>
        <color auto="1"/>
      </font>
      <fill>
        <patternFill>
          <bgColor theme="1"/>
        </patternFill>
      </fill>
    </dxf>
    <dxf>
      <font>
        <color rgb="FFFF0000"/>
      </font>
      <fill>
        <patternFill>
          <bgColor rgb="FFFF0000"/>
        </patternFill>
      </fill>
    </dxf>
    <dxf>
      <font>
        <color rgb="FF00B0F0"/>
      </font>
      <fill>
        <patternFill>
          <bgColor rgb="FF00B0F0"/>
        </patternFill>
      </fill>
    </dxf>
    <dxf>
      <font>
        <color rgb="FF00FF00"/>
      </font>
      <fill>
        <patternFill>
          <bgColor rgb="FF00FF00"/>
        </patternFill>
      </fill>
    </dxf>
    <dxf>
      <font>
        <color rgb="FFFFFF00"/>
      </font>
      <fill>
        <patternFill>
          <bgColor rgb="FFFFFF00"/>
        </patternFill>
      </fill>
    </dxf>
    <dxf>
      <font>
        <color theme="0" tint="-0.34998626667073579"/>
      </font>
      <fill>
        <patternFill>
          <bgColor theme="0" tint="-0.34998626667073579"/>
        </patternFill>
      </fill>
    </dxf>
    <dxf>
      <font>
        <color auto="1"/>
      </font>
      <fill>
        <patternFill>
          <bgColor theme="1"/>
        </patternFill>
      </fill>
    </dxf>
    <dxf>
      <font>
        <color rgb="FFFF0000"/>
      </font>
      <fill>
        <patternFill>
          <bgColor rgb="FFFF0000"/>
        </patternFill>
      </fill>
    </dxf>
    <dxf>
      <font>
        <color rgb="FF00B0F0"/>
      </font>
      <fill>
        <patternFill>
          <bgColor rgb="FF00B0F0"/>
        </patternFill>
      </fill>
    </dxf>
    <dxf>
      <font>
        <color rgb="FF00FF00"/>
      </font>
      <fill>
        <patternFill>
          <bgColor rgb="FF00FF00"/>
        </patternFill>
      </fill>
    </dxf>
    <dxf>
      <font>
        <color rgb="FFFFFF00"/>
      </font>
      <fill>
        <patternFill>
          <bgColor rgb="FFFFFF00"/>
        </patternFill>
      </fill>
    </dxf>
    <dxf>
      <font>
        <color theme="0" tint="-0.34998626667073579"/>
      </font>
      <fill>
        <patternFill>
          <bgColor theme="0" tint="-0.34998626667073579"/>
        </patternFill>
      </fill>
    </dxf>
    <dxf>
      <font>
        <color auto="1"/>
      </font>
      <fill>
        <patternFill>
          <bgColor theme="1"/>
        </patternFill>
      </fill>
    </dxf>
    <dxf>
      <font>
        <color rgb="FFFF0000"/>
      </font>
      <fill>
        <patternFill>
          <bgColor rgb="FFFF0000"/>
        </patternFill>
      </fill>
    </dxf>
    <dxf>
      <font>
        <color rgb="FF00B0F0"/>
      </font>
      <fill>
        <patternFill>
          <bgColor rgb="FF00B0F0"/>
        </patternFill>
      </fill>
    </dxf>
    <dxf>
      <font>
        <color rgb="FF00FF00"/>
      </font>
      <fill>
        <patternFill>
          <bgColor rgb="FF00FF00"/>
        </patternFill>
      </fill>
    </dxf>
    <dxf>
      <font>
        <color rgb="FFFFFF00"/>
      </font>
      <fill>
        <patternFill>
          <bgColor rgb="FFFFFF00"/>
        </patternFill>
      </fill>
    </dxf>
    <dxf>
      <font>
        <color theme="0" tint="-0.34998626667073579"/>
      </font>
      <fill>
        <patternFill>
          <bgColor theme="0" tint="-0.34998626667073579"/>
        </patternFill>
      </fill>
    </dxf>
    <dxf>
      <font>
        <color auto="1"/>
      </font>
      <fill>
        <patternFill>
          <bgColor theme="1"/>
        </patternFill>
      </fill>
    </dxf>
    <dxf>
      <font>
        <color rgb="FFFF0000"/>
      </font>
      <fill>
        <patternFill>
          <bgColor rgb="FFFF0000"/>
        </patternFill>
      </fill>
    </dxf>
    <dxf>
      <font>
        <color rgb="FF00B0F0"/>
      </font>
      <fill>
        <patternFill>
          <bgColor rgb="FF00B0F0"/>
        </patternFill>
      </fill>
    </dxf>
    <dxf>
      <font>
        <color rgb="FF00FF00"/>
      </font>
      <fill>
        <patternFill>
          <bgColor rgb="FF00FF00"/>
        </patternFill>
      </fill>
    </dxf>
    <dxf>
      <font>
        <color rgb="FFFFFF00"/>
      </font>
      <fill>
        <patternFill>
          <bgColor rgb="FFFFFF00"/>
        </patternFill>
      </fill>
    </dxf>
    <dxf>
      <font>
        <color auto="1"/>
      </font>
      <fill>
        <patternFill>
          <bgColor theme="1"/>
        </patternFill>
      </fill>
    </dxf>
    <dxf>
      <font>
        <color rgb="FFFF0000"/>
      </font>
      <fill>
        <patternFill>
          <bgColor rgb="FFFF0000"/>
        </patternFill>
      </fill>
    </dxf>
    <dxf>
      <font>
        <color rgb="FF00FF00"/>
      </font>
      <fill>
        <patternFill>
          <bgColor rgb="FF00FF00"/>
        </patternFill>
      </fill>
    </dxf>
    <dxf>
      <font>
        <color rgb="FF0070C0"/>
      </font>
      <fill>
        <patternFill>
          <bgColor rgb="FF0070C0"/>
        </patternFill>
      </fill>
    </dxf>
  </dxfs>
  <tableStyles count="0" defaultTableStyle="TableStyleMedium2" defaultPivotStyle="PivotStyleLight16"/>
  <colors>
    <indexedColors>
      <rgbColor rgb="FF000000"/>
      <rgbColor rgb="FFFFFFFF"/>
      <rgbColor rgb="FFFF0000"/>
      <rgbColor rgb="FF00FF00"/>
      <rgbColor rgb="FF0000FF"/>
      <rgbColor rgb="FFFFFF00"/>
      <rgbColor rgb="FFB4C7E7"/>
      <rgbColor rgb="FF00FFFF"/>
      <rgbColor rgb="FF800000"/>
      <rgbColor rgb="FF008000"/>
      <rgbColor rgb="FF000080"/>
      <rgbColor rgb="FF007800"/>
      <rgbColor rgb="FF800080"/>
      <rgbColor rgb="FF0070C0"/>
      <rgbColor rgb="FFBFBFBF"/>
      <rgbColor rgb="FF777474"/>
      <rgbColor rgb="FFA5A5A5"/>
      <rgbColor rgb="FF3F3F3F"/>
      <rgbColor rgb="FFF2F2F2"/>
      <rgbColor rgb="FFDEEBF7"/>
      <rgbColor rgb="FF403255"/>
      <rgbColor rgb="FFCC66FF"/>
      <rgbColor rgb="FF0066CC"/>
      <rgbColor rgb="FFBDD7EE"/>
      <rgbColor rgb="FF0563C1"/>
      <rgbColor rgb="FFD0CECE"/>
      <rgbColor rgb="FFFFD966"/>
      <rgbColor rgb="FF66FF33"/>
      <rgbColor rgb="FFD9D9D9"/>
      <rgbColor rgb="FF9C0006"/>
      <rgbColor rgb="FF006ECF"/>
      <rgbColor rgb="FF0432FF"/>
      <rgbColor rgb="FF00B0F0"/>
      <rgbColor rgb="FFDAE3F3"/>
      <rgbColor rgb="FFEEEDE3"/>
      <rgbColor rgb="FFFBE5D6"/>
      <rgbColor rgb="FF99CCFF"/>
      <rgbColor rgb="FFFF99FF"/>
      <rgbColor rgb="FFAFABAB"/>
      <rgbColor rgb="FFFFC7CE"/>
      <rgbColor rgb="FF4472C4"/>
      <rgbColor rgb="FF33CCCC"/>
      <rgbColor rgb="FF92D050"/>
      <rgbColor rgb="FFFFCC00"/>
      <rgbColor rgb="FFFF9900"/>
      <rgbColor rgb="FFED7D31"/>
      <rgbColor rgb="FF727272"/>
      <rgbColor rgb="FF969696"/>
      <rgbColor rgb="FF003366"/>
      <rgbColor rgb="FF70AD47"/>
      <rgbColor rgb="FF002236"/>
      <rgbColor rgb="FF1C1C1C"/>
      <rgbColor rgb="FFFFC000"/>
      <rgbColor rgb="FF2F5597"/>
      <rgbColor rgb="FF333399"/>
      <rgbColor rgb="FF333333"/>
      <rgbColor rgb="00003366"/>
      <rgbColor rgb="00339966"/>
      <rgbColor rgb="00003300"/>
      <rgbColor rgb="00333300"/>
      <rgbColor rgb="00993300"/>
      <rgbColor rgb="00993366"/>
      <rgbColor rgb="00333399"/>
      <rgbColor rgb="00333333"/>
    </indexedColors>
    <mruColors>
      <color rgb="FF006666"/>
      <color rgb="FF800000"/>
      <color rgb="FFFF00FF"/>
      <color rgb="FF0000FF"/>
      <color rgb="FF009999"/>
      <color rgb="FFFF452D"/>
      <color rgb="FF009900"/>
      <color rgb="FFDDEBF7"/>
      <color rgb="FF67FF9D"/>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2.xml"/><Relationship Id="rId21" Type="http://schemas.openxmlformats.org/officeDocument/2006/relationships/worksheet" Target="worksheets/sheet21.xml"/><Relationship Id="rId34" Type="http://schemas.openxmlformats.org/officeDocument/2006/relationships/externalLink" Target="externalLinks/externalLink7.xml"/><Relationship Id="rId42" Type="http://schemas.openxmlformats.org/officeDocument/2006/relationships/externalLink" Target="externalLinks/externalLink15.xml"/><Relationship Id="rId47" Type="http://schemas.openxmlformats.org/officeDocument/2006/relationships/externalLink" Target="externalLinks/externalLink20.xml"/><Relationship Id="rId50" Type="http://schemas.openxmlformats.org/officeDocument/2006/relationships/externalLink" Target="externalLinks/externalLink23.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5.xml"/><Relationship Id="rId37" Type="http://schemas.openxmlformats.org/officeDocument/2006/relationships/externalLink" Target="externalLinks/externalLink10.xml"/><Relationship Id="rId40" Type="http://schemas.openxmlformats.org/officeDocument/2006/relationships/externalLink" Target="externalLinks/externalLink13.xml"/><Relationship Id="rId45" Type="http://schemas.openxmlformats.org/officeDocument/2006/relationships/externalLink" Target="externalLinks/externalLink18.xml"/><Relationship Id="rId53" Type="http://schemas.openxmlformats.org/officeDocument/2006/relationships/externalLink" Target="externalLinks/externalLink26.xml"/><Relationship Id="rId58"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customXml" Target="../customXml/item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openxmlformats.org/officeDocument/2006/relationships/externalLink" Target="externalLinks/externalLink8.xml"/><Relationship Id="rId43" Type="http://schemas.openxmlformats.org/officeDocument/2006/relationships/externalLink" Target="externalLinks/externalLink16.xml"/><Relationship Id="rId48" Type="http://schemas.openxmlformats.org/officeDocument/2006/relationships/externalLink" Target="externalLinks/externalLink21.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2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6.xml"/><Relationship Id="rId38" Type="http://schemas.openxmlformats.org/officeDocument/2006/relationships/externalLink" Target="externalLinks/externalLink11.xml"/><Relationship Id="rId46" Type="http://schemas.openxmlformats.org/officeDocument/2006/relationships/externalLink" Target="externalLinks/externalLink19.xml"/><Relationship Id="rId59"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externalLink" Target="externalLinks/externalLink14.xml"/><Relationship Id="rId54" Type="http://schemas.openxmlformats.org/officeDocument/2006/relationships/externalLink" Target="externalLinks/externalLink27.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externalLink" Target="externalLinks/externalLink9.xml"/><Relationship Id="rId49" Type="http://schemas.openxmlformats.org/officeDocument/2006/relationships/externalLink" Target="externalLinks/externalLink22.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externalLink" Target="externalLinks/externalLink4.xml"/><Relationship Id="rId44" Type="http://schemas.openxmlformats.org/officeDocument/2006/relationships/externalLink" Target="externalLinks/externalLink17.xml"/><Relationship Id="rId52" Type="http://schemas.openxmlformats.org/officeDocument/2006/relationships/externalLink" Target="externalLinks/externalLink25.xml"/><Relationship Id="rId6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8</xdr:col>
      <xdr:colOff>4009293</xdr:colOff>
      <xdr:row>2</xdr:row>
      <xdr:rowOff>196948</xdr:rowOff>
    </xdr:from>
    <xdr:to>
      <xdr:col>8</xdr:col>
      <xdr:colOff>5694901</xdr:colOff>
      <xdr:row>2</xdr:row>
      <xdr:rowOff>1049319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0888395" y="1097280"/>
          <a:ext cx="1771333" cy="852371"/>
        </a:xfrm>
        <a:prstGeom prst="rect">
          <a:avLst/>
        </a:prstGeom>
      </xdr:spPr>
    </xdr:pic>
    <xdr:clientData/>
  </xdr:twoCellAnchor>
  <xdr:twoCellAnchor editAs="oneCell">
    <xdr:from>
      <xdr:col>1</xdr:col>
      <xdr:colOff>247650</xdr:colOff>
      <xdr:row>2</xdr:row>
      <xdr:rowOff>133350</xdr:rowOff>
    </xdr:from>
    <xdr:to>
      <xdr:col>3</xdr:col>
      <xdr:colOff>495300</xdr:colOff>
      <xdr:row>2</xdr:row>
      <xdr:rowOff>1403261</xdr:rowOff>
    </xdr:to>
    <xdr:pic>
      <xdr:nvPicPr>
        <xdr:cNvPr id="3" name="Picture 2">
          <a:extLst>
            <a:ext uri="{FF2B5EF4-FFF2-40B4-BE49-F238E27FC236}">
              <a16:creationId xmlns:a16="http://schemas.microsoft.com/office/drawing/2014/main" id="{C40A664C-C5C6-6701-2FBD-DB784A283802}"/>
            </a:ext>
          </a:extLst>
        </xdr:cNvPr>
        <xdr:cNvPicPr>
          <a:picLocks noChangeAspect="1"/>
        </xdr:cNvPicPr>
      </xdr:nvPicPr>
      <xdr:blipFill>
        <a:blip xmlns:r="http://schemas.openxmlformats.org/officeDocument/2006/relationships" r:embed="rId2"/>
        <a:stretch>
          <a:fillRect/>
        </a:stretch>
      </xdr:blipFill>
      <xdr:spPr>
        <a:xfrm>
          <a:off x="704850" y="914400"/>
          <a:ext cx="3295650" cy="1266736"/>
        </a:xfrm>
        <a:prstGeom prst="rect">
          <a:avLst/>
        </a:prstGeom>
      </xdr:spPr>
    </xdr:pic>
    <xdr:clientData/>
  </xdr:twoCellAnchor>
  <xdr:twoCellAnchor editAs="oneCell">
    <xdr:from>
      <xdr:col>1</xdr:col>
      <xdr:colOff>304800</xdr:colOff>
      <xdr:row>2</xdr:row>
      <xdr:rowOff>1562100</xdr:rowOff>
    </xdr:from>
    <xdr:to>
      <xdr:col>1</xdr:col>
      <xdr:colOff>1630922</xdr:colOff>
      <xdr:row>2</xdr:row>
      <xdr:rowOff>2287587</xdr:rowOff>
    </xdr:to>
    <xdr:pic>
      <xdr:nvPicPr>
        <xdr:cNvPr id="5" name="Picture 4">
          <a:extLst>
            <a:ext uri="{FF2B5EF4-FFF2-40B4-BE49-F238E27FC236}">
              <a16:creationId xmlns:a16="http://schemas.microsoft.com/office/drawing/2014/main" id="{96331A91-6458-70C5-972B-0DACAA3E9562}"/>
            </a:ext>
          </a:extLst>
        </xdr:cNvPr>
        <xdr:cNvPicPr>
          <a:picLocks noChangeAspect="1"/>
        </xdr:cNvPicPr>
      </xdr:nvPicPr>
      <xdr:blipFill>
        <a:blip xmlns:r="http://schemas.openxmlformats.org/officeDocument/2006/relationships" r:embed="rId3"/>
        <a:stretch>
          <a:fillRect/>
        </a:stretch>
      </xdr:blipFill>
      <xdr:spPr>
        <a:xfrm>
          <a:off x="762000" y="2343150"/>
          <a:ext cx="1322947" cy="7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150725</xdr:colOff>
      <xdr:row>0</xdr:row>
      <xdr:rowOff>193184</xdr:rowOff>
    </xdr:from>
    <xdr:to>
      <xdr:col>2</xdr:col>
      <xdr:colOff>388937</xdr:colOff>
      <xdr:row>0</xdr:row>
      <xdr:rowOff>1077439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03868" y="193184"/>
          <a:ext cx="3367855" cy="884255"/>
        </a:xfrm>
        <a:prstGeom prst="rect">
          <a:avLst/>
        </a:prstGeom>
      </xdr:spPr>
    </xdr:pic>
    <xdr:clientData/>
  </xdr:twoCellAnchor>
  <xdr:twoCellAnchor editAs="oneCell">
    <xdr:from>
      <xdr:col>2</xdr:col>
      <xdr:colOff>861786</xdr:colOff>
      <xdr:row>0</xdr:row>
      <xdr:rowOff>281214</xdr:rowOff>
    </xdr:from>
    <xdr:to>
      <xdr:col>2</xdr:col>
      <xdr:colOff>2359116</xdr:colOff>
      <xdr:row>0</xdr:row>
      <xdr:rowOff>751114</xdr:rowOff>
    </xdr:to>
    <xdr:pic>
      <xdr:nvPicPr>
        <xdr:cNvPr id="6" name="Picture 5" descr="Logo&#10;&#10;Description automatically generated">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653643" y="281214"/>
          <a:ext cx="1497330" cy="476250"/>
        </a:xfrm>
        <a:prstGeom prst="rect">
          <a:avLst/>
        </a:prstGeom>
      </xdr:spPr>
    </xdr:pic>
    <xdr:clientData/>
  </xdr:twoCellAnchor>
  <xdr:twoCellAnchor editAs="oneCell">
    <xdr:from>
      <xdr:col>1</xdr:col>
      <xdr:colOff>61439</xdr:colOff>
      <xdr:row>0</xdr:row>
      <xdr:rowOff>58995</xdr:rowOff>
    </xdr:from>
    <xdr:to>
      <xdr:col>1</xdr:col>
      <xdr:colOff>2415719</xdr:colOff>
      <xdr:row>0</xdr:row>
      <xdr:rowOff>1073475</xdr:rowOff>
    </xdr:to>
    <xdr:pic>
      <xdr:nvPicPr>
        <xdr:cNvPr id="3" name="Picture 2">
          <a:extLst>
            <a:ext uri="{FF2B5EF4-FFF2-40B4-BE49-F238E27FC236}">
              <a16:creationId xmlns:a16="http://schemas.microsoft.com/office/drawing/2014/main" id="{A2511E9F-F18E-4FF0-F821-1D8391F1EFF8}"/>
            </a:ext>
          </a:extLst>
        </xdr:cNvPr>
        <xdr:cNvPicPr>
          <a:picLocks noChangeAspect="1"/>
        </xdr:cNvPicPr>
      </xdr:nvPicPr>
      <xdr:blipFill>
        <a:blip xmlns:r="http://schemas.openxmlformats.org/officeDocument/2006/relationships" r:embed="rId3"/>
        <a:stretch>
          <a:fillRect/>
        </a:stretch>
      </xdr:blipFill>
      <xdr:spPr>
        <a:xfrm>
          <a:off x="714582" y="58995"/>
          <a:ext cx="2354280" cy="10144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1323975</xdr:colOff>
      <xdr:row>3</xdr:row>
      <xdr:rowOff>195884</xdr:rowOff>
    </xdr:to>
    <xdr:pic>
      <xdr:nvPicPr>
        <xdr:cNvPr id="3" name="Picture 2">
          <a:extLst>
            <a:ext uri="{FF2B5EF4-FFF2-40B4-BE49-F238E27FC236}">
              <a16:creationId xmlns:a16="http://schemas.microsoft.com/office/drawing/2014/main" id="{57266DE7-AECD-479E-15F8-E5767F36C8B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29375" y="186359"/>
          <a:ext cx="1323975" cy="723900"/>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2488406</xdr:colOff>
      <xdr:row>0</xdr:row>
      <xdr:rowOff>11907</xdr:rowOff>
    </xdr:from>
    <xdr:to>
      <xdr:col>5</xdr:col>
      <xdr:colOff>3812381</xdr:colOff>
      <xdr:row>1</xdr:row>
      <xdr:rowOff>402432</xdr:rowOff>
    </xdr:to>
    <xdr:pic>
      <xdr:nvPicPr>
        <xdr:cNvPr id="5" name="Picture 4">
          <a:extLst>
            <a:ext uri="{FF2B5EF4-FFF2-40B4-BE49-F238E27FC236}">
              <a16:creationId xmlns:a16="http://schemas.microsoft.com/office/drawing/2014/main" id="{2FCEBF82-8F82-D4BC-9228-501F1781FFC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91687" y="11907"/>
          <a:ext cx="1323975" cy="723900"/>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226219</xdr:colOff>
      <xdr:row>0</xdr:row>
      <xdr:rowOff>226219</xdr:rowOff>
    </xdr:from>
    <xdr:to>
      <xdr:col>0</xdr:col>
      <xdr:colOff>1550194</xdr:colOff>
      <xdr:row>1</xdr:row>
      <xdr:rowOff>342900</xdr:rowOff>
    </xdr:to>
    <xdr:pic>
      <xdr:nvPicPr>
        <xdr:cNvPr id="2" name="Picture 1">
          <a:extLst>
            <a:ext uri="{FF2B5EF4-FFF2-40B4-BE49-F238E27FC236}">
              <a16:creationId xmlns:a16="http://schemas.microsoft.com/office/drawing/2014/main" id="{CE912E12-C963-6438-E9DD-8A90ED8BBD3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6219" y="226219"/>
          <a:ext cx="1323975" cy="723900"/>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40</xdr:row>
      <xdr:rowOff>152640</xdr:rowOff>
    </xdr:from>
    <xdr:to>
      <xdr:col>0</xdr:col>
      <xdr:colOff>1326600</xdr:colOff>
      <xdr:row>41</xdr:row>
      <xdr:rowOff>21960</xdr:rowOff>
    </xdr:to>
    <xdr:sp macro="" textlink="">
      <xdr:nvSpPr>
        <xdr:cNvPr id="3" name="CustomShape 1">
          <a:extLst>
            <a:ext uri="{FF2B5EF4-FFF2-40B4-BE49-F238E27FC236}">
              <a16:creationId xmlns:a16="http://schemas.microsoft.com/office/drawing/2014/main" id="{00000000-0008-0000-1200-000003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4" name="CustomShape 1">
          <a:extLst>
            <a:ext uri="{FF2B5EF4-FFF2-40B4-BE49-F238E27FC236}">
              <a16:creationId xmlns:a16="http://schemas.microsoft.com/office/drawing/2014/main" id="{00000000-0008-0000-1200-000004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5" name="CustomShape 1">
          <a:extLst>
            <a:ext uri="{FF2B5EF4-FFF2-40B4-BE49-F238E27FC236}">
              <a16:creationId xmlns:a16="http://schemas.microsoft.com/office/drawing/2014/main" id="{00000000-0008-0000-1200-000005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6" name="CustomShape 1">
          <a:extLst>
            <a:ext uri="{FF2B5EF4-FFF2-40B4-BE49-F238E27FC236}">
              <a16:creationId xmlns:a16="http://schemas.microsoft.com/office/drawing/2014/main" id="{00000000-0008-0000-1200-000006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7" name="CustomShape 1">
          <a:extLst>
            <a:ext uri="{FF2B5EF4-FFF2-40B4-BE49-F238E27FC236}">
              <a16:creationId xmlns:a16="http://schemas.microsoft.com/office/drawing/2014/main" id="{00000000-0008-0000-1200-000007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8" name="CustomShape 1">
          <a:extLst>
            <a:ext uri="{FF2B5EF4-FFF2-40B4-BE49-F238E27FC236}">
              <a16:creationId xmlns:a16="http://schemas.microsoft.com/office/drawing/2014/main" id="{00000000-0008-0000-1200-000008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9" name="CustomShape 1">
          <a:extLst>
            <a:ext uri="{FF2B5EF4-FFF2-40B4-BE49-F238E27FC236}">
              <a16:creationId xmlns:a16="http://schemas.microsoft.com/office/drawing/2014/main" id="{00000000-0008-0000-1200-000009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10" name="CustomShape 1">
          <a:extLst>
            <a:ext uri="{FF2B5EF4-FFF2-40B4-BE49-F238E27FC236}">
              <a16:creationId xmlns:a16="http://schemas.microsoft.com/office/drawing/2014/main" id="{00000000-0008-0000-1200-00000A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11" name="CustomShape 1">
          <a:extLst>
            <a:ext uri="{FF2B5EF4-FFF2-40B4-BE49-F238E27FC236}">
              <a16:creationId xmlns:a16="http://schemas.microsoft.com/office/drawing/2014/main" id="{00000000-0008-0000-1200-00000B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12" name="CustomShape 1">
          <a:extLst>
            <a:ext uri="{FF2B5EF4-FFF2-40B4-BE49-F238E27FC236}">
              <a16:creationId xmlns:a16="http://schemas.microsoft.com/office/drawing/2014/main" id="{00000000-0008-0000-1200-00000C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13" name="CustomShape 1">
          <a:extLst>
            <a:ext uri="{FF2B5EF4-FFF2-40B4-BE49-F238E27FC236}">
              <a16:creationId xmlns:a16="http://schemas.microsoft.com/office/drawing/2014/main" id="{00000000-0008-0000-1200-00000D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14" name="CustomShape 1">
          <a:extLst>
            <a:ext uri="{FF2B5EF4-FFF2-40B4-BE49-F238E27FC236}">
              <a16:creationId xmlns:a16="http://schemas.microsoft.com/office/drawing/2014/main" id="{00000000-0008-0000-1200-00000E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15" name="CustomShape 1">
          <a:extLst>
            <a:ext uri="{FF2B5EF4-FFF2-40B4-BE49-F238E27FC236}">
              <a16:creationId xmlns:a16="http://schemas.microsoft.com/office/drawing/2014/main" id="{00000000-0008-0000-1200-00000F00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16" name="CustomShape 1">
          <a:extLst>
            <a:ext uri="{FF2B5EF4-FFF2-40B4-BE49-F238E27FC236}">
              <a16:creationId xmlns:a16="http://schemas.microsoft.com/office/drawing/2014/main" id="{00000000-0008-0000-1200-00001000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7" name="CustomShape 1">
          <a:extLst>
            <a:ext uri="{FF2B5EF4-FFF2-40B4-BE49-F238E27FC236}">
              <a16:creationId xmlns:a16="http://schemas.microsoft.com/office/drawing/2014/main" id="{00000000-0008-0000-1200-000011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8" name="CustomShape 1">
          <a:extLst>
            <a:ext uri="{FF2B5EF4-FFF2-40B4-BE49-F238E27FC236}">
              <a16:creationId xmlns:a16="http://schemas.microsoft.com/office/drawing/2014/main" id="{00000000-0008-0000-1200-000012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9" name="CustomShape 1">
          <a:extLst>
            <a:ext uri="{FF2B5EF4-FFF2-40B4-BE49-F238E27FC236}">
              <a16:creationId xmlns:a16="http://schemas.microsoft.com/office/drawing/2014/main" id="{00000000-0008-0000-1200-000013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20" name="CustomShape 1">
          <a:extLst>
            <a:ext uri="{FF2B5EF4-FFF2-40B4-BE49-F238E27FC236}">
              <a16:creationId xmlns:a16="http://schemas.microsoft.com/office/drawing/2014/main" id="{00000000-0008-0000-1200-000014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21" name="CustomShape 1">
          <a:extLst>
            <a:ext uri="{FF2B5EF4-FFF2-40B4-BE49-F238E27FC236}">
              <a16:creationId xmlns:a16="http://schemas.microsoft.com/office/drawing/2014/main" id="{00000000-0008-0000-1200-000015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22" name="CustomShape 1">
          <a:extLst>
            <a:ext uri="{FF2B5EF4-FFF2-40B4-BE49-F238E27FC236}">
              <a16:creationId xmlns:a16="http://schemas.microsoft.com/office/drawing/2014/main" id="{00000000-0008-0000-1200-000016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23" name="CustomShape 1">
          <a:extLst>
            <a:ext uri="{FF2B5EF4-FFF2-40B4-BE49-F238E27FC236}">
              <a16:creationId xmlns:a16="http://schemas.microsoft.com/office/drawing/2014/main" id="{00000000-0008-0000-1200-000017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24" name="CustomShape 1">
          <a:extLst>
            <a:ext uri="{FF2B5EF4-FFF2-40B4-BE49-F238E27FC236}">
              <a16:creationId xmlns:a16="http://schemas.microsoft.com/office/drawing/2014/main" id="{00000000-0008-0000-1200-000018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25" name="CustomShape 1">
          <a:extLst>
            <a:ext uri="{FF2B5EF4-FFF2-40B4-BE49-F238E27FC236}">
              <a16:creationId xmlns:a16="http://schemas.microsoft.com/office/drawing/2014/main" id="{00000000-0008-0000-1200-000019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26" name="CustomShape 1">
          <a:extLst>
            <a:ext uri="{FF2B5EF4-FFF2-40B4-BE49-F238E27FC236}">
              <a16:creationId xmlns:a16="http://schemas.microsoft.com/office/drawing/2014/main" id="{00000000-0008-0000-1200-00001A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27" name="CustomShape 1">
          <a:extLst>
            <a:ext uri="{FF2B5EF4-FFF2-40B4-BE49-F238E27FC236}">
              <a16:creationId xmlns:a16="http://schemas.microsoft.com/office/drawing/2014/main" id="{00000000-0008-0000-1200-00001B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28" name="CustomShape 1">
          <a:extLst>
            <a:ext uri="{FF2B5EF4-FFF2-40B4-BE49-F238E27FC236}">
              <a16:creationId xmlns:a16="http://schemas.microsoft.com/office/drawing/2014/main" id="{00000000-0008-0000-1200-00001C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29" name="CustomShape 1">
          <a:extLst>
            <a:ext uri="{FF2B5EF4-FFF2-40B4-BE49-F238E27FC236}">
              <a16:creationId xmlns:a16="http://schemas.microsoft.com/office/drawing/2014/main" id="{00000000-0008-0000-1200-00001D00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30" name="CustomShape 1">
          <a:extLst>
            <a:ext uri="{FF2B5EF4-FFF2-40B4-BE49-F238E27FC236}">
              <a16:creationId xmlns:a16="http://schemas.microsoft.com/office/drawing/2014/main" id="{00000000-0008-0000-1200-00001E00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31" name="CustomShape 1">
          <a:extLst>
            <a:ext uri="{FF2B5EF4-FFF2-40B4-BE49-F238E27FC236}">
              <a16:creationId xmlns:a16="http://schemas.microsoft.com/office/drawing/2014/main" id="{00000000-0008-0000-1200-00001F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32" name="CustomShape 1">
          <a:extLst>
            <a:ext uri="{FF2B5EF4-FFF2-40B4-BE49-F238E27FC236}">
              <a16:creationId xmlns:a16="http://schemas.microsoft.com/office/drawing/2014/main" id="{00000000-0008-0000-1200-000020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33" name="CustomShape 1">
          <a:extLst>
            <a:ext uri="{FF2B5EF4-FFF2-40B4-BE49-F238E27FC236}">
              <a16:creationId xmlns:a16="http://schemas.microsoft.com/office/drawing/2014/main" id="{00000000-0008-0000-1200-000021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34" name="CustomShape 1">
          <a:extLst>
            <a:ext uri="{FF2B5EF4-FFF2-40B4-BE49-F238E27FC236}">
              <a16:creationId xmlns:a16="http://schemas.microsoft.com/office/drawing/2014/main" id="{00000000-0008-0000-1200-000022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35" name="CustomShape 1">
          <a:extLst>
            <a:ext uri="{FF2B5EF4-FFF2-40B4-BE49-F238E27FC236}">
              <a16:creationId xmlns:a16="http://schemas.microsoft.com/office/drawing/2014/main" id="{00000000-0008-0000-1200-000023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36" name="CustomShape 1">
          <a:extLst>
            <a:ext uri="{FF2B5EF4-FFF2-40B4-BE49-F238E27FC236}">
              <a16:creationId xmlns:a16="http://schemas.microsoft.com/office/drawing/2014/main" id="{00000000-0008-0000-1200-000024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37" name="CustomShape 1">
          <a:extLst>
            <a:ext uri="{FF2B5EF4-FFF2-40B4-BE49-F238E27FC236}">
              <a16:creationId xmlns:a16="http://schemas.microsoft.com/office/drawing/2014/main" id="{00000000-0008-0000-1200-000025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38" name="CustomShape 1">
          <a:extLst>
            <a:ext uri="{FF2B5EF4-FFF2-40B4-BE49-F238E27FC236}">
              <a16:creationId xmlns:a16="http://schemas.microsoft.com/office/drawing/2014/main" id="{00000000-0008-0000-1200-000026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39" name="CustomShape 1">
          <a:extLst>
            <a:ext uri="{FF2B5EF4-FFF2-40B4-BE49-F238E27FC236}">
              <a16:creationId xmlns:a16="http://schemas.microsoft.com/office/drawing/2014/main" id="{00000000-0008-0000-1200-000027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40" name="CustomShape 1">
          <a:extLst>
            <a:ext uri="{FF2B5EF4-FFF2-40B4-BE49-F238E27FC236}">
              <a16:creationId xmlns:a16="http://schemas.microsoft.com/office/drawing/2014/main" id="{00000000-0008-0000-1200-000028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41" name="CustomShape 1">
          <a:extLst>
            <a:ext uri="{FF2B5EF4-FFF2-40B4-BE49-F238E27FC236}">
              <a16:creationId xmlns:a16="http://schemas.microsoft.com/office/drawing/2014/main" id="{00000000-0008-0000-1200-000029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42" name="CustomShape 1">
          <a:extLst>
            <a:ext uri="{FF2B5EF4-FFF2-40B4-BE49-F238E27FC236}">
              <a16:creationId xmlns:a16="http://schemas.microsoft.com/office/drawing/2014/main" id="{00000000-0008-0000-1200-00002A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43" name="CustomShape 1">
          <a:extLst>
            <a:ext uri="{FF2B5EF4-FFF2-40B4-BE49-F238E27FC236}">
              <a16:creationId xmlns:a16="http://schemas.microsoft.com/office/drawing/2014/main" id="{00000000-0008-0000-1200-00002B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44" name="CustomShape 1">
          <a:extLst>
            <a:ext uri="{FF2B5EF4-FFF2-40B4-BE49-F238E27FC236}">
              <a16:creationId xmlns:a16="http://schemas.microsoft.com/office/drawing/2014/main" id="{00000000-0008-0000-1200-00002C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45" name="CustomShape 1">
          <a:extLst>
            <a:ext uri="{FF2B5EF4-FFF2-40B4-BE49-F238E27FC236}">
              <a16:creationId xmlns:a16="http://schemas.microsoft.com/office/drawing/2014/main" id="{00000000-0008-0000-1200-00002D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46" name="CustomShape 1">
          <a:extLst>
            <a:ext uri="{FF2B5EF4-FFF2-40B4-BE49-F238E27FC236}">
              <a16:creationId xmlns:a16="http://schemas.microsoft.com/office/drawing/2014/main" id="{00000000-0008-0000-1200-00002E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47" name="CustomShape 1">
          <a:extLst>
            <a:ext uri="{FF2B5EF4-FFF2-40B4-BE49-F238E27FC236}">
              <a16:creationId xmlns:a16="http://schemas.microsoft.com/office/drawing/2014/main" id="{00000000-0008-0000-1200-00002F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48" name="CustomShape 1">
          <a:extLst>
            <a:ext uri="{FF2B5EF4-FFF2-40B4-BE49-F238E27FC236}">
              <a16:creationId xmlns:a16="http://schemas.microsoft.com/office/drawing/2014/main" id="{00000000-0008-0000-1200-000030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49" name="CustomShape 1">
          <a:extLst>
            <a:ext uri="{FF2B5EF4-FFF2-40B4-BE49-F238E27FC236}">
              <a16:creationId xmlns:a16="http://schemas.microsoft.com/office/drawing/2014/main" id="{00000000-0008-0000-1200-000031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50" name="CustomShape 1">
          <a:extLst>
            <a:ext uri="{FF2B5EF4-FFF2-40B4-BE49-F238E27FC236}">
              <a16:creationId xmlns:a16="http://schemas.microsoft.com/office/drawing/2014/main" id="{00000000-0008-0000-1200-000032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1" name="CustomShape 1">
          <a:extLst>
            <a:ext uri="{FF2B5EF4-FFF2-40B4-BE49-F238E27FC236}">
              <a16:creationId xmlns:a16="http://schemas.microsoft.com/office/drawing/2014/main" id="{00000000-0008-0000-1200-000033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2" name="CustomShape 1">
          <a:extLst>
            <a:ext uri="{FF2B5EF4-FFF2-40B4-BE49-F238E27FC236}">
              <a16:creationId xmlns:a16="http://schemas.microsoft.com/office/drawing/2014/main" id="{00000000-0008-0000-1200-000034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3" name="CustomShape 1">
          <a:extLst>
            <a:ext uri="{FF2B5EF4-FFF2-40B4-BE49-F238E27FC236}">
              <a16:creationId xmlns:a16="http://schemas.microsoft.com/office/drawing/2014/main" id="{00000000-0008-0000-1200-000035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4" name="CustomShape 1">
          <a:extLst>
            <a:ext uri="{FF2B5EF4-FFF2-40B4-BE49-F238E27FC236}">
              <a16:creationId xmlns:a16="http://schemas.microsoft.com/office/drawing/2014/main" id="{00000000-0008-0000-1200-000036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5" name="CustomShape 1">
          <a:extLst>
            <a:ext uri="{FF2B5EF4-FFF2-40B4-BE49-F238E27FC236}">
              <a16:creationId xmlns:a16="http://schemas.microsoft.com/office/drawing/2014/main" id="{00000000-0008-0000-1200-000037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6" name="CustomShape 1">
          <a:extLst>
            <a:ext uri="{FF2B5EF4-FFF2-40B4-BE49-F238E27FC236}">
              <a16:creationId xmlns:a16="http://schemas.microsoft.com/office/drawing/2014/main" id="{00000000-0008-0000-1200-000038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7" name="CustomShape 1">
          <a:extLst>
            <a:ext uri="{FF2B5EF4-FFF2-40B4-BE49-F238E27FC236}">
              <a16:creationId xmlns:a16="http://schemas.microsoft.com/office/drawing/2014/main" id="{00000000-0008-0000-1200-000039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8" name="CustomShape 1">
          <a:extLst>
            <a:ext uri="{FF2B5EF4-FFF2-40B4-BE49-F238E27FC236}">
              <a16:creationId xmlns:a16="http://schemas.microsoft.com/office/drawing/2014/main" id="{00000000-0008-0000-1200-00003A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9" name="CustomShape 1">
          <a:extLst>
            <a:ext uri="{FF2B5EF4-FFF2-40B4-BE49-F238E27FC236}">
              <a16:creationId xmlns:a16="http://schemas.microsoft.com/office/drawing/2014/main" id="{00000000-0008-0000-1200-00003B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60" name="CustomShape 1">
          <a:extLst>
            <a:ext uri="{FF2B5EF4-FFF2-40B4-BE49-F238E27FC236}">
              <a16:creationId xmlns:a16="http://schemas.microsoft.com/office/drawing/2014/main" id="{00000000-0008-0000-1200-00003C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61" name="CustomShape 1">
          <a:extLst>
            <a:ext uri="{FF2B5EF4-FFF2-40B4-BE49-F238E27FC236}">
              <a16:creationId xmlns:a16="http://schemas.microsoft.com/office/drawing/2014/main" id="{00000000-0008-0000-1200-00003D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62" name="CustomShape 1">
          <a:extLst>
            <a:ext uri="{FF2B5EF4-FFF2-40B4-BE49-F238E27FC236}">
              <a16:creationId xmlns:a16="http://schemas.microsoft.com/office/drawing/2014/main" id="{00000000-0008-0000-1200-00003E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63" name="CustomShape 1">
          <a:extLst>
            <a:ext uri="{FF2B5EF4-FFF2-40B4-BE49-F238E27FC236}">
              <a16:creationId xmlns:a16="http://schemas.microsoft.com/office/drawing/2014/main" id="{00000000-0008-0000-1200-00003F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64" name="CustomShape 1">
          <a:extLst>
            <a:ext uri="{FF2B5EF4-FFF2-40B4-BE49-F238E27FC236}">
              <a16:creationId xmlns:a16="http://schemas.microsoft.com/office/drawing/2014/main" id="{00000000-0008-0000-1200-000040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65" name="CustomShape 1">
          <a:extLst>
            <a:ext uri="{FF2B5EF4-FFF2-40B4-BE49-F238E27FC236}">
              <a16:creationId xmlns:a16="http://schemas.microsoft.com/office/drawing/2014/main" id="{00000000-0008-0000-1200-000041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66" name="CustomShape 1">
          <a:extLst>
            <a:ext uri="{FF2B5EF4-FFF2-40B4-BE49-F238E27FC236}">
              <a16:creationId xmlns:a16="http://schemas.microsoft.com/office/drawing/2014/main" id="{00000000-0008-0000-1200-000042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67" name="CustomShape 1">
          <a:extLst>
            <a:ext uri="{FF2B5EF4-FFF2-40B4-BE49-F238E27FC236}">
              <a16:creationId xmlns:a16="http://schemas.microsoft.com/office/drawing/2014/main" id="{00000000-0008-0000-1200-000043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68" name="CustomShape 1">
          <a:extLst>
            <a:ext uri="{FF2B5EF4-FFF2-40B4-BE49-F238E27FC236}">
              <a16:creationId xmlns:a16="http://schemas.microsoft.com/office/drawing/2014/main" id="{00000000-0008-0000-1200-000044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69" name="CustomShape 1">
          <a:extLst>
            <a:ext uri="{FF2B5EF4-FFF2-40B4-BE49-F238E27FC236}">
              <a16:creationId xmlns:a16="http://schemas.microsoft.com/office/drawing/2014/main" id="{00000000-0008-0000-1200-000045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70" name="CustomShape 1">
          <a:extLst>
            <a:ext uri="{FF2B5EF4-FFF2-40B4-BE49-F238E27FC236}">
              <a16:creationId xmlns:a16="http://schemas.microsoft.com/office/drawing/2014/main" id="{00000000-0008-0000-1200-000046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71" name="CustomShape 1">
          <a:extLst>
            <a:ext uri="{FF2B5EF4-FFF2-40B4-BE49-F238E27FC236}">
              <a16:creationId xmlns:a16="http://schemas.microsoft.com/office/drawing/2014/main" id="{00000000-0008-0000-1200-000047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72" name="CustomShape 1">
          <a:extLst>
            <a:ext uri="{FF2B5EF4-FFF2-40B4-BE49-F238E27FC236}">
              <a16:creationId xmlns:a16="http://schemas.microsoft.com/office/drawing/2014/main" id="{00000000-0008-0000-1200-000048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73" name="CustomShape 1">
          <a:extLst>
            <a:ext uri="{FF2B5EF4-FFF2-40B4-BE49-F238E27FC236}">
              <a16:creationId xmlns:a16="http://schemas.microsoft.com/office/drawing/2014/main" id="{00000000-0008-0000-1200-000049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74" name="CustomShape 1">
          <a:extLst>
            <a:ext uri="{FF2B5EF4-FFF2-40B4-BE49-F238E27FC236}">
              <a16:creationId xmlns:a16="http://schemas.microsoft.com/office/drawing/2014/main" id="{00000000-0008-0000-1200-00004A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75" name="CustomShape 1">
          <a:extLst>
            <a:ext uri="{FF2B5EF4-FFF2-40B4-BE49-F238E27FC236}">
              <a16:creationId xmlns:a16="http://schemas.microsoft.com/office/drawing/2014/main" id="{00000000-0008-0000-1200-00004B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76" name="CustomShape 1">
          <a:extLst>
            <a:ext uri="{FF2B5EF4-FFF2-40B4-BE49-F238E27FC236}">
              <a16:creationId xmlns:a16="http://schemas.microsoft.com/office/drawing/2014/main" id="{00000000-0008-0000-1200-00004C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77" name="CustomShape 1">
          <a:extLst>
            <a:ext uri="{FF2B5EF4-FFF2-40B4-BE49-F238E27FC236}">
              <a16:creationId xmlns:a16="http://schemas.microsoft.com/office/drawing/2014/main" id="{00000000-0008-0000-1200-00004D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78" name="CustomShape 1">
          <a:extLst>
            <a:ext uri="{FF2B5EF4-FFF2-40B4-BE49-F238E27FC236}">
              <a16:creationId xmlns:a16="http://schemas.microsoft.com/office/drawing/2014/main" id="{00000000-0008-0000-1200-00004E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79" name="CustomShape 1">
          <a:extLst>
            <a:ext uri="{FF2B5EF4-FFF2-40B4-BE49-F238E27FC236}">
              <a16:creationId xmlns:a16="http://schemas.microsoft.com/office/drawing/2014/main" id="{00000000-0008-0000-1200-00004F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80" name="CustomShape 1">
          <a:extLst>
            <a:ext uri="{FF2B5EF4-FFF2-40B4-BE49-F238E27FC236}">
              <a16:creationId xmlns:a16="http://schemas.microsoft.com/office/drawing/2014/main" id="{00000000-0008-0000-1200-000050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81" name="CustomShape 1">
          <a:extLst>
            <a:ext uri="{FF2B5EF4-FFF2-40B4-BE49-F238E27FC236}">
              <a16:creationId xmlns:a16="http://schemas.microsoft.com/office/drawing/2014/main" id="{00000000-0008-0000-1200-000051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82" name="CustomShape 1">
          <a:extLst>
            <a:ext uri="{FF2B5EF4-FFF2-40B4-BE49-F238E27FC236}">
              <a16:creationId xmlns:a16="http://schemas.microsoft.com/office/drawing/2014/main" id="{00000000-0008-0000-1200-000052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83" name="CustomShape 1">
          <a:extLst>
            <a:ext uri="{FF2B5EF4-FFF2-40B4-BE49-F238E27FC236}">
              <a16:creationId xmlns:a16="http://schemas.microsoft.com/office/drawing/2014/main" id="{00000000-0008-0000-1200-000053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84" name="CustomShape 1">
          <a:extLst>
            <a:ext uri="{FF2B5EF4-FFF2-40B4-BE49-F238E27FC236}">
              <a16:creationId xmlns:a16="http://schemas.microsoft.com/office/drawing/2014/main" id="{00000000-0008-0000-1200-000054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85" name="CustomShape 1">
          <a:extLst>
            <a:ext uri="{FF2B5EF4-FFF2-40B4-BE49-F238E27FC236}">
              <a16:creationId xmlns:a16="http://schemas.microsoft.com/office/drawing/2014/main" id="{00000000-0008-0000-1200-000055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86" name="CustomShape 1">
          <a:extLst>
            <a:ext uri="{FF2B5EF4-FFF2-40B4-BE49-F238E27FC236}">
              <a16:creationId xmlns:a16="http://schemas.microsoft.com/office/drawing/2014/main" id="{00000000-0008-0000-1200-000056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87" name="CustomShape 1">
          <a:extLst>
            <a:ext uri="{FF2B5EF4-FFF2-40B4-BE49-F238E27FC236}">
              <a16:creationId xmlns:a16="http://schemas.microsoft.com/office/drawing/2014/main" id="{00000000-0008-0000-1200-000057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88" name="CustomShape 1">
          <a:extLst>
            <a:ext uri="{FF2B5EF4-FFF2-40B4-BE49-F238E27FC236}">
              <a16:creationId xmlns:a16="http://schemas.microsoft.com/office/drawing/2014/main" id="{00000000-0008-0000-1200-00005800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89" name="CustomShape 1">
          <a:extLst>
            <a:ext uri="{FF2B5EF4-FFF2-40B4-BE49-F238E27FC236}">
              <a16:creationId xmlns:a16="http://schemas.microsoft.com/office/drawing/2014/main" id="{00000000-0008-0000-1200-00005900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90" name="CustomShape 1">
          <a:extLst>
            <a:ext uri="{FF2B5EF4-FFF2-40B4-BE49-F238E27FC236}">
              <a16:creationId xmlns:a16="http://schemas.microsoft.com/office/drawing/2014/main" id="{00000000-0008-0000-1200-00005A00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91" name="CustomShape 1">
          <a:extLst>
            <a:ext uri="{FF2B5EF4-FFF2-40B4-BE49-F238E27FC236}">
              <a16:creationId xmlns:a16="http://schemas.microsoft.com/office/drawing/2014/main" id="{00000000-0008-0000-1200-00005B00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92" name="CustomShape 1">
          <a:extLst>
            <a:ext uri="{FF2B5EF4-FFF2-40B4-BE49-F238E27FC236}">
              <a16:creationId xmlns:a16="http://schemas.microsoft.com/office/drawing/2014/main" id="{00000000-0008-0000-1200-00005C00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93" name="CustomShape 1">
          <a:extLst>
            <a:ext uri="{FF2B5EF4-FFF2-40B4-BE49-F238E27FC236}">
              <a16:creationId xmlns:a16="http://schemas.microsoft.com/office/drawing/2014/main" id="{00000000-0008-0000-1200-00005D00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94" name="CustomShape 1">
          <a:extLst>
            <a:ext uri="{FF2B5EF4-FFF2-40B4-BE49-F238E27FC236}">
              <a16:creationId xmlns:a16="http://schemas.microsoft.com/office/drawing/2014/main" id="{00000000-0008-0000-1200-00005E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95" name="CustomShape 1">
          <a:extLst>
            <a:ext uri="{FF2B5EF4-FFF2-40B4-BE49-F238E27FC236}">
              <a16:creationId xmlns:a16="http://schemas.microsoft.com/office/drawing/2014/main" id="{00000000-0008-0000-1200-00005F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96" name="CustomShape 1">
          <a:extLst>
            <a:ext uri="{FF2B5EF4-FFF2-40B4-BE49-F238E27FC236}">
              <a16:creationId xmlns:a16="http://schemas.microsoft.com/office/drawing/2014/main" id="{00000000-0008-0000-1200-000060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97" name="CustomShape 1">
          <a:extLst>
            <a:ext uri="{FF2B5EF4-FFF2-40B4-BE49-F238E27FC236}">
              <a16:creationId xmlns:a16="http://schemas.microsoft.com/office/drawing/2014/main" id="{00000000-0008-0000-1200-000061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98" name="CustomShape 1">
          <a:extLst>
            <a:ext uri="{FF2B5EF4-FFF2-40B4-BE49-F238E27FC236}">
              <a16:creationId xmlns:a16="http://schemas.microsoft.com/office/drawing/2014/main" id="{00000000-0008-0000-1200-000062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99" name="CustomShape 1">
          <a:extLst>
            <a:ext uri="{FF2B5EF4-FFF2-40B4-BE49-F238E27FC236}">
              <a16:creationId xmlns:a16="http://schemas.microsoft.com/office/drawing/2014/main" id="{00000000-0008-0000-1200-000063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100" name="CustomShape 1">
          <a:extLst>
            <a:ext uri="{FF2B5EF4-FFF2-40B4-BE49-F238E27FC236}">
              <a16:creationId xmlns:a16="http://schemas.microsoft.com/office/drawing/2014/main" id="{00000000-0008-0000-1200-000064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101" name="CustomShape 1">
          <a:extLst>
            <a:ext uri="{FF2B5EF4-FFF2-40B4-BE49-F238E27FC236}">
              <a16:creationId xmlns:a16="http://schemas.microsoft.com/office/drawing/2014/main" id="{00000000-0008-0000-1200-000065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102" name="CustomShape 1">
          <a:extLst>
            <a:ext uri="{FF2B5EF4-FFF2-40B4-BE49-F238E27FC236}">
              <a16:creationId xmlns:a16="http://schemas.microsoft.com/office/drawing/2014/main" id="{00000000-0008-0000-1200-000066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103" name="CustomShape 1">
          <a:extLst>
            <a:ext uri="{FF2B5EF4-FFF2-40B4-BE49-F238E27FC236}">
              <a16:creationId xmlns:a16="http://schemas.microsoft.com/office/drawing/2014/main" id="{00000000-0008-0000-1200-000067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104" name="CustomShape 1">
          <a:extLst>
            <a:ext uri="{FF2B5EF4-FFF2-40B4-BE49-F238E27FC236}">
              <a16:creationId xmlns:a16="http://schemas.microsoft.com/office/drawing/2014/main" id="{00000000-0008-0000-1200-000068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105" name="CustomShape 1">
          <a:extLst>
            <a:ext uri="{FF2B5EF4-FFF2-40B4-BE49-F238E27FC236}">
              <a16:creationId xmlns:a16="http://schemas.microsoft.com/office/drawing/2014/main" id="{00000000-0008-0000-1200-000069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106" name="CustomShape 1">
          <a:extLst>
            <a:ext uri="{FF2B5EF4-FFF2-40B4-BE49-F238E27FC236}">
              <a16:creationId xmlns:a16="http://schemas.microsoft.com/office/drawing/2014/main" id="{00000000-0008-0000-1200-00006A00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107" name="CustomShape 1">
          <a:extLst>
            <a:ext uri="{FF2B5EF4-FFF2-40B4-BE49-F238E27FC236}">
              <a16:creationId xmlns:a16="http://schemas.microsoft.com/office/drawing/2014/main" id="{00000000-0008-0000-1200-00006B00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08" name="CustomShape 1">
          <a:extLst>
            <a:ext uri="{FF2B5EF4-FFF2-40B4-BE49-F238E27FC236}">
              <a16:creationId xmlns:a16="http://schemas.microsoft.com/office/drawing/2014/main" id="{00000000-0008-0000-1200-00006C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09" name="CustomShape 1">
          <a:extLst>
            <a:ext uri="{FF2B5EF4-FFF2-40B4-BE49-F238E27FC236}">
              <a16:creationId xmlns:a16="http://schemas.microsoft.com/office/drawing/2014/main" id="{00000000-0008-0000-1200-00006D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10" name="CustomShape 1">
          <a:extLst>
            <a:ext uri="{FF2B5EF4-FFF2-40B4-BE49-F238E27FC236}">
              <a16:creationId xmlns:a16="http://schemas.microsoft.com/office/drawing/2014/main" id="{00000000-0008-0000-1200-00006E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11" name="CustomShape 1">
          <a:extLst>
            <a:ext uri="{FF2B5EF4-FFF2-40B4-BE49-F238E27FC236}">
              <a16:creationId xmlns:a16="http://schemas.microsoft.com/office/drawing/2014/main" id="{00000000-0008-0000-1200-00006F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12" name="CustomShape 1">
          <a:extLst>
            <a:ext uri="{FF2B5EF4-FFF2-40B4-BE49-F238E27FC236}">
              <a16:creationId xmlns:a16="http://schemas.microsoft.com/office/drawing/2014/main" id="{00000000-0008-0000-1200-000070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13" name="CustomShape 1">
          <a:extLst>
            <a:ext uri="{FF2B5EF4-FFF2-40B4-BE49-F238E27FC236}">
              <a16:creationId xmlns:a16="http://schemas.microsoft.com/office/drawing/2014/main" id="{00000000-0008-0000-1200-000071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14" name="CustomShape 1">
          <a:extLst>
            <a:ext uri="{FF2B5EF4-FFF2-40B4-BE49-F238E27FC236}">
              <a16:creationId xmlns:a16="http://schemas.microsoft.com/office/drawing/2014/main" id="{00000000-0008-0000-1200-000072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15" name="CustomShape 1">
          <a:extLst>
            <a:ext uri="{FF2B5EF4-FFF2-40B4-BE49-F238E27FC236}">
              <a16:creationId xmlns:a16="http://schemas.microsoft.com/office/drawing/2014/main" id="{00000000-0008-0000-1200-000073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16" name="CustomShape 1">
          <a:extLst>
            <a:ext uri="{FF2B5EF4-FFF2-40B4-BE49-F238E27FC236}">
              <a16:creationId xmlns:a16="http://schemas.microsoft.com/office/drawing/2014/main" id="{00000000-0008-0000-1200-000074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17" name="CustomShape 1">
          <a:extLst>
            <a:ext uri="{FF2B5EF4-FFF2-40B4-BE49-F238E27FC236}">
              <a16:creationId xmlns:a16="http://schemas.microsoft.com/office/drawing/2014/main" id="{00000000-0008-0000-1200-000075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18" name="CustomShape 1">
          <a:extLst>
            <a:ext uri="{FF2B5EF4-FFF2-40B4-BE49-F238E27FC236}">
              <a16:creationId xmlns:a16="http://schemas.microsoft.com/office/drawing/2014/main" id="{00000000-0008-0000-1200-000076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19" name="CustomShape 1">
          <a:extLst>
            <a:ext uri="{FF2B5EF4-FFF2-40B4-BE49-F238E27FC236}">
              <a16:creationId xmlns:a16="http://schemas.microsoft.com/office/drawing/2014/main" id="{00000000-0008-0000-1200-000077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120" name="CustomShape 1">
          <a:extLst>
            <a:ext uri="{FF2B5EF4-FFF2-40B4-BE49-F238E27FC236}">
              <a16:creationId xmlns:a16="http://schemas.microsoft.com/office/drawing/2014/main" id="{00000000-0008-0000-1200-00007800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121" name="CustomShape 1">
          <a:extLst>
            <a:ext uri="{FF2B5EF4-FFF2-40B4-BE49-F238E27FC236}">
              <a16:creationId xmlns:a16="http://schemas.microsoft.com/office/drawing/2014/main" id="{00000000-0008-0000-1200-00007900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22" name="CustomShape 1">
          <a:extLst>
            <a:ext uri="{FF2B5EF4-FFF2-40B4-BE49-F238E27FC236}">
              <a16:creationId xmlns:a16="http://schemas.microsoft.com/office/drawing/2014/main" id="{00000000-0008-0000-1200-00007A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23" name="CustomShape 1">
          <a:extLst>
            <a:ext uri="{FF2B5EF4-FFF2-40B4-BE49-F238E27FC236}">
              <a16:creationId xmlns:a16="http://schemas.microsoft.com/office/drawing/2014/main" id="{00000000-0008-0000-1200-00007B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24" name="CustomShape 1">
          <a:extLst>
            <a:ext uri="{FF2B5EF4-FFF2-40B4-BE49-F238E27FC236}">
              <a16:creationId xmlns:a16="http://schemas.microsoft.com/office/drawing/2014/main" id="{00000000-0008-0000-1200-00007C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25" name="CustomShape 1">
          <a:extLst>
            <a:ext uri="{FF2B5EF4-FFF2-40B4-BE49-F238E27FC236}">
              <a16:creationId xmlns:a16="http://schemas.microsoft.com/office/drawing/2014/main" id="{00000000-0008-0000-1200-00007D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26" name="CustomShape 1">
          <a:extLst>
            <a:ext uri="{FF2B5EF4-FFF2-40B4-BE49-F238E27FC236}">
              <a16:creationId xmlns:a16="http://schemas.microsoft.com/office/drawing/2014/main" id="{00000000-0008-0000-1200-00007E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27" name="CustomShape 1">
          <a:extLst>
            <a:ext uri="{FF2B5EF4-FFF2-40B4-BE49-F238E27FC236}">
              <a16:creationId xmlns:a16="http://schemas.microsoft.com/office/drawing/2014/main" id="{00000000-0008-0000-1200-00007F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28" name="CustomShape 1">
          <a:extLst>
            <a:ext uri="{FF2B5EF4-FFF2-40B4-BE49-F238E27FC236}">
              <a16:creationId xmlns:a16="http://schemas.microsoft.com/office/drawing/2014/main" id="{00000000-0008-0000-1200-000080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29" name="CustomShape 1">
          <a:extLst>
            <a:ext uri="{FF2B5EF4-FFF2-40B4-BE49-F238E27FC236}">
              <a16:creationId xmlns:a16="http://schemas.microsoft.com/office/drawing/2014/main" id="{00000000-0008-0000-1200-000081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30" name="CustomShape 1">
          <a:extLst>
            <a:ext uri="{FF2B5EF4-FFF2-40B4-BE49-F238E27FC236}">
              <a16:creationId xmlns:a16="http://schemas.microsoft.com/office/drawing/2014/main" id="{00000000-0008-0000-1200-000082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31" name="CustomShape 1">
          <a:extLst>
            <a:ext uri="{FF2B5EF4-FFF2-40B4-BE49-F238E27FC236}">
              <a16:creationId xmlns:a16="http://schemas.microsoft.com/office/drawing/2014/main" id="{00000000-0008-0000-1200-000083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32" name="CustomShape 1">
          <a:extLst>
            <a:ext uri="{FF2B5EF4-FFF2-40B4-BE49-F238E27FC236}">
              <a16:creationId xmlns:a16="http://schemas.microsoft.com/office/drawing/2014/main" id="{00000000-0008-0000-1200-000084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33" name="CustomShape 1">
          <a:extLst>
            <a:ext uri="{FF2B5EF4-FFF2-40B4-BE49-F238E27FC236}">
              <a16:creationId xmlns:a16="http://schemas.microsoft.com/office/drawing/2014/main" id="{00000000-0008-0000-1200-000085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34" name="CustomShape 1">
          <a:extLst>
            <a:ext uri="{FF2B5EF4-FFF2-40B4-BE49-F238E27FC236}">
              <a16:creationId xmlns:a16="http://schemas.microsoft.com/office/drawing/2014/main" id="{00000000-0008-0000-1200-000086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35" name="CustomShape 1">
          <a:extLst>
            <a:ext uri="{FF2B5EF4-FFF2-40B4-BE49-F238E27FC236}">
              <a16:creationId xmlns:a16="http://schemas.microsoft.com/office/drawing/2014/main" id="{00000000-0008-0000-1200-000087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36" name="CustomShape 1">
          <a:extLst>
            <a:ext uri="{FF2B5EF4-FFF2-40B4-BE49-F238E27FC236}">
              <a16:creationId xmlns:a16="http://schemas.microsoft.com/office/drawing/2014/main" id="{00000000-0008-0000-1200-000088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37" name="CustomShape 1">
          <a:extLst>
            <a:ext uri="{FF2B5EF4-FFF2-40B4-BE49-F238E27FC236}">
              <a16:creationId xmlns:a16="http://schemas.microsoft.com/office/drawing/2014/main" id="{00000000-0008-0000-1200-000089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38" name="CustomShape 1">
          <a:extLst>
            <a:ext uri="{FF2B5EF4-FFF2-40B4-BE49-F238E27FC236}">
              <a16:creationId xmlns:a16="http://schemas.microsoft.com/office/drawing/2014/main" id="{00000000-0008-0000-1200-00008A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39" name="CustomShape 1">
          <a:extLst>
            <a:ext uri="{FF2B5EF4-FFF2-40B4-BE49-F238E27FC236}">
              <a16:creationId xmlns:a16="http://schemas.microsoft.com/office/drawing/2014/main" id="{00000000-0008-0000-1200-00008B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40" name="CustomShape 1">
          <a:extLst>
            <a:ext uri="{FF2B5EF4-FFF2-40B4-BE49-F238E27FC236}">
              <a16:creationId xmlns:a16="http://schemas.microsoft.com/office/drawing/2014/main" id="{00000000-0008-0000-1200-00008C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40</xdr:row>
      <xdr:rowOff>152640</xdr:rowOff>
    </xdr:from>
    <xdr:to>
      <xdr:col>0</xdr:col>
      <xdr:colOff>1326600</xdr:colOff>
      <xdr:row>41</xdr:row>
      <xdr:rowOff>21960</xdr:rowOff>
    </xdr:to>
    <xdr:sp macro="" textlink="">
      <xdr:nvSpPr>
        <xdr:cNvPr id="141" name="CustomShape 1">
          <a:extLst>
            <a:ext uri="{FF2B5EF4-FFF2-40B4-BE49-F238E27FC236}">
              <a16:creationId xmlns:a16="http://schemas.microsoft.com/office/drawing/2014/main" id="{00000000-0008-0000-1200-00008D000000}"/>
            </a:ext>
          </a:extLst>
        </xdr:cNvPr>
        <xdr:cNvSpPr/>
      </xdr:nvSpPr>
      <xdr:spPr>
        <a:xfrm>
          <a:off x="0" y="7067520"/>
          <a:ext cx="132660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42" name="CustomShape 1">
          <a:extLst>
            <a:ext uri="{FF2B5EF4-FFF2-40B4-BE49-F238E27FC236}">
              <a16:creationId xmlns:a16="http://schemas.microsoft.com/office/drawing/2014/main" id="{00000000-0008-0000-1200-00008E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43" name="CustomShape 1">
          <a:extLst>
            <a:ext uri="{FF2B5EF4-FFF2-40B4-BE49-F238E27FC236}">
              <a16:creationId xmlns:a16="http://schemas.microsoft.com/office/drawing/2014/main" id="{00000000-0008-0000-1200-00008F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44" name="CustomShape 1">
          <a:extLst>
            <a:ext uri="{FF2B5EF4-FFF2-40B4-BE49-F238E27FC236}">
              <a16:creationId xmlns:a16="http://schemas.microsoft.com/office/drawing/2014/main" id="{00000000-0008-0000-1200-000090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45" name="CustomShape 1">
          <a:extLst>
            <a:ext uri="{FF2B5EF4-FFF2-40B4-BE49-F238E27FC236}">
              <a16:creationId xmlns:a16="http://schemas.microsoft.com/office/drawing/2014/main" id="{00000000-0008-0000-1200-000091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46" name="CustomShape 1">
          <a:extLst>
            <a:ext uri="{FF2B5EF4-FFF2-40B4-BE49-F238E27FC236}">
              <a16:creationId xmlns:a16="http://schemas.microsoft.com/office/drawing/2014/main" id="{00000000-0008-0000-1200-000092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47" name="CustomShape 1">
          <a:extLst>
            <a:ext uri="{FF2B5EF4-FFF2-40B4-BE49-F238E27FC236}">
              <a16:creationId xmlns:a16="http://schemas.microsoft.com/office/drawing/2014/main" id="{00000000-0008-0000-1200-000093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48" name="CustomShape 1">
          <a:extLst>
            <a:ext uri="{FF2B5EF4-FFF2-40B4-BE49-F238E27FC236}">
              <a16:creationId xmlns:a16="http://schemas.microsoft.com/office/drawing/2014/main" id="{00000000-0008-0000-1200-000094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49" name="CustomShape 1">
          <a:extLst>
            <a:ext uri="{FF2B5EF4-FFF2-40B4-BE49-F238E27FC236}">
              <a16:creationId xmlns:a16="http://schemas.microsoft.com/office/drawing/2014/main" id="{00000000-0008-0000-1200-000095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50" name="CustomShape 1">
          <a:extLst>
            <a:ext uri="{FF2B5EF4-FFF2-40B4-BE49-F238E27FC236}">
              <a16:creationId xmlns:a16="http://schemas.microsoft.com/office/drawing/2014/main" id="{00000000-0008-0000-1200-000096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51" name="CustomShape 1">
          <a:extLst>
            <a:ext uri="{FF2B5EF4-FFF2-40B4-BE49-F238E27FC236}">
              <a16:creationId xmlns:a16="http://schemas.microsoft.com/office/drawing/2014/main" id="{00000000-0008-0000-1200-000097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52" name="CustomShape 1">
          <a:extLst>
            <a:ext uri="{FF2B5EF4-FFF2-40B4-BE49-F238E27FC236}">
              <a16:creationId xmlns:a16="http://schemas.microsoft.com/office/drawing/2014/main" id="{00000000-0008-0000-1200-000098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53" name="CustomShape 1">
          <a:extLst>
            <a:ext uri="{FF2B5EF4-FFF2-40B4-BE49-F238E27FC236}">
              <a16:creationId xmlns:a16="http://schemas.microsoft.com/office/drawing/2014/main" id="{00000000-0008-0000-1200-000099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54" name="CustomShape 1">
          <a:extLst>
            <a:ext uri="{FF2B5EF4-FFF2-40B4-BE49-F238E27FC236}">
              <a16:creationId xmlns:a16="http://schemas.microsoft.com/office/drawing/2014/main" id="{00000000-0008-0000-1200-00009A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55" name="CustomShape 1">
          <a:extLst>
            <a:ext uri="{FF2B5EF4-FFF2-40B4-BE49-F238E27FC236}">
              <a16:creationId xmlns:a16="http://schemas.microsoft.com/office/drawing/2014/main" id="{00000000-0008-0000-1200-00009B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56" name="CustomShape 1">
          <a:extLst>
            <a:ext uri="{FF2B5EF4-FFF2-40B4-BE49-F238E27FC236}">
              <a16:creationId xmlns:a16="http://schemas.microsoft.com/office/drawing/2014/main" id="{00000000-0008-0000-1200-00009C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57" name="CustomShape 1">
          <a:extLst>
            <a:ext uri="{FF2B5EF4-FFF2-40B4-BE49-F238E27FC236}">
              <a16:creationId xmlns:a16="http://schemas.microsoft.com/office/drawing/2014/main" id="{00000000-0008-0000-1200-00009D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58" name="CustomShape 1">
          <a:extLst>
            <a:ext uri="{FF2B5EF4-FFF2-40B4-BE49-F238E27FC236}">
              <a16:creationId xmlns:a16="http://schemas.microsoft.com/office/drawing/2014/main" id="{00000000-0008-0000-1200-00009E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59" name="CustomShape 1">
          <a:extLst>
            <a:ext uri="{FF2B5EF4-FFF2-40B4-BE49-F238E27FC236}">
              <a16:creationId xmlns:a16="http://schemas.microsoft.com/office/drawing/2014/main" id="{00000000-0008-0000-1200-00009F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60" name="CustomShape 1">
          <a:extLst>
            <a:ext uri="{FF2B5EF4-FFF2-40B4-BE49-F238E27FC236}">
              <a16:creationId xmlns:a16="http://schemas.microsoft.com/office/drawing/2014/main" id="{00000000-0008-0000-1200-0000A0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61" name="CustomShape 1">
          <a:extLst>
            <a:ext uri="{FF2B5EF4-FFF2-40B4-BE49-F238E27FC236}">
              <a16:creationId xmlns:a16="http://schemas.microsoft.com/office/drawing/2014/main" id="{00000000-0008-0000-1200-0000A1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62" name="CustomShape 1">
          <a:extLst>
            <a:ext uri="{FF2B5EF4-FFF2-40B4-BE49-F238E27FC236}">
              <a16:creationId xmlns:a16="http://schemas.microsoft.com/office/drawing/2014/main" id="{00000000-0008-0000-1200-0000A2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63" name="CustomShape 1">
          <a:extLst>
            <a:ext uri="{FF2B5EF4-FFF2-40B4-BE49-F238E27FC236}">
              <a16:creationId xmlns:a16="http://schemas.microsoft.com/office/drawing/2014/main" id="{00000000-0008-0000-1200-0000A3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64" name="CustomShape 1">
          <a:extLst>
            <a:ext uri="{FF2B5EF4-FFF2-40B4-BE49-F238E27FC236}">
              <a16:creationId xmlns:a16="http://schemas.microsoft.com/office/drawing/2014/main" id="{00000000-0008-0000-1200-0000A4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65" name="CustomShape 1">
          <a:extLst>
            <a:ext uri="{FF2B5EF4-FFF2-40B4-BE49-F238E27FC236}">
              <a16:creationId xmlns:a16="http://schemas.microsoft.com/office/drawing/2014/main" id="{00000000-0008-0000-1200-0000A5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66" name="CustomShape 1">
          <a:extLst>
            <a:ext uri="{FF2B5EF4-FFF2-40B4-BE49-F238E27FC236}">
              <a16:creationId xmlns:a16="http://schemas.microsoft.com/office/drawing/2014/main" id="{00000000-0008-0000-1200-0000A6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67" name="CustomShape 1">
          <a:extLst>
            <a:ext uri="{FF2B5EF4-FFF2-40B4-BE49-F238E27FC236}">
              <a16:creationId xmlns:a16="http://schemas.microsoft.com/office/drawing/2014/main" id="{00000000-0008-0000-1200-0000A7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68" name="CustomShape 1">
          <a:extLst>
            <a:ext uri="{FF2B5EF4-FFF2-40B4-BE49-F238E27FC236}">
              <a16:creationId xmlns:a16="http://schemas.microsoft.com/office/drawing/2014/main" id="{00000000-0008-0000-1200-0000A8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69" name="CustomShape 1">
          <a:extLst>
            <a:ext uri="{FF2B5EF4-FFF2-40B4-BE49-F238E27FC236}">
              <a16:creationId xmlns:a16="http://schemas.microsoft.com/office/drawing/2014/main" id="{00000000-0008-0000-1200-0000A9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70" name="CustomShape 1">
          <a:extLst>
            <a:ext uri="{FF2B5EF4-FFF2-40B4-BE49-F238E27FC236}">
              <a16:creationId xmlns:a16="http://schemas.microsoft.com/office/drawing/2014/main" id="{00000000-0008-0000-1200-0000AA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71" name="CustomShape 1">
          <a:extLst>
            <a:ext uri="{FF2B5EF4-FFF2-40B4-BE49-F238E27FC236}">
              <a16:creationId xmlns:a16="http://schemas.microsoft.com/office/drawing/2014/main" id="{00000000-0008-0000-1200-0000AB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72" name="CustomShape 1">
          <a:extLst>
            <a:ext uri="{FF2B5EF4-FFF2-40B4-BE49-F238E27FC236}">
              <a16:creationId xmlns:a16="http://schemas.microsoft.com/office/drawing/2014/main" id="{00000000-0008-0000-1200-0000AC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73" name="CustomShape 1">
          <a:extLst>
            <a:ext uri="{FF2B5EF4-FFF2-40B4-BE49-F238E27FC236}">
              <a16:creationId xmlns:a16="http://schemas.microsoft.com/office/drawing/2014/main" id="{00000000-0008-0000-1200-0000AD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74" name="CustomShape 1">
          <a:extLst>
            <a:ext uri="{FF2B5EF4-FFF2-40B4-BE49-F238E27FC236}">
              <a16:creationId xmlns:a16="http://schemas.microsoft.com/office/drawing/2014/main" id="{00000000-0008-0000-1200-0000AE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75" name="CustomShape 1">
          <a:extLst>
            <a:ext uri="{FF2B5EF4-FFF2-40B4-BE49-F238E27FC236}">
              <a16:creationId xmlns:a16="http://schemas.microsoft.com/office/drawing/2014/main" id="{00000000-0008-0000-1200-0000AF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76" name="CustomShape 1">
          <a:extLst>
            <a:ext uri="{FF2B5EF4-FFF2-40B4-BE49-F238E27FC236}">
              <a16:creationId xmlns:a16="http://schemas.microsoft.com/office/drawing/2014/main" id="{00000000-0008-0000-1200-0000B0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77" name="CustomShape 1">
          <a:extLst>
            <a:ext uri="{FF2B5EF4-FFF2-40B4-BE49-F238E27FC236}">
              <a16:creationId xmlns:a16="http://schemas.microsoft.com/office/drawing/2014/main" id="{00000000-0008-0000-1200-0000B1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178" name="CustomShape 1">
          <a:extLst>
            <a:ext uri="{FF2B5EF4-FFF2-40B4-BE49-F238E27FC236}">
              <a16:creationId xmlns:a16="http://schemas.microsoft.com/office/drawing/2014/main" id="{00000000-0008-0000-1200-0000B2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179" name="CustomShape 1">
          <a:extLst>
            <a:ext uri="{FF2B5EF4-FFF2-40B4-BE49-F238E27FC236}">
              <a16:creationId xmlns:a16="http://schemas.microsoft.com/office/drawing/2014/main" id="{00000000-0008-0000-1200-0000B300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180" name="CustomShape 1">
          <a:extLst>
            <a:ext uri="{FF2B5EF4-FFF2-40B4-BE49-F238E27FC236}">
              <a16:creationId xmlns:a16="http://schemas.microsoft.com/office/drawing/2014/main" id="{00000000-0008-0000-1200-0000B400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181" name="CustomShape 1">
          <a:extLst>
            <a:ext uri="{FF2B5EF4-FFF2-40B4-BE49-F238E27FC236}">
              <a16:creationId xmlns:a16="http://schemas.microsoft.com/office/drawing/2014/main" id="{00000000-0008-0000-1200-0000B500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182" name="CustomShape 1">
          <a:extLst>
            <a:ext uri="{FF2B5EF4-FFF2-40B4-BE49-F238E27FC236}">
              <a16:creationId xmlns:a16="http://schemas.microsoft.com/office/drawing/2014/main" id="{00000000-0008-0000-1200-0000B600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183" name="CustomShape 1">
          <a:extLst>
            <a:ext uri="{FF2B5EF4-FFF2-40B4-BE49-F238E27FC236}">
              <a16:creationId xmlns:a16="http://schemas.microsoft.com/office/drawing/2014/main" id="{00000000-0008-0000-1200-0000B700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184" name="CustomShape 1">
          <a:extLst>
            <a:ext uri="{FF2B5EF4-FFF2-40B4-BE49-F238E27FC236}">
              <a16:creationId xmlns:a16="http://schemas.microsoft.com/office/drawing/2014/main" id="{00000000-0008-0000-1200-0000B800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185" name="CustomShape 1">
          <a:extLst>
            <a:ext uri="{FF2B5EF4-FFF2-40B4-BE49-F238E27FC236}">
              <a16:creationId xmlns:a16="http://schemas.microsoft.com/office/drawing/2014/main" id="{00000000-0008-0000-1200-0000B900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186" name="CustomShape 1">
          <a:extLst>
            <a:ext uri="{FF2B5EF4-FFF2-40B4-BE49-F238E27FC236}">
              <a16:creationId xmlns:a16="http://schemas.microsoft.com/office/drawing/2014/main" id="{00000000-0008-0000-1200-0000BA00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187" name="CustomShape 1">
          <a:extLst>
            <a:ext uri="{FF2B5EF4-FFF2-40B4-BE49-F238E27FC236}">
              <a16:creationId xmlns:a16="http://schemas.microsoft.com/office/drawing/2014/main" id="{00000000-0008-0000-1200-0000BB00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188" name="CustomShape 1">
          <a:extLst>
            <a:ext uri="{FF2B5EF4-FFF2-40B4-BE49-F238E27FC236}">
              <a16:creationId xmlns:a16="http://schemas.microsoft.com/office/drawing/2014/main" id="{00000000-0008-0000-1200-0000BC00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189" name="CustomShape 1">
          <a:extLst>
            <a:ext uri="{FF2B5EF4-FFF2-40B4-BE49-F238E27FC236}">
              <a16:creationId xmlns:a16="http://schemas.microsoft.com/office/drawing/2014/main" id="{00000000-0008-0000-1200-0000BD00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190" name="CustomShape 1">
          <a:extLst>
            <a:ext uri="{FF2B5EF4-FFF2-40B4-BE49-F238E27FC236}">
              <a16:creationId xmlns:a16="http://schemas.microsoft.com/office/drawing/2014/main" id="{00000000-0008-0000-1200-0000BE00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191" name="CustomShape 1">
          <a:extLst>
            <a:ext uri="{FF2B5EF4-FFF2-40B4-BE49-F238E27FC236}">
              <a16:creationId xmlns:a16="http://schemas.microsoft.com/office/drawing/2014/main" id="{00000000-0008-0000-1200-0000BF00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192" name="CustomShape 1">
          <a:extLst>
            <a:ext uri="{FF2B5EF4-FFF2-40B4-BE49-F238E27FC236}">
              <a16:creationId xmlns:a16="http://schemas.microsoft.com/office/drawing/2014/main" id="{00000000-0008-0000-1200-0000C000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193" name="CustomShape 1">
          <a:extLst>
            <a:ext uri="{FF2B5EF4-FFF2-40B4-BE49-F238E27FC236}">
              <a16:creationId xmlns:a16="http://schemas.microsoft.com/office/drawing/2014/main" id="{00000000-0008-0000-1200-0000C1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194" name="CustomShape 1">
          <a:extLst>
            <a:ext uri="{FF2B5EF4-FFF2-40B4-BE49-F238E27FC236}">
              <a16:creationId xmlns:a16="http://schemas.microsoft.com/office/drawing/2014/main" id="{00000000-0008-0000-1200-0000C2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195" name="CustomShape 1">
          <a:extLst>
            <a:ext uri="{FF2B5EF4-FFF2-40B4-BE49-F238E27FC236}">
              <a16:creationId xmlns:a16="http://schemas.microsoft.com/office/drawing/2014/main" id="{00000000-0008-0000-1200-0000C3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196" name="CustomShape 1">
          <a:extLst>
            <a:ext uri="{FF2B5EF4-FFF2-40B4-BE49-F238E27FC236}">
              <a16:creationId xmlns:a16="http://schemas.microsoft.com/office/drawing/2014/main" id="{00000000-0008-0000-1200-0000C4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197" name="CustomShape 1">
          <a:extLst>
            <a:ext uri="{FF2B5EF4-FFF2-40B4-BE49-F238E27FC236}">
              <a16:creationId xmlns:a16="http://schemas.microsoft.com/office/drawing/2014/main" id="{00000000-0008-0000-1200-0000C5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198" name="CustomShape 1">
          <a:extLst>
            <a:ext uri="{FF2B5EF4-FFF2-40B4-BE49-F238E27FC236}">
              <a16:creationId xmlns:a16="http://schemas.microsoft.com/office/drawing/2014/main" id="{00000000-0008-0000-1200-0000C6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199" name="CustomShape 1">
          <a:extLst>
            <a:ext uri="{FF2B5EF4-FFF2-40B4-BE49-F238E27FC236}">
              <a16:creationId xmlns:a16="http://schemas.microsoft.com/office/drawing/2014/main" id="{00000000-0008-0000-1200-0000C7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200" name="CustomShape 1">
          <a:extLst>
            <a:ext uri="{FF2B5EF4-FFF2-40B4-BE49-F238E27FC236}">
              <a16:creationId xmlns:a16="http://schemas.microsoft.com/office/drawing/2014/main" id="{00000000-0008-0000-1200-0000C8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201" name="CustomShape 1">
          <a:extLst>
            <a:ext uri="{FF2B5EF4-FFF2-40B4-BE49-F238E27FC236}">
              <a16:creationId xmlns:a16="http://schemas.microsoft.com/office/drawing/2014/main" id="{00000000-0008-0000-1200-0000C9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202" name="CustomShape 1">
          <a:extLst>
            <a:ext uri="{FF2B5EF4-FFF2-40B4-BE49-F238E27FC236}">
              <a16:creationId xmlns:a16="http://schemas.microsoft.com/office/drawing/2014/main" id="{00000000-0008-0000-1200-0000CA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203" name="CustomShape 1">
          <a:extLst>
            <a:ext uri="{FF2B5EF4-FFF2-40B4-BE49-F238E27FC236}">
              <a16:creationId xmlns:a16="http://schemas.microsoft.com/office/drawing/2014/main" id="{00000000-0008-0000-1200-0000CB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204" name="CustomShape 1">
          <a:extLst>
            <a:ext uri="{FF2B5EF4-FFF2-40B4-BE49-F238E27FC236}">
              <a16:creationId xmlns:a16="http://schemas.microsoft.com/office/drawing/2014/main" id="{00000000-0008-0000-1200-0000CC00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205" name="CustomShape 1">
          <a:extLst>
            <a:ext uri="{FF2B5EF4-FFF2-40B4-BE49-F238E27FC236}">
              <a16:creationId xmlns:a16="http://schemas.microsoft.com/office/drawing/2014/main" id="{00000000-0008-0000-1200-0000CD00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206" name="CustomShape 1">
          <a:extLst>
            <a:ext uri="{FF2B5EF4-FFF2-40B4-BE49-F238E27FC236}">
              <a16:creationId xmlns:a16="http://schemas.microsoft.com/office/drawing/2014/main" id="{00000000-0008-0000-1200-0000CE00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07" name="CustomShape 1">
          <a:extLst>
            <a:ext uri="{FF2B5EF4-FFF2-40B4-BE49-F238E27FC236}">
              <a16:creationId xmlns:a16="http://schemas.microsoft.com/office/drawing/2014/main" id="{00000000-0008-0000-1200-0000CF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08" name="CustomShape 1">
          <a:extLst>
            <a:ext uri="{FF2B5EF4-FFF2-40B4-BE49-F238E27FC236}">
              <a16:creationId xmlns:a16="http://schemas.microsoft.com/office/drawing/2014/main" id="{00000000-0008-0000-1200-0000D0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09" name="CustomShape 1">
          <a:extLst>
            <a:ext uri="{FF2B5EF4-FFF2-40B4-BE49-F238E27FC236}">
              <a16:creationId xmlns:a16="http://schemas.microsoft.com/office/drawing/2014/main" id="{00000000-0008-0000-1200-0000D1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10" name="CustomShape 1">
          <a:extLst>
            <a:ext uri="{FF2B5EF4-FFF2-40B4-BE49-F238E27FC236}">
              <a16:creationId xmlns:a16="http://schemas.microsoft.com/office/drawing/2014/main" id="{00000000-0008-0000-1200-0000D2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11" name="CustomShape 1">
          <a:extLst>
            <a:ext uri="{FF2B5EF4-FFF2-40B4-BE49-F238E27FC236}">
              <a16:creationId xmlns:a16="http://schemas.microsoft.com/office/drawing/2014/main" id="{00000000-0008-0000-1200-0000D3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12" name="CustomShape 1">
          <a:extLst>
            <a:ext uri="{FF2B5EF4-FFF2-40B4-BE49-F238E27FC236}">
              <a16:creationId xmlns:a16="http://schemas.microsoft.com/office/drawing/2014/main" id="{00000000-0008-0000-1200-0000D4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13" name="CustomShape 1">
          <a:extLst>
            <a:ext uri="{FF2B5EF4-FFF2-40B4-BE49-F238E27FC236}">
              <a16:creationId xmlns:a16="http://schemas.microsoft.com/office/drawing/2014/main" id="{00000000-0008-0000-1200-0000D5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14" name="CustomShape 1">
          <a:extLst>
            <a:ext uri="{FF2B5EF4-FFF2-40B4-BE49-F238E27FC236}">
              <a16:creationId xmlns:a16="http://schemas.microsoft.com/office/drawing/2014/main" id="{00000000-0008-0000-1200-0000D6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15" name="CustomShape 1">
          <a:extLst>
            <a:ext uri="{FF2B5EF4-FFF2-40B4-BE49-F238E27FC236}">
              <a16:creationId xmlns:a16="http://schemas.microsoft.com/office/drawing/2014/main" id="{00000000-0008-0000-1200-0000D7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16" name="CustomShape 1">
          <a:extLst>
            <a:ext uri="{FF2B5EF4-FFF2-40B4-BE49-F238E27FC236}">
              <a16:creationId xmlns:a16="http://schemas.microsoft.com/office/drawing/2014/main" id="{00000000-0008-0000-1200-0000D8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17" name="CustomShape 1">
          <a:extLst>
            <a:ext uri="{FF2B5EF4-FFF2-40B4-BE49-F238E27FC236}">
              <a16:creationId xmlns:a16="http://schemas.microsoft.com/office/drawing/2014/main" id="{00000000-0008-0000-1200-0000D9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18" name="CustomShape 1">
          <a:extLst>
            <a:ext uri="{FF2B5EF4-FFF2-40B4-BE49-F238E27FC236}">
              <a16:creationId xmlns:a16="http://schemas.microsoft.com/office/drawing/2014/main" id="{00000000-0008-0000-1200-0000DA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219" name="CustomShape 1">
          <a:extLst>
            <a:ext uri="{FF2B5EF4-FFF2-40B4-BE49-F238E27FC236}">
              <a16:creationId xmlns:a16="http://schemas.microsoft.com/office/drawing/2014/main" id="{00000000-0008-0000-1200-0000DB00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220" name="CustomShape 1">
          <a:extLst>
            <a:ext uri="{FF2B5EF4-FFF2-40B4-BE49-F238E27FC236}">
              <a16:creationId xmlns:a16="http://schemas.microsoft.com/office/drawing/2014/main" id="{00000000-0008-0000-1200-0000DC00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21" name="CustomShape 1">
          <a:extLst>
            <a:ext uri="{FF2B5EF4-FFF2-40B4-BE49-F238E27FC236}">
              <a16:creationId xmlns:a16="http://schemas.microsoft.com/office/drawing/2014/main" id="{00000000-0008-0000-1200-0000DD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22" name="CustomShape 1">
          <a:extLst>
            <a:ext uri="{FF2B5EF4-FFF2-40B4-BE49-F238E27FC236}">
              <a16:creationId xmlns:a16="http://schemas.microsoft.com/office/drawing/2014/main" id="{00000000-0008-0000-1200-0000DE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23" name="CustomShape 1">
          <a:extLst>
            <a:ext uri="{FF2B5EF4-FFF2-40B4-BE49-F238E27FC236}">
              <a16:creationId xmlns:a16="http://schemas.microsoft.com/office/drawing/2014/main" id="{00000000-0008-0000-1200-0000DF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24" name="CustomShape 1">
          <a:extLst>
            <a:ext uri="{FF2B5EF4-FFF2-40B4-BE49-F238E27FC236}">
              <a16:creationId xmlns:a16="http://schemas.microsoft.com/office/drawing/2014/main" id="{00000000-0008-0000-1200-0000E0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25" name="CustomShape 1">
          <a:extLst>
            <a:ext uri="{FF2B5EF4-FFF2-40B4-BE49-F238E27FC236}">
              <a16:creationId xmlns:a16="http://schemas.microsoft.com/office/drawing/2014/main" id="{00000000-0008-0000-1200-0000E1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26" name="CustomShape 1">
          <a:extLst>
            <a:ext uri="{FF2B5EF4-FFF2-40B4-BE49-F238E27FC236}">
              <a16:creationId xmlns:a16="http://schemas.microsoft.com/office/drawing/2014/main" id="{00000000-0008-0000-1200-0000E2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27" name="CustomShape 1">
          <a:extLst>
            <a:ext uri="{FF2B5EF4-FFF2-40B4-BE49-F238E27FC236}">
              <a16:creationId xmlns:a16="http://schemas.microsoft.com/office/drawing/2014/main" id="{00000000-0008-0000-1200-0000E3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28" name="CustomShape 1">
          <a:extLst>
            <a:ext uri="{FF2B5EF4-FFF2-40B4-BE49-F238E27FC236}">
              <a16:creationId xmlns:a16="http://schemas.microsoft.com/office/drawing/2014/main" id="{00000000-0008-0000-1200-0000E4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29" name="CustomShape 1">
          <a:extLst>
            <a:ext uri="{FF2B5EF4-FFF2-40B4-BE49-F238E27FC236}">
              <a16:creationId xmlns:a16="http://schemas.microsoft.com/office/drawing/2014/main" id="{00000000-0008-0000-1200-0000E5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30" name="CustomShape 1">
          <a:extLst>
            <a:ext uri="{FF2B5EF4-FFF2-40B4-BE49-F238E27FC236}">
              <a16:creationId xmlns:a16="http://schemas.microsoft.com/office/drawing/2014/main" id="{00000000-0008-0000-1200-0000E6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31" name="CustomShape 1">
          <a:extLst>
            <a:ext uri="{FF2B5EF4-FFF2-40B4-BE49-F238E27FC236}">
              <a16:creationId xmlns:a16="http://schemas.microsoft.com/office/drawing/2014/main" id="{00000000-0008-0000-1200-0000E7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32" name="CustomShape 1">
          <a:extLst>
            <a:ext uri="{FF2B5EF4-FFF2-40B4-BE49-F238E27FC236}">
              <a16:creationId xmlns:a16="http://schemas.microsoft.com/office/drawing/2014/main" id="{00000000-0008-0000-1200-0000E8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33" name="CustomShape 1">
          <a:extLst>
            <a:ext uri="{FF2B5EF4-FFF2-40B4-BE49-F238E27FC236}">
              <a16:creationId xmlns:a16="http://schemas.microsoft.com/office/drawing/2014/main" id="{00000000-0008-0000-1200-0000E9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34" name="CustomShape 1">
          <a:extLst>
            <a:ext uri="{FF2B5EF4-FFF2-40B4-BE49-F238E27FC236}">
              <a16:creationId xmlns:a16="http://schemas.microsoft.com/office/drawing/2014/main" id="{00000000-0008-0000-1200-0000EA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35" name="CustomShape 1">
          <a:extLst>
            <a:ext uri="{FF2B5EF4-FFF2-40B4-BE49-F238E27FC236}">
              <a16:creationId xmlns:a16="http://schemas.microsoft.com/office/drawing/2014/main" id="{00000000-0008-0000-1200-0000EB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36" name="CustomShape 1">
          <a:extLst>
            <a:ext uri="{FF2B5EF4-FFF2-40B4-BE49-F238E27FC236}">
              <a16:creationId xmlns:a16="http://schemas.microsoft.com/office/drawing/2014/main" id="{00000000-0008-0000-1200-0000EC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37" name="CustomShape 1">
          <a:extLst>
            <a:ext uri="{FF2B5EF4-FFF2-40B4-BE49-F238E27FC236}">
              <a16:creationId xmlns:a16="http://schemas.microsoft.com/office/drawing/2014/main" id="{00000000-0008-0000-1200-0000ED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38" name="CustomShape 1">
          <a:extLst>
            <a:ext uri="{FF2B5EF4-FFF2-40B4-BE49-F238E27FC236}">
              <a16:creationId xmlns:a16="http://schemas.microsoft.com/office/drawing/2014/main" id="{00000000-0008-0000-1200-0000EE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39" name="CustomShape 1">
          <a:extLst>
            <a:ext uri="{FF2B5EF4-FFF2-40B4-BE49-F238E27FC236}">
              <a16:creationId xmlns:a16="http://schemas.microsoft.com/office/drawing/2014/main" id="{00000000-0008-0000-1200-0000EF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40" name="CustomShape 1">
          <a:extLst>
            <a:ext uri="{FF2B5EF4-FFF2-40B4-BE49-F238E27FC236}">
              <a16:creationId xmlns:a16="http://schemas.microsoft.com/office/drawing/2014/main" id="{00000000-0008-0000-1200-0000F000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41" name="CustomShape 1">
          <a:extLst>
            <a:ext uri="{FF2B5EF4-FFF2-40B4-BE49-F238E27FC236}">
              <a16:creationId xmlns:a16="http://schemas.microsoft.com/office/drawing/2014/main" id="{00000000-0008-0000-1200-0000F1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42" name="CustomShape 1">
          <a:extLst>
            <a:ext uri="{FF2B5EF4-FFF2-40B4-BE49-F238E27FC236}">
              <a16:creationId xmlns:a16="http://schemas.microsoft.com/office/drawing/2014/main" id="{00000000-0008-0000-1200-0000F2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43" name="CustomShape 1">
          <a:extLst>
            <a:ext uri="{FF2B5EF4-FFF2-40B4-BE49-F238E27FC236}">
              <a16:creationId xmlns:a16="http://schemas.microsoft.com/office/drawing/2014/main" id="{00000000-0008-0000-1200-0000F3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44" name="CustomShape 1">
          <a:extLst>
            <a:ext uri="{FF2B5EF4-FFF2-40B4-BE49-F238E27FC236}">
              <a16:creationId xmlns:a16="http://schemas.microsoft.com/office/drawing/2014/main" id="{00000000-0008-0000-1200-0000F4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45" name="CustomShape 1">
          <a:extLst>
            <a:ext uri="{FF2B5EF4-FFF2-40B4-BE49-F238E27FC236}">
              <a16:creationId xmlns:a16="http://schemas.microsoft.com/office/drawing/2014/main" id="{00000000-0008-0000-1200-0000F5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46" name="CustomShape 1">
          <a:extLst>
            <a:ext uri="{FF2B5EF4-FFF2-40B4-BE49-F238E27FC236}">
              <a16:creationId xmlns:a16="http://schemas.microsoft.com/office/drawing/2014/main" id="{00000000-0008-0000-1200-0000F6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47" name="CustomShape 1">
          <a:extLst>
            <a:ext uri="{FF2B5EF4-FFF2-40B4-BE49-F238E27FC236}">
              <a16:creationId xmlns:a16="http://schemas.microsoft.com/office/drawing/2014/main" id="{00000000-0008-0000-1200-0000F7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48" name="CustomShape 1">
          <a:extLst>
            <a:ext uri="{FF2B5EF4-FFF2-40B4-BE49-F238E27FC236}">
              <a16:creationId xmlns:a16="http://schemas.microsoft.com/office/drawing/2014/main" id="{00000000-0008-0000-1200-0000F8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49" name="CustomShape 1">
          <a:extLst>
            <a:ext uri="{FF2B5EF4-FFF2-40B4-BE49-F238E27FC236}">
              <a16:creationId xmlns:a16="http://schemas.microsoft.com/office/drawing/2014/main" id="{00000000-0008-0000-1200-0000F9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50" name="CustomShape 1">
          <a:extLst>
            <a:ext uri="{FF2B5EF4-FFF2-40B4-BE49-F238E27FC236}">
              <a16:creationId xmlns:a16="http://schemas.microsoft.com/office/drawing/2014/main" id="{00000000-0008-0000-1200-0000FA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51" name="CustomShape 1">
          <a:extLst>
            <a:ext uri="{FF2B5EF4-FFF2-40B4-BE49-F238E27FC236}">
              <a16:creationId xmlns:a16="http://schemas.microsoft.com/office/drawing/2014/main" id="{00000000-0008-0000-1200-0000FB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52" name="CustomShape 1">
          <a:extLst>
            <a:ext uri="{FF2B5EF4-FFF2-40B4-BE49-F238E27FC236}">
              <a16:creationId xmlns:a16="http://schemas.microsoft.com/office/drawing/2014/main" id="{00000000-0008-0000-1200-0000FC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53" name="CustomShape 1">
          <a:extLst>
            <a:ext uri="{FF2B5EF4-FFF2-40B4-BE49-F238E27FC236}">
              <a16:creationId xmlns:a16="http://schemas.microsoft.com/office/drawing/2014/main" id="{00000000-0008-0000-1200-0000FD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54" name="CustomShape 1">
          <a:extLst>
            <a:ext uri="{FF2B5EF4-FFF2-40B4-BE49-F238E27FC236}">
              <a16:creationId xmlns:a16="http://schemas.microsoft.com/office/drawing/2014/main" id="{00000000-0008-0000-1200-0000FE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55" name="CustomShape 1">
          <a:extLst>
            <a:ext uri="{FF2B5EF4-FFF2-40B4-BE49-F238E27FC236}">
              <a16:creationId xmlns:a16="http://schemas.microsoft.com/office/drawing/2014/main" id="{00000000-0008-0000-1200-0000FF00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56" name="CustomShape 1">
          <a:extLst>
            <a:ext uri="{FF2B5EF4-FFF2-40B4-BE49-F238E27FC236}">
              <a16:creationId xmlns:a16="http://schemas.microsoft.com/office/drawing/2014/main" id="{00000000-0008-0000-1200-000000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57" name="CustomShape 1">
          <a:extLst>
            <a:ext uri="{FF2B5EF4-FFF2-40B4-BE49-F238E27FC236}">
              <a16:creationId xmlns:a16="http://schemas.microsoft.com/office/drawing/2014/main" id="{00000000-0008-0000-1200-000001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58" name="CustomShape 1">
          <a:extLst>
            <a:ext uri="{FF2B5EF4-FFF2-40B4-BE49-F238E27FC236}">
              <a16:creationId xmlns:a16="http://schemas.microsoft.com/office/drawing/2014/main" id="{00000000-0008-0000-1200-000002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59" name="CustomShape 1">
          <a:extLst>
            <a:ext uri="{FF2B5EF4-FFF2-40B4-BE49-F238E27FC236}">
              <a16:creationId xmlns:a16="http://schemas.microsoft.com/office/drawing/2014/main" id="{00000000-0008-0000-1200-000003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60" name="CustomShape 1">
          <a:extLst>
            <a:ext uri="{FF2B5EF4-FFF2-40B4-BE49-F238E27FC236}">
              <a16:creationId xmlns:a16="http://schemas.microsoft.com/office/drawing/2014/main" id="{00000000-0008-0000-1200-000004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61" name="CustomShape 1">
          <a:extLst>
            <a:ext uri="{FF2B5EF4-FFF2-40B4-BE49-F238E27FC236}">
              <a16:creationId xmlns:a16="http://schemas.microsoft.com/office/drawing/2014/main" id="{00000000-0008-0000-1200-000005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62" name="CustomShape 1">
          <a:extLst>
            <a:ext uri="{FF2B5EF4-FFF2-40B4-BE49-F238E27FC236}">
              <a16:creationId xmlns:a16="http://schemas.microsoft.com/office/drawing/2014/main" id="{00000000-0008-0000-1200-000006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63" name="CustomShape 1">
          <a:extLst>
            <a:ext uri="{FF2B5EF4-FFF2-40B4-BE49-F238E27FC236}">
              <a16:creationId xmlns:a16="http://schemas.microsoft.com/office/drawing/2014/main" id="{00000000-0008-0000-1200-000007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64" name="CustomShape 1">
          <a:extLst>
            <a:ext uri="{FF2B5EF4-FFF2-40B4-BE49-F238E27FC236}">
              <a16:creationId xmlns:a16="http://schemas.microsoft.com/office/drawing/2014/main" id="{00000000-0008-0000-1200-000008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65" name="CustomShape 1">
          <a:extLst>
            <a:ext uri="{FF2B5EF4-FFF2-40B4-BE49-F238E27FC236}">
              <a16:creationId xmlns:a16="http://schemas.microsoft.com/office/drawing/2014/main" id="{00000000-0008-0000-1200-000009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66" name="CustomShape 1">
          <a:extLst>
            <a:ext uri="{FF2B5EF4-FFF2-40B4-BE49-F238E27FC236}">
              <a16:creationId xmlns:a16="http://schemas.microsoft.com/office/drawing/2014/main" id="{00000000-0008-0000-1200-00000A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67" name="CustomShape 1">
          <a:extLst>
            <a:ext uri="{FF2B5EF4-FFF2-40B4-BE49-F238E27FC236}">
              <a16:creationId xmlns:a16="http://schemas.microsoft.com/office/drawing/2014/main" id="{00000000-0008-0000-1200-00000B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68" name="CustomShape 1">
          <a:extLst>
            <a:ext uri="{FF2B5EF4-FFF2-40B4-BE49-F238E27FC236}">
              <a16:creationId xmlns:a16="http://schemas.microsoft.com/office/drawing/2014/main" id="{00000000-0008-0000-1200-00000C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69" name="CustomShape 1">
          <a:extLst>
            <a:ext uri="{FF2B5EF4-FFF2-40B4-BE49-F238E27FC236}">
              <a16:creationId xmlns:a16="http://schemas.microsoft.com/office/drawing/2014/main" id="{00000000-0008-0000-1200-00000D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70" name="CustomShape 1">
          <a:extLst>
            <a:ext uri="{FF2B5EF4-FFF2-40B4-BE49-F238E27FC236}">
              <a16:creationId xmlns:a16="http://schemas.microsoft.com/office/drawing/2014/main" id="{00000000-0008-0000-1200-00000E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71" name="CustomShape 1">
          <a:extLst>
            <a:ext uri="{FF2B5EF4-FFF2-40B4-BE49-F238E27FC236}">
              <a16:creationId xmlns:a16="http://schemas.microsoft.com/office/drawing/2014/main" id="{00000000-0008-0000-1200-00000F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72" name="CustomShape 1">
          <a:extLst>
            <a:ext uri="{FF2B5EF4-FFF2-40B4-BE49-F238E27FC236}">
              <a16:creationId xmlns:a16="http://schemas.microsoft.com/office/drawing/2014/main" id="{00000000-0008-0000-1200-000010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73" name="CustomShape 1">
          <a:extLst>
            <a:ext uri="{FF2B5EF4-FFF2-40B4-BE49-F238E27FC236}">
              <a16:creationId xmlns:a16="http://schemas.microsoft.com/office/drawing/2014/main" id="{00000000-0008-0000-1200-000011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74" name="CustomShape 1">
          <a:extLst>
            <a:ext uri="{FF2B5EF4-FFF2-40B4-BE49-F238E27FC236}">
              <a16:creationId xmlns:a16="http://schemas.microsoft.com/office/drawing/2014/main" id="{00000000-0008-0000-1200-000012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75" name="CustomShape 1">
          <a:extLst>
            <a:ext uri="{FF2B5EF4-FFF2-40B4-BE49-F238E27FC236}">
              <a16:creationId xmlns:a16="http://schemas.microsoft.com/office/drawing/2014/main" id="{00000000-0008-0000-1200-000013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76" name="CustomShape 1">
          <a:extLst>
            <a:ext uri="{FF2B5EF4-FFF2-40B4-BE49-F238E27FC236}">
              <a16:creationId xmlns:a16="http://schemas.microsoft.com/office/drawing/2014/main" id="{00000000-0008-0000-1200-000014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77" name="CustomShape 1">
          <a:extLst>
            <a:ext uri="{FF2B5EF4-FFF2-40B4-BE49-F238E27FC236}">
              <a16:creationId xmlns:a16="http://schemas.microsoft.com/office/drawing/2014/main" id="{00000000-0008-0000-1200-000015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278" name="CustomShape 1">
          <a:extLst>
            <a:ext uri="{FF2B5EF4-FFF2-40B4-BE49-F238E27FC236}">
              <a16:creationId xmlns:a16="http://schemas.microsoft.com/office/drawing/2014/main" id="{00000000-0008-0000-1200-000016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279" name="CustomShape 1">
          <a:extLst>
            <a:ext uri="{FF2B5EF4-FFF2-40B4-BE49-F238E27FC236}">
              <a16:creationId xmlns:a16="http://schemas.microsoft.com/office/drawing/2014/main" id="{00000000-0008-0000-1200-000017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280" name="CustomShape 1">
          <a:extLst>
            <a:ext uri="{FF2B5EF4-FFF2-40B4-BE49-F238E27FC236}">
              <a16:creationId xmlns:a16="http://schemas.microsoft.com/office/drawing/2014/main" id="{00000000-0008-0000-1200-000018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281" name="CustomShape 1">
          <a:extLst>
            <a:ext uri="{FF2B5EF4-FFF2-40B4-BE49-F238E27FC236}">
              <a16:creationId xmlns:a16="http://schemas.microsoft.com/office/drawing/2014/main" id="{00000000-0008-0000-1200-000019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282" name="CustomShape 1">
          <a:extLst>
            <a:ext uri="{FF2B5EF4-FFF2-40B4-BE49-F238E27FC236}">
              <a16:creationId xmlns:a16="http://schemas.microsoft.com/office/drawing/2014/main" id="{00000000-0008-0000-1200-00001A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283" name="CustomShape 1">
          <a:extLst>
            <a:ext uri="{FF2B5EF4-FFF2-40B4-BE49-F238E27FC236}">
              <a16:creationId xmlns:a16="http://schemas.microsoft.com/office/drawing/2014/main" id="{00000000-0008-0000-1200-00001B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84" name="CustomShape 1">
          <a:extLst>
            <a:ext uri="{FF2B5EF4-FFF2-40B4-BE49-F238E27FC236}">
              <a16:creationId xmlns:a16="http://schemas.microsoft.com/office/drawing/2014/main" id="{00000000-0008-0000-1200-00001C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85" name="CustomShape 1">
          <a:extLst>
            <a:ext uri="{FF2B5EF4-FFF2-40B4-BE49-F238E27FC236}">
              <a16:creationId xmlns:a16="http://schemas.microsoft.com/office/drawing/2014/main" id="{00000000-0008-0000-1200-00001D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86" name="CustomShape 1">
          <a:extLst>
            <a:ext uri="{FF2B5EF4-FFF2-40B4-BE49-F238E27FC236}">
              <a16:creationId xmlns:a16="http://schemas.microsoft.com/office/drawing/2014/main" id="{00000000-0008-0000-1200-00001E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87" name="CustomShape 1">
          <a:extLst>
            <a:ext uri="{FF2B5EF4-FFF2-40B4-BE49-F238E27FC236}">
              <a16:creationId xmlns:a16="http://schemas.microsoft.com/office/drawing/2014/main" id="{00000000-0008-0000-1200-00001F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88" name="CustomShape 1">
          <a:extLst>
            <a:ext uri="{FF2B5EF4-FFF2-40B4-BE49-F238E27FC236}">
              <a16:creationId xmlns:a16="http://schemas.microsoft.com/office/drawing/2014/main" id="{00000000-0008-0000-1200-000020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89" name="CustomShape 1">
          <a:extLst>
            <a:ext uri="{FF2B5EF4-FFF2-40B4-BE49-F238E27FC236}">
              <a16:creationId xmlns:a16="http://schemas.microsoft.com/office/drawing/2014/main" id="{00000000-0008-0000-1200-000021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290" name="CustomShape 1">
          <a:extLst>
            <a:ext uri="{FF2B5EF4-FFF2-40B4-BE49-F238E27FC236}">
              <a16:creationId xmlns:a16="http://schemas.microsoft.com/office/drawing/2014/main" id="{00000000-0008-0000-1200-00002201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291" name="CustomShape 1">
          <a:extLst>
            <a:ext uri="{FF2B5EF4-FFF2-40B4-BE49-F238E27FC236}">
              <a16:creationId xmlns:a16="http://schemas.microsoft.com/office/drawing/2014/main" id="{00000000-0008-0000-1200-00002301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92" name="CustomShape 1">
          <a:extLst>
            <a:ext uri="{FF2B5EF4-FFF2-40B4-BE49-F238E27FC236}">
              <a16:creationId xmlns:a16="http://schemas.microsoft.com/office/drawing/2014/main" id="{00000000-0008-0000-1200-000024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93" name="CustomShape 1">
          <a:extLst>
            <a:ext uri="{FF2B5EF4-FFF2-40B4-BE49-F238E27FC236}">
              <a16:creationId xmlns:a16="http://schemas.microsoft.com/office/drawing/2014/main" id="{00000000-0008-0000-1200-000025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94" name="CustomShape 1">
          <a:extLst>
            <a:ext uri="{FF2B5EF4-FFF2-40B4-BE49-F238E27FC236}">
              <a16:creationId xmlns:a16="http://schemas.microsoft.com/office/drawing/2014/main" id="{00000000-0008-0000-1200-000026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95" name="CustomShape 1">
          <a:extLst>
            <a:ext uri="{FF2B5EF4-FFF2-40B4-BE49-F238E27FC236}">
              <a16:creationId xmlns:a16="http://schemas.microsoft.com/office/drawing/2014/main" id="{00000000-0008-0000-1200-000027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96" name="CustomShape 1">
          <a:extLst>
            <a:ext uri="{FF2B5EF4-FFF2-40B4-BE49-F238E27FC236}">
              <a16:creationId xmlns:a16="http://schemas.microsoft.com/office/drawing/2014/main" id="{00000000-0008-0000-1200-000028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297" name="CustomShape 1">
          <a:extLst>
            <a:ext uri="{FF2B5EF4-FFF2-40B4-BE49-F238E27FC236}">
              <a16:creationId xmlns:a16="http://schemas.microsoft.com/office/drawing/2014/main" id="{00000000-0008-0000-1200-000029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98" name="CustomShape 1">
          <a:extLst>
            <a:ext uri="{FF2B5EF4-FFF2-40B4-BE49-F238E27FC236}">
              <a16:creationId xmlns:a16="http://schemas.microsoft.com/office/drawing/2014/main" id="{00000000-0008-0000-1200-00002A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299" name="CustomShape 1">
          <a:extLst>
            <a:ext uri="{FF2B5EF4-FFF2-40B4-BE49-F238E27FC236}">
              <a16:creationId xmlns:a16="http://schemas.microsoft.com/office/drawing/2014/main" id="{00000000-0008-0000-1200-00002B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00" name="CustomShape 1">
          <a:extLst>
            <a:ext uri="{FF2B5EF4-FFF2-40B4-BE49-F238E27FC236}">
              <a16:creationId xmlns:a16="http://schemas.microsoft.com/office/drawing/2014/main" id="{00000000-0008-0000-1200-00002C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01" name="CustomShape 1">
          <a:extLst>
            <a:ext uri="{FF2B5EF4-FFF2-40B4-BE49-F238E27FC236}">
              <a16:creationId xmlns:a16="http://schemas.microsoft.com/office/drawing/2014/main" id="{00000000-0008-0000-1200-00002D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02" name="CustomShape 1">
          <a:extLst>
            <a:ext uri="{FF2B5EF4-FFF2-40B4-BE49-F238E27FC236}">
              <a16:creationId xmlns:a16="http://schemas.microsoft.com/office/drawing/2014/main" id="{00000000-0008-0000-1200-00002E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03" name="CustomShape 1">
          <a:extLst>
            <a:ext uri="{FF2B5EF4-FFF2-40B4-BE49-F238E27FC236}">
              <a16:creationId xmlns:a16="http://schemas.microsoft.com/office/drawing/2014/main" id="{00000000-0008-0000-1200-00002F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304" name="CustomShape 1">
          <a:extLst>
            <a:ext uri="{FF2B5EF4-FFF2-40B4-BE49-F238E27FC236}">
              <a16:creationId xmlns:a16="http://schemas.microsoft.com/office/drawing/2014/main" id="{00000000-0008-0000-1200-00003001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305" name="CustomShape 1">
          <a:extLst>
            <a:ext uri="{FF2B5EF4-FFF2-40B4-BE49-F238E27FC236}">
              <a16:creationId xmlns:a16="http://schemas.microsoft.com/office/drawing/2014/main" id="{00000000-0008-0000-1200-00003101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306" name="CustomShape 1">
          <a:extLst>
            <a:ext uri="{FF2B5EF4-FFF2-40B4-BE49-F238E27FC236}">
              <a16:creationId xmlns:a16="http://schemas.microsoft.com/office/drawing/2014/main" id="{00000000-0008-0000-1200-00003201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307" name="CustomShape 1">
          <a:extLst>
            <a:ext uri="{FF2B5EF4-FFF2-40B4-BE49-F238E27FC236}">
              <a16:creationId xmlns:a16="http://schemas.microsoft.com/office/drawing/2014/main" id="{00000000-0008-0000-1200-00003301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308" name="CustomShape 1">
          <a:extLst>
            <a:ext uri="{FF2B5EF4-FFF2-40B4-BE49-F238E27FC236}">
              <a16:creationId xmlns:a16="http://schemas.microsoft.com/office/drawing/2014/main" id="{00000000-0008-0000-1200-00003401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309" name="CustomShape 1">
          <a:extLst>
            <a:ext uri="{FF2B5EF4-FFF2-40B4-BE49-F238E27FC236}">
              <a16:creationId xmlns:a16="http://schemas.microsoft.com/office/drawing/2014/main" id="{00000000-0008-0000-1200-00003501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310" name="CustomShape 1">
          <a:extLst>
            <a:ext uri="{FF2B5EF4-FFF2-40B4-BE49-F238E27FC236}">
              <a16:creationId xmlns:a16="http://schemas.microsoft.com/office/drawing/2014/main" id="{00000000-0008-0000-1200-00003601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311" name="CustomShape 1">
          <a:extLst>
            <a:ext uri="{FF2B5EF4-FFF2-40B4-BE49-F238E27FC236}">
              <a16:creationId xmlns:a16="http://schemas.microsoft.com/office/drawing/2014/main" id="{00000000-0008-0000-1200-00003701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12" name="CustomShape 1">
          <a:extLst>
            <a:ext uri="{FF2B5EF4-FFF2-40B4-BE49-F238E27FC236}">
              <a16:creationId xmlns:a16="http://schemas.microsoft.com/office/drawing/2014/main" id="{00000000-0008-0000-1200-000038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13" name="CustomShape 1">
          <a:extLst>
            <a:ext uri="{FF2B5EF4-FFF2-40B4-BE49-F238E27FC236}">
              <a16:creationId xmlns:a16="http://schemas.microsoft.com/office/drawing/2014/main" id="{00000000-0008-0000-1200-000039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14" name="CustomShape 1">
          <a:extLst>
            <a:ext uri="{FF2B5EF4-FFF2-40B4-BE49-F238E27FC236}">
              <a16:creationId xmlns:a16="http://schemas.microsoft.com/office/drawing/2014/main" id="{00000000-0008-0000-1200-00003A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15" name="CustomShape 1">
          <a:extLst>
            <a:ext uri="{FF2B5EF4-FFF2-40B4-BE49-F238E27FC236}">
              <a16:creationId xmlns:a16="http://schemas.microsoft.com/office/drawing/2014/main" id="{00000000-0008-0000-1200-00003B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16" name="CustomShape 1">
          <a:extLst>
            <a:ext uri="{FF2B5EF4-FFF2-40B4-BE49-F238E27FC236}">
              <a16:creationId xmlns:a16="http://schemas.microsoft.com/office/drawing/2014/main" id="{00000000-0008-0000-1200-00003C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17" name="CustomShape 1">
          <a:extLst>
            <a:ext uri="{FF2B5EF4-FFF2-40B4-BE49-F238E27FC236}">
              <a16:creationId xmlns:a16="http://schemas.microsoft.com/office/drawing/2014/main" id="{00000000-0008-0000-1200-00003D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18" name="CustomShape 1">
          <a:extLst>
            <a:ext uri="{FF2B5EF4-FFF2-40B4-BE49-F238E27FC236}">
              <a16:creationId xmlns:a16="http://schemas.microsoft.com/office/drawing/2014/main" id="{00000000-0008-0000-1200-00003E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19" name="CustomShape 1">
          <a:extLst>
            <a:ext uri="{FF2B5EF4-FFF2-40B4-BE49-F238E27FC236}">
              <a16:creationId xmlns:a16="http://schemas.microsoft.com/office/drawing/2014/main" id="{00000000-0008-0000-1200-00003F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20" name="CustomShape 1">
          <a:extLst>
            <a:ext uri="{FF2B5EF4-FFF2-40B4-BE49-F238E27FC236}">
              <a16:creationId xmlns:a16="http://schemas.microsoft.com/office/drawing/2014/main" id="{00000000-0008-0000-1200-000040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21" name="CustomShape 1">
          <a:extLst>
            <a:ext uri="{FF2B5EF4-FFF2-40B4-BE49-F238E27FC236}">
              <a16:creationId xmlns:a16="http://schemas.microsoft.com/office/drawing/2014/main" id="{00000000-0008-0000-1200-000041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22" name="CustomShape 1">
          <a:extLst>
            <a:ext uri="{FF2B5EF4-FFF2-40B4-BE49-F238E27FC236}">
              <a16:creationId xmlns:a16="http://schemas.microsoft.com/office/drawing/2014/main" id="{00000000-0008-0000-1200-000042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23" name="CustomShape 1">
          <a:extLst>
            <a:ext uri="{FF2B5EF4-FFF2-40B4-BE49-F238E27FC236}">
              <a16:creationId xmlns:a16="http://schemas.microsoft.com/office/drawing/2014/main" id="{00000000-0008-0000-1200-000043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324" name="CustomShape 1">
          <a:extLst>
            <a:ext uri="{FF2B5EF4-FFF2-40B4-BE49-F238E27FC236}">
              <a16:creationId xmlns:a16="http://schemas.microsoft.com/office/drawing/2014/main" id="{00000000-0008-0000-1200-00004401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325" name="CustomShape 1">
          <a:extLst>
            <a:ext uri="{FF2B5EF4-FFF2-40B4-BE49-F238E27FC236}">
              <a16:creationId xmlns:a16="http://schemas.microsoft.com/office/drawing/2014/main" id="{00000000-0008-0000-1200-00004501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26" name="CustomShape 1">
          <a:extLst>
            <a:ext uri="{FF2B5EF4-FFF2-40B4-BE49-F238E27FC236}">
              <a16:creationId xmlns:a16="http://schemas.microsoft.com/office/drawing/2014/main" id="{00000000-0008-0000-1200-000046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27" name="CustomShape 1">
          <a:extLst>
            <a:ext uri="{FF2B5EF4-FFF2-40B4-BE49-F238E27FC236}">
              <a16:creationId xmlns:a16="http://schemas.microsoft.com/office/drawing/2014/main" id="{00000000-0008-0000-1200-000047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28" name="CustomShape 1">
          <a:extLst>
            <a:ext uri="{FF2B5EF4-FFF2-40B4-BE49-F238E27FC236}">
              <a16:creationId xmlns:a16="http://schemas.microsoft.com/office/drawing/2014/main" id="{00000000-0008-0000-1200-000048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29" name="CustomShape 1">
          <a:extLst>
            <a:ext uri="{FF2B5EF4-FFF2-40B4-BE49-F238E27FC236}">
              <a16:creationId xmlns:a16="http://schemas.microsoft.com/office/drawing/2014/main" id="{00000000-0008-0000-1200-000049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30" name="CustomShape 1">
          <a:extLst>
            <a:ext uri="{FF2B5EF4-FFF2-40B4-BE49-F238E27FC236}">
              <a16:creationId xmlns:a16="http://schemas.microsoft.com/office/drawing/2014/main" id="{00000000-0008-0000-1200-00004A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31" name="CustomShape 1">
          <a:extLst>
            <a:ext uri="{FF2B5EF4-FFF2-40B4-BE49-F238E27FC236}">
              <a16:creationId xmlns:a16="http://schemas.microsoft.com/office/drawing/2014/main" id="{00000000-0008-0000-1200-00004B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32" name="CustomShape 1">
          <a:extLst>
            <a:ext uri="{FF2B5EF4-FFF2-40B4-BE49-F238E27FC236}">
              <a16:creationId xmlns:a16="http://schemas.microsoft.com/office/drawing/2014/main" id="{00000000-0008-0000-1200-00004C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33" name="CustomShape 1">
          <a:extLst>
            <a:ext uri="{FF2B5EF4-FFF2-40B4-BE49-F238E27FC236}">
              <a16:creationId xmlns:a16="http://schemas.microsoft.com/office/drawing/2014/main" id="{00000000-0008-0000-1200-00004D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34" name="CustomShape 1">
          <a:extLst>
            <a:ext uri="{FF2B5EF4-FFF2-40B4-BE49-F238E27FC236}">
              <a16:creationId xmlns:a16="http://schemas.microsoft.com/office/drawing/2014/main" id="{00000000-0008-0000-1200-00004E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35" name="CustomShape 1">
          <a:extLst>
            <a:ext uri="{FF2B5EF4-FFF2-40B4-BE49-F238E27FC236}">
              <a16:creationId xmlns:a16="http://schemas.microsoft.com/office/drawing/2014/main" id="{00000000-0008-0000-1200-00004F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36" name="CustomShape 1">
          <a:extLst>
            <a:ext uri="{FF2B5EF4-FFF2-40B4-BE49-F238E27FC236}">
              <a16:creationId xmlns:a16="http://schemas.microsoft.com/office/drawing/2014/main" id="{00000000-0008-0000-1200-000050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37" name="CustomShape 1">
          <a:extLst>
            <a:ext uri="{FF2B5EF4-FFF2-40B4-BE49-F238E27FC236}">
              <a16:creationId xmlns:a16="http://schemas.microsoft.com/office/drawing/2014/main" id="{00000000-0008-0000-1200-000051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38" name="CustomShape 1">
          <a:extLst>
            <a:ext uri="{FF2B5EF4-FFF2-40B4-BE49-F238E27FC236}">
              <a16:creationId xmlns:a16="http://schemas.microsoft.com/office/drawing/2014/main" id="{00000000-0008-0000-1200-000052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39" name="CustomShape 1">
          <a:extLst>
            <a:ext uri="{FF2B5EF4-FFF2-40B4-BE49-F238E27FC236}">
              <a16:creationId xmlns:a16="http://schemas.microsoft.com/office/drawing/2014/main" id="{00000000-0008-0000-1200-000053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40" name="CustomShape 1">
          <a:extLst>
            <a:ext uri="{FF2B5EF4-FFF2-40B4-BE49-F238E27FC236}">
              <a16:creationId xmlns:a16="http://schemas.microsoft.com/office/drawing/2014/main" id="{00000000-0008-0000-1200-000054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41" name="CustomShape 1">
          <a:extLst>
            <a:ext uri="{FF2B5EF4-FFF2-40B4-BE49-F238E27FC236}">
              <a16:creationId xmlns:a16="http://schemas.microsoft.com/office/drawing/2014/main" id="{00000000-0008-0000-1200-000055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42" name="CustomShape 1">
          <a:extLst>
            <a:ext uri="{FF2B5EF4-FFF2-40B4-BE49-F238E27FC236}">
              <a16:creationId xmlns:a16="http://schemas.microsoft.com/office/drawing/2014/main" id="{00000000-0008-0000-1200-000056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43" name="CustomShape 1">
          <a:extLst>
            <a:ext uri="{FF2B5EF4-FFF2-40B4-BE49-F238E27FC236}">
              <a16:creationId xmlns:a16="http://schemas.microsoft.com/office/drawing/2014/main" id="{00000000-0008-0000-1200-000057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44" name="CustomShape 1">
          <a:extLst>
            <a:ext uri="{FF2B5EF4-FFF2-40B4-BE49-F238E27FC236}">
              <a16:creationId xmlns:a16="http://schemas.microsoft.com/office/drawing/2014/main" id="{00000000-0008-0000-1200-000058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345" name="CustomShape 1">
          <a:extLst>
            <a:ext uri="{FF2B5EF4-FFF2-40B4-BE49-F238E27FC236}">
              <a16:creationId xmlns:a16="http://schemas.microsoft.com/office/drawing/2014/main" id="{00000000-0008-0000-1200-000059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46" name="CustomShape 1">
          <a:extLst>
            <a:ext uri="{FF2B5EF4-FFF2-40B4-BE49-F238E27FC236}">
              <a16:creationId xmlns:a16="http://schemas.microsoft.com/office/drawing/2014/main" id="{00000000-0008-0000-1200-00005A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47" name="CustomShape 1">
          <a:extLst>
            <a:ext uri="{FF2B5EF4-FFF2-40B4-BE49-F238E27FC236}">
              <a16:creationId xmlns:a16="http://schemas.microsoft.com/office/drawing/2014/main" id="{00000000-0008-0000-1200-00005B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48" name="CustomShape 1">
          <a:extLst>
            <a:ext uri="{FF2B5EF4-FFF2-40B4-BE49-F238E27FC236}">
              <a16:creationId xmlns:a16="http://schemas.microsoft.com/office/drawing/2014/main" id="{00000000-0008-0000-1200-00005C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49" name="CustomShape 1">
          <a:extLst>
            <a:ext uri="{FF2B5EF4-FFF2-40B4-BE49-F238E27FC236}">
              <a16:creationId xmlns:a16="http://schemas.microsoft.com/office/drawing/2014/main" id="{00000000-0008-0000-1200-00005D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50" name="CustomShape 1">
          <a:extLst>
            <a:ext uri="{FF2B5EF4-FFF2-40B4-BE49-F238E27FC236}">
              <a16:creationId xmlns:a16="http://schemas.microsoft.com/office/drawing/2014/main" id="{00000000-0008-0000-1200-00005E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51" name="CustomShape 1">
          <a:extLst>
            <a:ext uri="{FF2B5EF4-FFF2-40B4-BE49-F238E27FC236}">
              <a16:creationId xmlns:a16="http://schemas.microsoft.com/office/drawing/2014/main" id="{00000000-0008-0000-1200-00005F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52" name="CustomShape 1">
          <a:extLst>
            <a:ext uri="{FF2B5EF4-FFF2-40B4-BE49-F238E27FC236}">
              <a16:creationId xmlns:a16="http://schemas.microsoft.com/office/drawing/2014/main" id="{00000000-0008-0000-1200-000060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53" name="CustomShape 1">
          <a:extLst>
            <a:ext uri="{FF2B5EF4-FFF2-40B4-BE49-F238E27FC236}">
              <a16:creationId xmlns:a16="http://schemas.microsoft.com/office/drawing/2014/main" id="{00000000-0008-0000-1200-000061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54" name="CustomShape 1">
          <a:extLst>
            <a:ext uri="{FF2B5EF4-FFF2-40B4-BE49-F238E27FC236}">
              <a16:creationId xmlns:a16="http://schemas.microsoft.com/office/drawing/2014/main" id="{00000000-0008-0000-1200-000062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55" name="CustomShape 1">
          <a:extLst>
            <a:ext uri="{FF2B5EF4-FFF2-40B4-BE49-F238E27FC236}">
              <a16:creationId xmlns:a16="http://schemas.microsoft.com/office/drawing/2014/main" id="{00000000-0008-0000-1200-000063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56" name="CustomShape 1">
          <a:extLst>
            <a:ext uri="{FF2B5EF4-FFF2-40B4-BE49-F238E27FC236}">
              <a16:creationId xmlns:a16="http://schemas.microsoft.com/office/drawing/2014/main" id="{00000000-0008-0000-1200-000064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57" name="CustomShape 1">
          <a:extLst>
            <a:ext uri="{FF2B5EF4-FFF2-40B4-BE49-F238E27FC236}">
              <a16:creationId xmlns:a16="http://schemas.microsoft.com/office/drawing/2014/main" id="{00000000-0008-0000-1200-000065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58" name="CustomShape 1">
          <a:extLst>
            <a:ext uri="{FF2B5EF4-FFF2-40B4-BE49-F238E27FC236}">
              <a16:creationId xmlns:a16="http://schemas.microsoft.com/office/drawing/2014/main" id="{00000000-0008-0000-1200-000066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59" name="CustomShape 1">
          <a:extLst>
            <a:ext uri="{FF2B5EF4-FFF2-40B4-BE49-F238E27FC236}">
              <a16:creationId xmlns:a16="http://schemas.microsoft.com/office/drawing/2014/main" id="{00000000-0008-0000-1200-000067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60" name="CustomShape 1">
          <a:extLst>
            <a:ext uri="{FF2B5EF4-FFF2-40B4-BE49-F238E27FC236}">
              <a16:creationId xmlns:a16="http://schemas.microsoft.com/office/drawing/2014/main" id="{00000000-0008-0000-1200-000068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61" name="CustomShape 1">
          <a:extLst>
            <a:ext uri="{FF2B5EF4-FFF2-40B4-BE49-F238E27FC236}">
              <a16:creationId xmlns:a16="http://schemas.microsoft.com/office/drawing/2014/main" id="{00000000-0008-0000-1200-000069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62" name="CustomShape 1">
          <a:extLst>
            <a:ext uri="{FF2B5EF4-FFF2-40B4-BE49-F238E27FC236}">
              <a16:creationId xmlns:a16="http://schemas.microsoft.com/office/drawing/2014/main" id="{00000000-0008-0000-1200-00006A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63" name="CustomShape 1">
          <a:extLst>
            <a:ext uri="{FF2B5EF4-FFF2-40B4-BE49-F238E27FC236}">
              <a16:creationId xmlns:a16="http://schemas.microsoft.com/office/drawing/2014/main" id="{00000000-0008-0000-1200-00006B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64" name="CustomShape 1">
          <a:extLst>
            <a:ext uri="{FF2B5EF4-FFF2-40B4-BE49-F238E27FC236}">
              <a16:creationId xmlns:a16="http://schemas.microsoft.com/office/drawing/2014/main" id="{00000000-0008-0000-1200-00006C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65" name="CustomShape 1">
          <a:extLst>
            <a:ext uri="{FF2B5EF4-FFF2-40B4-BE49-F238E27FC236}">
              <a16:creationId xmlns:a16="http://schemas.microsoft.com/office/drawing/2014/main" id="{00000000-0008-0000-1200-00006D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66" name="CustomShape 1">
          <a:extLst>
            <a:ext uri="{FF2B5EF4-FFF2-40B4-BE49-F238E27FC236}">
              <a16:creationId xmlns:a16="http://schemas.microsoft.com/office/drawing/2014/main" id="{00000000-0008-0000-1200-00006E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67" name="CustomShape 1">
          <a:extLst>
            <a:ext uri="{FF2B5EF4-FFF2-40B4-BE49-F238E27FC236}">
              <a16:creationId xmlns:a16="http://schemas.microsoft.com/office/drawing/2014/main" id="{00000000-0008-0000-1200-00006F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68" name="CustomShape 1">
          <a:extLst>
            <a:ext uri="{FF2B5EF4-FFF2-40B4-BE49-F238E27FC236}">
              <a16:creationId xmlns:a16="http://schemas.microsoft.com/office/drawing/2014/main" id="{00000000-0008-0000-1200-000070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69" name="CustomShape 1">
          <a:extLst>
            <a:ext uri="{FF2B5EF4-FFF2-40B4-BE49-F238E27FC236}">
              <a16:creationId xmlns:a16="http://schemas.microsoft.com/office/drawing/2014/main" id="{00000000-0008-0000-1200-000071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70" name="CustomShape 1">
          <a:extLst>
            <a:ext uri="{FF2B5EF4-FFF2-40B4-BE49-F238E27FC236}">
              <a16:creationId xmlns:a16="http://schemas.microsoft.com/office/drawing/2014/main" id="{00000000-0008-0000-1200-000072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71" name="CustomShape 1">
          <a:extLst>
            <a:ext uri="{FF2B5EF4-FFF2-40B4-BE49-F238E27FC236}">
              <a16:creationId xmlns:a16="http://schemas.microsoft.com/office/drawing/2014/main" id="{00000000-0008-0000-1200-000073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72" name="CustomShape 1">
          <a:extLst>
            <a:ext uri="{FF2B5EF4-FFF2-40B4-BE49-F238E27FC236}">
              <a16:creationId xmlns:a16="http://schemas.microsoft.com/office/drawing/2014/main" id="{00000000-0008-0000-1200-000074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73" name="CustomShape 1">
          <a:extLst>
            <a:ext uri="{FF2B5EF4-FFF2-40B4-BE49-F238E27FC236}">
              <a16:creationId xmlns:a16="http://schemas.microsoft.com/office/drawing/2014/main" id="{00000000-0008-0000-1200-000075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74" name="CustomShape 1">
          <a:extLst>
            <a:ext uri="{FF2B5EF4-FFF2-40B4-BE49-F238E27FC236}">
              <a16:creationId xmlns:a16="http://schemas.microsoft.com/office/drawing/2014/main" id="{00000000-0008-0000-1200-000076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75" name="CustomShape 1">
          <a:extLst>
            <a:ext uri="{FF2B5EF4-FFF2-40B4-BE49-F238E27FC236}">
              <a16:creationId xmlns:a16="http://schemas.microsoft.com/office/drawing/2014/main" id="{00000000-0008-0000-1200-000077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76" name="CustomShape 1">
          <a:extLst>
            <a:ext uri="{FF2B5EF4-FFF2-40B4-BE49-F238E27FC236}">
              <a16:creationId xmlns:a16="http://schemas.microsoft.com/office/drawing/2014/main" id="{00000000-0008-0000-1200-000078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77" name="CustomShape 1">
          <a:extLst>
            <a:ext uri="{FF2B5EF4-FFF2-40B4-BE49-F238E27FC236}">
              <a16:creationId xmlns:a16="http://schemas.microsoft.com/office/drawing/2014/main" id="{00000000-0008-0000-1200-000079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78" name="CustomShape 1">
          <a:extLst>
            <a:ext uri="{FF2B5EF4-FFF2-40B4-BE49-F238E27FC236}">
              <a16:creationId xmlns:a16="http://schemas.microsoft.com/office/drawing/2014/main" id="{00000000-0008-0000-1200-00007A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79" name="CustomShape 1">
          <a:extLst>
            <a:ext uri="{FF2B5EF4-FFF2-40B4-BE49-F238E27FC236}">
              <a16:creationId xmlns:a16="http://schemas.microsoft.com/office/drawing/2014/main" id="{00000000-0008-0000-1200-00007B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80" name="CustomShape 1">
          <a:extLst>
            <a:ext uri="{FF2B5EF4-FFF2-40B4-BE49-F238E27FC236}">
              <a16:creationId xmlns:a16="http://schemas.microsoft.com/office/drawing/2014/main" id="{00000000-0008-0000-1200-00007C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81" name="CustomShape 1">
          <a:extLst>
            <a:ext uri="{FF2B5EF4-FFF2-40B4-BE49-F238E27FC236}">
              <a16:creationId xmlns:a16="http://schemas.microsoft.com/office/drawing/2014/main" id="{00000000-0008-0000-1200-00007D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82" name="CustomShape 1">
          <a:extLst>
            <a:ext uri="{FF2B5EF4-FFF2-40B4-BE49-F238E27FC236}">
              <a16:creationId xmlns:a16="http://schemas.microsoft.com/office/drawing/2014/main" id="{00000000-0008-0000-1200-00007E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383" name="CustomShape 1">
          <a:extLst>
            <a:ext uri="{FF2B5EF4-FFF2-40B4-BE49-F238E27FC236}">
              <a16:creationId xmlns:a16="http://schemas.microsoft.com/office/drawing/2014/main" id="{00000000-0008-0000-1200-00007F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384" name="CustomShape 1">
          <a:extLst>
            <a:ext uri="{FF2B5EF4-FFF2-40B4-BE49-F238E27FC236}">
              <a16:creationId xmlns:a16="http://schemas.microsoft.com/office/drawing/2014/main" id="{00000000-0008-0000-1200-000080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385" name="CustomShape 1">
          <a:extLst>
            <a:ext uri="{FF2B5EF4-FFF2-40B4-BE49-F238E27FC236}">
              <a16:creationId xmlns:a16="http://schemas.microsoft.com/office/drawing/2014/main" id="{00000000-0008-0000-1200-000081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386" name="CustomShape 1">
          <a:extLst>
            <a:ext uri="{FF2B5EF4-FFF2-40B4-BE49-F238E27FC236}">
              <a16:creationId xmlns:a16="http://schemas.microsoft.com/office/drawing/2014/main" id="{00000000-0008-0000-1200-000082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387" name="CustomShape 1">
          <a:extLst>
            <a:ext uri="{FF2B5EF4-FFF2-40B4-BE49-F238E27FC236}">
              <a16:creationId xmlns:a16="http://schemas.microsoft.com/office/drawing/2014/main" id="{00000000-0008-0000-1200-000083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388" name="CustomShape 1">
          <a:extLst>
            <a:ext uri="{FF2B5EF4-FFF2-40B4-BE49-F238E27FC236}">
              <a16:creationId xmlns:a16="http://schemas.microsoft.com/office/drawing/2014/main" id="{00000000-0008-0000-1200-000084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89" name="CustomShape 1">
          <a:extLst>
            <a:ext uri="{FF2B5EF4-FFF2-40B4-BE49-F238E27FC236}">
              <a16:creationId xmlns:a16="http://schemas.microsoft.com/office/drawing/2014/main" id="{00000000-0008-0000-1200-000085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90" name="CustomShape 1">
          <a:extLst>
            <a:ext uri="{FF2B5EF4-FFF2-40B4-BE49-F238E27FC236}">
              <a16:creationId xmlns:a16="http://schemas.microsoft.com/office/drawing/2014/main" id="{00000000-0008-0000-1200-000086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91" name="CustomShape 1">
          <a:extLst>
            <a:ext uri="{FF2B5EF4-FFF2-40B4-BE49-F238E27FC236}">
              <a16:creationId xmlns:a16="http://schemas.microsoft.com/office/drawing/2014/main" id="{00000000-0008-0000-1200-000087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92" name="CustomShape 1">
          <a:extLst>
            <a:ext uri="{FF2B5EF4-FFF2-40B4-BE49-F238E27FC236}">
              <a16:creationId xmlns:a16="http://schemas.microsoft.com/office/drawing/2014/main" id="{00000000-0008-0000-1200-000088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93" name="CustomShape 1">
          <a:extLst>
            <a:ext uri="{FF2B5EF4-FFF2-40B4-BE49-F238E27FC236}">
              <a16:creationId xmlns:a16="http://schemas.microsoft.com/office/drawing/2014/main" id="{00000000-0008-0000-1200-000089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94" name="CustomShape 1">
          <a:extLst>
            <a:ext uri="{FF2B5EF4-FFF2-40B4-BE49-F238E27FC236}">
              <a16:creationId xmlns:a16="http://schemas.microsoft.com/office/drawing/2014/main" id="{00000000-0008-0000-1200-00008A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395" name="CustomShape 1">
          <a:extLst>
            <a:ext uri="{FF2B5EF4-FFF2-40B4-BE49-F238E27FC236}">
              <a16:creationId xmlns:a16="http://schemas.microsoft.com/office/drawing/2014/main" id="{00000000-0008-0000-1200-00008B01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396" name="CustomShape 1">
          <a:extLst>
            <a:ext uri="{FF2B5EF4-FFF2-40B4-BE49-F238E27FC236}">
              <a16:creationId xmlns:a16="http://schemas.microsoft.com/office/drawing/2014/main" id="{00000000-0008-0000-1200-00008C01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97" name="CustomShape 1">
          <a:extLst>
            <a:ext uri="{FF2B5EF4-FFF2-40B4-BE49-F238E27FC236}">
              <a16:creationId xmlns:a16="http://schemas.microsoft.com/office/drawing/2014/main" id="{00000000-0008-0000-1200-00008D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98" name="CustomShape 1">
          <a:extLst>
            <a:ext uri="{FF2B5EF4-FFF2-40B4-BE49-F238E27FC236}">
              <a16:creationId xmlns:a16="http://schemas.microsoft.com/office/drawing/2014/main" id="{00000000-0008-0000-1200-00008E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399" name="CustomShape 1">
          <a:extLst>
            <a:ext uri="{FF2B5EF4-FFF2-40B4-BE49-F238E27FC236}">
              <a16:creationId xmlns:a16="http://schemas.microsoft.com/office/drawing/2014/main" id="{00000000-0008-0000-1200-00008F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00" name="CustomShape 1">
          <a:extLst>
            <a:ext uri="{FF2B5EF4-FFF2-40B4-BE49-F238E27FC236}">
              <a16:creationId xmlns:a16="http://schemas.microsoft.com/office/drawing/2014/main" id="{00000000-0008-0000-1200-000090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01" name="CustomShape 1">
          <a:extLst>
            <a:ext uri="{FF2B5EF4-FFF2-40B4-BE49-F238E27FC236}">
              <a16:creationId xmlns:a16="http://schemas.microsoft.com/office/drawing/2014/main" id="{00000000-0008-0000-1200-000091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02" name="CustomShape 1">
          <a:extLst>
            <a:ext uri="{FF2B5EF4-FFF2-40B4-BE49-F238E27FC236}">
              <a16:creationId xmlns:a16="http://schemas.microsoft.com/office/drawing/2014/main" id="{00000000-0008-0000-1200-000092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403" name="CustomShape 1">
          <a:extLst>
            <a:ext uri="{FF2B5EF4-FFF2-40B4-BE49-F238E27FC236}">
              <a16:creationId xmlns:a16="http://schemas.microsoft.com/office/drawing/2014/main" id="{00000000-0008-0000-1200-00009301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404" name="CustomShape 1">
          <a:extLst>
            <a:ext uri="{FF2B5EF4-FFF2-40B4-BE49-F238E27FC236}">
              <a16:creationId xmlns:a16="http://schemas.microsoft.com/office/drawing/2014/main" id="{00000000-0008-0000-1200-00009401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405" name="CustomShape 1">
          <a:extLst>
            <a:ext uri="{FF2B5EF4-FFF2-40B4-BE49-F238E27FC236}">
              <a16:creationId xmlns:a16="http://schemas.microsoft.com/office/drawing/2014/main" id="{00000000-0008-0000-1200-00009501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406" name="CustomShape 1">
          <a:extLst>
            <a:ext uri="{FF2B5EF4-FFF2-40B4-BE49-F238E27FC236}">
              <a16:creationId xmlns:a16="http://schemas.microsoft.com/office/drawing/2014/main" id="{00000000-0008-0000-1200-00009601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407" name="CustomShape 1">
          <a:extLst>
            <a:ext uri="{FF2B5EF4-FFF2-40B4-BE49-F238E27FC236}">
              <a16:creationId xmlns:a16="http://schemas.microsoft.com/office/drawing/2014/main" id="{00000000-0008-0000-1200-00009701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408" name="CustomShape 1">
          <a:extLst>
            <a:ext uri="{FF2B5EF4-FFF2-40B4-BE49-F238E27FC236}">
              <a16:creationId xmlns:a16="http://schemas.microsoft.com/office/drawing/2014/main" id="{00000000-0008-0000-1200-00009801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409" name="CustomShape 1">
          <a:extLst>
            <a:ext uri="{FF2B5EF4-FFF2-40B4-BE49-F238E27FC236}">
              <a16:creationId xmlns:a16="http://schemas.microsoft.com/office/drawing/2014/main" id="{00000000-0008-0000-1200-00009901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410" name="CustomShape 1">
          <a:extLst>
            <a:ext uri="{FF2B5EF4-FFF2-40B4-BE49-F238E27FC236}">
              <a16:creationId xmlns:a16="http://schemas.microsoft.com/office/drawing/2014/main" id="{00000000-0008-0000-1200-00009A01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11" name="CustomShape 1">
          <a:extLst>
            <a:ext uri="{FF2B5EF4-FFF2-40B4-BE49-F238E27FC236}">
              <a16:creationId xmlns:a16="http://schemas.microsoft.com/office/drawing/2014/main" id="{00000000-0008-0000-1200-00009B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12" name="CustomShape 1">
          <a:extLst>
            <a:ext uri="{FF2B5EF4-FFF2-40B4-BE49-F238E27FC236}">
              <a16:creationId xmlns:a16="http://schemas.microsoft.com/office/drawing/2014/main" id="{00000000-0008-0000-1200-00009C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13" name="CustomShape 1">
          <a:extLst>
            <a:ext uri="{FF2B5EF4-FFF2-40B4-BE49-F238E27FC236}">
              <a16:creationId xmlns:a16="http://schemas.microsoft.com/office/drawing/2014/main" id="{00000000-0008-0000-1200-00009D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14" name="CustomShape 1">
          <a:extLst>
            <a:ext uri="{FF2B5EF4-FFF2-40B4-BE49-F238E27FC236}">
              <a16:creationId xmlns:a16="http://schemas.microsoft.com/office/drawing/2014/main" id="{00000000-0008-0000-1200-00009E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15" name="CustomShape 1">
          <a:extLst>
            <a:ext uri="{FF2B5EF4-FFF2-40B4-BE49-F238E27FC236}">
              <a16:creationId xmlns:a16="http://schemas.microsoft.com/office/drawing/2014/main" id="{00000000-0008-0000-1200-00009F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16" name="CustomShape 1">
          <a:extLst>
            <a:ext uri="{FF2B5EF4-FFF2-40B4-BE49-F238E27FC236}">
              <a16:creationId xmlns:a16="http://schemas.microsoft.com/office/drawing/2014/main" id="{00000000-0008-0000-1200-0000A0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417" name="CustomShape 1">
          <a:extLst>
            <a:ext uri="{FF2B5EF4-FFF2-40B4-BE49-F238E27FC236}">
              <a16:creationId xmlns:a16="http://schemas.microsoft.com/office/drawing/2014/main" id="{00000000-0008-0000-1200-0000A101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418" name="CustomShape 1">
          <a:extLst>
            <a:ext uri="{FF2B5EF4-FFF2-40B4-BE49-F238E27FC236}">
              <a16:creationId xmlns:a16="http://schemas.microsoft.com/office/drawing/2014/main" id="{00000000-0008-0000-1200-0000A201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419" name="CustomShape 1">
          <a:extLst>
            <a:ext uri="{FF2B5EF4-FFF2-40B4-BE49-F238E27FC236}">
              <a16:creationId xmlns:a16="http://schemas.microsoft.com/office/drawing/2014/main" id="{00000000-0008-0000-1200-0000A301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420" name="CustomShape 1">
          <a:extLst>
            <a:ext uri="{FF2B5EF4-FFF2-40B4-BE49-F238E27FC236}">
              <a16:creationId xmlns:a16="http://schemas.microsoft.com/office/drawing/2014/main" id="{00000000-0008-0000-1200-0000A401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421" name="CustomShape 1">
          <a:extLst>
            <a:ext uri="{FF2B5EF4-FFF2-40B4-BE49-F238E27FC236}">
              <a16:creationId xmlns:a16="http://schemas.microsoft.com/office/drawing/2014/main" id="{00000000-0008-0000-1200-0000A501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422" name="CustomShape 1">
          <a:extLst>
            <a:ext uri="{FF2B5EF4-FFF2-40B4-BE49-F238E27FC236}">
              <a16:creationId xmlns:a16="http://schemas.microsoft.com/office/drawing/2014/main" id="{00000000-0008-0000-1200-0000A601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423" name="CustomShape 1">
          <a:extLst>
            <a:ext uri="{FF2B5EF4-FFF2-40B4-BE49-F238E27FC236}">
              <a16:creationId xmlns:a16="http://schemas.microsoft.com/office/drawing/2014/main" id="{00000000-0008-0000-1200-0000A701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424" name="CustomShape 1">
          <a:extLst>
            <a:ext uri="{FF2B5EF4-FFF2-40B4-BE49-F238E27FC236}">
              <a16:creationId xmlns:a16="http://schemas.microsoft.com/office/drawing/2014/main" id="{00000000-0008-0000-1200-0000A801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25" name="CustomShape 1">
          <a:extLst>
            <a:ext uri="{FF2B5EF4-FFF2-40B4-BE49-F238E27FC236}">
              <a16:creationId xmlns:a16="http://schemas.microsoft.com/office/drawing/2014/main" id="{00000000-0008-0000-1200-0000A9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26" name="CustomShape 1">
          <a:extLst>
            <a:ext uri="{FF2B5EF4-FFF2-40B4-BE49-F238E27FC236}">
              <a16:creationId xmlns:a16="http://schemas.microsoft.com/office/drawing/2014/main" id="{00000000-0008-0000-1200-0000AA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27" name="CustomShape 1">
          <a:extLst>
            <a:ext uri="{FF2B5EF4-FFF2-40B4-BE49-F238E27FC236}">
              <a16:creationId xmlns:a16="http://schemas.microsoft.com/office/drawing/2014/main" id="{00000000-0008-0000-1200-0000AB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28" name="CustomShape 1">
          <a:extLst>
            <a:ext uri="{FF2B5EF4-FFF2-40B4-BE49-F238E27FC236}">
              <a16:creationId xmlns:a16="http://schemas.microsoft.com/office/drawing/2014/main" id="{00000000-0008-0000-1200-0000AC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29" name="CustomShape 1">
          <a:extLst>
            <a:ext uri="{FF2B5EF4-FFF2-40B4-BE49-F238E27FC236}">
              <a16:creationId xmlns:a16="http://schemas.microsoft.com/office/drawing/2014/main" id="{00000000-0008-0000-1200-0000AD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30" name="CustomShape 1">
          <a:extLst>
            <a:ext uri="{FF2B5EF4-FFF2-40B4-BE49-F238E27FC236}">
              <a16:creationId xmlns:a16="http://schemas.microsoft.com/office/drawing/2014/main" id="{00000000-0008-0000-1200-0000AE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31" name="CustomShape 1">
          <a:extLst>
            <a:ext uri="{FF2B5EF4-FFF2-40B4-BE49-F238E27FC236}">
              <a16:creationId xmlns:a16="http://schemas.microsoft.com/office/drawing/2014/main" id="{00000000-0008-0000-1200-0000AF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32" name="CustomShape 1">
          <a:extLst>
            <a:ext uri="{FF2B5EF4-FFF2-40B4-BE49-F238E27FC236}">
              <a16:creationId xmlns:a16="http://schemas.microsoft.com/office/drawing/2014/main" id="{00000000-0008-0000-1200-0000B0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33" name="CustomShape 1">
          <a:extLst>
            <a:ext uri="{FF2B5EF4-FFF2-40B4-BE49-F238E27FC236}">
              <a16:creationId xmlns:a16="http://schemas.microsoft.com/office/drawing/2014/main" id="{00000000-0008-0000-1200-0000B1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34" name="CustomShape 1">
          <a:extLst>
            <a:ext uri="{FF2B5EF4-FFF2-40B4-BE49-F238E27FC236}">
              <a16:creationId xmlns:a16="http://schemas.microsoft.com/office/drawing/2014/main" id="{00000000-0008-0000-1200-0000B2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35" name="CustomShape 1">
          <a:extLst>
            <a:ext uri="{FF2B5EF4-FFF2-40B4-BE49-F238E27FC236}">
              <a16:creationId xmlns:a16="http://schemas.microsoft.com/office/drawing/2014/main" id="{00000000-0008-0000-1200-0000B3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36" name="CustomShape 1">
          <a:extLst>
            <a:ext uri="{FF2B5EF4-FFF2-40B4-BE49-F238E27FC236}">
              <a16:creationId xmlns:a16="http://schemas.microsoft.com/office/drawing/2014/main" id="{00000000-0008-0000-1200-0000B4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437" name="CustomShape 1">
          <a:extLst>
            <a:ext uri="{FF2B5EF4-FFF2-40B4-BE49-F238E27FC236}">
              <a16:creationId xmlns:a16="http://schemas.microsoft.com/office/drawing/2014/main" id="{00000000-0008-0000-1200-0000B501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438" name="CustomShape 1">
          <a:extLst>
            <a:ext uri="{FF2B5EF4-FFF2-40B4-BE49-F238E27FC236}">
              <a16:creationId xmlns:a16="http://schemas.microsoft.com/office/drawing/2014/main" id="{00000000-0008-0000-1200-0000B601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39" name="CustomShape 1">
          <a:extLst>
            <a:ext uri="{FF2B5EF4-FFF2-40B4-BE49-F238E27FC236}">
              <a16:creationId xmlns:a16="http://schemas.microsoft.com/office/drawing/2014/main" id="{00000000-0008-0000-1200-0000B7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40" name="CustomShape 1">
          <a:extLst>
            <a:ext uri="{FF2B5EF4-FFF2-40B4-BE49-F238E27FC236}">
              <a16:creationId xmlns:a16="http://schemas.microsoft.com/office/drawing/2014/main" id="{00000000-0008-0000-1200-0000B8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41" name="CustomShape 1">
          <a:extLst>
            <a:ext uri="{FF2B5EF4-FFF2-40B4-BE49-F238E27FC236}">
              <a16:creationId xmlns:a16="http://schemas.microsoft.com/office/drawing/2014/main" id="{00000000-0008-0000-1200-0000B9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42" name="CustomShape 1">
          <a:extLst>
            <a:ext uri="{FF2B5EF4-FFF2-40B4-BE49-F238E27FC236}">
              <a16:creationId xmlns:a16="http://schemas.microsoft.com/office/drawing/2014/main" id="{00000000-0008-0000-1200-0000BA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43" name="CustomShape 1">
          <a:extLst>
            <a:ext uri="{FF2B5EF4-FFF2-40B4-BE49-F238E27FC236}">
              <a16:creationId xmlns:a16="http://schemas.microsoft.com/office/drawing/2014/main" id="{00000000-0008-0000-1200-0000BB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44" name="CustomShape 1">
          <a:extLst>
            <a:ext uri="{FF2B5EF4-FFF2-40B4-BE49-F238E27FC236}">
              <a16:creationId xmlns:a16="http://schemas.microsoft.com/office/drawing/2014/main" id="{00000000-0008-0000-1200-0000BC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45" name="CustomShape 1">
          <a:extLst>
            <a:ext uri="{FF2B5EF4-FFF2-40B4-BE49-F238E27FC236}">
              <a16:creationId xmlns:a16="http://schemas.microsoft.com/office/drawing/2014/main" id="{00000000-0008-0000-1200-0000BD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46" name="CustomShape 1">
          <a:extLst>
            <a:ext uri="{FF2B5EF4-FFF2-40B4-BE49-F238E27FC236}">
              <a16:creationId xmlns:a16="http://schemas.microsoft.com/office/drawing/2014/main" id="{00000000-0008-0000-1200-0000BE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47" name="CustomShape 1">
          <a:extLst>
            <a:ext uri="{FF2B5EF4-FFF2-40B4-BE49-F238E27FC236}">
              <a16:creationId xmlns:a16="http://schemas.microsoft.com/office/drawing/2014/main" id="{00000000-0008-0000-1200-0000BF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48" name="CustomShape 1">
          <a:extLst>
            <a:ext uri="{FF2B5EF4-FFF2-40B4-BE49-F238E27FC236}">
              <a16:creationId xmlns:a16="http://schemas.microsoft.com/office/drawing/2014/main" id="{00000000-0008-0000-1200-0000C0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49" name="CustomShape 1">
          <a:extLst>
            <a:ext uri="{FF2B5EF4-FFF2-40B4-BE49-F238E27FC236}">
              <a16:creationId xmlns:a16="http://schemas.microsoft.com/office/drawing/2014/main" id="{00000000-0008-0000-1200-0000C1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50" name="CustomShape 1">
          <a:extLst>
            <a:ext uri="{FF2B5EF4-FFF2-40B4-BE49-F238E27FC236}">
              <a16:creationId xmlns:a16="http://schemas.microsoft.com/office/drawing/2014/main" id="{00000000-0008-0000-1200-0000C2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51" name="CustomShape 1">
          <a:extLst>
            <a:ext uri="{FF2B5EF4-FFF2-40B4-BE49-F238E27FC236}">
              <a16:creationId xmlns:a16="http://schemas.microsoft.com/office/drawing/2014/main" id="{00000000-0008-0000-1200-0000C3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52" name="CustomShape 1">
          <a:extLst>
            <a:ext uri="{FF2B5EF4-FFF2-40B4-BE49-F238E27FC236}">
              <a16:creationId xmlns:a16="http://schemas.microsoft.com/office/drawing/2014/main" id="{00000000-0008-0000-1200-0000C4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53" name="CustomShape 1">
          <a:extLst>
            <a:ext uri="{FF2B5EF4-FFF2-40B4-BE49-F238E27FC236}">
              <a16:creationId xmlns:a16="http://schemas.microsoft.com/office/drawing/2014/main" id="{00000000-0008-0000-1200-0000C5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54" name="CustomShape 1">
          <a:extLst>
            <a:ext uri="{FF2B5EF4-FFF2-40B4-BE49-F238E27FC236}">
              <a16:creationId xmlns:a16="http://schemas.microsoft.com/office/drawing/2014/main" id="{00000000-0008-0000-1200-0000C6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55" name="CustomShape 1">
          <a:extLst>
            <a:ext uri="{FF2B5EF4-FFF2-40B4-BE49-F238E27FC236}">
              <a16:creationId xmlns:a16="http://schemas.microsoft.com/office/drawing/2014/main" id="{00000000-0008-0000-1200-0000C7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56" name="CustomShape 1">
          <a:extLst>
            <a:ext uri="{FF2B5EF4-FFF2-40B4-BE49-F238E27FC236}">
              <a16:creationId xmlns:a16="http://schemas.microsoft.com/office/drawing/2014/main" id="{00000000-0008-0000-1200-0000C8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57" name="CustomShape 1">
          <a:extLst>
            <a:ext uri="{FF2B5EF4-FFF2-40B4-BE49-F238E27FC236}">
              <a16:creationId xmlns:a16="http://schemas.microsoft.com/office/drawing/2014/main" id="{00000000-0008-0000-1200-0000C9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458" name="CustomShape 1">
          <a:extLst>
            <a:ext uri="{FF2B5EF4-FFF2-40B4-BE49-F238E27FC236}">
              <a16:creationId xmlns:a16="http://schemas.microsoft.com/office/drawing/2014/main" id="{00000000-0008-0000-1200-0000CA01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59" name="CustomShape 1">
          <a:extLst>
            <a:ext uri="{FF2B5EF4-FFF2-40B4-BE49-F238E27FC236}">
              <a16:creationId xmlns:a16="http://schemas.microsoft.com/office/drawing/2014/main" id="{00000000-0008-0000-1200-0000CB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60" name="CustomShape 1">
          <a:extLst>
            <a:ext uri="{FF2B5EF4-FFF2-40B4-BE49-F238E27FC236}">
              <a16:creationId xmlns:a16="http://schemas.microsoft.com/office/drawing/2014/main" id="{00000000-0008-0000-1200-0000CC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61" name="CustomShape 1">
          <a:extLst>
            <a:ext uri="{FF2B5EF4-FFF2-40B4-BE49-F238E27FC236}">
              <a16:creationId xmlns:a16="http://schemas.microsoft.com/office/drawing/2014/main" id="{00000000-0008-0000-1200-0000CD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62" name="CustomShape 1">
          <a:extLst>
            <a:ext uri="{FF2B5EF4-FFF2-40B4-BE49-F238E27FC236}">
              <a16:creationId xmlns:a16="http://schemas.microsoft.com/office/drawing/2014/main" id="{00000000-0008-0000-1200-0000CE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63" name="CustomShape 1">
          <a:extLst>
            <a:ext uri="{FF2B5EF4-FFF2-40B4-BE49-F238E27FC236}">
              <a16:creationId xmlns:a16="http://schemas.microsoft.com/office/drawing/2014/main" id="{00000000-0008-0000-1200-0000CF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64" name="CustomShape 1">
          <a:extLst>
            <a:ext uri="{FF2B5EF4-FFF2-40B4-BE49-F238E27FC236}">
              <a16:creationId xmlns:a16="http://schemas.microsoft.com/office/drawing/2014/main" id="{00000000-0008-0000-1200-0000D0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65" name="CustomShape 1">
          <a:extLst>
            <a:ext uri="{FF2B5EF4-FFF2-40B4-BE49-F238E27FC236}">
              <a16:creationId xmlns:a16="http://schemas.microsoft.com/office/drawing/2014/main" id="{00000000-0008-0000-1200-0000D1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66" name="CustomShape 1">
          <a:extLst>
            <a:ext uri="{FF2B5EF4-FFF2-40B4-BE49-F238E27FC236}">
              <a16:creationId xmlns:a16="http://schemas.microsoft.com/office/drawing/2014/main" id="{00000000-0008-0000-1200-0000D2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67" name="CustomShape 1">
          <a:extLst>
            <a:ext uri="{FF2B5EF4-FFF2-40B4-BE49-F238E27FC236}">
              <a16:creationId xmlns:a16="http://schemas.microsoft.com/office/drawing/2014/main" id="{00000000-0008-0000-1200-0000D3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68" name="CustomShape 1">
          <a:extLst>
            <a:ext uri="{FF2B5EF4-FFF2-40B4-BE49-F238E27FC236}">
              <a16:creationId xmlns:a16="http://schemas.microsoft.com/office/drawing/2014/main" id="{00000000-0008-0000-1200-0000D4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69" name="CustomShape 1">
          <a:extLst>
            <a:ext uri="{FF2B5EF4-FFF2-40B4-BE49-F238E27FC236}">
              <a16:creationId xmlns:a16="http://schemas.microsoft.com/office/drawing/2014/main" id="{00000000-0008-0000-1200-0000D5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70" name="CustomShape 1">
          <a:extLst>
            <a:ext uri="{FF2B5EF4-FFF2-40B4-BE49-F238E27FC236}">
              <a16:creationId xmlns:a16="http://schemas.microsoft.com/office/drawing/2014/main" id="{00000000-0008-0000-1200-0000D6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71" name="CustomShape 1">
          <a:extLst>
            <a:ext uri="{FF2B5EF4-FFF2-40B4-BE49-F238E27FC236}">
              <a16:creationId xmlns:a16="http://schemas.microsoft.com/office/drawing/2014/main" id="{00000000-0008-0000-1200-0000D7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72" name="CustomShape 1">
          <a:extLst>
            <a:ext uri="{FF2B5EF4-FFF2-40B4-BE49-F238E27FC236}">
              <a16:creationId xmlns:a16="http://schemas.microsoft.com/office/drawing/2014/main" id="{00000000-0008-0000-1200-0000D8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73" name="CustomShape 1">
          <a:extLst>
            <a:ext uri="{FF2B5EF4-FFF2-40B4-BE49-F238E27FC236}">
              <a16:creationId xmlns:a16="http://schemas.microsoft.com/office/drawing/2014/main" id="{00000000-0008-0000-1200-0000D9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74" name="CustomShape 1">
          <a:extLst>
            <a:ext uri="{FF2B5EF4-FFF2-40B4-BE49-F238E27FC236}">
              <a16:creationId xmlns:a16="http://schemas.microsoft.com/office/drawing/2014/main" id="{00000000-0008-0000-1200-0000DA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75" name="CustomShape 1">
          <a:extLst>
            <a:ext uri="{FF2B5EF4-FFF2-40B4-BE49-F238E27FC236}">
              <a16:creationId xmlns:a16="http://schemas.microsoft.com/office/drawing/2014/main" id="{00000000-0008-0000-1200-0000DB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76" name="CustomShape 1">
          <a:extLst>
            <a:ext uri="{FF2B5EF4-FFF2-40B4-BE49-F238E27FC236}">
              <a16:creationId xmlns:a16="http://schemas.microsoft.com/office/drawing/2014/main" id="{00000000-0008-0000-1200-0000DC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77" name="CustomShape 1">
          <a:extLst>
            <a:ext uri="{FF2B5EF4-FFF2-40B4-BE49-F238E27FC236}">
              <a16:creationId xmlns:a16="http://schemas.microsoft.com/office/drawing/2014/main" id="{00000000-0008-0000-1200-0000DD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78" name="CustomShape 1">
          <a:extLst>
            <a:ext uri="{FF2B5EF4-FFF2-40B4-BE49-F238E27FC236}">
              <a16:creationId xmlns:a16="http://schemas.microsoft.com/office/drawing/2014/main" id="{00000000-0008-0000-1200-0000DE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79" name="CustomShape 1">
          <a:extLst>
            <a:ext uri="{FF2B5EF4-FFF2-40B4-BE49-F238E27FC236}">
              <a16:creationId xmlns:a16="http://schemas.microsoft.com/office/drawing/2014/main" id="{00000000-0008-0000-1200-0000DF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80" name="CustomShape 1">
          <a:extLst>
            <a:ext uri="{FF2B5EF4-FFF2-40B4-BE49-F238E27FC236}">
              <a16:creationId xmlns:a16="http://schemas.microsoft.com/office/drawing/2014/main" id="{00000000-0008-0000-1200-0000E0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81" name="CustomShape 1">
          <a:extLst>
            <a:ext uri="{FF2B5EF4-FFF2-40B4-BE49-F238E27FC236}">
              <a16:creationId xmlns:a16="http://schemas.microsoft.com/office/drawing/2014/main" id="{00000000-0008-0000-1200-0000E1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82" name="CustomShape 1">
          <a:extLst>
            <a:ext uri="{FF2B5EF4-FFF2-40B4-BE49-F238E27FC236}">
              <a16:creationId xmlns:a16="http://schemas.microsoft.com/office/drawing/2014/main" id="{00000000-0008-0000-1200-0000E2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83" name="CustomShape 1">
          <a:extLst>
            <a:ext uri="{FF2B5EF4-FFF2-40B4-BE49-F238E27FC236}">
              <a16:creationId xmlns:a16="http://schemas.microsoft.com/office/drawing/2014/main" id="{00000000-0008-0000-1200-0000E3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84" name="CustomShape 1">
          <a:extLst>
            <a:ext uri="{FF2B5EF4-FFF2-40B4-BE49-F238E27FC236}">
              <a16:creationId xmlns:a16="http://schemas.microsoft.com/office/drawing/2014/main" id="{00000000-0008-0000-1200-0000E4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85" name="CustomShape 1">
          <a:extLst>
            <a:ext uri="{FF2B5EF4-FFF2-40B4-BE49-F238E27FC236}">
              <a16:creationId xmlns:a16="http://schemas.microsoft.com/office/drawing/2014/main" id="{00000000-0008-0000-1200-0000E5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86" name="CustomShape 1">
          <a:extLst>
            <a:ext uri="{FF2B5EF4-FFF2-40B4-BE49-F238E27FC236}">
              <a16:creationId xmlns:a16="http://schemas.microsoft.com/office/drawing/2014/main" id="{00000000-0008-0000-1200-0000E6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87" name="CustomShape 1">
          <a:extLst>
            <a:ext uri="{FF2B5EF4-FFF2-40B4-BE49-F238E27FC236}">
              <a16:creationId xmlns:a16="http://schemas.microsoft.com/office/drawing/2014/main" id="{00000000-0008-0000-1200-0000E7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88" name="CustomShape 1">
          <a:extLst>
            <a:ext uri="{FF2B5EF4-FFF2-40B4-BE49-F238E27FC236}">
              <a16:creationId xmlns:a16="http://schemas.microsoft.com/office/drawing/2014/main" id="{00000000-0008-0000-1200-0000E8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89" name="CustomShape 1">
          <a:extLst>
            <a:ext uri="{FF2B5EF4-FFF2-40B4-BE49-F238E27FC236}">
              <a16:creationId xmlns:a16="http://schemas.microsoft.com/office/drawing/2014/main" id="{00000000-0008-0000-1200-0000E9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90" name="CustomShape 1">
          <a:extLst>
            <a:ext uri="{FF2B5EF4-FFF2-40B4-BE49-F238E27FC236}">
              <a16:creationId xmlns:a16="http://schemas.microsoft.com/office/drawing/2014/main" id="{00000000-0008-0000-1200-0000EA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91" name="CustomShape 1">
          <a:extLst>
            <a:ext uri="{FF2B5EF4-FFF2-40B4-BE49-F238E27FC236}">
              <a16:creationId xmlns:a16="http://schemas.microsoft.com/office/drawing/2014/main" id="{00000000-0008-0000-1200-0000EB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92" name="CustomShape 1">
          <a:extLst>
            <a:ext uri="{FF2B5EF4-FFF2-40B4-BE49-F238E27FC236}">
              <a16:creationId xmlns:a16="http://schemas.microsoft.com/office/drawing/2014/main" id="{00000000-0008-0000-1200-0000EC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93" name="CustomShape 1">
          <a:extLst>
            <a:ext uri="{FF2B5EF4-FFF2-40B4-BE49-F238E27FC236}">
              <a16:creationId xmlns:a16="http://schemas.microsoft.com/office/drawing/2014/main" id="{00000000-0008-0000-1200-0000ED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94" name="CustomShape 1">
          <a:extLst>
            <a:ext uri="{FF2B5EF4-FFF2-40B4-BE49-F238E27FC236}">
              <a16:creationId xmlns:a16="http://schemas.microsoft.com/office/drawing/2014/main" id="{00000000-0008-0000-1200-0000EE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495" name="CustomShape 1">
          <a:extLst>
            <a:ext uri="{FF2B5EF4-FFF2-40B4-BE49-F238E27FC236}">
              <a16:creationId xmlns:a16="http://schemas.microsoft.com/office/drawing/2014/main" id="{00000000-0008-0000-1200-0000EF01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496" name="CustomShape 1">
          <a:extLst>
            <a:ext uri="{FF2B5EF4-FFF2-40B4-BE49-F238E27FC236}">
              <a16:creationId xmlns:a16="http://schemas.microsoft.com/office/drawing/2014/main" id="{00000000-0008-0000-1200-0000F0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497" name="CustomShape 1">
          <a:extLst>
            <a:ext uri="{FF2B5EF4-FFF2-40B4-BE49-F238E27FC236}">
              <a16:creationId xmlns:a16="http://schemas.microsoft.com/office/drawing/2014/main" id="{00000000-0008-0000-1200-0000F1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498" name="CustomShape 1">
          <a:extLst>
            <a:ext uri="{FF2B5EF4-FFF2-40B4-BE49-F238E27FC236}">
              <a16:creationId xmlns:a16="http://schemas.microsoft.com/office/drawing/2014/main" id="{00000000-0008-0000-1200-0000F2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499" name="CustomShape 1">
          <a:extLst>
            <a:ext uri="{FF2B5EF4-FFF2-40B4-BE49-F238E27FC236}">
              <a16:creationId xmlns:a16="http://schemas.microsoft.com/office/drawing/2014/main" id="{00000000-0008-0000-1200-0000F3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500" name="CustomShape 1">
          <a:extLst>
            <a:ext uri="{FF2B5EF4-FFF2-40B4-BE49-F238E27FC236}">
              <a16:creationId xmlns:a16="http://schemas.microsoft.com/office/drawing/2014/main" id="{00000000-0008-0000-1200-0000F4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501" name="CustomShape 1">
          <a:extLst>
            <a:ext uri="{FF2B5EF4-FFF2-40B4-BE49-F238E27FC236}">
              <a16:creationId xmlns:a16="http://schemas.microsoft.com/office/drawing/2014/main" id="{00000000-0008-0000-1200-0000F501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502" name="CustomShape 1">
          <a:extLst>
            <a:ext uri="{FF2B5EF4-FFF2-40B4-BE49-F238E27FC236}">
              <a16:creationId xmlns:a16="http://schemas.microsoft.com/office/drawing/2014/main" id="{00000000-0008-0000-1200-0000F601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503" name="CustomShape 1">
          <a:extLst>
            <a:ext uri="{FF2B5EF4-FFF2-40B4-BE49-F238E27FC236}">
              <a16:creationId xmlns:a16="http://schemas.microsoft.com/office/drawing/2014/main" id="{00000000-0008-0000-1200-0000F701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504" name="CustomShape 1">
          <a:extLst>
            <a:ext uri="{FF2B5EF4-FFF2-40B4-BE49-F238E27FC236}">
              <a16:creationId xmlns:a16="http://schemas.microsoft.com/office/drawing/2014/main" id="{00000000-0008-0000-1200-0000F801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505" name="CustomShape 1">
          <a:extLst>
            <a:ext uri="{FF2B5EF4-FFF2-40B4-BE49-F238E27FC236}">
              <a16:creationId xmlns:a16="http://schemas.microsoft.com/office/drawing/2014/main" id="{00000000-0008-0000-1200-0000F901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506" name="CustomShape 1">
          <a:extLst>
            <a:ext uri="{FF2B5EF4-FFF2-40B4-BE49-F238E27FC236}">
              <a16:creationId xmlns:a16="http://schemas.microsoft.com/office/drawing/2014/main" id="{00000000-0008-0000-1200-0000FA01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507" name="CustomShape 1">
          <a:extLst>
            <a:ext uri="{FF2B5EF4-FFF2-40B4-BE49-F238E27FC236}">
              <a16:creationId xmlns:a16="http://schemas.microsoft.com/office/drawing/2014/main" id="{00000000-0008-0000-1200-0000FB01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110</xdr:row>
      <xdr:rowOff>0</xdr:rowOff>
    </xdr:from>
    <xdr:to>
      <xdr:col>0</xdr:col>
      <xdr:colOff>326520</xdr:colOff>
      <xdr:row>111</xdr:row>
      <xdr:rowOff>126720</xdr:rowOff>
    </xdr:to>
    <xdr:sp macro="" textlink="">
      <xdr:nvSpPr>
        <xdr:cNvPr id="508" name="CustomShape 1">
          <a:extLst>
            <a:ext uri="{FF2B5EF4-FFF2-40B4-BE49-F238E27FC236}">
              <a16:creationId xmlns:a16="http://schemas.microsoft.com/office/drawing/2014/main" id="{00000000-0008-0000-1200-0000FC010000}"/>
            </a:ext>
          </a:extLst>
        </xdr:cNvPr>
        <xdr:cNvSpPr/>
      </xdr:nvSpPr>
      <xdr:spPr>
        <a:xfrm>
          <a:off x="9360" y="18249840"/>
          <a:ext cx="317160" cy="288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110</xdr:row>
      <xdr:rowOff>0</xdr:rowOff>
    </xdr:from>
    <xdr:to>
      <xdr:col>0</xdr:col>
      <xdr:colOff>641160</xdr:colOff>
      <xdr:row>111</xdr:row>
      <xdr:rowOff>126720</xdr:rowOff>
    </xdr:to>
    <xdr:sp macro="" textlink="">
      <xdr:nvSpPr>
        <xdr:cNvPr id="509" name="CustomShape 1">
          <a:extLst>
            <a:ext uri="{FF2B5EF4-FFF2-40B4-BE49-F238E27FC236}">
              <a16:creationId xmlns:a16="http://schemas.microsoft.com/office/drawing/2014/main" id="{00000000-0008-0000-1200-0000FD010000}"/>
            </a:ext>
          </a:extLst>
        </xdr:cNvPr>
        <xdr:cNvSpPr/>
      </xdr:nvSpPr>
      <xdr:spPr>
        <a:xfrm>
          <a:off x="324000" y="18249840"/>
          <a:ext cx="317160" cy="288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510" name="CustomShape 1">
          <a:extLst>
            <a:ext uri="{FF2B5EF4-FFF2-40B4-BE49-F238E27FC236}">
              <a16:creationId xmlns:a16="http://schemas.microsoft.com/office/drawing/2014/main" id="{00000000-0008-0000-1200-0000FE01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511" name="CustomShape 1">
          <a:extLst>
            <a:ext uri="{FF2B5EF4-FFF2-40B4-BE49-F238E27FC236}">
              <a16:creationId xmlns:a16="http://schemas.microsoft.com/office/drawing/2014/main" id="{00000000-0008-0000-1200-0000FF01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512" name="CustomShape 1">
          <a:extLst>
            <a:ext uri="{FF2B5EF4-FFF2-40B4-BE49-F238E27FC236}">
              <a16:creationId xmlns:a16="http://schemas.microsoft.com/office/drawing/2014/main" id="{00000000-0008-0000-1200-000000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513" name="CustomShape 1">
          <a:extLst>
            <a:ext uri="{FF2B5EF4-FFF2-40B4-BE49-F238E27FC236}">
              <a16:creationId xmlns:a16="http://schemas.microsoft.com/office/drawing/2014/main" id="{00000000-0008-0000-1200-000001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514" name="CustomShape 1">
          <a:extLst>
            <a:ext uri="{FF2B5EF4-FFF2-40B4-BE49-F238E27FC236}">
              <a16:creationId xmlns:a16="http://schemas.microsoft.com/office/drawing/2014/main" id="{00000000-0008-0000-1200-000002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515" name="CustomShape 1">
          <a:extLst>
            <a:ext uri="{FF2B5EF4-FFF2-40B4-BE49-F238E27FC236}">
              <a16:creationId xmlns:a16="http://schemas.microsoft.com/office/drawing/2014/main" id="{00000000-0008-0000-1200-000003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16" name="CustomShape 1">
          <a:extLst>
            <a:ext uri="{FF2B5EF4-FFF2-40B4-BE49-F238E27FC236}">
              <a16:creationId xmlns:a16="http://schemas.microsoft.com/office/drawing/2014/main" id="{00000000-0008-0000-1200-000004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17" name="CustomShape 1">
          <a:extLst>
            <a:ext uri="{FF2B5EF4-FFF2-40B4-BE49-F238E27FC236}">
              <a16:creationId xmlns:a16="http://schemas.microsoft.com/office/drawing/2014/main" id="{00000000-0008-0000-1200-000005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18" name="CustomShape 1">
          <a:extLst>
            <a:ext uri="{FF2B5EF4-FFF2-40B4-BE49-F238E27FC236}">
              <a16:creationId xmlns:a16="http://schemas.microsoft.com/office/drawing/2014/main" id="{00000000-0008-0000-1200-000006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19" name="CustomShape 1">
          <a:extLst>
            <a:ext uri="{FF2B5EF4-FFF2-40B4-BE49-F238E27FC236}">
              <a16:creationId xmlns:a16="http://schemas.microsoft.com/office/drawing/2014/main" id="{00000000-0008-0000-1200-000007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20" name="CustomShape 1">
          <a:extLst>
            <a:ext uri="{FF2B5EF4-FFF2-40B4-BE49-F238E27FC236}">
              <a16:creationId xmlns:a16="http://schemas.microsoft.com/office/drawing/2014/main" id="{00000000-0008-0000-1200-000008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21" name="CustomShape 1">
          <a:extLst>
            <a:ext uri="{FF2B5EF4-FFF2-40B4-BE49-F238E27FC236}">
              <a16:creationId xmlns:a16="http://schemas.microsoft.com/office/drawing/2014/main" id="{00000000-0008-0000-1200-000009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522" name="CustomShape 1">
          <a:extLst>
            <a:ext uri="{FF2B5EF4-FFF2-40B4-BE49-F238E27FC236}">
              <a16:creationId xmlns:a16="http://schemas.microsoft.com/office/drawing/2014/main" id="{00000000-0008-0000-1200-00000A02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523" name="CustomShape 1">
          <a:extLst>
            <a:ext uri="{FF2B5EF4-FFF2-40B4-BE49-F238E27FC236}">
              <a16:creationId xmlns:a16="http://schemas.microsoft.com/office/drawing/2014/main" id="{00000000-0008-0000-1200-00000B02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524" name="CustomShape 1">
          <a:extLst>
            <a:ext uri="{FF2B5EF4-FFF2-40B4-BE49-F238E27FC236}">
              <a16:creationId xmlns:a16="http://schemas.microsoft.com/office/drawing/2014/main" id="{00000000-0008-0000-1200-00000C02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525" name="CustomShape 1">
          <a:extLst>
            <a:ext uri="{FF2B5EF4-FFF2-40B4-BE49-F238E27FC236}">
              <a16:creationId xmlns:a16="http://schemas.microsoft.com/office/drawing/2014/main" id="{00000000-0008-0000-1200-00000D02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526" name="CustomShape 1">
          <a:extLst>
            <a:ext uri="{FF2B5EF4-FFF2-40B4-BE49-F238E27FC236}">
              <a16:creationId xmlns:a16="http://schemas.microsoft.com/office/drawing/2014/main" id="{00000000-0008-0000-1200-00000E02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117000</xdr:rowOff>
    </xdr:to>
    <xdr:sp macro="" textlink="">
      <xdr:nvSpPr>
        <xdr:cNvPr id="527" name="CustomShape 1">
          <a:extLst>
            <a:ext uri="{FF2B5EF4-FFF2-40B4-BE49-F238E27FC236}">
              <a16:creationId xmlns:a16="http://schemas.microsoft.com/office/drawing/2014/main" id="{00000000-0008-0000-1200-00000F020000}"/>
            </a:ext>
          </a:extLst>
        </xdr:cNvPr>
        <xdr:cNvSpPr/>
      </xdr:nvSpPr>
      <xdr:spPr>
        <a:xfrm>
          <a:off x="0" y="72388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528" name="CustomShape 1">
          <a:extLst>
            <a:ext uri="{FF2B5EF4-FFF2-40B4-BE49-F238E27FC236}">
              <a16:creationId xmlns:a16="http://schemas.microsoft.com/office/drawing/2014/main" id="{00000000-0008-0000-1200-00001002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529" name="CustomShape 1">
          <a:extLst>
            <a:ext uri="{FF2B5EF4-FFF2-40B4-BE49-F238E27FC236}">
              <a16:creationId xmlns:a16="http://schemas.microsoft.com/office/drawing/2014/main" id="{00000000-0008-0000-1200-00001102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30" name="CustomShape 1">
          <a:extLst>
            <a:ext uri="{FF2B5EF4-FFF2-40B4-BE49-F238E27FC236}">
              <a16:creationId xmlns:a16="http://schemas.microsoft.com/office/drawing/2014/main" id="{00000000-0008-0000-1200-000012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31" name="CustomShape 1">
          <a:extLst>
            <a:ext uri="{FF2B5EF4-FFF2-40B4-BE49-F238E27FC236}">
              <a16:creationId xmlns:a16="http://schemas.microsoft.com/office/drawing/2014/main" id="{00000000-0008-0000-1200-000013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32" name="CustomShape 1">
          <a:extLst>
            <a:ext uri="{FF2B5EF4-FFF2-40B4-BE49-F238E27FC236}">
              <a16:creationId xmlns:a16="http://schemas.microsoft.com/office/drawing/2014/main" id="{00000000-0008-0000-1200-000014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33" name="CustomShape 1">
          <a:extLst>
            <a:ext uri="{FF2B5EF4-FFF2-40B4-BE49-F238E27FC236}">
              <a16:creationId xmlns:a16="http://schemas.microsoft.com/office/drawing/2014/main" id="{00000000-0008-0000-1200-000015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34" name="CustomShape 1">
          <a:extLst>
            <a:ext uri="{FF2B5EF4-FFF2-40B4-BE49-F238E27FC236}">
              <a16:creationId xmlns:a16="http://schemas.microsoft.com/office/drawing/2014/main" id="{00000000-0008-0000-1200-000016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35" name="CustomShape 1">
          <a:extLst>
            <a:ext uri="{FF2B5EF4-FFF2-40B4-BE49-F238E27FC236}">
              <a16:creationId xmlns:a16="http://schemas.microsoft.com/office/drawing/2014/main" id="{00000000-0008-0000-1200-000017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36" name="CustomShape 1">
          <a:extLst>
            <a:ext uri="{FF2B5EF4-FFF2-40B4-BE49-F238E27FC236}">
              <a16:creationId xmlns:a16="http://schemas.microsoft.com/office/drawing/2014/main" id="{00000000-0008-0000-1200-000018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37" name="CustomShape 1">
          <a:extLst>
            <a:ext uri="{FF2B5EF4-FFF2-40B4-BE49-F238E27FC236}">
              <a16:creationId xmlns:a16="http://schemas.microsoft.com/office/drawing/2014/main" id="{00000000-0008-0000-1200-000019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38" name="CustomShape 1">
          <a:extLst>
            <a:ext uri="{FF2B5EF4-FFF2-40B4-BE49-F238E27FC236}">
              <a16:creationId xmlns:a16="http://schemas.microsoft.com/office/drawing/2014/main" id="{00000000-0008-0000-1200-00001A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39" name="CustomShape 1">
          <a:extLst>
            <a:ext uri="{FF2B5EF4-FFF2-40B4-BE49-F238E27FC236}">
              <a16:creationId xmlns:a16="http://schemas.microsoft.com/office/drawing/2014/main" id="{00000000-0008-0000-1200-00001B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40" name="CustomShape 1">
          <a:extLst>
            <a:ext uri="{FF2B5EF4-FFF2-40B4-BE49-F238E27FC236}">
              <a16:creationId xmlns:a16="http://schemas.microsoft.com/office/drawing/2014/main" id="{00000000-0008-0000-1200-00001C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41" name="CustomShape 1">
          <a:extLst>
            <a:ext uri="{FF2B5EF4-FFF2-40B4-BE49-F238E27FC236}">
              <a16:creationId xmlns:a16="http://schemas.microsoft.com/office/drawing/2014/main" id="{00000000-0008-0000-1200-00001D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542" name="CustomShape 1">
          <a:extLst>
            <a:ext uri="{FF2B5EF4-FFF2-40B4-BE49-F238E27FC236}">
              <a16:creationId xmlns:a16="http://schemas.microsoft.com/office/drawing/2014/main" id="{00000000-0008-0000-1200-00001E02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543" name="CustomShape 1">
          <a:extLst>
            <a:ext uri="{FF2B5EF4-FFF2-40B4-BE49-F238E27FC236}">
              <a16:creationId xmlns:a16="http://schemas.microsoft.com/office/drawing/2014/main" id="{00000000-0008-0000-1200-00001F02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44" name="CustomShape 1">
          <a:extLst>
            <a:ext uri="{FF2B5EF4-FFF2-40B4-BE49-F238E27FC236}">
              <a16:creationId xmlns:a16="http://schemas.microsoft.com/office/drawing/2014/main" id="{00000000-0008-0000-1200-000020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45" name="CustomShape 1">
          <a:extLst>
            <a:ext uri="{FF2B5EF4-FFF2-40B4-BE49-F238E27FC236}">
              <a16:creationId xmlns:a16="http://schemas.microsoft.com/office/drawing/2014/main" id="{00000000-0008-0000-1200-000021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46" name="CustomShape 1">
          <a:extLst>
            <a:ext uri="{FF2B5EF4-FFF2-40B4-BE49-F238E27FC236}">
              <a16:creationId xmlns:a16="http://schemas.microsoft.com/office/drawing/2014/main" id="{00000000-0008-0000-1200-000022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47" name="CustomShape 1">
          <a:extLst>
            <a:ext uri="{FF2B5EF4-FFF2-40B4-BE49-F238E27FC236}">
              <a16:creationId xmlns:a16="http://schemas.microsoft.com/office/drawing/2014/main" id="{00000000-0008-0000-1200-000023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48" name="CustomShape 1">
          <a:extLst>
            <a:ext uri="{FF2B5EF4-FFF2-40B4-BE49-F238E27FC236}">
              <a16:creationId xmlns:a16="http://schemas.microsoft.com/office/drawing/2014/main" id="{00000000-0008-0000-1200-000024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49" name="CustomShape 1">
          <a:extLst>
            <a:ext uri="{FF2B5EF4-FFF2-40B4-BE49-F238E27FC236}">
              <a16:creationId xmlns:a16="http://schemas.microsoft.com/office/drawing/2014/main" id="{00000000-0008-0000-1200-000025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50" name="CustomShape 1">
          <a:extLst>
            <a:ext uri="{FF2B5EF4-FFF2-40B4-BE49-F238E27FC236}">
              <a16:creationId xmlns:a16="http://schemas.microsoft.com/office/drawing/2014/main" id="{00000000-0008-0000-1200-000026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51" name="CustomShape 1">
          <a:extLst>
            <a:ext uri="{FF2B5EF4-FFF2-40B4-BE49-F238E27FC236}">
              <a16:creationId xmlns:a16="http://schemas.microsoft.com/office/drawing/2014/main" id="{00000000-0008-0000-1200-000027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52" name="CustomShape 1">
          <a:extLst>
            <a:ext uri="{FF2B5EF4-FFF2-40B4-BE49-F238E27FC236}">
              <a16:creationId xmlns:a16="http://schemas.microsoft.com/office/drawing/2014/main" id="{00000000-0008-0000-1200-000028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53" name="CustomShape 1">
          <a:extLst>
            <a:ext uri="{FF2B5EF4-FFF2-40B4-BE49-F238E27FC236}">
              <a16:creationId xmlns:a16="http://schemas.microsoft.com/office/drawing/2014/main" id="{00000000-0008-0000-1200-000029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54" name="CustomShape 1">
          <a:extLst>
            <a:ext uri="{FF2B5EF4-FFF2-40B4-BE49-F238E27FC236}">
              <a16:creationId xmlns:a16="http://schemas.microsoft.com/office/drawing/2014/main" id="{00000000-0008-0000-1200-00002A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55" name="CustomShape 1">
          <a:extLst>
            <a:ext uri="{FF2B5EF4-FFF2-40B4-BE49-F238E27FC236}">
              <a16:creationId xmlns:a16="http://schemas.microsoft.com/office/drawing/2014/main" id="{00000000-0008-0000-1200-00002B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56" name="CustomShape 1">
          <a:extLst>
            <a:ext uri="{FF2B5EF4-FFF2-40B4-BE49-F238E27FC236}">
              <a16:creationId xmlns:a16="http://schemas.microsoft.com/office/drawing/2014/main" id="{00000000-0008-0000-1200-00002C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57" name="CustomShape 1">
          <a:extLst>
            <a:ext uri="{FF2B5EF4-FFF2-40B4-BE49-F238E27FC236}">
              <a16:creationId xmlns:a16="http://schemas.microsoft.com/office/drawing/2014/main" id="{00000000-0008-0000-1200-00002D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58" name="CustomShape 1">
          <a:extLst>
            <a:ext uri="{FF2B5EF4-FFF2-40B4-BE49-F238E27FC236}">
              <a16:creationId xmlns:a16="http://schemas.microsoft.com/office/drawing/2014/main" id="{00000000-0008-0000-1200-00002E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59" name="CustomShape 1">
          <a:extLst>
            <a:ext uri="{FF2B5EF4-FFF2-40B4-BE49-F238E27FC236}">
              <a16:creationId xmlns:a16="http://schemas.microsoft.com/office/drawing/2014/main" id="{00000000-0008-0000-1200-00002F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60" name="CustomShape 1">
          <a:extLst>
            <a:ext uri="{FF2B5EF4-FFF2-40B4-BE49-F238E27FC236}">
              <a16:creationId xmlns:a16="http://schemas.microsoft.com/office/drawing/2014/main" id="{00000000-0008-0000-1200-000030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61" name="CustomShape 1">
          <a:extLst>
            <a:ext uri="{FF2B5EF4-FFF2-40B4-BE49-F238E27FC236}">
              <a16:creationId xmlns:a16="http://schemas.microsoft.com/office/drawing/2014/main" id="{00000000-0008-0000-1200-000031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62" name="CustomShape 1">
          <a:extLst>
            <a:ext uri="{FF2B5EF4-FFF2-40B4-BE49-F238E27FC236}">
              <a16:creationId xmlns:a16="http://schemas.microsoft.com/office/drawing/2014/main" id="{00000000-0008-0000-1200-000032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5</xdr:col>
      <xdr:colOff>0</xdr:colOff>
      <xdr:row>40</xdr:row>
      <xdr:rowOff>152640</xdr:rowOff>
    </xdr:from>
    <xdr:to>
      <xdr:col>5</xdr:col>
      <xdr:colOff>1345680</xdr:colOff>
      <xdr:row>41</xdr:row>
      <xdr:rowOff>21960</xdr:rowOff>
    </xdr:to>
    <xdr:sp macro="" textlink="">
      <xdr:nvSpPr>
        <xdr:cNvPr id="563" name="CustomShape 1">
          <a:extLst>
            <a:ext uri="{FF2B5EF4-FFF2-40B4-BE49-F238E27FC236}">
              <a16:creationId xmlns:a16="http://schemas.microsoft.com/office/drawing/2014/main" id="{00000000-0008-0000-1200-000033020000}"/>
            </a:ext>
          </a:extLst>
        </xdr:cNvPr>
        <xdr:cNvSpPr/>
      </xdr:nvSpPr>
      <xdr:spPr>
        <a:xfrm>
          <a:off x="9136800" y="7067520"/>
          <a:ext cx="1345680" cy="313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64" name="CustomShape 1">
          <a:extLst>
            <a:ext uri="{FF2B5EF4-FFF2-40B4-BE49-F238E27FC236}">
              <a16:creationId xmlns:a16="http://schemas.microsoft.com/office/drawing/2014/main" id="{00000000-0008-0000-1200-000034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65" name="CustomShape 1">
          <a:extLst>
            <a:ext uri="{FF2B5EF4-FFF2-40B4-BE49-F238E27FC236}">
              <a16:creationId xmlns:a16="http://schemas.microsoft.com/office/drawing/2014/main" id="{00000000-0008-0000-1200-000035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66" name="CustomShape 1">
          <a:extLst>
            <a:ext uri="{FF2B5EF4-FFF2-40B4-BE49-F238E27FC236}">
              <a16:creationId xmlns:a16="http://schemas.microsoft.com/office/drawing/2014/main" id="{00000000-0008-0000-1200-000036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67" name="CustomShape 1">
          <a:extLst>
            <a:ext uri="{FF2B5EF4-FFF2-40B4-BE49-F238E27FC236}">
              <a16:creationId xmlns:a16="http://schemas.microsoft.com/office/drawing/2014/main" id="{00000000-0008-0000-1200-000037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68" name="CustomShape 1">
          <a:extLst>
            <a:ext uri="{FF2B5EF4-FFF2-40B4-BE49-F238E27FC236}">
              <a16:creationId xmlns:a16="http://schemas.microsoft.com/office/drawing/2014/main" id="{00000000-0008-0000-1200-000038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69" name="CustomShape 1">
          <a:extLst>
            <a:ext uri="{FF2B5EF4-FFF2-40B4-BE49-F238E27FC236}">
              <a16:creationId xmlns:a16="http://schemas.microsoft.com/office/drawing/2014/main" id="{00000000-0008-0000-1200-000039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70" name="CustomShape 1">
          <a:extLst>
            <a:ext uri="{FF2B5EF4-FFF2-40B4-BE49-F238E27FC236}">
              <a16:creationId xmlns:a16="http://schemas.microsoft.com/office/drawing/2014/main" id="{00000000-0008-0000-1200-00003A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71" name="CustomShape 1">
          <a:extLst>
            <a:ext uri="{FF2B5EF4-FFF2-40B4-BE49-F238E27FC236}">
              <a16:creationId xmlns:a16="http://schemas.microsoft.com/office/drawing/2014/main" id="{00000000-0008-0000-1200-00003B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72" name="CustomShape 1">
          <a:extLst>
            <a:ext uri="{FF2B5EF4-FFF2-40B4-BE49-F238E27FC236}">
              <a16:creationId xmlns:a16="http://schemas.microsoft.com/office/drawing/2014/main" id="{00000000-0008-0000-1200-00003C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73" name="CustomShape 1">
          <a:extLst>
            <a:ext uri="{FF2B5EF4-FFF2-40B4-BE49-F238E27FC236}">
              <a16:creationId xmlns:a16="http://schemas.microsoft.com/office/drawing/2014/main" id="{00000000-0008-0000-1200-00003D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74" name="CustomShape 1">
          <a:extLst>
            <a:ext uri="{FF2B5EF4-FFF2-40B4-BE49-F238E27FC236}">
              <a16:creationId xmlns:a16="http://schemas.microsoft.com/office/drawing/2014/main" id="{00000000-0008-0000-1200-00003E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75" name="CustomShape 1">
          <a:extLst>
            <a:ext uri="{FF2B5EF4-FFF2-40B4-BE49-F238E27FC236}">
              <a16:creationId xmlns:a16="http://schemas.microsoft.com/office/drawing/2014/main" id="{00000000-0008-0000-1200-00003F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76" name="CustomShape 1">
          <a:extLst>
            <a:ext uri="{FF2B5EF4-FFF2-40B4-BE49-F238E27FC236}">
              <a16:creationId xmlns:a16="http://schemas.microsoft.com/office/drawing/2014/main" id="{00000000-0008-0000-1200-000040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77" name="CustomShape 1">
          <a:extLst>
            <a:ext uri="{FF2B5EF4-FFF2-40B4-BE49-F238E27FC236}">
              <a16:creationId xmlns:a16="http://schemas.microsoft.com/office/drawing/2014/main" id="{00000000-0008-0000-1200-000041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78" name="CustomShape 1">
          <a:extLst>
            <a:ext uri="{FF2B5EF4-FFF2-40B4-BE49-F238E27FC236}">
              <a16:creationId xmlns:a16="http://schemas.microsoft.com/office/drawing/2014/main" id="{00000000-0008-0000-1200-000042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79" name="CustomShape 1">
          <a:extLst>
            <a:ext uri="{FF2B5EF4-FFF2-40B4-BE49-F238E27FC236}">
              <a16:creationId xmlns:a16="http://schemas.microsoft.com/office/drawing/2014/main" id="{00000000-0008-0000-1200-000043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80" name="CustomShape 1">
          <a:extLst>
            <a:ext uri="{FF2B5EF4-FFF2-40B4-BE49-F238E27FC236}">
              <a16:creationId xmlns:a16="http://schemas.microsoft.com/office/drawing/2014/main" id="{00000000-0008-0000-1200-000044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81" name="CustomShape 1">
          <a:extLst>
            <a:ext uri="{FF2B5EF4-FFF2-40B4-BE49-F238E27FC236}">
              <a16:creationId xmlns:a16="http://schemas.microsoft.com/office/drawing/2014/main" id="{00000000-0008-0000-1200-000045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82" name="CustomShape 1">
          <a:extLst>
            <a:ext uri="{FF2B5EF4-FFF2-40B4-BE49-F238E27FC236}">
              <a16:creationId xmlns:a16="http://schemas.microsoft.com/office/drawing/2014/main" id="{00000000-0008-0000-1200-000046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83" name="CustomShape 1">
          <a:extLst>
            <a:ext uri="{FF2B5EF4-FFF2-40B4-BE49-F238E27FC236}">
              <a16:creationId xmlns:a16="http://schemas.microsoft.com/office/drawing/2014/main" id="{00000000-0008-0000-1200-000047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84" name="CustomShape 1">
          <a:extLst>
            <a:ext uri="{FF2B5EF4-FFF2-40B4-BE49-F238E27FC236}">
              <a16:creationId xmlns:a16="http://schemas.microsoft.com/office/drawing/2014/main" id="{00000000-0008-0000-1200-000048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85" name="CustomShape 1">
          <a:extLst>
            <a:ext uri="{FF2B5EF4-FFF2-40B4-BE49-F238E27FC236}">
              <a16:creationId xmlns:a16="http://schemas.microsoft.com/office/drawing/2014/main" id="{00000000-0008-0000-1200-000049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86" name="CustomShape 1">
          <a:extLst>
            <a:ext uri="{FF2B5EF4-FFF2-40B4-BE49-F238E27FC236}">
              <a16:creationId xmlns:a16="http://schemas.microsoft.com/office/drawing/2014/main" id="{00000000-0008-0000-1200-00004A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87" name="CustomShape 1">
          <a:extLst>
            <a:ext uri="{FF2B5EF4-FFF2-40B4-BE49-F238E27FC236}">
              <a16:creationId xmlns:a16="http://schemas.microsoft.com/office/drawing/2014/main" id="{00000000-0008-0000-1200-00004B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88" name="CustomShape 1">
          <a:extLst>
            <a:ext uri="{FF2B5EF4-FFF2-40B4-BE49-F238E27FC236}">
              <a16:creationId xmlns:a16="http://schemas.microsoft.com/office/drawing/2014/main" id="{00000000-0008-0000-1200-00004C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89" name="CustomShape 1">
          <a:extLst>
            <a:ext uri="{FF2B5EF4-FFF2-40B4-BE49-F238E27FC236}">
              <a16:creationId xmlns:a16="http://schemas.microsoft.com/office/drawing/2014/main" id="{00000000-0008-0000-1200-00004D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90" name="CustomShape 1">
          <a:extLst>
            <a:ext uri="{FF2B5EF4-FFF2-40B4-BE49-F238E27FC236}">
              <a16:creationId xmlns:a16="http://schemas.microsoft.com/office/drawing/2014/main" id="{00000000-0008-0000-1200-00004E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91" name="CustomShape 1">
          <a:extLst>
            <a:ext uri="{FF2B5EF4-FFF2-40B4-BE49-F238E27FC236}">
              <a16:creationId xmlns:a16="http://schemas.microsoft.com/office/drawing/2014/main" id="{00000000-0008-0000-1200-00004F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92" name="CustomShape 1">
          <a:extLst>
            <a:ext uri="{FF2B5EF4-FFF2-40B4-BE49-F238E27FC236}">
              <a16:creationId xmlns:a16="http://schemas.microsoft.com/office/drawing/2014/main" id="{00000000-0008-0000-1200-000050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93" name="CustomShape 1">
          <a:extLst>
            <a:ext uri="{FF2B5EF4-FFF2-40B4-BE49-F238E27FC236}">
              <a16:creationId xmlns:a16="http://schemas.microsoft.com/office/drawing/2014/main" id="{00000000-0008-0000-1200-000051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94" name="CustomShape 1">
          <a:extLst>
            <a:ext uri="{FF2B5EF4-FFF2-40B4-BE49-F238E27FC236}">
              <a16:creationId xmlns:a16="http://schemas.microsoft.com/office/drawing/2014/main" id="{00000000-0008-0000-1200-000052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95" name="CustomShape 1">
          <a:extLst>
            <a:ext uri="{FF2B5EF4-FFF2-40B4-BE49-F238E27FC236}">
              <a16:creationId xmlns:a16="http://schemas.microsoft.com/office/drawing/2014/main" id="{00000000-0008-0000-1200-000053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96" name="CustomShape 1">
          <a:extLst>
            <a:ext uri="{FF2B5EF4-FFF2-40B4-BE49-F238E27FC236}">
              <a16:creationId xmlns:a16="http://schemas.microsoft.com/office/drawing/2014/main" id="{00000000-0008-0000-1200-000054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97" name="CustomShape 1">
          <a:extLst>
            <a:ext uri="{FF2B5EF4-FFF2-40B4-BE49-F238E27FC236}">
              <a16:creationId xmlns:a16="http://schemas.microsoft.com/office/drawing/2014/main" id="{00000000-0008-0000-1200-000055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98" name="CustomShape 1">
          <a:extLst>
            <a:ext uri="{FF2B5EF4-FFF2-40B4-BE49-F238E27FC236}">
              <a16:creationId xmlns:a16="http://schemas.microsoft.com/office/drawing/2014/main" id="{00000000-0008-0000-1200-000056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599" name="CustomShape 1">
          <a:extLst>
            <a:ext uri="{FF2B5EF4-FFF2-40B4-BE49-F238E27FC236}">
              <a16:creationId xmlns:a16="http://schemas.microsoft.com/office/drawing/2014/main" id="{00000000-0008-0000-1200-000057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107640</xdr:rowOff>
    </xdr:to>
    <xdr:sp macro="" textlink="">
      <xdr:nvSpPr>
        <xdr:cNvPr id="600" name="CustomShape 1">
          <a:extLst>
            <a:ext uri="{FF2B5EF4-FFF2-40B4-BE49-F238E27FC236}">
              <a16:creationId xmlns:a16="http://schemas.microsoft.com/office/drawing/2014/main" id="{00000000-0008-0000-1200-000058020000}"/>
            </a:ext>
          </a:extLst>
        </xdr:cNvPr>
        <xdr:cNvSpPr/>
      </xdr:nvSpPr>
      <xdr:spPr>
        <a:xfrm>
          <a:off x="0" y="72388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601" name="CustomShape 1">
          <a:extLst>
            <a:ext uri="{FF2B5EF4-FFF2-40B4-BE49-F238E27FC236}">
              <a16:creationId xmlns:a16="http://schemas.microsoft.com/office/drawing/2014/main" id="{00000000-0008-0000-1200-00005902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602" name="CustomShape 1">
          <a:extLst>
            <a:ext uri="{FF2B5EF4-FFF2-40B4-BE49-F238E27FC236}">
              <a16:creationId xmlns:a16="http://schemas.microsoft.com/office/drawing/2014/main" id="{00000000-0008-0000-1200-00005A02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603" name="CustomShape 1">
          <a:extLst>
            <a:ext uri="{FF2B5EF4-FFF2-40B4-BE49-F238E27FC236}">
              <a16:creationId xmlns:a16="http://schemas.microsoft.com/office/drawing/2014/main" id="{00000000-0008-0000-1200-00005B02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604" name="CustomShape 1">
          <a:extLst>
            <a:ext uri="{FF2B5EF4-FFF2-40B4-BE49-F238E27FC236}">
              <a16:creationId xmlns:a16="http://schemas.microsoft.com/office/drawing/2014/main" id="{00000000-0008-0000-1200-00005C02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605" name="CustomShape 1">
          <a:extLst>
            <a:ext uri="{FF2B5EF4-FFF2-40B4-BE49-F238E27FC236}">
              <a16:creationId xmlns:a16="http://schemas.microsoft.com/office/drawing/2014/main" id="{00000000-0008-0000-1200-00005D02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42</xdr:row>
      <xdr:rowOff>0</xdr:rowOff>
    </xdr:from>
    <xdr:to>
      <xdr:col>0</xdr:col>
      <xdr:colOff>117000</xdr:colOff>
      <xdr:row>42</xdr:row>
      <xdr:rowOff>126360</xdr:rowOff>
    </xdr:to>
    <xdr:sp macro="" textlink="">
      <xdr:nvSpPr>
        <xdr:cNvPr id="606" name="CustomShape 1">
          <a:extLst>
            <a:ext uri="{FF2B5EF4-FFF2-40B4-BE49-F238E27FC236}">
              <a16:creationId xmlns:a16="http://schemas.microsoft.com/office/drawing/2014/main" id="{00000000-0008-0000-1200-00005E020000}"/>
            </a:ext>
          </a:extLst>
        </xdr:cNvPr>
        <xdr:cNvSpPr/>
      </xdr:nvSpPr>
      <xdr:spPr>
        <a:xfrm>
          <a:off x="0" y="72388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607" name="CustomShape 1">
          <a:extLst>
            <a:ext uri="{FF2B5EF4-FFF2-40B4-BE49-F238E27FC236}">
              <a16:creationId xmlns:a16="http://schemas.microsoft.com/office/drawing/2014/main" id="{00000000-0008-0000-1200-00005F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608" name="CustomShape 1">
          <a:extLst>
            <a:ext uri="{FF2B5EF4-FFF2-40B4-BE49-F238E27FC236}">
              <a16:creationId xmlns:a16="http://schemas.microsoft.com/office/drawing/2014/main" id="{00000000-0008-0000-1200-000060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609" name="CustomShape 1">
          <a:extLst>
            <a:ext uri="{FF2B5EF4-FFF2-40B4-BE49-F238E27FC236}">
              <a16:creationId xmlns:a16="http://schemas.microsoft.com/office/drawing/2014/main" id="{00000000-0008-0000-1200-000061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610" name="CustomShape 1">
          <a:extLst>
            <a:ext uri="{FF2B5EF4-FFF2-40B4-BE49-F238E27FC236}">
              <a16:creationId xmlns:a16="http://schemas.microsoft.com/office/drawing/2014/main" id="{00000000-0008-0000-1200-000062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611" name="CustomShape 1">
          <a:extLst>
            <a:ext uri="{FF2B5EF4-FFF2-40B4-BE49-F238E27FC236}">
              <a16:creationId xmlns:a16="http://schemas.microsoft.com/office/drawing/2014/main" id="{00000000-0008-0000-1200-000063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612" name="CustomShape 1">
          <a:extLst>
            <a:ext uri="{FF2B5EF4-FFF2-40B4-BE49-F238E27FC236}">
              <a16:creationId xmlns:a16="http://schemas.microsoft.com/office/drawing/2014/main" id="{00000000-0008-0000-1200-000064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110</xdr:row>
      <xdr:rowOff>0</xdr:rowOff>
    </xdr:from>
    <xdr:to>
      <xdr:col>0</xdr:col>
      <xdr:colOff>326520</xdr:colOff>
      <xdr:row>111</xdr:row>
      <xdr:rowOff>126720</xdr:rowOff>
    </xdr:to>
    <xdr:sp macro="" textlink="">
      <xdr:nvSpPr>
        <xdr:cNvPr id="613" name="CustomShape 1">
          <a:extLst>
            <a:ext uri="{FF2B5EF4-FFF2-40B4-BE49-F238E27FC236}">
              <a16:creationId xmlns:a16="http://schemas.microsoft.com/office/drawing/2014/main" id="{00000000-0008-0000-1200-000065020000}"/>
            </a:ext>
          </a:extLst>
        </xdr:cNvPr>
        <xdr:cNvSpPr/>
      </xdr:nvSpPr>
      <xdr:spPr>
        <a:xfrm>
          <a:off x="9360" y="18249840"/>
          <a:ext cx="317160" cy="288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110</xdr:row>
      <xdr:rowOff>0</xdr:rowOff>
    </xdr:from>
    <xdr:to>
      <xdr:col>0</xdr:col>
      <xdr:colOff>641160</xdr:colOff>
      <xdr:row>111</xdr:row>
      <xdr:rowOff>126720</xdr:rowOff>
    </xdr:to>
    <xdr:sp macro="" textlink="">
      <xdr:nvSpPr>
        <xdr:cNvPr id="614" name="CustomShape 1">
          <a:extLst>
            <a:ext uri="{FF2B5EF4-FFF2-40B4-BE49-F238E27FC236}">
              <a16:creationId xmlns:a16="http://schemas.microsoft.com/office/drawing/2014/main" id="{00000000-0008-0000-1200-000066020000}"/>
            </a:ext>
          </a:extLst>
        </xdr:cNvPr>
        <xdr:cNvSpPr/>
      </xdr:nvSpPr>
      <xdr:spPr>
        <a:xfrm>
          <a:off x="324000" y="18249840"/>
          <a:ext cx="317160" cy="288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615" name="CustomShape 1">
          <a:extLst>
            <a:ext uri="{FF2B5EF4-FFF2-40B4-BE49-F238E27FC236}">
              <a16:creationId xmlns:a16="http://schemas.microsoft.com/office/drawing/2014/main" id="{00000000-0008-0000-1200-000067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616" name="CustomShape 1">
          <a:extLst>
            <a:ext uri="{FF2B5EF4-FFF2-40B4-BE49-F238E27FC236}">
              <a16:creationId xmlns:a16="http://schemas.microsoft.com/office/drawing/2014/main" id="{00000000-0008-0000-1200-000068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617" name="CustomShape 1">
          <a:extLst>
            <a:ext uri="{FF2B5EF4-FFF2-40B4-BE49-F238E27FC236}">
              <a16:creationId xmlns:a16="http://schemas.microsoft.com/office/drawing/2014/main" id="{00000000-0008-0000-1200-000069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618" name="CustomShape 1">
          <a:extLst>
            <a:ext uri="{FF2B5EF4-FFF2-40B4-BE49-F238E27FC236}">
              <a16:creationId xmlns:a16="http://schemas.microsoft.com/office/drawing/2014/main" id="{00000000-0008-0000-1200-00006A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619" name="CustomShape 1">
          <a:extLst>
            <a:ext uri="{FF2B5EF4-FFF2-40B4-BE49-F238E27FC236}">
              <a16:creationId xmlns:a16="http://schemas.microsoft.com/office/drawing/2014/main" id="{00000000-0008-0000-1200-00006B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49</xdr:row>
      <xdr:rowOff>0</xdr:rowOff>
    </xdr:from>
    <xdr:to>
      <xdr:col>0</xdr:col>
      <xdr:colOff>117000</xdr:colOff>
      <xdr:row>49</xdr:row>
      <xdr:rowOff>107640</xdr:rowOff>
    </xdr:to>
    <xdr:sp macro="" textlink="">
      <xdr:nvSpPr>
        <xdr:cNvPr id="620" name="CustomShape 1">
          <a:extLst>
            <a:ext uri="{FF2B5EF4-FFF2-40B4-BE49-F238E27FC236}">
              <a16:creationId xmlns:a16="http://schemas.microsoft.com/office/drawing/2014/main" id="{00000000-0008-0000-1200-00006C020000}"/>
            </a:ext>
          </a:extLst>
        </xdr:cNvPr>
        <xdr:cNvSpPr/>
      </xdr:nvSpPr>
      <xdr:spPr>
        <a:xfrm>
          <a:off x="0" y="837216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621" name="CustomShape 1">
          <a:extLst>
            <a:ext uri="{FF2B5EF4-FFF2-40B4-BE49-F238E27FC236}">
              <a16:creationId xmlns:a16="http://schemas.microsoft.com/office/drawing/2014/main" id="{00000000-0008-0000-1200-00006D02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622" name="CustomShape 1">
          <a:extLst>
            <a:ext uri="{FF2B5EF4-FFF2-40B4-BE49-F238E27FC236}">
              <a16:creationId xmlns:a16="http://schemas.microsoft.com/office/drawing/2014/main" id="{00000000-0008-0000-1200-00006E02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623" name="CustomShape 1">
          <a:extLst>
            <a:ext uri="{FF2B5EF4-FFF2-40B4-BE49-F238E27FC236}">
              <a16:creationId xmlns:a16="http://schemas.microsoft.com/office/drawing/2014/main" id="{00000000-0008-0000-1200-00006F02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624" name="CustomShape 1">
          <a:extLst>
            <a:ext uri="{FF2B5EF4-FFF2-40B4-BE49-F238E27FC236}">
              <a16:creationId xmlns:a16="http://schemas.microsoft.com/office/drawing/2014/main" id="{00000000-0008-0000-1200-00007002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625" name="CustomShape 1">
          <a:extLst>
            <a:ext uri="{FF2B5EF4-FFF2-40B4-BE49-F238E27FC236}">
              <a16:creationId xmlns:a16="http://schemas.microsoft.com/office/drawing/2014/main" id="{00000000-0008-0000-1200-00007102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626" name="CustomShape 1">
          <a:extLst>
            <a:ext uri="{FF2B5EF4-FFF2-40B4-BE49-F238E27FC236}">
              <a16:creationId xmlns:a16="http://schemas.microsoft.com/office/drawing/2014/main" id="{00000000-0008-0000-1200-00007202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9360</xdr:colOff>
      <xdr:row>105</xdr:row>
      <xdr:rowOff>0</xdr:rowOff>
    </xdr:from>
    <xdr:to>
      <xdr:col>0</xdr:col>
      <xdr:colOff>326520</xdr:colOff>
      <xdr:row>106</xdr:row>
      <xdr:rowOff>97920</xdr:rowOff>
    </xdr:to>
    <xdr:sp macro="" textlink="">
      <xdr:nvSpPr>
        <xdr:cNvPr id="627" name="CustomShape 1">
          <a:extLst>
            <a:ext uri="{FF2B5EF4-FFF2-40B4-BE49-F238E27FC236}">
              <a16:creationId xmlns:a16="http://schemas.microsoft.com/office/drawing/2014/main" id="{00000000-0008-0000-1200-000073020000}"/>
            </a:ext>
          </a:extLst>
        </xdr:cNvPr>
        <xdr:cNvSpPr/>
      </xdr:nvSpPr>
      <xdr:spPr>
        <a:xfrm>
          <a:off x="936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324000</xdr:colOff>
      <xdr:row>105</xdr:row>
      <xdr:rowOff>0</xdr:rowOff>
    </xdr:from>
    <xdr:to>
      <xdr:col>0</xdr:col>
      <xdr:colOff>641160</xdr:colOff>
      <xdr:row>106</xdr:row>
      <xdr:rowOff>97920</xdr:rowOff>
    </xdr:to>
    <xdr:sp macro="" textlink="">
      <xdr:nvSpPr>
        <xdr:cNvPr id="628" name="CustomShape 1">
          <a:extLst>
            <a:ext uri="{FF2B5EF4-FFF2-40B4-BE49-F238E27FC236}">
              <a16:creationId xmlns:a16="http://schemas.microsoft.com/office/drawing/2014/main" id="{00000000-0008-0000-1200-000074020000}"/>
            </a:ext>
          </a:extLst>
        </xdr:cNvPr>
        <xdr:cNvSpPr/>
      </xdr:nvSpPr>
      <xdr:spPr>
        <a:xfrm>
          <a:off x="324000" y="17440200"/>
          <a:ext cx="317160" cy="25992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629" name="CustomShape 1">
          <a:extLst>
            <a:ext uri="{FF2B5EF4-FFF2-40B4-BE49-F238E27FC236}">
              <a16:creationId xmlns:a16="http://schemas.microsoft.com/office/drawing/2014/main" id="{00000000-0008-0000-1200-000075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630" name="CustomShape 1">
          <a:extLst>
            <a:ext uri="{FF2B5EF4-FFF2-40B4-BE49-F238E27FC236}">
              <a16:creationId xmlns:a16="http://schemas.microsoft.com/office/drawing/2014/main" id="{00000000-0008-0000-1200-000076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631" name="CustomShape 1">
          <a:extLst>
            <a:ext uri="{FF2B5EF4-FFF2-40B4-BE49-F238E27FC236}">
              <a16:creationId xmlns:a16="http://schemas.microsoft.com/office/drawing/2014/main" id="{00000000-0008-0000-1200-000077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632" name="CustomShape 1">
          <a:extLst>
            <a:ext uri="{FF2B5EF4-FFF2-40B4-BE49-F238E27FC236}">
              <a16:creationId xmlns:a16="http://schemas.microsoft.com/office/drawing/2014/main" id="{00000000-0008-0000-1200-000078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633" name="CustomShape 1">
          <a:extLst>
            <a:ext uri="{FF2B5EF4-FFF2-40B4-BE49-F238E27FC236}">
              <a16:creationId xmlns:a16="http://schemas.microsoft.com/office/drawing/2014/main" id="{00000000-0008-0000-1200-000079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634" name="CustomShape 1">
          <a:extLst>
            <a:ext uri="{FF2B5EF4-FFF2-40B4-BE49-F238E27FC236}">
              <a16:creationId xmlns:a16="http://schemas.microsoft.com/office/drawing/2014/main" id="{00000000-0008-0000-1200-00007A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35" name="CustomShape 1">
          <a:extLst>
            <a:ext uri="{FF2B5EF4-FFF2-40B4-BE49-F238E27FC236}">
              <a16:creationId xmlns:a16="http://schemas.microsoft.com/office/drawing/2014/main" id="{00000000-0008-0000-1200-00007B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36" name="CustomShape 1">
          <a:extLst>
            <a:ext uri="{FF2B5EF4-FFF2-40B4-BE49-F238E27FC236}">
              <a16:creationId xmlns:a16="http://schemas.microsoft.com/office/drawing/2014/main" id="{00000000-0008-0000-1200-00007C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37" name="CustomShape 1">
          <a:extLst>
            <a:ext uri="{FF2B5EF4-FFF2-40B4-BE49-F238E27FC236}">
              <a16:creationId xmlns:a16="http://schemas.microsoft.com/office/drawing/2014/main" id="{00000000-0008-0000-1200-00007D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38" name="CustomShape 1">
          <a:extLst>
            <a:ext uri="{FF2B5EF4-FFF2-40B4-BE49-F238E27FC236}">
              <a16:creationId xmlns:a16="http://schemas.microsoft.com/office/drawing/2014/main" id="{00000000-0008-0000-1200-00007E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39" name="CustomShape 1">
          <a:extLst>
            <a:ext uri="{FF2B5EF4-FFF2-40B4-BE49-F238E27FC236}">
              <a16:creationId xmlns:a16="http://schemas.microsoft.com/office/drawing/2014/main" id="{00000000-0008-0000-1200-00007F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40" name="CustomShape 1">
          <a:extLst>
            <a:ext uri="{FF2B5EF4-FFF2-40B4-BE49-F238E27FC236}">
              <a16:creationId xmlns:a16="http://schemas.microsoft.com/office/drawing/2014/main" id="{00000000-0008-0000-1200-000080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41" name="CustomShape 1">
          <a:extLst>
            <a:ext uri="{FF2B5EF4-FFF2-40B4-BE49-F238E27FC236}">
              <a16:creationId xmlns:a16="http://schemas.microsoft.com/office/drawing/2014/main" id="{00000000-0008-0000-1200-000081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42" name="CustomShape 1">
          <a:extLst>
            <a:ext uri="{FF2B5EF4-FFF2-40B4-BE49-F238E27FC236}">
              <a16:creationId xmlns:a16="http://schemas.microsoft.com/office/drawing/2014/main" id="{00000000-0008-0000-1200-000082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43" name="CustomShape 1">
          <a:extLst>
            <a:ext uri="{FF2B5EF4-FFF2-40B4-BE49-F238E27FC236}">
              <a16:creationId xmlns:a16="http://schemas.microsoft.com/office/drawing/2014/main" id="{00000000-0008-0000-1200-000083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44" name="CustomShape 1">
          <a:extLst>
            <a:ext uri="{FF2B5EF4-FFF2-40B4-BE49-F238E27FC236}">
              <a16:creationId xmlns:a16="http://schemas.microsoft.com/office/drawing/2014/main" id="{00000000-0008-0000-1200-000084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45" name="CustomShape 1">
          <a:extLst>
            <a:ext uri="{FF2B5EF4-FFF2-40B4-BE49-F238E27FC236}">
              <a16:creationId xmlns:a16="http://schemas.microsoft.com/office/drawing/2014/main" id="{00000000-0008-0000-1200-000085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46" name="CustomShape 1">
          <a:extLst>
            <a:ext uri="{FF2B5EF4-FFF2-40B4-BE49-F238E27FC236}">
              <a16:creationId xmlns:a16="http://schemas.microsoft.com/office/drawing/2014/main" id="{00000000-0008-0000-1200-000086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47" name="CustomShape 1">
          <a:extLst>
            <a:ext uri="{FF2B5EF4-FFF2-40B4-BE49-F238E27FC236}">
              <a16:creationId xmlns:a16="http://schemas.microsoft.com/office/drawing/2014/main" id="{00000000-0008-0000-1200-000087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48" name="CustomShape 1">
          <a:extLst>
            <a:ext uri="{FF2B5EF4-FFF2-40B4-BE49-F238E27FC236}">
              <a16:creationId xmlns:a16="http://schemas.microsoft.com/office/drawing/2014/main" id="{00000000-0008-0000-1200-000088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49" name="CustomShape 1">
          <a:extLst>
            <a:ext uri="{FF2B5EF4-FFF2-40B4-BE49-F238E27FC236}">
              <a16:creationId xmlns:a16="http://schemas.microsoft.com/office/drawing/2014/main" id="{00000000-0008-0000-1200-000089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50" name="CustomShape 1">
          <a:extLst>
            <a:ext uri="{FF2B5EF4-FFF2-40B4-BE49-F238E27FC236}">
              <a16:creationId xmlns:a16="http://schemas.microsoft.com/office/drawing/2014/main" id="{00000000-0008-0000-1200-00008A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51" name="CustomShape 1">
          <a:extLst>
            <a:ext uri="{FF2B5EF4-FFF2-40B4-BE49-F238E27FC236}">
              <a16:creationId xmlns:a16="http://schemas.microsoft.com/office/drawing/2014/main" id="{00000000-0008-0000-1200-00008B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52" name="CustomShape 1">
          <a:extLst>
            <a:ext uri="{FF2B5EF4-FFF2-40B4-BE49-F238E27FC236}">
              <a16:creationId xmlns:a16="http://schemas.microsoft.com/office/drawing/2014/main" id="{00000000-0008-0000-1200-00008C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53" name="CustomShape 1">
          <a:extLst>
            <a:ext uri="{FF2B5EF4-FFF2-40B4-BE49-F238E27FC236}">
              <a16:creationId xmlns:a16="http://schemas.microsoft.com/office/drawing/2014/main" id="{00000000-0008-0000-1200-00008D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54" name="CustomShape 1">
          <a:extLst>
            <a:ext uri="{FF2B5EF4-FFF2-40B4-BE49-F238E27FC236}">
              <a16:creationId xmlns:a16="http://schemas.microsoft.com/office/drawing/2014/main" id="{00000000-0008-0000-1200-00008E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55" name="CustomShape 1">
          <a:extLst>
            <a:ext uri="{FF2B5EF4-FFF2-40B4-BE49-F238E27FC236}">
              <a16:creationId xmlns:a16="http://schemas.microsoft.com/office/drawing/2014/main" id="{00000000-0008-0000-1200-00008F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56" name="CustomShape 1">
          <a:extLst>
            <a:ext uri="{FF2B5EF4-FFF2-40B4-BE49-F238E27FC236}">
              <a16:creationId xmlns:a16="http://schemas.microsoft.com/office/drawing/2014/main" id="{00000000-0008-0000-1200-000090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57" name="CustomShape 1">
          <a:extLst>
            <a:ext uri="{FF2B5EF4-FFF2-40B4-BE49-F238E27FC236}">
              <a16:creationId xmlns:a16="http://schemas.microsoft.com/office/drawing/2014/main" id="{00000000-0008-0000-1200-000091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58" name="CustomShape 1">
          <a:extLst>
            <a:ext uri="{FF2B5EF4-FFF2-40B4-BE49-F238E27FC236}">
              <a16:creationId xmlns:a16="http://schemas.microsoft.com/office/drawing/2014/main" id="{00000000-0008-0000-1200-000092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59" name="CustomShape 1">
          <a:extLst>
            <a:ext uri="{FF2B5EF4-FFF2-40B4-BE49-F238E27FC236}">
              <a16:creationId xmlns:a16="http://schemas.microsoft.com/office/drawing/2014/main" id="{00000000-0008-0000-1200-000093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60" name="CustomShape 1">
          <a:extLst>
            <a:ext uri="{FF2B5EF4-FFF2-40B4-BE49-F238E27FC236}">
              <a16:creationId xmlns:a16="http://schemas.microsoft.com/office/drawing/2014/main" id="{00000000-0008-0000-1200-000094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61" name="CustomShape 1">
          <a:extLst>
            <a:ext uri="{FF2B5EF4-FFF2-40B4-BE49-F238E27FC236}">
              <a16:creationId xmlns:a16="http://schemas.microsoft.com/office/drawing/2014/main" id="{00000000-0008-0000-1200-000095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62" name="CustomShape 1">
          <a:extLst>
            <a:ext uri="{FF2B5EF4-FFF2-40B4-BE49-F238E27FC236}">
              <a16:creationId xmlns:a16="http://schemas.microsoft.com/office/drawing/2014/main" id="{00000000-0008-0000-1200-000096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63" name="CustomShape 1">
          <a:extLst>
            <a:ext uri="{FF2B5EF4-FFF2-40B4-BE49-F238E27FC236}">
              <a16:creationId xmlns:a16="http://schemas.microsoft.com/office/drawing/2014/main" id="{00000000-0008-0000-1200-000097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64" name="CustomShape 1">
          <a:extLst>
            <a:ext uri="{FF2B5EF4-FFF2-40B4-BE49-F238E27FC236}">
              <a16:creationId xmlns:a16="http://schemas.microsoft.com/office/drawing/2014/main" id="{00000000-0008-0000-1200-000098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65" name="CustomShape 1">
          <a:extLst>
            <a:ext uri="{FF2B5EF4-FFF2-40B4-BE49-F238E27FC236}">
              <a16:creationId xmlns:a16="http://schemas.microsoft.com/office/drawing/2014/main" id="{00000000-0008-0000-1200-000099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66" name="CustomShape 1">
          <a:extLst>
            <a:ext uri="{FF2B5EF4-FFF2-40B4-BE49-F238E27FC236}">
              <a16:creationId xmlns:a16="http://schemas.microsoft.com/office/drawing/2014/main" id="{00000000-0008-0000-1200-00009A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67" name="CustomShape 1">
          <a:extLst>
            <a:ext uri="{FF2B5EF4-FFF2-40B4-BE49-F238E27FC236}">
              <a16:creationId xmlns:a16="http://schemas.microsoft.com/office/drawing/2014/main" id="{00000000-0008-0000-1200-00009B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68" name="CustomShape 1">
          <a:extLst>
            <a:ext uri="{FF2B5EF4-FFF2-40B4-BE49-F238E27FC236}">
              <a16:creationId xmlns:a16="http://schemas.microsoft.com/office/drawing/2014/main" id="{00000000-0008-0000-1200-00009C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69" name="CustomShape 1">
          <a:extLst>
            <a:ext uri="{FF2B5EF4-FFF2-40B4-BE49-F238E27FC236}">
              <a16:creationId xmlns:a16="http://schemas.microsoft.com/office/drawing/2014/main" id="{00000000-0008-0000-1200-00009D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70" name="CustomShape 1">
          <a:extLst>
            <a:ext uri="{FF2B5EF4-FFF2-40B4-BE49-F238E27FC236}">
              <a16:creationId xmlns:a16="http://schemas.microsoft.com/office/drawing/2014/main" id="{00000000-0008-0000-1200-00009E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71" name="CustomShape 1">
          <a:extLst>
            <a:ext uri="{FF2B5EF4-FFF2-40B4-BE49-F238E27FC236}">
              <a16:creationId xmlns:a16="http://schemas.microsoft.com/office/drawing/2014/main" id="{00000000-0008-0000-1200-00009F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672" name="CustomShape 1">
          <a:extLst>
            <a:ext uri="{FF2B5EF4-FFF2-40B4-BE49-F238E27FC236}">
              <a16:creationId xmlns:a16="http://schemas.microsoft.com/office/drawing/2014/main" id="{00000000-0008-0000-1200-0000A002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673" name="CustomShape 1">
          <a:extLst>
            <a:ext uri="{FF2B5EF4-FFF2-40B4-BE49-F238E27FC236}">
              <a16:creationId xmlns:a16="http://schemas.microsoft.com/office/drawing/2014/main" id="{00000000-0008-0000-1200-0000A102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674" name="CustomShape 1">
          <a:extLst>
            <a:ext uri="{FF2B5EF4-FFF2-40B4-BE49-F238E27FC236}">
              <a16:creationId xmlns:a16="http://schemas.microsoft.com/office/drawing/2014/main" id="{00000000-0008-0000-1200-0000A202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675" name="CustomShape 1">
          <a:extLst>
            <a:ext uri="{FF2B5EF4-FFF2-40B4-BE49-F238E27FC236}">
              <a16:creationId xmlns:a16="http://schemas.microsoft.com/office/drawing/2014/main" id="{00000000-0008-0000-1200-0000A302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676" name="CustomShape 1">
          <a:extLst>
            <a:ext uri="{FF2B5EF4-FFF2-40B4-BE49-F238E27FC236}">
              <a16:creationId xmlns:a16="http://schemas.microsoft.com/office/drawing/2014/main" id="{00000000-0008-0000-1200-0000A402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677" name="CustomShape 1">
          <a:extLst>
            <a:ext uri="{FF2B5EF4-FFF2-40B4-BE49-F238E27FC236}">
              <a16:creationId xmlns:a16="http://schemas.microsoft.com/office/drawing/2014/main" id="{00000000-0008-0000-1200-0000A502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678" name="CustomShape 1">
          <a:extLst>
            <a:ext uri="{FF2B5EF4-FFF2-40B4-BE49-F238E27FC236}">
              <a16:creationId xmlns:a16="http://schemas.microsoft.com/office/drawing/2014/main" id="{00000000-0008-0000-1200-0000A6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679" name="CustomShape 1">
          <a:extLst>
            <a:ext uri="{FF2B5EF4-FFF2-40B4-BE49-F238E27FC236}">
              <a16:creationId xmlns:a16="http://schemas.microsoft.com/office/drawing/2014/main" id="{00000000-0008-0000-1200-0000A7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680" name="CustomShape 1">
          <a:extLst>
            <a:ext uri="{FF2B5EF4-FFF2-40B4-BE49-F238E27FC236}">
              <a16:creationId xmlns:a16="http://schemas.microsoft.com/office/drawing/2014/main" id="{00000000-0008-0000-1200-0000A8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681" name="CustomShape 1">
          <a:extLst>
            <a:ext uri="{FF2B5EF4-FFF2-40B4-BE49-F238E27FC236}">
              <a16:creationId xmlns:a16="http://schemas.microsoft.com/office/drawing/2014/main" id="{00000000-0008-0000-1200-0000A9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682" name="CustomShape 1">
          <a:extLst>
            <a:ext uri="{FF2B5EF4-FFF2-40B4-BE49-F238E27FC236}">
              <a16:creationId xmlns:a16="http://schemas.microsoft.com/office/drawing/2014/main" id="{00000000-0008-0000-1200-0000AA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683" name="CustomShape 1">
          <a:extLst>
            <a:ext uri="{FF2B5EF4-FFF2-40B4-BE49-F238E27FC236}">
              <a16:creationId xmlns:a16="http://schemas.microsoft.com/office/drawing/2014/main" id="{00000000-0008-0000-1200-0000AB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84" name="CustomShape 1">
          <a:extLst>
            <a:ext uri="{FF2B5EF4-FFF2-40B4-BE49-F238E27FC236}">
              <a16:creationId xmlns:a16="http://schemas.microsoft.com/office/drawing/2014/main" id="{00000000-0008-0000-1200-0000AC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85" name="CustomShape 1">
          <a:extLst>
            <a:ext uri="{FF2B5EF4-FFF2-40B4-BE49-F238E27FC236}">
              <a16:creationId xmlns:a16="http://schemas.microsoft.com/office/drawing/2014/main" id="{00000000-0008-0000-1200-0000AD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86" name="CustomShape 1">
          <a:extLst>
            <a:ext uri="{FF2B5EF4-FFF2-40B4-BE49-F238E27FC236}">
              <a16:creationId xmlns:a16="http://schemas.microsoft.com/office/drawing/2014/main" id="{00000000-0008-0000-1200-0000AE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87" name="CustomShape 1">
          <a:extLst>
            <a:ext uri="{FF2B5EF4-FFF2-40B4-BE49-F238E27FC236}">
              <a16:creationId xmlns:a16="http://schemas.microsoft.com/office/drawing/2014/main" id="{00000000-0008-0000-1200-0000AF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88" name="CustomShape 1">
          <a:extLst>
            <a:ext uri="{FF2B5EF4-FFF2-40B4-BE49-F238E27FC236}">
              <a16:creationId xmlns:a16="http://schemas.microsoft.com/office/drawing/2014/main" id="{00000000-0008-0000-1200-0000B0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89" name="CustomShape 1">
          <a:extLst>
            <a:ext uri="{FF2B5EF4-FFF2-40B4-BE49-F238E27FC236}">
              <a16:creationId xmlns:a16="http://schemas.microsoft.com/office/drawing/2014/main" id="{00000000-0008-0000-1200-0000B1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90" name="CustomShape 1">
          <a:extLst>
            <a:ext uri="{FF2B5EF4-FFF2-40B4-BE49-F238E27FC236}">
              <a16:creationId xmlns:a16="http://schemas.microsoft.com/office/drawing/2014/main" id="{00000000-0008-0000-1200-0000B2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91" name="CustomShape 1">
          <a:extLst>
            <a:ext uri="{FF2B5EF4-FFF2-40B4-BE49-F238E27FC236}">
              <a16:creationId xmlns:a16="http://schemas.microsoft.com/office/drawing/2014/main" id="{00000000-0008-0000-1200-0000B3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92" name="CustomShape 1">
          <a:extLst>
            <a:ext uri="{FF2B5EF4-FFF2-40B4-BE49-F238E27FC236}">
              <a16:creationId xmlns:a16="http://schemas.microsoft.com/office/drawing/2014/main" id="{00000000-0008-0000-1200-0000B4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93" name="CustomShape 1">
          <a:extLst>
            <a:ext uri="{FF2B5EF4-FFF2-40B4-BE49-F238E27FC236}">
              <a16:creationId xmlns:a16="http://schemas.microsoft.com/office/drawing/2014/main" id="{00000000-0008-0000-1200-0000B5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94" name="CustomShape 1">
          <a:extLst>
            <a:ext uri="{FF2B5EF4-FFF2-40B4-BE49-F238E27FC236}">
              <a16:creationId xmlns:a16="http://schemas.microsoft.com/office/drawing/2014/main" id="{00000000-0008-0000-1200-0000B6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95" name="CustomShape 1">
          <a:extLst>
            <a:ext uri="{FF2B5EF4-FFF2-40B4-BE49-F238E27FC236}">
              <a16:creationId xmlns:a16="http://schemas.microsoft.com/office/drawing/2014/main" id="{00000000-0008-0000-1200-0000B7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96" name="CustomShape 1">
          <a:extLst>
            <a:ext uri="{FF2B5EF4-FFF2-40B4-BE49-F238E27FC236}">
              <a16:creationId xmlns:a16="http://schemas.microsoft.com/office/drawing/2014/main" id="{00000000-0008-0000-1200-0000B8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97" name="CustomShape 1">
          <a:extLst>
            <a:ext uri="{FF2B5EF4-FFF2-40B4-BE49-F238E27FC236}">
              <a16:creationId xmlns:a16="http://schemas.microsoft.com/office/drawing/2014/main" id="{00000000-0008-0000-1200-0000B9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98" name="CustomShape 1">
          <a:extLst>
            <a:ext uri="{FF2B5EF4-FFF2-40B4-BE49-F238E27FC236}">
              <a16:creationId xmlns:a16="http://schemas.microsoft.com/office/drawing/2014/main" id="{00000000-0008-0000-1200-0000BA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699" name="CustomShape 1">
          <a:extLst>
            <a:ext uri="{FF2B5EF4-FFF2-40B4-BE49-F238E27FC236}">
              <a16:creationId xmlns:a16="http://schemas.microsoft.com/office/drawing/2014/main" id="{00000000-0008-0000-1200-0000BB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00" name="CustomShape 1">
          <a:extLst>
            <a:ext uri="{FF2B5EF4-FFF2-40B4-BE49-F238E27FC236}">
              <a16:creationId xmlns:a16="http://schemas.microsoft.com/office/drawing/2014/main" id="{00000000-0008-0000-1200-0000BC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01" name="CustomShape 1">
          <a:extLst>
            <a:ext uri="{FF2B5EF4-FFF2-40B4-BE49-F238E27FC236}">
              <a16:creationId xmlns:a16="http://schemas.microsoft.com/office/drawing/2014/main" id="{00000000-0008-0000-1200-0000BD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02" name="CustomShape 1">
          <a:extLst>
            <a:ext uri="{FF2B5EF4-FFF2-40B4-BE49-F238E27FC236}">
              <a16:creationId xmlns:a16="http://schemas.microsoft.com/office/drawing/2014/main" id="{00000000-0008-0000-1200-0000BE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03" name="CustomShape 1">
          <a:extLst>
            <a:ext uri="{FF2B5EF4-FFF2-40B4-BE49-F238E27FC236}">
              <a16:creationId xmlns:a16="http://schemas.microsoft.com/office/drawing/2014/main" id="{00000000-0008-0000-1200-0000BF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04" name="CustomShape 1">
          <a:extLst>
            <a:ext uri="{FF2B5EF4-FFF2-40B4-BE49-F238E27FC236}">
              <a16:creationId xmlns:a16="http://schemas.microsoft.com/office/drawing/2014/main" id="{00000000-0008-0000-1200-0000C0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05" name="CustomShape 1">
          <a:extLst>
            <a:ext uri="{FF2B5EF4-FFF2-40B4-BE49-F238E27FC236}">
              <a16:creationId xmlns:a16="http://schemas.microsoft.com/office/drawing/2014/main" id="{00000000-0008-0000-1200-0000C1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06" name="CustomShape 1">
          <a:extLst>
            <a:ext uri="{FF2B5EF4-FFF2-40B4-BE49-F238E27FC236}">
              <a16:creationId xmlns:a16="http://schemas.microsoft.com/office/drawing/2014/main" id="{00000000-0008-0000-1200-0000C2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07" name="CustomShape 1">
          <a:extLst>
            <a:ext uri="{FF2B5EF4-FFF2-40B4-BE49-F238E27FC236}">
              <a16:creationId xmlns:a16="http://schemas.microsoft.com/office/drawing/2014/main" id="{00000000-0008-0000-1200-0000C3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08" name="CustomShape 1">
          <a:extLst>
            <a:ext uri="{FF2B5EF4-FFF2-40B4-BE49-F238E27FC236}">
              <a16:creationId xmlns:a16="http://schemas.microsoft.com/office/drawing/2014/main" id="{00000000-0008-0000-1200-0000C4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09" name="CustomShape 1">
          <a:extLst>
            <a:ext uri="{FF2B5EF4-FFF2-40B4-BE49-F238E27FC236}">
              <a16:creationId xmlns:a16="http://schemas.microsoft.com/office/drawing/2014/main" id="{00000000-0008-0000-1200-0000C5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10" name="CustomShape 1">
          <a:extLst>
            <a:ext uri="{FF2B5EF4-FFF2-40B4-BE49-F238E27FC236}">
              <a16:creationId xmlns:a16="http://schemas.microsoft.com/office/drawing/2014/main" id="{00000000-0008-0000-1200-0000C6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11" name="CustomShape 1">
          <a:extLst>
            <a:ext uri="{FF2B5EF4-FFF2-40B4-BE49-F238E27FC236}">
              <a16:creationId xmlns:a16="http://schemas.microsoft.com/office/drawing/2014/main" id="{00000000-0008-0000-1200-0000C7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12" name="CustomShape 1">
          <a:extLst>
            <a:ext uri="{FF2B5EF4-FFF2-40B4-BE49-F238E27FC236}">
              <a16:creationId xmlns:a16="http://schemas.microsoft.com/office/drawing/2014/main" id="{00000000-0008-0000-1200-0000C8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13" name="CustomShape 1">
          <a:extLst>
            <a:ext uri="{FF2B5EF4-FFF2-40B4-BE49-F238E27FC236}">
              <a16:creationId xmlns:a16="http://schemas.microsoft.com/office/drawing/2014/main" id="{00000000-0008-0000-1200-0000C9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14" name="CustomShape 1">
          <a:extLst>
            <a:ext uri="{FF2B5EF4-FFF2-40B4-BE49-F238E27FC236}">
              <a16:creationId xmlns:a16="http://schemas.microsoft.com/office/drawing/2014/main" id="{00000000-0008-0000-1200-0000CA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15" name="CustomShape 1">
          <a:extLst>
            <a:ext uri="{FF2B5EF4-FFF2-40B4-BE49-F238E27FC236}">
              <a16:creationId xmlns:a16="http://schemas.microsoft.com/office/drawing/2014/main" id="{00000000-0008-0000-1200-0000CB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16" name="CustomShape 1">
          <a:extLst>
            <a:ext uri="{FF2B5EF4-FFF2-40B4-BE49-F238E27FC236}">
              <a16:creationId xmlns:a16="http://schemas.microsoft.com/office/drawing/2014/main" id="{00000000-0008-0000-1200-0000CC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17" name="CustomShape 1">
          <a:extLst>
            <a:ext uri="{FF2B5EF4-FFF2-40B4-BE49-F238E27FC236}">
              <a16:creationId xmlns:a16="http://schemas.microsoft.com/office/drawing/2014/main" id="{00000000-0008-0000-1200-0000CD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18" name="CustomShape 1">
          <a:extLst>
            <a:ext uri="{FF2B5EF4-FFF2-40B4-BE49-F238E27FC236}">
              <a16:creationId xmlns:a16="http://schemas.microsoft.com/office/drawing/2014/main" id="{00000000-0008-0000-1200-0000CE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19" name="CustomShape 1">
          <a:extLst>
            <a:ext uri="{FF2B5EF4-FFF2-40B4-BE49-F238E27FC236}">
              <a16:creationId xmlns:a16="http://schemas.microsoft.com/office/drawing/2014/main" id="{00000000-0008-0000-1200-0000CF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20" name="CustomShape 1">
          <a:extLst>
            <a:ext uri="{FF2B5EF4-FFF2-40B4-BE49-F238E27FC236}">
              <a16:creationId xmlns:a16="http://schemas.microsoft.com/office/drawing/2014/main" id="{00000000-0008-0000-1200-0000D0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721" name="CustomShape 1">
          <a:extLst>
            <a:ext uri="{FF2B5EF4-FFF2-40B4-BE49-F238E27FC236}">
              <a16:creationId xmlns:a16="http://schemas.microsoft.com/office/drawing/2014/main" id="{00000000-0008-0000-1200-0000D102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722" name="CustomShape 1">
          <a:extLst>
            <a:ext uri="{FF2B5EF4-FFF2-40B4-BE49-F238E27FC236}">
              <a16:creationId xmlns:a16="http://schemas.microsoft.com/office/drawing/2014/main" id="{00000000-0008-0000-1200-0000D202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723" name="CustomShape 1">
          <a:extLst>
            <a:ext uri="{FF2B5EF4-FFF2-40B4-BE49-F238E27FC236}">
              <a16:creationId xmlns:a16="http://schemas.microsoft.com/office/drawing/2014/main" id="{00000000-0008-0000-1200-0000D302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724" name="CustomShape 1">
          <a:extLst>
            <a:ext uri="{FF2B5EF4-FFF2-40B4-BE49-F238E27FC236}">
              <a16:creationId xmlns:a16="http://schemas.microsoft.com/office/drawing/2014/main" id="{00000000-0008-0000-1200-0000D402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725" name="CustomShape 1">
          <a:extLst>
            <a:ext uri="{FF2B5EF4-FFF2-40B4-BE49-F238E27FC236}">
              <a16:creationId xmlns:a16="http://schemas.microsoft.com/office/drawing/2014/main" id="{00000000-0008-0000-1200-0000D502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726" name="CustomShape 1">
          <a:extLst>
            <a:ext uri="{FF2B5EF4-FFF2-40B4-BE49-F238E27FC236}">
              <a16:creationId xmlns:a16="http://schemas.microsoft.com/office/drawing/2014/main" id="{00000000-0008-0000-1200-0000D602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727" name="CustomShape 1">
          <a:extLst>
            <a:ext uri="{FF2B5EF4-FFF2-40B4-BE49-F238E27FC236}">
              <a16:creationId xmlns:a16="http://schemas.microsoft.com/office/drawing/2014/main" id="{00000000-0008-0000-1200-0000D7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728" name="CustomShape 1">
          <a:extLst>
            <a:ext uri="{FF2B5EF4-FFF2-40B4-BE49-F238E27FC236}">
              <a16:creationId xmlns:a16="http://schemas.microsoft.com/office/drawing/2014/main" id="{00000000-0008-0000-1200-0000D8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729" name="CustomShape 1">
          <a:extLst>
            <a:ext uri="{FF2B5EF4-FFF2-40B4-BE49-F238E27FC236}">
              <a16:creationId xmlns:a16="http://schemas.microsoft.com/office/drawing/2014/main" id="{00000000-0008-0000-1200-0000D9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730" name="CustomShape 1">
          <a:extLst>
            <a:ext uri="{FF2B5EF4-FFF2-40B4-BE49-F238E27FC236}">
              <a16:creationId xmlns:a16="http://schemas.microsoft.com/office/drawing/2014/main" id="{00000000-0008-0000-1200-0000DA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731" name="CustomShape 1">
          <a:extLst>
            <a:ext uri="{FF2B5EF4-FFF2-40B4-BE49-F238E27FC236}">
              <a16:creationId xmlns:a16="http://schemas.microsoft.com/office/drawing/2014/main" id="{00000000-0008-0000-1200-0000DB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732" name="CustomShape 1">
          <a:extLst>
            <a:ext uri="{FF2B5EF4-FFF2-40B4-BE49-F238E27FC236}">
              <a16:creationId xmlns:a16="http://schemas.microsoft.com/office/drawing/2014/main" id="{00000000-0008-0000-1200-0000DC02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33" name="CustomShape 1">
          <a:extLst>
            <a:ext uri="{FF2B5EF4-FFF2-40B4-BE49-F238E27FC236}">
              <a16:creationId xmlns:a16="http://schemas.microsoft.com/office/drawing/2014/main" id="{00000000-0008-0000-1200-0000DD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34" name="CustomShape 1">
          <a:extLst>
            <a:ext uri="{FF2B5EF4-FFF2-40B4-BE49-F238E27FC236}">
              <a16:creationId xmlns:a16="http://schemas.microsoft.com/office/drawing/2014/main" id="{00000000-0008-0000-1200-0000DE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35" name="CustomShape 1">
          <a:extLst>
            <a:ext uri="{FF2B5EF4-FFF2-40B4-BE49-F238E27FC236}">
              <a16:creationId xmlns:a16="http://schemas.microsoft.com/office/drawing/2014/main" id="{00000000-0008-0000-1200-0000DF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36" name="CustomShape 1">
          <a:extLst>
            <a:ext uri="{FF2B5EF4-FFF2-40B4-BE49-F238E27FC236}">
              <a16:creationId xmlns:a16="http://schemas.microsoft.com/office/drawing/2014/main" id="{00000000-0008-0000-1200-0000E0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37" name="CustomShape 1">
          <a:extLst>
            <a:ext uri="{FF2B5EF4-FFF2-40B4-BE49-F238E27FC236}">
              <a16:creationId xmlns:a16="http://schemas.microsoft.com/office/drawing/2014/main" id="{00000000-0008-0000-1200-0000E1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38" name="CustomShape 1">
          <a:extLst>
            <a:ext uri="{FF2B5EF4-FFF2-40B4-BE49-F238E27FC236}">
              <a16:creationId xmlns:a16="http://schemas.microsoft.com/office/drawing/2014/main" id="{00000000-0008-0000-1200-0000E2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39" name="CustomShape 1">
          <a:extLst>
            <a:ext uri="{FF2B5EF4-FFF2-40B4-BE49-F238E27FC236}">
              <a16:creationId xmlns:a16="http://schemas.microsoft.com/office/drawing/2014/main" id="{00000000-0008-0000-1200-0000E3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40" name="CustomShape 1">
          <a:extLst>
            <a:ext uri="{FF2B5EF4-FFF2-40B4-BE49-F238E27FC236}">
              <a16:creationId xmlns:a16="http://schemas.microsoft.com/office/drawing/2014/main" id="{00000000-0008-0000-1200-0000E4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41" name="CustomShape 1">
          <a:extLst>
            <a:ext uri="{FF2B5EF4-FFF2-40B4-BE49-F238E27FC236}">
              <a16:creationId xmlns:a16="http://schemas.microsoft.com/office/drawing/2014/main" id="{00000000-0008-0000-1200-0000E5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42" name="CustomShape 1">
          <a:extLst>
            <a:ext uri="{FF2B5EF4-FFF2-40B4-BE49-F238E27FC236}">
              <a16:creationId xmlns:a16="http://schemas.microsoft.com/office/drawing/2014/main" id="{00000000-0008-0000-1200-0000E6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43" name="CustomShape 1">
          <a:extLst>
            <a:ext uri="{FF2B5EF4-FFF2-40B4-BE49-F238E27FC236}">
              <a16:creationId xmlns:a16="http://schemas.microsoft.com/office/drawing/2014/main" id="{00000000-0008-0000-1200-0000E7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44" name="CustomShape 1">
          <a:extLst>
            <a:ext uri="{FF2B5EF4-FFF2-40B4-BE49-F238E27FC236}">
              <a16:creationId xmlns:a16="http://schemas.microsoft.com/office/drawing/2014/main" id="{00000000-0008-0000-1200-0000E8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45" name="CustomShape 1">
          <a:extLst>
            <a:ext uri="{FF2B5EF4-FFF2-40B4-BE49-F238E27FC236}">
              <a16:creationId xmlns:a16="http://schemas.microsoft.com/office/drawing/2014/main" id="{00000000-0008-0000-1200-0000E9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46" name="CustomShape 1">
          <a:extLst>
            <a:ext uri="{FF2B5EF4-FFF2-40B4-BE49-F238E27FC236}">
              <a16:creationId xmlns:a16="http://schemas.microsoft.com/office/drawing/2014/main" id="{00000000-0008-0000-1200-0000EA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47" name="CustomShape 1">
          <a:extLst>
            <a:ext uri="{FF2B5EF4-FFF2-40B4-BE49-F238E27FC236}">
              <a16:creationId xmlns:a16="http://schemas.microsoft.com/office/drawing/2014/main" id="{00000000-0008-0000-1200-0000EB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48" name="CustomShape 1">
          <a:extLst>
            <a:ext uri="{FF2B5EF4-FFF2-40B4-BE49-F238E27FC236}">
              <a16:creationId xmlns:a16="http://schemas.microsoft.com/office/drawing/2014/main" id="{00000000-0008-0000-1200-0000EC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49" name="CustomShape 1">
          <a:extLst>
            <a:ext uri="{FF2B5EF4-FFF2-40B4-BE49-F238E27FC236}">
              <a16:creationId xmlns:a16="http://schemas.microsoft.com/office/drawing/2014/main" id="{00000000-0008-0000-1200-0000ED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50" name="CustomShape 1">
          <a:extLst>
            <a:ext uri="{FF2B5EF4-FFF2-40B4-BE49-F238E27FC236}">
              <a16:creationId xmlns:a16="http://schemas.microsoft.com/office/drawing/2014/main" id="{00000000-0008-0000-1200-0000EE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51" name="CustomShape 1">
          <a:extLst>
            <a:ext uri="{FF2B5EF4-FFF2-40B4-BE49-F238E27FC236}">
              <a16:creationId xmlns:a16="http://schemas.microsoft.com/office/drawing/2014/main" id="{00000000-0008-0000-1200-0000EF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52" name="CustomShape 1">
          <a:extLst>
            <a:ext uri="{FF2B5EF4-FFF2-40B4-BE49-F238E27FC236}">
              <a16:creationId xmlns:a16="http://schemas.microsoft.com/office/drawing/2014/main" id="{00000000-0008-0000-1200-0000F0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53" name="CustomShape 1">
          <a:extLst>
            <a:ext uri="{FF2B5EF4-FFF2-40B4-BE49-F238E27FC236}">
              <a16:creationId xmlns:a16="http://schemas.microsoft.com/office/drawing/2014/main" id="{00000000-0008-0000-1200-0000F1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54" name="CustomShape 1">
          <a:extLst>
            <a:ext uri="{FF2B5EF4-FFF2-40B4-BE49-F238E27FC236}">
              <a16:creationId xmlns:a16="http://schemas.microsoft.com/office/drawing/2014/main" id="{00000000-0008-0000-1200-0000F2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55" name="CustomShape 1">
          <a:extLst>
            <a:ext uri="{FF2B5EF4-FFF2-40B4-BE49-F238E27FC236}">
              <a16:creationId xmlns:a16="http://schemas.microsoft.com/office/drawing/2014/main" id="{00000000-0008-0000-1200-0000F3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56" name="CustomShape 1">
          <a:extLst>
            <a:ext uri="{FF2B5EF4-FFF2-40B4-BE49-F238E27FC236}">
              <a16:creationId xmlns:a16="http://schemas.microsoft.com/office/drawing/2014/main" id="{00000000-0008-0000-1200-0000F4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57" name="CustomShape 1">
          <a:extLst>
            <a:ext uri="{FF2B5EF4-FFF2-40B4-BE49-F238E27FC236}">
              <a16:creationId xmlns:a16="http://schemas.microsoft.com/office/drawing/2014/main" id="{00000000-0008-0000-1200-0000F5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58" name="CustomShape 1">
          <a:extLst>
            <a:ext uri="{FF2B5EF4-FFF2-40B4-BE49-F238E27FC236}">
              <a16:creationId xmlns:a16="http://schemas.microsoft.com/office/drawing/2014/main" id="{00000000-0008-0000-1200-0000F6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59" name="CustomShape 1">
          <a:extLst>
            <a:ext uri="{FF2B5EF4-FFF2-40B4-BE49-F238E27FC236}">
              <a16:creationId xmlns:a16="http://schemas.microsoft.com/office/drawing/2014/main" id="{00000000-0008-0000-1200-0000F7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60" name="CustomShape 1">
          <a:extLst>
            <a:ext uri="{FF2B5EF4-FFF2-40B4-BE49-F238E27FC236}">
              <a16:creationId xmlns:a16="http://schemas.microsoft.com/office/drawing/2014/main" id="{00000000-0008-0000-1200-0000F8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61" name="CustomShape 1">
          <a:extLst>
            <a:ext uri="{FF2B5EF4-FFF2-40B4-BE49-F238E27FC236}">
              <a16:creationId xmlns:a16="http://schemas.microsoft.com/office/drawing/2014/main" id="{00000000-0008-0000-1200-0000F9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62" name="CustomShape 1">
          <a:extLst>
            <a:ext uri="{FF2B5EF4-FFF2-40B4-BE49-F238E27FC236}">
              <a16:creationId xmlns:a16="http://schemas.microsoft.com/office/drawing/2014/main" id="{00000000-0008-0000-1200-0000FA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63" name="CustomShape 1">
          <a:extLst>
            <a:ext uri="{FF2B5EF4-FFF2-40B4-BE49-F238E27FC236}">
              <a16:creationId xmlns:a16="http://schemas.microsoft.com/office/drawing/2014/main" id="{00000000-0008-0000-1200-0000FB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64" name="CustomShape 1">
          <a:extLst>
            <a:ext uri="{FF2B5EF4-FFF2-40B4-BE49-F238E27FC236}">
              <a16:creationId xmlns:a16="http://schemas.microsoft.com/office/drawing/2014/main" id="{00000000-0008-0000-1200-0000FC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65" name="CustomShape 1">
          <a:extLst>
            <a:ext uri="{FF2B5EF4-FFF2-40B4-BE49-F238E27FC236}">
              <a16:creationId xmlns:a16="http://schemas.microsoft.com/office/drawing/2014/main" id="{00000000-0008-0000-1200-0000FD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66" name="CustomShape 1">
          <a:extLst>
            <a:ext uri="{FF2B5EF4-FFF2-40B4-BE49-F238E27FC236}">
              <a16:creationId xmlns:a16="http://schemas.microsoft.com/office/drawing/2014/main" id="{00000000-0008-0000-1200-0000FE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67" name="CustomShape 1">
          <a:extLst>
            <a:ext uri="{FF2B5EF4-FFF2-40B4-BE49-F238E27FC236}">
              <a16:creationId xmlns:a16="http://schemas.microsoft.com/office/drawing/2014/main" id="{00000000-0008-0000-1200-0000FF02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68" name="CustomShape 1">
          <a:extLst>
            <a:ext uri="{FF2B5EF4-FFF2-40B4-BE49-F238E27FC236}">
              <a16:creationId xmlns:a16="http://schemas.microsoft.com/office/drawing/2014/main" id="{00000000-0008-0000-1200-000000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69" name="CustomShape 1">
          <a:extLst>
            <a:ext uri="{FF2B5EF4-FFF2-40B4-BE49-F238E27FC236}">
              <a16:creationId xmlns:a16="http://schemas.microsoft.com/office/drawing/2014/main" id="{00000000-0008-0000-1200-000001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770" name="CustomShape 1">
          <a:extLst>
            <a:ext uri="{FF2B5EF4-FFF2-40B4-BE49-F238E27FC236}">
              <a16:creationId xmlns:a16="http://schemas.microsoft.com/office/drawing/2014/main" id="{00000000-0008-0000-1200-000002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771" name="CustomShape 1">
          <a:extLst>
            <a:ext uri="{FF2B5EF4-FFF2-40B4-BE49-F238E27FC236}">
              <a16:creationId xmlns:a16="http://schemas.microsoft.com/office/drawing/2014/main" id="{00000000-0008-0000-1200-000003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772" name="CustomShape 1">
          <a:extLst>
            <a:ext uri="{FF2B5EF4-FFF2-40B4-BE49-F238E27FC236}">
              <a16:creationId xmlns:a16="http://schemas.microsoft.com/office/drawing/2014/main" id="{00000000-0008-0000-1200-000004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773" name="CustomShape 1">
          <a:extLst>
            <a:ext uri="{FF2B5EF4-FFF2-40B4-BE49-F238E27FC236}">
              <a16:creationId xmlns:a16="http://schemas.microsoft.com/office/drawing/2014/main" id="{00000000-0008-0000-1200-000005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774" name="CustomShape 1">
          <a:extLst>
            <a:ext uri="{FF2B5EF4-FFF2-40B4-BE49-F238E27FC236}">
              <a16:creationId xmlns:a16="http://schemas.microsoft.com/office/drawing/2014/main" id="{00000000-0008-0000-1200-000006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775" name="CustomShape 1">
          <a:extLst>
            <a:ext uri="{FF2B5EF4-FFF2-40B4-BE49-F238E27FC236}">
              <a16:creationId xmlns:a16="http://schemas.microsoft.com/office/drawing/2014/main" id="{00000000-0008-0000-1200-000007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76" name="CustomShape 1">
          <a:extLst>
            <a:ext uri="{FF2B5EF4-FFF2-40B4-BE49-F238E27FC236}">
              <a16:creationId xmlns:a16="http://schemas.microsoft.com/office/drawing/2014/main" id="{00000000-0008-0000-1200-000008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77" name="CustomShape 1">
          <a:extLst>
            <a:ext uri="{FF2B5EF4-FFF2-40B4-BE49-F238E27FC236}">
              <a16:creationId xmlns:a16="http://schemas.microsoft.com/office/drawing/2014/main" id="{00000000-0008-0000-1200-000009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78" name="CustomShape 1">
          <a:extLst>
            <a:ext uri="{FF2B5EF4-FFF2-40B4-BE49-F238E27FC236}">
              <a16:creationId xmlns:a16="http://schemas.microsoft.com/office/drawing/2014/main" id="{00000000-0008-0000-1200-00000A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79" name="CustomShape 1">
          <a:extLst>
            <a:ext uri="{FF2B5EF4-FFF2-40B4-BE49-F238E27FC236}">
              <a16:creationId xmlns:a16="http://schemas.microsoft.com/office/drawing/2014/main" id="{00000000-0008-0000-1200-00000B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80" name="CustomShape 1">
          <a:extLst>
            <a:ext uri="{FF2B5EF4-FFF2-40B4-BE49-F238E27FC236}">
              <a16:creationId xmlns:a16="http://schemas.microsoft.com/office/drawing/2014/main" id="{00000000-0008-0000-1200-00000C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81" name="CustomShape 1">
          <a:extLst>
            <a:ext uri="{FF2B5EF4-FFF2-40B4-BE49-F238E27FC236}">
              <a16:creationId xmlns:a16="http://schemas.microsoft.com/office/drawing/2014/main" id="{00000000-0008-0000-1200-00000D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82" name="CustomShape 1">
          <a:extLst>
            <a:ext uri="{FF2B5EF4-FFF2-40B4-BE49-F238E27FC236}">
              <a16:creationId xmlns:a16="http://schemas.microsoft.com/office/drawing/2014/main" id="{00000000-0008-0000-1200-00000E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83" name="CustomShape 1">
          <a:extLst>
            <a:ext uri="{FF2B5EF4-FFF2-40B4-BE49-F238E27FC236}">
              <a16:creationId xmlns:a16="http://schemas.microsoft.com/office/drawing/2014/main" id="{00000000-0008-0000-1200-00000F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84" name="CustomShape 1">
          <a:extLst>
            <a:ext uri="{FF2B5EF4-FFF2-40B4-BE49-F238E27FC236}">
              <a16:creationId xmlns:a16="http://schemas.microsoft.com/office/drawing/2014/main" id="{00000000-0008-0000-1200-000010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85" name="CustomShape 1">
          <a:extLst>
            <a:ext uri="{FF2B5EF4-FFF2-40B4-BE49-F238E27FC236}">
              <a16:creationId xmlns:a16="http://schemas.microsoft.com/office/drawing/2014/main" id="{00000000-0008-0000-1200-000011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86" name="CustomShape 1">
          <a:extLst>
            <a:ext uri="{FF2B5EF4-FFF2-40B4-BE49-F238E27FC236}">
              <a16:creationId xmlns:a16="http://schemas.microsoft.com/office/drawing/2014/main" id="{00000000-0008-0000-1200-000012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87" name="CustomShape 1">
          <a:extLst>
            <a:ext uri="{FF2B5EF4-FFF2-40B4-BE49-F238E27FC236}">
              <a16:creationId xmlns:a16="http://schemas.microsoft.com/office/drawing/2014/main" id="{00000000-0008-0000-1200-000013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788" name="CustomShape 1">
          <a:extLst>
            <a:ext uri="{FF2B5EF4-FFF2-40B4-BE49-F238E27FC236}">
              <a16:creationId xmlns:a16="http://schemas.microsoft.com/office/drawing/2014/main" id="{00000000-0008-0000-1200-000014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789" name="CustomShape 1">
          <a:extLst>
            <a:ext uri="{FF2B5EF4-FFF2-40B4-BE49-F238E27FC236}">
              <a16:creationId xmlns:a16="http://schemas.microsoft.com/office/drawing/2014/main" id="{00000000-0008-0000-1200-000015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790" name="CustomShape 1">
          <a:extLst>
            <a:ext uri="{FF2B5EF4-FFF2-40B4-BE49-F238E27FC236}">
              <a16:creationId xmlns:a16="http://schemas.microsoft.com/office/drawing/2014/main" id="{00000000-0008-0000-1200-000016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791" name="CustomShape 1">
          <a:extLst>
            <a:ext uri="{FF2B5EF4-FFF2-40B4-BE49-F238E27FC236}">
              <a16:creationId xmlns:a16="http://schemas.microsoft.com/office/drawing/2014/main" id="{00000000-0008-0000-1200-000017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792" name="CustomShape 1">
          <a:extLst>
            <a:ext uri="{FF2B5EF4-FFF2-40B4-BE49-F238E27FC236}">
              <a16:creationId xmlns:a16="http://schemas.microsoft.com/office/drawing/2014/main" id="{00000000-0008-0000-1200-000018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793" name="CustomShape 1">
          <a:extLst>
            <a:ext uri="{FF2B5EF4-FFF2-40B4-BE49-F238E27FC236}">
              <a16:creationId xmlns:a16="http://schemas.microsoft.com/office/drawing/2014/main" id="{00000000-0008-0000-1200-000019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94" name="CustomShape 1">
          <a:extLst>
            <a:ext uri="{FF2B5EF4-FFF2-40B4-BE49-F238E27FC236}">
              <a16:creationId xmlns:a16="http://schemas.microsoft.com/office/drawing/2014/main" id="{00000000-0008-0000-1200-00001A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95" name="CustomShape 1">
          <a:extLst>
            <a:ext uri="{FF2B5EF4-FFF2-40B4-BE49-F238E27FC236}">
              <a16:creationId xmlns:a16="http://schemas.microsoft.com/office/drawing/2014/main" id="{00000000-0008-0000-1200-00001B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96" name="CustomShape 1">
          <a:extLst>
            <a:ext uri="{FF2B5EF4-FFF2-40B4-BE49-F238E27FC236}">
              <a16:creationId xmlns:a16="http://schemas.microsoft.com/office/drawing/2014/main" id="{00000000-0008-0000-1200-00001C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97" name="CustomShape 1">
          <a:extLst>
            <a:ext uri="{FF2B5EF4-FFF2-40B4-BE49-F238E27FC236}">
              <a16:creationId xmlns:a16="http://schemas.microsoft.com/office/drawing/2014/main" id="{00000000-0008-0000-1200-00001D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98" name="CustomShape 1">
          <a:extLst>
            <a:ext uri="{FF2B5EF4-FFF2-40B4-BE49-F238E27FC236}">
              <a16:creationId xmlns:a16="http://schemas.microsoft.com/office/drawing/2014/main" id="{00000000-0008-0000-1200-00001E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799" name="CustomShape 1">
          <a:extLst>
            <a:ext uri="{FF2B5EF4-FFF2-40B4-BE49-F238E27FC236}">
              <a16:creationId xmlns:a16="http://schemas.microsoft.com/office/drawing/2014/main" id="{00000000-0008-0000-1200-00001F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00" name="CustomShape 1">
          <a:extLst>
            <a:ext uri="{FF2B5EF4-FFF2-40B4-BE49-F238E27FC236}">
              <a16:creationId xmlns:a16="http://schemas.microsoft.com/office/drawing/2014/main" id="{00000000-0008-0000-1200-000020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01" name="CustomShape 1">
          <a:extLst>
            <a:ext uri="{FF2B5EF4-FFF2-40B4-BE49-F238E27FC236}">
              <a16:creationId xmlns:a16="http://schemas.microsoft.com/office/drawing/2014/main" id="{00000000-0008-0000-1200-000021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02" name="CustomShape 1">
          <a:extLst>
            <a:ext uri="{FF2B5EF4-FFF2-40B4-BE49-F238E27FC236}">
              <a16:creationId xmlns:a16="http://schemas.microsoft.com/office/drawing/2014/main" id="{00000000-0008-0000-1200-000022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03" name="CustomShape 1">
          <a:extLst>
            <a:ext uri="{FF2B5EF4-FFF2-40B4-BE49-F238E27FC236}">
              <a16:creationId xmlns:a16="http://schemas.microsoft.com/office/drawing/2014/main" id="{00000000-0008-0000-1200-000023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04" name="CustomShape 1">
          <a:extLst>
            <a:ext uri="{FF2B5EF4-FFF2-40B4-BE49-F238E27FC236}">
              <a16:creationId xmlns:a16="http://schemas.microsoft.com/office/drawing/2014/main" id="{00000000-0008-0000-1200-000024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05" name="CustomShape 1">
          <a:extLst>
            <a:ext uri="{FF2B5EF4-FFF2-40B4-BE49-F238E27FC236}">
              <a16:creationId xmlns:a16="http://schemas.microsoft.com/office/drawing/2014/main" id="{00000000-0008-0000-1200-000025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06" name="CustomShape 1">
          <a:extLst>
            <a:ext uri="{FF2B5EF4-FFF2-40B4-BE49-F238E27FC236}">
              <a16:creationId xmlns:a16="http://schemas.microsoft.com/office/drawing/2014/main" id="{00000000-0008-0000-1200-000026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07" name="CustomShape 1">
          <a:extLst>
            <a:ext uri="{FF2B5EF4-FFF2-40B4-BE49-F238E27FC236}">
              <a16:creationId xmlns:a16="http://schemas.microsoft.com/office/drawing/2014/main" id="{00000000-0008-0000-1200-000027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08" name="CustomShape 1">
          <a:extLst>
            <a:ext uri="{FF2B5EF4-FFF2-40B4-BE49-F238E27FC236}">
              <a16:creationId xmlns:a16="http://schemas.microsoft.com/office/drawing/2014/main" id="{00000000-0008-0000-1200-000028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09" name="CustomShape 1">
          <a:extLst>
            <a:ext uri="{FF2B5EF4-FFF2-40B4-BE49-F238E27FC236}">
              <a16:creationId xmlns:a16="http://schemas.microsoft.com/office/drawing/2014/main" id="{00000000-0008-0000-1200-000029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10" name="CustomShape 1">
          <a:extLst>
            <a:ext uri="{FF2B5EF4-FFF2-40B4-BE49-F238E27FC236}">
              <a16:creationId xmlns:a16="http://schemas.microsoft.com/office/drawing/2014/main" id="{00000000-0008-0000-1200-00002A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11" name="CustomShape 1">
          <a:extLst>
            <a:ext uri="{FF2B5EF4-FFF2-40B4-BE49-F238E27FC236}">
              <a16:creationId xmlns:a16="http://schemas.microsoft.com/office/drawing/2014/main" id="{00000000-0008-0000-1200-00002B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12" name="CustomShape 1">
          <a:extLst>
            <a:ext uri="{FF2B5EF4-FFF2-40B4-BE49-F238E27FC236}">
              <a16:creationId xmlns:a16="http://schemas.microsoft.com/office/drawing/2014/main" id="{00000000-0008-0000-1200-00002C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13" name="CustomShape 1">
          <a:extLst>
            <a:ext uri="{FF2B5EF4-FFF2-40B4-BE49-F238E27FC236}">
              <a16:creationId xmlns:a16="http://schemas.microsoft.com/office/drawing/2014/main" id="{00000000-0008-0000-1200-00002D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14" name="CustomShape 1">
          <a:extLst>
            <a:ext uri="{FF2B5EF4-FFF2-40B4-BE49-F238E27FC236}">
              <a16:creationId xmlns:a16="http://schemas.microsoft.com/office/drawing/2014/main" id="{00000000-0008-0000-1200-00002E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15" name="CustomShape 1">
          <a:extLst>
            <a:ext uri="{FF2B5EF4-FFF2-40B4-BE49-F238E27FC236}">
              <a16:creationId xmlns:a16="http://schemas.microsoft.com/office/drawing/2014/main" id="{00000000-0008-0000-1200-00002F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16" name="CustomShape 1">
          <a:extLst>
            <a:ext uri="{FF2B5EF4-FFF2-40B4-BE49-F238E27FC236}">
              <a16:creationId xmlns:a16="http://schemas.microsoft.com/office/drawing/2014/main" id="{00000000-0008-0000-1200-000030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17" name="CustomShape 1">
          <a:extLst>
            <a:ext uri="{FF2B5EF4-FFF2-40B4-BE49-F238E27FC236}">
              <a16:creationId xmlns:a16="http://schemas.microsoft.com/office/drawing/2014/main" id="{00000000-0008-0000-1200-000031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18" name="CustomShape 1">
          <a:extLst>
            <a:ext uri="{FF2B5EF4-FFF2-40B4-BE49-F238E27FC236}">
              <a16:creationId xmlns:a16="http://schemas.microsoft.com/office/drawing/2014/main" id="{00000000-0008-0000-1200-000032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19" name="CustomShape 1">
          <a:extLst>
            <a:ext uri="{FF2B5EF4-FFF2-40B4-BE49-F238E27FC236}">
              <a16:creationId xmlns:a16="http://schemas.microsoft.com/office/drawing/2014/main" id="{00000000-0008-0000-1200-000033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20" name="CustomShape 1">
          <a:extLst>
            <a:ext uri="{FF2B5EF4-FFF2-40B4-BE49-F238E27FC236}">
              <a16:creationId xmlns:a16="http://schemas.microsoft.com/office/drawing/2014/main" id="{00000000-0008-0000-1200-000034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21" name="CustomShape 1">
          <a:extLst>
            <a:ext uri="{FF2B5EF4-FFF2-40B4-BE49-F238E27FC236}">
              <a16:creationId xmlns:a16="http://schemas.microsoft.com/office/drawing/2014/main" id="{00000000-0008-0000-1200-000035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22" name="CustomShape 1">
          <a:extLst>
            <a:ext uri="{FF2B5EF4-FFF2-40B4-BE49-F238E27FC236}">
              <a16:creationId xmlns:a16="http://schemas.microsoft.com/office/drawing/2014/main" id="{00000000-0008-0000-1200-000036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23" name="CustomShape 1">
          <a:extLst>
            <a:ext uri="{FF2B5EF4-FFF2-40B4-BE49-F238E27FC236}">
              <a16:creationId xmlns:a16="http://schemas.microsoft.com/office/drawing/2014/main" id="{00000000-0008-0000-1200-000037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24" name="CustomShape 1">
          <a:extLst>
            <a:ext uri="{FF2B5EF4-FFF2-40B4-BE49-F238E27FC236}">
              <a16:creationId xmlns:a16="http://schemas.microsoft.com/office/drawing/2014/main" id="{00000000-0008-0000-1200-000038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25" name="CustomShape 1">
          <a:extLst>
            <a:ext uri="{FF2B5EF4-FFF2-40B4-BE49-F238E27FC236}">
              <a16:creationId xmlns:a16="http://schemas.microsoft.com/office/drawing/2014/main" id="{00000000-0008-0000-1200-000039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26" name="CustomShape 1">
          <a:extLst>
            <a:ext uri="{FF2B5EF4-FFF2-40B4-BE49-F238E27FC236}">
              <a16:creationId xmlns:a16="http://schemas.microsoft.com/office/drawing/2014/main" id="{00000000-0008-0000-1200-00003A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27" name="CustomShape 1">
          <a:extLst>
            <a:ext uri="{FF2B5EF4-FFF2-40B4-BE49-F238E27FC236}">
              <a16:creationId xmlns:a16="http://schemas.microsoft.com/office/drawing/2014/main" id="{00000000-0008-0000-1200-00003B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28" name="CustomShape 1">
          <a:extLst>
            <a:ext uri="{FF2B5EF4-FFF2-40B4-BE49-F238E27FC236}">
              <a16:creationId xmlns:a16="http://schemas.microsoft.com/office/drawing/2014/main" id="{00000000-0008-0000-1200-00003C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29" name="CustomShape 1">
          <a:extLst>
            <a:ext uri="{FF2B5EF4-FFF2-40B4-BE49-F238E27FC236}">
              <a16:creationId xmlns:a16="http://schemas.microsoft.com/office/drawing/2014/main" id="{00000000-0008-0000-1200-00003D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30" name="CustomShape 1">
          <a:extLst>
            <a:ext uri="{FF2B5EF4-FFF2-40B4-BE49-F238E27FC236}">
              <a16:creationId xmlns:a16="http://schemas.microsoft.com/office/drawing/2014/main" id="{00000000-0008-0000-1200-00003E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831" name="CustomShape 1">
          <a:extLst>
            <a:ext uri="{FF2B5EF4-FFF2-40B4-BE49-F238E27FC236}">
              <a16:creationId xmlns:a16="http://schemas.microsoft.com/office/drawing/2014/main" id="{00000000-0008-0000-1200-00003F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832" name="CustomShape 1">
          <a:extLst>
            <a:ext uri="{FF2B5EF4-FFF2-40B4-BE49-F238E27FC236}">
              <a16:creationId xmlns:a16="http://schemas.microsoft.com/office/drawing/2014/main" id="{00000000-0008-0000-1200-000040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833" name="CustomShape 1">
          <a:extLst>
            <a:ext uri="{FF2B5EF4-FFF2-40B4-BE49-F238E27FC236}">
              <a16:creationId xmlns:a16="http://schemas.microsoft.com/office/drawing/2014/main" id="{00000000-0008-0000-1200-000041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834" name="CustomShape 1">
          <a:extLst>
            <a:ext uri="{FF2B5EF4-FFF2-40B4-BE49-F238E27FC236}">
              <a16:creationId xmlns:a16="http://schemas.microsoft.com/office/drawing/2014/main" id="{00000000-0008-0000-1200-000042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835" name="CustomShape 1">
          <a:extLst>
            <a:ext uri="{FF2B5EF4-FFF2-40B4-BE49-F238E27FC236}">
              <a16:creationId xmlns:a16="http://schemas.microsoft.com/office/drawing/2014/main" id="{00000000-0008-0000-1200-000043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836" name="CustomShape 1">
          <a:extLst>
            <a:ext uri="{FF2B5EF4-FFF2-40B4-BE49-F238E27FC236}">
              <a16:creationId xmlns:a16="http://schemas.microsoft.com/office/drawing/2014/main" id="{00000000-0008-0000-1200-000044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37" name="CustomShape 1">
          <a:extLst>
            <a:ext uri="{FF2B5EF4-FFF2-40B4-BE49-F238E27FC236}">
              <a16:creationId xmlns:a16="http://schemas.microsoft.com/office/drawing/2014/main" id="{00000000-0008-0000-1200-000045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38" name="CustomShape 1">
          <a:extLst>
            <a:ext uri="{FF2B5EF4-FFF2-40B4-BE49-F238E27FC236}">
              <a16:creationId xmlns:a16="http://schemas.microsoft.com/office/drawing/2014/main" id="{00000000-0008-0000-1200-000046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39" name="CustomShape 1">
          <a:extLst>
            <a:ext uri="{FF2B5EF4-FFF2-40B4-BE49-F238E27FC236}">
              <a16:creationId xmlns:a16="http://schemas.microsoft.com/office/drawing/2014/main" id="{00000000-0008-0000-1200-000047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40" name="CustomShape 1">
          <a:extLst>
            <a:ext uri="{FF2B5EF4-FFF2-40B4-BE49-F238E27FC236}">
              <a16:creationId xmlns:a16="http://schemas.microsoft.com/office/drawing/2014/main" id="{00000000-0008-0000-1200-000048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41" name="CustomShape 1">
          <a:extLst>
            <a:ext uri="{FF2B5EF4-FFF2-40B4-BE49-F238E27FC236}">
              <a16:creationId xmlns:a16="http://schemas.microsoft.com/office/drawing/2014/main" id="{00000000-0008-0000-1200-000049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42" name="CustomShape 1">
          <a:extLst>
            <a:ext uri="{FF2B5EF4-FFF2-40B4-BE49-F238E27FC236}">
              <a16:creationId xmlns:a16="http://schemas.microsoft.com/office/drawing/2014/main" id="{00000000-0008-0000-1200-00004A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43" name="CustomShape 1">
          <a:extLst>
            <a:ext uri="{FF2B5EF4-FFF2-40B4-BE49-F238E27FC236}">
              <a16:creationId xmlns:a16="http://schemas.microsoft.com/office/drawing/2014/main" id="{00000000-0008-0000-1200-00004B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44" name="CustomShape 1">
          <a:extLst>
            <a:ext uri="{FF2B5EF4-FFF2-40B4-BE49-F238E27FC236}">
              <a16:creationId xmlns:a16="http://schemas.microsoft.com/office/drawing/2014/main" id="{00000000-0008-0000-1200-00004C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45" name="CustomShape 1">
          <a:extLst>
            <a:ext uri="{FF2B5EF4-FFF2-40B4-BE49-F238E27FC236}">
              <a16:creationId xmlns:a16="http://schemas.microsoft.com/office/drawing/2014/main" id="{00000000-0008-0000-1200-00004D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46" name="CustomShape 1">
          <a:extLst>
            <a:ext uri="{FF2B5EF4-FFF2-40B4-BE49-F238E27FC236}">
              <a16:creationId xmlns:a16="http://schemas.microsoft.com/office/drawing/2014/main" id="{00000000-0008-0000-1200-00004E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47" name="CustomShape 1">
          <a:extLst>
            <a:ext uri="{FF2B5EF4-FFF2-40B4-BE49-F238E27FC236}">
              <a16:creationId xmlns:a16="http://schemas.microsoft.com/office/drawing/2014/main" id="{00000000-0008-0000-1200-00004F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48" name="CustomShape 1">
          <a:extLst>
            <a:ext uri="{FF2B5EF4-FFF2-40B4-BE49-F238E27FC236}">
              <a16:creationId xmlns:a16="http://schemas.microsoft.com/office/drawing/2014/main" id="{00000000-0008-0000-1200-000050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849" name="CustomShape 1">
          <a:extLst>
            <a:ext uri="{FF2B5EF4-FFF2-40B4-BE49-F238E27FC236}">
              <a16:creationId xmlns:a16="http://schemas.microsoft.com/office/drawing/2014/main" id="{00000000-0008-0000-1200-000051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850" name="CustomShape 1">
          <a:extLst>
            <a:ext uri="{FF2B5EF4-FFF2-40B4-BE49-F238E27FC236}">
              <a16:creationId xmlns:a16="http://schemas.microsoft.com/office/drawing/2014/main" id="{00000000-0008-0000-1200-000052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851" name="CustomShape 1">
          <a:extLst>
            <a:ext uri="{FF2B5EF4-FFF2-40B4-BE49-F238E27FC236}">
              <a16:creationId xmlns:a16="http://schemas.microsoft.com/office/drawing/2014/main" id="{00000000-0008-0000-1200-000053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852" name="CustomShape 1">
          <a:extLst>
            <a:ext uri="{FF2B5EF4-FFF2-40B4-BE49-F238E27FC236}">
              <a16:creationId xmlns:a16="http://schemas.microsoft.com/office/drawing/2014/main" id="{00000000-0008-0000-1200-000054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853" name="CustomShape 1">
          <a:extLst>
            <a:ext uri="{FF2B5EF4-FFF2-40B4-BE49-F238E27FC236}">
              <a16:creationId xmlns:a16="http://schemas.microsoft.com/office/drawing/2014/main" id="{00000000-0008-0000-1200-000055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854" name="CustomShape 1">
          <a:extLst>
            <a:ext uri="{FF2B5EF4-FFF2-40B4-BE49-F238E27FC236}">
              <a16:creationId xmlns:a16="http://schemas.microsoft.com/office/drawing/2014/main" id="{00000000-0008-0000-1200-000056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55" name="CustomShape 1">
          <a:extLst>
            <a:ext uri="{FF2B5EF4-FFF2-40B4-BE49-F238E27FC236}">
              <a16:creationId xmlns:a16="http://schemas.microsoft.com/office/drawing/2014/main" id="{00000000-0008-0000-1200-000057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56" name="CustomShape 1">
          <a:extLst>
            <a:ext uri="{FF2B5EF4-FFF2-40B4-BE49-F238E27FC236}">
              <a16:creationId xmlns:a16="http://schemas.microsoft.com/office/drawing/2014/main" id="{00000000-0008-0000-1200-000058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57" name="CustomShape 1">
          <a:extLst>
            <a:ext uri="{FF2B5EF4-FFF2-40B4-BE49-F238E27FC236}">
              <a16:creationId xmlns:a16="http://schemas.microsoft.com/office/drawing/2014/main" id="{00000000-0008-0000-1200-000059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58" name="CustomShape 1">
          <a:extLst>
            <a:ext uri="{FF2B5EF4-FFF2-40B4-BE49-F238E27FC236}">
              <a16:creationId xmlns:a16="http://schemas.microsoft.com/office/drawing/2014/main" id="{00000000-0008-0000-1200-00005A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59" name="CustomShape 1">
          <a:extLst>
            <a:ext uri="{FF2B5EF4-FFF2-40B4-BE49-F238E27FC236}">
              <a16:creationId xmlns:a16="http://schemas.microsoft.com/office/drawing/2014/main" id="{00000000-0008-0000-1200-00005B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60" name="CustomShape 1">
          <a:extLst>
            <a:ext uri="{FF2B5EF4-FFF2-40B4-BE49-F238E27FC236}">
              <a16:creationId xmlns:a16="http://schemas.microsoft.com/office/drawing/2014/main" id="{00000000-0008-0000-1200-00005C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61" name="CustomShape 1">
          <a:extLst>
            <a:ext uri="{FF2B5EF4-FFF2-40B4-BE49-F238E27FC236}">
              <a16:creationId xmlns:a16="http://schemas.microsoft.com/office/drawing/2014/main" id="{00000000-0008-0000-1200-00005D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62" name="CustomShape 1">
          <a:extLst>
            <a:ext uri="{FF2B5EF4-FFF2-40B4-BE49-F238E27FC236}">
              <a16:creationId xmlns:a16="http://schemas.microsoft.com/office/drawing/2014/main" id="{00000000-0008-0000-1200-00005E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63" name="CustomShape 1">
          <a:extLst>
            <a:ext uri="{FF2B5EF4-FFF2-40B4-BE49-F238E27FC236}">
              <a16:creationId xmlns:a16="http://schemas.microsoft.com/office/drawing/2014/main" id="{00000000-0008-0000-1200-00005F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64" name="CustomShape 1">
          <a:extLst>
            <a:ext uri="{FF2B5EF4-FFF2-40B4-BE49-F238E27FC236}">
              <a16:creationId xmlns:a16="http://schemas.microsoft.com/office/drawing/2014/main" id="{00000000-0008-0000-1200-000060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65" name="CustomShape 1">
          <a:extLst>
            <a:ext uri="{FF2B5EF4-FFF2-40B4-BE49-F238E27FC236}">
              <a16:creationId xmlns:a16="http://schemas.microsoft.com/office/drawing/2014/main" id="{00000000-0008-0000-1200-000061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66" name="CustomShape 1">
          <a:extLst>
            <a:ext uri="{FF2B5EF4-FFF2-40B4-BE49-F238E27FC236}">
              <a16:creationId xmlns:a16="http://schemas.microsoft.com/office/drawing/2014/main" id="{00000000-0008-0000-1200-000062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67" name="CustomShape 1">
          <a:extLst>
            <a:ext uri="{FF2B5EF4-FFF2-40B4-BE49-F238E27FC236}">
              <a16:creationId xmlns:a16="http://schemas.microsoft.com/office/drawing/2014/main" id="{00000000-0008-0000-1200-000063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68" name="CustomShape 1">
          <a:extLst>
            <a:ext uri="{FF2B5EF4-FFF2-40B4-BE49-F238E27FC236}">
              <a16:creationId xmlns:a16="http://schemas.microsoft.com/office/drawing/2014/main" id="{00000000-0008-0000-1200-000064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69" name="CustomShape 1">
          <a:extLst>
            <a:ext uri="{FF2B5EF4-FFF2-40B4-BE49-F238E27FC236}">
              <a16:creationId xmlns:a16="http://schemas.microsoft.com/office/drawing/2014/main" id="{00000000-0008-0000-1200-000065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70" name="CustomShape 1">
          <a:extLst>
            <a:ext uri="{FF2B5EF4-FFF2-40B4-BE49-F238E27FC236}">
              <a16:creationId xmlns:a16="http://schemas.microsoft.com/office/drawing/2014/main" id="{00000000-0008-0000-1200-000066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71" name="CustomShape 1">
          <a:extLst>
            <a:ext uri="{FF2B5EF4-FFF2-40B4-BE49-F238E27FC236}">
              <a16:creationId xmlns:a16="http://schemas.microsoft.com/office/drawing/2014/main" id="{00000000-0008-0000-1200-000067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72" name="CustomShape 1">
          <a:extLst>
            <a:ext uri="{FF2B5EF4-FFF2-40B4-BE49-F238E27FC236}">
              <a16:creationId xmlns:a16="http://schemas.microsoft.com/office/drawing/2014/main" id="{00000000-0008-0000-1200-000068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73" name="CustomShape 1">
          <a:extLst>
            <a:ext uri="{FF2B5EF4-FFF2-40B4-BE49-F238E27FC236}">
              <a16:creationId xmlns:a16="http://schemas.microsoft.com/office/drawing/2014/main" id="{00000000-0008-0000-1200-000069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74" name="CustomShape 1">
          <a:extLst>
            <a:ext uri="{FF2B5EF4-FFF2-40B4-BE49-F238E27FC236}">
              <a16:creationId xmlns:a16="http://schemas.microsoft.com/office/drawing/2014/main" id="{00000000-0008-0000-1200-00006A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75" name="CustomShape 1">
          <a:extLst>
            <a:ext uri="{FF2B5EF4-FFF2-40B4-BE49-F238E27FC236}">
              <a16:creationId xmlns:a16="http://schemas.microsoft.com/office/drawing/2014/main" id="{00000000-0008-0000-1200-00006B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76" name="CustomShape 1">
          <a:extLst>
            <a:ext uri="{FF2B5EF4-FFF2-40B4-BE49-F238E27FC236}">
              <a16:creationId xmlns:a16="http://schemas.microsoft.com/office/drawing/2014/main" id="{00000000-0008-0000-1200-00006C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77" name="CustomShape 1">
          <a:extLst>
            <a:ext uri="{FF2B5EF4-FFF2-40B4-BE49-F238E27FC236}">
              <a16:creationId xmlns:a16="http://schemas.microsoft.com/office/drawing/2014/main" id="{00000000-0008-0000-1200-00006D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78" name="CustomShape 1">
          <a:extLst>
            <a:ext uri="{FF2B5EF4-FFF2-40B4-BE49-F238E27FC236}">
              <a16:creationId xmlns:a16="http://schemas.microsoft.com/office/drawing/2014/main" id="{00000000-0008-0000-1200-00006E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79" name="CustomShape 1">
          <a:extLst>
            <a:ext uri="{FF2B5EF4-FFF2-40B4-BE49-F238E27FC236}">
              <a16:creationId xmlns:a16="http://schemas.microsoft.com/office/drawing/2014/main" id="{00000000-0008-0000-1200-00006F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80" name="CustomShape 1">
          <a:extLst>
            <a:ext uri="{FF2B5EF4-FFF2-40B4-BE49-F238E27FC236}">
              <a16:creationId xmlns:a16="http://schemas.microsoft.com/office/drawing/2014/main" id="{00000000-0008-0000-1200-000070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81" name="CustomShape 1">
          <a:extLst>
            <a:ext uri="{FF2B5EF4-FFF2-40B4-BE49-F238E27FC236}">
              <a16:creationId xmlns:a16="http://schemas.microsoft.com/office/drawing/2014/main" id="{00000000-0008-0000-1200-000071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82" name="CustomShape 1">
          <a:extLst>
            <a:ext uri="{FF2B5EF4-FFF2-40B4-BE49-F238E27FC236}">
              <a16:creationId xmlns:a16="http://schemas.microsoft.com/office/drawing/2014/main" id="{00000000-0008-0000-1200-000072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83" name="CustomShape 1">
          <a:extLst>
            <a:ext uri="{FF2B5EF4-FFF2-40B4-BE49-F238E27FC236}">
              <a16:creationId xmlns:a16="http://schemas.microsoft.com/office/drawing/2014/main" id="{00000000-0008-0000-1200-000073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84" name="CustomShape 1">
          <a:extLst>
            <a:ext uri="{FF2B5EF4-FFF2-40B4-BE49-F238E27FC236}">
              <a16:creationId xmlns:a16="http://schemas.microsoft.com/office/drawing/2014/main" id="{00000000-0008-0000-1200-000074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85" name="CustomShape 1">
          <a:extLst>
            <a:ext uri="{FF2B5EF4-FFF2-40B4-BE49-F238E27FC236}">
              <a16:creationId xmlns:a16="http://schemas.microsoft.com/office/drawing/2014/main" id="{00000000-0008-0000-1200-000075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86" name="CustomShape 1">
          <a:extLst>
            <a:ext uri="{FF2B5EF4-FFF2-40B4-BE49-F238E27FC236}">
              <a16:creationId xmlns:a16="http://schemas.microsoft.com/office/drawing/2014/main" id="{00000000-0008-0000-1200-000076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87" name="CustomShape 1">
          <a:extLst>
            <a:ext uri="{FF2B5EF4-FFF2-40B4-BE49-F238E27FC236}">
              <a16:creationId xmlns:a16="http://schemas.microsoft.com/office/drawing/2014/main" id="{00000000-0008-0000-1200-000077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88" name="CustomShape 1">
          <a:extLst>
            <a:ext uri="{FF2B5EF4-FFF2-40B4-BE49-F238E27FC236}">
              <a16:creationId xmlns:a16="http://schemas.microsoft.com/office/drawing/2014/main" id="{00000000-0008-0000-1200-000078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89" name="CustomShape 1">
          <a:extLst>
            <a:ext uri="{FF2B5EF4-FFF2-40B4-BE49-F238E27FC236}">
              <a16:creationId xmlns:a16="http://schemas.microsoft.com/office/drawing/2014/main" id="{00000000-0008-0000-1200-000079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90" name="CustomShape 1">
          <a:extLst>
            <a:ext uri="{FF2B5EF4-FFF2-40B4-BE49-F238E27FC236}">
              <a16:creationId xmlns:a16="http://schemas.microsoft.com/office/drawing/2014/main" id="{00000000-0008-0000-1200-00007A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891" name="CustomShape 1">
          <a:extLst>
            <a:ext uri="{FF2B5EF4-FFF2-40B4-BE49-F238E27FC236}">
              <a16:creationId xmlns:a16="http://schemas.microsoft.com/office/drawing/2014/main" id="{00000000-0008-0000-1200-00007B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892" name="CustomShape 1">
          <a:extLst>
            <a:ext uri="{FF2B5EF4-FFF2-40B4-BE49-F238E27FC236}">
              <a16:creationId xmlns:a16="http://schemas.microsoft.com/office/drawing/2014/main" id="{00000000-0008-0000-1200-00007C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893" name="CustomShape 1">
          <a:extLst>
            <a:ext uri="{FF2B5EF4-FFF2-40B4-BE49-F238E27FC236}">
              <a16:creationId xmlns:a16="http://schemas.microsoft.com/office/drawing/2014/main" id="{00000000-0008-0000-1200-00007D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894" name="CustomShape 1">
          <a:extLst>
            <a:ext uri="{FF2B5EF4-FFF2-40B4-BE49-F238E27FC236}">
              <a16:creationId xmlns:a16="http://schemas.microsoft.com/office/drawing/2014/main" id="{00000000-0008-0000-1200-00007E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895" name="CustomShape 1">
          <a:extLst>
            <a:ext uri="{FF2B5EF4-FFF2-40B4-BE49-F238E27FC236}">
              <a16:creationId xmlns:a16="http://schemas.microsoft.com/office/drawing/2014/main" id="{00000000-0008-0000-1200-00007F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896" name="CustomShape 1">
          <a:extLst>
            <a:ext uri="{FF2B5EF4-FFF2-40B4-BE49-F238E27FC236}">
              <a16:creationId xmlns:a16="http://schemas.microsoft.com/office/drawing/2014/main" id="{00000000-0008-0000-1200-000080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897" name="CustomShape 1">
          <a:extLst>
            <a:ext uri="{FF2B5EF4-FFF2-40B4-BE49-F238E27FC236}">
              <a16:creationId xmlns:a16="http://schemas.microsoft.com/office/drawing/2014/main" id="{00000000-0008-0000-1200-000081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898" name="CustomShape 1">
          <a:extLst>
            <a:ext uri="{FF2B5EF4-FFF2-40B4-BE49-F238E27FC236}">
              <a16:creationId xmlns:a16="http://schemas.microsoft.com/office/drawing/2014/main" id="{00000000-0008-0000-1200-000082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899" name="CustomShape 1">
          <a:extLst>
            <a:ext uri="{FF2B5EF4-FFF2-40B4-BE49-F238E27FC236}">
              <a16:creationId xmlns:a16="http://schemas.microsoft.com/office/drawing/2014/main" id="{00000000-0008-0000-1200-000083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900" name="CustomShape 1">
          <a:extLst>
            <a:ext uri="{FF2B5EF4-FFF2-40B4-BE49-F238E27FC236}">
              <a16:creationId xmlns:a16="http://schemas.microsoft.com/office/drawing/2014/main" id="{00000000-0008-0000-1200-000084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901" name="CustomShape 1">
          <a:extLst>
            <a:ext uri="{FF2B5EF4-FFF2-40B4-BE49-F238E27FC236}">
              <a16:creationId xmlns:a16="http://schemas.microsoft.com/office/drawing/2014/main" id="{00000000-0008-0000-1200-000085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902" name="CustomShape 1">
          <a:extLst>
            <a:ext uri="{FF2B5EF4-FFF2-40B4-BE49-F238E27FC236}">
              <a16:creationId xmlns:a16="http://schemas.microsoft.com/office/drawing/2014/main" id="{00000000-0008-0000-1200-000086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117000</xdr:rowOff>
    </xdr:to>
    <xdr:sp macro="" textlink="">
      <xdr:nvSpPr>
        <xdr:cNvPr id="903" name="CustomShape 1">
          <a:extLst>
            <a:ext uri="{FF2B5EF4-FFF2-40B4-BE49-F238E27FC236}">
              <a16:creationId xmlns:a16="http://schemas.microsoft.com/office/drawing/2014/main" id="{00000000-0008-0000-1200-000087030000}"/>
            </a:ext>
          </a:extLst>
        </xdr:cNvPr>
        <xdr:cNvSpPr/>
      </xdr:nvSpPr>
      <xdr:spPr>
        <a:xfrm>
          <a:off x="0" y="415260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04" name="CustomShape 1">
          <a:extLst>
            <a:ext uri="{FF2B5EF4-FFF2-40B4-BE49-F238E27FC236}">
              <a16:creationId xmlns:a16="http://schemas.microsoft.com/office/drawing/2014/main" id="{00000000-0008-0000-1200-000088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05" name="CustomShape 1">
          <a:extLst>
            <a:ext uri="{FF2B5EF4-FFF2-40B4-BE49-F238E27FC236}">
              <a16:creationId xmlns:a16="http://schemas.microsoft.com/office/drawing/2014/main" id="{00000000-0008-0000-1200-000089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06" name="CustomShape 1">
          <a:extLst>
            <a:ext uri="{FF2B5EF4-FFF2-40B4-BE49-F238E27FC236}">
              <a16:creationId xmlns:a16="http://schemas.microsoft.com/office/drawing/2014/main" id="{00000000-0008-0000-1200-00008A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07" name="CustomShape 1">
          <a:extLst>
            <a:ext uri="{FF2B5EF4-FFF2-40B4-BE49-F238E27FC236}">
              <a16:creationId xmlns:a16="http://schemas.microsoft.com/office/drawing/2014/main" id="{00000000-0008-0000-1200-00008B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08" name="CustomShape 1">
          <a:extLst>
            <a:ext uri="{FF2B5EF4-FFF2-40B4-BE49-F238E27FC236}">
              <a16:creationId xmlns:a16="http://schemas.microsoft.com/office/drawing/2014/main" id="{00000000-0008-0000-1200-00008C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09" name="CustomShape 1">
          <a:extLst>
            <a:ext uri="{FF2B5EF4-FFF2-40B4-BE49-F238E27FC236}">
              <a16:creationId xmlns:a16="http://schemas.microsoft.com/office/drawing/2014/main" id="{00000000-0008-0000-1200-00008D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10" name="CustomShape 1">
          <a:extLst>
            <a:ext uri="{FF2B5EF4-FFF2-40B4-BE49-F238E27FC236}">
              <a16:creationId xmlns:a16="http://schemas.microsoft.com/office/drawing/2014/main" id="{00000000-0008-0000-1200-00008E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11" name="CustomShape 1">
          <a:extLst>
            <a:ext uri="{FF2B5EF4-FFF2-40B4-BE49-F238E27FC236}">
              <a16:creationId xmlns:a16="http://schemas.microsoft.com/office/drawing/2014/main" id="{00000000-0008-0000-1200-00008F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12" name="CustomShape 1">
          <a:extLst>
            <a:ext uri="{FF2B5EF4-FFF2-40B4-BE49-F238E27FC236}">
              <a16:creationId xmlns:a16="http://schemas.microsoft.com/office/drawing/2014/main" id="{00000000-0008-0000-1200-000090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13" name="CustomShape 1">
          <a:extLst>
            <a:ext uri="{FF2B5EF4-FFF2-40B4-BE49-F238E27FC236}">
              <a16:creationId xmlns:a16="http://schemas.microsoft.com/office/drawing/2014/main" id="{00000000-0008-0000-1200-000091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14" name="CustomShape 1">
          <a:extLst>
            <a:ext uri="{FF2B5EF4-FFF2-40B4-BE49-F238E27FC236}">
              <a16:creationId xmlns:a16="http://schemas.microsoft.com/office/drawing/2014/main" id="{00000000-0008-0000-1200-000092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15" name="CustomShape 1">
          <a:extLst>
            <a:ext uri="{FF2B5EF4-FFF2-40B4-BE49-F238E27FC236}">
              <a16:creationId xmlns:a16="http://schemas.microsoft.com/office/drawing/2014/main" id="{00000000-0008-0000-1200-000093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16" name="CustomShape 1">
          <a:extLst>
            <a:ext uri="{FF2B5EF4-FFF2-40B4-BE49-F238E27FC236}">
              <a16:creationId xmlns:a16="http://schemas.microsoft.com/office/drawing/2014/main" id="{00000000-0008-0000-1200-000094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17" name="CustomShape 1">
          <a:extLst>
            <a:ext uri="{FF2B5EF4-FFF2-40B4-BE49-F238E27FC236}">
              <a16:creationId xmlns:a16="http://schemas.microsoft.com/office/drawing/2014/main" id="{00000000-0008-0000-1200-000095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18" name="CustomShape 1">
          <a:extLst>
            <a:ext uri="{FF2B5EF4-FFF2-40B4-BE49-F238E27FC236}">
              <a16:creationId xmlns:a16="http://schemas.microsoft.com/office/drawing/2014/main" id="{00000000-0008-0000-1200-000096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19" name="CustomShape 1">
          <a:extLst>
            <a:ext uri="{FF2B5EF4-FFF2-40B4-BE49-F238E27FC236}">
              <a16:creationId xmlns:a16="http://schemas.microsoft.com/office/drawing/2014/main" id="{00000000-0008-0000-1200-000097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20" name="CustomShape 1">
          <a:extLst>
            <a:ext uri="{FF2B5EF4-FFF2-40B4-BE49-F238E27FC236}">
              <a16:creationId xmlns:a16="http://schemas.microsoft.com/office/drawing/2014/main" id="{00000000-0008-0000-1200-000098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21" name="CustomShape 1">
          <a:extLst>
            <a:ext uri="{FF2B5EF4-FFF2-40B4-BE49-F238E27FC236}">
              <a16:creationId xmlns:a16="http://schemas.microsoft.com/office/drawing/2014/main" id="{00000000-0008-0000-1200-000099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22" name="CustomShape 1">
          <a:extLst>
            <a:ext uri="{FF2B5EF4-FFF2-40B4-BE49-F238E27FC236}">
              <a16:creationId xmlns:a16="http://schemas.microsoft.com/office/drawing/2014/main" id="{00000000-0008-0000-1200-00009A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23" name="CustomShape 1">
          <a:extLst>
            <a:ext uri="{FF2B5EF4-FFF2-40B4-BE49-F238E27FC236}">
              <a16:creationId xmlns:a16="http://schemas.microsoft.com/office/drawing/2014/main" id="{00000000-0008-0000-1200-00009B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24" name="CustomShape 1">
          <a:extLst>
            <a:ext uri="{FF2B5EF4-FFF2-40B4-BE49-F238E27FC236}">
              <a16:creationId xmlns:a16="http://schemas.microsoft.com/office/drawing/2014/main" id="{00000000-0008-0000-1200-00009C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25" name="CustomShape 1">
          <a:extLst>
            <a:ext uri="{FF2B5EF4-FFF2-40B4-BE49-F238E27FC236}">
              <a16:creationId xmlns:a16="http://schemas.microsoft.com/office/drawing/2014/main" id="{00000000-0008-0000-1200-00009D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26" name="CustomShape 1">
          <a:extLst>
            <a:ext uri="{FF2B5EF4-FFF2-40B4-BE49-F238E27FC236}">
              <a16:creationId xmlns:a16="http://schemas.microsoft.com/office/drawing/2014/main" id="{00000000-0008-0000-1200-00009E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27" name="CustomShape 1">
          <a:extLst>
            <a:ext uri="{FF2B5EF4-FFF2-40B4-BE49-F238E27FC236}">
              <a16:creationId xmlns:a16="http://schemas.microsoft.com/office/drawing/2014/main" id="{00000000-0008-0000-1200-00009F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28" name="CustomShape 1">
          <a:extLst>
            <a:ext uri="{FF2B5EF4-FFF2-40B4-BE49-F238E27FC236}">
              <a16:creationId xmlns:a16="http://schemas.microsoft.com/office/drawing/2014/main" id="{00000000-0008-0000-1200-0000A0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29" name="CustomShape 1">
          <a:extLst>
            <a:ext uri="{FF2B5EF4-FFF2-40B4-BE49-F238E27FC236}">
              <a16:creationId xmlns:a16="http://schemas.microsoft.com/office/drawing/2014/main" id="{00000000-0008-0000-1200-0000A1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30" name="CustomShape 1">
          <a:extLst>
            <a:ext uri="{FF2B5EF4-FFF2-40B4-BE49-F238E27FC236}">
              <a16:creationId xmlns:a16="http://schemas.microsoft.com/office/drawing/2014/main" id="{00000000-0008-0000-1200-0000A2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31" name="CustomShape 1">
          <a:extLst>
            <a:ext uri="{FF2B5EF4-FFF2-40B4-BE49-F238E27FC236}">
              <a16:creationId xmlns:a16="http://schemas.microsoft.com/office/drawing/2014/main" id="{00000000-0008-0000-1200-0000A3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32" name="CustomShape 1">
          <a:extLst>
            <a:ext uri="{FF2B5EF4-FFF2-40B4-BE49-F238E27FC236}">
              <a16:creationId xmlns:a16="http://schemas.microsoft.com/office/drawing/2014/main" id="{00000000-0008-0000-1200-0000A4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33" name="CustomShape 1">
          <a:extLst>
            <a:ext uri="{FF2B5EF4-FFF2-40B4-BE49-F238E27FC236}">
              <a16:creationId xmlns:a16="http://schemas.microsoft.com/office/drawing/2014/main" id="{00000000-0008-0000-1200-0000A5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34" name="CustomShape 1">
          <a:extLst>
            <a:ext uri="{FF2B5EF4-FFF2-40B4-BE49-F238E27FC236}">
              <a16:creationId xmlns:a16="http://schemas.microsoft.com/office/drawing/2014/main" id="{00000000-0008-0000-1200-0000A6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35" name="CustomShape 1">
          <a:extLst>
            <a:ext uri="{FF2B5EF4-FFF2-40B4-BE49-F238E27FC236}">
              <a16:creationId xmlns:a16="http://schemas.microsoft.com/office/drawing/2014/main" id="{00000000-0008-0000-1200-0000A7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36" name="CustomShape 1">
          <a:extLst>
            <a:ext uri="{FF2B5EF4-FFF2-40B4-BE49-F238E27FC236}">
              <a16:creationId xmlns:a16="http://schemas.microsoft.com/office/drawing/2014/main" id="{00000000-0008-0000-1200-0000A8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37" name="CustomShape 1">
          <a:extLst>
            <a:ext uri="{FF2B5EF4-FFF2-40B4-BE49-F238E27FC236}">
              <a16:creationId xmlns:a16="http://schemas.microsoft.com/office/drawing/2014/main" id="{00000000-0008-0000-1200-0000A9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38" name="CustomShape 1">
          <a:extLst>
            <a:ext uri="{FF2B5EF4-FFF2-40B4-BE49-F238E27FC236}">
              <a16:creationId xmlns:a16="http://schemas.microsoft.com/office/drawing/2014/main" id="{00000000-0008-0000-1200-0000AA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39" name="CustomShape 1">
          <a:extLst>
            <a:ext uri="{FF2B5EF4-FFF2-40B4-BE49-F238E27FC236}">
              <a16:creationId xmlns:a16="http://schemas.microsoft.com/office/drawing/2014/main" id="{00000000-0008-0000-1200-0000AB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107640</xdr:rowOff>
    </xdr:to>
    <xdr:sp macro="" textlink="">
      <xdr:nvSpPr>
        <xdr:cNvPr id="940" name="CustomShape 1">
          <a:extLst>
            <a:ext uri="{FF2B5EF4-FFF2-40B4-BE49-F238E27FC236}">
              <a16:creationId xmlns:a16="http://schemas.microsoft.com/office/drawing/2014/main" id="{00000000-0008-0000-1200-0000AC030000}"/>
            </a:ext>
          </a:extLst>
        </xdr:cNvPr>
        <xdr:cNvSpPr/>
      </xdr:nvSpPr>
      <xdr:spPr>
        <a:xfrm>
          <a:off x="0" y="4152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941" name="CustomShape 1">
          <a:extLst>
            <a:ext uri="{FF2B5EF4-FFF2-40B4-BE49-F238E27FC236}">
              <a16:creationId xmlns:a16="http://schemas.microsoft.com/office/drawing/2014/main" id="{00000000-0008-0000-1200-0000AD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942" name="CustomShape 1">
          <a:extLst>
            <a:ext uri="{FF2B5EF4-FFF2-40B4-BE49-F238E27FC236}">
              <a16:creationId xmlns:a16="http://schemas.microsoft.com/office/drawing/2014/main" id="{00000000-0008-0000-1200-0000AE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943" name="CustomShape 1">
          <a:extLst>
            <a:ext uri="{FF2B5EF4-FFF2-40B4-BE49-F238E27FC236}">
              <a16:creationId xmlns:a16="http://schemas.microsoft.com/office/drawing/2014/main" id="{00000000-0008-0000-1200-0000AF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944" name="CustomShape 1">
          <a:extLst>
            <a:ext uri="{FF2B5EF4-FFF2-40B4-BE49-F238E27FC236}">
              <a16:creationId xmlns:a16="http://schemas.microsoft.com/office/drawing/2014/main" id="{00000000-0008-0000-1200-0000B0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945" name="CustomShape 1">
          <a:extLst>
            <a:ext uri="{FF2B5EF4-FFF2-40B4-BE49-F238E27FC236}">
              <a16:creationId xmlns:a16="http://schemas.microsoft.com/office/drawing/2014/main" id="{00000000-0008-0000-1200-0000B1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23</xdr:row>
      <xdr:rowOff>0</xdr:rowOff>
    </xdr:from>
    <xdr:to>
      <xdr:col>0</xdr:col>
      <xdr:colOff>117000</xdr:colOff>
      <xdr:row>23</xdr:row>
      <xdr:rowOff>126360</xdr:rowOff>
    </xdr:to>
    <xdr:sp macro="" textlink="">
      <xdr:nvSpPr>
        <xdr:cNvPr id="946" name="CustomShape 1">
          <a:extLst>
            <a:ext uri="{FF2B5EF4-FFF2-40B4-BE49-F238E27FC236}">
              <a16:creationId xmlns:a16="http://schemas.microsoft.com/office/drawing/2014/main" id="{00000000-0008-0000-1200-0000B2030000}"/>
            </a:ext>
          </a:extLst>
        </xdr:cNvPr>
        <xdr:cNvSpPr/>
      </xdr:nvSpPr>
      <xdr:spPr>
        <a:xfrm>
          <a:off x="0" y="415260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47" name="CustomShape 1">
          <a:extLst>
            <a:ext uri="{FF2B5EF4-FFF2-40B4-BE49-F238E27FC236}">
              <a16:creationId xmlns:a16="http://schemas.microsoft.com/office/drawing/2014/main" id="{00000000-0008-0000-1200-0000B3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48" name="CustomShape 1">
          <a:extLst>
            <a:ext uri="{FF2B5EF4-FFF2-40B4-BE49-F238E27FC236}">
              <a16:creationId xmlns:a16="http://schemas.microsoft.com/office/drawing/2014/main" id="{00000000-0008-0000-1200-0000B4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49" name="CustomShape 1">
          <a:extLst>
            <a:ext uri="{FF2B5EF4-FFF2-40B4-BE49-F238E27FC236}">
              <a16:creationId xmlns:a16="http://schemas.microsoft.com/office/drawing/2014/main" id="{00000000-0008-0000-1200-0000B5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50" name="CustomShape 1">
          <a:extLst>
            <a:ext uri="{FF2B5EF4-FFF2-40B4-BE49-F238E27FC236}">
              <a16:creationId xmlns:a16="http://schemas.microsoft.com/office/drawing/2014/main" id="{00000000-0008-0000-1200-0000B6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51" name="CustomShape 1">
          <a:extLst>
            <a:ext uri="{FF2B5EF4-FFF2-40B4-BE49-F238E27FC236}">
              <a16:creationId xmlns:a16="http://schemas.microsoft.com/office/drawing/2014/main" id="{00000000-0008-0000-1200-0000B7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52" name="CustomShape 1">
          <a:extLst>
            <a:ext uri="{FF2B5EF4-FFF2-40B4-BE49-F238E27FC236}">
              <a16:creationId xmlns:a16="http://schemas.microsoft.com/office/drawing/2014/main" id="{00000000-0008-0000-1200-0000B8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53" name="CustomShape 1">
          <a:extLst>
            <a:ext uri="{FF2B5EF4-FFF2-40B4-BE49-F238E27FC236}">
              <a16:creationId xmlns:a16="http://schemas.microsoft.com/office/drawing/2014/main" id="{00000000-0008-0000-1200-0000B9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54" name="CustomShape 1">
          <a:extLst>
            <a:ext uri="{FF2B5EF4-FFF2-40B4-BE49-F238E27FC236}">
              <a16:creationId xmlns:a16="http://schemas.microsoft.com/office/drawing/2014/main" id="{00000000-0008-0000-1200-0000BA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55" name="CustomShape 1">
          <a:extLst>
            <a:ext uri="{FF2B5EF4-FFF2-40B4-BE49-F238E27FC236}">
              <a16:creationId xmlns:a16="http://schemas.microsoft.com/office/drawing/2014/main" id="{00000000-0008-0000-1200-0000BB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56" name="CustomShape 1">
          <a:extLst>
            <a:ext uri="{FF2B5EF4-FFF2-40B4-BE49-F238E27FC236}">
              <a16:creationId xmlns:a16="http://schemas.microsoft.com/office/drawing/2014/main" id="{00000000-0008-0000-1200-0000BC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57" name="CustomShape 1">
          <a:extLst>
            <a:ext uri="{FF2B5EF4-FFF2-40B4-BE49-F238E27FC236}">
              <a16:creationId xmlns:a16="http://schemas.microsoft.com/office/drawing/2014/main" id="{00000000-0008-0000-1200-0000BD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58" name="CustomShape 1">
          <a:extLst>
            <a:ext uri="{FF2B5EF4-FFF2-40B4-BE49-F238E27FC236}">
              <a16:creationId xmlns:a16="http://schemas.microsoft.com/office/drawing/2014/main" id="{00000000-0008-0000-1200-0000BE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59" name="CustomShape 1">
          <a:extLst>
            <a:ext uri="{FF2B5EF4-FFF2-40B4-BE49-F238E27FC236}">
              <a16:creationId xmlns:a16="http://schemas.microsoft.com/office/drawing/2014/main" id="{00000000-0008-0000-1200-0000BF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60" name="CustomShape 1">
          <a:extLst>
            <a:ext uri="{FF2B5EF4-FFF2-40B4-BE49-F238E27FC236}">
              <a16:creationId xmlns:a16="http://schemas.microsoft.com/office/drawing/2014/main" id="{00000000-0008-0000-1200-0000C0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61" name="CustomShape 1">
          <a:extLst>
            <a:ext uri="{FF2B5EF4-FFF2-40B4-BE49-F238E27FC236}">
              <a16:creationId xmlns:a16="http://schemas.microsoft.com/office/drawing/2014/main" id="{00000000-0008-0000-1200-0000C1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62" name="CustomShape 1">
          <a:extLst>
            <a:ext uri="{FF2B5EF4-FFF2-40B4-BE49-F238E27FC236}">
              <a16:creationId xmlns:a16="http://schemas.microsoft.com/office/drawing/2014/main" id="{00000000-0008-0000-1200-0000C2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63" name="CustomShape 1">
          <a:extLst>
            <a:ext uri="{FF2B5EF4-FFF2-40B4-BE49-F238E27FC236}">
              <a16:creationId xmlns:a16="http://schemas.microsoft.com/office/drawing/2014/main" id="{00000000-0008-0000-1200-0000C3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64" name="CustomShape 1">
          <a:extLst>
            <a:ext uri="{FF2B5EF4-FFF2-40B4-BE49-F238E27FC236}">
              <a16:creationId xmlns:a16="http://schemas.microsoft.com/office/drawing/2014/main" id="{00000000-0008-0000-1200-0000C4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65" name="CustomShape 1">
          <a:extLst>
            <a:ext uri="{FF2B5EF4-FFF2-40B4-BE49-F238E27FC236}">
              <a16:creationId xmlns:a16="http://schemas.microsoft.com/office/drawing/2014/main" id="{00000000-0008-0000-1200-0000C5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66" name="CustomShape 1">
          <a:extLst>
            <a:ext uri="{FF2B5EF4-FFF2-40B4-BE49-F238E27FC236}">
              <a16:creationId xmlns:a16="http://schemas.microsoft.com/office/drawing/2014/main" id="{00000000-0008-0000-1200-0000C6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67" name="CustomShape 1">
          <a:extLst>
            <a:ext uri="{FF2B5EF4-FFF2-40B4-BE49-F238E27FC236}">
              <a16:creationId xmlns:a16="http://schemas.microsoft.com/office/drawing/2014/main" id="{00000000-0008-0000-1200-0000C7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68" name="CustomShape 1">
          <a:extLst>
            <a:ext uri="{FF2B5EF4-FFF2-40B4-BE49-F238E27FC236}">
              <a16:creationId xmlns:a16="http://schemas.microsoft.com/office/drawing/2014/main" id="{00000000-0008-0000-1200-0000C8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69" name="CustomShape 1">
          <a:extLst>
            <a:ext uri="{FF2B5EF4-FFF2-40B4-BE49-F238E27FC236}">
              <a16:creationId xmlns:a16="http://schemas.microsoft.com/office/drawing/2014/main" id="{00000000-0008-0000-1200-0000C9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25</xdr:row>
      <xdr:rowOff>0</xdr:rowOff>
    </xdr:from>
    <xdr:to>
      <xdr:col>0</xdr:col>
      <xdr:colOff>117000</xdr:colOff>
      <xdr:row>25</xdr:row>
      <xdr:rowOff>107640</xdr:rowOff>
    </xdr:to>
    <xdr:sp macro="" textlink="">
      <xdr:nvSpPr>
        <xdr:cNvPr id="970" name="CustomShape 1">
          <a:extLst>
            <a:ext uri="{FF2B5EF4-FFF2-40B4-BE49-F238E27FC236}">
              <a16:creationId xmlns:a16="http://schemas.microsoft.com/office/drawing/2014/main" id="{00000000-0008-0000-1200-0000CA030000}"/>
            </a:ext>
          </a:extLst>
        </xdr:cNvPr>
        <xdr:cNvSpPr/>
      </xdr:nvSpPr>
      <xdr:spPr>
        <a:xfrm>
          <a:off x="0" y="447660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971" name="CustomShape 1">
          <a:extLst>
            <a:ext uri="{FF2B5EF4-FFF2-40B4-BE49-F238E27FC236}">
              <a16:creationId xmlns:a16="http://schemas.microsoft.com/office/drawing/2014/main" id="{00000000-0008-0000-1200-0000CB03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972" name="CustomShape 1">
          <a:extLst>
            <a:ext uri="{FF2B5EF4-FFF2-40B4-BE49-F238E27FC236}">
              <a16:creationId xmlns:a16="http://schemas.microsoft.com/office/drawing/2014/main" id="{00000000-0008-0000-1200-0000CC03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973" name="CustomShape 1">
          <a:extLst>
            <a:ext uri="{FF2B5EF4-FFF2-40B4-BE49-F238E27FC236}">
              <a16:creationId xmlns:a16="http://schemas.microsoft.com/office/drawing/2014/main" id="{00000000-0008-0000-1200-0000CD03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974" name="CustomShape 1">
          <a:extLst>
            <a:ext uri="{FF2B5EF4-FFF2-40B4-BE49-F238E27FC236}">
              <a16:creationId xmlns:a16="http://schemas.microsoft.com/office/drawing/2014/main" id="{00000000-0008-0000-1200-0000CE03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975" name="CustomShape 1">
          <a:extLst>
            <a:ext uri="{FF2B5EF4-FFF2-40B4-BE49-F238E27FC236}">
              <a16:creationId xmlns:a16="http://schemas.microsoft.com/office/drawing/2014/main" id="{00000000-0008-0000-1200-0000CF03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976" name="CustomShape 1">
          <a:extLst>
            <a:ext uri="{FF2B5EF4-FFF2-40B4-BE49-F238E27FC236}">
              <a16:creationId xmlns:a16="http://schemas.microsoft.com/office/drawing/2014/main" id="{00000000-0008-0000-1200-0000D003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77" name="CustomShape 1">
          <a:extLst>
            <a:ext uri="{FF2B5EF4-FFF2-40B4-BE49-F238E27FC236}">
              <a16:creationId xmlns:a16="http://schemas.microsoft.com/office/drawing/2014/main" id="{00000000-0008-0000-1200-0000D1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78" name="CustomShape 1">
          <a:extLst>
            <a:ext uri="{FF2B5EF4-FFF2-40B4-BE49-F238E27FC236}">
              <a16:creationId xmlns:a16="http://schemas.microsoft.com/office/drawing/2014/main" id="{00000000-0008-0000-1200-0000D2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79" name="CustomShape 1">
          <a:extLst>
            <a:ext uri="{FF2B5EF4-FFF2-40B4-BE49-F238E27FC236}">
              <a16:creationId xmlns:a16="http://schemas.microsoft.com/office/drawing/2014/main" id="{00000000-0008-0000-1200-0000D3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80" name="CustomShape 1">
          <a:extLst>
            <a:ext uri="{FF2B5EF4-FFF2-40B4-BE49-F238E27FC236}">
              <a16:creationId xmlns:a16="http://schemas.microsoft.com/office/drawing/2014/main" id="{00000000-0008-0000-1200-0000D4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81" name="CustomShape 1">
          <a:extLst>
            <a:ext uri="{FF2B5EF4-FFF2-40B4-BE49-F238E27FC236}">
              <a16:creationId xmlns:a16="http://schemas.microsoft.com/office/drawing/2014/main" id="{00000000-0008-0000-1200-0000D5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82" name="CustomShape 1">
          <a:extLst>
            <a:ext uri="{FF2B5EF4-FFF2-40B4-BE49-F238E27FC236}">
              <a16:creationId xmlns:a16="http://schemas.microsoft.com/office/drawing/2014/main" id="{00000000-0008-0000-1200-0000D6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83" name="CustomShape 1">
          <a:extLst>
            <a:ext uri="{FF2B5EF4-FFF2-40B4-BE49-F238E27FC236}">
              <a16:creationId xmlns:a16="http://schemas.microsoft.com/office/drawing/2014/main" id="{00000000-0008-0000-1200-0000D7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84" name="CustomShape 1">
          <a:extLst>
            <a:ext uri="{FF2B5EF4-FFF2-40B4-BE49-F238E27FC236}">
              <a16:creationId xmlns:a16="http://schemas.microsoft.com/office/drawing/2014/main" id="{00000000-0008-0000-1200-0000D8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85" name="CustomShape 1">
          <a:extLst>
            <a:ext uri="{FF2B5EF4-FFF2-40B4-BE49-F238E27FC236}">
              <a16:creationId xmlns:a16="http://schemas.microsoft.com/office/drawing/2014/main" id="{00000000-0008-0000-1200-0000D9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86" name="CustomShape 1">
          <a:extLst>
            <a:ext uri="{FF2B5EF4-FFF2-40B4-BE49-F238E27FC236}">
              <a16:creationId xmlns:a16="http://schemas.microsoft.com/office/drawing/2014/main" id="{00000000-0008-0000-1200-0000DA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87" name="CustomShape 1">
          <a:extLst>
            <a:ext uri="{FF2B5EF4-FFF2-40B4-BE49-F238E27FC236}">
              <a16:creationId xmlns:a16="http://schemas.microsoft.com/office/drawing/2014/main" id="{00000000-0008-0000-1200-0000DB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88" name="CustomShape 1">
          <a:extLst>
            <a:ext uri="{FF2B5EF4-FFF2-40B4-BE49-F238E27FC236}">
              <a16:creationId xmlns:a16="http://schemas.microsoft.com/office/drawing/2014/main" id="{00000000-0008-0000-1200-0000DC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89" name="CustomShape 1">
          <a:extLst>
            <a:ext uri="{FF2B5EF4-FFF2-40B4-BE49-F238E27FC236}">
              <a16:creationId xmlns:a16="http://schemas.microsoft.com/office/drawing/2014/main" id="{00000000-0008-0000-1200-0000DD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90" name="CustomShape 1">
          <a:extLst>
            <a:ext uri="{FF2B5EF4-FFF2-40B4-BE49-F238E27FC236}">
              <a16:creationId xmlns:a16="http://schemas.microsoft.com/office/drawing/2014/main" id="{00000000-0008-0000-1200-0000DE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91" name="CustomShape 1">
          <a:extLst>
            <a:ext uri="{FF2B5EF4-FFF2-40B4-BE49-F238E27FC236}">
              <a16:creationId xmlns:a16="http://schemas.microsoft.com/office/drawing/2014/main" id="{00000000-0008-0000-1200-0000DF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92" name="CustomShape 1">
          <a:extLst>
            <a:ext uri="{FF2B5EF4-FFF2-40B4-BE49-F238E27FC236}">
              <a16:creationId xmlns:a16="http://schemas.microsoft.com/office/drawing/2014/main" id="{00000000-0008-0000-1200-0000E0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93" name="CustomShape 1">
          <a:extLst>
            <a:ext uri="{FF2B5EF4-FFF2-40B4-BE49-F238E27FC236}">
              <a16:creationId xmlns:a16="http://schemas.microsoft.com/office/drawing/2014/main" id="{00000000-0008-0000-1200-0000E1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94" name="CustomShape 1">
          <a:extLst>
            <a:ext uri="{FF2B5EF4-FFF2-40B4-BE49-F238E27FC236}">
              <a16:creationId xmlns:a16="http://schemas.microsoft.com/office/drawing/2014/main" id="{00000000-0008-0000-1200-0000E2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95" name="CustomShape 1">
          <a:extLst>
            <a:ext uri="{FF2B5EF4-FFF2-40B4-BE49-F238E27FC236}">
              <a16:creationId xmlns:a16="http://schemas.microsoft.com/office/drawing/2014/main" id="{00000000-0008-0000-1200-0000E3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96" name="CustomShape 1">
          <a:extLst>
            <a:ext uri="{FF2B5EF4-FFF2-40B4-BE49-F238E27FC236}">
              <a16:creationId xmlns:a16="http://schemas.microsoft.com/office/drawing/2014/main" id="{00000000-0008-0000-1200-0000E4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97" name="CustomShape 1">
          <a:extLst>
            <a:ext uri="{FF2B5EF4-FFF2-40B4-BE49-F238E27FC236}">
              <a16:creationId xmlns:a16="http://schemas.microsoft.com/office/drawing/2014/main" id="{00000000-0008-0000-1200-0000E5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98" name="CustomShape 1">
          <a:extLst>
            <a:ext uri="{FF2B5EF4-FFF2-40B4-BE49-F238E27FC236}">
              <a16:creationId xmlns:a16="http://schemas.microsoft.com/office/drawing/2014/main" id="{00000000-0008-0000-1200-0000E6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999" name="CustomShape 1">
          <a:extLst>
            <a:ext uri="{FF2B5EF4-FFF2-40B4-BE49-F238E27FC236}">
              <a16:creationId xmlns:a16="http://schemas.microsoft.com/office/drawing/2014/main" id="{00000000-0008-0000-1200-0000E7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00" name="CustomShape 1">
          <a:extLst>
            <a:ext uri="{FF2B5EF4-FFF2-40B4-BE49-F238E27FC236}">
              <a16:creationId xmlns:a16="http://schemas.microsoft.com/office/drawing/2014/main" id="{00000000-0008-0000-1200-0000E8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01" name="CustomShape 1">
          <a:extLst>
            <a:ext uri="{FF2B5EF4-FFF2-40B4-BE49-F238E27FC236}">
              <a16:creationId xmlns:a16="http://schemas.microsoft.com/office/drawing/2014/main" id="{00000000-0008-0000-1200-0000E9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02" name="CustomShape 1">
          <a:extLst>
            <a:ext uri="{FF2B5EF4-FFF2-40B4-BE49-F238E27FC236}">
              <a16:creationId xmlns:a16="http://schemas.microsoft.com/office/drawing/2014/main" id="{00000000-0008-0000-1200-0000EA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03" name="CustomShape 1">
          <a:extLst>
            <a:ext uri="{FF2B5EF4-FFF2-40B4-BE49-F238E27FC236}">
              <a16:creationId xmlns:a16="http://schemas.microsoft.com/office/drawing/2014/main" id="{00000000-0008-0000-1200-0000EB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04" name="CustomShape 1">
          <a:extLst>
            <a:ext uri="{FF2B5EF4-FFF2-40B4-BE49-F238E27FC236}">
              <a16:creationId xmlns:a16="http://schemas.microsoft.com/office/drawing/2014/main" id="{00000000-0008-0000-1200-0000EC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05" name="CustomShape 1">
          <a:extLst>
            <a:ext uri="{FF2B5EF4-FFF2-40B4-BE49-F238E27FC236}">
              <a16:creationId xmlns:a16="http://schemas.microsoft.com/office/drawing/2014/main" id="{00000000-0008-0000-1200-0000ED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06" name="CustomShape 1">
          <a:extLst>
            <a:ext uri="{FF2B5EF4-FFF2-40B4-BE49-F238E27FC236}">
              <a16:creationId xmlns:a16="http://schemas.microsoft.com/office/drawing/2014/main" id="{00000000-0008-0000-1200-0000EE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07" name="CustomShape 1">
          <a:extLst>
            <a:ext uri="{FF2B5EF4-FFF2-40B4-BE49-F238E27FC236}">
              <a16:creationId xmlns:a16="http://schemas.microsoft.com/office/drawing/2014/main" id="{00000000-0008-0000-1200-0000EF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08" name="CustomShape 1">
          <a:extLst>
            <a:ext uri="{FF2B5EF4-FFF2-40B4-BE49-F238E27FC236}">
              <a16:creationId xmlns:a16="http://schemas.microsoft.com/office/drawing/2014/main" id="{00000000-0008-0000-1200-0000F0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09" name="CustomShape 1">
          <a:extLst>
            <a:ext uri="{FF2B5EF4-FFF2-40B4-BE49-F238E27FC236}">
              <a16:creationId xmlns:a16="http://schemas.microsoft.com/office/drawing/2014/main" id="{00000000-0008-0000-1200-0000F1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10" name="CustomShape 1">
          <a:extLst>
            <a:ext uri="{FF2B5EF4-FFF2-40B4-BE49-F238E27FC236}">
              <a16:creationId xmlns:a16="http://schemas.microsoft.com/office/drawing/2014/main" id="{00000000-0008-0000-1200-0000F2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11" name="CustomShape 1">
          <a:extLst>
            <a:ext uri="{FF2B5EF4-FFF2-40B4-BE49-F238E27FC236}">
              <a16:creationId xmlns:a16="http://schemas.microsoft.com/office/drawing/2014/main" id="{00000000-0008-0000-1200-0000F3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12" name="CustomShape 1">
          <a:extLst>
            <a:ext uri="{FF2B5EF4-FFF2-40B4-BE49-F238E27FC236}">
              <a16:creationId xmlns:a16="http://schemas.microsoft.com/office/drawing/2014/main" id="{00000000-0008-0000-1200-0000F4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13" name="CustomShape 1">
          <a:extLst>
            <a:ext uri="{FF2B5EF4-FFF2-40B4-BE49-F238E27FC236}">
              <a16:creationId xmlns:a16="http://schemas.microsoft.com/office/drawing/2014/main" id="{00000000-0008-0000-1200-0000F503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014" name="CustomShape 1">
          <a:extLst>
            <a:ext uri="{FF2B5EF4-FFF2-40B4-BE49-F238E27FC236}">
              <a16:creationId xmlns:a16="http://schemas.microsoft.com/office/drawing/2014/main" id="{00000000-0008-0000-1200-0000F603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015" name="CustomShape 1">
          <a:extLst>
            <a:ext uri="{FF2B5EF4-FFF2-40B4-BE49-F238E27FC236}">
              <a16:creationId xmlns:a16="http://schemas.microsoft.com/office/drawing/2014/main" id="{00000000-0008-0000-1200-0000F703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016" name="CustomShape 1">
          <a:extLst>
            <a:ext uri="{FF2B5EF4-FFF2-40B4-BE49-F238E27FC236}">
              <a16:creationId xmlns:a16="http://schemas.microsoft.com/office/drawing/2014/main" id="{00000000-0008-0000-1200-0000F803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017" name="CustomShape 1">
          <a:extLst>
            <a:ext uri="{FF2B5EF4-FFF2-40B4-BE49-F238E27FC236}">
              <a16:creationId xmlns:a16="http://schemas.microsoft.com/office/drawing/2014/main" id="{00000000-0008-0000-1200-0000F903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018" name="CustomShape 1">
          <a:extLst>
            <a:ext uri="{FF2B5EF4-FFF2-40B4-BE49-F238E27FC236}">
              <a16:creationId xmlns:a16="http://schemas.microsoft.com/office/drawing/2014/main" id="{00000000-0008-0000-1200-0000FA03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019" name="CustomShape 1">
          <a:extLst>
            <a:ext uri="{FF2B5EF4-FFF2-40B4-BE49-F238E27FC236}">
              <a16:creationId xmlns:a16="http://schemas.microsoft.com/office/drawing/2014/main" id="{00000000-0008-0000-1200-0000FB03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020" name="CustomShape 1">
          <a:extLst>
            <a:ext uri="{FF2B5EF4-FFF2-40B4-BE49-F238E27FC236}">
              <a16:creationId xmlns:a16="http://schemas.microsoft.com/office/drawing/2014/main" id="{00000000-0008-0000-1200-0000FC03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021" name="CustomShape 1">
          <a:extLst>
            <a:ext uri="{FF2B5EF4-FFF2-40B4-BE49-F238E27FC236}">
              <a16:creationId xmlns:a16="http://schemas.microsoft.com/office/drawing/2014/main" id="{00000000-0008-0000-1200-0000FD03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022" name="CustomShape 1">
          <a:extLst>
            <a:ext uri="{FF2B5EF4-FFF2-40B4-BE49-F238E27FC236}">
              <a16:creationId xmlns:a16="http://schemas.microsoft.com/office/drawing/2014/main" id="{00000000-0008-0000-1200-0000FE03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023" name="CustomShape 1">
          <a:extLst>
            <a:ext uri="{FF2B5EF4-FFF2-40B4-BE49-F238E27FC236}">
              <a16:creationId xmlns:a16="http://schemas.microsoft.com/office/drawing/2014/main" id="{00000000-0008-0000-1200-0000FF03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024" name="CustomShape 1">
          <a:extLst>
            <a:ext uri="{FF2B5EF4-FFF2-40B4-BE49-F238E27FC236}">
              <a16:creationId xmlns:a16="http://schemas.microsoft.com/office/drawing/2014/main" id="{00000000-0008-0000-1200-000000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025" name="CustomShape 1">
          <a:extLst>
            <a:ext uri="{FF2B5EF4-FFF2-40B4-BE49-F238E27FC236}">
              <a16:creationId xmlns:a16="http://schemas.microsoft.com/office/drawing/2014/main" id="{00000000-0008-0000-1200-000001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26" name="CustomShape 1">
          <a:extLst>
            <a:ext uri="{FF2B5EF4-FFF2-40B4-BE49-F238E27FC236}">
              <a16:creationId xmlns:a16="http://schemas.microsoft.com/office/drawing/2014/main" id="{00000000-0008-0000-1200-000002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27" name="CustomShape 1">
          <a:extLst>
            <a:ext uri="{FF2B5EF4-FFF2-40B4-BE49-F238E27FC236}">
              <a16:creationId xmlns:a16="http://schemas.microsoft.com/office/drawing/2014/main" id="{00000000-0008-0000-1200-00000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28" name="CustomShape 1">
          <a:extLst>
            <a:ext uri="{FF2B5EF4-FFF2-40B4-BE49-F238E27FC236}">
              <a16:creationId xmlns:a16="http://schemas.microsoft.com/office/drawing/2014/main" id="{00000000-0008-0000-1200-00000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29" name="CustomShape 1">
          <a:extLst>
            <a:ext uri="{FF2B5EF4-FFF2-40B4-BE49-F238E27FC236}">
              <a16:creationId xmlns:a16="http://schemas.microsoft.com/office/drawing/2014/main" id="{00000000-0008-0000-1200-000005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30" name="CustomShape 1">
          <a:extLst>
            <a:ext uri="{FF2B5EF4-FFF2-40B4-BE49-F238E27FC236}">
              <a16:creationId xmlns:a16="http://schemas.microsoft.com/office/drawing/2014/main" id="{00000000-0008-0000-1200-000006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31" name="CustomShape 1">
          <a:extLst>
            <a:ext uri="{FF2B5EF4-FFF2-40B4-BE49-F238E27FC236}">
              <a16:creationId xmlns:a16="http://schemas.microsoft.com/office/drawing/2014/main" id="{00000000-0008-0000-1200-000007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32" name="CustomShape 1">
          <a:extLst>
            <a:ext uri="{FF2B5EF4-FFF2-40B4-BE49-F238E27FC236}">
              <a16:creationId xmlns:a16="http://schemas.microsoft.com/office/drawing/2014/main" id="{00000000-0008-0000-1200-000008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33" name="CustomShape 1">
          <a:extLst>
            <a:ext uri="{FF2B5EF4-FFF2-40B4-BE49-F238E27FC236}">
              <a16:creationId xmlns:a16="http://schemas.microsoft.com/office/drawing/2014/main" id="{00000000-0008-0000-1200-000009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34" name="CustomShape 1">
          <a:extLst>
            <a:ext uri="{FF2B5EF4-FFF2-40B4-BE49-F238E27FC236}">
              <a16:creationId xmlns:a16="http://schemas.microsoft.com/office/drawing/2014/main" id="{00000000-0008-0000-1200-00000A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35" name="CustomShape 1">
          <a:extLst>
            <a:ext uri="{FF2B5EF4-FFF2-40B4-BE49-F238E27FC236}">
              <a16:creationId xmlns:a16="http://schemas.microsoft.com/office/drawing/2014/main" id="{00000000-0008-0000-1200-00000B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36" name="CustomShape 1">
          <a:extLst>
            <a:ext uri="{FF2B5EF4-FFF2-40B4-BE49-F238E27FC236}">
              <a16:creationId xmlns:a16="http://schemas.microsoft.com/office/drawing/2014/main" id="{00000000-0008-0000-1200-00000C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37" name="CustomShape 1">
          <a:extLst>
            <a:ext uri="{FF2B5EF4-FFF2-40B4-BE49-F238E27FC236}">
              <a16:creationId xmlns:a16="http://schemas.microsoft.com/office/drawing/2014/main" id="{00000000-0008-0000-1200-00000D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38" name="CustomShape 1">
          <a:extLst>
            <a:ext uri="{FF2B5EF4-FFF2-40B4-BE49-F238E27FC236}">
              <a16:creationId xmlns:a16="http://schemas.microsoft.com/office/drawing/2014/main" id="{00000000-0008-0000-1200-00000E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39" name="CustomShape 1">
          <a:extLst>
            <a:ext uri="{FF2B5EF4-FFF2-40B4-BE49-F238E27FC236}">
              <a16:creationId xmlns:a16="http://schemas.microsoft.com/office/drawing/2014/main" id="{00000000-0008-0000-1200-00000F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40" name="CustomShape 1">
          <a:extLst>
            <a:ext uri="{FF2B5EF4-FFF2-40B4-BE49-F238E27FC236}">
              <a16:creationId xmlns:a16="http://schemas.microsoft.com/office/drawing/2014/main" id="{00000000-0008-0000-1200-000010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41" name="CustomShape 1">
          <a:extLst>
            <a:ext uri="{FF2B5EF4-FFF2-40B4-BE49-F238E27FC236}">
              <a16:creationId xmlns:a16="http://schemas.microsoft.com/office/drawing/2014/main" id="{00000000-0008-0000-1200-000011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42" name="CustomShape 1">
          <a:extLst>
            <a:ext uri="{FF2B5EF4-FFF2-40B4-BE49-F238E27FC236}">
              <a16:creationId xmlns:a16="http://schemas.microsoft.com/office/drawing/2014/main" id="{00000000-0008-0000-1200-000012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43" name="CustomShape 1">
          <a:extLst>
            <a:ext uri="{FF2B5EF4-FFF2-40B4-BE49-F238E27FC236}">
              <a16:creationId xmlns:a16="http://schemas.microsoft.com/office/drawing/2014/main" id="{00000000-0008-0000-1200-00001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44" name="CustomShape 1">
          <a:extLst>
            <a:ext uri="{FF2B5EF4-FFF2-40B4-BE49-F238E27FC236}">
              <a16:creationId xmlns:a16="http://schemas.microsoft.com/office/drawing/2014/main" id="{00000000-0008-0000-1200-00001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45" name="CustomShape 1">
          <a:extLst>
            <a:ext uri="{FF2B5EF4-FFF2-40B4-BE49-F238E27FC236}">
              <a16:creationId xmlns:a16="http://schemas.microsoft.com/office/drawing/2014/main" id="{00000000-0008-0000-1200-000015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46" name="CustomShape 1">
          <a:extLst>
            <a:ext uri="{FF2B5EF4-FFF2-40B4-BE49-F238E27FC236}">
              <a16:creationId xmlns:a16="http://schemas.microsoft.com/office/drawing/2014/main" id="{00000000-0008-0000-1200-000016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47" name="CustomShape 1">
          <a:extLst>
            <a:ext uri="{FF2B5EF4-FFF2-40B4-BE49-F238E27FC236}">
              <a16:creationId xmlns:a16="http://schemas.microsoft.com/office/drawing/2014/main" id="{00000000-0008-0000-1200-000017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48" name="CustomShape 1">
          <a:extLst>
            <a:ext uri="{FF2B5EF4-FFF2-40B4-BE49-F238E27FC236}">
              <a16:creationId xmlns:a16="http://schemas.microsoft.com/office/drawing/2014/main" id="{00000000-0008-0000-1200-000018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49" name="CustomShape 1">
          <a:extLst>
            <a:ext uri="{FF2B5EF4-FFF2-40B4-BE49-F238E27FC236}">
              <a16:creationId xmlns:a16="http://schemas.microsoft.com/office/drawing/2014/main" id="{00000000-0008-0000-1200-000019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50" name="CustomShape 1">
          <a:extLst>
            <a:ext uri="{FF2B5EF4-FFF2-40B4-BE49-F238E27FC236}">
              <a16:creationId xmlns:a16="http://schemas.microsoft.com/office/drawing/2014/main" id="{00000000-0008-0000-1200-00001A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51" name="CustomShape 1">
          <a:extLst>
            <a:ext uri="{FF2B5EF4-FFF2-40B4-BE49-F238E27FC236}">
              <a16:creationId xmlns:a16="http://schemas.microsoft.com/office/drawing/2014/main" id="{00000000-0008-0000-1200-00001B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52" name="CustomShape 1">
          <a:extLst>
            <a:ext uri="{FF2B5EF4-FFF2-40B4-BE49-F238E27FC236}">
              <a16:creationId xmlns:a16="http://schemas.microsoft.com/office/drawing/2014/main" id="{00000000-0008-0000-1200-00001C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53" name="CustomShape 1">
          <a:extLst>
            <a:ext uri="{FF2B5EF4-FFF2-40B4-BE49-F238E27FC236}">
              <a16:creationId xmlns:a16="http://schemas.microsoft.com/office/drawing/2014/main" id="{00000000-0008-0000-1200-00001D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54" name="CustomShape 1">
          <a:extLst>
            <a:ext uri="{FF2B5EF4-FFF2-40B4-BE49-F238E27FC236}">
              <a16:creationId xmlns:a16="http://schemas.microsoft.com/office/drawing/2014/main" id="{00000000-0008-0000-1200-00001E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55" name="CustomShape 1">
          <a:extLst>
            <a:ext uri="{FF2B5EF4-FFF2-40B4-BE49-F238E27FC236}">
              <a16:creationId xmlns:a16="http://schemas.microsoft.com/office/drawing/2014/main" id="{00000000-0008-0000-1200-00001F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56" name="CustomShape 1">
          <a:extLst>
            <a:ext uri="{FF2B5EF4-FFF2-40B4-BE49-F238E27FC236}">
              <a16:creationId xmlns:a16="http://schemas.microsoft.com/office/drawing/2014/main" id="{00000000-0008-0000-1200-000020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57" name="CustomShape 1">
          <a:extLst>
            <a:ext uri="{FF2B5EF4-FFF2-40B4-BE49-F238E27FC236}">
              <a16:creationId xmlns:a16="http://schemas.microsoft.com/office/drawing/2014/main" id="{00000000-0008-0000-1200-000021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58" name="CustomShape 1">
          <a:extLst>
            <a:ext uri="{FF2B5EF4-FFF2-40B4-BE49-F238E27FC236}">
              <a16:creationId xmlns:a16="http://schemas.microsoft.com/office/drawing/2014/main" id="{00000000-0008-0000-1200-000022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59" name="CustomShape 1">
          <a:extLst>
            <a:ext uri="{FF2B5EF4-FFF2-40B4-BE49-F238E27FC236}">
              <a16:creationId xmlns:a16="http://schemas.microsoft.com/office/drawing/2014/main" id="{00000000-0008-0000-1200-00002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60" name="CustomShape 1">
          <a:extLst>
            <a:ext uri="{FF2B5EF4-FFF2-40B4-BE49-F238E27FC236}">
              <a16:creationId xmlns:a16="http://schemas.microsoft.com/office/drawing/2014/main" id="{00000000-0008-0000-1200-00002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61" name="CustomShape 1">
          <a:extLst>
            <a:ext uri="{FF2B5EF4-FFF2-40B4-BE49-F238E27FC236}">
              <a16:creationId xmlns:a16="http://schemas.microsoft.com/office/drawing/2014/main" id="{00000000-0008-0000-1200-000025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62" name="CustomShape 1">
          <a:extLst>
            <a:ext uri="{FF2B5EF4-FFF2-40B4-BE49-F238E27FC236}">
              <a16:creationId xmlns:a16="http://schemas.microsoft.com/office/drawing/2014/main" id="{00000000-0008-0000-1200-000026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063" name="CustomShape 1">
          <a:extLst>
            <a:ext uri="{FF2B5EF4-FFF2-40B4-BE49-F238E27FC236}">
              <a16:creationId xmlns:a16="http://schemas.microsoft.com/office/drawing/2014/main" id="{00000000-0008-0000-1200-000027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064" name="CustomShape 1">
          <a:extLst>
            <a:ext uri="{FF2B5EF4-FFF2-40B4-BE49-F238E27FC236}">
              <a16:creationId xmlns:a16="http://schemas.microsoft.com/office/drawing/2014/main" id="{00000000-0008-0000-1200-000028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065" name="CustomShape 1">
          <a:extLst>
            <a:ext uri="{FF2B5EF4-FFF2-40B4-BE49-F238E27FC236}">
              <a16:creationId xmlns:a16="http://schemas.microsoft.com/office/drawing/2014/main" id="{00000000-0008-0000-1200-000029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066" name="CustomShape 1">
          <a:extLst>
            <a:ext uri="{FF2B5EF4-FFF2-40B4-BE49-F238E27FC236}">
              <a16:creationId xmlns:a16="http://schemas.microsoft.com/office/drawing/2014/main" id="{00000000-0008-0000-1200-00002A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067" name="CustomShape 1">
          <a:extLst>
            <a:ext uri="{FF2B5EF4-FFF2-40B4-BE49-F238E27FC236}">
              <a16:creationId xmlns:a16="http://schemas.microsoft.com/office/drawing/2014/main" id="{00000000-0008-0000-1200-00002B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068" name="CustomShape 1">
          <a:extLst>
            <a:ext uri="{FF2B5EF4-FFF2-40B4-BE49-F238E27FC236}">
              <a16:creationId xmlns:a16="http://schemas.microsoft.com/office/drawing/2014/main" id="{00000000-0008-0000-1200-00002C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069" name="CustomShape 1">
          <a:extLst>
            <a:ext uri="{FF2B5EF4-FFF2-40B4-BE49-F238E27FC236}">
              <a16:creationId xmlns:a16="http://schemas.microsoft.com/office/drawing/2014/main" id="{00000000-0008-0000-1200-00002D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070" name="CustomShape 1">
          <a:extLst>
            <a:ext uri="{FF2B5EF4-FFF2-40B4-BE49-F238E27FC236}">
              <a16:creationId xmlns:a16="http://schemas.microsoft.com/office/drawing/2014/main" id="{00000000-0008-0000-1200-00002E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071" name="CustomShape 1">
          <a:extLst>
            <a:ext uri="{FF2B5EF4-FFF2-40B4-BE49-F238E27FC236}">
              <a16:creationId xmlns:a16="http://schemas.microsoft.com/office/drawing/2014/main" id="{00000000-0008-0000-1200-00002F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072" name="CustomShape 1">
          <a:extLst>
            <a:ext uri="{FF2B5EF4-FFF2-40B4-BE49-F238E27FC236}">
              <a16:creationId xmlns:a16="http://schemas.microsoft.com/office/drawing/2014/main" id="{00000000-0008-0000-1200-000030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073" name="CustomShape 1">
          <a:extLst>
            <a:ext uri="{FF2B5EF4-FFF2-40B4-BE49-F238E27FC236}">
              <a16:creationId xmlns:a16="http://schemas.microsoft.com/office/drawing/2014/main" id="{00000000-0008-0000-1200-000031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074" name="CustomShape 1">
          <a:extLst>
            <a:ext uri="{FF2B5EF4-FFF2-40B4-BE49-F238E27FC236}">
              <a16:creationId xmlns:a16="http://schemas.microsoft.com/office/drawing/2014/main" id="{00000000-0008-0000-1200-000032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75" name="CustomShape 1">
          <a:extLst>
            <a:ext uri="{FF2B5EF4-FFF2-40B4-BE49-F238E27FC236}">
              <a16:creationId xmlns:a16="http://schemas.microsoft.com/office/drawing/2014/main" id="{00000000-0008-0000-1200-00003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76" name="CustomShape 1">
          <a:extLst>
            <a:ext uri="{FF2B5EF4-FFF2-40B4-BE49-F238E27FC236}">
              <a16:creationId xmlns:a16="http://schemas.microsoft.com/office/drawing/2014/main" id="{00000000-0008-0000-1200-00003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77" name="CustomShape 1">
          <a:extLst>
            <a:ext uri="{FF2B5EF4-FFF2-40B4-BE49-F238E27FC236}">
              <a16:creationId xmlns:a16="http://schemas.microsoft.com/office/drawing/2014/main" id="{00000000-0008-0000-1200-000035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78" name="CustomShape 1">
          <a:extLst>
            <a:ext uri="{FF2B5EF4-FFF2-40B4-BE49-F238E27FC236}">
              <a16:creationId xmlns:a16="http://schemas.microsoft.com/office/drawing/2014/main" id="{00000000-0008-0000-1200-000036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79" name="CustomShape 1">
          <a:extLst>
            <a:ext uri="{FF2B5EF4-FFF2-40B4-BE49-F238E27FC236}">
              <a16:creationId xmlns:a16="http://schemas.microsoft.com/office/drawing/2014/main" id="{00000000-0008-0000-1200-000037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80" name="CustomShape 1">
          <a:extLst>
            <a:ext uri="{FF2B5EF4-FFF2-40B4-BE49-F238E27FC236}">
              <a16:creationId xmlns:a16="http://schemas.microsoft.com/office/drawing/2014/main" id="{00000000-0008-0000-1200-000038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81" name="CustomShape 1">
          <a:extLst>
            <a:ext uri="{FF2B5EF4-FFF2-40B4-BE49-F238E27FC236}">
              <a16:creationId xmlns:a16="http://schemas.microsoft.com/office/drawing/2014/main" id="{00000000-0008-0000-1200-000039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82" name="CustomShape 1">
          <a:extLst>
            <a:ext uri="{FF2B5EF4-FFF2-40B4-BE49-F238E27FC236}">
              <a16:creationId xmlns:a16="http://schemas.microsoft.com/office/drawing/2014/main" id="{00000000-0008-0000-1200-00003A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83" name="CustomShape 1">
          <a:extLst>
            <a:ext uri="{FF2B5EF4-FFF2-40B4-BE49-F238E27FC236}">
              <a16:creationId xmlns:a16="http://schemas.microsoft.com/office/drawing/2014/main" id="{00000000-0008-0000-1200-00003B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84" name="CustomShape 1">
          <a:extLst>
            <a:ext uri="{FF2B5EF4-FFF2-40B4-BE49-F238E27FC236}">
              <a16:creationId xmlns:a16="http://schemas.microsoft.com/office/drawing/2014/main" id="{00000000-0008-0000-1200-00003C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85" name="CustomShape 1">
          <a:extLst>
            <a:ext uri="{FF2B5EF4-FFF2-40B4-BE49-F238E27FC236}">
              <a16:creationId xmlns:a16="http://schemas.microsoft.com/office/drawing/2014/main" id="{00000000-0008-0000-1200-00003D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86" name="CustomShape 1">
          <a:extLst>
            <a:ext uri="{FF2B5EF4-FFF2-40B4-BE49-F238E27FC236}">
              <a16:creationId xmlns:a16="http://schemas.microsoft.com/office/drawing/2014/main" id="{00000000-0008-0000-1200-00003E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87" name="CustomShape 1">
          <a:extLst>
            <a:ext uri="{FF2B5EF4-FFF2-40B4-BE49-F238E27FC236}">
              <a16:creationId xmlns:a16="http://schemas.microsoft.com/office/drawing/2014/main" id="{00000000-0008-0000-1200-00003F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88" name="CustomShape 1">
          <a:extLst>
            <a:ext uri="{FF2B5EF4-FFF2-40B4-BE49-F238E27FC236}">
              <a16:creationId xmlns:a16="http://schemas.microsoft.com/office/drawing/2014/main" id="{00000000-0008-0000-1200-000040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89" name="CustomShape 1">
          <a:extLst>
            <a:ext uri="{FF2B5EF4-FFF2-40B4-BE49-F238E27FC236}">
              <a16:creationId xmlns:a16="http://schemas.microsoft.com/office/drawing/2014/main" id="{00000000-0008-0000-1200-000041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90" name="CustomShape 1">
          <a:extLst>
            <a:ext uri="{FF2B5EF4-FFF2-40B4-BE49-F238E27FC236}">
              <a16:creationId xmlns:a16="http://schemas.microsoft.com/office/drawing/2014/main" id="{00000000-0008-0000-1200-000042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91" name="CustomShape 1">
          <a:extLst>
            <a:ext uri="{FF2B5EF4-FFF2-40B4-BE49-F238E27FC236}">
              <a16:creationId xmlns:a16="http://schemas.microsoft.com/office/drawing/2014/main" id="{00000000-0008-0000-1200-00004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92" name="CustomShape 1">
          <a:extLst>
            <a:ext uri="{FF2B5EF4-FFF2-40B4-BE49-F238E27FC236}">
              <a16:creationId xmlns:a16="http://schemas.microsoft.com/office/drawing/2014/main" id="{00000000-0008-0000-1200-00004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93" name="CustomShape 1">
          <a:extLst>
            <a:ext uri="{FF2B5EF4-FFF2-40B4-BE49-F238E27FC236}">
              <a16:creationId xmlns:a16="http://schemas.microsoft.com/office/drawing/2014/main" id="{00000000-0008-0000-1200-000045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94" name="CustomShape 1">
          <a:extLst>
            <a:ext uri="{FF2B5EF4-FFF2-40B4-BE49-F238E27FC236}">
              <a16:creationId xmlns:a16="http://schemas.microsoft.com/office/drawing/2014/main" id="{00000000-0008-0000-1200-000046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95" name="CustomShape 1">
          <a:extLst>
            <a:ext uri="{FF2B5EF4-FFF2-40B4-BE49-F238E27FC236}">
              <a16:creationId xmlns:a16="http://schemas.microsoft.com/office/drawing/2014/main" id="{00000000-0008-0000-1200-000047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96" name="CustomShape 1">
          <a:extLst>
            <a:ext uri="{FF2B5EF4-FFF2-40B4-BE49-F238E27FC236}">
              <a16:creationId xmlns:a16="http://schemas.microsoft.com/office/drawing/2014/main" id="{00000000-0008-0000-1200-000048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97" name="CustomShape 1">
          <a:extLst>
            <a:ext uri="{FF2B5EF4-FFF2-40B4-BE49-F238E27FC236}">
              <a16:creationId xmlns:a16="http://schemas.microsoft.com/office/drawing/2014/main" id="{00000000-0008-0000-1200-000049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98" name="CustomShape 1">
          <a:extLst>
            <a:ext uri="{FF2B5EF4-FFF2-40B4-BE49-F238E27FC236}">
              <a16:creationId xmlns:a16="http://schemas.microsoft.com/office/drawing/2014/main" id="{00000000-0008-0000-1200-00004A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099" name="CustomShape 1">
          <a:extLst>
            <a:ext uri="{FF2B5EF4-FFF2-40B4-BE49-F238E27FC236}">
              <a16:creationId xmlns:a16="http://schemas.microsoft.com/office/drawing/2014/main" id="{00000000-0008-0000-1200-00004B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00" name="CustomShape 1">
          <a:extLst>
            <a:ext uri="{FF2B5EF4-FFF2-40B4-BE49-F238E27FC236}">
              <a16:creationId xmlns:a16="http://schemas.microsoft.com/office/drawing/2014/main" id="{00000000-0008-0000-1200-00004C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01" name="CustomShape 1">
          <a:extLst>
            <a:ext uri="{FF2B5EF4-FFF2-40B4-BE49-F238E27FC236}">
              <a16:creationId xmlns:a16="http://schemas.microsoft.com/office/drawing/2014/main" id="{00000000-0008-0000-1200-00004D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02" name="CustomShape 1">
          <a:extLst>
            <a:ext uri="{FF2B5EF4-FFF2-40B4-BE49-F238E27FC236}">
              <a16:creationId xmlns:a16="http://schemas.microsoft.com/office/drawing/2014/main" id="{00000000-0008-0000-1200-00004E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03" name="CustomShape 1">
          <a:extLst>
            <a:ext uri="{FF2B5EF4-FFF2-40B4-BE49-F238E27FC236}">
              <a16:creationId xmlns:a16="http://schemas.microsoft.com/office/drawing/2014/main" id="{00000000-0008-0000-1200-00004F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04" name="CustomShape 1">
          <a:extLst>
            <a:ext uri="{FF2B5EF4-FFF2-40B4-BE49-F238E27FC236}">
              <a16:creationId xmlns:a16="http://schemas.microsoft.com/office/drawing/2014/main" id="{00000000-0008-0000-1200-000050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05" name="CustomShape 1">
          <a:extLst>
            <a:ext uri="{FF2B5EF4-FFF2-40B4-BE49-F238E27FC236}">
              <a16:creationId xmlns:a16="http://schemas.microsoft.com/office/drawing/2014/main" id="{00000000-0008-0000-1200-000051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06" name="CustomShape 1">
          <a:extLst>
            <a:ext uri="{FF2B5EF4-FFF2-40B4-BE49-F238E27FC236}">
              <a16:creationId xmlns:a16="http://schemas.microsoft.com/office/drawing/2014/main" id="{00000000-0008-0000-1200-000052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07" name="CustomShape 1">
          <a:extLst>
            <a:ext uri="{FF2B5EF4-FFF2-40B4-BE49-F238E27FC236}">
              <a16:creationId xmlns:a16="http://schemas.microsoft.com/office/drawing/2014/main" id="{00000000-0008-0000-1200-00005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08" name="CustomShape 1">
          <a:extLst>
            <a:ext uri="{FF2B5EF4-FFF2-40B4-BE49-F238E27FC236}">
              <a16:creationId xmlns:a16="http://schemas.microsoft.com/office/drawing/2014/main" id="{00000000-0008-0000-1200-00005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09" name="CustomShape 1">
          <a:extLst>
            <a:ext uri="{FF2B5EF4-FFF2-40B4-BE49-F238E27FC236}">
              <a16:creationId xmlns:a16="http://schemas.microsoft.com/office/drawing/2014/main" id="{00000000-0008-0000-1200-000055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10" name="CustomShape 1">
          <a:extLst>
            <a:ext uri="{FF2B5EF4-FFF2-40B4-BE49-F238E27FC236}">
              <a16:creationId xmlns:a16="http://schemas.microsoft.com/office/drawing/2014/main" id="{00000000-0008-0000-1200-000056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11" name="CustomShape 1">
          <a:extLst>
            <a:ext uri="{FF2B5EF4-FFF2-40B4-BE49-F238E27FC236}">
              <a16:creationId xmlns:a16="http://schemas.microsoft.com/office/drawing/2014/main" id="{00000000-0008-0000-1200-000057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112" name="CustomShape 1">
          <a:extLst>
            <a:ext uri="{FF2B5EF4-FFF2-40B4-BE49-F238E27FC236}">
              <a16:creationId xmlns:a16="http://schemas.microsoft.com/office/drawing/2014/main" id="{00000000-0008-0000-1200-000058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113" name="CustomShape 1">
          <a:extLst>
            <a:ext uri="{FF2B5EF4-FFF2-40B4-BE49-F238E27FC236}">
              <a16:creationId xmlns:a16="http://schemas.microsoft.com/office/drawing/2014/main" id="{00000000-0008-0000-1200-000059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114" name="CustomShape 1">
          <a:extLst>
            <a:ext uri="{FF2B5EF4-FFF2-40B4-BE49-F238E27FC236}">
              <a16:creationId xmlns:a16="http://schemas.microsoft.com/office/drawing/2014/main" id="{00000000-0008-0000-1200-00005A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115" name="CustomShape 1">
          <a:extLst>
            <a:ext uri="{FF2B5EF4-FFF2-40B4-BE49-F238E27FC236}">
              <a16:creationId xmlns:a16="http://schemas.microsoft.com/office/drawing/2014/main" id="{00000000-0008-0000-1200-00005B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116" name="CustomShape 1">
          <a:extLst>
            <a:ext uri="{FF2B5EF4-FFF2-40B4-BE49-F238E27FC236}">
              <a16:creationId xmlns:a16="http://schemas.microsoft.com/office/drawing/2014/main" id="{00000000-0008-0000-1200-00005C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117" name="CustomShape 1">
          <a:extLst>
            <a:ext uri="{FF2B5EF4-FFF2-40B4-BE49-F238E27FC236}">
              <a16:creationId xmlns:a16="http://schemas.microsoft.com/office/drawing/2014/main" id="{00000000-0008-0000-1200-00005D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18" name="CustomShape 1">
          <a:extLst>
            <a:ext uri="{FF2B5EF4-FFF2-40B4-BE49-F238E27FC236}">
              <a16:creationId xmlns:a16="http://schemas.microsoft.com/office/drawing/2014/main" id="{00000000-0008-0000-1200-00005E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19" name="CustomShape 1">
          <a:extLst>
            <a:ext uri="{FF2B5EF4-FFF2-40B4-BE49-F238E27FC236}">
              <a16:creationId xmlns:a16="http://schemas.microsoft.com/office/drawing/2014/main" id="{00000000-0008-0000-1200-00005F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20" name="CustomShape 1">
          <a:extLst>
            <a:ext uri="{FF2B5EF4-FFF2-40B4-BE49-F238E27FC236}">
              <a16:creationId xmlns:a16="http://schemas.microsoft.com/office/drawing/2014/main" id="{00000000-0008-0000-1200-000060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21" name="CustomShape 1">
          <a:extLst>
            <a:ext uri="{FF2B5EF4-FFF2-40B4-BE49-F238E27FC236}">
              <a16:creationId xmlns:a16="http://schemas.microsoft.com/office/drawing/2014/main" id="{00000000-0008-0000-1200-000061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22" name="CustomShape 1">
          <a:extLst>
            <a:ext uri="{FF2B5EF4-FFF2-40B4-BE49-F238E27FC236}">
              <a16:creationId xmlns:a16="http://schemas.microsoft.com/office/drawing/2014/main" id="{00000000-0008-0000-1200-000062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23" name="CustomShape 1">
          <a:extLst>
            <a:ext uri="{FF2B5EF4-FFF2-40B4-BE49-F238E27FC236}">
              <a16:creationId xmlns:a16="http://schemas.microsoft.com/office/drawing/2014/main" id="{00000000-0008-0000-1200-00006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24" name="CustomShape 1">
          <a:extLst>
            <a:ext uri="{FF2B5EF4-FFF2-40B4-BE49-F238E27FC236}">
              <a16:creationId xmlns:a16="http://schemas.microsoft.com/office/drawing/2014/main" id="{00000000-0008-0000-1200-00006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25" name="CustomShape 1">
          <a:extLst>
            <a:ext uri="{FF2B5EF4-FFF2-40B4-BE49-F238E27FC236}">
              <a16:creationId xmlns:a16="http://schemas.microsoft.com/office/drawing/2014/main" id="{00000000-0008-0000-1200-000065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26" name="CustomShape 1">
          <a:extLst>
            <a:ext uri="{FF2B5EF4-FFF2-40B4-BE49-F238E27FC236}">
              <a16:creationId xmlns:a16="http://schemas.microsoft.com/office/drawing/2014/main" id="{00000000-0008-0000-1200-000066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27" name="CustomShape 1">
          <a:extLst>
            <a:ext uri="{FF2B5EF4-FFF2-40B4-BE49-F238E27FC236}">
              <a16:creationId xmlns:a16="http://schemas.microsoft.com/office/drawing/2014/main" id="{00000000-0008-0000-1200-000067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28" name="CustomShape 1">
          <a:extLst>
            <a:ext uri="{FF2B5EF4-FFF2-40B4-BE49-F238E27FC236}">
              <a16:creationId xmlns:a16="http://schemas.microsoft.com/office/drawing/2014/main" id="{00000000-0008-0000-1200-000068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29" name="CustomShape 1">
          <a:extLst>
            <a:ext uri="{FF2B5EF4-FFF2-40B4-BE49-F238E27FC236}">
              <a16:creationId xmlns:a16="http://schemas.microsoft.com/office/drawing/2014/main" id="{00000000-0008-0000-1200-000069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130" name="CustomShape 1">
          <a:extLst>
            <a:ext uri="{FF2B5EF4-FFF2-40B4-BE49-F238E27FC236}">
              <a16:creationId xmlns:a16="http://schemas.microsoft.com/office/drawing/2014/main" id="{00000000-0008-0000-1200-00006A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131" name="CustomShape 1">
          <a:extLst>
            <a:ext uri="{FF2B5EF4-FFF2-40B4-BE49-F238E27FC236}">
              <a16:creationId xmlns:a16="http://schemas.microsoft.com/office/drawing/2014/main" id="{00000000-0008-0000-1200-00006B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132" name="CustomShape 1">
          <a:extLst>
            <a:ext uri="{FF2B5EF4-FFF2-40B4-BE49-F238E27FC236}">
              <a16:creationId xmlns:a16="http://schemas.microsoft.com/office/drawing/2014/main" id="{00000000-0008-0000-1200-00006C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133" name="CustomShape 1">
          <a:extLst>
            <a:ext uri="{FF2B5EF4-FFF2-40B4-BE49-F238E27FC236}">
              <a16:creationId xmlns:a16="http://schemas.microsoft.com/office/drawing/2014/main" id="{00000000-0008-0000-1200-00006D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134" name="CustomShape 1">
          <a:extLst>
            <a:ext uri="{FF2B5EF4-FFF2-40B4-BE49-F238E27FC236}">
              <a16:creationId xmlns:a16="http://schemas.microsoft.com/office/drawing/2014/main" id="{00000000-0008-0000-1200-00006E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135" name="CustomShape 1">
          <a:extLst>
            <a:ext uri="{FF2B5EF4-FFF2-40B4-BE49-F238E27FC236}">
              <a16:creationId xmlns:a16="http://schemas.microsoft.com/office/drawing/2014/main" id="{00000000-0008-0000-1200-00006F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36" name="CustomShape 1">
          <a:extLst>
            <a:ext uri="{FF2B5EF4-FFF2-40B4-BE49-F238E27FC236}">
              <a16:creationId xmlns:a16="http://schemas.microsoft.com/office/drawing/2014/main" id="{00000000-0008-0000-1200-000070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37" name="CustomShape 1">
          <a:extLst>
            <a:ext uri="{FF2B5EF4-FFF2-40B4-BE49-F238E27FC236}">
              <a16:creationId xmlns:a16="http://schemas.microsoft.com/office/drawing/2014/main" id="{00000000-0008-0000-1200-000071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38" name="CustomShape 1">
          <a:extLst>
            <a:ext uri="{FF2B5EF4-FFF2-40B4-BE49-F238E27FC236}">
              <a16:creationId xmlns:a16="http://schemas.microsoft.com/office/drawing/2014/main" id="{00000000-0008-0000-1200-000072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39" name="CustomShape 1">
          <a:extLst>
            <a:ext uri="{FF2B5EF4-FFF2-40B4-BE49-F238E27FC236}">
              <a16:creationId xmlns:a16="http://schemas.microsoft.com/office/drawing/2014/main" id="{00000000-0008-0000-1200-00007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40" name="CustomShape 1">
          <a:extLst>
            <a:ext uri="{FF2B5EF4-FFF2-40B4-BE49-F238E27FC236}">
              <a16:creationId xmlns:a16="http://schemas.microsoft.com/office/drawing/2014/main" id="{00000000-0008-0000-1200-00007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41" name="CustomShape 1">
          <a:extLst>
            <a:ext uri="{FF2B5EF4-FFF2-40B4-BE49-F238E27FC236}">
              <a16:creationId xmlns:a16="http://schemas.microsoft.com/office/drawing/2014/main" id="{00000000-0008-0000-1200-000075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42" name="CustomShape 1">
          <a:extLst>
            <a:ext uri="{FF2B5EF4-FFF2-40B4-BE49-F238E27FC236}">
              <a16:creationId xmlns:a16="http://schemas.microsoft.com/office/drawing/2014/main" id="{00000000-0008-0000-1200-000076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43" name="CustomShape 1">
          <a:extLst>
            <a:ext uri="{FF2B5EF4-FFF2-40B4-BE49-F238E27FC236}">
              <a16:creationId xmlns:a16="http://schemas.microsoft.com/office/drawing/2014/main" id="{00000000-0008-0000-1200-000077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44" name="CustomShape 1">
          <a:extLst>
            <a:ext uri="{FF2B5EF4-FFF2-40B4-BE49-F238E27FC236}">
              <a16:creationId xmlns:a16="http://schemas.microsoft.com/office/drawing/2014/main" id="{00000000-0008-0000-1200-000078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45" name="CustomShape 1">
          <a:extLst>
            <a:ext uri="{FF2B5EF4-FFF2-40B4-BE49-F238E27FC236}">
              <a16:creationId xmlns:a16="http://schemas.microsoft.com/office/drawing/2014/main" id="{00000000-0008-0000-1200-000079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46" name="CustomShape 1">
          <a:extLst>
            <a:ext uri="{FF2B5EF4-FFF2-40B4-BE49-F238E27FC236}">
              <a16:creationId xmlns:a16="http://schemas.microsoft.com/office/drawing/2014/main" id="{00000000-0008-0000-1200-00007A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47" name="CustomShape 1">
          <a:extLst>
            <a:ext uri="{FF2B5EF4-FFF2-40B4-BE49-F238E27FC236}">
              <a16:creationId xmlns:a16="http://schemas.microsoft.com/office/drawing/2014/main" id="{00000000-0008-0000-1200-00007B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48" name="CustomShape 1">
          <a:extLst>
            <a:ext uri="{FF2B5EF4-FFF2-40B4-BE49-F238E27FC236}">
              <a16:creationId xmlns:a16="http://schemas.microsoft.com/office/drawing/2014/main" id="{00000000-0008-0000-1200-00007C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49" name="CustomShape 1">
          <a:extLst>
            <a:ext uri="{FF2B5EF4-FFF2-40B4-BE49-F238E27FC236}">
              <a16:creationId xmlns:a16="http://schemas.microsoft.com/office/drawing/2014/main" id="{00000000-0008-0000-1200-00007D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50" name="CustomShape 1">
          <a:extLst>
            <a:ext uri="{FF2B5EF4-FFF2-40B4-BE49-F238E27FC236}">
              <a16:creationId xmlns:a16="http://schemas.microsoft.com/office/drawing/2014/main" id="{00000000-0008-0000-1200-00007E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51" name="CustomShape 1">
          <a:extLst>
            <a:ext uri="{FF2B5EF4-FFF2-40B4-BE49-F238E27FC236}">
              <a16:creationId xmlns:a16="http://schemas.microsoft.com/office/drawing/2014/main" id="{00000000-0008-0000-1200-00007F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52" name="CustomShape 1">
          <a:extLst>
            <a:ext uri="{FF2B5EF4-FFF2-40B4-BE49-F238E27FC236}">
              <a16:creationId xmlns:a16="http://schemas.microsoft.com/office/drawing/2014/main" id="{00000000-0008-0000-1200-000080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53" name="CustomShape 1">
          <a:extLst>
            <a:ext uri="{FF2B5EF4-FFF2-40B4-BE49-F238E27FC236}">
              <a16:creationId xmlns:a16="http://schemas.microsoft.com/office/drawing/2014/main" id="{00000000-0008-0000-1200-000081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54" name="CustomShape 1">
          <a:extLst>
            <a:ext uri="{FF2B5EF4-FFF2-40B4-BE49-F238E27FC236}">
              <a16:creationId xmlns:a16="http://schemas.microsoft.com/office/drawing/2014/main" id="{00000000-0008-0000-1200-000082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55" name="CustomShape 1">
          <a:extLst>
            <a:ext uri="{FF2B5EF4-FFF2-40B4-BE49-F238E27FC236}">
              <a16:creationId xmlns:a16="http://schemas.microsoft.com/office/drawing/2014/main" id="{00000000-0008-0000-1200-00008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56" name="CustomShape 1">
          <a:extLst>
            <a:ext uri="{FF2B5EF4-FFF2-40B4-BE49-F238E27FC236}">
              <a16:creationId xmlns:a16="http://schemas.microsoft.com/office/drawing/2014/main" id="{00000000-0008-0000-1200-00008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57" name="CustomShape 1">
          <a:extLst>
            <a:ext uri="{FF2B5EF4-FFF2-40B4-BE49-F238E27FC236}">
              <a16:creationId xmlns:a16="http://schemas.microsoft.com/office/drawing/2014/main" id="{00000000-0008-0000-1200-000085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58" name="CustomShape 1">
          <a:extLst>
            <a:ext uri="{FF2B5EF4-FFF2-40B4-BE49-F238E27FC236}">
              <a16:creationId xmlns:a16="http://schemas.microsoft.com/office/drawing/2014/main" id="{00000000-0008-0000-1200-000086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59" name="CustomShape 1">
          <a:extLst>
            <a:ext uri="{FF2B5EF4-FFF2-40B4-BE49-F238E27FC236}">
              <a16:creationId xmlns:a16="http://schemas.microsoft.com/office/drawing/2014/main" id="{00000000-0008-0000-1200-000087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60" name="CustomShape 1">
          <a:extLst>
            <a:ext uri="{FF2B5EF4-FFF2-40B4-BE49-F238E27FC236}">
              <a16:creationId xmlns:a16="http://schemas.microsoft.com/office/drawing/2014/main" id="{00000000-0008-0000-1200-000088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61" name="CustomShape 1">
          <a:extLst>
            <a:ext uri="{FF2B5EF4-FFF2-40B4-BE49-F238E27FC236}">
              <a16:creationId xmlns:a16="http://schemas.microsoft.com/office/drawing/2014/main" id="{00000000-0008-0000-1200-000089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62" name="CustomShape 1">
          <a:extLst>
            <a:ext uri="{FF2B5EF4-FFF2-40B4-BE49-F238E27FC236}">
              <a16:creationId xmlns:a16="http://schemas.microsoft.com/office/drawing/2014/main" id="{00000000-0008-0000-1200-00008A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63" name="CustomShape 1">
          <a:extLst>
            <a:ext uri="{FF2B5EF4-FFF2-40B4-BE49-F238E27FC236}">
              <a16:creationId xmlns:a16="http://schemas.microsoft.com/office/drawing/2014/main" id="{00000000-0008-0000-1200-00008B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64" name="CustomShape 1">
          <a:extLst>
            <a:ext uri="{FF2B5EF4-FFF2-40B4-BE49-F238E27FC236}">
              <a16:creationId xmlns:a16="http://schemas.microsoft.com/office/drawing/2014/main" id="{00000000-0008-0000-1200-00008C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65" name="CustomShape 1">
          <a:extLst>
            <a:ext uri="{FF2B5EF4-FFF2-40B4-BE49-F238E27FC236}">
              <a16:creationId xmlns:a16="http://schemas.microsoft.com/office/drawing/2014/main" id="{00000000-0008-0000-1200-00008D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66" name="CustomShape 1">
          <a:extLst>
            <a:ext uri="{FF2B5EF4-FFF2-40B4-BE49-F238E27FC236}">
              <a16:creationId xmlns:a16="http://schemas.microsoft.com/office/drawing/2014/main" id="{00000000-0008-0000-1200-00008E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67" name="CustomShape 1">
          <a:extLst>
            <a:ext uri="{FF2B5EF4-FFF2-40B4-BE49-F238E27FC236}">
              <a16:creationId xmlns:a16="http://schemas.microsoft.com/office/drawing/2014/main" id="{00000000-0008-0000-1200-00008F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68" name="CustomShape 1">
          <a:extLst>
            <a:ext uri="{FF2B5EF4-FFF2-40B4-BE49-F238E27FC236}">
              <a16:creationId xmlns:a16="http://schemas.microsoft.com/office/drawing/2014/main" id="{00000000-0008-0000-1200-000090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69" name="CustomShape 1">
          <a:extLst>
            <a:ext uri="{FF2B5EF4-FFF2-40B4-BE49-F238E27FC236}">
              <a16:creationId xmlns:a16="http://schemas.microsoft.com/office/drawing/2014/main" id="{00000000-0008-0000-1200-000091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70" name="CustomShape 1">
          <a:extLst>
            <a:ext uri="{FF2B5EF4-FFF2-40B4-BE49-F238E27FC236}">
              <a16:creationId xmlns:a16="http://schemas.microsoft.com/office/drawing/2014/main" id="{00000000-0008-0000-1200-000092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71" name="CustomShape 1">
          <a:extLst>
            <a:ext uri="{FF2B5EF4-FFF2-40B4-BE49-F238E27FC236}">
              <a16:creationId xmlns:a16="http://schemas.microsoft.com/office/drawing/2014/main" id="{00000000-0008-0000-1200-00009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72" name="CustomShape 1">
          <a:extLst>
            <a:ext uri="{FF2B5EF4-FFF2-40B4-BE49-F238E27FC236}">
              <a16:creationId xmlns:a16="http://schemas.microsoft.com/office/drawing/2014/main" id="{00000000-0008-0000-1200-00009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173" name="CustomShape 1">
          <a:extLst>
            <a:ext uri="{FF2B5EF4-FFF2-40B4-BE49-F238E27FC236}">
              <a16:creationId xmlns:a16="http://schemas.microsoft.com/office/drawing/2014/main" id="{00000000-0008-0000-1200-000095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174" name="CustomShape 1">
          <a:extLst>
            <a:ext uri="{FF2B5EF4-FFF2-40B4-BE49-F238E27FC236}">
              <a16:creationId xmlns:a16="http://schemas.microsoft.com/office/drawing/2014/main" id="{00000000-0008-0000-1200-000096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175" name="CustomShape 1">
          <a:extLst>
            <a:ext uri="{FF2B5EF4-FFF2-40B4-BE49-F238E27FC236}">
              <a16:creationId xmlns:a16="http://schemas.microsoft.com/office/drawing/2014/main" id="{00000000-0008-0000-1200-000097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176" name="CustomShape 1">
          <a:extLst>
            <a:ext uri="{FF2B5EF4-FFF2-40B4-BE49-F238E27FC236}">
              <a16:creationId xmlns:a16="http://schemas.microsoft.com/office/drawing/2014/main" id="{00000000-0008-0000-1200-000098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177" name="CustomShape 1">
          <a:extLst>
            <a:ext uri="{FF2B5EF4-FFF2-40B4-BE49-F238E27FC236}">
              <a16:creationId xmlns:a16="http://schemas.microsoft.com/office/drawing/2014/main" id="{00000000-0008-0000-1200-000099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178" name="CustomShape 1">
          <a:extLst>
            <a:ext uri="{FF2B5EF4-FFF2-40B4-BE49-F238E27FC236}">
              <a16:creationId xmlns:a16="http://schemas.microsoft.com/office/drawing/2014/main" id="{00000000-0008-0000-1200-00009A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79" name="CustomShape 1">
          <a:extLst>
            <a:ext uri="{FF2B5EF4-FFF2-40B4-BE49-F238E27FC236}">
              <a16:creationId xmlns:a16="http://schemas.microsoft.com/office/drawing/2014/main" id="{00000000-0008-0000-1200-00009B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80" name="CustomShape 1">
          <a:extLst>
            <a:ext uri="{FF2B5EF4-FFF2-40B4-BE49-F238E27FC236}">
              <a16:creationId xmlns:a16="http://schemas.microsoft.com/office/drawing/2014/main" id="{00000000-0008-0000-1200-00009C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81" name="CustomShape 1">
          <a:extLst>
            <a:ext uri="{FF2B5EF4-FFF2-40B4-BE49-F238E27FC236}">
              <a16:creationId xmlns:a16="http://schemas.microsoft.com/office/drawing/2014/main" id="{00000000-0008-0000-1200-00009D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82" name="CustomShape 1">
          <a:extLst>
            <a:ext uri="{FF2B5EF4-FFF2-40B4-BE49-F238E27FC236}">
              <a16:creationId xmlns:a16="http://schemas.microsoft.com/office/drawing/2014/main" id="{00000000-0008-0000-1200-00009E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83" name="CustomShape 1">
          <a:extLst>
            <a:ext uri="{FF2B5EF4-FFF2-40B4-BE49-F238E27FC236}">
              <a16:creationId xmlns:a16="http://schemas.microsoft.com/office/drawing/2014/main" id="{00000000-0008-0000-1200-00009F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84" name="CustomShape 1">
          <a:extLst>
            <a:ext uri="{FF2B5EF4-FFF2-40B4-BE49-F238E27FC236}">
              <a16:creationId xmlns:a16="http://schemas.microsoft.com/office/drawing/2014/main" id="{00000000-0008-0000-1200-0000A0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85" name="CustomShape 1">
          <a:extLst>
            <a:ext uri="{FF2B5EF4-FFF2-40B4-BE49-F238E27FC236}">
              <a16:creationId xmlns:a16="http://schemas.microsoft.com/office/drawing/2014/main" id="{00000000-0008-0000-1200-0000A1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86" name="CustomShape 1">
          <a:extLst>
            <a:ext uri="{FF2B5EF4-FFF2-40B4-BE49-F238E27FC236}">
              <a16:creationId xmlns:a16="http://schemas.microsoft.com/office/drawing/2014/main" id="{00000000-0008-0000-1200-0000A2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87" name="CustomShape 1">
          <a:extLst>
            <a:ext uri="{FF2B5EF4-FFF2-40B4-BE49-F238E27FC236}">
              <a16:creationId xmlns:a16="http://schemas.microsoft.com/office/drawing/2014/main" id="{00000000-0008-0000-1200-0000A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88" name="CustomShape 1">
          <a:extLst>
            <a:ext uri="{FF2B5EF4-FFF2-40B4-BE49-F238E27FC236}">
              <a16:creationId xmlns:a16="http://schemas.microsoft.com/office/drawing/2014/main" id="{00000000-0008-0000-1200-0000A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89" name="CustomShape 1">
          <a:extLst>
            <a:ext uri="{FF2B5EF4-FFF2-40B4-BE49-F238E27FC236}">
              <a16:creationId xmlns:a16="http://schemas.microsoft.com/office/drawing/2014/main" id="{00000000-0008-0000-1200-0000A5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90" name="CustomShape 1">
          <a:extLst>
            <a:ext uri="{FF2B5EF4-FFF2-40B4-BE49-F238E27FC236}">
              <a16:creationId xmlns:a16="http://schemas.microsoft.com/office/drawing/2014/main" id="{00000000-0008-0000-1200-0000A6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191" name="CustomShape 1">
          <a:extLst>
            <a:ext uri="{FF2B5EF4-FFF2-40B4-BE49-F238E27FC236}">
              <a16:creationId xmlns:a16="http://schemas.microsoft.com/office/drawing/2014/main" id="{00000000-0008-0000-1200-0000A7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192" name="CustomShape 1">
          <a:extLst>
            <a:ext uri="{FF2B5EF4-FFF2-40B4-BE49-F238E27FC236}">
              <a16:creationId xmlns:a16="http://schemas.microsoft.com/office/drawing/2014/main" id="{00000000-0008-0000-1200-0000A8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193" name="CustomShape 1">
          <a:extLst>
            <a:ext uri="{FF2B5EF4-FFF2-40B4-BE49-F238E27FC236}">
              <a16:creationId xmlns:a16="http://schemas.microsoft.com/office/drawing/2014/main" id="{00000000-0008-0000-1200-0000A9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194" name="CustomShape 1">
          <a:extLst>
            <a:ext uri="{FF2B5EF4-FFF2-40B4-BE49-F238E27FC236}">
              <a16:creationId xmlns:a16="http://schemas.microsoft.com/office/drawing/2014/main" id="{00000000-0008-0000-1200-0000AA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195" name="CustomShape 1">
          <a:extLst>
            <a:ext uri="{FF2B5EF4-FFF2-40B4-BE49-F238E27FC236}">
              <a16:creationId xmlns:a16="http://schemas.microsoft.com/office/drawing/2014/main" id="{00000000-0008-0000-1200-0000AB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196" name="CustomShape 1">
          <a:extLst>
            <a:ext uri="{FF2B5EF4-FFF2-40B4-BE49-F238E27FC236}">
              <a16:creationId xmlns:a16="http://schemas.microsoft.com/office/drawing/2014/main" id="{00000000-0008-0000-1200-0000AC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97" name="CustomShape 1">
          <a:extLst>
            <a:ext uri="{FF2B5EF4-FFF2-40B4-BE49-F238E27FC236}">
              <a16:creationId xmlns:a16="http://schemas.microsoft.com/office/drawing/2014/main" id="{00000000-0008-0000-1200-0000AD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98" name="CustomShape 1">
          <a:extLst>
            <a:ext uri="{FF2B5EF4-FFF2-40B4-BE49-F238E27FC236}">
              <a16:creationId xmlns:a16="http://schemas.microsoft.com/office/drawing/2014/main" id="{00000000-0008-0000-1200-0000AE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199" name="CustomShape 1">
          <a:extLst>
            <a:ext uri="{FF2B5EF4-FFF2-40B4-BE49-F238E27FC236}">
              <a16:creationId xmlns:a16="http://schemas.microsoft.com/office/drawing/2014/main" id="{00000000-0008-0000-1200-0000AF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00" name="CustomShape 1">
          <a:extLst>
            <a:ext uri="{FF2B5EF4-FFF2-40B4-BE49-F238E27FC236}">
              <a16:creationId xmlns:a16="http://schemas.microsoft.com/office/drawing/2014/main" id="{00000000-0008-0000-1200-0000B0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01" name="CustomShape 1">
          <a:extLst>
            <a:ext uri="{FF2B5EF4-FFF2-40B4-BE49-F238E27FC236}">
              <a16:creationId xmlns:a16="http://schemas.microsoft.com/office/drawing/2014/main" id="{00000000-0008-0000-1200-0000B1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02" name="CustomShape 1">
          <a:extLst>
            <a:ext uri="{FF2B5EF4-FFF2-40B4-BE49-F238E27FC236}">
              <a16:creationId xmlns:a16="http://schemas.microsoft.com/office/drawing/2014/main" id="{00000000-0008-0000-1200-0000B2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03" name="CustomShape 1">
          <a:extLst>
            <a:ext uri="{FF2B5EF4-FFF2-40B4-BE49-F238E27FC236}">
              <a16:creationId xmlns:a16="http://schemas.microsoft.com/office/drawing/2014/main" id="{00000000-0008-0000-1200-0000B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04" name="CustomShape 1">
          <a:extLst>
            <a:ext uri="{FF2B5EF4-FFF2-40B4-BE49-F238E27FC236}">
              <a16:creationId xmlns:a16="http://schemas.microsoft.com/office/drawing/2014/main" id="{00000000-0008-0000-1200-0000B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05" name="CustomShape 1">
          <a:extLst>
            <a:ext uri="{FF2B5EF4-FFF2-40B4-BE49-F238E27FC236}">
              <a16:creationId xmlns:a16="http://schemas.microsoft.com/office/drawing/2014/main" id="{00000000-0008-0000-1200-0000B5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06" name="CustomShape 1">
          <a:extLst>
            <a:ext uri="{FF2B5EF4-FFF2-40B4-BE49-F238E27FC236}">
              <a16:creationId xmlns:a16="http://schemas.microsoft.com/office/drawing/2014/main" id="{00000000-0008-0000-1200-0000B6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07" name="CustomShape 1">
          <a:extLst>
            <a:ext uri="{FF2B5EF4-FFF2-40B4-BE49-F238E27FC236}">
              <a16:creationId xmlns:a16="http://schemas.microsoft.com/office/drawing/2014/main" id="{00000000-0008-0000-1200-0000B7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08" name="CustomShape 1">
          <a:extLst>
            <a:ext uri="{FF2B5EF4-FFF2-40B4-BE49-F238E27FC236}">
              <a16:creationId xmlns:a16="http://schemas.microsoft.com/office/drawing/2014/main" id="{00000000-0008-0000-1200-0000B8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09" name="CustomShape 1">
          <a:extLst>
            <a:ext uri="{FF2B5EF4-FFF2-40B4-BE49-F238E27FC236}">
              <a16:creationId xmlns:a16="http://schemas.microsoft.com/office/drawing/2014/main" id="{00000000-0008-0000-1200-0000B9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10" name="CustomShape 1">
          <a:extLst>
            <a:ext uri="{FF2B5EF4-FFF2-40B4-BE49-F238E27FC236}">
              <a16:creationId xmlns:a16="http://schemas.microsoft.com/office/drawing/2014/main" id="{00000000-0008-0000-1200-0000BA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11" name="CustomShape 1">
          <a:extLst>
            <a:ext uri="{FF2B5EF4-FFF2-40B4-BE49-F238E27FC236}">
              <a16:creationId xmlns:a16="http://schemas.microsoft.com/office/drawing/2014/main" id="{00000000-0008-0000-1200-0000BB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12" name="CustomShape 1">
          <a:extLst>
            <a:ext uri="{FF2B5EF4-FFF2-40B4-BE49-F238E27FC236}">
              <a16:creationId xmlns:a16="http://schemas.microsoft.com/office/drawing/2014/main" id="{00000000-0008-0000-1200-0000BC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13" name="CustomShape 1">
          <a:extLst>
            <a:ext uri="{FF2B5EF4-FFF2-40B4-BE49-F238E27FC236}">
              <a16:creationId xmlns:a16="http://schemas.microsoft.com/office/drawing/2014/main" id="{00000000-0008-0000-1200-0000BD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14" name="CustomShape 1">
          <a:extLst>
            <a:ext uri="{FF2B5EF4-FFF2-40B4-BE49-F238E27FC236}">
              <a16:creationId xmlns:a16="http://schemas.microsoft.com/office/drawing/2014/main" id="{00000000-0008-0000-1200-0000BE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15" name="CustomShape 1">
          <a:extLst>
            <a:ext uri="{FF2B5EF4-FFF2-40B4-BE49-F238E27FC236}">
              <a16:creationId xmlns:a16="http://schemas.microsoft.com/office/drawing/2014/main" id="{00000000-0008-0000-1200-0000BF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16" name="CustomShape 1">
          <a:extLst>
            <a:ext uri="{FF2B5EF4-FFF2-40B4-BE49-F238E27FC236}">
              <a16:creationId xmlns:a16="http://schemas.microsoft.com/office/drawing/2014/main" id="{00000000-0008-0000-1200-0000C0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17" name="CustomShape 1">
          <a:extLst>
            <a:ext uri="{FF2B5EF4-FFF2-40B4-BE49-F238E27FC236}">
              <a16:creationId xmlns:a16="http://schemas.microsoft.com/office/drawing/2014/main" id="{00000000-0008-0000-1200-0000C1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18" name="CustomShape 1">
          <a:extLst>
            <a:ext uri="{FF2B5EF4-FFF2-40B4-BE49-F238E27FC236}">
              <a16:creationId xmlns:a16="http://schemas.microsoft.com/office/drawing/2014/main" id="{00000000-0008-0000-1200-0000C2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19" name="CustomShape 1">
          <a:extLst>
            <a:ext uri="{FF2B5EF4-FFF2-40B4-BE49-F238E27FC236}">
              <a16:creationId xmlns:a16="http://schemas.microsoft.com/office/drawing/2014/main" id="{00000000-0008-0000-1200-0000C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20" name="CustomShape 1">
          <a:extLst>
            <a:ext uri="{FF2B5EF4-FFF2-40B4-BE49-F238E27FC236}">
              <a16:creationId xmlns:a16="http://schemas.microsoft.com/office/drawing/2014/main" id="{00000000-0008-0000-1200-0000C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21" name="CustomShape 1">
          <a:extLst>
            <a:ext uri="{FF2B5EF4-FFF2-40B4-BE49-F238E27FC236}">
              <a16:creationId xmlns:a16="http://schemas.microsoft.com/office/drawing/2014/main" id="{00000000-0008-0000-1200-0000C5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22" name="CustomShape 1">
          <a:extLst>
            <a:ext uri="{FF2B5EF4-FFF2-40B4-BE49-F238E27FC236}">
              <a16:creationId xmlns:a16="http://schemas.microsoft.com/office/drawing/2014/main" id="{00000000-0008-0000-1200-0000C6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23" name="CustomShape 1">
          <a:extLst>
            <a:ext uri="{FF2B5EF4-FFF2-40B4-BE49-F238E27FC236}">
              <a16:creationId xmlns:a16="http://schemas.microsoft.com/office/drawing/2014/main" id="{00000000-0008-0000-1200-0000C7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24" name="CustomShape 1">
          <a:extLst>
            <a:ext uri="{FF2B5EF4-FFF2-40B4-BE49-F238E27FC236}">
              <a16:creationId xmlns:a16="http://schemas.microsoft.com/office/drawing/2014/main" id="{00000000-0008-0000-1200-0000C8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25" name="CustomShape 1">
          <a:extLst>
            <a:ext uri="{FF2B5EF4-FFF2-40B4-BE49-F238E27FC236}">
              <a16:creationId xmlns:a16="http://schemas.microsoft.com/office/drawing/2014/main" id="{00000000-0008-0000-1200-0000C9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26" name="CustomShape 1">
          <a:extLst>
            <a:ext uri="{FF2B5EF4-FFF2-40B4-BE49-F238E27FC236}">
              <a16:creationId xmlns:a16="http://schemas.microsoft.com/office/drawing/2014/main" id="{00000000-0008-0000-1200-0000CA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27" name="CustomShape 1">
          <a:extLst>
            <a:ext uri="{FF2B5EF4-FFF2-40B4-BE49-F238E27FC236}">
              <a16:creationId xmlns:a16="http://schemas.microsoft.com/office/drawing/2014/main" id="{00000000-0008-0000-1200-0000CB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28" name="CustomShape 1">
          <a:extLst>
            <a:ext uri="{FF2B5EF4-FFF2-40B4-BE49-F238E27FC236}">
              <a16:creationId xmlns:a16="http://schemas.microsoft.com/office/drawing/2014/main" id="{00000000-0008-0000-1200-0000CC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29" name="CustomShape 1">
          <a:extLst>
            <a:ext uri="{FF2B5EF4-FFF2-40B4-BE49-F238E27FC236}">
              <a16:creationId xmlns:a16="http://schemas.microsoft.com/office/drawing/2014/main" id="{00000000-0008-0000-1200-0000CD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30" name="CustomShape 1">
          <a:extLst>
            <a:ext uri="{FF2B5EF4-FFF2-40B4-BE49-F238E27FC236}">
              <a16:creationId xmlns:a16="http://schemas.microsoft.com/office/drawing/2014/main" id="{00000000-0008-0000-1200-0000CE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31" name="CustomShape 1">
          <a:extLst>
            <a:ext uri="{FF2B5EF4-FFF2-40B4-BE49-F238E27FC236}">
              <a16:creationId xmlns:a16="http://schemas.microsoft.com/office/drawing/2014/main" id="{00000000-0008-0000-1200-0000CF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32" name="CustomShape 1">
          <a:extLst>
            <a:ext uri="{FF2B5EF4-FFF2-40B4-BE49-F238E27FC236}">
              <a16:creationId xmlns:a16="http://schemas.microsoft.com/office/drawing/2014/main" id="{00000000-0008-0000-1200-0000D0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33" name="CustomShape 1">
          <a:extLst>
            <a:ext uri="{FF2B5EF4-FFF2-40B4-BE49-F238E27FC236}">
              <a16:creationId xmlns:a16="http://schemas.microsoft.com/office/drawing/2014/main" id="{00000000-0008-0000-1200-0000D1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234" name="CustomShape 1">
          <a:extLst>
            <a:ext uri="{FF2B5EF4-FFF2-40B4-BE49-F238E27FC236}">
              <a16:creationId xmlns:a16="http://schemas.microsoft.com/office/drawing/2014/main" id="{00000000-0008-0000-1200-0000D2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235" name="CustomShape 1">
          <a:extLst>
            <a:ext uri="{FF2B5EF4-FFF2-40B4-BE49-F238E27FC236}">
              <a16:creationId xmlns:a16="http://schemas.microsoft.com/office/drawing/2014/main" id="{00000000-0008-0000-1200-0000D3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236" name="CustomShape 1">
          <a:extLst>
            <a:ext uri="{FF2B5EF4-FFF2-40B4-BE49-F238E27FC236}">
              <a16:creationId xmlns:a16="http://schemas.microsoft.com/office/drawing/2014/main" id="{00000000-0008-0000-1200-0000D4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237" name="CustomShape 1">
          <a:extLst>
            <a:ext uri="{FF2B5EF4-FFF2-40B4-BE49-F238E27FC236}">
              <a16:creationId xmlns:a16="http://schemas.microsoft.com/office/drawing/2014/main" id="{00000000-0008-0000-1200-0000D5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238" name="CustomShape 1">
          <a:extLst>
            <a:ext uri="{FF2B5EF4-FFF2-40B4-BE49-F238E27FC236}">
              <a16:creationId xmlns:a16="http://schemas.microsoft.com/office/drawing/2014/main" id="{00000000-0008-0000-1200-0000D6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239" name="CustomShape 1">
          <a:extLst>
            <a:ext uri="{FF2B5EF4-FFF2-40B4-BE49-F238E27FC236}">
              <a16:creationId xmlns:a16="http://schemas.microsoft.com/office/drawing/2014/main" id="{00000000-0008-0000-1200-0000D704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240" name="CustomShape 1">
          <a:extLst>
            <a:ext uri="{FF2B5EF4-FFF2-40B4-BE49-F238E27FC236}">
              <a16:creationId xmlns:a16="http://schemas.microsoft.com/office/drawing/2014/main" id="{00000000-0008-0000-1200-0000D8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241" name="CustomShape 1">
          <a:extLst>
            <a:ext uri="{FF2B5EF4-FFF2-40B4-BE49-F238E27FC236}">
              <a16:creationId xmlns:a16="http://schemas.microsoft.com/office/drawing/2014/main" id="{00000000-0008-0000-1200-0000D9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242" name="CustomShape 1">
          <a:extLst>
            <a:ext uri="{FF2B5EF4-FFF2-40B4-BE49-F238E27FC236}">
              <a16:creationId xmlns:a16="http://schemas.microsoft.com/office/drawing/2014/main" id="{00000000-0008-0000-1200-0000DA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243" name="CustomShape 1">
          <a:extLst>
            <a:ext uri="{FF2B5EF4-FFF2-40B4-BE49-F238E27FC236}">
              <a16:creationId xmlns:a16="http://schemas.microsoft.com/office/drawing/2014/main" id="{00000000-0008-0000-1200-0000DB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244" name="CustomShape 1">
          <a:extLst>
            <a:ext uri="{FF2B5EF4-FFF2-40B4-BE49-F238E27FC236}">
              <a16:creationId xmlns:a16="http://schemas.microsoft.com/office/drawing/2014/main" id="{00000000-0008-0000-1200-0000DC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117000</xdr:rowOff>
    </xdr:to>
    <xdr:sp macro="" textlink="">
      <xdr:nvSpPr>
        <xdr:cNvPr id="1245" name="CustomShape 1">
          <a:extLst>
            <a:ext uri="{FF2B5EF4-FFF2-40B4-BE49-F238E27FC236}">
              <a16:creationId xmlns:a16="http://schemas.microsoft.com/office/drawing/2014/main" id="{00000000-0008-0000-1200-0000DD040000}"/>
            </a:ext>
          </a:extLst>
        </xdr:cNvPr>
        <xdr:cNvSpPr/>
      </xdr:nvSpPr>
      <xdr:spPr>
        <a:xfrm>
          <a:off x="0" y="2047680"/>
          <a:ext cx="117000" cy="1170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46" name="CustomShape 1">
          <a:extLst>
            <a:ext uri="{FF2B5EF4-FFF2-40B4-BE49-F238E27FC236}">
              <a16:creationId xmlns:a16="http://schemas.microsoft.com/office/drawing/2014/main" id="{00000000-0008-0000-1200-0000DE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47" name="CustomShape 1">
          <a:extLst>
            <a:ext uri="{FF2B5EF4-FFF2-40B4-BE49-F238E27FC236}">
              <a16:creationId xmlns:a16="http://schemas.microsoft.com/office/drawing/2014/main" id="{00000000-0008-0000-1200-0000DF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48" name="CustomShape 1">
          <a:extLst>
            <a:ext uri="{FF2B5EF4-FFF2-40B4-BE49-F238E27FC236}">
              <a16:creationId xmlns:a16="http://schemas.microsoft.com/office/drawing/2014/main" id="{00000000-0008-0000-1200-0000E0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49" name="CustomShape 1">
          <a:extLst>
            <a:ext uri="{FF2B5EF4-FFF2-40B4-BE49-F238E27FC236}">
              <a16:creationId xmlns:a16="http://schemas.microsoft.com/office/drawing/2014/main" id="{00000000-0008-0000-1200-0000E1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50" name="CustomShape 1">
          <a:extLst>
            <a:ext uri="{FF2B5EF4-FFF2-40B4-BE49-F238E27FC236}">
              <a16:creationId xmlns:a16="http://schemas.microsoft.com/office/drawing/2014/main" id="{00000000-0008-0000-1200-0000E2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51" name="CustomShape 1">
          <a:extLst>
            <a:ext uri="{FF2B5EF4-FFF2-40B4-BE49-F238E27FC236}">
              <a16:creationId xmlns:a16="http://schemas.microsoft.com/office/drawing/2014/main" id="{00000000-0008-0000-1200-0000E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52" name="CustomShape 1">
          <a:extLst>
            <a:ext uri="{FF2B5EF4-FFF2-40B4-BE49-F238E27FC236}">
              <a16:creationId xmlns:a16="http://schemas.microsoft.com/office/drawing/2014/main" id="{00000000-0008-0000-1200-0000E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53" name="CustomShape 1">
          <a:extLst>
            <a:ext uri="{FF2B5EF4-FFF2-40B4-BE49-F238E27FC236}">
              <a16:creationId xmlns:a16="http://schemas.microsoft.com/office/drawing/2014/main" id="{00000000-0008-0000-1200-0000E5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54" name="CustomShape 1">
          <a:extLst>
            <a:ext uri="{FF2B5EF4-FFF2-40B4-BE49-F238E27FC236}">
              <a16:creationId xmlns:a16="http://schemas.microsoft.com/office/drawing/2014/main" id="{00000000-0008-0000-1200-0000E6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55" name="CustomShape 1">
          <a:extLst>
            <a:ext uri="{FF2B5EF4-FFF2-40B4-BE49-F238E27FC236}">
              <a16:creationId xmlns:a16="http://schemas.microsoft.com/office/drawing/2014/main" id="{00000000-0008-0000-1200-0000E7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56" name="CustomShape 1">
          <a:extLst>
            <a:ext uri="{FF2B5EF4-FFF2-40B4-BE49-F238E27FC236}">
              <a16:creationId xmlns:a16="http://schemas.microsoft.com/office/drawing/2014/main" id="{00000000-0008-0000-1200-0000E8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57" name="CustomShape 1">
          <a:extLst>
            <a:ext uri="{FF2B5EF4-FFF2-40B4-BE49-F238E27FC236}">
              <a16:creationId xmlns:a16="http://schemas.microsoft.com/office/drawing/2014/main" id="{00000000-0008-0000-1200-0000E9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58" name="CustomShape 1">
          <a:extLst>
            <a:ext uri="{FF2B5EF4-FFF2-40B4-BE49-F238E27FC236}">
              <a16:creationId xmlns:a16="http://schemas.microsoft.com/office/drawing/2014/main" id="{00000000-0008-0000-1200-0000EA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59" name="CustomShape 1">
          <a:extLst>
            <a:ext uri="{FF2B5EF4-FFF2-40B4-BE49-F238E27FC236}">
              <a16:creationId xmlns:a16="http://schemas.microsoft.com/office/drawing/2014/main" id="{00000000-0008-0000-1200-0000EB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60" name="CustomShape 1">
          <a:extLst>
            <a:ext uri="{FF2B5EF4-FFF2-40B4-BE49-F238E27FC236}">
              <a16:creationId xmlns:a16="http://schemas.microsoft.com/office/drawing/2014/main" id="{00000000-0008-0000-1200-0000EC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61" name="CustomShape 1">
          <a:extLst>
            <a:ext uri="{FF2B5EF4-FFF2-40B4-BE49-F238E27FC236}">
              <a16:creationId xmlns:a16="http://schemas.microsoft.com/office/drawing/2014/main" id="{00000000-0008-0000-1200-0000ED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62" name="CustomShape 1">
          <a:extLst>
            <a:ext uri="{FF2B5EF4-FFF2-40B4-BE49-F238E27FC236}">
              <a16:creationId xmlns:a16="http://schemas.microsoft.com/office/drawing/2014/main" id="{00000000-0008-0000-1200-0000EE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63" name="CustomShape 1">
          <a:extLst>
            <a:ext uri="{FF2B5EF4-FFF2-40B4-BE49-F238E27FC236}">
              <a16:creationId xmlns:a16="http://schemas.microsoft.com/office/drawing/2014/main" id="{00000000-0008-0000-1200-0000EF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64" name="CustomShape 1">
          <a:extLst>
            <a:ext uri="{FF2B5EF4-FFF2-40B4-BE49-F238E27FC236}">
              <a16:creationId xmlns:a16="http://schemas.microsoft.com/office/drawing/2014/main" id="{00000000-0008-0000-1200-0000F0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65" name="CustomShape 1">
          <a:extLst>
            <a:ext uri="{FF2B5EF4-FFF2-40B4-BE49-F238E27FC236}">
              <a16:creationId xmlns:a16="http://schemas.microsoft.com/office/drawing/2014/main" id="{00000000-0008-0000-1200-0000F1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66" name="CustomShape 1">
          <a:extLst>
            <a:ext uri="{FF2B5EF4-FFF2-40B4-BE49-F238E27FC236}">
              <a16:creationId xmlns:a16="http://schemas.microsoft.com/office/drawing/2014/main" id="{00000000-0008-0000-1200-0000F2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67" name="CustomShape 1">
          <a:extLst>
            <a:ext uri="{FF2B5EF4-FFF2-40B4-BE49-F238E27FC236}">
              <a16:creationId xmlns:a16="http://schemas.microsoft.com/office/drawing/2014/main" id="{00000000-0008-0000-1200-0000F3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68" name="CustomShape 1">
          <a:extLst>
            <a:ext uri="{FF2B5EF4-FFF2-40B4-BE49-F238E27FC236}">
              <a16:creationId xmlns:a16="http://schemas.microsoft.com/office/drawing/2014/main" id="{00000000-0008-0000-1200-0000F4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69" name="CustomShape 1">
          <a:extLst>
            <a:ext uri="{FF2B5EF4-FFF2-40B4-BE49-F238E27FC236}">
              <a16:creationId xmlns:a16="http://schemas.microsoft.com/office/drawing/2014/main" id="{00000000-0008-0000-1200-0000F5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70" name="CustomShape 1">
          <a:extLst>
            <a:ext uri="{FF2B5EF4-FFF2-40B4-BE49-F238E27FC236}">
              <a16:creationId xmlns:a16="http://schemas.microsoft.com/office/drawing/2014/main" id="{00000000-0008-0000-1200-0000F6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71" name="CustomShape 1">
          <a:extLst>
            <a:ext uri="{FF2B5EF4-FFF2-40B4-BE49-F238E27FC236}">
              <a16:creationId xmlns:a16="http://schemas.microsoft.com/office/drawing/2014/main" id="{00000000-0008-0000-1200-0000F7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72" name="CustomShape 1">
          <a:extLst>
            <a:ext uri="{FF2B5EF4-FFF2-40B4-BE49-F238E27FC236}">
              <a16:creationId xmlns:a16="http://schemas.microsoft.com/office/drawing/2014/main" id="{00000000-0008-0000-1200-0000F8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73" name="CustomShape 1">
          <a:extLst>
            <a:ext uri="{FF2B5EF4-FFF2-40B4-BE49-F238E27FC236}">
              <a16:creationId xmlns:a16="http://schemas.microsoft.com/office/drawing/2014/main" id="{00000000-0008-0000-1200-0000F9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74" name="CustomShape 1">
          <a:extLst>
            <a:ext uri="{FF2B5EF4-FFF2-40B4-BE49-F238E27FC236}">
              <a16:creationId xmlns:a16="http://schemas.microsoft.com/office/drawing/2014/main" id="{00000000-0008-0000-1200-0000FA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75" name="CustomShape 1">
          <a:extLst>
            <a:ext uri="{FF2B5EF4-FFF2-40B4-BE49-F238E27FC236}">
              <a16:creationId xmlns:a16="http://schemas.microsoft.com/office/drawing/2014/main" id="{00000000-0008-0000-1200-0000FB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76" name="CustomShape 1">
          <a:extLst>
            <a:ext uri="{FF2B5EF4-FFF2-40B4-BE49-F238E27FC236}">
              <a16:creationId xmlns:a16="http://schemas.microsoft.com/office/drawing/2014/main" id="{00000000-0008-0000-1200-0000FC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77" name="CustomShape 1">
          <a:extLst>
            <a:ext uri="{FF2B5EF4-FFF2-40B4-BE49-F238E27FC236}">
              <a16:creationId xmlns:a16="http://schemas.microsoft.com/office/drawing/2014/main" id="{00000000-0008-0000-1200-0000FD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78" name="CustomShape 1">
          <a:extLst>
            <a:ext uri="{FF2B5EF4-FFF2-40B4-BE49-F238E27FC236}">
              <a16:creationId xmlns:a16="http://schemas.microsoft.com/office/drawing/2014/main" id="{00000000-0008-0000-1200-0000FE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79" name="CustomShape 1">
          <a:extLst>
            <a:ext uri="{FF2B5EF4-FFF2-40B4-BE49-F238E27FC236}">
              <a16:creationId xmlns:a16="http://schemas.microsoft.com/office/drawing/2014/main" id="{00000000-0008-0000-1200-0000FF04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80" name="CustomShape 1">
          <a:extLst>
            <a:ext uri="{FF2B5EF4-FFF2-40B4-BE49-F238E27FC236}">
              <a16:creationId xmlns:a16="http://schemas.microsoft.com/office/drawing/2014/main" id="{00000000-0008-0000-1200-00000005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81" name="CustomShape 1">
          <a:extLst>
            <a:ext uri="{FF2B5EF4-FFF2-40B4-BE49-F238E27FC236}">
              <a16:creationId xmlns:a16="http://schemas.microsoft.com/office/drawing/2014/main" id="{00000000-0008-0000-1200-00000105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107640</xdr:rowOff>
    </xdr:to>
    <xdr:sp macro="" textlink="">
      <xdr:nvSpPr>
        <xdr:cNvPr id="1282" name="CustomShape 1">
          <a:extLst>
            <a:ext uri="{FF2B5EF4-FFF2-40B4-BE49-F238E27FC236}">
              <a16:creationId xmlns:a16="http://schemas.microsoft.com/office/drawing/2014/main" id="{00000000-0008-0000-1200-000002050000}"/>
            </a:ext>
          </a:extLst>
        </xdr:cNvPr>
        <xdr:cNvSpPr/>
      </xdr:nvSpPr>
      <xdr:spPr>
        <a:xfrm>
          <a:off x="0" y="2047680"/>
          <a:ext cx="117000" cy="10764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283" name="CustomShape 1">
          <a:extLst>
            <a:ext uri="{FF2B5EF4-FFF2-40B4-BE49-F238E27FC236}">
              <a16:creationId xmlns:a16="http://schemas.microsoft.com/office/drawing/2014/main" id="{00000000-0008-0000-1200-00000305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284" name="CustomShape 1">
          <a:extLst>
            <a:ext uri="{FF2B5EF4-FFF2-40B4-BE49-F238E27FC236}">
              <a16:creationId xmlns:a16="http://schemas.microsoft.com/office/drawing/2014/main" id="{00000000-0008-0000-1200-00000405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285" name="CustomShape 1">
          <a:extLst>
            <a:ext uri="{FF2B5EF4-FFF2-40B4-BE49-F238E27FC236}">
              <a16:creationId xmlns:a16="http://schemas.microsoft.com/office/drawing/2014/main" id="{00000000-0008-0000-1200-00000505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286" name="CustomShape 1">
          <a:extLst>
            <a:ext uri="{FF2B5EF4-FFF2-40B4-BE49-F238E27FC236}">
              <a16:creationId xmlns:a16="http://schemas.microsoft.com/office/drawing/2014/main" id="{00000000-0008-0000-1200-00000605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287" name="CustomShape 1">
          <a:extLst>
            <a:ext uri="{FF2B5EF4-FFF2-40B4-BE49-F238E27FC236}">
              <a16:creationId xmlns:a16="http://schemas.microsoft.com/office/drawing/2014/main" id="{00000000-0008-0000-1200-00000705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10</xdr:row>
      <xdr:rowOff>0</xdr:rowOff>
    </xdr:from>
    <xdr:to>
      <xdr:col>0</xdr:col>
      <xdr:colOff>117000</xdr:colOff>
      <xdr:row>10</xdr:row>
      <xdr:rowOff>126360</xdr:rowOff>
    </xdr:to>
    <xdr:sp macro="" textlink="">
      <xdr:nvSpPr>
        <xdr:cNvPr id="1288" name="CustomShape 1">
          <a:extLst>
            <a:ext uri="{FF2B5EF4-FFF2-40B4-BE49-F238E27FC236}">
              <a16:creationId xmlns:a16="http://schemas.microsoft.com/office/drawing/2014/main" id="{00000000-0008-0000-1200-000008050000}"/>
            </a:ext>
          </a:extLst>
        </xdr:cNvPr>
        <xdr:cNvSpPr/>
      </xdr:nvSpPr>
      <xdr:spPr>
        <a:xfrm>
          <a:off x="0" y="2047680"/>
          <a:ext cx="117000" cy="126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95400</xdr:colOff>
      <xdr:row>3</xdr:row>
      <xdr:rowOff>104760</xdr:rowOff>
    </xdr:from>
    <xdr:to>
      <xdr:col>6</xdr:col>
      <xdr:colOff>393480</xdr:colOff>
      <xdr:row>5</xdr:row>
      <xdr:rowOff>88560</xdr:rowOff>
    </xdr:to>
    <xdr:sp macro="" textlink="">
      <xdr:nvSpPr>
        <xdr:cNvPr id="1289" name="CustomShape 1">
          <a:extLst>
            <a:ext uri="{FF2B5EF4-FFF2-40B4-BE49-F238E27FC236}">
              <a16:creationId xmlns:a16="http://schemas.microsoft.com/office/drawing/2014/main" id="{00000000-0008-0000-1900-000009050000}"/>
            </a:ext>
          </a:extLst>
        </xdr:cNvPr>
        <xdr:cNvSpPr/>
      </xdr:nvSpPr>
      <xdr:spPr>
        <a:xfrm>
          <a:off x="9973800" y="647640"/>
          <a:ext cx="298080" cy="34560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editAs="oneCell">
    <xdr:from>
      <xdr:col>6</xdr:col>
      <xdr:colOff>95400</xdr:colOff>
      <xdr:row>6</xdr:row>
      <xdr:rowOff>104760</xdr:rowOff>
    </xdr:from>
    <xdr:to>
      <xdr:col>6</xdr:col>
      <xdr:colOff>393480</xdr:colOff>
      <xdr:row>8</xdr:row>
      <xdr:rowOff>88560</xdr:rowOff>
    </xdr:to>
    <xdr:sp macro="" textlink="">
      <xdr:nvSpPr>
        <xdr:cNvPr id="1290" name="CustomShape 1">
          <a:extLst>
            <a:ext uri="{FF2B5EF4-FFF2-40B4-BE49-F238E27FC236}">
              <a16:creationId xmlns:a16="http://schemas.microsoft.com/office/drawing/2014/main" id="{00000000-0008-0000-1900-00000A050000}"/>
            </a:ext>
          </a:extLst>
        </xdr:cNvPr>
        <xdr:cNvSpPr/>
      </xdr:nvSpPr>
      <xdr:spPr>
        <a:xfrm>
          <a:off x="9973800" y="1190520"/>
          <a:ext cx="298080" cy="345600"/>
        </a:xfrm>
        <a:prstGeom prst="rect">
          <a:avLst/>
        </a:prstGeom>
        <a:noFill/>
        <a:ln>
          <a:noFill/>
        </a:ln>
      </xdr:spPr>
      <xdr:style>
        <a:lnRef idx="0">
          <a:scrgbClr r="0" g="0" b="0"/>
        </a:lnRef>
        <a:fillRef idx="0">
          <a:scrgbClr r="0" g="0" b="0"/>
        </a:fillRef>
        <a:effectRef idx="0">
          <a:scrgbClr r="0" g="0" b="0"/>
        </a:effectRef>
        <a:fontRef idx="minor"/>
      </xdr:style>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_clarek/My%20Documents/Projects/Templates/FINAL%20Run%20Book%20Wave%200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Users/IBM_ADMIN/Desktop/TAC_WorkSafe_Latest/Runbook_New/Desktop/DCCM/AIA/AIA_MIGRATION/HK_Migration/HK_Storage_Migration/SSHK_PROD/AIA%20IP%20Address%20Assignment%20Request_SSHK&amp;GHR_PRD%20-%20Jack%20V20170726c_update.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mqoutlook.sharepoint.com/SMBHOST/02%20Design/Compute%20Workloads/Compute%20to%20Application%20Mapping%20v4.6.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acchine/AAAAAA-Neovia/MIGRATION%20EXECUTION/C3-M2%20MCF%20-%20FINAL%20PLAN%20ISSUANCE/MCFx%20-%20Master%20Plan%20-%20Neovia%20MF%20Cutover%20Plan%20Wave%203%20MOCK%202%20(MCF-A-E-S)%20v1.0%20(Master%209-28-14).xlsx" TargetMode="External"/></Relationships>
</file>

<file path=xl/externalLinks/_rels/externalLink5.xml.rels><?xml version="1.0" encoding="UTF-8" standalone="yes"?>
<Relationships xmlns="http://schemas.openxmlformats.org/package/2006/relationships"><Relationship Id="rId2" Type="http://schemas.microsoft.com/office/2019/04/relationships/externalLinkLongPath" Target="/DOCUME~1/ADMINI~1/LOCALS~1/Temp/notes32C5CD/notesEA312D/notesEA312D/notesEA312D/notesEA312D/notesEA312D/IBMRPM/38444139343831433243434534303345/notesEA312D/notesEA312D/FC%20Zone%20Config%20v5.xls?65183A3E" TargetMode="External"/><Relationship Id="rId1" Type="http://schemas.openxmlformats.org/officeDocument/2006/relationships/externalLinkPath" Target="file:///\\65183A3E\FC%20Zone%20Config%20v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myplace.wamu.net/C5/C0/The%20Atlas%20Methodology%20Center/Document%20Library/Risk%20Assessment%20form.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C://Users/SudhindraSrinivasamu/Downloads/Users/LENNEUHOFF/Documents/TACWorksafe/11%20Run%20book/Netapp%20Migration%20Template%20-%20Workplace%20Data%20vFilers-v11.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Z://Swapan%20IBM%20Documents/BARWON/Hansen/RunBook/Users/IBM_AD~1/AppData/Local/Temp/notes32C5CD/AIA%20IP%20Address%20Assignment%20Request%20-%20AD%20KLDC%20&amp;%20STDC%20Move%20-%20Ron%20V20170607a.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nts%20and%20Settings/_clarek/My%20Documents/Projects/Replanning/SAN%20Upgrade%20Runbook.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Share/Chubb/SVCtoXIV/Chubb%20Phase%202%20Wave%201-4%20Server%20List%2010OCT18.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Z://Swapan%20IBM%20Documents/BARWON/Hansen/RunBook/Users/LENNEUHOFF/Documents/TACWorksafe/11%20Run%20book/Netapp%20Migration%20Template%20-%20Workplace%20Data%20vFilers-v11.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C://Users/SudhindraSrinivasamu/Downloads/Users/IBM_AD~1/AppData/Local/Temp/notes32C5CD/AIA%20IP%20Address%20Assignment%20Request%20-%20AD%20KLDC%20&amp;%20STDC%20Move%20-%20Ron%20V20170607a.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Documents%20and%20Settings/Administrator/My%20Documents/DOCUME~1/ADMINI~1/LOCALS~1/Temp/notesEA312D/Baxter_PADSMRT+Requirements_Wave2_05_23_09_v2.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Users/IBM_ADMIN/Documents/ALLIANZ/1-FFIC/Architecture/AZFF%20DCC%20Edison%20migration%20order%20with%20IP%20infov4%20Julio%20(2015-06-16).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Users/OLMANFERNANDOVILLALO/Desktop/CHUBB/CHUBB/CURRENT%20DOCS/CHUBB%20Remaining%20Waves%20IP%20asignation%20v3.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Users/IBM_AD~1/AppData/Local/Temp/notes97E53A/Chubb-Chubb-WAVE_1B-SAF-20181019_1951.xls" TargetMode="External"/></Relationships>
</file>

<file path=xl/externalLinks/_rels/externalLink17.xml.rels><?xml version="1.0" encoding="UTF-8" standalone="yes"?>
<Relationships xmlns="http://schemas.openxmlformats.org/package/2006/relationships"><Relationship Id="rId2" Type="http://schemas.openxmlformats.org/officeDocument/2006/relationships/externalLinkPath" Target="https://kyndryl.sharepoint.com/sites/AnthemMigrationTeam/Shared%20Documents/General/09.%20ADAI%20Go-Live%20Cutover%20Runbooks/MIGRATION%20EVENTS%20-%20HARRISONBURG%20&amp;%20RICHMOND/MEATST/PM/EH-MEAxxx-PM-MEW-Template-V1.36.xlsm" TargetMode="External"/><Relationship Id="rId1" Type="http://schemas.openxmlformats.org/officeDocument/2006/relationships/externalLinkPath" Target="/sites/AnthemMigrationTeam/Shared%20Documents/General/09.%20ADAI%20Go-Live%20Cutover%20Runbooks/MIGRATION%20EVENTS%20-%20HARRISONBURG%20&amp;%20RICHMOND/MEATST/PM/EH-MEAxxx-PM-MEW-Template-V1.36.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vmware-host/Shared%20Folders/Documents%20and%20Settings/u179213/Local%20Settings/Temporary%20Internet%20Files/OLK594/Occasio%20Equipment%20Take%20Off%20List%202%201%20(2).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Users/LeonardoZumbadoCampo/Documents/Transiton_Transformation/ARMITSA/RunBooks_X_P_Series/WaveO3_RB_Oct09/ScotiaBank%20MIGRATION%20RUNBOOK%20Wave%20O3%20Draft%20Ver%205.xlsx"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Users/LeonardoZumbadoCampo/Documents/Transiton_Transformation/ARMITSA/RunBooks_X_P_Series/Wave12_RB_Aug08/JAV_Scotiabank%20MIGRATION%20RUNBOOK%20Wave%2012_v20.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notes/data/notes97E53A/_Century%20Link/Admin/Wave%20Plan%20Review%20Contact%20List.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Users/IBM_AD~1/AppData/Local/Temp/notes97E53A/Source%20To%20Target%20DetailsWave%201B.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Users/OLMANFERNANDOVILLALO/Desktop/CHUBB/CHUBB/CURRENT%20DOCS/ALL%20Waves%20IP%20Asignation%2010-22-2018.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Documents%20and%20Settings/Administrator/My%20Documents/DOCUME~1/ADMINI~1/LOCALS~1/Temp/notes97E53A/DOCUME~1/jk744v/LOCALS~1/Temp/notes6030C8/PADSMRT%20Requirements%20V2%2051_TestPortal.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vmware-host/Shared%20Folders/Documents%20and%20Settings/u138741/Local%20Settings/Temporary%20Internet%20Files/OLK35/Site%20Material%202.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Users/MELANIAMARIAGUTIERRE/Desktop/Desktop/BNS%20-%20ScotiaBank/ScotiaBank%20MIGRATION%20RUNBOOK%20Wave_S6.5_CutOver_v7%20(1).xlsm"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Users/IBM_AD~1/AppData/Local/Temp/notes32C5CD/DNS%20MDS%20-%20SCI%20-%20PROD%20v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Page"/>
      <sheetName val="Legend"/>
      <sheetName val="Overview"/>
      <sheetName val="1_ Relo Migration Prerequisites"/>
      <sheetName val="2_ Migration Sched"/>
      <sheetName val="2A_ Oracle Migration Sched"/>
      <sheetName val="2B_SQL Migration"/>
      <sheetName val="2C_QUALYS Scanner"/>
      <sheetName val="3_ Server List _ Full"/>
      <sheetName val="3a_ SS Inventory Updates"/>
      <sheetName val="4_ Contingency"/>
      <sheetName val="5_ Backout"/>
      <sheetName val="6_ Checkpoint Calls "/>
      <sheetName val="7_ Communication Plan"/>
      <sheetName val="8_ Coverage"/>
      <sheetName val="9_ Process"/>
      <sheetName val="10_Contacts List"/>
      <sheetName val="11_ Migration Checklists"/>
      <sheetName val="12_ Anomolies "/>
      <sheetName val="13_ ICC Records"/>
      <sheetName val="14_ Status Tracking "/>
      <sheetName val="15_ Status Distribution List"/>
      <sheetName val="16_ SDM Responsibility Matrix"/>
      <sheetName val="17_  Database Information"/>
      <sheetName val="Validation"/>
      <sheetName val="Validation Rules"/>
      <sheetName val="Descriptions"/>
      <sheetName val="xSeries VLA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s"/>
      <sheetName val="Request Template"/>
      <sheetName val="Legend &amp; Instructions"/>
      <sheetName val="Hints"/>
      <sheetName val="Version Control"/>
      <sheetName val="Platform Specifications"/>
      <sheetName val="SSDC HK - AIA Hosts"/>
      <sheetName val="7_ communication plan"/>
    </sheetNames>
    <sheetDataSet>
      <sheetData sheetId="0"/>
      <sheetData sheetId="1"/>
      <sheetData sheetId="2"/>
      <sheetData sheetId="3"/>
      <sheetData sheetId="4"/>
      <sheetData sheetId="5"/>
      <sheetData sheetId="6"/>
      <sheetData sheetId="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 FIRST"/>
      <sheetName val="MASTER"/>
      <sheetName val="Decomm Servers"/>
      <sheetName val="Info"/>
      <sheetName val="CHO STG LUN"/>
      <sheetName val="Pivot"/>
      <sheetName val="CHO Powered Off VMs"/>
      <sheetName val="AC3 Powered Off VMs"/>
      <sheetName val="HANA Move Groups"/>
      <sheetName val="ORACLE Move Groups"/>
      <sheetName val="Sheet3"/>
      <sheetName val="Data"/>
      <sheetName val="Lists"/>
      <sheetName val="Scop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
      <sheetName val="Purpose-Audience"/>
      <sheetName val="Communication Plan"/>
      <sheetName val="Comm Diagram"/>
      <sheetName val="Mock-Prod Cut Over Plan"/>
      <sheetName val="Prod Cutover Plan "/>
      <sheetName val="Header Page 1"/>
      <sheetName val="Contact List"/>
      <sheetName val="Staffing by Day"/>
      <sheetName val="Staffing By Company"/>
      <sheetName val="CICS Regions List"/>
      <sheetName val="Timeline Wave3 "/>
      <sheetName val="Timeline 1am start"/>
      <sheetName val="DMI vs Mig Plan"/>
      <sheetName val="Last 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Zone Config"/>
      <sheetName val="DBFabricA"/>
      <sheetName val="DBFabricB"/>
      <sheetName val="Mappings"/>
      <sheetName val="vdisks"/>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dministration"/>
      <sheetName val="Risk Categories"/>
      <sheetName val="Risk Approaches"/>
      <sheetName val="Risk Assessment"/>
      <sheetName val="B1"/>
      <sheetName val="B2"/>
      <sheetName val="B3"/>
      <sheetName val="B4"/>
      <sheetName val="B5"/>
      <sheetName val="B6"/>
      <sheetName val="B7"/>
      <sheetName val="B8"/>
      <sheetName val="B9"/>
      <sheetName val="B10"/>
      <sheetName val="T1"/>
      <sheetName val="T2"/>
      <sheetName val="T3"/>
      <sheetName val="T4"/>
      <sheetName val="T5"/>
      <sheetName val="T6"/>
      <sheetName val="T7"/>
      <sheetName val="T8"/>
      <sheetName val="T9"/>
      <sheetName val="T10"/>
      <sheetName val="Mappings"/>
      <sheetName val="DBFabricB"/>
      <sheetName val="Mock-Prod Cut Over Plan"/>
      <sheetName val="7_ communication plan"/>
      <sheetName val="Info"/>
      <sheetName val="Lists"/>
      <sheetName val="Color"/>
      <sheetName val="2 _ Contact Inf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ope"/>
      <sheetName val="Shares"/>
      <sheetName val="PreCheck"/>
      <sheetName val="DR-Setup"/>
      <sheetName val="Backups-Setup"/>
      <sheetName val="Backout"/>
      <sheetName val="Wintel-UAT"/>
      <sheetName val="RunSheet"/>
      <sheetName val="Reference"/>
      <sheetName val="Lists"/>
      <sheetName val="title page"/>
      <sheetName val="run book overview"/>
      <sheetName val="Administration"/>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s"/>
      <sheetName val="Request Template"/>
      <sheetName val="Legend &amp; Instructions"/>
      <sheetName val="Version Control"/>
      <sheetName val="Platform Specifications"/>
      <sheetName val="SSDC HK - AIA Hosts"/>
    </sheetNames>
    <sheetDataSet>
      <sheetData sheetId="0"/>
      <sheetData sheetId="1"/>
      <sheetData sheetId="2"/>
      <sheetData sheetId="3"/>
      <sheetData sheetId="4"/>
      <sheetData sheetId="5"/>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Page"/>
      <sheetName val="Run Book Overview"/>
      <sheetName val="Asset Inventory"/>
      <sheetName val="Communication Plan"/>
      <sheetName val="ERP"/>
      <sheetName val="DataStage"/>
      <sheetName val="Websphere"/>
      <sheetName val="Webmethods"/>
      <sheetName val="Sharepoint"/>
      <sheetName val="FAST"/>
      <sheetName val="AIP"/>
      <sheetName val="Change Control Management"/>
      <sheetName val="Contact List"/>
      <sheetName val="Backout Steps"/>
      <sheetName val="Anomali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AVE 1"/>
      <sheetName val="old WAVE 1A"/>
      <sheetName val="new wave 1a"/>
      <sheetName val="WAV1B"/>
      <sheetName val="old  WAVE 1B"/>
      <sheetName val="old wave 1b_2"/>
      <sheetName val="new wave 1b"/>
      <sheetName val="Wave 2A"/>
      <sheetName val="WAVE2B"/>
      <sheetName val="Sheet1"/>
      <sheetName val="SVC"/>
      <sheetName val="DATASTORES"/>
      <sheetName val="Administration"/>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ope"/>
      <sheetName val="Shares"/>
      <sheetName val="PreCheck"/>
      <sheetName val="DR-Setup"/>
      <sheetName val="Backups-Setup"/>
      <sheetName val="Backout"/>
      <sheetName val="Wintel-UAT"/>
      <sheetName val="RunSheet"/>
      <sheetName val="Reference"/>
      <sheetName val="Lists"/>
      <sheetName val="Info"/>
      <sheetName val="7_ communication plan"/>
      <sheetName val="title page"/>
      <sheetName val="run book overvi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s"/>
      <sheetName val="Request Template"/>
      <sheetName val="Legend &amp; Instructions"/>
      <sheetName val="Version Control"/>
      <sheetName val="Platform Specifications"/>
      <sheetName val="SSDC HK - AIA Hosts"/>
      <sheetName val="Scope"/>
      <sheetName val="Mock-Prod Cut Over Plan"/>
      <sheetName val="Data"/>
      <sheetName val="DATASTORES"/>
      <sheetName val="SVC"/>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 _ Contact Info"/>
    </sheetNames>
    <sheetDataSet>
      <sheetData sheetId="0"/>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
      <sheetName val="EDI Order"/>
      <sheetName val="info"/>
      <sheetName val="Sheet2"/>
      <sheetName val="Component"/>
    </sheetNames>
    <sheetDataSet>
      <sheetData sheetId="0"/>
      <sheetData sheetId="1"/>
      <sheetData sheetId="2"/>
      <sheetData sheetId="3"/>
      <sheetData sheetId="4"/>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Filtered"/>
      <sheetName val="Sheet4"/>
      <sheetName val="verif"/>
    </sheetNames>
    <sheetDataSet>
      <sheetData sheetId="0"/>
      <sheetData sheetId="1"/>
      <sheetData sheetId="2"/>
      <sheetData sheetId="3"/>
      <sheetData sheetId="4"/>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Applications"/>
      <sheetName val="Devices"/>
      <sheetName val="Databases"/>
      <sheetName val="Storage"/>
      <sheetName val="Dependencies"/>
      <sheetName val="Room"/>
      <sheetName val="Rack"/>
      <sheetName val="Cabling"/>
      <sheetName val="Comments"/>
      <sheetName val="Validation"/>
      <sheetName val="2 _ Contact Info"/>
    </sheetNames>
    <sheetDataSet>
      <sheetData sheetId="0"/>
      <sheetData sheetId="1"/>
      <sheetData sheetId="2"/>
      <sheetData sheetId="3"/>
      <sheetData sheetId="4"/>
      <sheetData sheetId="5"/>
      <sheetData sheetId="6"/>
      <sheetData sheetId="7"/>
      <sheetData sheetId="8"/>
      <sheetData sheetId="9"/>
      <sheetData sheetId="10"/>
      <sheetData sheetId="11"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MWorkbook"/>
      <sheetName val="AppSum"/>
      <sheetName val="PMView"/>
      <sheetName val="Event Scope"/>
      <sheetName val="TM"/>
      <sheetName val="Applications"/>
      <sheetName val="Dependencies"/>
      <sheetName val="Affinities"/>
      <sheetName val="CS-Stacks"/>
      <sheetName val="AppSupStaff"/>
      <sheetName val="IntroMsg"/>
      <sheetName val="AAQMsg"/>
      <sheetName val="Info"/>
      <sheetName val="config"/>
      <sheetName val="TransitionManager"/>
      <sheetName val="WorkbookLists"/>
    </sheetNames>
    <sheetDataSet>
      <sheetData sheetId="0">
        <row r="2">
          <cell r="B2" t="str">
            <v>MEA001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ndle Xref List"/>
      <sheetName val="&gt;Read Me&lt;"/>
      <sheetName val="FC Take-Off Master"/>
      <sheetName val="Item Order List "/>
      <sheetName val="Project Spares"/>
    </sheetNames>
    <sheetDataSet>
      <sheetData sheetId="0" refreshError="1"/>
      <sheetData sheetId="1" refreshError="1"/>
      <sheetData sheetId="2" refreshError="1"/>
      <sheetData sheetId="3" refreshError="1"/>
      <sheetData sheetId="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vigator"/>
      <sheetName val="Summary"/>
      <sheetName val="Command Center"/>
      <sheetName val="Contact List"/>
      <sheetName val="Issue Sheet"/>
      <sheetName val="Lessons Learned"/>
      <sheetName val="Communication Plan"/>
      <sheetName val="Change Records"/>
      <sheetName val="Glossary"/>
      <sheetName val="Server Pivot "/>
      <sheetName val="Server Info"/>
      <sheetName val="App Chklist"/>
      <sheetName val="Shut-Start Sequence"/>
      <sheetName val="Health Checks"/>
      <sheetName val="AX V2V RAC DG Pre-Migr"/>
      <sheetName val="AIX Power HAXD Non-Prd Pre-Migr"/>
      <sheetName val="AIX V2V CrossSite GPFS Pre-Migr"/>
      <sheetName val="AIX V2V IBM_DB2_HADR.Pre-Migr"/>
      <sheetName val="AIX_V2V. Pre-mig"/>
      <sheetName val="AIX P2P Pre-mig"/>
      <sheetName val="Intel_V2V.Pre-mig"/>
      <sheetName val="Intel P2P Standalone.Pre-Migr"/>
      <sheetName val="Pre-Mig (Checklist)"/>
      <sheetName val="Dashboard"/>
      <sheetName val="AX V2V RAC DG Hy by Hr"/>
      <sheetName val="AIX Power HAXD Non-Prd Hy by Hr"/>
      <sheetName val="AIX V2V CrossSite GPFS Hr by Hr"/>
      <sheetName val="AIX V2V_IBM_DB2_HADR.Cutover"/>
      <sheetName val="Intel P2P Standalone Hr by Hr"/>
      <sheetName val="ES Timeline"/>
      <sheetName val="AIX_V2V Standalone HxH"/>
      <sheetName val="AIX P2P HxH"/>
      <sheetName val="Intel_V2V HxH"/>
      <sheetName val="AIX_V2V.Post-migration_Steps"/>
      <sheetName val="AX V2V RAC DG Post-Migr"/>
      <sheetName val="AIX V2V CrossSite GPFS Post-Mig"/>
      <sheetName val="AIX Power HAXD Non-Prd Post-Mig"/>
      <sheetName val="AIX V2V IBM_DB2_HADR.Post-Migr"/>
      <sheetName val="AIX_P2P_Post-migration-Steps"/>
      <sheetName val="Intel_V2V.Post-migration_Steps"/>
      <sheetName val="Intel P2P Standalone.Post-Migr"/>
      <sheetName val="AIX_V2V.Backout_Steps"/>
      <sheetName val="AX V2V RAC DG Backout"/>
      <sheetName val="AIX V2V CrossSite GPFS Backout"/>
      <sheetName val="AIX Power HAXD Non-Prd Backout"/>
      <sheetName val="AIX V2V IBM_DB2_HADR.Backout"/>
      <sheetName val="AIX_P2P_Backout_Steps"/>
      <sheetName val="Intel_V2V.Backout_Steps"/>
      <sheetName val="Intel P2P Standalone.Roll-back"/>
      <sheetName val="Remote Cluster Nodes"/>
      <sheetName val="AIX_LPAR.CPU_Mem_Config"/>
      <sheetName val="AIX_P2P.CPU_Mem_Config"/>
      <sheetName val="PIVOT - LPAR HBA"/>
      <sheetName val="AIX.HBA_Config"/>
      <sheetName val="AIX.Storage_Config"/>
      <sheetName val="Intel_V2V.CPU_Mem_Config"/>
      <sheetName val="Intel_V2V.Datastore_Config"/>
      <sheetName val="Intel_V2V_FCI.Storage_Config"/>
      <sheetName val="Intel_P2P.CPU_Mem_Config"/>
      <sheetName val="Network_Config"/>
      <sheetName val="tempIPs"/>
      <sheetName val="Static Routes"/>
      <sheetName val="DNS Updates"/>
      <sheetName val="Firewall Rules"/>
      <sheetName val="NAT IP Config"/>
      <sheetName val="Load Balancer Policies"/>
      <sheetName val="Application List"/>
      <sheetName val="Automated App Startup"/>
      <sheetName val="Batch Jobs"/>
      <sheetName val="Wave.Application_Shutdown_Steps"/>
      <sheetName val="Wave.Application_Startup_Steps"/>
      <sheetName val="Wave.Application_Test_Plan"/>
      <sheetName val="END"/>
      <sheetName val="Main Data Sheet (TSD V19)"/>
      <sheetName val="VM List (Pro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VIGATOR"/>
      <sheetName val="Summary"/>
      <sheetName val="Change Logs"/>
      <sheetName val="Command Center"/>
      <sheetName val="Contact List"/>
      <sheetName val="Issue Sheet"/>
      <sheetName val="Lessons Learned v2"/>
      <sheetName val="Glossary"/>
      <sheetName val="Communication Plan"/>
      <sheetName val="Change Records"/>
      <sheetName val="AIX_VIP_Info"/>
      <sheetName val="Intel_VIP_Info"/>
      <sheetName val="App Checklist"/>
      <sheetName val="Wave_pivot"/>
      <sheetName val="Pre-Mig (Checklist)"/>
      <sheetName val="2. Healthcheck"/>
      <sheetName val="ES Timeline"/>
      <sheetName val="SRM Checklist"/>
      <sheetName val="AIX_V2V Pre-Migr"/>
      <sheetName val="AIX V2V Cross-SiteGPFS.Pre-Migr"/>
      <sheetName val="AIX V2V RAC-DG.Pre-Migr"/>
      <sheetName val="Intel P2P FCI Pre-Migr"/>
      <sheetName val="Intel P2P SAN Pre-Migr"/>
      <sheetName val="Intel_V2V.Pre-Migr"/>
      <sheetName val="Intel V2V FCI Pre-Migr"/>
      <sheetName val="Dashboard"/>
      <sheetName val="Wave 12 Server Info"/>
      <sheetName val="1. Shutdown Startup"/>
      <sheetName val="AIX V2V HxH"/>
      <sheetName val="Intel P2P FCI HxH"/>
      <sheetName val="Intel P2P SAN LUNS HxH"/>
      <sheetName val="Intel_V2V HxH"/>
      <sheetName val="AIX V2V Cross-SiteGPFS.Cutover"/>
      <sheetName val="AIX V2V RAC-DG.Cutover"/>
      <sheetName val="Intel V2V FCI HxH"/>
      <sheetName val="Intel_V2V SRM HxH"/>
      <sheetName val="LINUX_SRM V2V HxH"/>
      <sheetName val="Intel_V2V SRM GROUP 2HxH"/>
      <sheetName val="Intel_V2V GROUP 2HxH "/>
      <sheetName val="AIX_V2V.Post-migration_Steps"/>
      <sheetName val="Intel_V2V.Post-migration_Steps"/>
      <sheetName val="AIX V2V Cross-SiteGPFS.Post-Mig"/>
      <sheetName val="AIX V2V RAC-DG.Post-Migr"/>
      <sheetName val="Intel V2V WinFCIClus.Post-Migr"/>
      <sheetName val="Intel P2P Standalone.Post-Migr"/>
      <sheetName val="Intel P2P WinFCIClus.Post-Migr"/>
      <sheetName val="AIX_V2V.Backout_Steps"/>
      <sheetName val="Intel_V2V.Backout_Steps"/>
      <sheetName val="AIX V2V Cross-SiteGPFS.Rollback"/>
      <sheetName val="AIX V2V RAC-DG.Backout_Steps"/>
      <sheetName val="Intel V2V WinFCIClus.Roll-back"/>
      <sheetName val="Intel P2P Standalone.Roll-back"/>
      <sheetName val="Intel P2P WinFCIClus.Roll-back"/>
      <sheetName val="cluster summary"/>
      <sheetName val="Remote Cluster Nodes"/>
      <sheetName val="AIX_LPAR.CPU_Mem_Config"/>
      <sheetName val="AIX_P2P.CPU_Mem_Config"/>
      <sheetName val="AIX.HBA_Config"/>
      <sheetName val="AIX.Storage_Config"/>
      <sheetName val="AIX.Filesystem_Config"/>
      <sheetName val="AIX.Tape_Config"/>
      <sheetName val="GPFS.Cluster_Config"/>
      <sheetName val="GPFS.Node_Config"/>
      <sheetName val="GPFS.FS_Config"/>
      <sheetName val="GPFS.NSD_List"/>
      <sheetName val="GPFS.NSD_Mapping_Table"/>
      <sheetName val="Intel_V2V.CPU_Mem_Config"/>
      <sheetName val="Intel_V2V.Datastore_Config"/>
      <sheetName val="Intel_V2V_FCI.Storage_Config"/>
      <sheetName val="Intel_P2P.CPU_Mem_Config"/>
      <sheetName val="Intel_P2P.Storage_Config"/>
      <sheetName val="Intel_P2P.HBA_Config"/>
      <sheetName val="Network_Config"/>
      <sheetName val="Static Routes"/>
      <sheetName val="DNS Updates"/>
      <sheetName val="Firewall Rules"/>
      <sheetName val="NAT IP Config"/>
      <sheetName val="Load Balancer Policies"/>
      <sheetName val="Application List"/>
      <sheetName val="Automated App Startup"/>
      <sheetName val="Batch Jobs"/>
      <sheetName val="Wave.Application_Shutdown_Steps"/>
      <sheetName val="Wave.Application_Startup_Steps"/>
      <sheetName val="Wave.Application_Test_Plan"/>
      <sheetName val="END"/>
      <sheetName val="Main Data Sheet (TSD V19)"/>
      <sheetName val="VM List (Pro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tion Items"/>
      <sheetName val="Action Items Report"/>
      <sheetName val="Action Item Review Process"/>
      <sheetName val="FeedbackSummary"/>
      <sheetName val="FeedbackReport"/>
      <sheetName val="Wave1-12 Missing Feedback"/>
      <sheetName val="Validation"/>
    </sheetNames>
    <sheetDataSet>
      <sheetData sheetId="0" refreshError="1"/>
      <sheetData sheetId="1" refreshError="1"/>
      <sheetData sheetId="2"/>
      <sheetData sheetId="3" refreshError="1"/>
      <sheetData sheetId="4" refreshError="1"/>
      <sheetData sheetId="5" refreshError="1"/>
      <sheetData sheetId="6"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To Target"/>
      <sheetName val="Sheet1"/>
    </sheetNames>
    <sheetDataSet>
      <sheetData sheetId="0" refreshError="1"/>
      <sheetData sheetId="1"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A-2B"/>
      <sheetName val="2C +"/>
      <sheetName val="Oct-16"/>
      <sheetName val="Oct 22"/>
      <sheetName val="Bundle Xref List"/>
    </sheetNames>
    <sheetDataSet>
      <sheetData sheetId="0"/>
      <sheetData sheetId="1"/>
      <sheetData sheetId="2"/>
      <sheetData sheetId="3"/>
      <sheetData sheetId="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Action Item Review Process"/>
    </sheetNames>
    <sheetDataSet>
      <sheetData sheetId="0"/>
      <sheetData sheetId="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ndle Summary"/>
      <sheetName val="Site xref"/>
      <sheetName val="Final 11-21-03"/>
      <sheetName val="CC &amp; Open Pivot"/>
      <sheetName val="CompuCom &amp; Open Bundles"/>
      <sheetName val="CompuCom Pivot"/>
      <sheetName val="CompuCom Bundles"/>
      <sheetName val="BCI 11-24-03"/>
      <sheetName val="Master Schedule"/>
      <sheetName val="CompuCom Schedule"/>
      <sheetName val="DEC 03-MAR 04 EL"/>
      <sheetName val="Dec 2003 EL"/>
      <sheetName val="Jan 2004 EL"/>
      <sheetName val="Feb 2004 EL"/>
      <sheetName val="Mar 2004 EL"/>
      <sheetName val="Qtr 1 2004 EL"/>
      <sheetName val="iCheck Data"/>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vigator"/>
      <sheetName val="Summary"/>
      <sheetName val="Change Logs"/>
      <sheetName val="Command Center"/>
      <sheetName val="Communication Plan"/>
      <sheetName val="Contact List"/>
      <sheetName val="Issue Sheet"/>
      <sheetName val="Lessons Learned"/>
      <sheetName val="Glossary"/>
      <sheetName val="Change Records"/>
      <sheetName val="AIX_VIP_Info"/>
      <sheetName val="Intel_VIP_Info"/>
      <sheetName val="ES Timeline"/>
      <sheetName val="App Checklist"/>
      <sheetName val="Health Checks"/>
      <sheetName val="SRM Checklist "/>
      <sheetName val="AIX_V2V. Pre-migration_Steps"/>
      <sheetName val="AIX V2V RAC DG Pre-Migr"/>
      <sheetName val="AIX P2P Standalone Pre-Migr"/>
      <sheetName val="AIX Power HAXD Non-Prd Pre-Migr"/>
      <sheetName val="AIX V2V PowerHA.Pre-Migr"/>
      <sheetName val="AIX V2V CrossSite GPFS Pre-Migr"/>
      <sheetName val="AIX V2V IBM_DB2_HADR.Pre-Migr"/>
      <sheetName val="Intel_V2V.Pre-migration_Steps"/>
      <sheetName val="Intel P2P Standalone.Pre-Migr"/>
      <sheetName val="Pre-Mig (Checklist)"/>
      <sheetName val="Intel_SRM_S.Pre-migration_Steps"/>
      <sheetName val="Intel P2P WinFCIClus.Pre-Migr"/>
      <sheetName val="Intel P2V Standalone.Pre-Migr"/>
      <sheetName val="Intel P2P AD Pre-Migration"/>
      <sheetName val="Wave S6.5 Server Info"/>
      <sheetName val="Shutdown - Startup"/>
      <sheetName val="Dashboard"/>
      <sheetName val="AIX_V2V HxH "/>
      <sheetName val="AIX V2V RAC DG Hr by Hr - Grp2"/>
      <sheetName val="AIX P2P Standalone Hr by Hr"/>
      <sheetName val="AIX Power HAXD Non-Prd Hy by Hr"/>
      <sheetName val="AIX V2V PowerHA HxH"/>
      <sheetName val="AIX V2V CrossSite GPFS HxH"/>
      <sheetName val="AIX V2V_IBM_DB2_HADR.Cutover"/>
      <sheetName val="Intel_V2V HxH"/>
      <sheetName val="Intel_V2V SRM HxH"/>
      <sheetName val="Intel_P2P FCI HxH"/>
      <sheetName val="Intel P2V Standalone.Cutover"/>
      <sheetName val="Intel P2P Standalone Hr by Hr"/>
      <sheetName val="Intel P2P Active Dir HrXHr"/>
      <sheetName val="AIX_V2V.Post-migration_Steps"/>
      <sheetName val="AX V2V RAC DG Post-Migr"/>
      <sheetName val="AIX P2P Standalone Post-Migr"/>
      <sheetName val="AIX V2V PowerHA.Post-Migr"/>
      <sheetName val="AIX V2V CrossSite GPFS Post-Mig"/>
      <sheetName val="AIX Power HAXD Non-Prd Post-Mig"/>
      <sheetName val="AIX V2V IBM_DB2_HADR.Post-Migr"/>
      <sheetName val="Intel_V2V.Post-migration_Steps"/>
      <sheetName val="Intel P2P Standalone.Post-Migr"/>
      <sheetName val="Intel_SRM_S.Post-migration_Step"/>
      <sheetName val="Intel P2P WinFCIClus.Post-Migr"/>
      <sheetName val="Intel P2V Standalone.Post-Migr"/>
      <sheetName val="Intel P2P AD. Post-Migr"/>
      <sheetName val="AIX_V2V.Backout_Steps"/>
      <sheetName val="AX V2V RAC DG Backout"/>
      <sheetName val="AIX P2P Standalone Backout"/>
      <sheetName val="AIX V2V PowerHA.Backout"/>
      <sheetName val="AIX V2V CrossSite GPFS Backout"/>
      <sheetName val="AIX Power HAXD Non-Prd Backout"/>
      <sheetName val="AIX V2V IBM_DB2_HADR.Backout"/>
      <sheetName val="Intel_V2V.Backout_Steps"/>
      <sheetName val="Intel P2P Standalone.Roll-back"/>
      <sheetName val="Intel_SRM_S.Backout_Steps"/>
      <sheetName val="Intel P2P WinFCIClus.Roll-back"/>
      <sheetName val="Intel P2V Standalone.Roll-back"/>
      <sheetName val="Intel P2P AD. Roll-back"/>
      <sheetName val="cluster summary"/>
      <sheetName val="Remote Cluster Nodes"/>
      <sheetName val="AIX_LPAR.CPU_Mem_Config"/>
      <sheetName val="AIX_P2P.CPU_Mem_Config"/>
      <sheetName val="PIVOT-LPAR HBA"/>
      <sheetName val="AIX.HBA_Config"/>
      <sheetName val="PIVOT-AIX STORAGE"/>
      <sheetName val="AIX.Storage_Config"/>
      <sheetName val="AIX.Tape_Config"/>
      <sheetName val="src-tgt svc lun map"/>
      <sheetName val="OracleRAC.Disk_Mapping"/>
      <sheetName val="PowerHA.Cluster_Config"/>
      <sheetName val="PowerHA.Network_Config"/>
      <sheetName val="PowerHA.Disk_HB_Config"/>
      <sheetName val="PowerHA.Resource_Groups"/>
      <sheetName val="GPFS.Cluster_Config"/>
      <sheetName val="GPFS.Node_Config"/>
      <sheetName val="GPFS.FS_Config"/>
      <sheetName val="PIVOT-GPFS NSD"/>
      <sheetName val="GPFS.NSD_List"/>
      <sheetName val="GPFS.NSD_Mapping_Table"/>
      <sheetName val="Intel_V2V.CPU_Mem_Config"/>
      <sheetName val="Intel_V2V.Datastore_Config"/>
      <sheetName val="Intel_P2P.CPU_Mem_Config"/>
      <sheetName val="Intel_P2P.Storage_Config"/>
      <sheetName val="Intel_P2P.HBA_Config"/>
      <sheetName val="Network_Config"/>
      <sheetName val="Static Routes"/>
      <sheetName val="DNS Updates"/>
      <sheetName val="Firewall Rules"/>
      <sheetName val="NAT IP Config"/>
      <sheetName val="Load Balancer Policies"/>
      <sheetName val="Application List"/>
      <sheetName val="Automated App Startup"/>
      <sheetName val="Batch Jobs"/>
      <sheetName val="Wave.Application_Shutdown_Steps"/>
      <sheetName val="Wave.Application_Startup_Steps"/>
      <sheetName val="Wave.Application_Test_Plan"/>
      <sheetName val="END"/>
      <sheetName val="Main Data Sheet (TSD V19)"/>
      <sheetName val="VM List (Pro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refreshError="1"/>
      <sheetData sheetId="35" refreshError="1"/>
      <sheetData sheetId="36" refreshError="1"/>
      <sheetData sheetId="37" refreshError="1"/>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sheetData sheetId="111" refreshError="1"/>
      <sheetData sheetId="112"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Mandatory Info"/>
      <sheetName val="Host Add or Delete"/>
      <sheetName val="Host Rename or Move"/>
      <sheetName val="Alias (CNAME) Add or Delete"/>
      <sheetName val="Alias (CNAME) Rename or Move"/>
      <sheetName val="Advanced - Subnet Add or Delete"/>
      <sheetName val="Advanced - Subnet Modify"/>
      <sheetName val="Advanced-DHCP Scope Add Delete"/>
      <sheetName val="Advanced-DHCP Scope Modify"/>
      <sheetName val="Advanced-Zone Add or Delete"/>
      <sheetName val="Advanc-Zone Delegate Add Delete"/>
      <sheetName val="Misc Record types"/>
      <sheetName val="Oct 2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F7388E-040B-400E-AE1C-D55D81DF357E}" name="tblEvntScope" displayName="tblEvntScope" ref="A6:Y7" totalsRowShown="0" headerRowDxfId="251" dataDxfId="250" headerRowCellStyle="Normal_WPInitialQuestionnaire.ppt" dataCellStyle="Normal 7">
  <autoFilter ref="A6:Y7" xr:uid="{18F7388E-040B-400E-AE1C-D55D81DF357E}"/>
  <sortState xmlns:xlrd2="http://schemas.microsoft.com/office/spreadsheetml/2017/richdata2" ref="A7:Y7">
    <sortCondition ref="D2"/>
    <sortCondition ref="I2"/>
  </sortState>
  <tableColumns count="25">
    <tableColumn id="1" xr3:uid="{0300BE4D-DBF0-4B40-9C97-1B4EEAE6EE25}" name=" Event " dataDxfId="249" dataCellStyle="Normal 7"/>
    <tableColumn id="2" xr3:uid="{0E937734-17EB-4E69-BE8A-68A3873B50B8}" name="Cutover Date" dataDxfId="248" dataCellStyle="Normal 7"/>
    <tableColumn id="25" xr3:uid="{044854FB-02AA-4A8C-AAFB-F73188CF3588}" name="Scope_x000a_(Initial, New,_x000a_  Deleted)" dataDxfId="247" dataCellStyle="Normal 7"/>
    <tableColumn id="3" xr3:uid="{B97179FD-2776-46C2-BF77-137CF2665633}" name="Application Name" dataDxfId="246" dataCellStyle="Normal 7"/>
    <tableColumn id="4" xr3:uid="{97B21D19-00E3-4F45-B022-0C4BF6401E90}" name="Application Owner" dataDxfId="245" dataCellStyle="Normal 7"/>
    <tableColumn id="5" xr3:uid="{F3AF0CF8-9571-4716-9FBF-B75A76B4EFFF}" name="IT Support Manager" dataDxfId="244" dataCellStyle="Normal 7"/>
    <tableColumn id="6" xr3:uid="{63DCCC57-533F-4BE8-91A6-BBE42209C689}" name="SME" dataDxfId="243" dataCellStyle="Normal 7"/>
    <tableColumn id="7" xr3:uid="{18DDCB32-67C8-4FB9-8FE9-73804A09D0F9}" name="Support Group DL" dataDxfId="242" dataCellStyle="Normal 7"/>
    <tableColumn id="8" xr3:uid="{D2F32FCF-5CFF-49A7-BB3E-39CFFF6782FA}" name="Hostname" dataDxfId="241" dataCellStyle="Normal 7"/>
    <tableColumn id="23" xr3:uid="{5423DC9E-8421-451A-8192-1F590FBD12F9}" name="Scope" dataDxfId="240" dataCellStyle="Normal 7"/>
    <tableColumn id="9" xr3:uid="{D063DF7E-1002-4FBE-A736-152E6BCB2F47}" name="Source IP Address" dataDxfId="239" dataCellStyle="Normal 7"/>
    <tableColumn id="10" xr3:uid="{E141E59B-F342-4B45-A2AB-15CF7CF9482B}" name="Source Location" dataDxfId="238" dataCellStyle="Normal 7"/>
    <tableColumn id="11" xr3:uid="{505DC00A-F984-494A-BD14-F629973C7C6D}" name="Type_x000a_App/DB" dataDxfId="237" dataCellStyle="Normal 7"/>
    <tableColumn id="12" xr3:uid="{A50C3099-DE9A-4B1A-BD01-92348EC5BD28}" name="Environment" dataDxfId="236" dataCellStyle="Normal 7"/>
    <tableColumn id="13" xr3:uid="{566D8289-4123-4A8F-9320-FD13566290E3}" name="Device Type" dataDxfId="235" dataCellStyle="Normal 7"/>
    <tableColumn id="14" xr3:uid="{5802F315-F2EF-42C7-A768-765CD54EDD6D}" name="Operating System" dataDxfId="234" dataCellStyle="Normal 7"/>
    <tableColumn id="24" xr3:uid="{37F93C38-D3FD-44F5-B6E5-8DC081A50CC2}" name="DMZ" dataDxfId="233" dataCellStyle="Normal 2 3"/>
    <tableColumn id="15" xr3:uid="{19A1840B-8D7F-4DBF-8F2E-CE1957F0F6F3}" name="DR Protection" dataDxfId="232" dataCellStyle="Normal 7"/>
    <tableColumn id="16" xr3:uid="{9277EB6F-2D69-42F1-8B58-74475024B2FA}" name="Target Data Center" dataDxfId="231"/>
    <tableColumn id="17" xr3:uid="{A11322C5-F8E1-4023-A910-719A77B08648}" name="Target IPs " dataDxfId="230" dataCellStyle="Normal 7"/>
    <tableColumn id="18" xr3:uid="{13A36905-25BE-4641-93BD-A296252D2878}" name="Target Subnet" dataDxfId="229" dataCellStyle="Normal 7"/>
    <tableColumn id="19" xr3:uid="{178D866A-C1C5-4134-9346-AA89EED80879}" name="Target Gateway" dataDxfId="228" dataCellStyle="Normal 7"/>
    <tableColumn id="20" xr3:uid="{140FCDE9-0B80-4289-9603-FF43378015AB}" name="Storage Space" dataDxfId="227" dataCellStyle="Normal 7"/>
    <tableColumn id="21" xr3:uid="{516BD035-2D1B-479E-9BB3-89A2A8510916}" name="Comments" dataDxfId="226" dataCellStyle="Normal 7"/>
    <tableColumn id="22" xr3:uid="{32508BBF-C2A6-48AD-9DA8-3503255C0FEE}" name="AssetDependencyId" dataDxfId="225"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hyperlink" Target="https://ibm-anthem.transitionmanager.net/tdstm/module/auth/login"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AnthemMigrationProject/SitePages/2023-Enterprise-Release-Calendar.aspx" TargetMode="External"/><Relationship Id="rId18" Type="http://schemas.openxmlformats.org/officeDocument/2006/relationships/hyperlink" Target="../../../../../../../AnthemMigrationProject/SitePages/Security-Re.aspx" TargetMode="External"/><Relationship Id="rId26" Type="http://schemas.openxmlformats.org/officeDocument/2006/relationships/hyperlink" Target="../../../../../../../AnthemMigrationProject/SitePages/VM---Vulnerability-Scans.aspx" TargetMode="External"/><Relationship Id="rId39" Type="http://schemas.openxmlformats.org/officeDocument/2006/relationships/hyperlink" Target="../../../../../../../AnthemMigrationProject/SitePages/Post-Migration-Tasks.aspx" TargetMode="External"/><Relationship Id="rId21" Type="http://schemas.openxmlformats.org/officeDocument/2006/relationships/hyperlink" Target="../../../../../../../AnthemMigrationProject/SitePages/Exadata.aspx?csf=1&amp;web=1&amp;e=8kB9ON" TargetMode="External"/><Relationship Id="rId34" Type="http://schemas.openxmlformats.org/officeDocument/2006/relationships/hyperlink" Target="../../../../../../../AnthemMigrationProject/SitePages/DB-Contacts.aspx" TargetMode="External"/><Relationship Id="rId42" Type="http://schemas.openxmlformats.org/officeDocument/2006/relationships/hyperlink" Target="../../../../../Forms/AllItems.aspx?OR=Teams%2DHL&amp;CT=1684273520682&amp;clickparams=eyJBcHBOYW1lIjoiVGVhbXMtRGVza3RvcCIsIkFwcFZlcnNpb24iOiIyNy8yMzA0MDIwMjcwNSIsIkhhc0ZlZGVyYXRlZFVzZXIiOmZhbHNlfQ%3D%3D&amp;id=%2Fsites%2FAnthemMigrationTeam%2FShared%20Documents%2FGeneral%2F09%2E%20ADAI%20Go%2DLive%20Cutover%20Runbooks%2FMIGRATION%20EVENTS%20%2D%20HARRISONBURG%20%26%20RICHMOND&amp;viewid=95549e42%2D2880%2D4fa8%2D9320%2D5dddc68f7649" TargetMode="External"/><Relationship Id="rId47" Type="http://schemas.openxmlformats.org/officeDocument/2006/relationships/hyperlink" Target="../../../../../Forms/AllItems.aspx?id=%2Fsites%2FAnthemMigrationTeam%2FShared%20Documents%2FGeneral%2F09%2E%20ADAI%20Go%2DLive%20Cutover%20Runbooks%2FTemplates%2FDistribution%20Lists&amp;viewid=95549e42%2D2880%2D4fa8%2D9320%2D5dddc68f7649" TargetMode="External"/><Relationship Id="rId50" Type="http://schemas.openxmlformats.org/officeDocument/2006/relationships/drawing" Target="../drawings/drawing4.xml"/><Relationship Id="rId7" Type="http://schemas.openxmlformats.org/officeDocument/2006/relationships/hyperlink" Target="https://kyndryl.box.com/s/96psg9er9bk9zccivz84jmrc4ed7zpe2" TargetMode="External"/><Relationship Id="rId2" Type="http://schemas.openxmlformats.org/officeDocument/2006/relationships/hyperlink" Target="https://kyndryl.box.com/s/yl6jb8ytdlbzdl7ki2q4qtwzoe53idub" TargetMode="External"/><Relationship Id="rId16" Type="http://schemas.openxmlformats.org/officeDocument/2006/relationships/hyperlink" Target="../../../../../../../AnthemCirrusTTProgram/Shared%20Documents/Forms/AllItems.aspx?csf=1&amp;web=1&amp;e=2WCX9T&amp;cid=5ec21e32%2De7ec%2D4bc5%2Da7da%2D51676d37b10b&amp;RootFolder=%2Fsites%2FAnthemCirrusTTProgram%2FShared%20Documents%2FCommunications%2FAD%26AI%20%2D%20Migrations%20Physical%20to%20Virtual%20Assessments&amp;FolderCTID=0x012000E28970F06B1471489CC47C505BB1AAE8" TargetMode="External"/><Relationship Id="rId29" Type="http://schemas.openxmlformats.org/officeDocument/2006/relationships/hyperlink" Target="../../../../../../../AnthemMigrationProject/SitePages/Illumio-Process.aspx" TargetMode="External"/><Relationship Id="rId11" Type="http://schemas.openxmlformats.org/officeDocument/2006/relationships/hyperlink" Target="../../../../../../../AnthemMigrationProject/SitePages/Refresh-Program.aspx" TargetMode="External"/><Relationship Id="rId24" Type="http://schemas.openxmlformats.org/officeDocument/2006/relationships/hyperlink" Target="https://w3.ibm.com/ocean/w3publisher/anthem-cirrus-data-migration/migration-from-anthem/change-management/snow-replication-change-request" TargetMode="External"/><Relationship Id="rId32" Type="http://schemas.openxmlformats.org/officeDocument/2006/relationships/hyperlink" Target="../../../../../Forms/AllItems.aspx?id=%2Fsites%2FAnthemMigrationTeam%2FShared%20Documents%2FGeneral%2F09%2E%20ADAI%20Go%2DLive%20Cutover%20Runbooks%2FTemplates%2FDistribution%20Lists&amp;viewid=95549e42%2D2880%2D4fa8%2D9320%2D5dddc68f7649" TargetMode="External"/><Relationship Id="rId37" Type="http://schemas.openxmlformats.org/officeDocument/2006/relationships/hyperlink" Target="../../../../../../../AnthemMigrationProject/SitePages/backup.aspx?csf=1&amp;web=1&amp;e=fbGlFA" TargetMode="External"/><Relationship Id="rId40" Type="http://schemas.openxmlformats.org/officeDocument/2006/relationships/hyperlink" Target="../../../../../../../AnthemMigrationProject/SitePages/Post-Migration-Tasks.aspx" TargetMode="External"/><Relationship Id="rId45" Type="http://schemas.openxmlformats.org/officeDocument/2006/relationships/hyperlink" Target="https://urldefense.proofpoint.com/v2/url?u=https-3A__collaborate.wellpoint.com_sites_DDCS_IBM-2520Data-2520Center-2520Migration_Forms_AllItems.aspx-3Fviewpath-3D-252Fsites-252FDDCS-252FIBM-2520Data-2520Center-2520Migration-252FForms-252FAllItems-252Easpx&amp;d=DwMFAg&amp;c=cCoa5WWAB7EEETJScYfkXg&amp;r=D5vR_CAKpDnZT0g92FrWJUtP9dmtgL7kyjY4ZyV1vQg&amp;m=ujH9ufkCBbWLmHGO1VQFQ-4TRqvsE7QNCvkHqVIWGPwDwAWCF1ulc0AvPQ78nXu6&amp;s=Wldi6d9BrjR2_KY-5H0PEbp8te9BFLWA5lZdVS7WfNA&amp;e=" TargetMode="External"/><Relationship Id="rId5" Type="http://schemas.openxmlformats.org/officeDocument/2006/relationships/hyperlink" Target="https://w3.ibm.com/ocean/w3publisher/anthem-cirrus-data-migration/migration-from-anthem/1-pre-migration-processes/zerto-target-details" TargetMode="External"/><Relationship Id="rId15" Type="http://schemas.openxmlformats.org/officeDocument/2006/relationships/hyperlink" Target="../../../../../Forms/AllItems.aspx?id=%2Fsites%2FAnthemMigrationTeam%2FShared%20Documents%2FGeneral%2F09%2E%20ADAI%20Go%2DLive%20Cutover%20Runbooks%2FTemplates%2FDistribution%20Lists&amp;viewid=95549e42%2D2880%2D4fa8%2D9320%2D5dddc68f7649" TargetMode="External"/><Relationship Id="rId23" Type="http://schemas.openxmlformats.org/officeDocument/2006/relationships/hyperlink" Target="../../../../../../../AnthemMigrationProject/SitePages/F5.aspx?csf=1&amp;web=1&amp;e=r7v97z" TargetMode="External"/><Relationship Id="rId28" Type="http://schemas.openxmlformats.org/officeDocument/2006/relationships/hyperlink" Target="../../../../../../../AnthemMigrationProject/SitePages/VM---Vulnerability-Scans.aspx" TargetMode="External"/><Relationship Id="rId36" Type="http://schemas.openxmlformats.org/officeDocument/2006/relationships/hyperlink" Target="../../../../../../../AnthemMigrationProject/SitePages/Target-IPs.aspx" TargetMode="External"/><Relationship Id="rId49" Type="http://schemas.openxmlformats.org/officeDocument/2006/relationships/printerSettings" Target="../printerSettings/printerSettings3.bin"/><Relationship Id="rId10" Type="http://schemas.openxmlformats.org/officeDocument/2006/relationships/hyperlink" Target="../../../../../Forms/AllItems.aspx?id=%2Fsites%2FAnthemMigrationTeam%2FShared%20Documents%2FGeneral%2F09%2E%20ADAI%20Go%2DLive%20Cutover%20Runbooks%2FTemplates%2FApplication%20Questionnaire%20Template&amp;viewid=95549e42%2D2880%2D4fa8%2D9320%2D5dddc68f7649" TargetMode="External"/><Relationship Id="rId19" Type="http://schemas.openxmlformats.org/officeDocument/2006/relationships/hyperlink" Target="../../../../../Forms/AllItems.aspx?id=%2Fsites%2FAnthemMigrationTeam%2FShared%20Documents%2FGeneral%2F09%2E%20ADAI%20Go%2DLive%20Cutover%20Runbooks%2FMIGRATION%20EVENTS%20%2D%20HARRISONBURG%20%26%20RICHMOND&amp;viewid=95549e42%2D2880%2D4fa8%2D9320%2D5dddc68f7649" TargetMode="External"/><Relationship Id="rId31" Type="http://schemas.openxmlformats.org/officeDocument/2006/relationships/hyperlink" Target="../../../../../Forms/AllItems.aspx?id=%2Fsites%2FAnthemMigrationTeam%2FShared%20Documents%2FGeneral%2F09%2E%20ADAI%20Go%2DLive%20Cutover%20Runbooks%2FTemplates%2FDistribution%20Lists&amp;viewid=95549e42%2D2880%2D4fa8%2D9320%2D5dddc68f7649" TargetMode="External"/><Relationship Id="rId44" Type="http://schemas.openxmlformats.org/officeDocument/2006/relationships/hyperlink" Target="https://urldefense.proofpoint.com/v2/url?u=https-3A__collaborate.wellpoint.com_sites_DDCS_IBM-2520Data-2520Center-2520Migration_Forms_AllItems.aspx-3Fviewpath-3D-252Fsites-252FDDCS-252FIBM-2520Data-2520Center-2520Migration-252FForms-252FAllItems-252Easpx&amp;d=DwMFAg&amp;c=cCoa5WWAB7EEETJScYfkXg&amp;r=D5vR_CAKpDnZT0g92FrWJUtP9dmtgL7kyjY4ZyV1vQg&amp;m=ujH9ufkCBbWLmHGO1VQFQ-4TRqvsE7QNCvkHqVIWGPwDwAWCF1ulc0AvPQ78nXu6&amp;s=Wldi6d9BrjR2_KY-5H0PEbp8te9BFLWA5lZdVS7WfNA&amp;e=" TargetMode="External"/><Relationship Id="rId52" Type="http://schemas.openxmlformats.org/officeDocument/2006/relationships/comments" Target="../comments1.xml"/><Relationship Id="rId4" Type="http://schemas.openxmlformats.org/officeDocument/2006/relationships/hyperlink" Target="https://w3.ibm.com/ocean/w3publisher/anthem-cirrus-data-migration/trainings/transitionmanager-processes/sending-retired-to-get-decommed" TargetMode="External"/><Relationship Id="rId9" Type="http://schemas.openxmlformats.org/officeDocument/2006/relationships/hyperlink" Target="../../../../../Forms/AllItems.aspx?id=%2Fsites%2FAnthemMigrationTeam%2FShared%20Documents%2FGeneral%2F09%2E%20ADAI%20Go%2DLive%20Cutover%20Runbooks%2FTemplates%2FIntroductory%20Mail%20to%20app%20owners&amp;viewid=95549e42%2D2880%2D4fa8%2D9320%2D5dddc68f7649" TargetMode="External"/><Relationship Id="rId14" Type="http://schemas.openxmlformats.org/officeDocument/2006/relationships/hyperlink" Target="../../../../../Forms/AllItems.aspx?id=%2Fsites%2FAnthemMigrationTeam%2FShared%20Documents%2FGeneral%2F09%2E%20ADAI%20Go%2DLive%20Cutover%20Runbooks%2FTemplates%2FKick%20off%20Deck%20Template&amp;viewid=95549e42%2D2880%2D4fa8%2D9320%2D5dddc68f7649" TargetMode="External"/><Relationship Id="rId22" Type="http://schemas.openxmlformats.org/officeDocument/2006/relationships/hyperlink" Target="../../../../../../../AnthemMigrationProject/SitePages/Illumio-Process.aspx" TargetMode="External"/><Relationship Id="rId27" Type="http://schemas.openxmlformats.org/officeDocument/2006/relationships/hyperlink" Target="../../../../../../../AnthemMigrationProject/SitePages/VM---Vulnerability-Scans.aspx" TargetMode="External"/><Relationship Id="rId30" Type="http://schemas.openxmlformats.org/officeDocument/2006/relationships/hyperlink" Target="../../../../../Forms/AllItems.aspx?id=%2Fsites%2FAnthemMigrationTeam%2FShared%20Documents%2FGeneral%2F09%2E%20ADAI%20Go%2DLive%20Cutover%20Runbooks%2FTemplates%2FDistribution%20Lists&amp;viewid=95549e42%2D2880%2D4fa8%2D9320%2D5dddc68f7649" TargetMode="External"/><Relationship Id="rId35" Type="http://schemas.openxmlformats.org/officeDocument/2006/relationships/hyperlink" Target="../../../../../../../AnthemMigrationProject/SitePages/VM---Vulnerability-Scans.aspx" TargetMode="External"/><Relationship Id="rId43" Type="http://schemas.openxmlformats.org/officeDocument/2006/relationships/hyperlink" Target="../../../../../Forms/AllItems.aspx?id=%2Fsites%2FAnthemMigrationTeam%2FShared%20Documents%2FGeneral%2F09%2E%20ADAI%20Go%2DLive%20Cutover%20Runbooks%2FMIGRATION%20EVENTS%20%2D%20HARRISONBURG%20%26%20RICHMOND%2FMEATST%2FPhysical%20Servers%20P2P%20or%20P2V%20Assessment&amp;viewid=95549e42%2D2880%2D4fa8%2D9320%2D5dddc68f7649" TargetMode="External"/><Relationship Id="rId48" Type="http://schemas.openxmlformats.org/officeDocument/2006/relationships/hyperlink" Target="https://ibm-elevance.transitionmanager.net/tdstm/module/auth/login" TargetMode="External"/><Relationship Id="rId8" Type="http://schemas.openxmlformats.org/officeDocument/2006/relationships/hyperlink" Target="file:///C:/AnthemMigrationProject" TargetMode="External"/><Relationship Id="rId51" Type="http://schemas.openxmlformats.org/officeDocument/2006/relationships/vmlDrawing" Target="../drawings/vmlDrawing1.vml"/><Relationship Id="rId3" Type="http://schemas.openxmlformats.org/officeDocument/2006/relationships/hyperlink" Target="https://w3.ibm.com/ocean/w3publisher/anthem-cirrus-data-migration/migration-from-anthem/1-pre-migration-processes/target-ip-request" TargetMode="External"/><Relationship Id="rId12" Type="http://schemas.openxmlformats.org/officeDocument/2006/relationships/hyperlink" Target="../../../../../../../AnthemMigrationProject/SitePages/Patching-Schedule-Process.aspx" TargetMode="External"/><Relationship Id="rId17" Type="http://schemas.openxmlformats.org/officeDocument/2006/relationships/hyperlink" Target="../../../../../../../AnthemMigrationProject/SitePages/Patching-Schedule-Process.aspx" TargetMode="External"/><Relationship Id="rId25" Type="http://schemas.openxmlformats.org/officeDocument/2006/relationships/hyperlink" Target="../../../../../../../AnthemMigrationProject/SitePages/DNS-Process.aspx?csf=1&amp;web=1&amp;e=wqU4wB" TargetMode="External"/><Relationship Id="rId33" Type="http://schemas.openxmlformats.org/officeDocument/2006/relationships/hyperlink" Target="../../../../../Forms/AllItems.aspx?id=%2Fsites%2FAnthemMigrationTeam%2FShared%20Documents%2FGeneral%2F03%2E%20ADAI%20Project%20Tracking%2C%20Inventory%2C%20RAID%2FLessons%20Learned&amp;viewid=95549e42%2D2880%2D4fa8%2D9320%2D5dddc68f7649" TargetMode="External"/><Relationship Id="rId38" Type="http://schemas.openxmlformats.org/officeDocument/2006/relationships/hyperlink" Target="../../../../../../../AnthemMigrationProject/SitePages/Monitoring-Process.aspx" TargetMode="External"/><Relationship Id="rId46" Type="http://schemas.openxmlformats.org/officeDocument/2006/relationships/hyperlink" Target="https://urldefense.proofpoint.com/v2/url?u=https-3A__collaborate.wellpoint.com_sites_DDCS_IBM-2520Data-2520Center-2520Migration_Forms_AllItems.aspx-3Fviewpath-3D-252Fsites-252FDDCS-252FIBM-2520Data-2520Center-2520Migration-252FForms-252FAllItems-252Easpx&amp;d=DwMFAg&amp;c=cCoa5WWAB7EEETJScYfkXg&amp;r=D5vR_CAKpDnZT0g92FrWJUtP9dmtgL7kyjY4ZyV1vQg&amp;m=ujH9ufkCBbWLmHGO1VQFQ-4TRqvsE7QNCvkHqVIWGPwDwAWCF1ulc0AvPQ78nXu6&amp;s=Wldi6d9BrjR2_KY-5H0PEbp8te9BFLWA5lZdVS7WfNA&amp;e=" TargetMode="External"/><Relationship Id="rId20" Type="http://schemas.openxmlformats.org/officeDocument/2006/relationships/hyperlink" Target="../../../../../../../AnthemMigrationProject/SitePages/NAT%20IP.aspx?csf=1&amp;web=1&amp;e=DsbbOB" TargetMode="External"/><Relationship Id="rId41" Type="http://schemas.openxmlformats.org/officeDocument/2006/relationships/hyperlink" Target="../../../../../Forms/AllItems.aspx?id=%2Fsites%2FAnthemMigrationTeam%2FShared%20Documents%2FGeneral%2F27%2E%20ADAI%20SME%20Team%20Folder%2FTo%20identify%20a%20server%20provisioned%20with%20storage&amp;viewid=95549e42%2D2880%2D4fa8%2D9320%2D5dddc68f7649&amp;OR=Teams%2DHL&amp;CT=1684256059014&amp;clickparams=eyJBcHBOYW1lIjoiVGVhbXMtRGVza3RvcCIsIkFwcFZlcnNpb24iOiIyNy8yMzA0MDIwMjcwNSIsIkhhc0ZlZGVyYXRlZFVzZXIiOmZhbHNlfQ%3D%3D" TargetMode="External"/><Relationship Id="rId1" Type="http://schemas.openxmlformats.org/officeDocument/2006/relationships/hyperlink" Target="https://urldefense.proofpoint.com/v2/url?u=https-3A__share.antheminc.com_teams_DDCS_IBM-2520Data-2520Center-2520Migration_Forms_AllItems.aspx&amp;d=DwMGaQ&amp;c=jf_iaSHvJObTbx-siA1ZOg&amp;r=8wcFAe8bwwl1_9jxUyboEzp67V9tFGlnHtSaayOZmuY&amp;m=EK9FKBVFWDEZHFwSj_ZfGq3abIl5KEBWcDQrVn3trI4&amp;s=NuyS9yPI19R6i-9ujUrKvTKBE4EquPNU63Wkp1nd8hE&amp;e=" TargetMode="External"/><Relationship Id="rId6" Type="http://schemas.openxmlformats.org/officeDocument/2006/relationships/hyperlink" Target="https://w3.ibm.com/ocean/w3publisher/anthem-cirrus-data-migration/migration-from-anthem/change-management/snow-cutover-change-request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3" Type="http://schemas.openxmlformats.org/officeDocument/2006/relationships/hyperlink" Target="mailto:Jason.richmond-ITsecurity@anthem.com" TargetMode="External"/><Relationship Id="rId18" Type="http://schemas.openxmlformats.org/officeDocument/2006/relationships/hyperlink" Target="mailto:Erik.Hoffman@anthem.com" TargetMode="External"/><Relationship Id="rId26" Type="http://schemas.openxmlformats.org/officeDocument/2006/relationships/hyperlink" Target="mailto:dl-centrify-admins@anthem.com" TargetMode="External"/><Relationship Id="rId39" Type="http://schemas.openxmlformats.org/officeDocument/2006/relationships/hyperlink" Target="mailto:Ramesh.N.O.Nagella@kyndryl.com" TargetMode="External"/><Relationship Id="rId21" Type="http://schemas.openxmlformats.org/officeDocument/2006/relationships/hyperlink" Target="mailto:lavanya.devulapalli@anthem.com" TargetMode="External"/><Relationship Id="rId34" Type="http://schemas.openxmlformats.org/officeDocument/2006/relationships/hyperlink" Target="mailto:ronald.heckert@kyndryl.com" TargetMode="External"/><Relationship Id="rId42" Type="http://schemas.openxmlformats.org/officeDocument/2006/relationships/hyperlink" Target="mailto:Angelina.Valesco@kyndryl.com" TargetMode="External"/><Relationship Id="rId47" Type="http://schemas.openxmlformats.org/officeDocument/2006/relationships/hyperlink" Target="mailto:mimteam6@kyndryl.com" TargetMode="External"/><Relationship Id="rId7" Type="http://schemas.openxmlformats.org/officeDocument/2006/relationships/hyperlink" Target="mailto:Rebecca.Jones@anthem.com" TargetMode="External"/><Relationship Id="rId2" Type="http://schemas.openxmlformats.org/officeDocument/2006/relationships/hyperlink" Target="mailto:Angelina.Valesco@kyndryl.com" TargetMode="External"/><Relationship Id="rId16" Type="http://schemas.openxmlformats.org/officeDocument/2006/relationships/hyperlink" Target="mailto:darryl.foster@anthem.com" TargetMode="External"/><Relationship Id="rId29" Type="http://schemas.openxmlformats.org/officeDocument/2006/relationships/hyperlink" Target="mailto:boyd.nichols.jr@kyndryl.com" TargetMode="External"/><Relationship Id="rId1" Type="http://schemas.openxmlformats.org/officeDocument/2006/relationships/hyperlink" Target="mailto:Pooja.Koparde@kyndryl.com" TargetMode="External"/><Relationship Id="rId6" Type="http://schemas.openxmlformats.org/officeDocument/2006/relationships/hyperlink" Target="mailto:Joseph.Adinolfi@anthem.com" TargetMode="External"/><Relationship Id="rId11" Type="http://schemas.openxmlformats.org/officeDocument/2006/relationships/hyperlink" Target="mailto:robert.abraham@anthem.com" TargetMode="External"/><Relationship Id="rId24" Type="http://schemas.openxmlformats.org/officeDocument/2006/relationships/hyperlink" Target="mailto:philip.stoltz@anthem.com" TargetMode="External"/><Relationship Id="rId32" Type="http://schemas.openxmlformats.org/officeDocument/2006/relationships/hyperlink" Target="mailto:cm-admin@anthem.com" TargetMode="External"/><Relationship Id="rId37" Type="http://schemas.openxmlformats.org/officeDocument/2006/relationships/hyperlink" Target="mailto:nitin.poddar@kyndryl.com" TargetMode="External"/><Relationship Id="rId40" Type="http://schemas.openxmlformats.org/officeDocument/2006/relationships/hyperlink" Target="mailto:Mandar.Shastri@kyndryl.com" TargetMode="External"/><Relationship Id="rId45" Type="http://schemas.openxmlformats.org/officeDocument/2006/relationships/hyperlink" Target="mailto:Daisy.Bhavnani@anthem.com" TargetMode="External"/><Relationship Id="rId5" Type="http://schemas.openxmlformats.org/officeDocument/2006/relationships/hyperlink" Target="mailto:darren.gibbs@bcbsmo.com" TargetMode="External"/><Relationship Id="rId15" Type="http://schemas.openxmlformats.org/officeDocument/2006/relationships/hyperlink" Target="mailto:brenda.milligan@amerigroup.com" TargetMode="External"/><Relationship Id="rId23" Type="http://schemas.openxmlformats.org/officeDocument/2006/relationships/hyperlink" Target="mailto:daniel.reyes@anthem.com" TargetMode="External"/><Relationship Id="rId28" Type="http://schemas.openxmlformats.org/officeDocument/2006/relationships/hyperlink" Target="mailto:dl-wdbs-oracle-offshore-project-dbas@anthem.com" TargetMode="External"/><Relationship Id="rId36" Type="http://schemas.openxmlformats.org/officeDocument/2006/relationships/hyperlink" Target="mailto:Jyothy.Ravinambudiri@kyndryl.com" TargetMode="External"/><Relationship Id="rId10" Type="http://schemas.openxmlformats.org/officeDocument/2006/relationships/hyperlink" Target="mailto:dl-endpoint-security-operations@anthem.com" TargetMode="External"/><Relationship Id="rId19" Type="http://schemas.openxmlformats.org/officeDocument/2006/relationships/hyperlink" Target="mailto:Satyam.Adusumilli@anthem.com" TargetMode="External"/><Relationship Id="rId31" Type="http://schemas.openxmlformats.org/officeDocument/2006/relationships/hyperlink" Target="mailto:Nerissa.Hilton@kyndryl.com" TargetMode="External"/><Relationship Id="rId44" Type="http://schemas.openxmlformats.org/officeDocument/2006/relationships/hyperlink" Target="mailto:Loretta.Oates@anthem.com" TargetMode="External"/><Relationship Id="rId4" Type="http://schemas.openxmlformats.org/officeDocument/2006/relationships/hyperlink" Target="mailto:William.Anderson@anthem.com" TargetMode="External"/><Relationship Id="rId9" Type="http://schemas.openxmlformats.org/officeDocument/2006/relationships/hyperlink" Target="mailto:Rick.Rosalez@Anthem.com" TargetMode="External"/><Relationship Id="rId14" Type="http://schemas.openxmlformats.org/officeDocument/2006/relationships/hyperlink" Target="mailto:william.jones@anthem.com" TargetMode="External"/><Relationship Id="rId22" Type="http://schemas.openxmlformats.org/officeDocument/2006/relationships/hyperlink" Target="mailto:DL-ADBS-SQL-LightsOn@anthem.com" TargetMode="External"/><Relationship Id="rId27" Type="http://schemas.openxmlformats.org/officeDocument/2006/relationships/hyperlink" Target="mailto:Bali.Reddy@anthem.com" TargetMode="External"/><Relationship Id="rId30" Type="http://schemas.openxmlformats.org/officeDocument/2006/relationships/hyperlink" Target="mailto:Nerissa.Hilton@kyndryl.com" TargetMode="External"/><Relationship Id="rId35" Type="http://schemas.openxmlformats.org/officeDocument/2006/relationships/hyperlink" Target="mailto:ronald.heckert@kyndryl.com" TargetMode="External"/><Relationship Id="rId43" Type="http://schemas.openxmlformats.org/officeDocument/2006/relationships/hyperlink" Target="mailto:Daisy.Bhavnani@anthem.com" TargetMode="External"/><Relationship Id="rId48" Type="http://schemas.openxmlformats.org/officeDocument/2006/relationships/printerSettings" Target="../printerSettings/printerSettings6.bin"/><Relationship Id="rId8" Type="http://schemas.openxmlformats.org/officeDocument/2006/relationships/hyperlink" Target="mailto:Michael.Wielonski@anthem.com" TargetMode="External"/><Relationship Id="rId3" Type="http://schemas.openxmlformats.org/officeDocument/2006/relationships/hyperlink" Target="mailto:rodney.heisey@kyndryl.com" TargetMode="External"/><Relationship Id="rId12" Type="http://schemas.openxmlformats.org/officeDocument/2006/relationships/hyperlink" Target="mailto:dianna.clark@anthem.com" TargetMode="External"/><Relationship Id="rId17" Type="http://schemas.openxmlformats.org/officeDocument/2006/relationships/hyperlink" Target="mailto:abdulrahman.somo@anthem.com" TargetMode="External"/><Relationship Id="rId25" Type="http://schemas.openxmlformats.org/officeDocument/2006/relationships/hyperlink" Target="mailto:Anthem-DNS-F5-Support@kyndryl.com" TargetMode="External"/><Relationship Id="rId33" Type="http://schemas.openxmlformats.org/officeDocument/2006/relationships/hyperlink" Target="mailto:cm-admin@anthem.com" TargetMode="External"/><Relationship Id="rId38" Type="http://schemas.openxmlformats.org/officeDocument/2006/relationships/hyperlink" Target="mailto:Keith.Anderson@kyndryl.com" TargetMode="External"/><Relationship Id="rId46" Type="http://schemas.openxmlformats.org/officeDocument/2006/relationships/hyperlink" Target="mailto:Loretta.Oates@anthem.com" TargetMode="External"/><Relationship Id="rId20" Type="http://schemas.openxmlformats.org/officeDocument/2006/relationships/hyperlink" Target="mailto:dl-aoc-unix@anthem.com" TargetMode="External"/><Relationship Id="rId41" Type="http://schemas.openxmlformats.org/officeDocument/2006/relationships/hyperlink" Target="mailto:Pooja.Koparde@kyndry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hyperlink" Target="https://kyndryl.ent.box.com/folder/121626619389?s=8s5x5bt1o65am63tvs2n0vt3ug7qymbx" TargetMode="Externa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3" Type="http://schemas.openxmlformats.org/officeDocument/2006/relationships/hyperlink" Target="mailto:Sudhinsr@in.ibm.com" TargetMode="External"/><Relationship Id="rId2" Type="http://schemas.openxmlformats.org/officeDocument/2006/relationships/hyperlink" Target="mailto:Deepdias@in.ibm.com" TargetMode="External"/><Relationship Id="rId1" Type="http://schemas.openxmlformats.org/officeDocument/2006/relationships/hyperlink" Target="http://ibm.webex.com/meet/deepdias" TargetMode="External"/><Relationship Id="rId5" Type="http://schemas.openxmlformats.org/officeDocument/2006/relationships/hyperlink" Target="mailto:rhaynes@au1.ibm.com" TargetMode="External"/><Relationship Id="rId4" Type="http://schemas.openxmlformats.org/officeDocument/2006/relationships/hyperlink" Target="mailto:lNeuhoff@au1.ibm.com" TargetMode="Externa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mailto:lneuhoff@au1.ibm.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A9351-41DE-4A49-8757-78BFD6D1E05C}">
  <sheetPr codeName="Sheet6">
    <tabColor theme="0"/>
  </sheetPr>
  <dimension ref="A1:D62"/>
  <sheetViews>
    <sheetView zoomScale="90" zoomScaleNormal="90" workbookViewId="0">
      <pane ySplit="2" topLeftCell="A61" activePane="bottomLeft" state="frozen"/>
      <selection pane="bottomLeft" activeCell="D68" sqref="D68"/>
    </sheetView>
  </sheetViews>
  <sheetFormatPr defaultColWidth="8.81640625" defaultRowHeight="14.5" x14ac:dyDescent="0.35"/>
  <cols>
    <col min="1" max="1" width="10" bestFit="1" customWidth="1"/>
    <col min="2" max="2" width="17.1796875" bestFit="1" customWidth="1"/>
    <col min="3" max="3" width="22.81640625" customWidth="1"/>
    <col min="4" max="4" width="98.81640625" bestFit="1" customWidth="1"/>
  </cols>
  <sheetData>
    <row r="1" spans="1:4" ht="22.4" customHeight="1" thickBot="1" x14ac:dyDescent="0.4">
      <c r="B1" s="223" t="s">
        <v>0</v>
      </c>
    </row>
    <row r="2" spans="1:4" ht="15.5" x14ac:dyDescent="0.35">
      <c r="A2" s="1059" t="s">
        <v>1</v>
      </c>
      <c r="B2" s="1060" t="s">
        <v>2</v>
      </c>
      <c r="C2" s="1061" t="s">
        <v>3</v>
      </c>
      <c r="D2" s="1062" t="s">
        <v>4</v>
      </c>
    </row>
    <row r="3" spans="1:4" hidden="1" x14ac:dyDescent="0.35">
      <c r="A3" s="561" t="s">
        <v>5</v>
      </c>
      <c r="B3" s="562">
        <v>44077</v>
      </c>
      <c r="C3" s="561" t="s">
        <v>6</v>
      </c>
      <c r="D3" s="563" t="s">
        <v>7</v>
      </c>
    </row>
    <row r="4" spans="1:4" hidden="1" x14ac:dyDescent="0.35">
      <c r="A4" s="561" t="s">
        <v>5</v>
      </c>
      <c r="B4" s="562">
        <v>44085</v>
      </c>
      <c r="C4" s="561" t="s">
        <v>6</v>
      </c>
      <c r="D4" s="563" t="s">
        <v>8</v>
      </c>
    </row>
    <row r="5" spans="1:4" ht="21.65" hidden="1" customHeight="1" x14ac:dyDescent="0.35">
      <c r="A5" s="561" t="s">
        <v>5</v>
      </c>
      <c r="B5" s="562">
        <v>44088</v>
      </c>
      <c r="C5" s="561" t="s">
        <v>6</v>
      </c>
      <c r="D5" s="334" t="s">
        <v>9</v>
      </c>
    </row>
    <row r="6" spans="1:4" hidden="1" x14ac:dyDescent="0.35">
      <c r="A6" s="561" t="s">
        <v>5</v>
      </c>
      <c r="B6" s="562">
        <v>44088</v>
      </c>
      <c r="C6" s="561" t="s">
        <v>6</v>
      </c>
      <c r="D6" s="334" t="s">
        <v>10</v>
      </c>
    </row>
    <row r="7" spans="1:4" hidden="1" x14ac:dyDescent="0.35">
      <c r="A7" s="561" t="s">
        <v>5</v>
      </c>
      <c r="B7" s="562">
        <v>44104</v>
      </c>
      <c r="C7" s="561" t="s">
        <v>11</v>
      </c>
      <c r="D7" s="334" t="s">
        <v>12</v>
      </c>
    </row>
    <row r="8" spans="1:4" hidden="1" x14ac:dyDescent="0.35">
      <c r="A8" s="561" t="s">
        <v>13</v>
      </c>
      <c r="B8" s="562">
        <v>44130</v>
      </c>
      <c r="C8" s="561" t="s">
        <v>6</v>
      </c>
      <c r="D8" s="334" t="s">
        <v>14</v>
      </c>
    </row>
    <row r="9" spans="1:4" hidden="1" x14ac:dyDescent="0.35">
      <c r="A9" s="561" t="s">
        <v>15</v>
      </c>
      <c r="B9" s="562">
        <v>44130</v>
      </c>
      <c r="C9" s="561" t="s">
        <v>16</v>
      </c>
      <c r="D9" s="334" t="s">
        <v>17</v>
      </c>
    </row>
    <row r="10" spans="1:4" hidden="1" x14ac:dyDescent="0.35">
      <c r="A10" s="561" t="s">
        <v>18</v>
      </c>
      <c r="B10" s="562">
        <v>44134</v>
      </c>
      <c r="C10" s="561" t="s">
        <v>16</v>
      </c>
      <c r="D10" s="334" t="s">
        <v>19</v>
      </c>
    </row>
    <row r="11" spans="1:4" hidden="1" x14ac:dyDescent="0.35">
      <c r="A11" s="561" t="s">
        <v>20</v>
      </c>
      <c r="B11" s="564">
        <v>44139</v>
      </c>
      <c r="C11" s="561" t="s">
        <v>16</v>
      </c>
      <c r="D11" s="334" t="s">
        <v>21</v>
      </c>
    </row>
    <row r="12" spans="1:4" s="51" customFormat="1" ht="43.5" hidden="1" x14ac:dyDescent="0.35">
      <c r="A12" s="561" t="s">
        <v>22</v>
      </c>
      <c r="B12" s="565">
        <v>44146</v>
      </c>
      <c r="C12" s="561" t="s">
        <v>16</v>
      </c>
      <c r="D12" s="429" t="s">
        <v>23</v>
      </c>
    </row>
    <row r="13" spans="1:4" s="51" customFormat="1" ht="29" hidden="1" x14ac:dyDescent="0.35">
      <c r="A13" s="561" t="s">
        <v>24</v>
      </c>
      <c r="B13" s="565">
        <v>44153</v>
      </c>
      <c r="C13" s="561" t="s">
        <v>16</v>
      </c>
      <c r="D13" s="429" t="s">
        <v>25</v>
      </c>
    </row>
    <row r="14" spans="1:4" ht="29" hidden="1" x14ac:dyDescent="0.35">
      <c r="A14" s="561" t="s">
        <v>26</v>
      </c>
      <c r="B14" s="565">
        <v>44158</v>
      </c>
      <c r="C14" s="561" t="s">
        <v>16</v>
      </c>
      <c r="D14" s="429" t="s">
        <v>27</v>
      </c>
    </row>
    <row r="15" spans="1:4" ht="29" hidden="1" x14ac:dyDescent="0.35">
      <c r="A15" s="561" t="s">
        <v>28</v>
      </c>
      <c r="B15" s="565">
        <v>44166</v>
      </c>
      <c r="C15" s="561" t="s">
        <v>16</v>
      </c>
      <c r="D15" s="298" t="s">
        <v>29</v>
      </c>
    </row>
    <row r="16" spans="1:4" ht="29" hidden="1" x14ac:dyDescent="0.35">
      <c r="A16" s="561" t="s">
        <v>28</v>
      </c>
      <c r="B16" s="565">
        <v>44167</v>
      </c>
      <c r="C16" s="561" t="s">
        <v>16</v>
      </c>
      <c r="D16" s="298" t="s">
        <v>30</v>
      </c>
    </row>
    <row r="17" spans="1:4" ht="174" hidden="1" x14ac:dyDescent="0.35">
      <c r="A17" s="561" t="s">
        <v>31</v>
      </c>
      <c r="B17" s="565">
        <v>44169</v>
      </c>
      <c r="C17" s="561" t="s">
        <v>16</v>
      </c>
      <c r="D17" s="298" t="s">
        <v>32</v>
      </c>
    </row>
    <row r="18" spans="1:4" ht="130.5" hidden="1" x14ac:dyDescent="0.35">
      <c r="A18" s="561" t="s">
        <v>33</v>
      </c>
      <c r="B18" s="565">
        <v>44173</v>
      </c>
      <c r="C18" s="561" t="s">
        <v>16</v>
      </c>
      <c r="D18" s="298" t="s">
        <v>34</v>
      </c>
    </row>
    <row r="19" spans="1:4" ht="101.5" hidden="1" x14ac:dyDescent="0.35">
      <c r="A19" s="561" t="s">
        <v>35</v>
      </c>
      <c r="B19" s="565">
        <v>44201</v>
      </c>
      <c r="C19" s="561" t="s">
        <v>16</v>
      </c>
      <c r="D19" s="298" t="s">
        <v>36</v>
      </c>
    </row>
    <row r="20" spans="1:4" ht="87" hidden="1" x14ac:dyDescent="0.35">
      <c r="A20" s="561" t="s">
        <v>37</v>
      </c>
      <c r="B20" s="565">
        <v>44207</v>
      </c>
      <c r="C20" s="561" t="s">
        <v>16</v>
      </c>
      <c r="D20" s="298" t="s">
        <v>38</v>
      </c>
    </row>
    <row r="21" spans="1:4" ht="43.5" hidden="1" x14ac:dyDescent="0.35">
      <c r="A21" s="561" t="s">
        <v>39</v>
      </c>
      <c r="B21" s="565">
        <v>44216</v>
      </c>
      <c r="C21" s="561" t="s">
        <v>16</v>
      </c>
      <c r="D21" s="298" t="s">
        <v>40</v>
      </c>
    </row>
    <row r="22" spans="1:4" ht="29" hidden="1" x14ac:dyDescent="0.35">
      <c r="A22" s="561" t="s">
        <v>41</v>
      </c>
      <c r="B22" s="565">
        <v>44217</v>
      </c>
      <c r="C22" s="561" t="s">
        <v>16</v>
      </c>
      <c r="D22" s="298" t="s">
        <v>42</v>
      </c>
    </row>
    <row r="23" spans="1:4" ht="29" hidden="1" x14ac:dyDescent="0.35">
      <c r="A23" s="561" t="s">
        <v>43</v>
      </c>
      <c r="B23" s="565">
        <v>44224</v>
      </c>
      <c r="C23" s="561" t="s">
        <v>16</v>
      </c>
      <c r="D23" s="298" t="s">
        <v>44</v>
      </c>
    </row>
    <row r="24" spans="1:4" ht="29" hidden="1" x14ac:dyDescent="0.35">
      <c r="A24" s="561" t="s">
        <v>45</v>
      </c>
      <c r="B24" s="565">
        <v>44228</v>
      </c>
      <c r="C24" s="561" t="s">
        <v>16</v>
      </c>
      <c r="D24" s="298" t="s">
        <v>46</v>
      </c>
    </row>
    <row r="25" spans="1:4" hidden="1" x14ac:dyDescent="0.35">
      <c r="A25" s="561" t="s">
        <v>47</v>
      </c>
      <c r="B25" s="565">
        <v>44231</v>
      </c>
      <c r="C25" s="561" t="s">
        <v>48</v>
      </c>
      <c r="D25" s="298" t="s">
        <v>49</v>
      </c>
    </row>
    <row r="26" spans="1:4" ht="277.39999999999998" hidden="1" customHeight="1" x14ac:dyDescent="0.35">
      <c r="A26" s="561" t="s">
        <v>50</v>
      </c>
      <c r="B26" s="565">
        <v>44232</v>
      </c>
      <c r="C26" s="561" t="s">
        <v>16</v>
      </c>
      <c r="D26" s="298" t="s">
        <v>51</v>
      </c>
    </row>
    <row r="27" spans="1:4" ht="29" hidden="1" x14ac:dyDescent="0.35">
      <c r="A27" s="561" t="s">
        <v>52</v>
      </c>
      <c r="B27" s="565">
        <v>44236</v>
      </c>
      <c r="C27" s="561" t="s">
        <v>16</v>
      </c>
      <c r="D27" s="298" t="s">
        <v>53</v>
      </c>
    </row>
    <row r="28" spans="1:4" ht="29" hidden="1" x14ac:dyDescent="0.35">
      <c r="A28" s="561" t="s">
        <v>54</v>
      </c>
      <c r="B28" s="565">
        <v>44239</v>
      </c>
      <c r="C28" s="561" t="s">
        <v>16</v>
      </c>
      <c r="D28" s="298" t="s">
        <v>55</v>
      </c>
    </row>
    <row r="29" spans="1:4" ht="87" hidden="1" x14ac:dyDescent="0.35">
      <c r="A29" s="561" t="s">
        <v>56</v>
      </c>
      <c r="B29" s="565">
        <v>44240</v>
      </c>
      <c r="C29" s="561" t="s">
        <v>57</v>
      </c>
      <c r="D29" s="298" t="s">
        <v>58</v>
      </c>
    </row>
    <row r="30" spans="1:4" ht="43.5" hidden="1" x14ac:dyDescent="0.35">
      <c r="A30" s="561" t="s">
        <v>59</v>
      </c>
      <c r="B30" s="565">
        <v>44252</v>
      </c>
      <c r="C30" s="561" t="s">
        <v>57</v>
      </c>
      <c r="D30" s="298" t="s">
        <v>60</v>
      </c>
    </row>
    <row r="31" spans="1:4" ht="43.5" x14ac:dyDescent="0.35">
      <c r="A31" s="561" t="s">
        <v>61</v>
      </c>
      <c r="B31" s="565">
        <v>44263</v>
      </c>
      <c r="C31" s="561" t="s">
        <v>57</v>
      </c>
      <c r="D31" s="298" t="s">
        <v>62</v>
      </c>
    </row>
    <row r="32" spans="1:4" ht="43.5" x14ac:dyDescent="0.35">
      <c r="A32" s="561" t="s">
        <v>63</v>
      </c>
      <c r="B32" s="565">
        <v>44271</v>
      </c>
      <c r="C32" s="561" t="s">
        <v>16</v>
      </c>
      <c r="D32" s="298" t="s">
        <v>64</v>
      </c>
    </row>
    <row r="33" spans="1:4" ht="72.5" x14ac:dyDescent="0.35">
      <c r="A33" s="561" t="s">
        <v>65</v>
      </c>
      <c r="B33" s="565">
        <v>44271</v>
      </c>
      <c r="C33" s="561" t="s">
        <v>16</v>
      </c>
      <c r="D33" s="298" t="s">
        <v>66</v>
      </c>
    </row>
    <row r="34" spans="1:4" ht="29" x14ac:dyDescent="0.35">
      <c r="A34" s="561" t="s">
        <v>67</v>
      </c>
      <c r="B34" s="565">
        <v>44279</v>
      </c>
      <c r="C34" s="561" t="s">
        <v>16</v>
      </c>
      <c r="D34" s="298" t="s">
        <v>68</v>
      </c>
    </row>
    <row r="35" spans="1:4" ht="58" x14ac:dyDescent="0.35">
      <c r="A35" s="561" t="s">
        <v>69</v>
      </c>
      <c r="B35" s="565">
        <v>44292</v>
      </c>
      <c r="C35" s="561" t="s">
        <v>16</v>
      </c>
      <c r="D35" s="298" t="s">
        <v>70</v>
      </c>
    </row>
    <row r="36" spans="1:4" ht="58" x14ac:dyDescent="0.35">
      <c r="A36" s="561" t="s">
        <v>71</v>
      </c>
      <c r="B36" s="565">
        <v>44292</v>
      </c>
      <c r="C36" s="561" t="s">
        <v>16</v>
      </c>
      <c r="D36" s="298" t="s">
        <v>72</v>
      </c>
    </row>
    <row r="37" spans="1:4" ht="29" x14ac:dyDescent="0.35">
      <c r="A37" s="561" t="s">
        <v>73</v>
      </c>
      <c r="B37" s="565">
        <v>44305</v>
      </c>
      <c r="C37" s="561" t="s">
        <v>16</v>
      </c>
      <c r="D37" s="298" t="s">
        <v>74</v>
      </c>
    </row>
    <row r="38" spans="1:4" x14ac:dyDescent="0.35">
      <c r="A38" s="561" t="s">
        <v>75</v>
      </c>
      <c r="B38" s="565">
        <v>44320</v>
      </c>
      <c r="C38" s="561" t="s">
        <v>16</v>
      </c>
      <c r="D38" s="298" t="s">
        <v>76</v>
      </c>
    </row>
    <row r="39" spans="1:4" ht="29" x14ac:dyDescent="0.35">
      <c r="A39" s="561" t="s">
        <v>77</v>
      </c>
      <c r="B39" s="565">
        <v>44330</v>
      </c>
      <c r="C39" s="561" t="s">
        <v>16</v>
      </c>
      <c r="D39" s="298" t="s">
        <v>78</v>
      </c>
    </row>
    <row r="40" spans="1:4" ht="145" x14ac:dyDescent="0.35">
      <c r="A40" s="561" t="s">
        <v>79</v>
      </c>
      <c r="B40" s="565">
        <v>44354</v>
      </c>
      <c r="C40" s="561" t="s">
        <v>57</v>
      </c>
      <c r="D40" s="298" t="s">
        <v>80</v>
      </c>
    </row>
    <row r="41" spans="1:4" ht="29" x14ac:dyDescent="0.35">
      <c r="A41" s="561" t="s">
        <v>81</v>
      </c>
      <c r="B41" s="565">
        <v>44389</v>
      </c>
      <c r="C41" s="561" t="s">
        <v>57</v>
      </c>
      <c r="D41" s="298" t="s">
        <v>82</v>
      </c>
    </row>
    <row r="42" spans="1:4" ht="29" x14ac:dyDescent="0.35">
      <c r="A42" s="561" t="s">
        <v>83</v>
      </c>
      <c r="B42" s="565">
        <v>44390</v>
      </c>
      <c r="C42" s="561" t="s">
        <v>57</v>
      </c>
      <c r="D42" s="298" t="s">
        <v>84</v>
      </c>
    </row>
    <row r="43" spans="1:4" ht="29" x14ac:dyDescent="0.35">
      <c r="A43" s="561" t="s">
        <v>85</v>
      </c>
      <c r="B43" s="565">
        <v>44390</v>
      </c>
      <c r="C43" s="561" t="s">
        <v>86</v>
      </c>
      <c r="D43" s="298" t="s">
        <v>87</v>
      </c>
    </row>
    <row r="44" spans="1:4" ht="29" x14ac:dyDescent="0.35">
      <c r="A44" s="561" t="s">
        <v>88</v>
      </c>
      <c r="B44" s="565">
        <v>44392</v>
      </c>
      <c r="C44" s="561" t="s">
        <v>57</v>
      </c>
      <c r="D44" s="298" t="s">
        <v>89</v>
      </c>
    </row>
    <row r="45" spans="1:4" ht="130.5" x14ac:dyDescent="0.35">
      <c r="A45" s="561" t="s">
        <v>90</v>
      </c>
      <c r="B45" s="565">
        <v>44411</v>
      </c>
      <c r="C45" s="561" t="s">
        <v>57</v>
      </c>
      <c r="D45" s="298" t="s">
        <v>91</v>
      </c>
    </row>
    <row r="46" spans="1:4" ht="43.5" x14ac:dyDescent="0.35">
      <c r="A46" s="561" t="s">
        <v>92</v>
      </c>
      <c r="B46" s="565">
        <v>44411</v>
      </c>
      <c r="C46" s="561" t="s">
        <v>86</v>
      </c>
      <c r="D46" s="298" t="s">
        <v>93</v>
      </c>
    </row>
    <row r="47" spans="1:4" ht="58" x14ac:dyDescent="0.35">
      <c r="A47" s="561" t="s">
        <v>94</v>
      </c>
      <c r="B47" s="565">
        <v>44414</v>
      </c>
      <c r="C47" s="561" t="s">
        <v>57</v>
      </c>
      <c r="D47" s="298" t="s">
        <v>95</v>
      </c>
    </row>
    <row r="48" spans="1:4" ht="101.5" x14ac:dyDescent="0.35">
      <c r="A48" s="561" t="s">
        <v>96</v>
      </c>
      <c r="B48" s="565">
        <v>44435</v>
      </c>
      <c r="C48" s="561" t="s">
        <v>57</v>
      </c>
      <c r="D48" s="298" t="s">
        <v>97</v>
      </c>
    </row>
    <row r="49" spans="1:4" ht="43.5" x14ac:dyDescent="0.35">
      <c r="A49" s="561" t="s">
        <v>98</v>
      </c>
      <c r="B49" s="565">
        <v>44448</v>
      </c>
      <c r="C49" s="561" t="s">
        <v>86</v>
      </c>
      <c r="D49" s="298" t="s">
        <v>99</v>
      </c>
    </row>
    <row r="50" spans="1:4" ht="43.5" x14ac:dyDescent="0.35">
      <c r="A50" s="561" t="s">
        <v>100</v>
      </c>
      <c r="B50" s="565">
        <v>44453</v>
      </c>
      <c r="C50" s="561" t="s">
        <v>57</v>
      </c>
      <c r="D50" s="298" t="s">
        <v>101</v>
      </c>
    </row>
    <row r="51" spans="1:4" ht="58" x14ac:dyDescent="0.35">
      <c r="A51" s="561" t="s">
        <v>102</v>
      </c>
      <c r="B51" s="565">
        <v>44463</v>
      </c>
      <c r="C51" s="561" t="s">
        <v>57</v>
      </c>
      <c r="D51" s="298" t="s">
        <v>103</v>
      </c>
    </row>
    <row r="52" spans="1:4" ht="58" x14ac:dyDescent="0.35">
      <c r="A52" s="561" t="s">
        <v>104</v>
      </c>
      <c r="B52" s="565">
        <v>44467</v>
      </c>
      <c r="C52" s="561" t="s">
        <v>86</v>
      </c>
      <c r="D52" s="298" t="s">
        <v>105</v>
      </c>
    </row>
    <row r="53" spans="1:4" ht="72.5" x14ac:dyDescent="0.35">
      <c r="A53" s="561" t="s">
        <v>106</v>
      </c>
      <c r="B53" s="565">
        <v>44474</v>
      </c>
      <c r="C53" s="561" t="s">
        <v>57</v>
      </c>
      <c r="D53" s="298" t="s">
        <v>107</v>
      </c>
    </row>
    <row r="54" spans="1:4" ht="43.5" x14ac:dyDescent="0.35">
      <c r="A54" s="561" t="s">
        <v>106</v>
      </c>
      <c r="B54" s="565">
        <v>44474</v>
      </c>
      <c r="C54" s="561" t="s">
        <v>57</v>
      </c>
      <c r="D54" s="298" t="s">
        <v>108</v>
      </c>
    </row>
    <row r="55" spans="1:4" ht="43.5" x14ac:dyDescent="0.35">
      <c r="A55" s="561" t="s">
        <v>109</v>
      </c>
      <c r="B55" s="565">
        <v>44571</v>
      </c>
      <c r="C55" s="561" t="s">
        <v>86</v>
      </c>
      <c r="D55" s="298" t="s">
        <v>110</v>
      </c>
    </row>
    <row r="56" spans="1:4" ht="72.5" x14ac:dyDescent="0.35">
      <c r="A56" s="561" t="s">
        <v>111</v>
      </c>
      <c r="B56" s="565">
        <v>44588</v>
      </c>
      <c r="C56" s="561" t="s">
        <v>112</v>
      </c>
      <c r="D56" s="298" t="s">
        <v>113</v>
      </c>
    </row>
    <row r="57" spans="1:4" x14ac:dyDescent="0.35">
      <c r="A57" s="561" t="s">
        <v>114</v>
      </c>
      <c r="B57" s="565">
        <v>44613</v>
      </c>
      <c r="C57" s="561" t="s">
        <v>115</v>
      </c>
      <c r="D57" s="298" t="s">
        <v>116</v>
      </c>
    </row>
    <row r="58" spans="1:4" ht="29" x14ac:dyDescent="0.35">
      <c r="A58" s="561" t="s">
        <v>117</v>
      </c>
      <c r="B58" s="565">
        <v>44614</v>
      </c>
      <c r="C58" s="561" t="s">
        <v>115</v>
      </c>
      <c r="D58" s="298" t="s">
        <v>118</v>
      </c>
    </row>
    <row r="59" spans="1:4" x14ac:dyDescent="0.35">
      <c r="A59" s="561" t="s">
        <v>119</v>
      </c>
      <c r="B59" s="565">
        <v>44614</v>
      </c>
      <c r="C59" s="561" t="s">
        <v>115</v>
      </c>
      <c r="D59" s="298" t="s">
        <v>120</v>
      </c>
    </row>
    <row r="60" spans="1:4" ht="29" x14ac:dyDescent="0.35">
      <c r="A60" s="561" t="s">
        <v>121</v>
      </c>
      <c r="B60" s="565">
        <v>45076</v>
      </c>
      <c r="C60" s="561" t="s">
        <v>122</v>
      </c>
      <c r="D60" s="298" t="s">
        <v>123</v>
      </c>
    </row>
    <row r="61" spans="1:4" ht="159.5" x14ac:dyDescent="0.35">
      <c r="A61" s="566" t="s">
        <v>124</v>
      </c>
      <c r="B61" s="567">
        <v>45079</v>
      </c>
      <c r="C61" s="560" t="s">
        <v>48</v>
      </c>
      <c r="D61" s="298" t="s">
        <v>125</v>
      </c>
    </row>
    <row r="62" spans="1:4" ht="29" x14ac:dyDescent="0.35">
      <c r="A62" s="566" t="s">
        <v>2265</v>
      </c>
      <c r="B62" s="567">
        <v>45167</v>
      </c>
      <c r="C62" s="560" t="s">
        <v>2266</v>
      </c>
      <c r="D62" s="298" t="s">
        <v>2273</v>
      </c>
    </row>
  </sheetData>
  <phoneticPr fontId="15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456-FEB7-45BC-9C9B-FC5DE4643AAE}">
  <sheetPr codeName="Sheet16">
    <tabColor rgb="FF009900"/>
  </sheetPr>
  <dimension ref="A1:V18"/>
  <sheetViews>
    <sheetView topLeftCell="A3" zoomScale="50" zoomScaleNormal="50" workbookViewId="0">
      <selection activeCell="H4" sqref="H4"/>
    </sheetView>
  </sheetViews>
  <sheetFormatPr defaultColWidth="8.81640625" defaultRowHeight="20" x14ac:dyDescent="0.4"/>
  <cols>
    <col min="1" max="1" width="6.81640625" style="142" customWidth="1"/>
    <col min="2" max="2" width="37.453125" style="153" customWidth="1"/>
    <col min="3" max="3" width="8.1796875" style="153" customWidth="1"/>
    <col min="4" max="4" width="10.1796875" style="153" customWidth="1"/>
    <col min="5" max="6" width="9.81640625" style="145" customWidth="1"/>
    <col min="7" max="7" width="11.453125" style="145" customWidth="1"/>
    <col min="8" max="8" width="8.81640625" style="145" customWidth="1"/>
    <col min="9" max="9" width="85.453125" style="145" customWidth="1"/>
    <col min="10" max="10" width="11.1796875" style="145" customWidth="1"/>
    <col min="11" max="11" width="22" style="145" hidden="1" customWidth="1"/>
    <col min="12" max="12" width="18.453125" style="145" hidden="1" customWidth="1"/>
    <col min="13" max="20" width="7.1796875" style="145" hidden="1" customWidth="1"/>
    <col min="21" max="21" width="4.453125" style="145" hidden="1" customWidth="1"/>
    <col min="22" max="22" width="7" style="145" customWidth="1"/>
    <col min="23" max="23" width="10.453125" style="145" customWidth="1"/>
    <col min="24" max="32" width="9.453125" style="145" customWidth="1"/>
    <col min="33" max="245" width="8.81640625" style="145"/>
    <col min="246" max="246" width="6.453125" style="145" customWidth="1"/>
    <col min="247" max="247" width="23" style="145" customWidth="1"/>
    <col min="248" max="250" width="3.453125" style="145" customWidth="1"/>
    <col min="251" max="251" width="4.453125" style="145" customWidth="1"/>
    <col min="252" max="254" width="3.453125" style="145" customWidth="1"/>
    <col min="255" max="255" width="67" style="145" customWidth="1"/>
    <col min="256" max="264" width="8.81640625" style="145"/>
    <col min="265" max="265" width="18.453125" style="145" customWidth="1"/>
    <col min="266" max="501" width="8.81640625" style="145"/>
    <col min="502" max="502" width="6.453125" style="145" customWidth="1"/>
    <col min="503" max="503" width="23" style="145" customWidth="1"/>
    <col min="504" max="506" width="3.453125" style="145" customWidth="1"/>
    <col min="507" max="507" width="4.453125" style="145" customWidth="1"/>
    <col min="508" max="510" width="3.453125" style="145" customWidth="1"/>
    <col min="511" max="511" width="67" style="145" customWidth="1"/>
    <col min="512" max="520" width="8.81640625" style="145"/>
    <col min="521" max="521" width="18.453125" style="145" customWidth="1"/>
    <col min="522" max="757" width="8.81640625" style="145"/>
    <col min="758" max="758" width="6.453125" style="145" customWidth="1"/>
    <col min="759" max="759" width="23" style="145" customWidth="1"/>
    <col min="760" max="762" width="3.453125" style="145" customWidth="1"/>
    <col min="763" max="763" width="4.453125" style="145" customWidth="1"/>
    <col min="764" max="766" width="3.453125" style="145" customWidth="1"/>
    <col min="767" max="767" width="67" style="145" customWidth="1"/>
    <col min="768" max="776" width="8.81640625" style="145"/>
    <col min="777" max="777" width="18.453125" style="145" customWidth="1"/>
    <col min="778" max="1013" width="8.81640625" style="145"/>
    <col min="1014" max="1014" width="6.453125" style="145" customWidth="1"/>
    <col min="1015" max="1015" width="23" style="145" customWidth="1"/>
    <col min="1016" max="1018" width="3.453125" style="145" customWidth="1"/>
    <col min="1019" max="1019" width="4.453125" style="145" customWidth="1"/>
    <col min="1020" max="1022" width="3.453125" style="145" customWidth="1"/>
    <col min="1023" max="1023" width="67" style="145" customWidth="1"/>
    <col min="1024" max="1032" width="8.81640625" style="145"/>
    <col min="1033" max="1033" width="18.453125" style="145" customWidth="1"/>
    <col min="1034" max="1269" width="8.81640625" style="145"/>
    <col min="1270" max="1270" width="6.453125" style="145" customWidth="1"/>
    <col min="1271" max="1271" width="23" style="145" customWidth="1"/>
    <col min="1272" max="1274" width="3.453125" style="145" customWidth="1"/>
    <col min="1275" max="1275" width="4.453125" style="145" customWidth="1"/>
    <col min="1276" max="1278" width="3.453125" style="145" customWidth="1"/>
    <col min="1279" max="1279" width="67" style="145" customWidth="1"/>
    <col min="1280" max="1288" width="8.81640625" style="145"/>
    <col min="1289" max="1289" width="18.453125" style="145" customWidth="1"/>
    <col min="1290" max="1525" width="8.81640625" style="145"/>
    <col min="1526" max="1526" width="6.453125" style="145" customWidth="1"/>
    <col min="1527" max="1527" width="23" style="145" customWidth="1"/>
    <col min="1528" max="1530" width="3.453125" style="145" customWidth="1"/>
    <col min="1531" max="1531" width="4.453125" style="145" customWidth="1"/>
    <col min="1532" max="1534" width="3.453125" style="145" customWidth="1"/>
    <col min="1535" max="1535" width="67" style="145" customWidth="1"/>
    <col min="1536" max="1544" width="8.81640625" style="145"/>
    <col min="1545" max="1545" width="18.453125" style="145" customWidth="1"/>
    <col min="1546" max="1781" width="8.81640625" style="145"/>
    <col min="1782" max="1782" width="6.453125" style="145" customWidth="1"/>
    <col min="1783" max="1783" width="23" style="145" customWidth="1"/>
    <col min="1784" max="1786" width="3.453125" style="145" customWidth="1"/>
    <col min="1787" max="1787" width="4.453125" style="145" customWidth="1"/>
    <col min="1788" max="1790" width="3.453125" style="145" customWidth="1"/>
    <col min="1791" max="1791" width="67" style="145" customWidth="1"/>
    <col min="1792" max="1800" width="8.81640625" style="145"/>
    <col min="1801" max="1801" width="18.453125" style="145" customWidth="1"/>
    <col min="1802" max="2037" width="8.81640625" style="145"/>
    <col min="2038" max="2038" width="6.453125" style="145" customWidth="1"/>
    <col min="2039" max="2039" width="23" style="145" customWidth="1"/>
    <col min="2040" max="2042" width="3.453125" style="145" customWidth="1"/>
    <col min="2043" max="2043" width="4.453125" style="145" customWidth="1"/>
    <col min="2044" max="2046" width="3.453125" style="145" customWidth="1"/>
    <col min="2047" max="2047" width="67" style="145" customWidth="1"/>
    <col min="2048" max="2056" width="8.81640625" style="145"/>
    <col min="2057" max="2057" width="18.453125" style="145" customWidth="1"/>
    <col min="2058" max="2293" width="8.81640625" style="145"/>
    <col min="2294" max="2294" width="6.453125" style="145" customWidth="1"/>
    <col min="2295" max="2295" width="23" style="145" customWidth="1"/>
    <col min="2296" max="2298" width="3.453125" style="145" customWidth="1"/>
    <col min="2299" max="2299" width="4.453125" style="145" customWidth="1"/>
    <col min="2300" max="2302" width="3.453125" style="145" customWidth="1"/>
    <col min="2303" max="2303" width="67" style="145" customWidth="1"/>
    <col min="2304" max="2312" width="8.81640625" style="145"/>
    <col min="2313" max="2313" width="18.453125" style="145" customWidth="1"/>
    <col min="2314" max="2549" width="8.81640625" style="145"/>
    <col min="2550" max="2550" width="6.453125" style="145" customWidth="1"/>
    <col min="2551" max="2551" width="23" style="145" customWidth="1"/>
    <col min="2552" max="2554" width="3.453125" style="145" customWidth="1"/>
    <col min="2555" max="2555" width="4.453125" style="145" customWidth="1"/>
    <col min="2556" max="2558" width="3.453125" style="145" customWidth="1"/>
    <col min="2559" max="2559" width="67" style="145" customWidth="1"/>
    <col min="2560" max="2568" width="8.81640625" style="145"/>
    <col min="2569" max="2569" width="18.453125" style="145" customWidth="1"/>
    <col min="2570" max="2805" width="8.81640625" style="145"/>
    <col min="2806" max="2806" width="6.453125" style="145" customWidth="1"/>
    <col min="2807" max="2807" width="23" style="145" customWidth="1"/>
    <col min="2808" max="2810" width="3.453125" style="145" customWidth="1"/>
    <col min="2811" max="2811" width="4.453125" style="145" customWidth="1"/>
    <col min="2812" max="2814" width="3.453125" style="145" customWidth="1"/>
    <col min="2815" max="2815" width="67" style="145" customWidth="1"/>
    <col min="2816" max="2824" width="8.81640625" style="145"/>
    <col min="2825" max="2825" width="18.453125" style="145" customWidth="1"/>
    <col min="2826" max="3061" width="8.81640625" style="145"/>
    <col min="3062" max="3062" width="6.453125" style="145" customWidth="1"/>
    <col min="3063" max="3063" width="23" style="145" customWidth="1"/>
    <col min="3064" max="3066" width="3.453125" style="145" customWidth="1"/>
    <col min="3067" max="3067" width="4.453125" style="145" customWidth="1"/>
    <col min="3068" max="3070" width="3.453125" style="145" customWidth="1"/>
    <col min="3071" max="3071" width="67" style="145" customWidth="1"/>
    <col min="3072" max="3080" width="8.81640625" style="145"/>
    <col min="3081" max="3081" width="18.453125" style="145" customWidth="1"/>
    <col min="3082" max="3317" width="8.81640625" style="145"/>
    <col min="3318" max="3318" width="6.453125" style="145" customWidth="1"/>
    <col min="3319" max="3319" width="23" style="145" customWidth="1"/>
    <col min="3320" max="3322" width="3.453125" style="145" customWidth="1"/>
    <col min="3323" max="3323" width="4.453125" style="145" customWidth="1"/>
    <col min="3324" max="3326" width="3.453125" style="145" customWidth="1"/>
    <col min="3327" max="3327" width="67" style="145" customWidth="1"/>
    <col min="3328" max="3336" width="8.81640625" style="145"/>
    <col min="3337" max="3337" width="18.453125" style="145" customWidth="1"/>
    <col min="3338" max="3573" width="8.81640625" style="145"/>
    <col min="3574" max="3574" width="6.453125" style="145" customWidth="1"/>
    <col min="3575" max="3575" width="23" style="145" customWidth="1"/>
    <col min="3576" max="3578" width="3.453125" style="145" customWidth="1"/>
    <col min="3579" max="3579" width="4.453125" style="145" customWidth="1"/>
    <col min="3580" max="3582" width="3.453125" style="145" customWidth="1"/>
    <col min="3583" max="3583" width="67" style="145" customWidth="1"/>
    <col min="3584" max="3592" width="8.81640625" style="145"/>
    <col min="3593" max="3593" width="18.453125" style="145" customWidth="1"/>
    <col min="3594" max="3829" width="8.81640625" style="145"/>
    <col min="3830" max="3830" width="6.453125" style="145" customWidth="1"/>
    <col min="3831" max="3831" width="23" style="145" customWidth="1"/>
    <col min="3832" max="3834" width="3.453125" style="145" customWidth="1"/>
    <col min="3835" max="3835" width="4.453125" style="145" customWidth="1"/>
    <col min="3836" max="3838" width="3.453125" style="145" customWidth="1"/>
    <col min="3839" max="3839" width="67" style="145" customWidth="1"/>
    <col min="3840" max="3848" width="8.81640625" style="145"/>
    <col min="3849" max="3849" width="18.453125" style="145" customWidth="1"/>
    <col min="3850" max="4085" width="8.81640625" style="145"/>
    <col min="4086" max="4086" width="6.453125" style="145" customWidth="1"/>
    <col min="4087" max="4087" width="23" style="145" customWidth="1"/>
    <col min="4088" max="4090" width="3.453125" style="145" customWidth="1"/>
    <col min="4091" max="4091" width="4.453125" style="145" customWidth="1"/>
    <col min="4092" max="4094" width="3.453125" style="145" customWidth="1"/>
    <col min="4095" max="4095" width="67" style="145" customWidth="1"/>
    <col min="4096" max="4104" width="8.81640625" style="145"/>
    <col min="4105" max="4105" width="18.453125" style="145" customWidth="1"/>
    <col min="4106" max="4341" width="8.81640625" style="145"/>
    <col min="4342" max="4342" width="6.453125" style="145" customWidth="1"/>
    <col min="4343" max="4343" width="23" style="145" customWidth="1"/>
    <col min="4344" max="4346" width="3.453125" style="145" customWidth="1"/>
    <col min="4347" max="4347" width="4.453125" style="145" customWidth="1"/>
    <col min="4348" max="4350" width="3.453125" style="145" customWidth="1"/>
    <col min="4351" max="4351" width="67" style="145" customWidth="1"/>
    <col min="4352" max="4360" width="8.81640625" style="145"/>
    <col min="4361" max="4361" width="18.453125" style="145" customWidth="1"/>
    <col min="4362" max="4597" width="8.81640625" style="145"/>
    <col min="4598" max="4598" width="6.453125" style="145" customWidth="1"/>
    <col min="4599" max="4599" width="23" style="145" customWidth="1"/>
    <col min="4600" max="4602" width="3.453125" style="145" customWidth="1"/>
    <col min="4603" max="4603" width="4.453125" style="145" customWidth="1"/>
    <col min="4604" max="4606" width="3.453125" style="145" customWidth="1"/>
    <col min="4607" max="4607" width="67" style="145" customWidth="1"/>
    <col min="4608" max="4616" width="8.81640625" style="145"/>
    <col min="4617" max="4617" width="18.453125" style="145" customWidth="1"/>
    <col min="4618" max="4853" width="8.81640625" style="145"/>
    <col min="4854" max="4854" width="6.453125" style="145" customWidth="1"/>
    <col min="4855" max="4855" width="23" style="145" customWidth="1"/>
    <col min="4856" max="4858" width="3.453125" style="145" customWidth="1"/>
    <col min="4859" max="4859" width="4.453125" style="145" customWidth="1"/>
    <col min="4860" max="4862" width="3.453125" style="145" customWidth="1"/>
    <col min="4863" max="4863" width="67" style="145" customWidth="1"/>
    <col min="4864" max="4872" width="8.81640625" style="145"/>
    <col min="4873" max="4873" width="18.453125" style="145" customWidth="1"/>
    <col min="4874" max="5109" width="8.81640625" style="145"/>
    <col min="5110" max="5110" width="6.453125" style="145" customWidth="1"/>
    <col min="5111" max="5111" width="23" style="145" customWidth="1"/>
    <col min="5112" max="5114" width="3.453125" style="145" customWidth="1"/>
    <col min="5115" max="5115" width="4.453125" style="145" customWidth="1"/>
    <col min="5116" max="5118" width="3.453125" style="145" customWidth="1"/>
    <col min="5119" max="5119" width="67" style="145" customWidth="1"/>
    <col min="5120" max="5128" width="8.81640625" style="145"/>
    <col min="5129" max="5129" width="18.453125" style="145" customWidth="1"/>
    <col min="5130" max="5365" width="8.81640625" style="145"/>
    <col min="5366" max="5366" width="6.453125" style="145" customWidth="1"/>
    <col min="5367" max="5367" width="23" style="145" customWidth="1"/>
    <col min="5368" max="5370" width="3.453125" style="145" customWidth="1"/>
    <col min="5371" max="5371" width="4.453125" style="145" customWidth="1"/>
    <col min="5372" max="5374" width="3.453125" style="145" customWidth="1"/>
    <col min="5375" max="5375" width="67" style="145" customWidth="1"/>
    <col min="5376" max="5384" width="8.81640625" style="145"/>
    <col min="5385" max="5385" width="18.453125" style="145" customWidth="1"/>
    <col min="5386" max="5621" width="8.81640625" style="145"/>
    <col min="5622" max="5622" width="6.453125" style="145" customWidth="1"/>
    <col min="5623" max="5623" width="23" style="145" customWidth="1"/>
    <col min="5624" max="5626" width="3.453125" style="145" customWidth="1"/>
    <col min="5627" max="5627" width="4.453125" style="145" customWidth="1"/>
    <col min="5628" max="5630" width="3.453125" style="145" customWidth="1"/>
    <col min="5631" max="5631" width="67" style="145" customWidth="1"/>
    <col min="5632" max="5640" width="8.81640625" style="145"/>
    <col min="5641" max="5641" width="18.453125" style="145" customWidth="1"/>
    <col min="5642" max="5877" width="8.81640625" style="145"/>
    <col min="5878" max="5878" width="6.453125" style="145" customWidth="1"/>
    <col min="5879" max="5879" width="23" style="145" customWidth="1"/>
    <col min="5880" max="5882" width="3.453125" style="145" customWidth="1"/>
    <col min="5883" max="5883" width="4.453125" style="145" customWidth="1"/>
    <col min="5884" max="5886" width="3.453125" style="145" customWidth="1"/>
    <col min="5887" max="5887" width="67" style="145" customWidth="1"/>
    <col min="5888" max="5896" width="8.81640625" style="145"/>
    <col min="5897" max="5897" width="18.453125" style="145" customWidth="1"/>
    <col min="5898" max="6133" width="8.81640625" style="145"/>
    <col min="6134" max="6134" width="6.453125" style="145" customWidth="1"/>
    <col min="6135" max="6135" width="23" style="145" customWidth="1"/>
    <col min="6136" max="6138" width="3.453125" style="145" customWidth="1"/>
    <col min="6139" max="6139" width="4.453125" style="145" customWidth="1"/>
    <col min="6140" max="6142" width="3.453125" style="145" customWidth="1"/>
    <col min="6143" max="6143" width="67" style="145" customWidth="1"/>
    <col min="6144" max="6152" width="8.81640625" style="145"/>
    <col min="6153" max="6153" width="18.453125" style="145" customWidth="1"/>
    <col min="6154" max="6389" width="8.81640625" style="145"/>
    <col min="6390" max="6390" width="6.453125" style="145" customWidth="1"/>
    <col min="6391" max="6391" width="23" style="145" customWidth="1"/>
    <col min="6392" max="6394" width="3.453125" style="145" customWidth="1"/>
    <col min="6395" max="6395" width="4.453125" style="145" customWidth="1"/>
    <col min="6396" max="6398" width="3.453125" style="145" customWidth="1"/>
    <col min="6399" max="6399" width="67" style="145" customWidth="1"/>
    <col min="6400" max="6408" width="8.81640625" style="145"/>
    <col min="6409" max="6409" width="18.453125" style="145" customWidth="1"/>
    <col min="6410" max="6645" width="8.81640625" style="145"/>
    <col min="6646" max="6646" width="6.453125" style="145" customWidth="1"/>
    <col min="6647" max="6647" width="23" style="145" customWidth="1"/>
    <col min="6648" max="6650" width="3.453125" style="145" customWidth="1"/>
    <col min="6651" max="6651" width="4.453125" style="145" customWidth="1"/>
    <col min="6652" max="6654" width="3.453125" style="145" customWidth="1"/>
    <col min="6655" max="6655" width="67" style="145" customWidth="1"/>
    <col min="6656" max="6664" width="8.81640625" style="145"/>
    <col min="6665" max="6665" width="18.453125" style="145" customWidth="1"/>
    <col min="6666" max="6901" width="8.81640625" style="145"/>
    <col min="6902" max="6902" width="6.453125" style="145" customWidth="1"/>
    <col min="6903" max="6903" width="23" style="145" customWidth="1"/>
    <col min="6904" max="6906" width="3.453125" style="145" customWidth="1"/>
    <col min="6907" max="6907" width="4.453125" style="145" customWidth="1"/>
    <col min="6908" max="6910" width="3.453125" style="145" customWidth="1"/>
    <col min="6911" max="6911" width="67" style="145" customWidth="1"/>
    <col min="6912" max="6920" width="8.81640625" style="145"/>
    <col min="6921" max="6921" width="18.453125" style="145" customWidth="1"/>
    <col min="6922" max="7157" width="8.81640625" style="145"/>
    <col min="7158" max="7158" width="6.453125" style="145" customWidth="1"/>
    <col min="7159" max="7159" width="23" style="145" customWidth="1"/>
    <col min="7160" max="7162" width="3.453125" style="145" customWidth="1"/>
    <col min="7163" max="7163" width="4.453125" style="145" customWidth="1"/>
    <col min="7164" max="7166" width="3.453125" style="145" customWidth="1"/>
    <col min="7167" max="7167" width="67" style="145" customWidth="1"/>
    <col min="7168" max="7176" width="8.81640625" style="145"/>
    <col min="7177" max="7177" width="18.453125" style="145" customWidth="1"/>
    <col min="7178" max="7413" width="8.81640625" style="145"/>
    <col min="7414" max="7414" width="6.453125" style="145" customWidth="1"/>
    <col min="7415" max="7415" width="23" style="145" customWidth="1"/>
    <col min="7416" max="7418" width="3.453125" style="145" customWidth="1"/>
    <col min="7419" max="7419" width="4.453125" style="145" customWidth="1"/>
    <col min="7420" max="7422" width="3.453125" style="145" customWidth="1"/>
    <col min="7423" max="7423" width="67" style="145" customWidth="1"/>
    <col min="7424" max="7432" width="8.81640625" style="145"/>
    <col min="7433" max="7433" width="18.453125" style="145" customWidth="1"/>
    <col min="7434" max="7669" width="8.81640625" style="145"/>
    <col min="7670" max="7670" width="6.453125" style="145" customWidth="1"/>
    <col min="7671" max="7671" width="23" style="145" customWidth="1"/>
    <col min="7672" max="7674" width="3.453125" style="145" customWidth="1"/>
    <col min="7675" max="7675" width="4.453125" style="145" customWidth="1"/>
    <col min="7676" max="7678" width="3.453125" style="145" customWidth="1"/>
    <col min="7679" max="7679" width="67" style="145" customWidth="1"/>
    <col min="7680" max="7688" width="8.81640625" style="145"/>
    <col min="7689" max="7689" width="18.453125" style="145" customWidth="1"/>
    <col min="7690" max="7925" width="8.81640625" style="145"/>
    <col min="7926" max="7926" width="6.453125" style="145" customWidth="1"/>
    <col min="7927" max="7927" width="23" style="145" customWidth="1"/>
    <col min="7928" max="7930" width="3.453125" style="145" customWidth="1"/>
    <col min="7931" max="7931" width="4.453125" style="145" customWidth="1"/>
    <col min="7932" max="7934" width="3.453125" style="145" customWidth="1"/>
    <col min="7935" max="7935" width="67" style="145" customWidth="1"/>
    <col min="7936" max="7944" width="8.81640625" style="145"/>
    <col min="7945" max="7945" width="18.453125" style="145" customWidth="1"/>
    <col min="7946" max="8181" width="8.81640625" style="145"/>
    <col min="8182" max="8182" width="6.453125" style="145" customWidth="1"/>
    <col min="8183" max="8183" width="23" style="145" customWidth="1"/>
    <col min="8184" max="8186" width="3.453125" style="145" customWidth="1"/>
    <col min="8187" max="8187" width="4.453125" style="145" customWidth="1"/>
    <col min="8188" max="8190" width="3.453125" style="145" customWidth="1"/>
    <col min="8191" max="8191" width="67" style="145" customWidth="1"/>
    <col min="8192" max="8200" width="8.81640625" style="145"/>
    <col min="8201" max="8201" width="18.453125" style="145" customWidth="1"/>
    <col min="8202" max="8437" width="8.81640625" style="145"/>
    <col min="8438" max="8438" width="6.453125" style="145" customWidth="1"/>
    <col min="8439" max="8439" width="23" style="145" customWidth="1"/>
    <col min="8440" max="8442" width="3.453125" style="145" customWidth="1"/>
    <col min="8443" max="8443" width="4.453125" style="145" customWidth="1"/>
    <col min="8444" max="8446" width="3.453125" style="145" customWidth="1"/>
    <col min="8447" max="8447" width="67" style="145" customWidth="1"/>
    <col min="8448" max="8456" width="8.81640625" style="145"/>
    <col min="8457" max="8457" width="18.453125" style="145" customWidth="1"/>
    <col min="8458" max="8693" width="8.81640625" style="145"/>
    <col min="8694" max="8694" width="6.453125" style="145" customWidth="1"/>
    <col min="8695" max="8695" width="23" style="145" customWidth="1"/>
    <col min="8696" max="8698" width="3.453125" style="145" customWidth="1"/>
    <col min="8699" max="8699" width="4.453125" style="145" customWidth="1"/>
    <col min="8700" max="8702" width="3.453125" style="145" customWidth="1"/>
    <col min="8703" max="8703" width="67" style="145" customWidth="1"/>
    <col min="8704" max="8712" width="8.81640625" style="145"/>
    <col min="8713" max="8713" width="18.453125" style="145" customWidth="1"/>
    <col min="8714" max="8949" width="8.81640625" style="145"/>
    <col min="8950" max="8950" width="6.453125" style="145" customWidth="1"/>
    <col min="8951" max="8951" width="23" style="145" customWidth="1"/>
    <col min="8952" max="8954" width="3.453125" style="145" customWidth="1"/>
    <col min="8955" max="8955" width="4.453125" style="145" customWidth="1"/>
    <col min="8956" max="8958" width="3.453125" style="145" customWidth="1"/>
    <col min="8959" max="8959" width="67" style="145" customWidth="1"/>
    <col min="8960" max="8968" width="8.81640625" style="145"/>
    <col min="8969" max="8969" width="18.453125" style="145" customWidth="1"/>
    <col min="8970" max="9205" width="8.81640625" style="145"/>
    <col min="9206" max="9206" width="6.453125" style="145" customWidth="1"/>
    <col min="9207" max="9207" width="23" style="145" customWidth="1"/>
    <col min="9208" max="9210" width="3.453125" style="145" customWidth="1"/>
    <col min="9211" max="9211" width="4.453125" style="145" customWidth="1"/>
    <col min="9212" max="9214" width="3.453125" style="145" customWidth="1"/>
    <col min="9215" max="9215" width="67" style="145" customWidth="1"/>
    <col min="9216" max="9224" width="8.81640625" style="145"/>
    <col min="9225" max="9225" width="18.453125" style="145" customWidth="1"/>
    <col min="9226" max="9461" width="8.81640625" style="145"/>
    <col min="9462" max="9462" width="6.453125" style="145" customWidth="1"/>
    <col min="9463" max="9463" width="23" style="145" customWidth="1"/>
    <col min="9464" max="9466" width="3.453125" style="145" customWidth="1"/>
    <col min="9467" max="9467" width="4.453125" style="145" customWidth="1"/>
    <col min="9468" max="9470" width="3.453125" style="145" customWidth="1"/>
    <col min="9471" max="9471" width="67" style="145" customWidth="1"/>
    <col min="9472" max="9480" width="8.81640625" style="145"/>
    <col min="9481" max="9481" width="18.453125" style="145" customWidth="1"/>
    <col min="9482" max="9717" width="8.81640625" style="145"/>
    <col min="9718" max="9718" width="6.453125" style="145" customWidth="1"/>
    <col min="9719" max="9719" width="23" style="145" customWidth="1"/>
    <col min="9720" max="9722" width="3.453125" style="145" customWidth="1"/>
    <col min="9723" max="9723" width="4.453125" style="145" customWidth="1"/>
    <col min="9724" max="9726" width="3.453125" style="145" customWidth="1"/>
    <col min="9727" max="9727" width="67" style="145" customWidth="1"/>
    <col min="9728" max="9736" width="8.81640625" style="145"/>
    <col min="9737" max="9737" width="18.453125" style="145" customWidth="1"/>
    <col min="9738" max="9973" width="8.81640625" style="145"/>
    <col min="9974" max="9974" width="6.453125" style="145" customWidth="1"/>
    <col min="9975" max="9975" width="23" style="145" customWidth="1"/>
    <col min="9976" max="9978" width="3.453125" style="145" customWidth="1"/>
    <col min="9979" max="9979" width="4.453125" style="145" customWidth="1"/>
    <col min="9980" max="9982" width="3.453125" style="145" customWidth="1"/>
    <col min="9983" max="9983" width="67" style="145" customWidth="1"/>
    <col min="9984" max="9992" width="8.81640625" style="145"/>
    <col min="9993" max="9993" width="18.453125" style="145" customWidth="1"/>
    <col min="9994" max="10229" width="8.81640625" style="145"/>
    <col min="10230" max="10230" width="6.453125" style="145" customWidth="1"/>
    <col min="10231" max="10231" width="23" style="145" customWidth="1"/>
    <col min="10232" max="10234" width="3.453125" style="145" customWidth="1"/>
    <col min="10235" max="10235" width="4.453125" style="145" customWidth="1"/>
    <col min="10236" max="10238" width="3.453125" style="145" customWidth="1"/>
    <col min="10239" max="10239" width="67" style="145" customWidth="1"/>
    <col min="10240" max="10248" width="8.81640625" style="145"/>
    <col min="10249" max="10249" width="18.453125" style="145" customWidth="1"/>
    <col min="10250" max="10485" width="8.81640625" style="145"/>
    <col min="10486" max="10486" width="6.453125" style="145" customWidth="1"/>
    <col min="10487" max="10487" width="23" style="145" customWidth="1"/>
    <col min="10488" max="10490" width="3.453125" style="145" customWidth="1"/>
    <col min="10491" max="10491" width="4.453125" style="145" customWidth="1"/>
    <col min="10492" max="10494" width="3.453125" style="145" customWidth="1"/>
    <col min="10495" max="10495" width="67" style="145" customWidth="1"/>
    <col min="10496" max="10504" width="8.81640625" style="145"/>
    <col min="10505" max="10505" width="18.453125" style="145" customWidth="1"/>
    <col min="10506" max="10741" width="8.81640625" style="145"/>
    <col min="10742" max="10742" width="6.453125" style="145" customWidth="1"/>
    <col min="10743" max="10743" width="23" style="145" customWidth="1"/>
    <col min="10744" max="10746" width="3.453125" style="145" customWidth="1"/>
    <col min="10747" max="10747" width="4.453125" style="145" customWidth="1"/>
    <col min="10748" max="10750" width="3.453125" style="145" customWidth="1"/>
    <col min="10751" max="10751" width="67" style="145" customWidth="1"/>
    <col min="10752" max="10760" width="8.81640625" style="145"/>
    <col min="10761" max="10761" width="18.453125" style="145" customWidth="1"/>
    <col min="10762" max="10997" width="8.81640625" style="145"/>
    <col min="10998" max="10998" width="6.453125" style="145" customWidth="1"/>
    <col min="10999" max="10999" width="23" style="145" customWidth="1"/>
    <col min="11000" max="11002" width="3.453125" style="145" customWidth="1"/>
    <col min="11003" max="11003" width="4.453125" style="145" customWidth="1"/>
    <col min="11004" max="11006" width="3.453125" style="145" customWidth="1"/>
    <col min="11007" max="11007" width="67" style="145" customWidth="1"/>
    <col min="11008" max="11016" width="8.81640625" style="145"/>
    <col min="11017" max="11017" width="18.453125" style="145" customWidth="1"/>
    <col min="11018" max="11253" width="8.81640625" style="145"/>
    <col min="11254" max="11254" width="6.453125" style="145" customWidth="1"/>
    <col min="11255" max="11255" width="23" style="145" customWidth="1"/>
    <col min="11256" max="11258" width="3.453125" style="145" customWidth="1"/>
    <col min="11259" max="11259" width="4.453125" style="145" customWidth="1"/>
    <col min="11260" max="11262" width="3.453125" style="145" customWidth="1"/>
    <col min="11263" max="11263" width="67" style="145" customWidth="1"/>
    <col min="11264" max="11272" width="8.81640625" style="145"/>
    <col min="11273" max="11273" width="18.453125" style="145" customWidth="1"/>
    <col min="11274" max="11509" width="8.81640625" style="145"/>
    <col min="11510" max="11510" width="6.453125" style="145" customWidth="1"/>
    <col min="11511" max="11511" width="23" style="145" customWidth="1"/>
    <col min="11512" max="11514" width="3.453125" style="145" customWidth="1"/>
    <col min="11515" max="11515" width="4.453125" style="145" customWidth="1"/>
    <col min="11516" max="11518" width="3.453125" style="145" customWidth="1"/>
    <col min="11519" max="11519" width="67" style="145" customWidth="1"/>
    <col min="11520" max="11528" width="8.81640625" style="145"/>
    <col min="11529" max="11529" width="18.453125" style="145" customWidth="1"/>
    <col min="11530" max="11765" width="8.81640625" style="145"/>
    <col min="11766" max="11766" width="6.453125" style="145" customWidth="1"/>
    <col min="11767" max="11767" width="23" style="145" customWidth="1"/>
    <col min="11768" max="11770" width="3.453125" style="145" customWidth="1"/>
    <col min="11771" max="11771" width="4.453125" style="145" customWidth="1"/>
    <col min="11772" max="11774" width="3.453125" style="145" customWidth="1"/>
    <col min="11775" max="11775" width="67" style="145" customWidth="1"/>
    <col min="11776" max="11784" width="8.81640625" style="145"/>
    <col min="11785" max="11785" width="18.453125" style="145" customWidth="1"/>
    <col min="11786" max="12021" width="8.81640625" style="145"/>
    <col min="12022" max="12022" width="6.453125" style="145" customWidth="1"/>
    <col min="12023" max="12023" width="23" style="145" customWidth="1"/>
    <col min="12024" max="12026" width="3.453125" style="145" customWidth="1"/>
    <col min="12027" max="12027" width="4.453125" style="145" customWidth="1"/>
    <col min="12028" max="12030" width="3.453125" style="145" customWidth="1"/>
    <col min="12031" max="12031" width="67" style="145" customWidth="1"/>
    <col min="12032" max="12040" width="8.81640625" style="145"/>
    <col min="12041" max="12041" width="18.453125" style="145" customWidth="1"/>
    <col min="12042" max="12277" width="8.81640625" style="145"/>
    <col min="12278" max="12278" width="6.453125" style="145" customWidth="1"/>
    <col min="12279" max="12279" width="23" style="145" customWidth="1"/>
    <col min="12280" max="12282" width="3.453125" style="145" customWidth="1"/>
    <col min="12283" max="12283" width="4.453125" style="145" customWidth="1"/>
    <col min="12284" max="12286" width="3.453125" style="145" customWidth="1"/>
    <col min="12287" max="12287" width="67" style="145" customWidth="1"/>
    <col min="12288" max="12296" width="8.81640625" style="145"/>
    <col min="12297" max="12297" width="18.453125" style="145" customWidth="1"/>
    <col min="12298" max="12533" width="8.81640625" style="145"/>
    <col min="12534" max="12534" width="6.453125" style="145" customWidth="1"/>
    <col min="12535" max="12535" width="23" style="145" customWidth="1"/>
    <col min="12536" max="12538" width="3.453125" style="145" customWidth="1"/>
    <col min="12539" max="12539" width="4.453125" style="145" customWidth="1"/>
    <col min="12540" max="12542" width="3.453125" style="145" customWidth="1"/>
    <col min="12543" max="12543" width="67" style="145" customWidth="1"/>
    <col min="12544" max="12552" width="8.81640625" style="145"/>
    <col min="12553" max="12553" width="18.453125" style="145" customWidth="1"/>
    <col min="12554" max="12789" width="8.81640625" style="145"/>
    <col min="12790" max="12790" width="6.453125" style="145" customWidth="1"/>
    <col min="12791" max="12791" width="23" style="145" customWidth="1"/>
    <col min="12792" max="12794" width="3.453125" style="145" customWidth="1"/>
    <col min="12795" max="12795" width="4.453125" style="145" customWidth="1"/>
    <col min="12796" max="12798" width="3.453125" style="145" customWidth="1"/>
    <col min="12799" max="12799" width="67" style="145" customWidth="1"/>
    <col min="12800" max="12808" width="8.81640625" style="145"/>
    <col min="12809" max="12809" width="18.453125" style="145" customWidth="1"/>
    <col min="12810" max="13045" width="8.81640625" style="145"/>
    <col min="13046" max="13046" width="6.453125" style="145" customWidth="1"/>
    <col min="13047" max="13047" width="23" style="145" customWidth="1"/>
    <col min="13048" max="13050" width="3.453125" style="145" customWidth="1"/>
    <col min="13051" max="13051" width="4.453125" style="145" customWidth="1"/>
    <col min="13052" max="13054" width="3.453125" style="145" customWidth="1"/>
    <col min="13055" max="13055" width="67" style="145" customWidth="1"/>
    <col min="13056" max="13064" width="8.81640625" style="145"/>
    <col min="13065" max="13065" width="18.453125" style="145" customWidth="1"/>
    <col min="13066" max="13301" width="8.81640625" style="145"/>
    <col min="13302" max="13302" width="6.453125" style="145" customWidth="1"/>
    <col min="13303" max="13303" width="23" style="145" customWidth="1"/>
    <col min="13304" max="13306" width="3.453125" style="145" customWidth="1"/>
    <col min="13307" max="13307" width="4.453125" style="145" customWidth="1"/>
    <col min="13308" max="13310" width="3.453125" style="145" customWidth="1"/>
    <col min="13311" max="13311" width="67" style="145" customWidth="1"/>
    <col min="13312" max="13320" width="8.81640625" style="145"/>
    <col min="13321" max="13321" width="18.453125" style="145" customWidth="1"/>
    <col min="13322" max="13557" width="8.81640625" style="145"/>
    <col min="13558" max="13558" width="6.453125" style="145" customWidth="1"/>
    <col min="13559" max="13559" width="23" style="145" customWidth="1"/>
    <col min="13560" max="13562" width="3.453125" style="145" customWidth="1"/>
    <col min="13563" max="13563" width="4.453125" style="145" customWidth="1"/>
    <col min="13564" max="13566" width="3.453125" style="145" customWidth="1"/>
    <col min="13567" max="13567" width="67" style="145" customWidth="1"/>
    <col min="13568" max="13576" width="8.81640625" style="145"/>
    <col min="13577" max="13577" width="18.453125" style="145" customWidth="1"/>
    <col min="13578" max="13813" width="8.81640625" style="145"/>
    <col min="13814" max="13814" width="6.453125" style="145" customWidth="1"/>
    <col min="13815" max="13815" width="23" style="145" customWidth="1"/>
    <col min="13816" max="13818" width="3.453125" style="145" customWidth="1"/>
    <col min="13819" max="13819" width="4.453125" style="145" customWidth="1"/>
    <col min="13820" max="13822" width="3.453125" style="145" customWidth="1"/>
    <col min="13823" max="13823" width="67" style="145" customWidth="1"/>
    <col min="13824" max="13832" width="8.81640625" style="145"/>
    <col min="13833" max="13833" width="18.453125" style="145" customWidth="1"/>
    <col min="13834" max="14069" width="8.81640625" style="145"/>
    <col min="14070" max="14070" width="6.453125" style="145" customWidth="1"/>
    <col min="14071" max="14071" width="23" style="145" customWidth="1"/>
    <col min="14072" max="14074" width="3.453125" style="145" customWidth="1"/>
    <col min="14075" max="14075" width="4.453125" style="145" customWidth="1"/>
    <col min="14076" max="14078" width="3.453125" style="145" customWidth="1"/>
    <col min="14079" max="14079" width="67" style="145" customWidth="1"/>
    <col min="14080" max="14088" width="8.81640625" style="145"/>
    <col min="14089" max="14089" width="18.453125" style="145" customWidth="1"/>
    <col min="14090" max="14325" width="8.81640625" style="145"/>
    <col min="14326" max="14326" width="6.453125" style="145" customWidth="1"/>
    <col min="14327" max="14327" width="23" style="145" customWidth="1"/>
    <col min="14328" max="14330" width="3.453125" style="145" customWidth="1"/>
    <col min="14331" max="14331" width="4.453125" style="145" customWidth="1"/>
    <col min="14332" max="14334" width="3.453125" style="145" customWidth="1"/>
    <col min="14335" max="14335" width="67" style="145" customWidth="1"/>
    <col min="14336" max="14344" width="8.81640625" style="145"/>
    <col min="14345" max="14345" width="18.453125" style="145" customWidth="1"/>
    <col min="14346" max="14581" width="8.81640625" style="145"/>
    <col min="14582" max="14582" width="6.453125" style="145" customWidth="1"/>
    <col min="14583" max="14583" width="23" style="145" customWidth="1"/>
    <col min="14584" max="14586" width="3.453125" style="145" customWidth="1"/>
    <col min="14587" max="14587" width="4.453125" style="145" customWidth="1"/>
    <col min="14588" max="14590" width="3.453125" style="145" customWidth="1"/>
    <col min="14591" max="14591" width="67" style="145" customWidth="1"/>
    <col min="14592" max="14600" width="8.81640625" style="145"/>
    <col min="14601" max="14601" width="18.453125" style="145" customWidth="1"/>
    <col min="14602" max="14837" width="8.81640625" style="145"/>
    <col min="14838" max="14838" width="6.453125" style="145" customWidth="1"/>
    <col min="14839" max="14839" width="23" style="145" customWidth="1"/>
    <col min="14840" max="14842" width="3.453125" style="145" customWidth="1"/>
    <col min="14843" max="14843" width="4.453125" style="145" customWidth="1"/>
    <col min="14844" max="14846" width="3.453125" style="145" customWidth="1"/>
    <col min="14847" max="14847" width="67" style="145" customWidth="1"/>
    <col min="14848" max="14856" width="8.81640625" style="145"/>
    <col min="14857" max="14857" width="18.453125" style="145" customWidth="1"/>
    <col min="14858" max="15093" width="8.81640625" style="145"/>
    <col min="15094" max="15094" width="6.453125" style="145" customWidth="1"/>
    <col min="15095" max="15095" width="23" style="145" customWidth="1"/>
    <col min="15096" max="15098" width="3.453125" style="145" customWidth="1"/>
    <col min="15099" max="15099" width="4.453125" style="145" customWidth="1"/>
    <col min="15100" max="15102" width="3.453125" style="145" customWidth="1"/>
    <col min="15103" max="15103" width="67" style="145" customWidth="1"/>
    <col min="15104" max="15112" width="8.81640625" style="145"/>
    <col min="15113" max="15113" width="18.453125" style="145" customWidth="1"/>
    <col min="15114" max="15349" width="8.81640625" style="145"/>
    <col min="15350" max="15350" width="6.453125" style="145" customWidth="1"/>
    <col min="15351" max="15351" width="23" style="145" customWidth="1"/>
    <col min="15352" max="15354" width="3.453125" style="145" customWidth="1"/>
    <col min="15355" max="15355" width="4.453125" style="145" customWidth="1"/>
    <col min="15356" max="15358" width="3.453125" style="145" customWidth="1"/>
    <col min="15359" max="15359" width="67" style="145" customWidth="1"/>
    <col min="15360" max="15368" width="8.81640625" style="145"/>
    <col min="15369" max="15369" width="18.453125" style="145" customWidth="1"/>
    <col min="15370" max="15605" width="8.81640625" style="145"/>
    <col min="15606" max="15606" width="6.453125" style="145" customWidth="1"/>
    <col min="15607" max="15607" width="23" style="145" customWidth="1"/>
    <col min="15608" max="15610" width="3.453125" style="145" customWidth="1"/>
    <col min="15611" max="15611" width="4.453125" style="145" customWidth="1"/>
    <col min="15612" max="15614" width="3.453125" style="145" customWidth="1"/>
    <col min="15615" max="15615" width="67" style="145" customWidth="1"/>
    <col min="15616" max="15624" width="8.81640625" style="145"/>
    <col min="15625" max="15625" width="18.453125" style="145" customWidth="1"/>
    <col min="15626" max="15861" width="8.81640625" style="145"/>
    <col min="15862" max="15862" width="6.453125" style="145" customWidth="1"/>
    <col min="15863" max="15863" width="23" style="145" customWidth="1"/>
    <col min="15864" max="15866" width="3.453125" style="145" customWidth="1"/>
    <col min="15867" max="15867" width="4.453125" style="145" customWidth="1"/>
    <col min="15868" max="15870" width="3.453125" style="145" customWidth="1"/>
    <col min="15871" max="15871" width="67" style="145" customWidth="1"/>
    <col min="15872" max="15880" width="8.81640625" style="145"/>
    <col min="15881" max="15881" width="18.453125" style="145" customWidth="1"/>
    <col min="15882" max="16117" width="8.81640625" style="145"/>
    <col min="16118" max="16118" width="6.453125" style="145" customWidth="1"/>
    <col min="16119" max="16119" width="23" style="145" customWidth="1"/>
    <col min="16120" max="16122" width="3.453125" style="145" customWidth="1"/>
    <col min="16123" max="16123" width="4.453125" style="145" customWidth="1"/>
    <col min="16124" max="16126" width="3.453125" style="145" customWidth="1"/>
    <col min="16127" max="16127" width="67" style="145" customWidth="1"/>
    <col min="16128" max="16136" width="8.81640625" style="145"/>
    <col min="16137" max="16137" width="18.453125" style="145" customWidth="1"/>
    <col min="16138" max="16373" width="8.81640625" style="145"/>
    <col min="16374" max="16384" width="11.1796875" style="145" customWidth="1"/>
  </cols>
  <sheetData>
    <row r="1" spans="1:22" s="142" customFormat="1" ht="28.4" customHeight="1" thickBot="1" x14ac:dyDescent="0.45">
      <c r="A1" s="112"/>
      <c r="B1" s="140"/>
      <c r="C1" s="141"/>
      <c r="D1" s="141"/>
      <c r="M1" s="143">
        <v>1</v>
      </c>
      <c r="N1" s="143">
        <v>2</v>
      </c>
      <c r="O1" s="143">
        <v>3</v>
      </c>
      <c r="P1" s="143">
        <v>4</v>
      </c>
      <c r="Q1" s="143">
        <v>5</v>
      </c>
      <c r="R1" s="143">
        <v>6</v>
      </c>
      <c r="S1" s="143">
        <v>7</v>
      </c>
      <c r="T1" s="143">
        <v>8</v>
      </c>
    </row>
    <row r="2" spans="1:22" ht="33.65" customHeight="1" thickBot="1" x14ac:dyDescent="0.45">
      <c r="B2" s="1102" t="s">
        <v>126</v>
      </c>
      <c r="C2" s="1103"/>
      <c r="D2" s="1103"/>
      <c r="E2" s="1103"/>
      <c r="F2" s="1103"/>
      <c r="G2" s="1103"/>
      <c r="H2" s="1104"/>
      <c r="I2" s="1105"/>
      <c r="J2" s="162"/>
      <c r="K2" s="144"/>
      <c r="L2" s="1099"/>
      <c r="M2" s="1099"/>
      <c r="N2" s="1099"/>
      <c r="O2" s="1099"/>
      <c r="P2" s="1099"/>
      <c r="Q2" s="1099"/>
      <c r="R2" s="1099"/>
      <c r="S2" s="1099"/>
      <c r="T2" s="1099"/>
      <c r="U2" s="1099"/>
      <c r="V2" s="1099"/>
    </row>
    <row r="3" spans="1:22" ht="195" customHeight="1" x14ac:dyDescent="0.4">
      <c r="B3" s="221"/>
      <c r="C3" s="568" t="s">
        <v>127</v>
      </c>
      <c r="D3" s="568" t="s">
        <v>128</v>
      </c>
      <c r="E3" s="568" t="s">
        <v>129</v>
      </c>
      <c r="F3" s="568" t="s">
        <v>130</v>
      </c>
      <c r="G3" s="568" t="s">
        <v>131</v>
      </c>
      <c r="H3" s="569" t="s">
        <v>132</v>
      </c>
      <c r="I3" s="1063" t="s">
        <v>133</v>
      </c>
      <c r="J3" s="163"/>
      <c r="K3" s="146"/>
      <c r="L3" s="177"/>
      <c r="M3" s="1064" t="s">
        <v>134</v>
      </c>
      <c r="N3" s="1064" t="s">
        <v>135</v>
      </c>
      <c r="O3" s="1064" t="s">
        <v>136</v>
      </c>
      <c r="P3" s="1064" t="s">
        <v>137</v>
      </c>
      <c r="Q3" s="1064" t="s">
        <v>138</v>
      </c>
      <c r="R3" s="1064" t="s">
        <v>139</v>
      </c>
      <c r="S3" s="1064" t="s">
        <v>140</v>
      </c>
      <c r="T3" s="1065" t="s">
        <v>141</v>
      </c>
      <c r="U3" s="147"/>
    </row>
    <row r="4" spans="1:22" s="153" customFormat="1" ht="98.9" customHeight="1" x14ac:dyDescent="0.4">
      <c r="A4" s="141"/>
      <c r="B4" s="171" t="s">
        <v>142</v>
      </c>
      <c r="C4" s="570">
        <v>2</v>
      </c>
      <c r="D4" s="570">
        <v>2</v>
      </c>
      <c r="E4" s="570">
        <v>1</v>
      </c>
      <c r="F4" s="571">
        <v>2</v>
      </c>
      <c r="G4" s="571">
        <v>3</v>
      </c>
      <c r="H4" s="148">
        <f>(((COUNTIF(C4:G4,3)*0)+(COUNTIF(C4:G4,2)*20)+(COUNTIF(C4:G4,1)*10)+(COUNTIF(C4:G4,-1)*5)+(COUNTIF(C4:G4,-2)*5))/((COUNTA(C4:G4)-COUNTIF(C4:G4,-3))*20))</f>
        <v>0.7</v>
      </c>
      <c r="I4" s="172" t="s">
        <v>143</v>
      </c>
      <c r="J4" s="164"/>
      <c r="K4" s="149"/>
      <c r="L4" s="150"/>
      <c r="M4" s="151"/>
      <c r="N4" s="151"/>
      <c r="O4" s="151"/>
      <c r="P4" s="151"/>
      <c r="Q4" s="151"/>
      <c r="R4" s="151"/>
      <c r="S4" s="151"/>
      <c r="T4" s="151"/>
      <c r="U4" s="152"/>
    </row>
    <row r="5" spans="1:22" s="153" customFormat="1" ht="103.4" customHeight="1" x14ac:dyDescent="0.4">
      <c r="A5" s="141"/>
      <c r="B5" s="171" t="s">
        <v>144</v>
      </c>
      <c r="C5" s="570">
        <v>1</v>
      </c>
      <c r="D5" s="570">
        <v>1</v>
      </c>
      <c r="E5" s="571">
        <v>3</v>
      </c>
      <c r="F5" s="571">
        <v>3</v>
      </c>
      <c r="G5" s="571">
        <v>3</v>
      </c>
      <c r="H5" s="148">
        <f>(((COUNTIF(C5:G5,3)*0)+(COUNTIF(C5:G5,2)*20)+(COUNTIF(C5:G5,1)*10)+(COUNTIF(C5:G5,-1)*5)+(COUNTIF(C5:G5,-2)*5))/((COUNTA(C5:G5)-COUNTIF(C5:G5,-3))*20))</f>
        <v>0.2</v>
      </c>
      <c r="I5" s="172" t="s">
        <v>145</v>
      </c>
      <c r="J5" s="165"/>
      <c r="K5" s="154"/>
      <c r="L5" s="155"/>
      <c r="M5" s="156"/>
      <c r="N5" s="156"/>
      <c r="O5" s="156"/>
      <c r="P5" s="156"/>
      <c r="Q5" s="156"/>
      <c r="R5" s="156"/>
      <c r="S5" s="156"/>
      <c r="T5" s="156"/>
      <c r="U5" s="141"/>
    </row>
    <row r="6" spans="1:22" s="153" customFormat="1" ht="84.65" customHeight="1" x14ac:dyDescent="0.4">
      <c r="A6" s="143"/>
      <c r="B6" s="171" t="s">
        <v>146</v>
      </c>
      <c r="C6" s="570">
        <v>1</v>
      </c>
      <c r="D6" s="571">
        <v>3</v>
      </c>
      <c r="E6" s="571">
        <v>3</v>
      </c>
      <c r="F6" s="571">
        <v>3</v>
      </c>
      <c r="G6" s="571">
        <v>3</v>
      </c>
      <c r="H6" s="148">
        <f>(((COUNTIF(C6:G6,3)*0)+(COUNTIF(C6:G6,2)*20)+(COUNTIF(C6:G6,1)*10)+(COUNTIF(C6:G6,-1)*5)+(COUNTIF(C6:G6,-2)*5))/((COUNTA(C6:G6)-COUNTIF(C6:G6,-3))*20))</f>
        <v>0.1</v>
      </c>
      <c r="I6" s="173"/>
      <c r="J6" s="165"/>
      <c r="K6" s="154"/>
      <c r="L6" s="155"/>
      <c r="M6" s="156"/>
      <c r="N6" s="156"/>
      <c r="O6" s="156"/>
      <c r="P6" s="156"/>
      <c r="Q6" s="156"/>
      <c r="R6" s="156"/>
      <c r="S6" s="156"/>
      <c r="T6" s="156"/>
      <c r="U6" s="141"/>
    </row>
    <row r="7" spans="1:22" s="153" customFormat="1" ht="32.15" customHeight="1" thickBot="1" x14ac:dyDescent="0.4">
      <c r="A7" s="141"/>
      <c r="B7" s="1100" t="s">
        <v>147</v>
      </c>
      <c r="C7" s="1101"/>
      <c r="D7" s="1101"/>
      <c r="E7" s="1101"/>
      <c r="F7" s="1101"/>
      <c r="G7" s="1101"/>
      <c r="H7" s="157">
        <f>SUM(H4:H6)/3</f>
        <v>0.33333333333333331</v>
      </c>
      <c r="I7" s="158"/>
      <c r="J7" s="166"/>
      <c r="K7" s="159"/>
    </row>
    <row r="8" spans="1:22" x14ac:dyDescent="0.4">
      <c r="B8" s="142"/>
      <c r="C8" s="142"/>
      <c r="D8" s="142"/>
      <c r="E8" s="142"/>
      <c r="F8" s="142"/>
      <c r="G8" s="142"/>
      <c r="H8" s="142"/>
      <c r="I8" s="142"/>
      <c r="J8" s="142"/>
    </row>
    <row r="9" spans="1:22" x14ac:dyDescent="0.4">
      <c r="B9" s="142"/>
      <c r="C9" s="142"/>
      <c r="D9" s="142"/>
      <c r="E9" s="142"/>
      <c r="F9" s="142"/>
      <c r="G9" s="142"/>
      <c r="H9" s="142"/>
      <c r="I9" s="142"/>
      <c r="J9" s="142"/>
    </row>
    <row r="10" spans="1:22" x14ac:dyDescent="0.4">
      <c r="B10" s="167" t="s">
        <v>148</v>
      </c>
      <c r="C10" s="141"/>
      <c r="D10" s="141"/>
      <c r="E10" s="142"/>
      <c r="F10" s="142"/>
      <c r="G10" s="142"/>
      <c r="H10" s="142"/>
      <c r="I10" s="142"/>
      <c r="J10" s="142"/>
    </row>
    <row r="11" spans="1:22" ht="22.5" x14ac:dyDescent="0.4">
      <c r="B11" s="169" t="s">
        <v>149</v>
      </c>
      <c r="C11" s="141"/>
      <c r="D11" s="141"/>
      <c r="E11" s="142"/>
      <c r="F11" s="142"/>
      <c r="G11" s="142"/>
      <c r="H11" s="142"/>
      <c r="I11" s="142"/>
      <c r="J11" s="142"/>
    </row>
    <row r="12" spans="1:22" ht="23" x14ac:dyDescent="0.4">
      <c r="B12" s="169" t="s">
        <v>150</v>
      </c>
      <c r="C12" s="141"/>
      <c r="D12" s="141"/>
      <c r="E12" s="142"/>
      <c r="F12" s="142"/>
      <c r="G12" s="142"/>
      <c r="H12" s="142"/>
      <c r="I12" s="142"/>
      <c r="J12" s="142"/>
    </row>
    <row r="13" spans="1:22" x14ac:dyDescent="0.4">
      <c r="B13" s="141"/>
      <c r="C13" s="141"/>
      <c r="D13" s="141"/>
      <c r="E13" s="142"/>
      <c r="F13" s="142"/>
      <c r="G13" s="142"/>
      <c r="H13" s="142"/>
      <c r="I13" s="142"/>
      <c r="J13" s="142"/>
    </row>
    <row r="14" spans="1:22" x14ac:dyDescent="0.4">
      <c r="B14" s="168" t="s">
        <v>151</v>
      </c>
      <c r="C14" s="141"/>
      <c r="D14" s="141"/>
      <c r="E14" s="142"/>
      <c r="F14" s="142"/>
      <c r="G14" s="142"/>
      <c r="H14" s="142"/>
      <c r="I14" s="142"/>
      <c r="J14" s="142"/>
    </row>
    <row r="15" spans="1:22" ht="21" x14ac:dyDescent="0.4">
      <c r="B15" s="572" t="s">
        <v>152</v>
      </c>
      <c r="C15" s="570">
        <v>2</v>
      </c>
      <c r="D15" s="570">
        <v>2</v>
      </c>
      <c r="E15" s="142"/>
      <c r="F15" s="142"/>
      <c r="G15" s="142"/>
      <c r="H15" s="142"/>
      <c r="I15" s="142"/>
      <c r="J15" s="142"/>
    </row>
    <row r="16" spans="1:22" ht="21" x14ac:dyDescent="0.4">
      <c r="B16" s="572" t="s">
        <v>153</v>
      </c>
      <c r="C16" s="570">
        <v>1</v>
      </c>
      <c r="D16" s="570">
        <v>1</v>
      </c>
      <c r="E16" s="142"/>
      <c r="F16" s="142"/>
      <c r="G16" s="142"/>
      <c r="H16" s="142"/>
      <c r="I16" s="142"/>
      <c r="J16" s="142"/>
    </row>
    <row r="17" spans="2:10" ht="21" x14ac:dyDescent="0.4">
      <c r="B17" s="572" t="s">
        <v>154</v>
      </c>
      <c r="C17" s="570"/>
      <c r="D17" s="570"/>
      <c r="E17" s="142"/>
      <c r="F17" s="142"/>
      <c r="G17" s="142"/>
      <c r="H17" s="142"/>
      <c r="I17" s="142"/>
      <c r="J17" s="142"/>
    </row>
    <row r="18" spans="2:10" x14ac:dyDescent="0.4">
      <c r="B18" s="141"/>
      <c r="C18" s="141"/>
      <c r="D18" s="141"/>
      <c r="E18" s="142"/>
      <c r="F18" s="142"/>
      <c r="G18" s="142"/>
      <c r="H18" s="142"/>
      <c r="I18" s="142"/>
      <c r="J18" s="142"/>
    </row>
  </sheetData>
  <mergeCells count="3">
    <mergeCell ref="L2:V2"/>
    <mergeCell ref="B7:G7"/>
    <mergeCell ref="B2:I2"/>
  </mergeCells>
  <conditionalFormatting sqref="K5:L6">
    <cfRule type="cellIs" dxfId="361" priority="490" stopIfTrue="1" operator="equal">
      <formula>2</formula>
    </cfRule>
    <cfRule type="cellIs" dxfId="360" priority="491" stopIfTrue="1" operator="equal">
      <formula>1</formula>
    </cfRule>
    <cfRule type="cellIs" dxfId="359" priority="492" stopIfTrue="1" operator="equal">
      <formula>-1</formula>
    </cfRule>
    <cfRule type="cellIs" dxfId="358" priority="493" stopIfTrue="1" operator="equal">
      <formula>-2</formula>
    </cfRule>
  </conditionalFormatting>
  <conditionalFormatting sqref="D6:G6 E5:G5 F4:G4">
    <cfRule type="cellIs" dxfId="357" priority="121" operator="equal">
      <formula>-1</formula>
    </cfRule>
  </conditionalFormatting>
  <conditionalFormatting sqref="D6:G6 E5:G5 F4:G4">
    <cfRule type="cellIs" dxfId="356" priority="123" operator="equal">
      <formula>2</formula>
    </cfRule>
    <cfRule type="cellIs" dxfId="355" priority="124" operator="equal">
      <formula>1</formula>
    </cfRule>
    <cfRule type="cellIs" dxfId="354" priority="125" operator="equal">
      <formula>-2</formula>
    </cfRule>
    <cfRule type="cellIs" dxfId="353" priority="126" operator="equal">
      <formula>-3</formula>
    </cfRule>
  </conditionalFormatting>
  <conditionalFormatting sqref="D6:G6 E5:G5 F4:G4">
    <cfRule type="cellIs" dxfId="352" priority="122" operator="equal">
      <formula>3</formula>
    </cfRule>
  </conditionalFormatting>
  <conditionalFormatting sqref="D17">
    <cfRule type="cellIs" dxfId="351" priority="85" operator="equal">
      <formula>-1</formula>
    </cfRule>
  </conditionalFormatting>
  <conditionalFormatting sqref="D17">
    <cfRule type="cellIs" dxfId="350" priority="87" operator="equal">
      <formula>2</formula>
    </cfRule>
    <cfRule type="cellIs" dxfId="349" priority="88" operator="equal">
      <formula>1</formula>
    </cfRule>
    <cfRule type="cellIs" dxfId="348" priority="89" operator="equal">
      <formula>-2</formula>
    </cfRule>
    <cfRule type="cellIs" dxfId="347" priority="90" operator="equal">
      <formula>-3</formula>
    </cfRule>
  </conditionalFormatting>
  <conditionalFormatting sqref="D17">
    <cfRule type="cellIs" dxfId="346" priority="86" operator="equal">
      <formula>""</formula>
    </cfRule>
  </conditionalFormatting>
  <conditionalFormatting sqref="C17">
    <cfRule type="cellIs" dxfId="345" priority="67" operator="equal">
      <formula>-1</formula>
    </cfRule>
  </conditionalFormatting>
  <conditionalFormatting sqref="C17">
    <cfRule type="cellIs" dxfId="344" priority="69" operator="equal">
      <formula>2</formula>
    </cfRule>
    <cfRule type="cellIs" dxfId="343" priority="70" operator="equal">
      <formula>1</formula>
    </cfRule>
    <cfRule type="cellIs" dxfId="342" priority="71" operator="equal">
      <formula>-2</formula>
    </cfRule>
    <cfRule type="cellIs" dxfId="341" priority="72" operator="equal">
      <formula>-3</formula>
    </cfRule>
  </conditionalFormatting>
  <conditionalFormatting sqref="C17">
    <cfRule type="cellIs" dxfId="340" priority="68" operator="equal">
      <formula>""</formula>
    </cfRule>
  </conditionalFormatting>
  <conditionalFormatting sqref="C4">
    <cfRule type="cellIs" dxfId="339" priority="61" operator="equal">
      <formula>-1</formula>
    </cfRule>
  </conditionalFormatting>
  <conditionalFormatting sqref="C4">
    <cfRule type="cellIs" dxfId="338" priority="63" operator="equal">
      <formula>2</formula>
    </cfRule>
    <cfRule type="cellIs" dxfId="337" priority="64" operator="equal">
      <formula>1</formula>
    </cfRule>
    <cfRule type="cellIs" dxfId="336" priority="65" operator="equal">
      <formula>-2</formula>
    </cfRule>
    <cfRule type="cellIs" dxfId="335" priority="66" operator="equal">
      <formula>-3</formula>
    </cfRule>
  </conditionalFormatting>
  <conditionalFormatting sqref="C4">
    <cfRule type="cellIs" dxfId="334" priority="62" operator="equal">
      <formula>""</formula>
    </cfRule>
  </conditionalFormatting>
  <conditionalFormatting sqref="C15">
    <cfRule type="cellIs" dxfId="333" priority="49" operator="equal">
      <formula>-1</formula>
    </cfRule>
  </conditionalFormatting>
  <conditionalFormatting sqref="C15">
    <cfRule type="cellIs" dxfId="332" priority="51" operator="equal">
      <formula>2</formula>
    </cfRule>
    <cfRule type="cellIs" dxfId="331" priority="52" operator="equal">
      <formula>1</formula>
    </cfRule>
    <cfRule type="cellIs" dxfId="330" priority="53" operator="equal">
      <formula>-2</formula>
    </cfRule>
    <cfRule type="cellIs" dxfId="329" priority="54" operator="equal">
      <formula>-3</formula>
    </cfRule>
  </conditionalFormatting>
  <conditionalFormatting sqref="C15">
    <cfRule type="cellIs" dxfId="328" priority="50" operator="equal">
      <formula>""</formula>
    </cfRule>
  </conditionalFormatting>
  <conditionalFormatting sqref="C16">
    <cfRule type="cellIs" dxfId="327" priority="43" operator="equal">
      <formula>-1</formula>
    </cfRule>
  </conditionalFormatting>
  <conditionalFormatting sqref="C16">
    <cfRule type="cellIs" dxfId="326" priority="45" operator="equal">
      <formula>2</formula>
    </cfRule>
    <cfRule type="cellIs" dxfId="325" priority="46" operator="equal">
      <formula>1</formula>
    </cfRule>
    <cfRule type="cellIs" dxfId="324" priority="47" operator="equal">
      <formula>-2</formula>
    </cfRule>
    <cfRule type="cellIs" dxfId="323" priority="48" operator="equal">
      <formula>-3</formula>
    </cfRule>
  </conditionalFormatting>
  <conditionalFormatting sqref="C16">
    <cfRule type="cellIs" dxfId="322" priority="44" operator="equal">
      <formula>""</formula>
    </cfRule>
  </conditionalFormatting>
  <conditionalFormatting sqref="D15">
    <cfRule type="cellIs" dxfId="321" priority="37" operator="equal">
      <formula>-1</formula>
    </cfRule>
  </conditionalFormatting>
  <conditionalFormatting sqref="D15">
    <cfRule type="cellIs" dxfId="320" priority="39" operator="equal">
      <formula>2</formula>
    </cfRule>
    <cfRule type="cellIs" dxfId="319" priority="40" operator="equal">
      <formula>1</formula>
    </cfRule>
    <cfRule type="cellIs" dxfId="318" priority="41" operator="equal">
      <formula>-2</formula>
    </cfRule>
    <cfRule type="cellIs" dxfId="317" priority="42" operator="equal">
      <formula>-3</formula>
    </cfRule>
  </conditionalFormatting>
  <conditionalFormatting sqref="D15">
    <cfRule type="cellIs" dxfId="316" priority="38" operator="equal">
      <formula>""</formula>
    </cfRule>
  </conditionalFormatting>
  <conditionalFormatting sqref="D16">
    <cfRule type="cellIs" dxfId="315" priority="31" operator="equal">
      <formula>-1</formula>
    </cfRule>
  </conditionalFormatting>
  <conditionalFormatting sqref="D16">
    <cfRule type="cellIs" dxfId="314" priority="33" operator="equal">
      <formula>2</formula>
    </cfRule>
    <cfRule type="cellIs" dxfId="313" priority="34" operator="equal">
      <formula>1</formula>
    </cfRule>
    <cfRule type="cellIs" dxfId="312" priority="35" operator="equal">
      <formula>-2</formula>
    </cfRule>
    <cfRule type="cellIs" dxfId="311" priority="36" operator="equal">
      <formula>-3</formula>
    </cfRule>
  </conditionalFormatting>
  <conditionalFormatting sqref="D16">
    <cfRule type="cellIs" dxfId="310" priority="32" operator="equal">
      <formula>""</formula>
    </cfRule>
  </conditionalFormatting>
  <conditionalFormatting sqref="D4">
    <cfRule type="cellIs" dxfId="309" priority="25" operator="equal">
      <formula>-1</formula>
    </cfRule>
  </conditionalFormatting>
  <conditionalFormatting sqref="D4">
    <cfRule type="cellIs" dxfId="308" priority="27" operator="equal">
      <formula>2</formula>
    </cfRule>
    <cfRule type="cellIs" dxfId="307" priority="28" operator="equal">
      <formula>1</formula>
    </cfRule>
    <cfRule type="cellIs" dxfId="306" priority="29" operator="equal">
      <formula>-2</formula>
    </cfRule>
    <cfRule type="cellIs" dxfId="305" priority="30" operator="equal">
      <formula>-3</formula>
    </cfRule>
  </conditionalFormatting>
  <conditionalFormatting sqref="D4">
    <cfRule type="cellIs" dxfId="304" priority="26" operator="equal">
      <formula>""</formula>
    </cfRule>
  </conditionalFormatting>
  <conditionalFormatting sqref="C5">
    <cfRule type="cellIs" dxfId="303" priority="19" operator="equal">
      <formula>-1</formula>
    </cfRule>
  </conditionalFormatting>
  <conditionalFormatting sqref="C5">
    <cfRule type="cellIs" dxfId="302" priority="21" operator="equal">
      <formula>2</formula>
    </cfRule>
    <cfRule type="cellIs" dxfId="301" priority="22" operator="equal">
      <formula>1</formula>
    </cfRule>
    <cfRule type="cellIs" dxfId="300" priority="23" operator="equal">
      <formula>-2</formula>
    </cfRule>
    <cfRule type="cellIs" dxfId="299" priority="24" operator="equal">
      <formula>-3</formula>
    </cfRule>
  </conditionalFormatting>
  <conditionalFormatting sqref="C5">
    <cfRule type="cellIs" dxfId="298" priority="20" operator="equal">
      <formula>""</formula>
    </cfRule>
  </conditionalFormatting>
  <conditionalFormatting sqref="D5">
    <cfRule type="cellIs" dxfId="297" priority="13" operator="equal">
      <formula>-1</formula>
    </cfRule>
  </conditionalFormatting>
  <conditionalFormatting sqref="D5">
    <cfRule type="cellIs" dxfId="296" priority="15" operator="equal">
      <formula>2</formula>
    </cfRule>
    <cfRule type="cellIs" dxfId="295" priority="16" operator="equal">
      <formula>1</formula>
    </cfRule>
    <cfRule type="cellIs" dxfId="294" priority="17" operator="equal">
      <formula>-2</formula>
    </cfRule>
    <cfRule type="cellIs" dxfId="293" priority="18" operator="equal">
      <formula>-3</formula>
    </cfRule>
  </conditionalFormatting>
  <conditionalFormatting sqref="D5">
    <cfRule type="cellIs" dxfId="292" priority="14" operator="equal">
      <formula>""</formula>
    </cfRule>
  </conditionalFormatting>
  <conditionalFormatting sqref="E4">
    <cfRule type="cellIs" dxfId="291" priority="7" operator="equal">
      <formula>-1</formula>
    </cfRule>
  </conditionalFormatting>
  <conditionalFormatting sqref="E4">
    <cfRule type="cellIs" dxfId="290" priority="9" operator="equal">
      <formula>2</formula>
    </cfRule>
    <cfRule type="cellIs" dxfId="289" priority="10" operator="equal">
      <formula>1</formula>
    </cfRule>
    <cfRule type="cellIs" dxfId="288" priority="11" operator="equal">
      <formula>-2</formula>
    </cfRule>
    <cfRule type="cellIs" dxfId="287" priority="12" operator="equal">
      <formula>-3</formula>
    </cfRule>
  </conditionalFormatting>
  <conditionalFormatting sqref="E4">
    <cfRule type="cellIs" dxfId="286" priority="8" operator="equal">
      <formula>""</formula>
    </cfRule>
  </conditionalFormatting>
  <conditionalFormatting sqref="C6">
    <cfRule type="cellIs" dxfId="285" priority="1" operator="equal">
      <formula>-1</formula>
    </cfRule>
  </conditionalFormatting>
  <conditionalFormatting sqref="C6">
    <cfRule type="cellIs" dxfId="284" priority="3" operator="equal">
      <formula>2</formula>
    </cfRule>
    <cfRule type="cellIs" dxfId="283" priority="4" operator="equal">
      <formula>1</formula>
    </cfRule>
    <cfRule type="cellIs" dxfId="282" priority="5" operator="equal">
      <formula>-2</formula>
    </cfRule>
    <cfRule type="cellIs" dxfId="281" priority="6" operator="equal">
      <formula>-3</formula>
    </cfRule>
  </conditionalFormatting>
  <conditionalFormatting sqref="C6">
    <cfRule type="cellIs" dxfId="280" priority="2" operator="equal">
      <formula>""</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3AF2F-373D-4891-9C63-31EA19720DF6}">
  <sheetPr codeName="Sheet2">
    <tabColor rgb="FF009900"/>
  </sheetPr>
  <dimension ref="A1:E30"/>
  <sheetViews>
    <sheetView zoomScale="70" zoomScaleNormal="70" workbookViewId="0">
      <pane ySplit="1" topLeftCell="A9" activePane="bottomLeft" state="frozen"/>
      <selection pane="bottomLeft" activeCell="C16" sqref="C16"/>
    </sheetView>
  </sheetViews>
  <sheetFormatPr defaultColWidth="8.81640625" defaultRowHeight="15.5" x14ac:dyDescent="0.35"/>
  <cols>
    <col min="1" max="1" width="9.453125" style="102" customWidth="1"/>
    <col min="2" max="2" width="44.81640625" style="94" customWidth="1"/>
    <col min="3" max="3" width="42.81640625" style="94" customWidth="1"/>
    <col min="4" max="4" width="52.453125" style="94" customWidth="1"/>
    <col min="5" max="5" width="13.453125" style="94" customWidth="1"/>
    <col min="6" max="6" width="17.1796875" style="94" customWidth="1"/>
    <col min="7" max="7" width="14.81640625" style="94" customWidth="1"/>
    <col min="8" max="8" width="13" style="94" customWidth="1"/>
    <col min="9" max="16384" width="8.81640625" style="94"/>
  </cols>
  <sheetData>
    <row r="1" spans="2:5" s="102" customFormat="1" ht="114.65" customHeight="1" thickBot="1" x14ac:dyDescent="0.4"/>
    <row r="2" spans="2:5" ht="23.25" customHeight="1" thickBot="1" x14ac:dyDescent="0.4">
      <c r="B2" s="1114" t="s">
        <v>155</v>
      </c>
      <c r="C2" s="1115"/>
      <c r="D2" s="1116"/>
      <c r="E2"/>
    </row>
    <row r="3" spans="2:5" ht="21" customHeight="1" thickBot="1" x14ac:dyDescent="0.4">
      <c r="B3" s="96" t="s">
        <v>156</v>
      </c>
      <c r="C3" s="97"/>
      <c r="D3" s="1066"/>
      <c r="E3"/>
    </row>
    <row r="4" spans="2:5" ht="16" thickBot="1" x14ac:dyDescent="0.4">
      <c r="B4" s="1117" t="s">
        <v>157</v>
      </c>
      <c r="C4" s="1118"/>
      <c r="D4" s="1119"/>
      <c r="E4"/>
    </row>
    <row r="5" spans="2:5" x14ac:dyDescent="0.35">
      <c r="B5" s="98" t="s">
        <v>158</v>
      </c>
      <c r="C5" s="95"/>
      <c r="D5" s="99"/>
      <c r="E5"/>
    </row>
    <row r="6" spans="2:5" x14ac:dyDescent="0.35">
      <c r="B6" s="98" t="s">
        <v>159</v>
      </c>
      <c r="C6" s="95"/>
      <c r="D6" s="99"/>
    </row>
    <row r="7" spans="2:5" ht="16" thickBot="1" x14ac:dyDescent="0.4">
      <c r="B7" s="98" t="s">
        <v>160</v>
      </c>
      <c r="C7" s="95"/>
      <c r="D7" s="99"/>
    </row>
    <row r="8" spans="2:5" ht="16" thickBot="1" x14ac:dyDescent="0.4">
      <c r="B8" s="1120" t="s">
        <v>161</v>
      </c>
      <c r="C8" s="1121"/>
      <c r="D8" s="1122"/>
    </row>
    <row r="9" spans="2:5" ht="23.25" customHeight="1" thickBot="1" x14ac:dyDescent="0.4">
      <c r="B9" s="1123" t="s">
        <v>162</v>
      </c>
      <c r="C9" s="1124"/>
      <c r="D9" s="1125"/>
    </row>
    <row r="10" spans="2:5" ht="42.75" customHeight="1" x14ac:dyDescent="0.35">
      <c r="B10" s="1112" t="s">
        <v>163</v>
      </c>
      <c r="C10" s="573" t="s">
        <v>164</v>
      </c>
      <c r="D10" s="573" t="s">
        <v>165</v>
      </c>
    </row>
    <row r="11" spans="2:5" ht="34.5" customHeight="1" x14ac:dyDescent="0.35">
      <c r="B11" s="1113"/>
      <c r="C11" s="573" t="s">
        <v>166</v>
      </c>
      <c r="D11" s="573" t="s">
        <v>167</v>
      </c>
    </row>
    <row r="12" spans="2:5" ht="24.65" customHeight="1" x14ac:dyDescent="0.35">
      <c r="B12" s="1113"/>
      <c r="C12" s="573" t="s">
        <v>168</v>
      </c>
      <c r="D12" s="574" t="s">
        <v>169</v>
      </c>
    </row>
    <row r="13" spans="2:5" ht="34.4" customHeight="1" x14ac:dyDescent="0.35">
      <c r="B13" s="1113"/>
      <c r="C13" s="573" t="s">
        <v>170</v>
      </c>
      <c r="D13" s="574" t="s">
        <v>171</v>
      </c>
    </row>
    <row r="14" spans="2:5" ht="24.75" customHeight="1" thickBot="1" x14ac:dyDescent="0.4">
      <c r="B14" s="1113"/>
      <c r="C14" s="573" t="s">
        <v>172</v>
      </c>
      <c r="D14" s="575"/>
    </row>
    <row r="15" spans="2:5" x14ac:dyDescent="0.35">
      <c r="B15" s="1067"/>
      <c r="C15" s="276" t="s">
        <v>173</v>
      </c>
      <c r="D15" s="277"/>
    </row>
    <row r="16" spans="2:5" ht="17.899999999999999" customHeight="1" x14ac:dyDescent="0.35">
      <c r="B16" s="103" t="s">
        <v>174</v>
      </c>
      <c r="C16" s="576" t="s">
        <v>175</v>
      </c>
      <c r="D16" s="100"/>
    </row>
    <row r="17" spans="2:4" ht="17.899999999999999" customHeight="1" x14ac:dyDescent="0.35">
      <c r="B17" s="104" t="s">
        <v>176</v>
      </c>
      <c r="C17" s="576" t="s">
        <v>177</v>
      </c>
      <c r="D17" s="101"/>
    </row>
    <row r="18" spans="2:4" x14ac:dyDescent="0.35">
      <c r="B18" s="1106" t="s">
        <v>178</v>
      </c>
      <c r="C18" s="1107"/>
      <c r="D18" s="1108"/>
    </row>
    <row r="19" spans="2:4" x14ac:dyDescent="0.35">
      <c r="B19" s="1109" t="s">
        <v>179</v>
      </c>
      <c r="C19" s="1110"/>
      <c r="D19" s="1111"/>
    </row>
    <row r="20" spans="2:4" x14ac:dyDescent="0.35">
      <c r="B20" s="225"/>
      <c r="C20" s="577" t="s">
        <v>180</v>
      </c>
      <c r="D20" s="226" t="s">
        <v>181</v>
      </c>
    </row>
    <row r="21" spans="2:4" x14ac:dyDescent="0.35">
      <c r="B21" s="105"/>
      <c r="C21" s="578" t="s">
        <v>182</v>
      </c>
      <c r="D21" s="124">
        <v>0</v>
      </c>
    </row>
    <row r="22" spans="2:4" x14ac:dyDescent="0.35">
      <c r="B22" s="105"/>
      <c r="C22" s="578" t="s">
        <v>183</v>
      </c>
      <c r="D22" s="124">
        <v>0</v>
      </c>
    </row>
    <row r="23" spans="2:4" x14ac:dyDescent="0.35">
      <c r="B23" s="105"/>
      <c r="C23" s="578" t="s">
        <v>184</v>
      </c>
      <c r="D23" s="124">
        <v>0</v>
      </c>
    </row>
    <row r="24" spans="2:4" x14ac:dyDescent="0.35">
      <c r="B24" s="109"/>
      <c r="C24" s="579" t="s">
        <v>185</v>
      </c>
      <c r="D24" s="110">
        <f>SUM(D21:D23)</f>
        <v>0</v>
      </c>
    </row>
    <row r="25" spans="2:4" x14ac:dyDescent="0.35">
      <c r="B25" s="227" t="s">
        <v>186</v>
      </c>
      <c r="C25" s="577" t="s">
        <v>187</v>
      </c>
      <c r="D25" s="226" t="s">
        <v>181</v>
      </c>
    </row>
    <row r="26" spans="2:4" x14ac:dyDescent="0.35">
      <c r="B26" s="122" t="s">
        <v>188</v>
      </c>
      <c r="C26" s="580" t="s">
        <v>189</v>
      </c>
      <c r="D26" s="124">
        <v>0</v>
      </c>
    </row>
    <row r="27" spans="2:4" x14ac:dyDescent="0.35">
      <c r="B27" s="122"/>
      <c r="C27" s="580" t="s">
        <v>190</v>
      </c>
      <c r="D27" s="124"/>
    </row>
    <row r="28" spans="2:4" x14ac:dyDescent="0.35">
      <c r="B28" s="122"/>
      <c r="C28" s="580" t="s">
        <v>191</v>
      </c>
      <c r="D28" s="124"/>
    </row>
    <row r="29" spans="2:4" x14ac:dyDescent="0.35">
      <c r="B29" s="105"/>
      <c r="C29" s="580" t="s">
        <v>192</v>
      </c>
      <c r="D29" s="125">
        <v>0</v>
      </c>
    </row>
    <row r="30" spans="2:4" ht="16" thickBot="1" x14ac:dyDescent="0.4">
      <c r="B30" s="106"/>
      <c r="C30" s="108" t="s">
        <v>185</v>
      </c>
      <c r="D30" s="107">
        <f>SUM(D26:D29)</f>
        <v>0</v>
      </c>
    </row>
  </sheetData>
  <mergeCells count="7">
    <mergeCell ref="B18:D18"/>
    <mergeCell ref="B19:D19"/>
    <mergeCell ref="B10:B14"/>
    <mergeCell ref="B2:D2"/>
    <mergeCell ref="B4:D4"/>
    <mergeCell ref="B8:D8"/>
    <mergeCell ref="B9:D9"/>
  </mergeCells>
  <pageMargins left="0.7" right="0.7" top="0.75" bottom="0.75" header="0.3" footer="0.3"/>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MK988"/>
  <sheetViews>
    <sheetView topLeftCell="A10" zoomScale="74" zoomScaleNormal="74" workbookViewId="0">
      <selection activeCell="A18" sqref="A18"/>
    </sheetView>
  </sheetViews>
  <sheetFormatPr defaultColWidth="8.81640625" defaultRowHeight="14.5" x14ac:dyDescent="0.35"/>
  <cols>
    <col min="1" max="2" width="9.453125" style="1" customWidth="1"/>
    <col min="3" max="3" width="15.453125" style="1" customWidth="1"/>
    <col min="4" max="26" width="9.453125" style="1" customWidth="1"/>
    <col min="27" max="1025" width="13.453125" style="1" customWidth="1"/>
  </cols>
  <sheetData>
    <row r="1" spans="1:26" ht="33.75" customHeight="1" x14ac:dyDescent="0.6">
      <c r="A1" s="4" t="s">
        <v>193</v>
      </c>
      <c r="B1" s="5"/>
      <c r="C1" s="6"/>
      <c r="D1" s="6"/>
      <c r="E1" s="6"/>
      <c r="F1" s="6"/>
      <c r="G1" s="6"/>
      <c r="H1" s="6"/>
      <c r="I1" s="6"/>
      <c r="J1" s="6"/>
      <c r="K1" s="6"/>
      <c r="L1" s="6"/>
      <c r="M1" s="6"/>
      <c r="N1" s="6"/>
      <c r="O1" s="6"/>
      <c r="P1" s="6"/>
      <c r="Q1" s="6"/>
      <c r="R1" s="6"/>
      <c r="S1" s="6"/>
      <c r="T1" s="6"/>
      <c r="U1" s="6"/>
      <c r="V1" s="6"/>
      <c r="W1" s="6"/>
      <c r="X1" s="6"/>
      <c r="Y1" s="6"/>
      <c r="Z1" s="6"/>
    </row>
    <row r="2" spans="1:26" ht="14.25" customHeight="1" x14ac:dyDescent="0.35">
      <c r="A2" s="7"/>
      <c r="B2" s="7"/>
      <c r="C2" s="7"/>
      <c r="D2" s="7"/>
      <c r="E2" s="7"/>
      <c r="F2" s="7"/>
      <c r="G2" s="7"/>
      <c r="H2" s="7"/>
      <c r="I2" s="7"/>
      <c r="J2" s="7"/>
      <c r="K2" s="7"/>
      <c r="L2" s="7"/>
      <c r="M2" s="7"/>
      <c r="N2" s="7"/>
      <c r="O2" s="7"/>
      <c r="P2" s="7"/>
      <c r="Q2" s="7"/>
      <c r="R2" s="7"/>
      <c r="S2" s="7"/>
      <c r="T2" s="7"/>
      <c r="U2" s="7"/>
      <c r="V2" s="7"/>
      <c r="W2" s="7"/>
      <c r="X2" s="7"/>
      <c r="Y2" s="7"/>
      <c r="Z2" s="7"/>
    </row>
    <row r="3" spans="1:26" ht="46.5" customHeight="1" x14ac:dyDescent="0.6">
      <c r="A3" s="4" t="s">
        <v>194</v>
      </c>
      <c r="B3" s="5"/>
      <c r="C3" s="6"/>
      <c r="D3" s="6"/>
      <c r="E3" s="6"/>
      <c r="F3" s="6"/>
      <c r="G3" s="6"/>
      <c r="H3" s="6"/>
      <c r="I3" s="6"/>
      <c r="J3" s="6"/>
      <c r="K3" s="6"/>
      <c r="L3" s="6"/>
      <c r="M3" s="6"/>
      <c r="N3" s="6"/>
      <c r="O3" s="6"/>
      <c r="P3" s="6"/>
      <c r="Q3" s="6"/>
      <c r="R3" s="6"/>
      <c r="S3" s="6"/>
      <c r="T3" s="6"/>
      <c r="U3" s="6"/>
      <c r="V3" s="6"/>
      <c r="W3" s="6"/>
      <c r="X3" s="6"/>
      <c r="Y3" s="6"/>
      <c r="Z3" s="6"/>
    </row>
    <row r="4" spans="1:26" ht="14.25" customHeight="1" x14ac:dyDescent="0.35">
      <c r="A4" s="7"/>
      <c r="B4" s="7"/>
      <c r="C4" s="7"/>
      <c r="D4" s="7"/>
      <c r="E4" s="7"/>
      <c r="F4" s="7"/>
      <c r="G4" s="7"/>
      <c r="H4" s="7"/>
      <c r="I4" s="7"/>
      <c r="J4" s="7"/>
      <c r="K4" s="7"/>
      <c r="L4" s="7"/>
      <c r="M4" s="7"/>
      <c r="N4" s="7"/>
      <c r="O4" s="7"/>
      <c r="P4" s="7"/>
      <c r="Q4" s="7"/>
      <c r="R4" s="7"/>
      <c r="S4" s="7"/>
      <c r="T4" s="7"/>
      <c r="U4" s="7"/>
      <c r="V4" s="7"/>
      <c r="W4" s="7"/>
      <c r="X4" s="7"/>
      <c r="Y4" s="7"/>
      <c r="Z4" s="7"/>
    </row>
    <row r="5" spans="1:26" ht="36" customHeight="1" x14ac:dyDescent="0.6">
      <c r="A5" s="4" t="s">
        <v>195</v>
      </c>
      <c r="B5" s="5"/>
      <c r="C5" s="6"/>
      <c r="D5" s="6"/>
      <c r="E5" s="6"/>
      <c r="F5" s="6"/>
      <c r="G5" s="6"/>
      <c r="H5" s="6"/>
      <c r="I5" s="6"/>
      <c r="J5" s="6"/>
      <c r="K5" s="6"/>
      <c r="L5" s="6"/>
      <c r="M5" s="6"/>
      <c r="N5" s="6"/>
      <c r="O5" s="6"/>
      <c r="P5" s="6"/>
      <c r="Q5" s="6"/>
      <c r="R5" s="6"/>
      <c r="S5" s="6"/>
      <c r="T5" s="6"/>
      <c r="U5" s="6"/>
      <c r="V5" s="6"/>
      <c r="W5" s="6"/>
      <c r="X5" s="6"/>
      <c r="Y5" s="6"/>
      <c r="Z5" s="6"/>
    </row>
    <row r="6" spans="1:26" ht="14.25" customHeight="1" x14ac:dyDescent="0.35">
      <c r="A6" s="7"/>
      <c r="B6" s="7"/>
      <c r="C6" s="7"/>
      <c r="D6" s="7"/>
      <c r="E6" s="7"/>
      <c r="F6" s="7"/>
      <c r="G6" s="7"/>
      <c r="H6" s="7"/>
      <c r="I6" s="7"/>
      <c r="J6" s="7"/>
      <c r="K6" s="7"/>
      <c r="L6" s="7"/>
      <c r="M6" s="7"/>
      <c r="N6" s="7"/>
      <c r="O6" s="7"/>
      <c r="P6" s="7"/>
      <c r="Q6" s="7"/>
      <c r="R6" s="7"/>
      <c r="S6" s="7"/>
      <c r="T6" s="7"/>
      <c r="U6" s="7"/>
      <c r="V6" s="7"/>
      <c r="W6" s="7"/>
      <c r="X6" s="7"/>
      <c r="Y6" s="7"/>
      <c r="Z6" s="7"/>
    </row>
    <row r="7" spans="1:26" ht="14.25" customHeight="1" x14ac:dyDescent="0.35">
      <c r="A7" s="7"/>
      <c r="B7" s="7"/>
      <c r="C7" s="7"/>
      <c r="D7" s="7"/>
      <c r="E7" s="7"/>
      <c r="F7" s="7"/>
      <c r="G7" s="7"/>
      <c r="H7" s="7"/>
      <c r="I7" s="7"/>
      <c r="J7" s="7"/>
      <c r="K7" s="7"/>
      <c r="L7" s="7"/>
      <c r="M7" s="7"/>
      <c r="N7" s="7"/>
      <c r="O7" s="7"/>
      <c r="P7" s="7"/>
      <c r="Q7" s="7"/>
      <c r="R7" s="7"/>
      <c r="S7" s="7"/>
      <c r="T7" s="7"/>
      <c r="U7" s="7"/>
      <c r="V7" s="7"/>
      <c r="W7" s="7"/>
      <c r="X7" s="7"/>
      <c r="Y7" s="7"/>
      <c r="Z7" s="7"/>
    </row>
    <row r="8" spans="1:26" ht="14.25" customHeight="1" x14ac:dyDescent="0.35">
      <c r="A8" s="8" t="s">
        <v>196</v>
      </c>
      <c r="B8" s="7"/>
      <c r="C8" s="7" t="s">
        <v>197</v>
      </c>
      <c r="D8" s="7"/>
      <c r="E8" s="7"/>
      <c r="F8" s="7"/>
      <c r="G8" s="7"/>
      <c r="H8" s="7"/>
      <c r="I8" s="7"/>
      <c r="J8" s="7"/>
      <c r="K8" s="7"/>
      <c r="L8" s="7"/>
      <c r="M8" s="7"/>
      <c r="N8" s="7"/>
      <c r="O8" s="7"/>
      <c r="P8" s="7"/>
      <c r="Q8" s="7"/>
      <c r="R8" s="7"/>
      <c r="S8" s="7"/>
      <c r="T8" s="7"/>
      <c r="U8" s="7"/>
      <c r="V8" s="7"/>
      <c r="W8" s="7"/>
      <c r="X8" s="7"/>
      <c r="Y8" s="7"/>
      <c r="Z8" s="7"/>
    </row>
    <row r="9" spans="1:26" ht="14.25" customHeight="1" x14ac:dyDescent="0.35">
      <c r="A9" s="7"/>
      <c r="B9" s="7"/>
      <c r="C9" s="7"/>
      <c r="D9" s="7"/>
      <c r="E9" s="7"/>
      <c r="F9" s="7"/>
      <c r="G9" s="7"/>
      <c r="H9" s="7"/>
      <c r="I9" s="7"/>
      <c r="J9" s="7"/>
      <c r="K9" s="7"/>
      <c r="L9" s="7"/>
      <c r="M9" s="7"/>
      <c r="N9" s="7"/>
      <c r="O9" s="7"/>
      <c r="P9" s="7"/>
      <c r="Q9" s="7"/>
      <c r="R9" s="7"/>
      <c r="S9" s="7"/>
      <c r="T9" s="7"/>
      <c r="U9" s="7"/>
      <c r="V9" s="7"/>
      <c r="W9" s="7"/>
      <c r="X9" s="7"/>
      <c r="Y9" s="7"/>
      <c r="Z9" s="7"/>
    </row>
    <row r="10" spans="1:26" ht="14.25" customHeight="1" x14ac:dyDescent="0.35">
      <c r="A10" s="8" t="s">
        <v>198</v>
      </c>
      <c r="B10" s="7"/>
      <c r="C10" s="9"/>
      <c r="D10" s="7"/>
      <c r="E10" s="7"/>
      <c r="F10" s="7"/>
      <c r="G10" s="7"/>
      <c r="H10" s="7"/>
      <c r="I10" s="7"/>
      <c r="J10" s="7"/>
      <c r="K10" s="7"/>
      <c r="L10" s="7"/>
      <c r="M10" s="7"/>
      <c r="N10" s="7"/>
      <c r="O10" s="7"/>
      <c r="P10" s="7"/>
      <c r="Q10" s="7"/>
      <c r="R10" s="7"/>
      <c r="S10" s="7"/>
      <c r="T10" s="7"/>
      <c r="U10" s="7"/>
      <c r="V10" s="7"/>
      <c r="W10" s="7"/>
      <c r="X10" s="7"/>
      <c r="Y10" s="7"/>
      <c r="Z10" s="7"/>
    </row>
    <row r="11" spans="1:26" ht="14.25" customHeight="1" x14ac:dyDescent="0.35">
      <c r="A11" s="7"/>
      <c r="B11" s="7"/>
      <c r="C11" s="7"/>
      <c r="D11" s="7"/>
      <c r="E11" s="7"/>
      <c r="F11" s="7"/>
      <c r="G11" s="7"/>
      <c r="H11" s="7"/>
      <c r="I11" s="7"/>
      <c r="J11" s="7"/>
      <c r="K11" s="7"/>
      <c r="L11" s="7"/>
      <c r="M11" s="7"/>
      <c r="N11" s="7"/>
      <c r="O11" s="7"/>
      <c r="P11" s="7"/>
      <c r="Q11" s="7"/>
      <c r="R11" s="7"/>
      <c r="S11" s="7"/>
      <c r="T11" s="7"/>
      <c r="U11" s="7"/>
      <c r="V11" s="7"/>
      <c r="W11" s="7"/>
      <c r="X11" s="7"/>
      <c r="Y11" s="7"/>
      <c r="Z11" s="7"/>
    </row>
    <row r="12" spans="1:26" ht="42" customHeight="1" x14ac:dyDescent="0.35">
      <c r="A12" s="1128" t="s">
        <v>199</v>
      </c>
      <c r="B12" s="1128"/>
      <c r="C12" s="1128"/>
      <c r="D12" s="1128"/>
      <c r="E12" s="1128"/>
      <c r="F12" s="1128"/>
      <c r="G12" s="1128"/>
      <c r="H12" s="1128"/>
      <c r="I12" s="1128"/>
      <c r="J12" s="1128"/>
      <c r="K12" s="1128"/>
      <c r="L12" s="6"/>
      <c r="M12" s="6"/>
      <c r="N12" s="6"/>
      <c r="O12" s="6"/>
      <c r="P12" s="6"/>
      <c r="Q12" s="6"/>
      <c r="R12" s="6"/>
      <c r="S12" s="6"/>
      <c r="T12" s="6"/>
      <c r="U12" s="6"/>
      <c r="V12" s="6"/>
      <c r="W12" s="6"/>
      <c r="X12" s="6"/>
      <c r="Y12" s="6"/>
      <c r="Z12" s="6"/>
    </row>
    <row r="13" spans="1:26" ht="14.25" customHeight="1" x14ac:dyDescent="0.35">
      <c r="A13" s="1129"/>
      <c r="B13" s="1129"/>
      <c r="C13" s="1129"/>
      <c r="D13" s="1129"/>
      <c r="E13" s="1129"/>
      <c r="F13" s="1129"/>
      <c r="G13" s="1129"/>
      <c r="H13" s="1129"/>
      <c r="I13" s="1129"/>
      <c r="J13" s="1129"/>
      <c r="K13" s="1129"/>
      <c r="L13" s="7"/>
      <c r="M13" s="7"/>
      <c r="N13" s="7"/>
      <c r="O13" s="7"/>
      <c r="P13" s="7"/>
      <c r="Q13" s="7"/>
      <c r="R13" s="7"/>
      <c r="S13" s="7"/>
      <c r="T13" s="7"/>
      <c r="U13" s="7"/>
      <c r="V13" s="7"/>
      <c r="W13" s="7"/>
      <c r="X13" s="7"/>
      <c r="Y13" s="7"/>
      <c r="Z13" s="7"/>
    </row>
    <row r="14" spans="1:26" ht="39.75" customHeight="1" x14ac:dyDescent="0.35">
      <c r="A14" s="1130" t="s">
        <v>200</v>
      </c>
      <c r="B14" s="1130"/>
      <c r="C14" s="1130"/>
      <c r="D14" s="1130"/>
      <c r="E14" s="1130"/>
      <c r="F14" s="1130"/>
      <c r="G14" s="1130"/>
      <c r="H14" s="1130"/>
      <c r="I14" s="1130"/>
      <c r="J14" s="1130"/>
      <c r="K14" s="1130"/>
      <c r="L14" s="7"/>
      <c r="M14" s="7"/>
      <c r="N14" s="7"/>
      <c r="O14" s="7"/>
      <c r="P14" s="7"/>
      <c r="Q14" s="7"/>
      <c r="R14" s="7"/>
      <c r="S14" s="7"/>
      <c r="T14" s="7"/>
      <c r="U14" s="7"/>
      <c r="V14" s="7"/>
      <c r="W14" s="7"/>
      <c r="X14" s="7"/>
      <c r="Y14" s="7"/>
      <c r="Z14" s="7"/>
    </row>
    <row r="15" spans="1:26" ht="14.25" customHeight="1" x14ac:dyDescent="0.35">
      <c r="A15" s="1131"/>
      <c r="B15" s="1131"/>
      <c r="C15" s="1131"/>
      <c r="D15" s="1131"/>
      <c r="E15" s="1131"/>
      <c r="F15" s="1131"/>
      <c r="G15" s="1131"/>
      <c r="H15" s="1131"/>
      <c r="I15" s="1131"/>
      <c r="J15" s="1131"/>
      <c r="K15" s="1131"/>
      <c r="L15" s="7"/>
      <c r="M15" s="7"/>
      <c r="N15" s="7"/>
      <c r="O15" s="7"/>
      <c r="P15" s="7"/>
      <c r="Q15" s="7"/>
      <c r="R15" s="7"/>
      <c r="S15" s="7"/>
      <c r="T15" s="7"/>
      <c r="U15" s="7"/>
      <c r="V15" s="7"/>
      <c r="W15" s="7"/>
      <c r="X15" s="7"/>
      <c r="Y15" s="7"/>
      <c r="Z15" s="7"/>
    </row>
    <row r="16" spans="1:26" ht="14.25" customHeight="1" x14ac:dyDescent="0.35">
      <c r="A16" s="1131"/>
      <c r="B16" s="1131"/>
      <c r="C16" s="1131"/>
      <c r="D16" s="1131"/>
      <c r="E16" s="1131"/>
      <c r="F16" s="1131"/>
      <c r="G16" s="1131"/>
      <c r="H16" s="1131"/>
      <c r="I16" s="1131"/>
      <c r="J16" s="1131"/>
      <c r="K16" s="1131"/>
      <c r="L16" s="7"/>
      <c r="M16" s="7"/>
      <c r="N16" s="7"/>
      <c r="O16" s="7"/>
      <c r="P16" s="7"/>
      <c r="Q16" s="7"/>
      <c r="R16" s="7"/>
      <c r="S16" s="7"/>
      <c r="T16" s="7"/>
      <c r="U16" s="7"/>
      <c r="V16" s="7"/>
      <c r="W16" s="7"/>
      <c r="X16" s="7"/>
      <c r="Y16" s="7"/>
      <c r="Z16" s="7"/>
    </row>
    <row r="17" spans="1:26" ht="34.5" customHeight="1" x14ac:dyDescent="0.35">
      <c r="A17" s="10" t="s">
        <v>201</v>
      </c>
      <c r="B17" s="11"/>
      <c r="C17" s="11"/>
      <c r="D17" s="11"/>
      <c r="E17" s="11"/>
      <c r="F17" s="11"/>
      <c r="G17" s="11"/>
      <c r="H17" s="11"/>
      <c r="I17" s="11"/>
      <c r="J17" s="11"/>
      <c r="K17" s="11"/>
      <c r="L17" s="12"/>
      <c r="M17" s="12"/>
      <c r="N17" s="12"/>
      <c r="O17" s="12"/>
      <c r="P17" s="12"/>
      <c r="Q17" s="12"/>
      <c r="R17" s="12"/>
      <c r="S17" s="12"/>
      <c r="T17" s="12"/>
      <c r="U17" s="12"/>
      <c r="V17" s="12"/>
      <c r="W17" s="12"/>
      <c r="X17" s="12"/>
      <c r="Y17" s="12"/>
      <c r="Z17" s="12"/>
    </row>
    <row r="18" spans="1:26" ht="14.25" customHeight="1" x14ac:dyDescent="0.35">
      <c r="A18" s="1126" t="s">
        <v>202</v>
      </c>
      <c r="B18" s="1126"/>
      <c r="C18" s="1126"/>
      <c r="D18" s="1126"/>
      <c r="E18" s="1126"/>
      <c r="F18" s="1126"/>
      <c r="G18" s="1126"/>
      <c r="H18" s="1126"/>
      <c r="I18" s="1126"/>
      <c r="J18" s="1126"/>
      <c r="K18" s="1126"/>
      <c r="L18" s="7"/>
      <c r="M18" s="7"/>
      <c r="N18" s="7"/>
      <c r="O18" s="7"/>
      <c r="P18" s="7"/>
      <c r="Q18" s="7"/>
      <c r="R18" s="7"/>
      <c r="S18" s="7"/>
      <c r="T18" s="7"/>
      <c r="U18" s="7"/>
      <c r="V18" s="7"/>
      <c r="W18" s="7"/>
      <c r="X18" s="7"/>
      <c r="Y18" s="7"/>
      <c r="Z18" s="7"/>
    </row>
    <row r="19" spans="1:26" ht="14.25" customHeight="1" x14ac:dyDescent="0.35">
      <c r="A19" s="1126"/>
      <c r="B19" s="1126"/>
      <c r="C19" s="1126"/>
      <c r="D19" s="1126"/>
      <c r="E19" s="1126"/>
      <c r="F19" s="1126"/>
      <c r="G19" s="1126"/>
      <c r="H19" s="1126"/>
      <c r="I19" s="1126"/>
      <c r="J19" s="1126"/>
      <c r="K19" s="1126"/>
      <c r="L19" s="7"/>
      <c r="M19" s="7"/>
      <c r="N19" s="7"/>
      <c r="O19" s="7"/>
      <c r="P19" s="7"/>
      <c r="Q19" s="7"/>
      <c r="R19" s="7"/>
      <c r="S19" s="7"/>
      <c r="T19" s="7"/>
      <c r="U19" s="7"/>
      <c r="V19" s="7"/>
      <c r="W19" s="7"/>
      <c r="X19" s="7"/>
      <c r="Y19" s="7"/>
      <c r="Z19" s="7"/>
    </row>
    <row r="20" spans="1:26" ht="64.5" customHeight="1" x14ac:dyDescent="0.35">
      <c r="A20" s="1126"/>
      <c r="B20" s="1126"/>
      <c r="C20" s="1126"/>
      <c r="D20" s="1126"/>
      <c r="E20" s="1126"/>
      <c r="F20" s="1126"/>
      <c r="G20" s="1126"/>
      <c r="H20" s="1126"/>
      <c r="I20" s="1126"/>
      <c r="J20" s="1126"/>
      <c r="K20" s="1126"/>
      <c r="L20" s="7"/>
      <c r="M20" s="7"/>
      <c r="N20" s="7"/>
      <c r="O20" s="7"/>
      <c r="P20" s="7"/>
      <c r="Q20" s="7"/>
      <c r="R20" s="7"/>
      <c r="S20" s="7"/>
      <c r="T20" s="7"/>
      <c r="U20" s="7"/>
      <c r="V20" s="7"/>
      <c r="W20" s="7"/>
      <c r="X20" s="7"/>
      <c r="Y20" s="7"/>
      <c r="Z20" s="7"/>
    </row>
    <row r="21" spans="1:26" ht="29.25" customHeight="1" x14ac:dyDescent="0.35">
      <c r="A21" s="10" t="s">
        <v>157</v>
      </c>
      <c r="B21" s="11"/>
      <c r="C21" s="11"/>
      <c r="D21" s="11"/>
      <c r="E21" s="11"/>
      <c r="F21" s="11"/>
      <c r="G21" s="11"/>
      <c r="H21" s="11"/>
      <c r="I21" s="11"/>
      <c r="J21" s="11"/>
      <c r="K21" s="11"/>
      <c r="L21" s="12"/>
      <c r="M21" s="12"/>
      <c r="N21" s="12"/>
      <c r="O21" s="12"/>
      <c r="P21" s="12"/>
      <c r="Q21" s="12"/>
      <c r="R21" s="12"/>
      <c r="S21" s="12"/>
      <c r="T21" s="12"/>
      <c r="U21" s="12"/>
      <c r="V21" s="12"/>
      <c r="W21" s="12"/>
      <c r="X21" s="12"/>
      <c r="Y21" s="12"/>
      <c r="Z21" s="12"/>
    </row>
    <row r="22" spans="1:26" ht="14.25" customHeight="1" x14ac:dyDescent="0.35">
      <c r="A22" s="13"/>
      <c r="B22" s="13"/>
      <c r="C22" s="13"/>
      <c r="D22" s="13"/>
      <c r="E22" s="13"/>
      <c r="F22" s="13"/>
      <c r="G22" s="13"/>
      <c r="H22" s="13"/>
      <c r="I22" s="13"/>
      <c r="J22" s="13"/>
      <c r="K22" s="13"/>
      <c r="L22" s="7"/>
      <c r="M22" s="7"/>
      <c r="N22" s="7"/>
      <c r="O22" s="7"/>
      <c r="P22" s="7"/>
      <c r="Q22" s="7"/>
      <c r="R22" s="7"/>
      <c r="S22" s="7"/>
      <c r="T22" s="7"/>
      <c r="U22" s="7"/>
      <c r="V22" s="7"/>
      <c r="W22" s="7"/>
      <c r="X22" s="7"/>
      <c r="Y22" s="7"/>
      <c r="Z22" s="7"/>
    </row>
    <row r="23" spans="1:26" ht="14.25" customHeight="1" x14ac:dyDescent="0.35">
      <c r="A23" s="1127" t="s">
        <v>203</v>
      </c>
      <c r="B23" s="1127"/>
      <c r="C23" s="1127"/>
      <c r="D23" s="1127"/>
      <c r="E23" s="1127"/>
      <c r="F23" s="1127"/>
      <c r="G23" s="1127"/>
      <c r="H23" s="1127"/>
      <c r="I23" s="1127"/>
      <c r="J23" s="1127"/>
      <c r="K23" s="1127"/>
      <c r="L23" s="7"/>
      <c r="M23" s="7"/>
      <c r="N23" s="7"/>
      <c r="O23" s="7"/>
      <c r="P23" s="7"/>
      <c r="Q23" s="7"/>
      <c r="R23" s="7"/>
      <c r="S23" s="7"/>
      <c r="T23" s="7"/>
      <c r="U23" s="7"/>
      <c r="V23" s="7"/>
      <c r="W23" s="7"/>
      <c r="X23" s="7"/>
      <c r="Y23" s="7"/>
      <c r="Z23" s="7"/>
    </row>
    <row r="24" spans="1:26" ht="14.25" customHeight="1" x14ac:dyDescent="0.35">
      <c r="A24" s="13"/>
      <c r="B24" s="13"/>
      <c r="C24" s="13"/>
      <c r="D24" s="13"/>
      <c r="E24" s="13"/>
      <c r="F24" s="13"/>
      <c r="G24" s="13"/>
      <c r="H24" s="13"/>
      <c r="I24" s="13"/>
      <c r="J24" s="13"/>
      <c r="K24" s="13"/>
      <c r="L24" s="7"/>
      <c r="M24" s="7"/>
      <c r="N24" s="7"/>
      <c r="O24" s="7"/>
      <c r="P24" s="7"/>
      <c r="Q24" s="7"/>
      <c r="R24" s="7"/>
      <c r="S24" s="7"/>
      <c r="T24" s="7"/>
      <c r="U24" s="7"/>
      <c r="V24" s="7"/>
      <c r="W24" s="7"/>
      <c r="X24" s="7"/>
      <c r="Y24" s="7"/>
      <c r="Z24" s="7"/>
    </row>
    <row r="25" spans="1:26" ht="14.25" customHeight="1" x14ac:dyDescent="0.35">
      <c r="A25" s="13"/>
      <c r="B25" s="13" t="s">
        <v>204</v>
      </c>
      <c r="C25" s="13"/>
      <c r="D25" s="13"/>
      <c r="E25" s="13"/>
      <c r="F25" s="13"/>
      <c r="G25" s="13"/>
      <c r="H25" s="13"/>
      <c r="I25" s="13"/>
      <c r="J25" s="13"/>
      <c r="K25" s="13"/>
      <c r="L25" s="7"/>
      <c r="M25" s="7"/>
      <c r="N25" s="7"/>
      <c r="O25" s="7"/>
      <c r="P25" s="7"/>
      <c r="Q25" s="7"/>
      <c r="R25" s="7"/>
      <c r="S25" s="7"/>
      <c r="T25" s="7"/>
      <c r="U25" s="7"/>
      <c r="V25" s="7"/>
      <c r="W25" s="7"/>
      <c r="X25" s="7"/>
      <c r="Y25" s="7"/>
      <c r="Z25" s="7"/>
    </row>
    <row r="26" spans="1:26" ht="14.25" customHeight="1" x14ac:dyDescent="0.35">
      <c r="A26" s="14"/>
      <c r="B26" s="14" t="s">
        <v>197</v>
      </c>
      <c r="C26" s="14"/>
      <c r="D26" s="13"/>
      <c r="E26" s="13"/>
      <c r="F26" s="13"/>
      <c r="G26" s="13"/>
      <c r="H26" s="13"/>
      <c r="I26" s="13"/>
      <c r="J26" s="13"/>
      <c r="K26" s="13"/>
      <c r="L26" s="7"/>
      <c r="M26" s="7"/>
      <c r="N26" s="7"/>
      <c r="O26" s="7"/>
      <c r="P26" s="7"/>
      <c r="Q26" s="7"/>
      <c r="R26" s="7"/>
      <c r="S26" s="7"/>
      <c r="T26" s="7"/>
      <c r="U26" s="7"/>
      <c r="V26" s="7"/>
      <c r="W26" s="7"/>
      <c r="X26" s="7"/>
      <c r="Y26" s="7"/>
      <c r="Z26" s="7"/>
    </row>
    <row r="27" spans="1:26" ht="14.25" customHeight="1" x14ac:dyDescent="0.35">
      <c r="A27" s="14"/>
      <c r="B27" s="14" t="s">
        <v>205</v>
      </c>
      <c r="C27" s="13"/>
      <c r="D27" s="13"/>
      <c r="E27" s="13"/>
      <c r="F27" s="13"/>
      <c r="G27" s="13"/>
      <c r="H27" s="13"/>
      <c r="I27" s="13"/>
      <c r="J27" s="13"/>
      <c r="K27" s="13"/>
      <c r="L27" s="7"/>
      <c r="M27" s="7"/>
      <c r="N27" s="7"/>
      <c r="O27" s="7"/>
      <c r="P27" s="7"/>
      <c r="Q27" s="7"/>
      <c r="R27" s="7"/>
      <c r="S27" s="7"/>
      <c r="T27" s="7"/>
      <c r="U27" s="7"/>
      <c r="V27" s="7"/>
      <c r="W27" s="7"/>
      <c r="X27" s="7"/>
      <c r="Y27" s="7"/>
      <c r="Z27" s="7"/>
    </row>
    <row r="28" spans="1:26" ht="14.25" customHeight="1" x14ac:dyDescent="0.35">
      <c r="A28" s="14"/>
      <c r="B28" s="14" t="s">
        <v>206</v>
      </c>
      <c r="C28" s="13"/>
      <c r="D28" s="13"/>
      <c r="E28" s="13"/>
      <c r="F28" s="13"/>
      <c r="G28" s="13"/>
      <c r="H28" s="13"/>
      <c r="I28" s="13"/>
      <c r="J28" s="13"/>
      <c r="K28" s="13"/>
      <c r="L28" s="7"/>
      <c r="M28" s="7"/>
      <c r="N28" s="7"/>
      <c r="O28" s="7"/>
      <c r="P28" s="7"/>
      <c r="Q28" s="7"/>
      <c r="R28" s="7"/>
      <c r="S28" s="7"/>
      <c r="T28" s="7"/>
      <c r="U28" s="7"/>
      <c r="V28" s="7"/>
      <c r="W28" s="7"/>
      <c r="X28" s="7"/>
      <c r="Y28" s="7"/>
      <c r="Z28" s="7"/>
    </row>
    <row r="29" spans="1:26" ht="14.25" customHeight="1" x14ac:dyDescent="0.35"/>
    <row r="30" spans="1:26" ht="14.25" customHeight="1" x14ac:dyDescent="0.35"/>
    <row r="31" spans="1:26" ht="14.25" customHeight="1" x14ac:dyDescent="0.35"/>
    <row r="32" spans="1:26" ht="14.25" customHeight="1" x14ac:dyDescent="0.35"/>
    <row r="33" ht="14.25" customHeight="1" x14ac:dyDescent="0.35"/>
    <row r="34" ht="14.25" customHeight="1" x14ac:dyDescent="0.35"/>
    <row r="35" ht="14.25" customHeight="1" x14ac:dyDescent="0.35"/>
    <row r="36" ht="14.25" customHeight="1" x14ac:dyDescent="0.35"/>
    <row r="37" ht="14.25" customHeight="1" x14ac:dyDescent="0.35"/>
    <row r="38" ht="14.25" customHeight="1" x14ac:dyDescent="0.35"/>
    <row r="39" ht="14.25" customHeight="1" x14ac:dyDescent="0.35"/>
    <row r="40" ht="14.25" customHeight="1" x14ac:dyDescent="0.35"/>
    <row r="41" ht="14.25" customHeight="1" x14ac:dyDescent="0.35"/>
    <row r="42" ht="14.25" customHeight="1" x14ac:dyDescent="0.35"/>
    <row r="43" ht="14.25" customHeight="1" x14ac:dyDescent="0.35"/>
    <row r="44" ht="14.25" customHeight="1" x14ac:dyDescent="0.35"/>
    <row r="45" ht="14.25" customHeight="1" x14ac:dyDescent="0.35"/>
    <row r="46" ht="14.25" customHeight="1" x14ac:dyDescent="0.35"/>
    <row r="47" ht="14.25" customHeight="1" x14ac:dyDescent="0.35"/>
    <row r="48"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sheetData>
  <mergeCells count="7">
    <mergeCell ref="A18:K20"/>
    <mergeCell ref="A23:K23"/>
    <mergeCell ref="A12:K12"/>
    <mergeCell ref="A13:K13"/>
    <mergeCell ref="A14:K14"/>
    <mergeCell ref="A15:K15"/>
    <mergeCell ref="A16:K16"/>
  </mergeCells>
  <pageMargins left="0.7" right="0.7" top="0.75" bottom="0.75" header="0.51180555555555496" footer="0.51180555555555496"/>
  <pageSetup firstPageNumber="0" orientation="landscape"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MJ146"/>
  <sheetViews>
    <sheetView zoomScale="74" zoomScaleNormal="74" workbookViewId="0">
      <pane ySplit="2" topLeftCell="A96" activePane="bottomLeft" state="frozen"/>
      <selection pane="bottomLeft" activeCell="B82" sqref="B82"/>
    </sheetView>
  </sheetViews>
  <sheetFormatPr defaultColWidth="8.81640625" defaultRowHeight="14.5" x14ac:dyDescent="0.35"/>
  <cols>
    <col min="1" max="1" width="7.453125" style="15" customWidth="1"/>
    <col min="2" max="2" width="82.453125" style="2" customWidth="1"/>
    <col min="3" max="3" width="16" style="2" customWidth="1"/>
    <col min="4" max="4" width="31.453125" style="16" customWidth="1"/>
    <col min="5" max="5" width="26.453125" style="16" customWidth="1"/>
    <col min="6" max="6" width="18.453125" style="17" customWidth="1"/>
    <col min="7" max="7" width="29.453125" style="15" customWidth="1"/>
    <col min="8" max="8" width="31.453125" style="15" customWidth="1"/>
    <col min="9" max="10" width="30" style="2" customWidth="1"/>
    <col min="11" max="157" width="10.453125" style="2" customWidth="1"/>
    <col min="158" max="158" width="7.453125" style="2" customWidth="1"/>
    <col min="159" max="159" width="86.453125" style="2" customWidth="1"/>
    <col min="160" max="160" width="15.453125" style="2" customWidth="1"/>
    <col min="161" max="162" width="18" style="2" customWidth="1"/>
    <col min="163" max="163" width="12.453125" style="2" customWidth="1"/>
    <col min="164" max="165" width="20.453125" style="2" customWidth="1"/>
    <col min="166" max="167" width="30" style="2" customWidth="1"/>
    <col min="168" max="413" width="10.453125" style="2" customWidth="1"/>
    <col min="414" max="414" width="7.453125" style="2" customWidth="1"/>
    <col min="415" max="415" width="86.453125" style="2" customWidth="1"/>
    <col min="416" max="416" width="15.453125" style="2" customWidth="1"/>
    <col min="417" max="418" width="18" style="2" customWidth="1"/>
    <col min="419" max="419" width="12.453125" style="2" customWidth="1"/>
    <col min="420" max="421" width="20.453125" style="2" customWidth="1"/>
    <col min="422" max="423" width="30" style="2" customWidth="1"/>
    <col min="424" max="669" width="10.453125" style="2" customWidth="1"/>
    <col min="670" max="670" width="7.453125" style="2" customWidth="1"/>
    <col min="671" max="671" width="86.453125" style="2" customWidth="1"/>
    <col min="672" max="672" width="15.453125" style="2" customWidth="1"/>
    <col min="673" max="674" width="18" style="2" customWidth="1"/>
    <col min="675" max="675" width="12.453125" style="2" customWidth="1"/>
    <col min="676" max="677" width="20.453125" style="2" customWidth="1"/>
    <col min="678" max="679" width="30" style="2" customWidth="1"/>
    <col min="680" max="926" width="10.453125" style="2" customWidth="1"/>
    <col min="927" max="1025" width="8.453125" customWidth="1"/>
  </cols>
  <sheetData>
    <row r="1" spans="1:1024" s="22" customFormat="1" ht="45" customHeight="1" x14ac:dyDescent="0.3">
      <c r="A1" s="1132" t="s">
        <v>207</v>
      </c>
      <c r="B1" s="1132"/>
      <c r="C1" s="1132"/>
      <c r="D1" s="18"/>
      <c r="E1" s="18"/>
      <c r="F1" s="19"/>
      <c r="G1" s="20"/>
      <c r="H1" s="20"/>
      <c r="I1" s="21"/>
      <c r="J1" s="21"/>
    </row>
    <row r="2" spans="1:1024" s="24" customFormat="1" ht="63.75" customHeight="1" x14ac:dyDescent="0.35">
      <c r="A2" s="581" t="s">
        <v>208</v>
      </c>
      <c r="B2" s="582" t="s">
        <v>209</v>
      </c>
      <c r="C2" s="581" t="s">
        <v>210</v>
      </c>
      <c r="D2" s="583" t="s">
        <v>211</v>
      </c>
      <c r="E2" s="583" t="s">
        <v>212</v>
      </c>
      <c r="F2" s="584" t="s">
        <v>213</v>
      </c>
      <c r="G2" s="585" t="s">
        <v>214</v>
      </c>
      <c r="H2" s="585" t="s">
        <v>215</v>
      </c>
      <c r="I2" s="582" t="s">
        <v>216</v>
      </c>
      <c r="J2" s="23"/>
    </row>
    <row r="3" spans="1:1024" s="26" customFormat="1" ht="15.75" customHeight="1" x14ac:dyDescent="0.35">
      <c r="A3" s="586" t="s">
        <v>217</v>
      </c>
      <c r="B3" s="587" t="s">
        <v>218</v>
      </c>
      <c r="C3" s="588"/>
      <c r="D3" s="589"/>
      <c r="E3" s="589"/>
      <c r="F3" s="590"/>
      <c r="G3" s="591"/>
      <c r="H3" s="591"/>
      <c r="I3" s="592"/>
      <c r="J3" s="25"/>
    </row>
    <row r="4" spans="1:1024" s="29" customFormat="1" ht="15.75" customHeight="1" x14ac:dyDescent="0.3">
      <c r="A4" s="593" t="s">
        <v>219</v>
      </c>
      <c r="B4" s="594" t="s">
        <v>220</v>
      </c>
      <c r="C4" s="595"/>
      <c r="D4" s="596"/>
      <c r="E4" s="596"/>
      <c r="F4" s="597"/>
      <c r="G4" s="598"/>
      <c r="H4" s="598"/>
      <c r="I4" s="599"/>
      <c r="J4" s="21"/>
      <c r="K4" s="28"/>
      <c r="L4" s="28"/>
      <c r="M4" s="28"/>
      <c r="N4" s="28"/>
      <c r="O4" s="28"/>
      <c r="P4" s="28"/>
      <c r="Q4" s="28"/>
      <c r="R4" s="28"/>
      <c r="S4" s="28"/>
      <c r="T4" s="28"/>
      <c r="U4" s="28"/>
      <c r="V4" s="28"/>
      <c r="W4" s="28"/>
      <c r="X4" s="28"/>
      <c r="Y4" s="28"/>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c r="BV4" s="28"/>
      <c r="BW4" s="28"/>
      <c r="BX4" s="28"/>
      <c r="BY4" s="28"/>
      <c r="BZ4" s="28"/>
      <c r="CA4" s="28"/>
      <c r="CB4" s="28"/>
      <c r="CC4" s="28"/>
      <c r="CD4" s="28"/>
      <c r="CE4" s="28"/>
      <c r="CF4" s="28"/>
      <c r="CG4" s="28"/>
      <c r="CH4" s="28"/>
      <c r="CI4" s="28"/>
      <c r="CJ4" s="28"/>
      <c r="CK4" s="28"/>
      <c r="CL4" s="28"/>
      <c r="CM4" s="28"/>
      <c r="CN4" s="28"/>
      <c r="CO4" s="28"/>
      <c r="CP4" s="28"/>
      <c r="CQ4" s="28"/>
      <c r="CR4" s="28"/>
      <c r="CS4" s="28"/>
      <c r="CT4" s="28"/>
      <c r="CU4" s="28"/>
      <c r="CV4" s="28"/>
      <c r="CW4" s="28"/>
      <c r="CX4" s="28"/>
      <c r="CY4" s="28"/>
      <c r="CZ4" s="28"/>
      <c r="DA4" s="28"/>
      <c r="DB4" s="28"/>
      <c r="DC4" s="28"/>
      <c r="DD4" s="28"/>
      <c r="DE4" s="28"/>
      <c r="DF4" s="28"/>
      <c r="DG4" s="28"/>
      <c r="DH4" s="28"/>
      <c r="DI4" s="28"/>
      <c r="DJ4" s="28"/>
      <c r="DK4" s="28"/>
      <c r="DL4" s="28"/>
      <c r="DM4" s="28"/>
      <c r="DN4" s="28"/>
      <c r="DO4" s="28"/>
      <c r="DP4" s="28"/>
      <c r="DQ4" s="28"/>
      <c r="DR4" s="28"/>
      <c r="DS4" s="28"/>
      <c r="DT4" s="28"/>
      <c r="DU4" s="28"/>
      <c r="DV4" s="28"/>
      <c r="DW4" s="28"/>
      <c r="DX4" s="28"/>
      <c r="DY4" s="28"/>
      <c r="DZ4" s="28"/>
      <c r="EA4" s="28"/>
      <c r="EB4" s="28"/>
      <c r="EC4" s="28"/>
      <c r="ED4" s="28"/>
      <c r="EE4" s="28"/>
      <c r="EF4" s="28"/>
      <c r="EG4" s="28"/>
      <c r="EH4" s="28"/>
      <c r="EI4" s="28"/>
      <c r="EJ4" s="28"/>
      <c r="EK4" s="28"/>
      <c r="EL4" s="28"/>
      <c r="EM4" s="28"/>
      <c r="EN4" s="28"/>
      <c r="EO4" s="28"/>
      <c r="EP4" s="28"/>
      <c r="EQ4" s="28"/>
      <c r="ER4" s="28"/>
      <c r="ES4" s="28"/>
      <c r="ET4" s="28"/>
      <c r="EU4" s="28"/>
      <c r="EV4" s="28"/>
      <c r="EW4" s="28"/>
      <c r="EX4" s="28"/>
      <c r="EY4" s="28"/>
      <c r="EZ4" s="28"/>
      <c r="FA4" s="28"/>
      <c r="AIQ4" s="28"/>
      <c r="AIR4" s="28"/>
      <c r="AIS4" s="28"/>
      <c r="AIT4" s="28"/>
      <c r="AIU4" s="28"/>
      <c r="AIV4" s="28"/>
      <c r="AIW4" s="28"/>
      <c r="AIX4" s="28"/>
      <c r="AIY4" s="28"/>
      <c r="AIZ4" s="28"/>
      <c r="AJA4" s="28"/>
      <c r="AJB4" s="28"/>
      <c r="AJC4" s="28"/>
      <c r="AJD4" s="28"/>
      <c r="AJE4" s="28"/>
      <c r="AJF4" s="28"/>
      <c r="AJG4" s="28"/>
      <c r="AJH4" s="28"/>
      <c r="AJI4" s="28"/>
      <c r="AJJ4" s="28"/>
      <c r="AJK4" s="28"/>
      <c r="AJL4" s="28"/>
      <c r="AJM4" s="28"/>
      <c r="AJN4" s="28"/>
      <c r="AJO4" s="28"/>
      <c r="AJP4" s="28"/>
      <c r="AJQ4" s="28"/>
      <c r="AJR4" s="28"/>
      <c r="AJS4" s="28"/>
      <c r="AJT4" s="28"/>
      <c r="AJU4" s="28"/>
      <c r="AJV4" s="28"/>
      <c r="AJW4" s="28"/>
      <c r="AJX4" s="28"/>
      <c r="AJY4" s="28"/>
      <c r="AJZ4" s="28"/>
      <c r="AKA4" s="28"/>
      <c r="AKB4" s="28"/>
      <c r="AKC4" s="28"/>
      <c r="AKD4" s="28"/>
      <c r="AKE4" s="28"/>
      <c r="AKF4" s="28"/>
      <c r="AKG4" s="28"/>
      <c r="AKH4" s="28"/>
      <c r="AKI4" s="28"/>
      <c r="AKJ4" s="28"/>
      <c r="AKK4" s="28"/>
      <c r="AKL4" s="28"/>
      <c r="AKM4" s="28"/>
      <c r="AKN4" s="28"/>
      <c r="AKO4" s="28"/>
      <c r="AKP4" s="28"/>
      <c r="AKQ4" s="28"/>
      <c r="AKR4" s="28"/>
      <c r="AKS4" s="28"/>
      <c r="AKT4" s="28"/>
      <c r="AKU4" s="28"/>
      <c r="AKV4" s="28"/>
      <c r="AKW4" s="28"/>
      <c r="AKX4" s="28"/>
      <c r="AKY4" s="28"/>
      <c r="AKZ4" s="28"/>
      <c r="ALA4" s="28"/>
      <c r="ALB4" s="28"/>
      <c r="ALC4" s="28"/>
      <c r="ALD4" s="28"/>
      <c r="ALE4" s="28"/>
      <c r="ALF4" s="28"/>
      <c r="ALG4" s="28"/>
      <c r="ALH4" s="28"/>
      <c r="ALI4" s="28"/>
      <c r="ALJ4" s="28"/>
      <c r="ALK4" s="28"/>
      <c r="ALL4" s="28"/>
      <c r="ALM4" s="28"/>
      <c r="ALN4" s="28"/>
      <c r="ALO4" s="28"/>
      <c r="ALP4" s="28"/>
      <c r="ALQ4" s="28"/>
      <c r="ALR4" s="28"/>
      <c r="ALS4" s="28"/>
      <c r="ALT4" s="28"/>
      <c r="ALU4" s="28"/>
      <c r="ALV4" s="28"/>
      <c r="ALW4" s="28"/>
      <c r="ALX4" s="28"/>
      <c r="ALY4" s="28"/>
      <c r="ALZ4" s="28"/>
      <c r="AMA4" s="28"/>
      <c r="AMB4" s="28"/>
      <c r="AMC4" s="28"/>
      <c r="AMD4" s="28"/>
      <c r="AME4" s="28"/>
      <c r="AMF4" s="28"/>
      <c r="AMG4" s="28"/>
      <c r="AMH4" s="28"/>
      <c r="AMI4" s="28"/>
      <c r="AMJ4" s="28"/>
    </row>
    <row r="5" spans="1:1024" s="29" customFormat="1" ht="27" customHeight="1" x14ac:dyDescent="0.3">
      <c r="A5" s="600"/>
      <c r="B5" s="601" t="s">
        <v>221</v>
      </c>
      <c r="C5" s="602" t="s">
        <v>222</v>
      </c>
      <c r="D5" s="603"/>
      <c r="E5" s="603"/>
      <c r="F5" s="602" t="s">
        <v>223</v>
      </c>
      <c r="G5" s="453" t="s">
        <v>224</v>
      </c>
      <c r="H5" s="453" t="s">
        <v>224</v>
      </c>
      <c r="I5" s="461"/>
      <c r="J5" s="30"/>
      <c r="K5" s="28"/>
      <c r="L5" s="28"/>
      <c r="M5" s="28"/>
      <c r="N5" s="28"/>
      <c r="O5" s="28"/>
      <c r="P5" s="28"/>
      <c r="Q5" s="28"/>
      <c r="R5" s="28"/>
      <c r="S5" s="28"/>
      <c r="T5" s="28"/>
      <c r="U5" s="28"/>
      <c r="V5" s="28"/>
      <c r="W5" s="28"/>
      <c r="X5" s="28"/>
      <c r="Y5" s="28"/>
      <c r="Z5" s="28"/>
      <c r="AA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c r="BV5" s="28"/>
      <c r="BW5" s="28"/>
      <c r="BX5" s="28"/>
      <c r="BY5" s="28"/>
      <c r="BZ5" s="28"/>
      <c r="CA5" s="28"/>
      <c r="CB5" s="28"/>
      <c r="CC5" s="28"/>
      <c r="CD5" s="28"/>
      <c r="CE5" s="28"/>
      <c r="CF5" s="28"/>
      <c r="CG5" s="28"/>
      <c r="CH5" s="28"/>
      <c r="CI5" s="28"/>
      <c r="CJ5" s="28"/>
      <c r="CK5" s="28"/>
      <c r="CL5" s="28"/>
      <c r="CM5" s="28"/>
      <c r="CN5" s="28"/>
      <c r="CO5" s="28"/>
      <c r="CP5" s="28"/>
      <c r="CQ5" s="28"/>
      <c r="CR5" s="28"/>
      <c r="CS5" s="28"/>
      <c r="CT5" s="28"/>
      <c r="CU5" s="28"/>
      <c r="CV5" s="28"/>
      <c r="CW5" s="28"/>
      <c r="CX5" s="28"/>
      <c r="CY5" s="28"/>
      <c r="CZ5" s="28"/>
      <c r="DA5" s="28"/>
      <c r="DB5" s="28"/>
      <c r="DC5" s="28"/>
      <c r="DD5" s="28"/>
      <c r="DE5" s="28"/>
      <c r="DF5" s="28"/>
      <c r="DG5" s="28"/>
      <c r="DH5" s="28"/>
      <c r="DI5" s="28"/>
      <c r="DJ5" s="28"/>
      <c r="DK5" s="28"/>
      <c r="DL5" s="28"/>
      <c r="DM5" s="28"/>
      <c r="DN5" s="28"/>
      <c r="DO5" s="28"/>
      <c r="DP5" s="28"/>
      <c r="DQ5" s="28"/>
      <c r="DR5" s="28"/>
      <c r="DS5" s="28"/>
      <c r="DT5" s="28"/>
      <c r="DU5" s="28"/>
      <c r="DV5" s="28"/>
      <c r="DW5" s="28"/>
      <c r="DX5" s="28"/>
      <c r="DY5" s="28"/>
      <c r="DZ5" s="28"/>
      <c r="EA5" s="28"/>
      <c r="EB5" s="28"/>
      <c r="EC5" s="28"/>
      <c r="ED5" s="28"/>
      <c r="EE5" s="28"/>
      <c r="EF5" s="28"/>
      <c r="EG5" s="28"/>
      <c r="EH5" s="28"/>
      <c r="EI5" s="28"/>
      <c r="EJ5" s="28"/>
      <c r="EK5" s="28"/>
      <c r="EL5" s="28"/>
      <c r="EM5" s="28"/>
      <c r="EN5" s="28"/>
      <c r="EO5" s="28"/>
      <c r="EP5" s="28"/>
      <c r="EQ5" s="28"/>
      <c r="ER5" s="28"/>
      <c r="ES5" s="28"/>
      <c r="ET5" s="28"/>
      <c r="EU5" s="28"/>
      <c r="EV5" s="28"/>
      <c r="EW5" s="28"/>
      <c r="EX5" s="28"/>
      <c r="EY5" s="28"/>
      <c r="EZ5" s="28"/>
      <c r="FA5" s="28"/>
      <c r="AIQ5" s="28"/>
      <c r="AIR5" s="28"/>
      <c r="AIS5" s="28"/>
      <c r="AIT5" s="28"/>
      <c r="AIU5" s="28"/>
      <c r="AIV5" s="28"/>
      <c r="AIW5" s="28"/>
      <c r="AIX5" s="28"/>
      <c r="AIY5" s="28"/>
      <c r="AIZ5" s="28"/>
      <c r="AJA5" s="28"/>
      <c r="AJB5" s="28"/>
      <c r="AJC5" s="28"/>
      <c r="AJD5" s="28"/>
      <c r="AJE5" s="28"/>
      <c r="AJF5" s="28"/>
      <c r="AJG5" s="28"/>
      <c r="AJH5" s="28"/>
      <c r="AJI5" s="28"/>
      <c r="AJJ5" s="28"/>
      <c r="AJK5" s="28"/>
      <c r="AJL5" s="28"/>
      <c r="AJM5" s="28"/>
      <c r="AJN5" s="28"/>
      <c r="AJO5" s="28"/>
      <c r="AJP5" s="28"/>
      <c r="AJQ5" s="28"/>
      <c r="AJR5" s="28"/>
      <c r="AJS5" s="28"/>
      <c r="AJT5" s="28"/>
      <c r="AJU5" s="28"/>
      <c r="AJV5" s="28"/>
      <c r="AJW5" s="28"/>
      <c r="AJX5" s="28"/>
      <c r="AJY5" s="28"/>
      <c r="AJZ5" s="28"/>
      <c r="AKA5" s="28"/>
      <c r="AKB5" s="28"/>
      <c r="AKC5" s="28"/>
      <c r="AKD5" s="28"/>
      <c r="AKE5" s="28"/>
      <c r="AKF5" s="28"/>
      <c r="AKG5" s="28"/>
      <c r="AKH5" s="28"/>
      <c r="AKI5" s="28"/>
      <c r="AKJ5" s="28"/>
      <c r="AKK5" s="28"/>
      <c r="AKL5" s="28"/>
      <c r="AKM5" s="28"/>
      <c r="AKN5" s="28"/>
      <c r="AKO5" s="28"/>
      <c r="AKP5" s="28"/>
      <c r="AKQ5" s="28"/>
      <c r="AKR5" s="28"/>
      <c r="AKS5" s="28"/>
      <c r="AKT5" s="28"/>
      <c r="AKU5" s="28"/>
      <c r="AKV5" s="28"/>
      <c r="AKW5" s="28"/>
      <c r="AKX5" s="28"/>
      <c r="AKY5" s="28"/>
      <c r="AKZ5" s="28"/>
      <c r="ALA5" s="28"/>
      <c r="ALB5" s="28"/>
      <c r="ALC5" s="28"/>
      <c r="ALD5" s="28"/>
      <c r="ALE5" s="28"/>
      <c r="ALF5" s="28"/>
      <c r="ALG5" s="28"/>
      <c r="ALH5" s="28"/>
      <c r="ALI5" s="28"/>
      <c r="ALJ5" s="28"/>
      <c r="ALK5" s="28"/>
      <c r="ALL5" s="28"/>
      <c r="ALM5" s="28"/>
      <c r="ALN5" s="28"/>
      <c r="ALO5" s="28"/>
      <c r="ALP5" s="28"/>
      <c r="ALQ5" s="28"/>
      <c r="ALR5" s="28"/>
      <c r="ALS5" s="28"/>
      <c r="ALT5" s="28"/>
      <c r="ALU5" s="28"/>
      <c r="ALV5" s="28"/>
      <c r="ALW5" s="28"/>
      <c r="ALX5" s="28"/>
      <c r="ALY5" s="28"/>
      <c r="ALZ5" s="28"/>
      <c r="AMA5" s="28"/>
      <c r="AMB5" s="28"/>
      <c r="AMC5" s="28"/>
      <c r="AMD5" s="28"/>
      <c r="AME5" s="28"/>
      <c r="AMF5" s="28"/>
      <c r="AMG5" s="28"/>
      <c r="AMH5" s="28"/>
      <c r="AMI5" s="28"/>
      <c r="AMJ5" s="28"/>
    </row>
    <row r="6" spans="1:1024" s="29" customFormat="1" ht="26.9" customHeight="1" x14ac:dyDescent="0.3">
      <c r="A6" s="600"/>
      <c r="B6" s="601" t="s">
        <v>225</v>
      </c>
      <c r="C6" s="602"/>
      <c r="D6" s="603"/>
      <c r="E6" s="603"/>
      <c r="F6" s="602" t="s">
        <v>226</v>
      </c>
      <c r="G6" s="453" t="s">
        <v>227</v>
      </c>
      <c r="H6" s="453" t="s">
        <v>228</v>
      </c>
      <c r="I6" s="461"/>
      <c r="J6" s="30"/>
      <c r="K6" s="28"/>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c r="ALN6" s="28"/>
      <c r="ALO6" s="28"/>
      <c r="ALP6" s="28"/>
      <c r="ALQ6" s="28"/>
      <c r="ALR6" s="28"/>
      <c r="ALS6" s="28"/>
      <c r="ALT6" s="28"/>
      <c r="ALU6" s="28"/>
      <c r="ALV6" s="28"/>
      <c r="ALW6" s="28"/>
      <c r="ALX6" s="28"/>
      <c r="ALY6" s="28"/>
      <c r="ALZ6" s="28"/>
      <c r="AMA6" s="28"/>
      <c r="AMB6" s="28"/>
      <c r="AMC6" s="28"/>
      <c r="AMD6" s="28"/>
      <c r="AME6" s="28"/>
      <c r="AMF6" s="28"/>
      <c r="AMG6" s="28"/>
      <c r="AMH6" s="28"/>
      <c r="AMI6" s="28"/>
      <c r="AMJ6" s="28"/>
    </row>
    <row r="7" spans="1:1024" s="29" customFormat="1" ht="15.75" customHeight="1" x14ac:dyDescent="0.3">
      <c r="A7" s="600"/>
      <c r="B7" s="601" t="s">
        <v>229</v>
      </c>
      <c r="C7" s="603"/>
      <c r="D7" s="603"/>
      <c r="E7" s="603"/>
      <c r="F7" s="602" t="s">
        <v>223</v>
      </c>
      <c r="G7" s="453" t="s">
        <v>230</v>
      </c>
      <c r="H7" s="453" t="s">
        <v>231</v>
      </c>
      <c r="I7" s="461"/>
      <c r="J7" s="30"/>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AIQ7" s="28"/>
      <c r="AIR7" s="28"/>
      <c r="AIS7" s="28"/>
      <c r="AIT7" s="28"/>
      <c r="AIU7" s="28"/>
      <c r="AIV7" s="28"/>
      <c r="AIW7" s="28"/>
      <c r="AIX7" s="28"/>
      <c r="AIY7" s="28"/>
      <c r="AIZ7" s="28"/>
      <c r="AJA7" s="28"/>
      <c r="AJB7" s="28"/>
      <c r="AJC7" s="28"/>
      <c r="AJD7" s="28"/>
      <c r="AJE7" s="28"/>
      <c r="AJF7" s="28"/>
      <c r="AJG7" s="28"/>
      <c r="AJH7" s="28"/>
      <c r="AJI7" s="28"/>
      <c r="AJJ7" s="28"/>
      <c r="AJK7" s="28"/>
      <c r="AJL7" s="28"/>
      <c r="AJM7" s="28"/>
      <c r="AJN7" s="28"/>
      <c r="AJO7" s="28"/>
      <c r="AJP7" s="28"/>
      <c r="AJQ7" s="28"/>
      <c r="AJR7" s="28"/>
      <c r="AJS7" s="28"/>
      <c r="AJT7" s="28"/>
      <c r="AJU7" s="28"/>
      <c r="AJV7" s="28"/>
      <c r="AJW7" s="28"/>
      <c r="AJX7" s="28"/>
      <c r="AJY7" s="28"/>
      <c r="AJZ7" s="28"/>
      <c r="AKA7" s="28"/>
      <c r="AKB7" s="28"/>
      <c r="AKC7" s="28"/>
      <c r="AKD7" s="28"/>
      <c r="AKE7" s="28"/>
      <c r="AKF7" s="28"/>
      <c r="AKG7" s="28"/>
      <c r="AKH7" s="28"/>
      <c r="AKI7" s="28"/>
      <c r="AKJ7" s="28"/>
      <c r="AKK7" s="28"/>
      <c r="AKL7" s="28"/>
      <c r="AKM7" s="28"/>
      <c r="AKN7" s="28"/>
      <c r="AKO7" s="28"/>
      <c r="AKP7" s="28"/>
      <c r="AKQ7" s="28"/>
      <c r="AKR7" s="28"/>
      <c r="AKS7" s="28"/>
      <c r="AKT7" s="28"/>
      <c r="AKU7" s="28"/>
      <c r="AKV7" s="28"/>
      <c r="AKW7" s="28"/>
      <c r="AKX7" s="28"/>
      <c r="AKY7" s="28"/>
      <c r="AKZ7" s="28"/>
      <c r="ALA7" s="28"/>
      <c r="ALB7" s="28"/>
      <c r="ALC7" s="28"/>
      <c r="ALD7" s="28"/>
      <c r="ALE7" s="28"/>
      <c r="ALF7" s="28"/>
      <c r="ALG7" s="28"/>
      <c r="ALH7" s="28"/>
      <c r="ALI7" s="28"/>
      <c r="ALJ7" s="28"/>
      <c r="ALK7" s="28"/>
      <c r="ALL7" s="28"/>
      <c r="ALM7" s="28"/>
      <c r="ALN7" s="28"/>
      <c r="ALO7" s="28"/>
      <c r="ALP7" s="28"/>
      <c r="ALQ7" s="28"/>
      <c r="ALR7" s="28"/>
      <c r="ALS7" s="28"/>
      <c r="ALT7" s="28"/>
      <c r="ALU7" s="28"/>
      <c r="ALV7" s="28"/>
      <c r="ALW7" s="28"/>
      <c r="ALX7" s="28"/>
      <c r="ALY7" s="28"/>
      <c r="ALZ7" s="28"/>
      <c r="AMA7" s="28"/>
      <c r="AMB7" s="28"/>
      <c r="AMC7" s="28"/>
      <c r="AMD7" s="28"/>
      <c r="AME7" s="28"/>
      <c r="AMF7" s="28"/>
      <c r="AMG7" s="28"/>
      <c r="AMH7" s="28"/>
      <c r="AMI7" s="28"/>
      <c r="AMJ7" s="28"/>
    </row>
    <row r="8" spans="1:1024" s="29" customFormat="1" ht="15.75" customHeight="1" x14ac:dyDescent="0.3">
      <c r="A8" s="600"/>
      <c r="B8" s="601" t="s">
        <v>232</v>
      </c>
      <c r="C8" s="603"/>
      <c r="D8" s="603"/>
      <c r="E8" s="603"/>
      <c r="F8" s="602" t="s">
        <v>223</v>
      </c>
      <c r="G8" s="453" t="s">
        <v>233</v>
      </c>
      <c r="H8" s="453" t="s">
        <v>234</v>
      </c>
      <c r="I8" s="461"/>
      <c r="J8" s="30"/>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c r="BV8" s="28"/>
      <c r="BW8" s="28"/>
      <c r="BX8" s="28"/>
      <c r="BY8" s="28"/>
      <c r="BZ8" s="28"/>
      <c r="CA8" s="28"/>
      <c r="CB8" s="28"/>
      <c r="CC8" s="28"/>
      <c r="CD8" s="28"/>
      <c r="CE8" s="28"/>
      <c r="CF8" s="28"/>
      <c r="CG8" s="28"/>
      <c r="CH8" s="28"/>
      <c r="CI8" s="28"/>
      <c r="CJ8" s="28"/>
      <c r="CK8" s="28"/>
      <c r="CL8" s="28"/>
      <c r="CM8" s="28"/>
      <c r="CN8" s="28"/>
      <c r="CO8" s="28"/>
      <c r="CP8" s="28"/>
      <c r="CQ8" s="28"/>
      <c r="CR8" s="28"/>
      <c r="CS8" s="28"/>
      <c r="CT8" s="28"/>
      <c r="CU8" s="28"/>
      <c r="CV8" s="28"/>
      <c r="CW8" s="28"/>
      <c r="CX8" s="28"/>
      <c r="CY8" s="28"/>
      <c r="CZ8" s="28"/>
      <c r="DA8" s="28"/>
      <c r="DB8" s="28"/>
      <c r="DC8" s="28"/>
      <c r="DD8" s="28"/>
      <c r="DE8" s="28"/>
      <c r="DF8" s="28"/>
      <c r="DG8" s="28"/>
      <c r="DH8" s="28"/>
      <c r="DI8" s="28"/>
      <c r="DJ8" s="28"/>
      <c r="DK8" s="28"/>
      <c r="DL8" s="28"/>
      <c r="DM8" s="28"/>
      <c r="DN8" s="28"/>
      <c r="DO8" s="28"/>
      <c r="DP8" s="28"/>
      <c r="DQ8" s="28"/>
      <c r="DR8" s="28"/>
      <c r="DS8" s="28"/>
      <c r="DT8" s="28"/>
      <c r="DU8" s="28"/>
      <c r="DV8" s="28"/>
      <c r="DW8" s="28"/>
      <c r="DX8" s="28"/>
      <c r="DY8" s="28"/>
      <c r="DZ8" s="28"/>
      <c r="EA8" s="28"/>
      <c r="EB8" s="28"/>
      <c r="EC8" s="28"/>
      <c r="ED8" s="28"/>
      <c r="EE8" s="28"/>
      <c r="EF8" s="28"/>
      <c r="EG8" s="28"/>
      <c r="EH8" s="28"/>
      <c r="EI8" s="28"/>
      <c r="EJ8" s="28"/>
      <c r="EK8" s="28"/>
      <c r="EL8" s="28"/>
      <c r="EM8" s="28"/>
      <c r="EN8" s="28"/>
      <c r="EO8" s="28"/>
      <c r="EP8" s="28"/>
      <c r="EQ8" s="28"/>
      <c r="ER8" s="28"/>
      <c r="ES8" s="28"/>
      <c r="ET8" s="28"/>
      <c r="EU8" s="28"/>
      <c r="EV8" s="28"/>
      <c r="EW8" s="28"/>
      <c r="EX8" s="28"/>
      <c r="EY8" s="28"/>
      <c r="EZ8" s="28"/>
      <c r="FA8" s="28"/>
      <c r="AIQ8" s="28"/>
      <c r="AIR8" s="28"/>
      <c r="AIS8" s="28"/>
      <c r="AIT8" s="28"/>
      <c r="AIU8" s="28"/>
      <c r="AIV8" s="28"/>
      <c r="AIW8" s="28"/>
      <c r="AIX8" s="28"/>
      <c r="AIY8" s="28"/>
      <c r="AIZ8" s="28"/>
      <c r="AJA8" s="28"/>
      <c r="AJB8" s="28"/>
      <c r="AJC8" s="28"/>
      <c r="AJD8" s="28"/>
      <c r="AJE8" s="28"/>
      <c r="AJF8" s="28"/>
      <c r="AJG8" s="28"/>
      <c r="AJH8" s="28"/>
      <c r="AJI8" s="28"/>
      <c r="AJJ8" s="28"/>
      <c r="AJK8" s="28"/>
      <c r="AJL8" s="28"/>
      <c r="AJM8" s="28"/>
      <c r="AJN8" s="28"/>
      <c r="AJO8" s="28"/>
      <c r="AJP8" s="28"/>
      <c r="AJQ8" s="28"/>
      <c r="AJR8" s="28"/>
      <c r="AJS8" s="28"/>
      <c r="AJT8" s="28"/>
      <c r="AJU8" s="28"/>
      <c r="AJV8" s="28"/>
      <c r="AJW8" s="28"/>
      <c r="AJX8" s="28"/>
      <c r="AJY8" s="28"/>
      <c r="AJZ8" s="28"/>
      <c r="AKA8" s="28"/>
      <c r="AKB8" s="28"/>
      <c r="AKC8" s="28"/>
      <c r="AKD8" s="28"/>
      <c r="AKE8" s="28"/>
      <c r="AKF8" s="28"/>
      <c r="AKG8" s="28"/>
      <c r="AKH8" s="28"/>
      <c r="AKI8" s="28"/>
      <c r="AKJ8" s="28"/>
      <c r="AKK8" s="28"/>
      <c r="AKL8" s="28"/>
      <c r="AKM8" s="28"/>
      <c r="AKN8" s="28"/>
      <c r="AKO8" s="28"/>
      <c r="AKP8" s="28"/>
      <c r="AKQ8" s="28"/>
      <c r="AKR8" s="28"/>
      <c r="AKS8" s="28"/>
      <c r="AKT8" s="28"/>
      <c r="AKU8" s="28"/>
      <c r="AKV8" s="28"/>
      <c r="AKW8" s="28"/>
      <c r="AKX8" s="28"/>
      <c r="AKY8" s="28"/>
      <c r="AKZ8" s="28"/>
      <c r="ALA8" s="28"/>
      <c r="ALB8" s="28"/>
      <c r="ALC8" s="28"/>
      <c r="ALD8" s="28"/>
      <c r="ALE8" s="28"/>
      <c r="ALF8" s="28"/>
      <c r="ALG8" s="28"/>
      <c r="ALH8" s="28"/>
      <c r="ALI8" s="28"/>
      <c r="ALJ8" s="28"/>
      <c r="ALK8" s="28"/>
      <c r="ALL8" s="28"/>
      <c r="ALM8" s="28"/>
      <c r="ALN8" s="28"/>
      <c r="ALO8" s="28"/>
      <c r="ALP8" s="28"/>
      <c r="ALQ8" s="28"/>
      <c r="ALR8" s="28"/>
      <c r="ALS8" s="28"/>
      <c r="ALT8" s="28"/>
      <c r="ALU8" s="28"/>
      <c r="ALV8" s="28"/>
      <c r="ALW8" s="28"/>
      <c r="ALX8" s="28"/>
      <c r="ALY8" s="28"/>
      <c r="ALZ8" s="28"/>
      <c r="AMA8" s="28"/>
      <c r="AMB8" s="28"/>
      <c r="AMC8" s="28"/>
      <c r="AMD8" s="28"/>
      <c r="AME8" s="28"/>
      <c r="AMF8" s="28"/>
      <c r="AMG8" s="28"/>
      <c r="AMH8" s="28"/>
      <c r="AMI8" s="28"/>
      <c r="AMJ8" s="28"/>
    </row>
    <row r="9" spans="1:1024" s="29" customFormat="1" ht="24.75" customHeight="1" x14ac:dyDescent="0.3">
      <c r="A9" s="600"/>
      <c r="B9" s="601" t="s">
        <v>235</v>
      </c>
      <c r="C9" s="602"/>
      <c r="D9" s="603"/>
      <c r="E9" s="603"/>
      <c r="F9" s="602" t="s">
        <v>223</v>
      </c>
      <c r="G9" s="453" t="s">
        <v>233</v>
      </c>
      <c r="H9" s="453" t="s">
        <v>234</v>
      </c>
      <c r="I9" s="461"/>
      <c r="J9" s="30"/>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c r="BV9" s="28"/>
      <c r="BW9" s="28"/>
      <c r="BX9" s="28"/>
      <c r="BY9" s="28"/>
      <c r="BZ9" s="28"/>
      <c r="CA9" s="28"/>
      <c r="CB9" s="28"/>
      <c r="CC9" s="28"/>
      <c r="CD9" s="28"/>
      <c r="CE9" s="28"/>
      <c r="CF9" s="28"/>
      <c r="CG9" s="28"/>
      <c r="CH9" s="28"/>
      <c r="CI9" s="28"/>
      <c r="CJ9" s="28"/>
      <c r="CK9" s="28"/>
      <c r="CL9" s="28"/>
      <c r="CM9" s="28"/>
      <c r="CN9" s="28"/>
      <c r="CO9" s="28"/>
      <c r="CP9" s="28"/>
      <c r="CQ9" s="28"/>
      <c r="CR9" s="28"/>
      <c r="CS9" s="28"/>
      <c r="CT9" s="28"/>
      <c r="CU9" s="28"/>
      <c r="CV9" s="28"/>
      <c r="CW9" s="28"/>
      <c r="CX9" s="28"/>
      <c r="CY9" s="28"/>
      <c r="CZ9" s="28"/>
      <c r="DA9" s="28"/>
      <c r="DB9" s="28"/>
      <c r="DC9" s="28"/>
      <c r="DD9" s="28"/>
      <c r="DE9" s="28"/>
      <c r="DF9" s="28"/>
      <c r="DG9" s="28"/>
      <c r="DH9" s="28"/>
      <c r="DI9" s="28"/>
      <c r="DJ9" s="28"/>
      <c r="DK9" s="28"/>
      <c r="DL9" s="28"/>
      <c r="DM9" s="28"/>
      <c r="DN9" s="28"/>
      <c r="DO9" s="28"/>
      <c r="DP9" s="28"/>
      <c r="DQ9" s="28"/>
      <c r="DR9" s="28"/>
      <c r="DS9" s="28"/>
      <c r="DT9" s="28"/>
      <c r="DU9" s="28"/>
      <c r="DV9" s="28"/>
      <c r="DW9" s="28"/>
      <c r="DX9" s="28"/>
      <c r="DY9" s="28"/>
      <c r="DZ9" s="28"/>
      <c r="EA9" s="28"/>
      <c r="EB9" s="28"/>
      <c r="EC9" s="28"/>
      <c r="ED9" s="28"/>
      <c r="EE9" s="28"/>
      <c r="EF9" s="28"/>
      <c r="EG9" s="28"/>
      <c r="EH9" s="28"/>
      <c r="EI9" s="28"/>
      <c r="EJ9" s="28"/>
      <c r="EK9" s="28"/>
      <c r="EL9" s="28"/>
      <c r="EM9" s="28"/>
      <c r="EN9" s="28"/>
      <c r="EO9" s="28"/>
      <c r="EP9" s="28"/>
      <c r="EQ9" s="28"/>
      <c r="ER9" s="28"/>
      <c r="ES9" s="28"/>
      <c r="ET9" s="28"/>
      <c r="EU9" s="28"/>
      <c r="EV9" s="28"/>
      <c r="EW9" s="28"/>
      <c r="EX9" s="28"/>
      <c r="EY9" s="28"/>
      <c r="EZ9" s="28"/>
      <c r="FA9" s="28"/>
      <c r="AIQ9" s="28"/>
      <c r="AIR9" s="28"/>
      <c r="AIS9" s="28"/>
      <c r="AIT9" s="28"/>
      <c r="AIU9" s="28"/>
      <c r="AIV9" s="28"/>
      <c r="AIW9" s="28"/>
      <c r="AIX9" s="28"/>
      <c r="AIY9" s="28"/>
      <c r="AIZ9" s="28"/>
      <c r="AJA9" s="28"/>
      <c r="AJB9" s="28"/>
      <c r="AJC9" s="28"/>
      <c r="AJD9" s="28"/>
      <c r="AJE9" s="28"/>
      <c r="AJF9" s="28"/>
      <c r="AJG9" s="28"/>
      <c r="AJH9" s="28"/>
      <c r="AJI9" s="28"/>
      <c r="AJJ9" s="28"/>
      <c r="AJK9" s="28"/>
      <c r="AJL9" s="28"/>
      <c r="AJM9" s="28"/>
      <c r="AJN9" s="28"/>
      <c r="AJO9" s="28"/>
      <c r="AJP9" s="28"/>
      <c r="AJQ9" s="28"/>
      <c r="AJR9" s="28"/>
      <c r="AJS9" s="28"/>
      <c r="AJT9" s="28"/>
      <c r="AJU9" s="28"/>
      <c r="AJV9" s="28"/>
      <c r="AJW9" s="28"/>
      <c r="AJX9" s="28"/>
      <c r="AJY9" s="28"/>
      <c r="AJZ9" s="28"/>
      <c r="AKA9" s="28"/>
      <c r="AKB9" s="28"/>
      <c r="AKC9" s="28"/>
      <c r="AKD9" s="28"/>
      <c r="AKE9" s="28"/>
      <c r="AKF9" s="28"/>
      <c r="AKG9" s="28"/>
      <c r="AKH9" s="28"/>
      <c r="AKI9" s="28"/>
      <c r="AKJ9" s="28"/>
      <c r="AKK9" s="28"/>
      <c r="AKL9" s="28"/>
      <c r="AKM9" s="28"/>
      <c r="AKN9" s="28"/>
      <c r="AKO9" s="28"/>
      <c r="AKP9" s="28"/>
      <c r="AKQ9" s="28"/>
      <c r="AKR9" s="28"/>
      <c r="AKS9" s="28"/>
      <c r="AKT9" s="28"/>
      <c r="AKU9" s="28"/>
      <c r="AKV9" s="28"/>
      <c r="AKW9" s="28"/>
      <c r="AKX9" s="28"/>
      <c r="AKY9" s="28"/>
      <c r="AKZ9" s="28"/>
      <c r="ALA9" s="28"/>
      <c r="ALB9" s="28"/>
      <c r="ALC9" s="28"/>
      <c r="ALD9" s="28"/>
      <c r="ALE9" s="28"/>
      <c r="ALF9" s="28"/>
      <c r="ALG9" s="28"/>
      <c r="ALH9" s="28"/>
      <c r="ALI9" s="28"/>
      <c r="ALJ9" s="28"/>
      <c r="ALK9" s="28"/>
      <c r="ALL9" s="28"/>
      <c r="ALM9" s="28"/>
      <c r="ALN9" s="28"/>
      <c r="ALO9" s="28"/>
      <c r="ALP9" s="28"/>
      <c r="ALQ9" s="28"/>
      <c r="ALR9" s="28"/>
      <c r="ALS9" s="28"/>
      <c r="ALT9" s="28"/>
      <c r="ALU9" s="28"/>
      <c r="ALV9" s="28"/>
      <c r="ALW9" s="28"/>
      <c r="ALX9" s="28"/>
      <c r="ALY9" s="28"/>
      <c r="ALZ9" s="28"/>
      <c r="AMA9" s="28"/>
      <c r="AMB9" s="28"/>
      <c r="AMC9" s="28"/>
      <c r="AMD9" s="28"/>
      <c r="AME9" s="28"/>
      <c r="AMF9" s="28"/>
      <c r="AMG9" s="28"/>
      <c r="AMH9" s="28"/>
      <c r="AMI9" s="28"/>
      <c r="AMJ9" s="28"/>
    </row>
    <row r="10" spans="1:1024" s="29" customFormat="1" ht="15.75" customHeight="1" x14ac:dyDescent="0.3">
      <c r="A10" s="600"/>
      <c r="B10" s="601" t="s">
        <v>236</v>
      </c>
      <c r="C10" s="602"/>
      <c r="D10" s="603"/>
      <c r="E10" s="603"/>
      <c r="F10" s="602" t="s">
        <v>223</v>
      </c>
      <c r="G10" s="453" t="s">
        <v>234</v>
      </c>
      <c r="H10" s="453" t="s">
        <v>234</v>
      </c>
      <c r="I10" s="461"/>
      <c r="J10" s="30"/>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c r="BV10" s="28"/>
      <c r="BW10" s="28"/>
      <c r="BX10" s="28"/>
      <c r="BY10" s="28"/>
      <c r="BZ10" s="28"/>
      <c r="CA10" s="28"/>
      <c r="CB10" s="28"/>
      <c r="CC10" s="28"/>
      <c r="CD10" s="28"/>
      <c r="CE10" s="28"/>
      <c r="CF10" s="28"/>
      <c r="CG10" s="28"/>
      <c r="CH10" s="28"/>
      <c r="CI10" s="28"/>
      <c r="CJ10" s="28"/>
      <c r="CK10" s="28"/>
      <c r="CL10" s="28"/>
      <c r="CM10" s="28"/>
      <c r="CN10" s="28"/>
      <c r="CO10" s="28"/>
      <c r="CP10" s="28"/>
      <c r="CQ10" s="28"/>
      <c r="CR10" s="28"/>
      <c r="CS10" s="28"/>
      <c r="CT10" s="28"/>
      <c r="CU10" s="28"/>
      <c r="CV10" s="28"/>
      <c r="CW10" s="28"/>
      <c r="CX10" s="28"/>
      <c r="CY10" s="28"/>
      <c r="CZ10" s="28"/>
      <c r="DA10" s="28"/>
      <c r="DB10" s="28"/>
      <c r="DC10" s="28"/>
      <c r="DD10" s="28"/>
      <c r="DE10" s="28"/>
      <c r="DF10" s="28"/>
      <c r="DG10" s="28"/>
      <c r="DH10" s="28"/>
      <c r="DI10" s="28"/>
      <c r="DJ10" s="28"/>
      <c r="DK10" s="28"/>
      <c r="DL10" s="28"/>
      <c r="DM10" s="28"/>
      <c r="DN10" s="28"/>
      <c r="DO10" s="28"/>
      <c r="DP10" s="28"/>
      <c r="DQ10" s="28"/>
      <c r="DR10" s="28"/>
      <c r="DS10" s="28"/>
      <c r="DT10" s="28"/>
      <c r="DU10" s="28"/>
      <c r="DV10" s="28"/>
      <c r="DW10" s="28"/>
      <c r="DX10" s="28"/>
      <c r="DY10" s="28"/>
      <c r="DZ10" s="28"/>
      <c r="EA10" s="28"/>
      <c r="EB10" s="28"/>
      <c r="EC10" s="28"/>
      <c r="ED10" s="28"/>
      <c r="EE10" s="28"/>
      <c r="EF10" s="28"/>
      <c r="EG10" s="28"/>
      <c r="EH10" s="28"/>
      <c r="EI10" s="28"/>
      <c r="EJ10" s="28"/>
      <c r="EK10" s="28"/>
      <c r="EL10" s="28"/>
      <c r="EM10" s="28"/>
      <c r="EN10" s="28"/>
      <c r="EO10" s="28"/>
      <c r="EP10" s="28"/>
      <c r="EQ10" s="28"/>
      <c r="ER10" s="28"/>
      <c r="ES10" s="28"/>
      <c r="ET10" s="28"/>
      <c r="EU10" s="28"/>
      <c r="EV10" s="28"/>
      <c r="EW10" s="28"/>
      <c r="EX10" s="28"/>
      <c r="EY10" s="28"/>
      <c r="EZ10" s="28"/>
      <c r="FA10" s="28"/>
      <c r="AIQ10" s="28"/>
      <c r="AIR10" s="28"/>
      <c r="AIS10" s="28"/>
      <c r="AIT10" s="28"/>
      <c r="AIU10" s="28"/>
      <c r="AIV10" s="28"/>
      <c r="AIW10" s="28"/>
      <c r="AIX10" s="28"/>
      <c r="AIY10" s="28"/>
      <c r="AIZ10" s="28"/>
      <c r="AJA10" s="28"/>
      <c r="AJB10" s="28"/>
      <c r="AJC10" s="28"/>
      <c r="AJD10" s="28"/>
      <c r="AJE10" s="28"/>
      <c r="AJF10" s="28"/>
      <c r="AJG10" s="28"/>
      <c r="AJH10" s="28"/>
      <c r="AJI10" s="28"/>
      <c r="AJJ10" s="28"/>
      <c r="AJK10" s="28"/>
      <c r="AJL10" s="28"/>
      <c r="AJM10" s="28"/>
      <c r="AJN10" s="28"/>
      <c r="AJO10" s="28"/>
      <c r="AJP10" s="28"/>
      <c r="AJQ10" s="28"/>
      <c r="AJR10" s="28"/>
      <c r="AJS10" s="28"/>
      <c r="AJT10" s="28"/>
      <c r="AJU10" s="28"/>
      <c r="AJV10" s="28"/>
      <c r="AJW10" s="28"/>
      <c r="AJX10" s="28"/>
      <c r="AJY10" s="28"/>
      <c r="AJZ10" s="28"/>
      <c r="AKA10" s="28"/>
      <c r="AKB10" s="28"/>
      <c r="AKC10" s="28"/>
      <c r="AKD10" s="28"/>
      <c r="AKE10" s="28"/>
      <c r="AKF10" s="28"/>
      <c r="AKG10" s="28"/>
      <c r="AKH10" s="28"/>
      <c r="AKI10" s="28"/>
      <c r="AKJ10" s="28"/>
      <c r="AKK10" s="28"/>
      <c r="AKL10" s="28"/>
      <c r="AKM10" s="28"/>
      <c r="AKN10" s="28"/>
      <c r="AKO10" s="28"/>
      <c r="AKP10" s="28"/>
      <c r="AKQ10" s="28"/>
      <c r="AKR10" s="28"/>
      <c r="AKS10" s="28"/>
      <c r="AKT10" s="28"/>
      <c r="AKU10" s="28"/>
      <c r="AKV10" s="28"/>
      <c r="AKW10" s="28"/>
      <c r="AKX10" s="28"/>
      <c r="AKY10" s="28"/>
      <c r="AKZ10" s="28"/>
      <c r="ALA10" s="28"/>
      <c r="ALB10" s="28"/>
      <c r="ALC10" s="28"/>
      <c r="ALD10" s="28"/>
      <c r="ALE10" s="28"/>
      <c r="ALF10" s="28"/>
      <c r="ALG10" s="28"/>
      <c r="ALH10" s="28"/>
      <c r="ALI10" s="28"/>
      <c r="ALJ10" s="28"/>
      <c r="ALK10" s="28"/>
      <c r="ALL10" s="28"/>
      <c r="ALM10" s="28"/>
      <c r="ALN10" s="28"/>
      <c r="ALO10" s="28"/>
      <c r="ALP10" s="28"/>
      <c r="ALQ10" s="28"/>
      <c r="ALR10" s="28"/>
      <c r="ALS10" s="28"/>
      <c r="ALT10" s="28"/>
      <c r="ALU10" s="28"/>
      <c r="ALV10" s="28"/>
      <c r="ALW10" s="28"/>
      <c r="ALX10" s="28"/>
      <c r="ALY10" s="28"/>
      <c r="ALZ10" s="28"/>
      <c r="AMA10" s="28"/>
      <c r="AMB10" s="28"/>
      <c r="AMC10" s="28"/>
      <c r="AMD10" s="28"/>
      <c r="AME10" s="28"/>
      <c r="AMF10" s="28"/>
      <c r="AMG10" s="28"/>
      <c r="AMH10" s="28"/>
      <c r="AMI10" s="28"/>
      <c r="AMJ10" s="28"/>
    </row>
    <row r="11" spans="1:1024" s="29" customFormat="1" ht="15.75" customHeight="1" x14ac:dyDescent="0.3">
      <c r="A11" s="600"/>
      <c r="B11" s="601" t="s">
        <v>237</v>
      </c>
      <c r="C11" s="602"/>
      <c r="D11" s="603"/>
      <c r="E11" s="603"/>
      <c r="F11" s="604" t="s">
        <v>223</v>
      </c>
      <c r="G11" s="453" t="s">
        <v>234</v>
      </c>
      <c r="H11" s="453" t="s">
        <v>234</v>
      </c>
      <c r="I11" s="461"/>
      <c r="J11" s="30"/>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c r="CJ11" s="28"/>
      <c r="CK11" s="28"/>
      <c r="CL11" s="28"/>
      <c r="CM11" s="28"/>
      <c r="CN11" s="28"/>
      <c r="CO11" s="28"/>
      <c r="CP11" s="28"/>
      <c r="CQ11" s="28"/>
      <c r="CR11" s="28"/>
      <c r="CS11" s="28"/>
      <c r="CT11" s="28"/>
      <c r="CU11" s="28"/>
      <c r="CV11" s="28"/>
      <c r="CW11" s="28"/>
      <c r="CX11" s="28"/>
      <c r="CY11" s="28"/>
      <c r="CZ11" s="28"/>
      <c r="DA11" s="28"/>
      <c r="DB11" s="28"/>
      <c r="DC11" s="28"/>
      <c r="DD11" s="28"/>
      <c r="DE11" s="28"/>
      <c r="DF11" s="28"/>
      <c r="DG11" s="28"/>
      <c r="DH11" s="28"/>
      <c r="DI11" s="28"/>
      <c r="DJ11" s="28"/>
      <c r="DK11" s="28"/>
      <c r="DL11" s="28"/>
      <c r="DM11" s="28"/>
      <c r="DN11" s="28"/>
      <c r="DO11" s="28"/>
      <c r="DP11" s="28"/>
      <c r="DQ11" s="28"/>
      <c r="DR11" s="28"/>
      <c r="DS11" s="28"/>
      <c r="DT11" s="28"/>
      <c r="DU11" s="28"/>
      <c r="DV11" s="28"/>
      <c r="DW11" s="28"/>
      <c r="DX11" s="28"/>
      <c r="DY11" s="28"/>
      <c r="DZ11" s="28"/>
      <c r="EA11" s="28"/>
      <c r="EB11" s="28"/>
      <c r="EC11" s="28"/>
      <c r="ED11" s="28"/>
      <c r="EE11" s="28"/>
      <c r="EF11" s="28"/>
      <c r="EG11" s="28"/>
      <c r="EH11" s="28"/>
      <c r="EI11" s="28"/>
      <c r="EJ11" s="28"/>
      <c r="EK11" s="28"/>
      <c r="EL11" s="28"/>
      <c r="EM11" s="28"/>
      <c r="EN11" s="28"/>
      <c r="EO11" s="28"/>
      <c r="EP11" s="28"/>
      <c r="EQ11" s="28"/>
      <c r="ER11" s="28"/>
      <c r="ES11" s="28"/>
      <c r="ET11" s="28"/>
      <c r="EU11" s="28"/>
      <c r="EV11" s="28"/>
      <c r="EW11" s="28"/>
      <c r="EX11" s="28"/>
      <c r="EY11" s="28"/>
      <c r="EZ11" s="28"/>
      <c r="FA11" s="28"/>
      <c r="AIQ11" s="28"/>
      <c r="AIR11" s="28"/>
      <c r="AIS11" s="28"/>
      <c r="AIT11" s="28"/>
      <c r="AIU11" s="28"/>
      <c r="AIV11" s="28"/>
      <c r="AIW11" s="28"/>
      <c r="AIX11" s="28"/>
      <c r="AIY11" s="28"/>
      <c r="AIZ11" s="28"/>
      <c r="AJA11" s="28"/>
      <c r="AJB11" s="28"/>
      <c r="AJC11" s="28"/>
      <c r="AJD11" s="28"/>
      <c r="AJE11" s="28"/>
      <c r="AJF11" s="28"/>
      <c r="AJG11" s="28"/>
      <c r="AJH11" s="28"/>
      <c r="AJI11" s="28"/>
      <c r="AJJ11" s="28"/>
      <c r="AJK11" s="28"/>
      <c r="AJL11" s="28"/>
      <c r="AJM11" s="28"/>
      <c r="AJN11" s="28"/>
      <c r="AJO11" s="28"/>
      <c r="AJP11" s="28"/>
      <c r="AJQ11" s="28"/>
      <c r="AJR11" s="28"/>
      <c r="AJS11" s="28"/>
      <c r="AJT11" s="28"/>
      <c r="AJU11" s="28"/>
      <c r="AJV11" s="28"/>
      <c r="AJW11" s="28"/>
      <c r="AJX11" s="28"/>
      <c r="AJY11" s="28"/>
      <c r="AJZ11" s="28"/>
      <c r="AKA11" s="28"/>
      <c r="AKB11" s="28"/>
      <c r="AKC11" s="28"/>
      <c r="AKD11" s="28"/>
      <c r="AKE11" s="28"/>
      <c r="AKF11" s="28"/>
      <c r="AKG11" s="28"/>
      <c r="AKH11" s="28"/>
      <c r="AKI11" s="28"/>
      <c r="AKJ11" s="28"/>
      <c r="AKK11" s="28"/>
      <c r="AKL11" s="28"/>
      <c r="AKM11" s="28"/>
      <c r="AKN11" s="28"/>
      <c r="AKO11" s="28"/>
      <c r="AKP11" s="28"/>
      <c r="AKQ11" s="28"/>
      <c r="AKR11" s="28"/>
      <c r="AKS11" s="28"/>
      <c r="AKT11" s="28"/>
      <c r="AKU11" s="28"/>
      <c r="AKV11" s="28"/>
      <c r="AKW11" s="28"/>
      <c r="AKX11" s="28"/>
      <c r="AKY11" s="28"/>
      <c r="AKZ11" s="28"/>
      <c r="ALA11" s="28"/>
      <c r="ALB11" s="28"/>
      <c r="ALC11" s="28"/>
      <c r="ALD11" s="28"/>
      <c r="ALE11" s="28"/>
      <c r="ALF11" s="28"/>
      <c r="ALG11" s="28"/>
      <c r="ALH11" s="28"/>
      <c r="ALI11" s="28"/>
      <c r="ALJ11" s="28"/>
      <c r="ALK11" s="28"/>
      <c r="ALL11" s="28"/>
      <c r="ALM11" s="28"/>
      <c r="ALN11" s="28"/>
      <c r="ALO11" s="28"/>
      <c r="ALP11" s="28"/>
      <c r="ALQ11" s="28"/>
      <c r="ALR11" s="28"/>
      <c r="ALS11" s="28"/>
      <c r="ALT11" s="28"/>
      <c r="ALU11" s="28"/>
      <c r="ALV11" s="28"/>
      <c r="ALW11" s="28"/>
      <c r="ALX11" s="28"/>
      <c r="ALY11" s="28"/>
      <c r="ALZ11" s="28"/>
      <c r="AMA11" s="28"/>
      <c r="AMB11" s="28"/>
      <c r="AMC11" s="28"/>
      <c r="AMD11" s="28"/>
      <c r="AME11" s="28"/>
      <c r="AMF11" s="28"/>
      <c r="AMG11" s="28"/>
      <c r="AMH11" s="28"/>
      <c r="AMI11" s="28"/>
      <c r="AMJ11" s="28"/>
    </row>
    <row r="12" spans="1:1024" s="29" customFormat="1" ht="15.75" customHeight="1" x14ac:dyDescent="0.3">
      <c r="A12" s="593" t="s">
        <v>238</v>
      </c>
      <c r="B12" s="594" t="s">
        <v>239</v>
      </c>
      <c r="C12" s="605"/>
      <c r="D12" s="605"/>
      <c r="E12" s="605"/>
      <c r="F12" s="606"/>
      <c r="G12" s="607"/>
      <c r="H12" s="607"/>
      <c r="I12" s="608"/>
      <c r="J12" s="30"/>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AIQ12" s="28"/>
      <c r="AIR12" s="28"/>
      <c r="AIS12" s="28"/>
      <c r="AIT12" s="28"/>
      <c r="AIU12" s="28"/>
      <c r="AIV12" s="28"/>
      <c r="AIW12" s="28"/>
      <c r="AIX12" s="28"/>
      <c r="AIY12" s="28"/>
      <c r="AIZ12" s="28"/>
      <c r="AJA12" s="28"/>
      <c r="AJB12" s="28"/>
      <c r="AJC12" s="28"/>
      <c r="AJD12" s="28"/>
      <c r="AJE12" s="28"/>
      <c r="AJF12" s="28"/>
      <c r="AJG12" s="28"/>
      <c r="AJH12" s="28"/>
      <c r="AJI12" s="28"/>
      <c r="AJJ12" s="28"/>
      <c r="AJK12" s="28"/>
      <c r="AJL12" s="28"/>
      <c r="AJM12" s="28"/>
      <c r="AJN12" s="28"/>
      <c r="AJO12" s="28"/>
      <c r="AJP12" s="28"/>
      <c r="AJQ12" s="28"/>
      <c r="AJR12" s="28"/>
      <c r="AJS12" s="28"/>
      <c r="AJT12" s="28"/>
      <c r="AJU12" s="28"/>
      <c r="AJV12" s="28"/>
      <c r="AJW12" s="28"/>
      <c r="AJX12" s="28"/>
      <c r="AJY12" s="28"/>
      <c r="AJZ12" s="28"/>
      <c r="AKA12" s="28"/>
      <c r="AKB12" s="28"/>
      <c r="AKC12" s="28"/>
      <c r="AKD12" s="28"/>
      <c r="AKE12" s="28"/>
      <c r="AKF12" s="28"/>
      <c r="AKG12" s="28"/>
      <c r="AKH12" s="28"/>
      <c r="AKI12" s="28"/>
      <c r="AKJ12" s="28"/>
      <c r="AKK12" s="28"/>
      <c r="AKL12" s="28"/>
      <c r="AKM12" s="28"/>
      <c r="AKN12" s="28"/>
      <c r="AKO12" s="28"/>
      <c r="AKP12" s="28"/>
      <c r="AKQ12" s="28"/>
      <c r="AKR12" s="28"/>
      <c r="AKS12" s="28"/>
      <c r="AKT12" s="28"/>
      <c r="AKU12" s="28"/>
      <c r="AKV12" s="28"/>
      <c r="AKW12" s="28"/>
      <c r="AKX12" s="28"/>
      <c r="AKY12" s="28"/>
      <c r="AKZ12" s="28"/>
      <c r="ALA12" s="28"/>
      <c r="ALB12" s="28"/>
      <c r="ALC12" s="28"/>
      <c r="ALD12" s="28"/>
      <c r="ALE12" s="28"/>
      <c r="ALF12" s="28"/>
      <c r="ALG12" s="28"/>
      <c r="ALH12" s="28"/>
      <c r="ALI12" s="28"/>
      <c r="ALJ12" s="28"/>
      <c r="ALK12" s="28"/>
      <c r="ALL12" s="28"/>
      <c r="ALM12" s="28"/>
      <c r="ALN12" s="28"/>
      <c r="ALO12" s="28"/>
      <c r="ALP12" s="28"/>
      <c r="ALQ12" s="28"/>
      <c r="ALR12" s="28"/>
      <c r="ALS12" s="28"/>
      <c r="ALT12" s="28"/>
      <c r="ALU12" s="28"/>
      <c r="ALV12" s="28"/>
      <c r="ALW12" s="28"/>
      <c r="ALX12" s="28"/>
      <c r="ALY12" s="28"/>
      <c r="ALZ12" s="28"/>
      <c r="AMA12" s="28"/>
      <c r="AMB12" s="28"/>
      <c r="AMC12" s="28"/>
      <c r="AMD12" s="28"/>
      <c r="AME12" s="28"/>
      <c r="AMF12" s="28"/>
      <c r="AMG12" s="28"/>
      <c r="AMH12" s="28"/>
      <c r="AMI12" s="28"/>
      <c r="AMJ12" s="28"/>
    </row>
    <row r="13" spans="1:1024" s="29" customFormat="1" ht="15.75" customHeight="1" x14ac:dyDescent="0.35">
      <c r="A13" s="600"/>
      <c r="B13" s="609" t="s">
        <v>240</v>
      </c>
      <c r="C13" s="602"/>
      <c r="D13" s="602"/>
      <c r="E13" s="602"/>
      <c r="F13" s="604" t="s">
        <v>223</v>
      </c>
      <c r="G13" s="610" t="s">
        <v>241</v>
      </c>
      <c r="H13" s="453" t="s">
        <v>234</v>
      </c>
      <c r="I13" s="611"/>
      <c r="J13" s="30"/>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AIQ13" s="28"/>
      <c r="AIR13" s="28"/>
      <c r="AIS13" s="28"/>
      <c r="AIT13" s="28"/>
      <c r="AIU13" s="28"/>
      <c r="AIV13" s="28"/>
      <c r="AIW13" s="28"/>
      <c r="AIX13" s="28"/>
      <c r="AIY13" s="28"/>
      <c r="AIZ13" s="28"/>
      <c r="AJA13" s="28"/>
      <c r="AJB13" s="28"/>
      <c r="AJC13" s="28"/>
      <c r="AJD13" s="28"/>
      <c r="AJE13" s="28"/>
      <c r="AJF13" s="28"/>
      <c r="AJG13" s="28"/>
      <c r="AJH13" s="28"/>
      <c r="AJI13" s="28"/>
      <c r="AJJ13" s="28"/>
      <c r="AJK13" s="28"/>
      <c r="AJL13" s="28"/>
      <c r="AJM13" s="28"/>
      <c r="AJN13" s="28"/>
      <c r="AJO13" s="28"/>
      <c r="AJP13" s="28"/>
      <c r="AJQ13" s="28"/>
      <c r="AJR13" s="28"/>
      <c r="AJS13" s="28"/>
      <c r="AJT13" s="28"/>
      <c r="AJU13" s="28"/>
      <c r="AJV13" s="28"/>
      <c r="AJW13" s="28"/>
      <c r="AJX13" s="28"/>
      <c r="AJY13" s="28"/>
      <c r="AJZ13" s="28"/>
      <c r="AKA13" s="28"/>
      <c r="AKB13" s="28"/>
      <c r="AKC13" s="28"/>
      <c r="AKD13" s="28"/>
      <c r="AKE13" s="28"/>
      <c r="AKF13" s="28"/>
      <c r="AKG13" s="28"/>
      <c r="AKH13" s="28"/>
      <c r="AKI13" s="28"/>
      <c r="AKJ13" s="28"/>
      <c r="AKK13" s="28"/>
      <c r="AKL13" s="28"/>
      <c r="AKM13" s="28"/>
      <c r="AKN13" s="28"/>
      <c r="AKO13" s="28"/>
      <c r="AKP13" s="28"/>
      <c r="AKQ13" s="28"/>
      <c r="AKR13" s="28"/>
      <c r="AKS13" s="28"/>
      <c r="AKT13" s="28"/>
      <c r="AKU13" s="28"/>
      <c r="AKV13" s="28"/>
      <c r="AKW13" s="28"/>
      <c r="AKX13" s="28"/>
      <c r="AKY13" s="28"/>
      <c r="AKZ13" s="28"/>
      <c r="ALA13" s="28"/>
      <c r="ALB13" s="28"/>
      <c r="ALC13" s="28"/>
      <c r="ALD13" s="28"/>
      <c r="ALE13" s="28"/>
      <c r="ALF13" s="28"/>
      <c r="ALG13" s="28"/>
      <c r="ALH13" s="28"/>
      <c r="ALI13" s="28"/>
      <c r="ALJ13" s="28"/>
      <c r="ALK13" s="28"/>
      <c r="ALL13" s="28"/>
      <c r="ALM13" s="28"/>
      <c r="ALN13" s="28"/>
      <c r="ALO13" s="28"/>
      <c r="ALP13" s="28"/>
      <c r="ALQ13" s="28"/>
      <c r="ALR13" s="28"/>
      <c r="ALS13" s="28"/>
      <c r="ALT13" s="28"/>
      <c r="ALU13" s="28"/>
      <c r="ALV13" s="28"/>
      <c r="ALW13" s="28"/>
      <c r="ALX13" s="28"/>
      <c r="ALY13" s="28"/>
      <c r="ALZ13" s="28"/>
      <c r="AMA13" s="28"/>
      <c r="AMB13" s="28"/>
      <c r="AMC13" s="28"/>
      <c r="AMD13" s="28"/>
      <c r="AME13" s="28"/>
      <c r="AMF13" s="28"/>
      <c r="AMG13" s="28"/>
      <c r="AMH13" s="28"/>
      <c r="AMI13" s="28"/>
      <c r="AMJ13" s="28"/>
    </row>
    <row r="14" spans="1:1024" s="29" customFormat="1" ht="15.75" customHeight="1" x14ac:dyDescent="0.35">
      <c r="A14" s="600"/>
      <c r="B14" s="609" t="s">
        <v>242</v>
      </c>
      <c r="C14" s="602"/>
      <c r="D14" s="602"/>
      <c r="E14" s="602"/>
      <c r="F14" s="604" t="s">
        <v>223</v>
      </c>
      <c r="G14" s="610" t="s">
        <v>243</v>
      </c>
      <c r="H14" s="453" t="s">
        <v>244</v>
      </c>
      <c r="I14" s="461"/>
      <c r="J14" s="30"/>
      <c r="K14" s="28"/>
      <c r="L14" s="28"/>
      <c r="M14" s="28"/>
      <c r="N14" s="28"/>
      <c r="O14" s="28"/>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c r="BV14" s="28"/>
      <c r="BW14" s="28"/>
      <c r="BX14" s="28"/>
      <c r="BY14" s="28"/>
      <c r="BZ14" s="28"/>
      <c r="CA14" s="28"/>
      <c r="CB14" s="28"/>
      <c r="CC14" s="28"/>
      <c r="CD14" s="28"/>
      <c r="CE14" s="28"/>
      <c r="CF14" s="28"/>
      <c r="CG14" s="28"/>
      <c r="CH14" s="28"/>
      <c r="CI14" s="28"/>
      <c r="CJ14" s="28"/>
      <c r="CK14" s="28"/>
      <c r="CL14" s="28"/>
      <c r="CM14" s="28"/>
      <c r="CN14" s="28"/>
      <c r="CO14" s="28"/>
      <c r="CP14" s="28"/>
      <c r="CQ14" s="28"/>
      <c r="CR14" s="28"/>
      <c r="CS14" s="28"/>
      <c r="CT14" s="28"/>
      <c r="CU14" s="28"/>
      <c r="CV14" s="28"/>
      <c r="CW14" s="28"/>
      <c r="CX14" s="28"/>
      <c r="CY14" s="28"/>
      <c r="CZ14" s="28"/>
      <c r="DA14" s="28"/>
      <c r="DB14" s="28"/>
      <c r="DC14" s="28"/>
      <c r="DD14" s="28"/>
      <c r="DE14" s="28"/>
      <c r="DF14" s="28"/>
      <c r="DG14" s="28"/>
      <c r="DH14" s="28"/>
      <c r="DI14" s="28"/>
      <c r="DJ14" s="28"/>
      <c r="DK14" s="28"/>
      <c r="DL14" s="28"/>
      <c r="DM14" s="28"/>
      <c r="DN14" s="28"/>
      <c r="DO14" s="28"/>
      <c r="DP14" s="28"/>
      <c r="DQ14" s="28"/>
      <c r="DR14" s="28"/>
      <c r="DS14" s="28"/>
      <c r="DT14" s="28"/>
      <c r="DU14" s="28"/>
      <c r="DV14" s="28"/>
      <c r="DW14" s="28"/>
      <c r="DX14" s="28"/>
      <c r="DY14" s="28"/>
      <c r="DZ14" s="28"/>
      <c r="EA14" s="28"/>
      <c r="EB14" s="28"/>
      <c r="EC14" s="28"/>
      <c r="ED14" s="28"/>
      <c r="EE14" s="28"/>
      <c r="EF14" s="28"/>
      <c r="EG14" s="28"/>
      <c r="EH14" s="28"/>
      <c r="EI14" s="28"/>
      <c r="EJ14" s="28"/>
      <c r="EK14" s="28"/>
      <c r="EL14" s="28"/>
      <c r="EM14" s="28"/>
      <c r="EN14" s="28"/>
      <c r="EO14" s="28"/>
      <c r="EP14" s="28"/>
      <c r="EQ14" s="28"/>
      <c r="ER14" s="28"/>
      <c r="ES14" s="28"/>
      <c r="ET14" s="28"/>
      <c r="EU14" s="28"/>
      <c r="EV14" s="28"/>
      <c r="EW14" s="28"/>
      <c r="EX14" s="28"/>
      <c r="EY14" s="28"/>
      <c r="EZ14" s="28"/>
      <c r="FA14" s="28"/>
      <c r="AIQ14" s="28"/>
      <c r="AIR14" s="28"/>
      <c r="AIS14" s="28"/>
      <c r="AIT14" s="28"/>
      <c r="AIU14" s="28"/>
      <c r="AIV14" s="28"/>
      <c r="AIW14" s="28"/>
      <c r="AIX14" s="28"/>
      <c r="AIY14" s="28"/>
      <c r="AIZ14" s="28"/>
      <c r="AJA14" s="28"/>
      <c r="AJB14" s="28"/>
      <c r="AJC14" s="28"/>
      <c r="AJD14" s="28"/>
      <c r="AJE14" s="28"/>
      <c r="AJF14" s="28"/>
      <c r="AJG14" s="28"/>
      <c r="AJH14" s="28"/>
      <c r="AJI14" s="28"/>
      <c r="AJJ14" s="28"/>
      <c r="AJK14" s="28"/>
      <c r="AJL14" s="28"/>
      <c r="AJM14" s="28"/>
      <c r="AJN14" s="28"/>
      <c r="AJO14" s="28"/>
      <c r="AJP14" s="28"/>
      <c r="AJQ14" s="28"/>
      <c r="AJR14" s="28"/>
      <c r="AJS14" s="28"/>
      <c r="AJT14" s="28"/>
      <c r="AJU14" s="28"/>
      <c r="AJV14" s="28"/>
      <c r="AJW14" s="28"/>
      <c r="AJX14" s="28"/>
      <c r="AJY14" s="28"/>
      <c r="AJZ14" s="28"/>
      <c r="AKA14" s="28"/>
      <c r="AKB14" s="28"/>
      <c r="AKC14" s="28"/>
      <c r="AKD14" s="28"/>
      <c r="AKE14" s="28"/>
      <c r="AKF14" s="28"/>
      <c r="AKG14" s="28"/>
      <c r="AKH14" s="28"/>
      <c r="AKI14" s="28"/>
      <c r="AKJ14" s="28"/>
      <c r="AKK14" s="28"/>
      <c r="AKL14" s="28"/>
      <c r="AKM14" s="28"/>
      <c r="AKN14" s="28"/>
      <c r="AKO14" s="28"/>
      <c r="AKP14" s="28"/>
      <c r="AKQ14" s="28"/>
      <c r="AKR14" s="28"/>
      <c r="AKS14" s="28"/>
      <c r="AKT14" s="28"/>
      <c r="AKU14" s="28"/>
      <c r="AKV14" s="28"/>
      <c r="AKW14" s="28"/>
      <c r="AKX14" s="28"/>
      <c r="AKY14" s="28"/>
      <c r="AKZ14" s="28"/>
      <c r="ALA14" s="28"/>
      <c r="ALB14" s="28"/>
      <c r="ALC14" s="28"/>
      <c r="ALD14" s="28"/>
      <c r="ALE14" s="28"/>
      <c r="ALF14" s="28"/>
      <c r="ALG14" s="28"/>
      <c r="ALH14" s="28"/>
      <c r="ALI14" s="28"/>
      <c r="ALJ14" s="28"/>
      <c r="ALK14" s="28"/>
      <c r="ALL14" s="28"/>
      <c r="ALM14" s="28"/>
      <c r="ALN14" s="28"/>
      <c r="ALO14" s="28"/>
      <c r="ALP14" s="28"/>
      <c r="ALQ14" s="28"/>
      <c r="ALR14" s="28"/>
      <c r="ALS14" s="28"/>
      <c r="ALT14" s="28"/>
      <c r="ALU14" s="28"/>
      <c r="ALV14" s="28"/>
      <c r="ALW14" s="28"/>
      <c r="ALX14" s="28"/>
      <c r="ALY14" s="28"/>
      <c r="ALZ14" s="28"/>
      <c r="AMA14" s="28"/>
      <c r="AMB14" s="28"/>
      <c r="AMC14" s="28"/>
      <c r="AMD14" s="28"/>
      <c r="AME14" s="28"/>
      <c r="AMF14" s="28"/>
      <c r="AMG14" s="28"/>
      <c r="AMH14" s="28"/>
      <c r="AMI14" s="28"/>
      <c r="AMJ14" s="28"/>
    </row>
    <row r="15" spans="1:1024" s="29" customFormat="1" ht="15.75" customHeight="1" x14ac:dyDescent="0.35">
      <c r="A15" s="600"/>
      <c r="B15" s="609" t="s">
        <v>245</v>
      </c>
      <c r="C15" s="602"/>
      <c r="D15" s="602"/>
      <c r="E15" s="602"/>
      <c r="F15" s="604" t="s">
        <v>223</v>
      </c>
      <c r="G15" s="610" t="s">
        <v>243</v>
      </c>
      <c r="H15" s="453" t="s">
        <v>234</v>
      </c>
      <c r="I15" s="611"/>
      <c r="J15" s="30"/>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c r="ALN15" s="28"/>
      <c r="ALO15" s="28"/>
      <c r="ALP15" s="28"/>
      <c r="ALQ15" s="28"/>
      <c r="ALR15" s="28"/>
      <c r="ALS15" s="28"/>
      <c r="ALT15" s="28"/>
      <c r="ALU15" s="28"/>
      <c r="ALV15" s="28"/>
      <c r="ALW15" s="28"/>
      <c r="ALX15" s="28"/>
      <c r="ALY15" s="28"/>
      <c r="ALZ15" s="28"/>
      <c r="AMA15" s="28"/>
      <c r="AMB15" s="28"/>
      <c r="AMC15" s="28"/>
      <c r="AMD15" s="28"/>
      <c r="AME15" s="28"/>
      <c r="AMF15" s="28"/>
      <c r="AMG15" s="28"/>
      <c r="AMH15" s="28"/>
      <c r="AMI15" s="28"/>
      <c r="AMJ15" s="28"/>
    </row>
    <row r="16" spans="1:1024" s="29" customFormat="1" ht="15.75" customHeight="1" x14ac:dyDescent="0.35">
      <c r="A16" s="600"/>
      <c r="B16" s="609" t="s">
        <v>246</v>
      </c>
      <c r="C16" s="602"/>
      <c r="D16" s="602"/>
      <c r="E16" s="602"/>
      <c r="F16" s="604" t="s">
        <v>223</v>
      </c>
      <c r="G16" s="610" t="s">
        <v>243</v>
      </c>
      <c r="H16" s="453" t="s">
        <v>244</v>
      </c>
      <c r="I16" s="461"/>
      <c r="J16" s="30"/>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c r="ALN16" s="28"/>
      <c r="ALO16" s="28"/>
      <c r="ALP16" s="28"/>
      <c r="ALQ16" s="28"/>
      <c r="ALR16" s="28"/>
      <c r="ALS16" s="28"/>
      <c r="ALT16" s="28"/>
      <c r="ALU16" s="28"/>
      <c r="ALV16" s="28"/>
      <c r="ALW16" s="28"/>
      <c r="ALX16" s="28"/>
      <c r="ALY16" s="28"/>
      <c r="ALZ16" s="28"/>
      <c r="AMA16" s="28"/>
      <c r="AMB16" s="28"/>
      <c r="AMC16" s="28"/>
      <c r="AMD16" s="28"/>
      <c r="AME16" s="28"/>
      <c r="AMF16" s="28"/>
      <c r="AMG16" s="28"/>
      <c r="AMH16" s="28"/>
      <c r="AMI16" s="28"/>
      <c r="AMJ16" s="28"/>
    </row>
    <row r="17" spans="1:1024" s="29" customFormat="1" ht="15.75" customHeight="1" x14ac:dyDescent="0.35">
      <c r="A17" s="600"/>
      <c r="B17" s="609" t="s">
        <v>247</v>
      </c>
      <c r="C17" s="602"/>
      <c r="D17" s="602"/>
      <c r="E17" s="602"/>
      <c r="F17" s="604" t="s">
        <v>223</v>
      </c>
      <c r="G17" s="610" t="s">
        <v>243</v>
      </c>
      <c r="H17" s="453" t="s">
        <v>244</v>
      </c>
      <c r="I17" s="461"/>
      <c r="J17" s="30"/>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c r="ALN17" s="28"/>
      <c r="ALO17" s="28"/>
      <c r="ALP17" s="28"/>
      <c r="ALQ17" s="28"/>
      <c r="ALR17" s="28"/>
      <c r="ALS17" s="28"/>
      <c r="ALT17" s="28"/>
      <c r="ALU17" s="28"/>
      <c r="ALV17" s="28"/>
      <c r="ALW17" s="28"/>
      <c r="ALX17" s="28"/>
      <c r="ALY17" s="28"/>
      <c r="ALZ17" s="28"/>
      <c r="AMA17" s="28"/>
      <c r="AMB17" s="28"/>
      <c r="AMC17" s="28"/>
      <c r="AMD17" s="28"/>
      <c r="AME17" s="28"/>
      <c r="AMF17" s="28"/>
      <c r="AMG17" s="28"/>
      <c r="AMH17" s="28"/>
      <c r="AMI17" s="28"/>
      <c r="AMJ17" s="28"/>
    </row>
    <row r="18" spans="1:1024" s="29" customFormat="1" ht="15.75" customHeight="1" x14ac:dyDescent="0.3">
      <c r="A18" s="593" t="s">
        <v>248</v>
      </c>
      <c r="B18" s="594" t="s">
        <v>249</v>
      </c>
      <c r="C18" s="605"/>
      <c r="D18" s="605"/>
      <c r="E18" s="605"/>
      <c r="F18" s="606"/>
      <c r="G18" s="607"/>
      <c r="H18" s="607"/>
      <c r="I18" s="608"/>
      <c r="J18" s="30"/>
      <c r="K18" s="28"/>
      <c r="L18" s="28"/>
      <c r="M18" s="28"/>
      <c r="N18" s="28"/>
      <c r="O18" s="28"/>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c r="BV18" s="28"/>
      <c r="BW18" s="28"/>
      <c r="BX18" s="28"/>
      <c r="BY18" s="28"/>
      <c r="BZ18" s="28"/>
      <c r="CA18" s="28"/>
      <c r="CB18" s="28"/>
      <c r="CC18" s="28"/>
      <c r="CD18" s="28"/>
      <c r="CE18" s="28"/>
      <c r="CF18" s="28"/>
      <c r="CG18" s="28"/>
      <c r="CH18" s="28"/>
      <c r="CI18" s="28"/>
      <c r="CJ18" s="28"/>
      <c r="CK18" s="28"/>
      <c r="CL18" s="28"/>
      <c r="CM18" s="28"/>
      <c r="CN18" s="28"/>
      <c r="CO18" s="28"/>
      <c r="CP18" s="28"/>
      <c r="CQ18" s="28"/>
      <c r="CR18" s="28"/>
      <c r="CS18" s="28"/>
      <c r="CT18" s="28"/>
      <c r="CU18" s="28"/>
      <c r="CV18" s="28"/>
      <c r="CW18" s="28"/>
      <c r="CX18" s="28"/>
      <c r="CY18" s="28"/>
      <c r="CZ18" s="28"/>
      <c r="DA18" s="28"/>
      <c r="DB18" s="28"/>
      <c r="DC18" s="28"/>
      <c r="DD18" s="28"/>
      <c r="DE18" s="28"/>
      <c r="DF18" s="28"/>
      <c r="DG18" s="28"/>
      <c r="DH18" s="28"/>
      <c r="DI18" s="28"/>
      <c r="DJ18" s="28"/>
      <c r="DK18" s="28"/>
      <c r="DL18" s="28"/>
      <c r="DM18" s="28"/>
      <c r="DN18" s="28"/>
      <c r="DO18" s="28"/>
      <c r="DP18" s="28"/>
      <c r="DQ18" s="28"/>
      <c r="DR18" s="28"/>
      <c r="DS18" s="28"/>
      <c r="DT18" s="28"/>
      <c r="DU18" s="28"/>
      <c r="DV18" s="28"/>
      <c r="DW18" s="28"/>
      <c r="DX18" s="28"/>
      <c r="DY18" s="28"/>
      <c r="DZ18" s="28"/>
      <c r="EA18" s="28"/>
      <c r="EB18" s="28"/>
      <c r="EC18" s="28"/>
      <c r="ED18" s="28"/>
      <c r="EE18" s="28"/>
      <c r="EF18" s="28"/>
      <c r="EG18" s="28"/>
      <c r="EH18" s="28"/>
      <c r="EI18" s="28"/>
      <c r="EJ18" s="28"/>
      <c r="EK18" s="28"/>
      <c r="EL18" s="28"/>
      <c r="EM18" s="28"/>
      <c r="EN18" s="28"/>
      <c r="EO18" s="28"/>
      <c r="EP18" s="28"/>
      <c r="EQ18" s="28"/>
      <c r="ER18" s="28"/>
      <c r="ES18" s="28"/>
      <c r="ET18" s="28"/>
      <c r="EU18" s="28"/>
      <c r="EV18" s="28"/>
      <c r="EW18" s="28"/>
      <c r="EX18" s="28"/>
      <c r="EY18" s="28"/>
      <c r="EZ18" s="28"/>
      <c r="FA18" s="28"/>
      <c r="AIQ18" s="28"/>
      <c r="AIR18" s="28"/>
      <c r="AIS18" s="28"/>
      <c r="AIT18" s="28"/>
      <c r="AIU18" s="28"/>
      <c r="AIV18" s="28"/>
      <c r="AIW18" s="28"/>
      <c r="AIX18" s="28"/>
      <c r="AIY18" s="28"/>
      <c r="AIZ18" s="28"/>
      <c r="AJA18" s="28"/>
      <c r="AJB18" s="28"/>
      <c r="AJC18" s="28"/>
      <c r="AJD18" s="28"/>
      <c r="AJE18" s="28"/>
      <c r="AJF18" s="28"/>
      <c r="AJG18" s="28"/>
      <c r="AJH18" s="28"/>
      <c r="AJI18" s="28"/>
      <c r="AJJ18" s="28"/>
      <c r="AJK18" s="28"/>
      <c r="AJL18" s="28"/>
      <c r="AJM18" s="28"/>
      <c r="AJN18" s="28"/>
      <c r="AJO18" s="28"/>
      <c r="AJP18" s="28"/>
      <c r="AJQ18" s="28"/>
      <c r="AJR18" s="28"/>
      <c r="AJS18" s="28"/>
      <c r="AJT18" s="28"/>
      <c r="AJU18" s="28"/>
      <c r="AJV18" s="28"/>
      <c r="AJW18" s="28"/>
      <c r="AJX18" s="28"/>
      <c r="AJY18" s="28"/>
      <c r="AJZ18" s="28"/>
      <c r="AKA18" s="28"/>
      <c r="AKB18" s="28"/>
      <c r="AKC18" s="28"/>
      <c r="AKD18" s="28"/>
      <c r="AKE18" s="28"/>
      <c r="AKF18" s="28"/>
      <c r="AKG18" s="28"/>
      <c r="AKH18" s="28"/>
      <c r="AKI18" s="28"/>
      <c r="AKJ18" s="28"/>
      <c r="AKK18" s="28"/>
      <c r="AKL18" s="28"/>
      <c r="AKM18" s="28"/>
      <c r="AKN18" s="28"/>
      <c r="AKO18" s="28"/>
      <c r="AKP18" s="28"/>
      <c r="AKQ18" s="28"/>
      <c r="AKR18" s="28"/>
      <c r="AKS18" s="28"/>
      <c r="AKT18" s="28"/>
      <c r="AKU18" s="28"/>
      <c r="AKV18" s="28"/>
      <c r="AKW18" s="28"/>
      <c r="AKX18" s="28"/>
      <c r="AKY18" s="28"/>
      <c r="AKZ18" s="28"/>
      <c r="ALA18" s="28"/>
      <c r="ALB18" s="28"/>
      <c r="ALC18" s="28"/>
      <c r="ALD18" s="28"/>
      <c r="ALE18" s="28"/>
      <c r="ALF18" s="28"/>
      <c r="ALG18" s="28"/>
      <c r="ALH18" s="28"/>
      <c r="ALI18" s="28"/>
      <c r="ALJ18" s="28"/>
      <c r="ALK18" s="28"/>
      <c r="ALL18" s="28"/>
      <c r="ALM18" s="28"/>
      <c r="ALN18" s="28"/>
      <c r="ALO18" s="28"/>
      <c r="ALP18" s="28"/>
      <c r="ALQ18" s="28"/>
      <c r="ALR18" s="28"/>
      <c r="ALS18" s="28"/>
      <c r="ALT18" s="28"/>
      <c r="ALU18" s="28"/>
      <c r="ALV18" s="28"/>
      <c r="ALW18" s="28"/>
      <c r="ALX18" s="28"/>
      <c r="ALY18" s="28"/>
      <c r="ALZ18" s="28"/>
      <c r="AMA18" s="28"/>
      <c r="AMB18" s="28"/>
      <c r="AMC18" s="28"/>
      <c r="AMD18" s="28"/>
      <c r="AME18" s="28"/>
      <c r="AMF18" s="28"/>
      <c r="AMG18" s="28"/>
      <c r="AMH18" s="28"/>
      <c r="AMI18" s="28"/>
      <c r="AMJ18" s="28"/>
    </row>
    <row r="19" spans="1:1024" s="29" customFormat="1" ht="15.75" customHeight="1" x14ac:dyDescent="0.3">
      <c r="A19" s="600"/>
      <c r="B19" s="601" t="s">
        <v>250</v>
      </c>
      <c r="C19" s="602"/>
      <c r="D19" s="602"/>
      <c r="E19" s="602"/>
      <c r="F19" s="604" t="s">
        <v>223</v>
      </c>
      <c r="G19" s="453" t="s">
        <v>251</v>
      </c>
      <c r="H19" s="453" t="s">
        <v>234</v>
      </c>
      <c r="I19" s="611"/>
      <c r="J19" s="30"/>
      <c r="K19" s="28"/>
      <c r="L19" s="28"/>
      <c r="M19" s="28"/>
      <c r="N19" s="28"/>
      <c r="O19" s="28"/>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c r="BV19" s="28"/>
      <c r="BW19" s="28"/>
      <c r="BX19" s="28"/>
      <c r="BY19" s="28"/>
      <c r="BZ19" s="28"/>
      <c r="CA19" s="28"/>
      <c r="CB19" s="28"/>
      <c r="CC19" s="28"/>
      <c r="CD19" s="28"/>
      <c r="CE19" s="28"/>
      <c r="CF19" s="28"/>
      <c r="CG19" s="28"/>
      <c r="CH19" s="28"/>
      <c r="CI19" s="28"/>
      <c r="CJ19" s="28"/>
      <c r="CK19" s="28"/>
      <c r="CL19" s="28"/>
      <c r="CM19" s="28"/>
      <c r="CN19" s="28"/>
      <c r="CO19" s="28"/>
      <c r="CP19" s="28"/>
      <c r="CQ19" s="28"/>
      <c r="CR19" s="28"/>
      <c r="CS19" s="28"/>
      <c r="CT19" s="28"/>
      <c r="CU19" s="28"/>
      <c r="CV19" s="28"/>
      <c r="CW19" s="28"/>
      <c r="CX19" s="28"/>
      <c r="CY19" s="28"/>
      <c r="CZ19" s="28"/>
      <c r="DA19" s="28"/>
      <c r="DB19" s="28"/>
      <c r="DC19" s="28"/>
      <c r="DD19" s="28"/>
      <c r="DE19" s="28"/>
      <c r="DF19" s="28"/>
      <c r="DG19" s="28"/>
      <c r="DH19" s="28"/>
      <c r="DI19" s="28"/>
      <c r="DJ19" s="28"/>
      <c r="DK19" s="28"/>
      <c r="DL19" s="28"/>
      <c r="DM19" s="28"/>
      <c r="DN19" s="28"/>
      <c r="DO19" s="28"/>
      <c r="DP19" s="28"/>
      <c r="DQ19" s="28"/>
      <c r="DR19" s="28"/>
      <c r="DS19" s="28"/>
      <c r="DT19" s="28"/>
      <c r="DU19" s="28"/>
      <c r="DV19" s="28"/>
      <c r="DW19" s="28"/>
      <c r="DX19" s="28"/>
      <c r="DY19" s="28"/>
      <c r="DZ19" s="28"/>
      <c r="EA19" s="28"/>
      <c r="EB19" s="28"/>
      <c r="EC19" s="28"/>
      <c r="ED19" s="28"/>
      <c r="EE19" s="28"/>
      <c r="EF19" s="28"/>
      <c r="EG19" s="28"/>
      <c r="EH19" s="28"/>
      <c r="EI19" s="28"/>
      <c r="EJ19" s="28"/>
      <c r="EK19" s="28"/>
      <c r="EL19" s="28"/>
      <c r="EM19" s="28"/>
      <c r="EN19" s="28"/>
      <c r="EO19" s="28"/>
      <c r="EP19" s="28"/>
      <c r="EQ19" s="28"/>
      <c r="ER19" s="28"/>
      <c r="ES19" s="28"/>
      <c r="ET19" s="28"/>
      <c r="EU19" s="28"/>
      <c r="EV19" s="28"/>
      <c r="EW19" s="28"/>
      <c r="EX19" s="28"/>
      <c r="EY19" s="28"/>
      <c r="EZ19" s="28"/>
      <c r="FA19" s="28"/>
      <c r="AIQ19" s="28"/>
      <c r="AIR19" s="28"/>
      <c r="AIS19" s="28"/>
      <c r="AIT19" s="28"/>
      <c r="AIU19" s="28"/>
      <c r="AIV19" s="28"/>
      <c r="AIW19" s="28"/>
      <c r="AIX19" s="28"/>
      <c r="AIY19" s="28"/>
      <c r="AIZ19" s="28"/>
      <c r="AJA19" s="28"/>
      <c r="AJB19" s="28"/>
      <c r="AJC19" s="28"/>
      <c r="AJD19" s="28"/>
      <c r="AJE19" s="28"/>
      <c r="AJF19" s="28"/>
      <c r="AJG19" s="28"/>
      <c r="AJH19" s="28"/>
      <c r="AJI19" s="28"/>
      <c r="AJJ19" s="28"/>
      <c r="AJK19" s="28"/>
      <c r="AJL19" s="28"/>
      <c r="AJM19" s="28"/>
      <c r="AJN19" s="28"/>
      <c r="AJO19" s="28"/>
      <c r="AJP19" s="28"/>
      <c r="AJQ19" s="28"/>
      <c r="AJR19" s="28"/>
      <c r="AJS19" s="28"/>
      <c r="AJT19" s="28"/>
      <c r="AJU19" s="28"/>
      <c r="AJV19" s="28"/>
      <c r="AJW19" s="28"/>
      <c r="AJX19" s="28"/>
      <c r="AJY19" s="28"/>
      <c r="AJZ19" s="28"/>
      <c r="AKA19" s="28"/>
      <c r="AKB19" s="28"/>
      <c r="AKC19" s="28"/>
      <c r="AKD19" s="28"/>
      <c r="AKE19" s="28"/>
      <c r="AKF19" s="28"/>
      <c r="AKG19" s="28"/>
      <c r="AKH19" s="28"/>
      <c r="AKI19" s="28"/>
      <c r="AKJ19" s="28"/>
      <c r="AKK19" s="28"/>
      <c r="AKL19" s="28"/>
      <c r="AKM19" s="28"/>
      <c r="AKN19" s="28"/>
      <c r="AKO19" s="28"/>
      <c r="AKP19" s="28"/>
      <c r="AKQ19" s="28"/>
      <c r="AKR19" s="28"/>
      <c r="AKS19" s="28"/>
      <c r="AKT19" s="28"/>
      <c r="AKU19" s="28"/>
      <c r="AKV19" s="28"/>
      <c r="AKW19" s="28"/>
      <c r="AKX19" s="28"/>
      <c r="AKY19" s="28"/>
      <c r="AKZ19" s="28"/>
      <c r="ALA19" s="28"/>
      <c r="ALB19" s="28"/>
      <c r="ALC19" s="28"/>
      <c r="ALD19" s="28"/>
      <c r="ALE19" s="28"/>
      <c r="ALF19" s="28"/>
      <c r="ALG19" s="28"/>
      <c r="ALH19" s="28"/>
      <c r="ALI19" s="28"/>
      <c r="ALJ19" s="28"/>
      <c r="ALK19" s="28"/>
      <c r="ALL19" s="28"/>
      <c r="ALM19" s="28"/>
      <c r="ALN19" s="28"/>
      <c r="ALO19" s="28"/>
      <c r="ALP19" s="28"/>
      <c r="ALQ19" s="28"/>
      <c r="ALR19" s="28"/>
      <c r="ALS19" s="28"/>
      <c r="ALT19" s="28"/>
      <c r="ALU19" s="28"/>
      <c r="ALV19" s="28"/>
      <c r="ALW19" s="28"/>
      <c r="ALX19" s="28"/>
      <c r="ALY19" s="28"/>
      <c r="ALZ19" s="28"/>
      <c r="AMA19" s="28"/>
      <c r="AMB19" s="28"/>
      <c r="AMC19" s="28"/>
      <c r="AMD19" s="28"/>
      <c r="AME19" s="28"/>
      <c r="AMF19" s="28"/>
      <c r="AMG19" s="28"/>
      <c r="AMH19" s="28"/>
      <c r="AMI19" s="28"/>
      <c r="AMJ19" s="28"/>
    </row>
    <row r="20" spans="1:1024" s="29" customFormat="1" ht="15.75" customHeight="1" x14ac:dyDescent="0.3">
      <c r="A20" s="600"/>
      <c r="B20" s="601" t="s">
        <v>252</v>
      </c>
      <c r="C20" s="602"/>
      <c r="D20" s="602"/>
      <c r="E20" s="602"/>
      <c r="F20" s="604" t="s">
        <v>223</v>
      </c>
      <c r="G20" s="453" t="s">
        <v>244</v>
      </c>
      <c r="H20" s="453" t="s">
        <v>244</v>
      </c>
      <c r="I20" s="461"/>
      <c r="J20" s="30"/>
      <c r="K20" s="28"/>
      <c r="L20" s="28"/>
      <c r="M20" s="28"/>
      <c r="N20" s="28"/>
      <c r="O20" s="28"/>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c r="BV20" s="28"/>
      <c r="BW20" s="28"/>
      <c r="BX20" s="28"/>
      <c r="BY20" s="28"/>
      <c r="BZ20" s="28"/>
      <c r="CA20" s="28"/>
      <c r="CB20" s="28"/>
      <c r="CC20" s="28"/>
      <c r="CD20" s="28"/>
      <c r="CE20" s="28"/>
      <c r="CF20" s="28"/>
      <c r="CG20" s="28"/>
      <c r="CH20" s="28"/>
      <c r="CI20" s="28"/>
      <c r="CJ20" s="28"/>
      <c r="CK20" s="28"/>
      <c r="CL20" s="28"/>
      <c r="CM20" s="28"/>
      <c r="CN20" s="28"/>
      <c r="CO20" s="28"/>
      <c r="CP20" s="28"/>
      <c r="CQ20" s="28"/>
      <c r="CR20" s="28"/>
      <c r="CS20" s="28"/>
      <c r="CT20" s="28"/>
      <c r="CU20" s="28"/>
      <c r="CV20" s="28"/>
      <c r="CW20" s="28"/>
      <c r="CX20" s="28"/>
      <c r="CY20" s="28"/>
      <c r="CZ20" s="28"/>
      <c r="DA20" s="28"/>
      <c r="DB20" s="28"/>
      <c r="DC20" s="28"/>
      <c r="DD20" s="28"/>
      <c r="DE20" s="28"/>
      <c r="DF20" s="28"/>
      <c r="DG20" s="28"/>
      <c r="DH20" s="28"/>
      <c r="DI20" s="28"/>
      <c r="DJ20" s="28"/>
      <c r="DK20" s="28"/>
      <c r="DL20" s="28"/>
      <c r="DM20" s="28"/>
      <c r="DN20" s="28"/>
      <c r="DO20" s="28"/>
      <c r="DP20" s="28"/>
      <c r="DQ20" s="28"/>
      <c r="DR20" s="28"/>
      <c r="DS20" s="28"/>
      <c r="DT20" s="28"/>
      <c r="DU20" s="28"/>
      <c r="DV20" s="28"/>
      <c r="DW20" s="28"/>
      <c r="DX20" s="28"/>
      <c r="DY20" s="28"/>
      <c r="DZ20" s="28"/>
      <c r="EA20" s="28"/>
      <c r="EB20" s="28"/>
      <c r="EC20" s="28"/>
      <c r="ED20" s="28"/>
      <c r="EE20" s="28"/>
      <c r="EF20" s="28"/>
      <c r="EG20" s="28"/>
      <c r="EH20" s="28"/>
      <c r="EI20" s="28"/>
      <c r="EJ20" s="28"/>
      <c r="EK20" s="28"/>
      <c r="EL20" s="28"/>
      <c r="EM20" s="28"/>
      <c r="EN20" s="28"/>
      <c r="EO20" s="28"/>
      <c r="EP20" s="28"/>
      <c r="EQ20" s="28"/>
      <c r="ER20" s="28"/>
      <c r="ES20" s="28"/>
      <c r="ET20" s="28"/>
      <c r="EU20" s="28"/>
      <c r="EV20" s="28"/>
      <c r="EW20" s="28"/>
      <c r="EX20" s="28"/>
      <c r="EY20" s="28"/>
      <c r="EZ20" s="28"/>
      <c r="FA20" s="28"/>
      <c r="AIQ20" s="28"/>
      <c r="AIR20" s="28"/>
      <c r="AIS20" s="28"/>
      <c r="AIT20" s="28"/>
      <c r="AIU20" s="28"/>
      <c r="AIV20" s="28"/>
      <c r="AIW20" s="28"/>
      <c r="AIX20" s="28"/>
      <c r="AIY20" s="28"/>
      <c r="AIZ20" s="28"/>
      <c r="AJA20" s="28"/>
      <c r="AJB20" s="28"/>
      <c r="AJC20" s="28"/>
      <c r="AJD20" s="28"/>
      <c r="AJE20" s="28"/>
      <c r="AJF20" s="28"/>
      <c r="AJG20" s="28"/>
      <c r="AJH20" s="28"/>
      <c r="AJI20" s="28"/>
      <c r="AJJ20" s="28"/>
      <c r="AJK20" s="28"/>
      <c r="AJL20" s="28"/>
      <c r="AJM20" s="28"/>
      <c r="AJN20" s="28"/>
      <c r="AJO20" s="28"/>
      <c r="AJP20" s="28"/>
      <c r="AJQ20" s="28"/>
      <c r="AJR20" s="28"/>
      <c r="AJS20" s="28"/>
      <c r="AJT20" s="28"/>
      <c r="AJU20" s="28"/>
      <c r="AJV20" s="28"/>
      <c r="AJW20" s="28"/>
      <c r="AJX20" s="28"/>
      <c r="AJY20" s="28"/>
      <c r="AJZ20" s="28"/>
      <c r="AKA20" s="28"/>
      <c r="AKB20" s="28"/>
      <c r="AKC20" s="28"/>
      <c r="AKD20" s="28"/>
      <c r="AKE20" s="28"/>
      <c r="AKF20" s="28"/>
      <c r="AKG20" s="28"/>
      <c r="AKH20" s="28"/>
      <c r="AKI20" s="28"/>
      <c r="AKJ20" s="28"/>
      <c r="AKK20" s="28"/>
      <c r="AKL20" s="28"/>
      <c r="AKM20" s="28"/>
      <c r="AKN20" s="28"/>
      <c r="AKO20" s="28"/>
      <c r="AKP20" s="28"/>
      <c r="AKQ20" s="28"/>
      <c r="AKR20" s="28"/>
      <c r="AKS20" s="28"/>
      <c r="AKT20" s="28"/>
      <c r="AKU20" s="28"/>
      <c r="AKV20" s="28"/>
      <c r="AKW20" s="28"/>
      <c r="AKX20" s="28"/>
      <c r="AKY20" s="28"/>
      <c r="AKZ20" s="28"/>
      <c r="ALA20" s="28"/>
      <c r="ALB20" s="28"/>
      <c r="ALC20" s="28"/>
      <c r="ALD20" s="28"/>
      <c r="ALE20" s="28"/>
      <c r="ALF20" s="28"/>
      <c r="ALG20" s="28"/>
      <c r="ALH20" s="28"/>
      <c r="ALI20" s="28"/>
      <c r="ALJ20" s="28"/>
      <c r="ALK20" s="28"/>
      <c r="ALL20" s="28"/>
      <c r="ALM20" s="28"/>
      <c r="ALN20" s="28"/>
      <c r="ALO20" s="28"/>
      <c r="ALP20" s="28"/>
      <c r="ALQ20" s="28"/>
      <c r="ALR20" s="28"/>
      <c r="ALS20" s="28"/>
      <c r="ALT20" s="28"/>
      <c r="ALU20" s="28"/>
      <c r="ALV20" s="28"/>
      <c r="ALW20" s="28"/>
      <c r="ALX20" s="28"/>
      <c r="ALY20" s="28"/>
      <c r="ALZ20" s="28"/>
      <c r="AMA20" s="28"/>
      <c r="AMB20" s="28"/>
      <c r="AMC20" s="28"/>
      <c r="AMD20" s="28"/>
      <c r="AME20" s="28"/>
      <c r="AMF20" s="28"/>
      <c r="AMG20" s="28"/>
      <c r="AMH20" s="28"/>
      <c r="AMI20" s="28"/>
      <c r="AMJ20" s="28"/>
    </row>
    <row r="21" spans="1:1024" s="29" customFormat="1" ht="15.75" customHeight="1" x14ac:dyDescent="0.3">
      <c r="A21" s="593" t="s">
        <v>253</v>
      </c>
      <c r="B21" s="594" t="s">
        <v>254</v>
      </c>
      <c r="C21" s="612"/>
      <c r="D21" s="605"/>
      <c r="E21" s="605"/>
      <c r="F21" s="606"/>
      <c r="G21" s="607"/>
      <c r="H21" s="607"/>
      <c r="I21" s="608"/>
      <c r="J21" s="30"/>
      <c r="K21" s="28"/>
      <c r="L21" s="28"/>
      <c r="M21" s="28"/>
      <c r="N21" s="28"/>
      <c r="O21" s="28"/>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c r="BV21" s="28"/>
      <c r="BW21" s="28"/>
      <c r="BX21" s="28"/>
      <c r="BY21" s="28"/>
      <c r="BZ21" s="28"/>
      <c r="CA21" s="28"/>
      <c r="CB21" s="28"/>
      <c r="CC21" s="28"/>
      <c r="CD21" s="28"/>
      <c r="CE21" s="28"/>
      <c r="CF21" s="28"/>
      <c r="CG21" s="28"/>
      <c r="CH21" s="28"/>
      <c r="CI21" s="28"/>
      <c r="CJ21" s="28"/>
      <c r="CK21" s="28"/>
      <c r="CL21" s="28"/>
      <c r="CM21" s="28"/>
      <c r="CN21" s="28"/>
      <c r="CO21" s="28"/>
      <c r="CP21" s="28"/>
      <c r="CQ21" s="28"/>
      <c r="CR21" s="28"/>
      <c r="CS21" s="28"/>
      <c r="CT21" s="28"/>
      <c r="CU21" s="28"/>
      <c r="CV21" s="28"/>
      <c r="CW21" s="28"/>
      <c r="CX21" s="28"/>
      <c r="CY21" s="28"/>
      <c r="CZ21" s="28"/>
      <c r="DA21" s="28"/>
      <c r="DB21" s="28"/>
      <c r="DC21" s="28"/>
      <c r="DD21" s="28"/>
      <c r="DE21" s="28"/>
      <c r="DF21" s="28"/>
      <c r="DG21" s="28"/>
      <c r="DH21" s="28"/>
      <c r="DI21" s="28"/>
      <c r="DJ21" s="28"/>
      <c r="DK21" s="28"/>
      <c r="DL21" s="28"/>
      <c r="DM21" s="28"/>
      <c r="DN21" s="28"/>
      <c r="DO21" s="28"/>
      <c r="DP21" s="28"/>
      <c r="DQ21" s="28"/>
      <c r="DR21" s="28"/>
      <c r="DS21" s="28"/>
      <c r="DT21" s="28"/>
      <c r="DU21" s="28"/>
      <c r="DV21" s="28"/>
      <c r="DW21" s="28"/>
      <c r="DX21" s="28"/>
      <c r="DY21" s="28"/>
      <c r="DZ21" s="28"/>
      <c r="EA21" s="28"/>
      <c r="EB21" s="28"/>
      <c r="EC21" s="28"/>
      <c r="ED21" s="28"/>
      <c r="EE21" s="28"/>
      <c r="EF21" s="28"/>
      <c r="EG21" s="28"/>
      <c r="EH21" s="28"/>
      <c r="EI21" s="28"/>
      <c r="EJ21" s="28"/>
      <c r="EK21" s="28"/>
      <c r="EL21" s="28"/>
      <c r="EM21" s="28"/>
      <c r="EN21" s="28"/>
      <c r="EO21" s="28"/>
      <c r="EP21" s="28"/>
      <c r="EQ21" s="28"/>
      <c r="ER21" s="28"/>
      <c r="ES21" s="28"/>
      <c r="ET21" s="28"/>
      <c r="EU21" s="28"/>
      <c r="EV21" s="28"/>
      <c r="EW21" s="28"/>
      <c r="EX21" s="28"/>
      <c r="EY21" s="28"/>
      <c r="EZ21" s="28"/>
      <c r="FA21" s="28"/>
      <c r="AIQ21" s="28"/>
      <c r="AIR21" s="28"/>
      <c r="AIS21" s="28"/>
      <c r="AIT21" s="28"/>
      <c r="AIU21" s="28"/>
      <c r="AIV21" s="28"/>
      <c r="AIW21" s="28"/>
      <c r="AIX21" s="28"/>
      <c r="AIY21" s="28"/>
      <c r="AIZ21" s="28"/>
      <c r="AJA21" s="28"/>
      <c r="AJB21" s="28"/>
      <c r="AJC21" s="28"/>
      <c r="AJD21" s="28"/>
      <c r="AJE21" s="28"/>
      <c r="AJF21" s="28"/>
      <c r="AJG21" s="28"/>
      <c r="AJH21" s="28"/>
      <c r="AJI21" s="28"/>
      <c r="AJJ21" s="28"/>
      <c r="AJK21" s="28"/>
      <c r="AJL21" s="28"/>
      <c r="AJM21" s="28"/>
      <c r="AJN21" s="28"/>
      <c r="AJO21" s="28"/>
      <c r="AJP21" s="28"/>
      <c r="AJQ21" s="28"/>
      <c r="AJR21" s="28"/>
      <c r="AJS21" s="28"/>
      <c r="AJT21" s="28"/>
      <c r="AJU21" s="28"/>
      <c r="AJV21" s="28"/>
      <c r="AJW21" s="28"/>
      <c r="AJX21" s="28"/>
      <c r="AJY21" s="28"/>
      <c r="AJZ21" s="28"/>
      <c r="AKA21" s="28"/>
      <c r="AKB21" s="28"/>
      <c r="AKC21" s="28"/>
      <c r="AKD21" s="28"/>
      <c r="AKE21" s="28"/>
      <c r="AKF21" s="28"/>
      <c r="AKG21" s="28"/>
      <c r="AKH21" s="28"/>
      <c r="AKI21" s="28"/>
      <c r="AKJ21" s="28"/>
      <c r="AKK21" s="28"/>
      <c r="AKL21" s="28"/>
      <c r="AKM21" s="28"/>
      <c r="AKN21" s="28"/>
      <c r="AKO21" s="28"/>
      <c r="AKP21" s="28"/>
      <c r="AKQ21" s="28"/>
      <c r="AKR21" s="28"/>
      <c r="AKS21" s="28"/>
      <c r="AKT21" s="28"/>
      <c r="AKU21" s="28"/>
      <c r="AKV21" s="28"/>
      <c r="AKW21" s="28"/>
      <c r="AKX21" s="28"/>
      <c r="AKY21" s="28"/>
      <c r="AKZ21" s="28"/>
      <c r="ALA21" s="28"/>
      <c r="ALB21" s="28"/>
      <c r="ALC21" s="28"/>
      <c r="ALD21" s="28"/>
      <c r="ALE21" s="28"/>
      <c r="ALF21" s="28"/>
      <c r="ALG21" s="28"/>
      <c r="ALH21" s="28"/>
      <c r="ALI21" s="28"/>
      <c r="ALJ21" s="28"/>
      <c r="ALK21" s="28"/>
      <c r="ALL21" s="28"/>
      <c r="ALM21" s="28"/>
      <c r="ALN21" s="28"/>
      <c r="ALO21" s="28"/>
      <c r="ALP21" s="28"/>
      <c r="ALQ21" s="28"/>
      <c r="ALR21" s="28"/>
      <c r="ALS21" s="28"/>
      <c r="ALT21" s="28"/>
      <c r="ALU21" s="28"/>
      <c r="ALV21" s="28"/>
      <c r="ALW21" s="28"/>
      <c r="ALX21" s="28"/>
      <c r="ALY21" s="28"/>
      <c r="ALZ21" s="28"/>
      <c r="AMA21" s="28"/>
      <c r="AMB21" s="28"/>
      <c r="AMC21" s="28"/>
      <c r="AMD21" s="28"/>
      <c r="AME21" s="28"/>
      <c r="AMF21" s="28"/>
      <c r="AMG21" s="28"/>
      <c r="AMH21" s="28"/>
      <c r="AMI21" s="28"/>
      <c r="AMJ21" s="28"/>
    </row>
    <row r="22" spans="1:1024" s="29" customFormat="1" ht="15.75" customHeight="1" x14ac:dyDescent="0.3">
      <c r="A22" s="600"/>
      <c r="B22" s="601" t="s">
        <v>255</v>
      </c>
      <c r="C22" s="602"/>
      <c r="D22" s="602"/>
      <c r="E22" s="602"/>
      <c r="F22" s="604" t="s">
        <v>223</v>
      </c>
      <c r="G22" s="453" t="s">
        <v>256</v>
      </c>
      <c r="H22" s="453" t="s">
        <v>256</v>
      </c>
      <c r="I22" s="461"/>
      <c r="J22" s="30"/>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c r="BV22" s="28"/>
      <c r="BW22" s="28"/>
      <c r="BX22" s="28"/>
      <c r="BY22" s="28"/>
      <c r="BZ22" s="28"/>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c r="DA22" s="28"/>
      <c r="DB22" s="28"/>
      <c r="DC22" s="28"/>
      <c r="DD22" s="28"/>
      <c r="DE22" s="28"/>
      <c r="DF22" s="28"/>
      <c r="DG22" s="28"/>
      <c r="DH22" s="28"/>
      <c r="DI22" s="28"/>
      <c r="DJ22" s="28"/>
      <c r="DK22" s="28"/>
      <c r="DL22" s="28"/>
      <c r="DM22" s="28"/>
      <c r="DN22" s="28"/>
      <c r="DO22" s="28"/>
      <c r="DP22" s="28"/>
      <c r="DQ22" s="28"/>
      <c r="DR22" s="28"/>
      <c r="DS22" s="28"/>
      <c r="DT22" s="28"/>
      <c r="DU22" s="28"/>
      <c r="DV22" s="28"/>
      <c r="DW22" s="28"/>
      <c r="DX22" s="28"/>
      <c r="DY22" s="28"/>
      <c r="DZ22" s="28"/>
      <c r="EA22" s="28"/>
      <c r="EB22" s="28"/>
      <c r="EC22" s="28"/>
      <c r="ED22" s="28"/>
      <c r="EE22" s="28"/>
      <c r="EF22" s="28"/>
      <c r="EG22" s="28"/>
      <c r="EH22" s="28"/>
      <c r="EI22" s="28"/>
      <c r="EJ22" s="28"/>
      <c r="EK22" s="28"/>
      <c r="EL22" s="28"/>
      <c r="EM22" s="28"/>
      <c r="EN22" s="28"/>
      <c r="EO22" s="28"/>
      <c r="EP22" s="28"/>
      <c r="EQ22" s="28"/>
      <c r="ER22" s="28"/>
      <c r="ES22" s="28"/>
      <c r="ET22" s="28"/>
      <c r="EU22" s="28"/>
      <c r="EV22" s="28"/>
      <c r="EW22" s="28"/>
      <c r="EX22" s="28"/>
      <c r="EY22" s="28"/>
      <c r="EZ22" s="28"/>
      <c r="FA22" s="28"/>
      <c r="AIQ22" s="28"/>
      <c r="AIR22" s="28"/>
      <c r="AIS22" s="28"/>
      <c r="AIT22" s="28"/>
      <c r="AIU22" s="28"/>
      <c r="AIV22" s="28"/>
      <c r="AIW22" s="28"/>
      <c r="AIX22" s="28"/>
      <c r="AIY22" s="28"/>
      <c r="AIZ22" s="28"/>
      <c r="AJA22" s="28"/>
      <c r="AJB22" s="28"/>
      <c r="AJC22" s="28"/>
      <c r="AJD22" s="28"/>
      <c r="AJE22" s="28"/>
      <c r="AJF22" s="28"/>
      <c r="AJG22" s="28"/>
      <c r="AJH22" s="28"/>
      <c r="AJI22" s="28"/>
      <c r="AJJ22" s="28"/>
      <c r="AJK22" s="28"/>
      <c r="AJL22" s="28"/>
      <c r="AJM22" s="28"/>
      <c r="AJN22" s="28"/>
      <c r="AJO22" s="28"/>
      <c r="AJP22" s="28"/>
      <c r="AJQ22" s="28"/>
      <c r="AJR22" s="28"/>
      <c r="AJS22" s="28"/>
      <c r="AJT22" s="28"/>
      <c r="AJU22" s="28"/>
      <c r="AJV22" s="28"/>
      <c r="AJW22" s="28"/>
      <c r="AJX22" s="28"/>
      <c r="AJY22" s="28"/>
      <c r="AJZ22" s="28"/>
      <c r="AKA22" s="28"/>
      <c r="AKB22" s="28"/>
      <c r="AKC22" s="28"/>
      <c r="AKD22" s="28"/>
      <c r="AKE22" s="28"/>
      <c r="AKF22" s="28"/>
      <c r="AKG22" s="28"/>
      <c r="AKH22" s="28"/>
      <c r="AKI22" s="28"/>
      <c r="AKJ22" s="28"/>
      <c r="AKK22" s="28"/>
      <c r="AKL22" s="28"/>
      <c r="AKM22" s="28"/>
      <c r="AKN22" s="28"/>
      <c r="AKO22" s="28"/>
      <c r="AKP22" s="28"/>
      <c r="AKQ22" s="28"/>
      <c r="AKR22" s="28"/>
      <c r="AKS22" s="28"/>
      <c r="AKT22" s="28"/>
      <c r="AKU22" s="28"/>
      <c r="AKV22" s="28"/>
      <c r="AKW22" s="28"/>
      <c r="AKX22" s="28"/>
      <c r="AKY22" s="28"/>
      <c r="AKZ22" s="28"/>
      <c r="ALA22" s="28"/>
      <c r="ALB22" s="28"/>
      <c r="ALC22" s="28"/>
      <c r="ALD22" s="28"/>
      <c r="ALE22" s="28"/>
      <c r="ALF22" s="28"/>
      <c r="ALG22" s="28"/>
      <c r="ALH22" s="28"/>
      <c r="ALI22" s="28"/>
      <c r="ALJ22" s="28"/>
      <c r="ALK22" s="28"/>
      <c r="ALL22" s="28"/>
      <c r="ALM22" s="28"/>
      <c r="ALN22" s="28"/>
      <c r="ALO22" s="28"/>
      <c r="ALP22" s="28"/>
      <c r="ALQ22" s="28"/>
      <c r="ALR22" s="28"/>
      <c r="ALS22" s="28"/>
      <c r="ALT22" s="28"/>
      <c r="ALU22" s="28"/>
      <c r="ALV22" s="28"/>
      <c r="ALW22" s="28"/>
      <c r="ALX22" s="28"/>
      <c r="ALY22" s="28"/>
      <c r="ALZ22" s="28"/>
      <c r="AMA22" s="28"/>
      <c r="AMB22" s="28"/>
      <c r="AMC22" s="28"/>
      <c r="AMD22" s="28"/>
      <c r="AME22" s="28"/>
      <c r="AMF22" s="28"/>
      <c r="AMG22" s="28"/>
      <c r="AMH22" s="28"/>
      <c r="AMI22" s="28"/>
      <c r="AMJ22" s="28"/>
    </row>
    <row r="23" spans="1:1024" s="29" customFormat="1" ht="15.75" customHeight="1" x14ac:dyDescent="0.3">
      <c r="A23" s="600"/>
      <c r="B23" s="601" t="s">
        <v>257</v>
      </c>
      <c r="C23" s="602"/>
      <c r="D23" s="602"/>
      <c r="E23" s="602"/>
      <c r="F23" s="604" t="s">
        <v>223</v>
      </c>
      <c r="G23" s="453" t="s">
        <v>256</v>
      </c>
      <c r="H23" s="453" t="s">
        <v>256</v>
      </c>
      <c r="I23" s="461"/>
      <c r="J23" s="30"/>
      <c r="K23" s="28"/>
      <c r="L23" s="28"/>
      <c r="M23" s="28"/>
      <c r="N23" s="28"/>
      <c r="O23" s="28"/>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8"/>
      <c r="BB23" s="28"/>
      <c r="BC23" s="28"/>
      <c r="BD23" s="28"/>
      <c r="BE23" s="28"/>
      <c r="BF23" s="28"/>
      <c r="BG23" s="28"/>
      <c r="BH23" s="28"/>
      <c r="BI23" s="28"/>
      <c r="BJ23" s="28"/>
      <c r="BK23" s="28"/>
      <c r="BL23" s="28"/>
      <c r="BM23" s="28"/>
      <c r="BN23" s="28"/>
      <c r="BO23" s="28"/>
      <c r="BP23" s="28"/>
      <c r="BQ23" s="28"/>
      <c r="BR23" s="28"/>
      <c r="BS23" s="28"/>
      <c r="BT23" s="28"/>
      <c r="BU23" s="28"/>
      <c r="BV23" s="28"/>
      <c r="BW23" s="28"/>
      <c r="BX23" s="28"/>
      <c r="BY23" s="28"/>
      <c r="BZ23" s="28"/>
      <c r="CA23" s="28"/>
      <c r="CB23" s="28"/>
      <c r="CC23" s="28"/>
      <c r="CD23" s="28"/>
      <c r="CE23" s="28"/>
      <c r="CF23" s="28"/>
      <c r="CG23" s="28"/>
      <c r="CH23" s="28"/>
      <c r="CI23" s="28"/>
      <c r="CJ23" s="28"/>
      <c r="CK23" s="28"/>
      <c r="CL23" s="28"/>
      <c r="CM23" s="28"/>
      <c r="CN23" s="28"/>
      <c r="CO23" s="28"/>
      <c r="CP23" s="28"/>
      <c r="CQ23" s="28"/>
      <c r="CR23" s="28"/>
      <c r="CS23" s="28"/>
      <c r="CT23" s="28"/>
      <c r="CU23" s="28"/>
      <c r="CV23" s="28"/>
      <c r="CW23" s="28"/>
      <c r="CX23" s="28"/>
      <c r="CY23" s="28"/>
      <c r="CZ23" s="28"/>
      <c r="DA23" s="28"/>
      <c r="DB23" s="28"/>
      <c r="DC23" s="28"/>
      <c r="DD23" s="28"/>
      <c r="DE23" s="28"/>
      <c r="DF23" s="28"/>
      <c r="DG23" s="28"/>
      <c r="DH23" s="28"/>
      <c r="DI23" s="28"/>
      <c r="DJ23" s="28"/>
      <c r="DK23" s="28"/>
      <c r="DL23" s="28"/>
      <c r="DM23" s="28"/>
      <c r="DN23" s="28"/>
      <c r="DO23" s="28"/>
      <c r="DP23" s="28"/>
      <c r="DQ23" s="28"/>
      <c r="DR23" s="28"/>
      <c r="DS23" s="28"/>
      <c r="DT23" s="28"/>
      <c r="DU23" s="28"/>
      <c r="DV23" s="28"/>
      <c r="DW23" s="28"/>
      <c r="DX23" s="28"/>
      <c r="DY23" s="28"/>
      <c r="DZ23" s="28"/>
      <c r="EA23" s="28"/>
      <c r="EB23" s="28"/>
      <c r="EC23" s="28"/>
      <c r="ED23" s="28"/>
      <c r="EE23" s="28"/>
      <c r="EF23" s="28"/>
      <c r="EG23" s="28"/>
      <c r="EH23" s="28"/>
      <c r="EI23" s="28"/>
      <c r="EJ23" s="28"/>
      <c r="EK23" s="28"/>
      <c r="EL23" s="28"/>
      <c r="EM23" s="28"/>
      <c r="EN23" s="28"/>
      <c r="EO23" s="28"/>
      <c r="EP23" s="28"/>
      <c r="EQ23" s="28"/>
      <c r="ER23" s="28"/>
      <c r="ES23" s="28"/>
      <c r="ET23" s="28"/>
      <c r="EU23" s="28"/>
      <c r="EV23" s="28"/>
      <c r="EW23" s="28"/>
      <c r="EX23" s="28"/>
      <c r="EY23" s="28"/>
      <c r="EZ23" s="28"/>
      <c r="FA23" s="28"/>
      <c r="AIQ23" s="28"/>
      <c r="AIR23" s="28"/>
      <c r="AIS23" s="28"/>
      <c r="AIT23" s="28"/>
      <c r="AIU23" s="28"/>
      <c r="AIV23" s="28"/>
      <c r="AIW23" s="28"/>
      <c r="AIX23" s="28"/>
      <c r="AIY23" s="28"/>
      <c r="AIZ23" s="28"/>
      <c r="AJA23" s="28"/>
      <c r="AJB23" s="28"/>
      <c r="AJC23" s="28"/>
      <c r="AJD23" s="28"/>
      <c r="AJE23" s="28"/>
      <c r="AJF23" s="28"/>
      <c r="AJG23" s="28"/>
      <c r="AJH23" s="28"/>
      <c r="AJI23" s="28"/>
      <c r="AJJ23" s="28"/>
      <c r="AJK23" s="28"/>
      <c r="AJL23" s="28"/>
      <c r="AJM23" s="28"/>
      <c r="AJN23" s="28"/>
      <c r="AJO23" s="28"/>
      <c r="AJP23" s="28"/>
      <c r="AJQ23" s="28"/>
      <c r="AJR23" s="28"/>
      <c r="AJS23" s="28"/>
      <c r="AJT23" s="28"/>
      <c r="AJU23" s="28"/>
      <c r="AJV23" s="28"/>
      <c r="AJW23" s="28"/>
      <c r="AJX23" s="28"/>
      <c r="AJY23" s="28"/>
      <c r="AJZ23" s="28"/>
      <c r="AKA23" s="28"/>
      <c r="AKB23" s="28"/>
      <c r="AKC23" s="28"/>
      <c r="AKD23" s="28"/>
      <c r="AKE23" s="28"/>
      <c r="AKF23" s="28"/>
      <c r="AKG23" s="28"/>
      <c r="AKH23" s="28"/>
      <c r="AKI23" s="28"/>
      <c r="AKJ23" s="28"/>
      <c r="AKK23" s="28"/>
      <c r="AKL23" s="28"/>
      <c r="AKM23" s="28"/>
      <c r="AKN23" s="28"/>
      <c r="AKO23" s="28"/>
      <c r="AKP23" s="28"/>
      <c r="AKQ23" s="28"/>
      <c r="AKR23" s="28"/>
      <c r="AKS23" s="28"/>
      <c r="AKT23" s="28"/>
      <c r="AKU23" s="28"/>
      <c r="AKV23" s="28"/>
      <c r="AKW23" s="28"/>
      <c r="AKX23" s="28"/>
      <c r="AKY23" s="28"/>
      <c r="AKZ23" s="28"/>
      <c r="ALA23" s="28"/>
      <c r="ALB23" s="28"/>
      <c r="ALC23" s="28"/>
      <c r="ALD23" s="28"/>
      <c r="ALE23" s="28"/>
      <c r="ALF23" s="28"/>
      <c r="ALG23" s="28"/>
      <c r="ALH23" s="28"/>
      <c r="ALI23" s="28"/>
      <c r="ALJ23" s="28"/>
      <c r="ALK23" s="28"/>
      <c r="ALL23" s="28"/>
      <c r="ALM23" s="28"/>
      <c r="ALN23" s="28"/>
      <c r="ALO23" s="28"/>
      <c r="ALP23" s="28"/>
      <c r="ALQ23" s="28"/>
      <c r="ALR23" s="28"/>
      <c r="ALS23" s="28"/>
      <c r="ALT23" s="28"/>
      <c r="ALU23" s="28"/>
      <c r="ALV23" s="28"/>
      <c r="ALW23" s="28"/>
      <c r="ALX23" s="28"/>
      <c r="ALY23" s="28"/>
      <c r="ALZ23" s="28"/>
      <c r="AMA23" s="28"/>
      <c r="AMB23" s="28"/>
      <c r="AMC23" s="28"/>
      <c r="AMD23" s="28"/>
      <c r="AME23" s="28"/>
      <c r="AMF23" s="28"/>
      <c r="AMG23" s="28"/>
      <c r="AMH23" s="28"/>
      <c r="AMI23" s="28"/>
      <c r="AMJ23" s="28"/>
    </row>
    <row r="24" spans="1:1024" s="29" customFormat="1" ht="15.75" customHeight="1" x14ac:dyDescent="0.3">
      <c r="A24" s="600"/>
      <c r="B24" s="601" t="s">
        <v>258</v>
      </c>
      <c r="C24" s="602"/>
      <c r="D24" s="602"/>
      <c r="E24" s="602"/>
      <c r="F24" s="602" t="s">
        <v>223</v>
      </c>
      <c r="G24" s="453" t="s">
        <v>256</v>
      </c>
      <c r="H24" s="453" t="s">
        <v>259</v>
      </c>
      <c r="I24" s="461"/>
      <c r="J24" s="30"/>
      <c r="K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c r="BD24" s="28"/>
      <c r="BE24" s="28"/>
      <c r="BF24" s="28"/>
      <c r="BG24" s="28"/>
      <c r="BH24" s="28"/>
      <c r="BI24" s="28"/>
      <c r="BJ24" s="28"/>
      <c r="BK24" s="28"/>
      <c r="BL24" s="28"/>
      <c r="BM24" s="28"/>
      <c r="BN24" s="28"/>
      <c r="BO24" s="28"/>
      <c r="BP24" s="28"/>
      <c r="BQ24" s="28"/>
      <c r="BR24" s="28"/>
      <c r="BS24" s="28"/>
      <c r="BT24" s="28"/>
      <c r="BU24" s="28"/>
      <c r="BV24" s="28"/>
      <c r="BW24" s="28"/>
      <c r="BX24" s="28"/>
      <c r="BY24" s="28"/>
      <c r="BZ24" s="28"/>
      <c r="CA24" s="28"/>
      <c r="CB24" s="28"/>
      <c r="CC24" s="28"/>
      <c r="CD24" s="28"/>
      <c r="CE24" s="28"/>
      <c r="CF24" s="28"/>
      <c r="CG24" s="28"/>
      <c r="CH24" s="28"/>
      <c r="CI24" s="28"/>
      <c r="CJ24" s="28"/>
      <c r="CK24" s="28"/>
      <c r="CL24" s="28"/>
      <c r="CM24" s="28"/>
      <c r="CN24" s="28"/>
      <c r="CO24" s="28"/>
      <c r="CP24" s="28"/>
      <c r="CQ24" s="28"/>
      <c r="CR24" s="28"/>
      <c r="CS24" s="28"/>
      <c r="CT24" s="28"/>
      <c r="CU24" s="28"/>
      <c r="CV24" s="28"/>
      <c r="CW24" s="28"/>
      <c r="CX24" s="28"/>
      <c r="CY24" s="28"/>
      <c r="CZ24" s="28"/>
      <c r="DA24" s="28"/>
      <c r="DB24" s="28"/>
      <c r="DC24" s="28"/>
      <c r="DD24" s="28"/>
      <c r="DE24" s="28"/>
      <c r="DF24" s="28"/>
      <c r="DG24" s="28"/>
      <c r="DH24" s="28"/>
      <c r="DI24" s="28"/>
      <c r="DJ24" s="28"/>
      <c r="DK24" s="28"/>
      <c r="DL24" s="28"/>
      <c r="DM24" s="28"/>
      <c r="DN24" s="28"/>
      <c r="DO24" s="28"/>
      <c r="DP24" s="28"/>
      <c r="DQ24" s="28"/>
      <c r="DR24" s="28"/>
      <c r="DS24" s="28"/>
      <c r="DT24" s="28"/>
      <c r="DU24" s="28"/>
      <c r="DV24" s="28"/>
      <c r="DW24" s="28"/>
      <c r="DX24" s="28"/>
      <c r="DY24" s="28"/>
      <c r="DZ24" s="28"/>
      <c r="EA24" s="28"/>
      <c r="EB24" s="28"/>
      <c r="EC24" s="28"/>
      <c r="ED24" s="28"/>
      <c r="EE24" s="28"/>
      <c r="EF24" s="28"/>
      <c r="EG24" s="28"/>
      <c r="EH24" s="28"/>
      <c r="EI24" s="28"/>
      <c r="EJ24" s="28"/>
      <c r="EK24" s="28"/>
      <c r="EL24" s="28"/>
      <c r="EM24" s="28"/>
      <c r="EN24" s="28"/>
      <c r="EO24" s="28"/>
      <c r="EP24" s="28"/>
      <c r="EQ24" s="28"/>
      <c r="ER24" s="28"/>
      <c r="ES24" s="28"/>
      <c r="ET24" s="28"/>
      <c r="EU24" s="28"/>
      <c r="EV24" s="28"/>
      <c r="EW24" s="28"/>
      <c r="EX24" s="28"/>
      <c r="EY24" s="28"/>
      <c r="EZ24" s="28"/>
      <c r="FA24" s="28"/>
      <c r="AIQ24" s="28"/>
      <c r="AIR24" s="28"/>
      <c r="AIS24" s="28"/>
      <c r="AIT24" s="28"/>
      <c r="AIU24" s="28"/>
      <c r="AIV24" s="28"/>
      <c r="AIW24" s="28"/>
      <c r="AIX24" s="28"/>
      <c r="AIY24" s="28"/>
      <c r="AIZ24" s="28"/>
      <c r="AJA24" s="28"/>
      <c r="AJB24" s="28"/>
      <c r="AJC24" s="28"/>
      <c r="AJD24" s="28"/>
      <c r="AJE24" s="28"/>
      <c r="AJF24" s="28"/>
      <c r="AJG24" s="28"/>
      <c r="AJH24" s="28"/>
      <c r="AJI24" s="28"/>
      <c r="AJJ24" s="28"/>
      <c r="AJK24" s="28"/>
      <c r="AJL24" s="28"/>
      <c r="AJM24" s="28"/>
      <c r="AJN24" s="28"/>
      <c r="AJO24" s="28"/>
      <c r="AJP24" s="28"/>
      <c r="AJQ24" s="28"/>
      <c r="AJR24" s="28"/>
      <c r="AJS24" s="28"/>
      <c r="AJT24" s="28"/>
      <c r="AJU24" s="28"/>
      <c r="AJV24" s="28"/>
      <c r="AJW24" s="28"/>
      <c r="AJX24" s="28"/>
      <c r="AJY24" s="28"/>
      <c r="AJZ24" s="28"/>
      <c r="AKA24" s="28"/>
      <c r="AKB24" s="28"/>
      <c r="AKC24" s="28"/>
      <c r="AKD24" s="28"/>
      <c r="AKE24" s="28"/>
      <c r="AKF24" s="28"/>
      <c r="AKG24" s="28"/>
      <c r="AKH24" s="28"/>
      <c r="AKI24" s="28"/>
      <c r="AKJ24" s="28"/>
      <c r="AKK24" s="28"/>
      <c r="AKL24" s="28"/>
      <c r="AKM24" s="28"/>
      <c r="AKN24" s="28"/>
      <c r="AKO24" s="28"/>
      <c r="AKP24" s="28"/>
      <c r="AKQ24" s="28"/>
      <c r="AKR24" s="28"/>
      <c r="AKS24" s="28"/>
      <c r="AKT24" s="28"/>
      <c r="AKU24" s="28"/>
      <c r="AKV24" s="28"/>
      <c r="AKW24" s="28"/>
      <c r="AKX24" s="28"/>
      <c r="AKY24" s="28"/>
      <c r="AKZ24" s="28"/>
      <c r="ALA24" s="28"/>
      <c r="ALB24" s="28"/>
      <c r="ALC24" s="28"/>
      <c r="ALD24" s="28"/>
      <c r="ALE24" s="28"/>
      <c r="ALF24" s="28"/>
      <c r="ALG24" s="28"/>
      <c r="ALH24" s="28"/>
      <c r="ALI24" s="28"/>
      <c r="ALJ24" s="28"/>
      <c r="ALK24" s="28"/>
      <c r="ALL24" s="28"/>
      <c r="ALM24" s="28"/>
      <c r="ALN24" s="28"/>
      <c r="ALO24" s="28"/>
      <c r="ALP24" s="28"/>
      <c r="ALQ24" s="28"/>
      <c r="ALR24" s="28"/>
      <c r="ALS24" s="28"/>
      <c r="ALT24" s="28"/>
      <c r="ALU24" s="28"/>
      <c r="ALV24" s="28"/>
      <c r="ALW24" s="28"/>
      <c r="ALX24" s="28"/>
      <c r="ALY24" s="28"/>
      <c r="ALZ24" s="28"/>
      <c r="AMA24" s="28"/>
      <c r="AMB24" s="28"/>
      <c r="AMC24" s="28"/>
      <c r="AMD24" s="28"/>
      <c r="AME24" s="28"/>
      <c r="AMF24" s="28"/>
      <c r="AMG24" s="28"/>
      <c r="AMH24" s="28"/>
      <c r="AMI24" s="28"/>
      <c r="AMJ24" s="28"/>
    </row>
    <row r="25" spans="1:1024" s="29" customFormat="1" ht="15.75" customHeight="1" x14ac:dyDescent="0.3">
      <c r="A25" s="593" t="s">
        <v>260</v>
      </c>
      <c r="B25" s="594" t="s">
        <v>261</v>
      </c>
      <c r="C25" s="612"/>
      <c r="D25" s="605"/>
      <c r="E25" s="605"/>
      <c r="F25" s="606"/>
      <c r="G25" s="607"/>
      <c r="H25" s="607"/>
      <c r="I25" s="608"/>
      <c r="J25" s="30"/>
      <c r="K25" s="28"/>
      <c r="L25" s="28"/>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c r="BT25" s="28"/>
      <c r="BU25" s="28"/>
      <c r="BV25" s="28"/>
      <c r="BW25" s="28"/>
      <c r="BX25" s="28"/>
      <c r="BY25" s="28"/>
      <c r="BZ25" s="28"/>
      <c r="CA25" s="28"/>
      <c r="CB25" s="28"/>
      <c r="CC25" s="28"/>
      <c r="CD25" s="28"/>
      <c r="CE25" s="28"/>
      <c r="CF25" s="28"/>
      <c r="CG25" s="28"/>
      <c r="CH25" s="28"/>
      <c r="CI25" s="28"/>
      <c r="CJ25" s="28"/>
      <c r="CK25" s="28"/>
      <c r="CL25" s="28"/>
      <c r="CM25" s="28"/>
      <c r="CN25" s="28"/>
      <c r="CO25" s="28"/>
      <c r="CP25" s="28"/>
      <c r="CQ25" s="28"/>
      <c r="CR25" s="28"/>
      <c r="CS25" s="28"/>
      <c r="CT25" s="28"/>
      <c r="CU25" s="28"/>
      <c r="CV25" s="28"/>
      <c r="CW25" s="28"/>
      <c r="CX25" s="28"/>
      <c r="CY25" s="28"/>
      <c r="CZ25" s="28"/>
      <c r="DA25" s="28"/>
      <c r="DB25" s="28"/>
      <c r="DC25" s="28"/>
      <c r="DD25" s="28"/>
      <c r="DE25" s="28"/>
      <c r="DF25" s="28"/>
      <c r="DG25" s="28"/>
      <c r="DH25" s="28"/>
      <c r="DI25" s="28"/>
      <c r="DJ25" s="28"/>
      <c r="DK25" s="28"/>
      <c r="DL25" s="28"/>
      <c r="DM25" s="28"/>
      <c r="DN25" s="28"/>
      <c r="DO25" s="28"/>
      <c r="DP25" s="28"/>
      <c r="DQ25" s="28"/>
      <c r="DR25" s="28"/>
      <c r="DS25" s="28"/>
      <c r="DT25" s="28"/>
      <c r="DU25" s="28"/>
      <c r="DV25" s="28"/>
      <c r="DW25" s="28"/>
      <c r="DX25" s="28"/>
      <c r="DY25" s="28"/>
      <c r="DZ25" s="28"/>
      <c r="EA25" s="28"/>
      <c r="EB25" s="28"/>
      <c r="EC25" s="28"/>
      <c r="ED25" s="28"/>
      <c r="EE25" s="28"/>
      <c r="EF25" s="28"/>
      <c r="EG25" s="28"/>
      <c r="EH25" s="28"/>
      <c r="EI25" s="28"/>
      <c r="EJ25" s="28"/>
      <c r="EK25" s="28"/>
      <c r="EL25" s="28"/>
      <c r="EM25" s="28"/>
      <c r="EN25" s="28"/>
      <c r="EO25" s="28"/>
      <c r="EP25" s="28"/>
      <c r="EQ25" s="28"/>
      <c r="ER25" s="28"/>
      <c r="ES25" s="28"/>
      <c r="ET25" s="28"/>
      <c r="EU25" s="28"/>
      <c r="EV25" s="28"/>
      <c r="EW25" s="28"/>
      <c r="EX25" s="28"/>
      <c r="EY25" s="28"/>
      <c r="EZ25" s="28"/>
      <c r="FA25" s="28"/>
      <c r="AIQ25" s="28"/>
      <c r="AIR25" s="28"/>
      <c r="AIS25" s="28"/>
      <c r="AIT25" s="28"/>
      <c r="AIU25" s="28"/>
      <c r="AIV25" s="28"/>
      <c r="AIW25" s="28"/>
      <c r="AIX25" s="28"/>
      <c r="AIY25" s="28"/>
      <c r="AIZ25" s="28"/>
      <c r="AJA25" s="28"/>
      <c r="AJB25" s="28"/>
      <c r="AJC25" s="28"/>
      <c r="AJD25" s="28"/>
      <c r="AJE25" s="28"/>
      <c r="AJF25" s="28"/>
      <c r="AJG25" s="28"/>
      <c r="AJH25" s="28"/>
      <c r="AJI25" s="28"/>
      <c r="AJJ25" s="28"/>
      <c r="AJK25" s="28"/>
      <c r="AJL25" s="28"/>
      <c r="AJM25" s="28"/>
      <c r="AJN25" s="28"/>
      <c r="AJO25" s="28"/>
      <c r="AJP25" s="28"/>
      <c r="AJQ25" s="28"/>
      <c r="AJR25" s="28"/>
      <c r="AJS25" s="28"/>
      <c r="AJT25" s="28"/>
      <c r="AJU25" s="28"/>
      <c r="AJV25" s="28"/>
      <c r="AJW25" s="28"/>
      <c r="AJX25" s="28"/>
      <c r="AJY25" s="28"/>
      <c r="AJZ25" s="28"/>
      <c r="AKA25" s="28"/>
      <c r="AKB25" s="28"/>
      <c r="AKC25" s="28"/>
      <c r="AKD25" s="28"/>
      <c r="AKE25" s="28"/>
      <c r="AKF25" s="28"/>
      <c r="AKG25" s="28"/>
      <c r="AKH25" s="28"/>
      <c r="AKI25" s="28"/>
      <c r="AKJ25" s="28"/>
      <c r="AKK25" s="28"/>
      <c r="AKL25" s="28"/>
      <c r="AKM25" s="28"/>
      <c r="AKN25" s="28"/>
      <c r="AKO25" s="28"/>
      <c r="AKP25" s="28"/>
      <c r="AKQ25" s="28"/>
      <c r="AKR25" s="28"/>
      <c r="AKS25" s="28"/>
      <c r="AKT25" s="28"/>
      <c r="AKU25" s="28"/>
      <c r="AKV25" s="28"/>
      <c r="AKW25" s="28"/>
      <c r="AKX25" s="28"/>
      <c r="AKY25" s="28"/>
      <c r="AKZ25" s="28"/>
      <c r="ALA25" s="28"/>
      <c r="ALB25" s="28"/>
      <c r="ALC25" s="28"/>
      <c r="ALD25" s="28"/>
      <c r="ALE25" s="28"/>
      <c r="ALF25" s="28"/>
      <c r="ALG25" s="28"/>
      <c r="ALH25" s="28"/>
      <c r="ALI25" s="28"/>
      <c r="ALJ25" s="28"/>
      <c r="ALK25" s="28"/>
      <c r="ALL25" s="28"/>
      <c r="ALM25" s="28"/>
      <c r="ALN25" s="28"/>
      <c r="ALO25" s="28"/>
      <c r="ALP25" s="28"/>
      <c r="ALQ25" s="28"/>
      <c r="ALR25" s="28"/>
      <c r="ALS25" s="28"/>
      <c r="ALT25" s="28"/>
      <c r="ALU25" s="28"/>
      <c r="ALV25" s="28"/>
      <c r="ALW25" s="28"/>
      <c r="ALX25" s="28"/>
      <c r="ALY25" s="28"/>
      <c r="ALZ25" s="28"/>
      <c r="AMA25" s="28"/>
      <c r="AMB25" s="28"/>
      <c r="AMC25" s="28"/>
      <c r="AMD25" s="28"/>
      <c r="AME25" s="28"/>
      <c r="AMF25" s="28"/>
      <c r="AMG25" s="28"/>
      <c r="AMH25" s="28"/>
      <c r="AMI25" s="28"/>
      <c r="AMJ25" s="28"/>
    </row>
    <row r="26" spans="1:1024" s="29" customFormat="1" ht="15.75" customHeight="1" x14ac:dyDescent="0.3">
      <c r="A26" s="600" t="s">
        <v>222</v>
      </c>
      <c r="B26" s="601" t="s">
        <v>262</v>
      </c>
      <c r="C26" s="602"/>
      <c r="D26" s="602"/>
      <c r="E26" s="602"/>
      <c r="F26" s="604" t="s">
        <v>223</v>
      </c>
      <c r="G26" s="453" t="s">
        <v>227</v>
      </c>
      <c r="H26" s="453" t="s">
        <v>227</v>
      </c>
      <c r="I26" s="461"/>
      <c r="J26" s="30"/>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c r="BP26" s="28"/>
      <c r="BQ26" s="28"/>
      <c r="BR26" s="28"/>
      <c r="BS26" s="28"/>
      <c r="BT26" s="28"/>
      <c r="BU26" s="28"/>
      <c r="BV26" s="28"/>
      <c r="BW26" s="28"/>
      <c r="BX26" s="28"/>
      <c r="BY26" s="28"/>
      <c r="BZ26" s="28"/>
      <c r="CA26" s="28"/>
      <c r="CB26" s="28"/>
      <c r="CC26" s="28"/>
      <c r="CD26" s="28"/>
      <c r="CE26" s="28"/>
      <c r="CF26" s="28"/>
      <c r="CG26" s="28"/>
      <c r="CH26" s="28"/>
      <c r="CI26" s="28"/>
      <c r="CJ26" s="28"/>
      <c r="CK26" s="28"/>
      <c r="CL26" s="28"/>
      <c r="CM26" s="28"/>
      <c r="CN26" s="28"/>
      <c r="CO26" s="28"/>
      <c r="CP26" s="28"/>
      <c r="CQ26" s="28"/>
      <c r="CR26" s="28"/>
      <c r="CS26" s="28"/>
      <c r="CT26" s="28"/>
      <c r="CU26" s="28"/>
      <c r="CV26" s="28"/>
      <c r="CW26" s="28"/>
      <c r="CX26" s="28"/>
      <c r="CY26" s="28"/>
      <c r="CZ26" s="28"/>
      <c r="DA26" s="28"/>
      <c r="DB26" s="28"/>
      <c r="DC26" s="28"/>
      <c r="DD26" s="28"/>
      <c r="DE26" s="28"/>
      <c r="DF26" s="28"/>
      <c r="DG26" s="28"/>
      <c r="DH26" s="28"/>
      <c r="DI26" s="28"/>
      <c r="DJ26" s="28"/>
      <c r="DK26" s="28"/>
      <c r="DL26" s="28"/>
      <c r="DM26" s="28"/>
      <c r="DN26" s="28"/>
      <c r="DO26" s="28"/>
      <c r="DP26" s="28"/>
      <c r="DQ26" s="28"/>
      <c r="DR26" s="28"/>
      <c r="DS26" s="28"/>
      <c r="DT26" s="28"/>
      <c r="DU26" s="28"/>
      <c r="DV26" s="28"/>
      <c r="DW26" s="28"/>
      <c r="DX26" s="28"/>
      <c r="DY26" s="28"/>
      <c r="DZ26" s="28"/>
      <c r="EA26" s="28"/>
      <c r="EB26" s="28"/>
      <c r="EC26" s="28"/>
      <c r="ED26" s="28"/>
      <c r="EE26" s="28"/>
      <c r="EF26" s="28"/>
      <c r="EG26" s="28"/>
      <c r="EH26" s="28"/>
      <c r="EI26" s="28"/>
      <c r="EJ26" s="28"/>
      <c r="EK26" s="28"/>
      <c r="EL26" s="28"/>
      <c r="EM26" s="28"/>
      <c r="EN26" s="28"/>
      <c r="EO26" s="28"/>
      <c r="EP26" s="28"/>
      <c r="EQ26" s="28"/>
      <c r="ER26" s="28"/>
      <c r="ES26" s="28"/>
      <c r="ET26" s="28"/>
      <c r="EU26" s="28"/>
      <c r="EV26" s="28"/>
      <c r="EW26" s="28"/>
      <c r="EX26" s="28"/>
      <c r="EY26" s="28"/>
      <c r="EZ26" s="28"/>
      <c r="FA26" s="28"/>
      <c r="AIQ26" s="28"/>
      <c r="AIR26" s="28"/>
      <c r="AIS26" s="28"/>
      <c r="AIT26" s="28"/>
      <c r="AIU26" s="28"/>
      <c r="AIV26" s="28"/>
      <c r="AIW26" s="28"/>
      <c r="AIX26" s="28"/>
      <c r="AIY26" s="28"/>
      <c r="AIZ26" s="28"/>
      <c r="AJA26" s="28"/>
      <c r="AJB26" s="28"/>
      <c r="AJC26" s="28"/>
      <c r="AJD26" s="28"/>
      <c r="AJE26" s="28"/>
      <c r="AJF26" s="28"/>
      <c r="AJG26" s="28"/>
      <c r="AJH26" s="28"/>
      <c r="AJI26" s="28"/>
      <c r="AJJ26" s="28"/>
      <c r="AJK26" s="28"/>
      <c r="AJL26" s="28"/>
      <c r="AJM26" s="28"/>
      <c r="AJN26" s="28"/>
      <c r="AJO26" s="28"/>
      <c r="AJP26" s="28"/>
      <c r="AJQ26" s="28"/>
      <c r="AJR26" s="28"/>
      <c r="AJS26" s="28"/>
      <c r="AJT26" s="28"/>
      <c r="AJU26" s="28"/>
      <c r="AJV26" s="28"/>
      <c r="AJW26" s="28"/>
      <c r="AJX26" s="28"/>
      <c r="AJY26" s="28"/>
      <c r="AJZ26" s="28"/>
      <c r="AKA26" s="28"/>
      <c r="AKB26" s="28"/>
      <c r="AKC26" s="28"/>
      <c r="AKD26" s="28"/>
      <c r="AKE26" s="28"/>
      <c r="AKF26" s="28"/>
      <c r="AKG26" s="28"/>
      <c r="AKH26" s="28"/>
      <c r="AKI26" s="28"/>
      <c r="AKJ26" s="28"/>
      <c r="AKK26" s="28"/>
      <c r="AKL26" s="28"/>
      <c r="AKM26" s="28"/>
      <c r="AKN26" s="28"/>
      <c r="AKO26" s="28"/>
      <c r="AKP26" s="28"/>
      <c r="AKQ26" s="28"/>
      <c r="AKR26" s="28"/>
      <c r="AKS26" s="28"/>
      <c r="AKT26" s="28"/>
      <c r="AKU26" s="28"/>
      <c r="AKV26" s="28"/>
      <c r="AKW26" s="28"/>
      <c r="AKX26" s="28"/>
      <c r="AKY26" s="28"/>
      <c r="AKZ26" s="28"/>
      <c r="ALA26" s="28"/>
      <c r="ALB26" s="28"/>
      <c r="ALC26" s="28"/>
      <c r="ALD26" s="28"/>
      <c r="ALE26" s="28"/>
      <c r="ALF26" s="28"/>
      <c r="ALG26" s="28"/>
      <c r="ALH26" s="28"/>
      <c r="ALI26" s="28"/>
      <c r="ALJ26" s="28"/>
      <c r="ALK26" s="28"/>
      <c r="ALL26" s="28"/>
      <c r="ALM26" s="28"/>
      <c r="ALN26" s="28"/>
      <c r="ALO26" s="28"/>
      <c r="ALP26" s="28"/>
      <c r="ALQ26" s="28"/>
      <c r="ALR26" s="28"/>
      <c r="ALS26" s="28"/>
      <c r="ALT26" s="28"/>
      <c r="ALU26" s="28"/>
      <c r="ALV26" s="28"/>
      <c r="ALW26" s="28"/>
      <c r="ALX26" s="28"/>
      <c r="ALY26" s="28"/>
      <c r="ALZ26" s="28"/>
      <c r="AMA26" s="28"/>
      <c r="AMB26" s="28"/>
      <c r="AMC26" s="28"/>
      <c r="AMD26" s="28"/>
      <c r="AME26" s="28"/>
      <c r="AMF26" s="28"/>
      <c r="AMG26" s="28"/>
      <c r="AMH26" s="28"/>
      <c r="AMI26" s="28"/>
      <c r="AMJ26" s="28"/>
    </row>
    <row r="27" spans="1:1024" s="29" customFormat="1" ht="15.75" customHeight="1" x14ac:dyDescent="0.3">
      <c r="A27" s="600" t="s">
        <v>222</v>
      </c>
      <c r="B27" s="601" t="s">
        <v>263</v>
      </c>
      <c r="C27" s="602"/>
      <c r="D27" s="602"/>
      <c r="E27" s="602"/>
      <c r="F27" s="604" t="s">
        <v>223</v>
      </c>
      <c r="G27" s="453" t="s">
        <v>227</v>
      </c>
      <c r="H27" s="453" t="s">
        <v>227</v>
      </c>
      <c r="I27" s="461"/>
      <c r="J27" s="30"/>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8"/>
      <c r="BA27" s="28"/>
      <c r="BB27" s="28"/>
      <c r="BC27" s="28"/>
      <c r="BD27" s="28"/>
      <c r="BE27" s="28"/>
      <c r="BF27" s="28"/>
      <c r="BG27" s="28"/>
      <c r="BH27" s="28"/>
      <c r="BI27" s="28"/>
      <c r="BJ27" s="28"/>
      <c r="BK27" s="28"/>
      <c r="BL27" s="28"/>
      <c r="BM27" s="28"/>
      <c r="BN27" s="28"/>
      <c r="BO27" s="28"/>
      <c r="BP27" s="28"/>
      <c r="BQ27" s="28"/>
      <c r="BR27" s="28"/>
      <c r="BS27" s="28"/>
      <c r="BT27" s="28"/>
      <c r="BU27" s="28"/>
      <c r="BV27" s="28"/>
      <c r="BW27" s="28"/>
      <c r="BX27" s="28"/>
      <c r="BY27" s="28"/>
      <c r="BZ27" s="28"/>
      <c r="CA27" s="28"/>
      <c r="CB27" s="28"/>
      <c r="CC27" s="28"/>
      <c r="CD27" s="28"/>
      <c r="CE27" s="28"/>
      <c r="CF27" s="28"/>
      <c r="CG27" s="28"/>
      <c r="CH27" s="28"/>
      <c r="CI27" s="28"/>
      <c r="CJ27" s="28"/>
      <c r="CK27" s="28"/>
      <c r="CL27" s="28"/>
      <c r="CM27" s="28"/>
      <c r="CN27" s="28"/>
      <c r="CO27" s="28"/>
      <c r="CP27" s="28"/>
      <c r="CQ27" s="28"/>
      <c r="CR27" s="28"/>
      <c r="CS27" s="28"/>
      <c r="CT27" s="28"/>
      <c r="CU27" s="28"/>
      <c r="CV27" s="28"/>
      <c r="CW27" s="28"/>
      <c r="CX27" s="28"/>
      <c r="CY27" s="28"/>
      <c r="CZ27" s="28"/>
      <c r="DA27" s="28"/>
      <c r="DB27" s="28"/>
      <c r="DC27" s="28"/>
      <c r="DD27" s="28"/>
      <c r="DE27" s="28"/>
      <c r="DF27" s="28"/>
      <c r="DG27" s="28"/>
      <c r="DH27" s="28"/>
      <c r="DI27" s="28"/>
      <c r="DJ27" s="28"/>
      <c r="DK27" s="28"/>
      <c r="DL27" s="28"/>
      <c r="DM27" s="28"/>
      <c r="DN27" s="28"/>
      <c r="DO27" s="28"/>
      <c r="DP27" s="28"/>
      <c r="DQ27" s="28"/>
      <c r="DR27" s="28"/>
      <c r="DS27" s="28"/>
      <c r="DT27" s="28"/>
      <c r="DU27" s="28"/>
      <c r="DV27" s="28"/>
      <c r="DW27" s="28"/>
      <c r="DX27" s="28"/>
      <c r="DY27" s="28"/>
      <c r="DZ27" s="28"/>
      <c r="EA27" s="28"/>
      <c r="EB27" s="28"/>
      <c r="EC27" s="28"/>
      <c r="ED27" s="28"/>
      <c r="EE27" s="28"/>
      <c r="EF27" s="28"/>
      <c r="EG27" s="28"/>
      <c r="EH27" s="28"/>
      <c r="EI27" s="28"/>
      <c r="EJ27" s="28"/>
      <c r="EK27" s="28"/>
      <c r="EL27" s="28"/>
      <c r="EM27" s="28"/>
      <c r="EN27" s="28"/>
      <c r="EO27" s="28"/>
      <c r="EP27" s="28"/>
      <c r="EQ27" s="28"/>
      <c r="ER27" s="28"/>
      <c r="ES27" s="28"/>
      <c r="ET27" s="28"/>
      <c r="EU27" s="28"/>
      <c r="EV27" s="28"/>
      <c r="EW27" s="28"/>
      <c r="EX27" s="28"/>
      <c r="EY27" s="28"/>
      <c r="EZ27" s="28"/>
      <c r="FA27" s="28"/>
      <c r="AIQ27" s="28"/>
      <c r="AIR27" s="28"/>
      <c r="AIS27" s="28"/>
      <c r="AIT27" s="28"/>
      <c r="AIU27" s="28"/>
      <c r="AIV27" s="28"/>
      <c r="AIW27" s="28"/>
      <c r="AIX27" s="28"/>
      <c r="AIY27" s="28"/>
      <c r="AIZ27" s="28"/>
      <c r="AJA27" s="28"/>
      <c r="AJB27" s="28"/>
      <c r="AJC27" s="28"/>
      <c r="AJD27" s="28"/>
      <c r="AJE27" s="28"/>
      <c r="AJF27" s="28"/>
      <c r="AJG27" s="28"/>
      <c r="AJH27" s="28"/>
      <c r="AJI27" s="28"/>
      <c r="AJJ27" s="28"/>
      <c r="AJK27" s="28"/>
      <c r="AJL27" s="28"/>
      <c r="AJM27" s="28"/>
      <c r="AJN27" s="28"/>
      <c r="AJO27" s="28"/>
      <c r="AJP27" s="28"/>
      <c r="AJQ27" s="28"/>
      <c r="AJR27" s="28"/>
      <c r="AJS27" s="28"/>
      <c r="AJT27" s="28"/>
      <c r="AJU27" s="28"/>
      <c r="AJV27" s="28"/>
      <c r="AJW27" s="28"/>
      <c r="AJX27" s="28"/>
      <c r="AJY27" s="28"/>
      <c r="AJZ27" s="28"/>
      <c r="AKA27" s="28"/>
      <c r="AKB27" s="28"/>
      <c r="AKC27" s="28"/>
      <c r="AKD27" s="28"/>
      <c r="AKE27" s="28"/>
      <c r="AKF27" s="28"/>
      <c r="AKG27" s="28"/>
      <c r="AKH27" s="28"/>
      <c r="AKI27" s="28"/>
      <c r="AKJ27" s="28"/>
      <c r="AKK27" s="28"/>
      <c r="AKL27" s="28"/>
      <c r="AKM27" s="28"/>
      <c r="AKN27" s="28"/>
      <c r="AKO27" s="28"/>
      <c r="AKP27" s="28"/>
      <c r="AKQ27" s="28"/>
      <c r="AKR27" s="28"/>
      <c r="AKS27" s="28"/>
      <c r="AKT27" s="28"/>
      <c r="AKU27" s="28"/>
      <c r="AKV27" s="28"/>
      <c r="AKW27" s="28"/>
      <c r="AKX27" s="28"/>
      <c r="AKY27" s="28"/>
      <c r="AKZ27" s="28"/>
      <c r="ALA27" s="28"/>
      <c r="ALB27" s="28"/>
      <c r="ALC27" s="28"/>
      <c r="ALD27" s="28"/>
      <c r="ALE27" s="28"/>
      <c r="ALF27" s="28"/>
      <c r="ALG27" s="28"/>
      <c r="ALH27" s="28"/>
      <c r="ALI27" s="28"/>
      <c r="ALJ27" s="28"/>
      <c r="ALK27" s="28"/>
      <c r="ALL27" s="28"/>
      <c r="ALM27" s="28"/>
      <c r="ALN27" s="28"/>
      <c r="ALO27" s="28"/>
      <c r="ALP27" s="28"/>
      <c r="ALQ27" s="28"/>
      <c r="ALR27" s="28"/>
      <c r="ALS27" s="28"/>
      <c r="ALT27" s="28"/>
      <c r="ALU27" s="28"/>
      <c r="ALV27" s="28"/>
      <c r="ALW27" s="28"/>
      <c r="ALX27" s="28"/>
      <c r="ALY27" s="28"/>
      <c r="ALZ27" s="28"/>
      <c r="AMA27" s="28"/>
      <c r="AMB27" s="28"/>
      <c r="AMC27" s="28"/>
      <c r="AMD27" s="28"/>
      <c r="AME27" s="28"/>
      <c r="AMF27" s="28"/>
      <c r="AMG27" s="28"/>
      <c r="AMH27" s="28"/>
      <c r="AMI27" s="28"/>
      <c r="AMJ27" s="28"/>
    </row>
    <row r="28" spans="1:1024" s="29" customFormat="1" ht="15.75" customHeight="1" x14ac:dyDescent="0.3">
      <c r="A28" s="593" t="s">
        <v>264</v>
      </c>
      <c r="B28" s="594" t="s">
        <v>265</v>
      </c>
      <c r="C28" s="612"/>
      <c r="D28" s="605"/>
      <c r="E28" s="605"/>
      <c r="F28" s="606"/>
      <c r="G28" s="607"/>
      <c r="H28" s="607"/>
      <c r="I28" s="608"/>
      <c r="J28" s="30"/>
      <c r="K28" s="28"/>
      <c r="L28" s="28"/>
      <c r="M28" s="28"/>
      <c r="N28" s="28"/>
      <c r="O28" s="28"/>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28"/>
      <c r="AZ28" s="28"/>
      <c r="BA28" s="28"/>
      <c r="BB28" s="28"/>
      <c r="BC28" s="28"/>
      <c r="BD28" s="28"/>
      <c r="BE28" s="28"/>
      <c r="BF28" s="28"/>
      <c r="BG28" s="28"/>
      <c r="BH28" s="28"/>
      <c r="BI28" s="28"/>
      <c r="BJ28" s="28"/>
      <c r="BK28" s="28"/>
      <c r="BL28" s="28"/>
      <c r="BM28" s="28"/>
      <c r="BN28" s="28"/>
      <c r="BO28" s="28"/>
      <c r="BP28" s="28"/>
      <c r="BQ28" s="28"/>
      <c r="BR28" s="28"/>
      <c r="BS28" s="28"/>
      <c r="BT28" s="28"/>
      <c r="BU28" s="28"/>
      <c r="BV28" s="28"/>
      <c r="BW28" s="28"/>
      <c r="BX28" s="28"/>
      <c r="BY28" s="28"/>
      <c r="BZ28" s="28"/>
      <c r="CA28" s="28"/>
      <c r="CB28" s="28"/>
      <c r="CC28" s="28"/>
      <c r="CD28" s="28"/>
      <c r="CE28" s="28"/>
      <c r="CF28" s="28"/>
      <c r="CG28" s="28"/>
      <c r="CH28" s="28"/>
      <c r="CI28" s="28"/>
      <c r="CJ28" s="28"/>
      <c r="CK28" s="28"/>
      <c r="CL28" s="28"/>
      <c r="CM28" s="28"/>
      <c r="CN28" s="28"/>
      <c r="CO28" s="28"/>
      <c r="CP28" s="28"/>
      <c r="CQ28" s="28"/>
      <c r="CR28" s="28"/>
      <c r="CS28" s="28"/>
      <c r="CT28" s="28"/>
      <c r="CU28" s="28"/>
      <c r="CV28" s="28"/>
      <c r="CW28" s="28"/>
      <c r="CX28" s="28"/>
      <c r="CY28" s="28"/>
      <c r="CZ28" s="28"/>
      <c r="DA28" s="28"/>
      <c r="DB28" s="28"/>
      <c r="DC28" s="28"/>
      <c r="DD28" s="28"/>
      <c r="DE28" s="28"/>
      <c r="DF28" s="28"/>
      <c r="DG28" s="28"/>
      <c r="DH28" s="28"/>
      <c r="DI28" s="28"/>
      <c r="DJ28" s="28"/>
      <c r="DK28" s="28"/>
      <c r="DL28" s="28"/>
      <c r="DM28" s="28"/>
      <c r="DN28" s="28"/>
      <c r="DO28" s="28"/>
      <c r="DP28" s="28"/>
      <c r="DQ28" s="28"/>
      <c r="DR28" s="28"/>
      <c r="DS28" s="28"/>
      <c r="DT28" s="28"/>
      <c r="DU28" s="28"/>
      <c r="DV28" s="28"/>
      <c r="DW28" s="28"/>
      <c r="DX28" s="28"/>
      <c r="DY28" s="28"/>
      <c r="DZ28" s="28"/>
      <c r="EA28" s="28"/>
      <c r="EB28" s="28"/>
      <c r="EC28" s="28"/>
      <c r="ED28" s="28"/>
      <c r="EE28" s="28"/>
      <c r="EF28" s="28"/>
      <c r="EG28" s="28"/>
      <c r="EH28" s="28"/>
      <c r="EI28" s="28"/>
      <c r="EJ28" s="28"/>
      <c r="EK28" s="28"/>
      <c r="EL28" s="28"/>
      <c r="EM28" s="28"/>
      <c r="EN28" s="28"/>
      <c r="EO28" s="28"/>
      <c r="EP28" s="28"/>
      <c r="EQ28" s="28"/>
      <c r="ER28" s="28"/>
      <c r="ES28" s="28"/>
      <c r="ET28" s="28"/>
      <c r="EU28" s="28"/>
      <c r="EV28" s="28"/>
      <c r="EW28" s="28"/>
      <c r="EX28" s="28"/>
      <c r="EY28" s="28"/>
      <c r="EZ28" s="28"/>
      <c r="FA28" s="28"/>
      <c r="AIQ28" s="28"/>
      <c r="AIR28" s="28"/>
      <c r="AIS28" s="28"/>
      <c r="AIT28" s="28"/>
      <c r="AIU28" s="28"/>
      <c r="AIV28" s="28"/>
      <c r="AIW28" s="28"/>
      <c r="AIX28" s="28"/>
      <c r="AIY28" s="28"/>
      <c r="AIZ28" s="28"/>
      <c r="AJA28" s="28"/>
      <c r="AJB28" s="28"/>
      <c r="AJC28" s="28"/>
      <c r="AJD28" s="28"/>
      <c r="AJE28" s="28"/>
      <c r="AJF28" s="28"/>
      <c r="AJG28" s="28"/>
      <c r="AJH28" s="28"/>
      <c r="AJI28" s="28"/>
      <c r="AJJ28" s="28"/>
      <c r="AJK28" s="28"/>
      <c r="AJL28" s="28"/>
      <c r="AJM28" s="28"/>
      <c r="AJN28" s="28"/>
      <c r="AJO28" s="28"/>
      <c r="AJP28" s="28"/>
      <c r="AJQ28" s="28"/>
      <c r="AJR28" s="28"/>
      <c r="AJS28" s="28"/>
      <c r="AJT28" s="28"/>
      <c r="AJU28" s="28"/>
      <c r="AJV28" s="28"/>
      <c r="AJW28" s="28"/>
      <c r="AJX28" s="28"/>
      <c r="AJY28" s="28"/>
      <c r="AJZ28" s="28"/>
      <c r="AKA28" s="28"/>
      <c r="AKB28" s="28"/>
      <c r="AKC28" s="28"/>
      <c r="AKD28" s="28"/>
      <c r="AKE28" s="28"/>
      <c r="AKF28" s="28"/>
      <c r="AKG28" s="28"/>
      <c r="AKH28" s="28"/>
      <c r="AKI28" s="28"/>
      <c r="AKJ28" s="28"/>
      <c r="AKK28" s="28"/>
      <c r="AKL28" s="28"/>
      <c r="AKM28" s="28"/>
      <c r="AKN28" s="28"/>
      <c r="AKO28" s="28"/>
      <c r="AKP28" s="28"/>
      <c r="AKQ28" s="28"/>
      <c r="AKR28" s="28"/>
      <c r="AKS28" s="28"/>
      <c r="AKT28" s="28"/>
      <c r="AKU28" s="28"/>
      <c r="AKV28" s="28"/>
      <c r="AKW28" s="28"/>
      <c r="AKX28" s="28"/>
      <c r="AKY28" s="28"/>
      <c r="AKZ28" s="28"/>
      <c r="ALA28" s="28"/>
      <c r="ALB28" s="28"/>
      <c r="ALC28" s="28"/>
      <c r="ALD28" s="28"/>
      <c r="ALE28" s="28"/>
      <c r="ALF28" s="28"/>
      <c r="ALG28" s="28"/>
      <c r="ALH28" s="28"/>
      <c r="ALI28" s="28"/>
      <c r="ALJ28" s="28"/>
      <c r="ALK28" s="28"/>
      <c r="ALL28" s="28"/>
      <c r="ALM28" s="28"/>
      <c r="ALN28" s="28"/>
      <c r="ALO28" s="28"/>
      <c r="ALP28" s="28"/>
      <c r="ALQ28" s="28"/>
      <c r="ALR28" s="28"/>
      <c r="ALS28" s="28"/>
      <c r="ALT28" s="28"/>
      <c r="ALU28" s="28"/>
      <c r="ALV28" s="28"/>
      <c r="ALW28" s="28"/>
      <c r="ALX28" s="28"/>
      <c r="ALY28" s="28"/>
      <c r="ALZ28" s="28"/>
      <c r="AMA28" s="28"/>
      <c r="AMB28" s="28"/>
      <c r="AMC28" s="28"/>
      <c r="AMD28" s="28"/>
      <c r="AME28" s="28"/>
      <c r="AMF28" s="28"/>
      <c r="AMG28" s="28"/>
      <c r="AMH28" s="28"/>
      <c r="AMI28" s="28"/>
      <c r="AMJ28" s="28"/>
    </row>
    <row r="29" spans="1:1024" s="29" customFormat="1" ht="15.75" customHeight="1" x14ac:dyDescent="0.3">
      <c r="A29" s="600"/>
      <c r="B29" s="601" t="s">
        <v>266</v>
      </c>
      <c r="C29" s="602"/>
      <c r="D29" s="602"/>
      <c r="E29" s="602"/>
      <c r="F29" s="604" t="s">
        <v>223</v>
      </c>
      <c r="G29" s="453" t="s">
        <v>244</v>
      </c>
      <c r="H29" s="453" t="s">
        <v>244</v>
      </c>
      <c r="I29" s="461"/>
      <c r="J29" s="30"/>
      <c r="K29" s="28"/>
      <c r="L29" s="28"/>
      <c r="M29" s="28"/>
      <c r="N29" s="28"/>
      <c r="O29" s="28"/>
      <c r="P29" s="28"/>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8"/>
      <c r="BA29" s="28"/>
      <c r="BB29" s="28"/>
      <c r="BC29" s="28"/>
      <c r="BD29" s="28"/>
      <c r="BE29" s="28"/>
      <c r="BF29" s="28"/>
      <c r="BG29" s="28"/>
      <c r="BH29" s="28"/>
      <c r="BI29" s="28"/>
      <c r="BJ29" s="28"/>
      <c r="BK29" s="28"/>
      <c r="BL29" s="28"/>
      <c r="BM29" s="28"/>
      <c r="BN29" s="28"/>
      <c r="BO29" s="28"/>
      <c r="BP29" s="28"/>
      <c r="BQ29" s="28"/>
      <c r="BR29" s="28"/>
      <c r="BS29" s="28"/>
      <c r="BT29" s="28"/>
      <c r="BU29" s="28"/>
      <c r="BV29" s="28"/>
      <c r="BW29" s="28"/>
      <c r="BX29" s="28"/>
      <c r="BY29" s="28"/>
      <c r="BZ29" s="28"/>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28"/>
      <c r="DA29" s="28"/>
      <c r="DB29" s="28"/>
      <c r="DC29" s="28"/>
      <c r="DD29" s="28"/>
      <c r="DE29" s="28"/>
      <c r="DF29" s="28"/>
      <c r="DG29" s="28"/>
      <c r="DH29" s="28"/>
      <c r="DI29" s="28"/>
      <c r="DJ29" s="28"/>
      <c r="DK29" s="28"/>
      <c r="DL29" s="28"/>
      <c r="DM29" s="28"/>
      <c r="DN29" s="28"/>
      <c r="DO29" s="28"/>
      <c r="DP29" s="28"/>
      <c r="DQ29" s="28"/>
      <c r="DR29" s="28"/>
      <c r="DS29" s="28"/>
      <c r="DT29" s="28"/>
      <c r="DU29" s="28"/>
      <c r="DV29" s="28"/>
      <c r="DW29" s="28"/>
      <c r="DX29" s="28"/>
      <c r="DY29" s="28"/>
      <c r="DZ29" s="28"/>
      <c r="EA29" s="28"/>
      <c r="EB29" s="28"/>
      <c r="EC29" s="28"/>
      <c r="ED29" s="28"/>
      <c r="EE29" s="28"/>
      <c r="EF29" s="28"/>
      <c r="EG29" s="28"/>
      <c r="EH29" s="28"/>
      <c r="EI29" s="28"/>
      <c r="EJ29" s="28"/>
      <c r="EK29" s="28"/>
      <c r="EL29" s="28"/>
      <c r="EM29" s="28"/>
      <c r="EN29" s="28"/>
      <c r="EO29" s="28"/>
      <c r="EP29" s="28"/>
      <c r="EQ29" s="28"/>
      <c r="ER29" s="28"/>
      <c r="ES29" s="28"/>
      <c r="ET29" s="28"/>
      <c r="EU29" s="28"/>
      <c r="EV29" s="28"/>
      <c r="EW29" s="28"/>
      <c r="EX29" s="28"/>
      <c r="EY29" s="28"/>
      <c r="EZ29" s="28"/>
      <c r="FA29" s="28"/>
      <c r="AIQ29" s="28"/>
      <c r="AIR29" s="28"/>
      <c r="AIS29" s="28"/>
      <c r="AIT29" s="28"/>
      <c r="AIU29" s="28"/>
      <c r="AIV29" s="28"/>
      <c r="AIW29" s="28"/>
      <c r="AIX29" s="28"/>
      <c r="AIY29" s="28"/>
      <c r="AIZ29" s="28"/>
      <c r="AJA29" s="28"/>
      <c r="AJB29" s="28"/>
      <c r="AJC29" s="28"/>
      <c r="AJD29" s="28"/>
      <c r="AJE29" s="28"/>
      <c r="AJF29" s="28"/>
      <c r="AJG29" s="28"/>
      <c r="AJH29" s="28"/>
      <c r="AJI29" s="28"/>
      <c r="AJJ29" s="28"/>
      <c r="AJK29" s="28"/>
      <c r="AJL29" s="28"/>
      <c r="AJM29" s="28"/>
      <c r="AJN29" s="28"/>
      <c r="AJO29" s="28"/>
      <c r="AJP29" s="28"/>
      <c r="AJQ29" s="28"/>
      <c r="AJR29" s="28"/>
      <c r="AJS29" s="28"/>
      <c r="AJT29" s="28"/>
      <c r="AJU29" s="28"/>
      <c r="AJV29" s="28"/>
      <c r="AJW29" s="28"/>
      <c r="AJX29" s="28"/>
      <c r="AJY29" s="28"/>
      <c r="AJZ29" s="28"/>
      <c r="AKA29" s="28"/>
      <c r="AKB29" s="28"/>
      <c r="AKC29" s="28"/>
      <c r="AKD29" s="28"/>
      <c r="AKE29" s="28"/>
      <c r="AKF29" s="28"/>
      <c r="AKG29" s="28"/>
      <c r="AKH29" s="28"/>
      <c r="AKI29" s="28"/>
      <c r="AKJ29" s="28"/>
      <c r="AKK29" s="28"/>
      <c r="AKL29" s="28"/>
      <c r="AKM29" s="28"/>
      <c r="AKN29" s="28"/>
      <c r="AKO29" s="28"/>
      <c r="AKP29" s="28"/>
      <c r="AKQ29" s="28"/>
      <c r="AKR29" s="28"/>
      <c r="AKS29" s="28"/>
      <c r="AKT29" s="28"/>
      <c r="AKU29" s="28"/>
      <c r="AKV29" s="28"/>
      <c r="AKW29" s="28"/>
      <c r="AKX29" s="28"/>
      <c r="AKY29" s="28"/>
      <c r="AKZ29" s="28"/>
      <c r="ALA29" s="28"/>
      <c r="ALB29" s="28"/>
      <c r="ALC29" s="28"/>
      <c r="ALD29" s="28"/>
      <c r="ALE29" s="28"/>
      <c r="ALF29" s="28"/>
      <c r="ALG29" s="28"/>
      <c r="ALH29" s="28"/>
      <c r="ALI29" s="28"/>
      <c r="ALJ29" s="28"/>
      <c r="ALK29" s="28"/>
      <c r="ALL29" s="28"/>
      <c r="ALM29" s="28"/>
      <c r="ALN29" s="28"/>
      <c r="ALO29" s="28"/>
      <c r="ALP29" s="28"/>
      <c r="ALQ29" s="28"/>
      <c r="ALR29" s="28"/>
      <c r="ALS29" s="28"/>
      <c r="ALT29" s="28"/>
      <c r="ALU29" s="28"/>
      <c r="ALV29" s="28"/>
      <c r="ALW29" s="28"/>
      <c r="ALX29" s="28"/>
      <c r="ALY29" s="28"/>
      <c r="ALZ29" s="28"/>
      <c r="AMA29" s="28"/>
      <c r="AMB29" s="28"/>
      <c r="AMC29" s="28"/>
      <c r="AMD29" s="28"/>
      <c r="AME29" s="28"/>
      <c r="AMF29" s="28"/>
      <c r="AMG29" s="28"/>
      <c r="AMH29" s="28"/>
      <c r="AMI29" s="28"/>
      <c r="AMJ29" s="28"/>
    </row>
    <row r="30" spans="1:1024" s="29" customFormat="1" ht="15.75" customHeight="1" x14ac:dyDescent="0.3">
      <c r="A30" s="600"/>
      <c r="B30" s="601" t="s">
        <v>267</v>
      </c>
      <c r="C30" s="602"/>
      <c r="D30" s="602"/>
      <c r="E30" s="602"/>
      <c r="F30" s="604" t="s">
        <v>223</v>
      </c>
      <c r="G30" s="453" t="s">
        <v>244</v>
      </c>
      <c r="H30" s="453" t="s">
        <v>244</v>
      </c>
      <c r="I30" s="461"/>
      <c r="J30" s="30"/>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c r="ALN30" s="28"/>
      <c r="ALO30" s="28"/>
      <c r="ALP30" s="28"/>
      <c r="ALQ30" s="28"/>
      <c r="ALR30" s="28"/>
      <c r="ALS30" s="28"/>
      <c r="ALT30" s="28"/>
      <c r="ALU30" s="28"/>
      <c r="ALV30" s="28"/>
      <c r="ALW30" s="28"/>
      <c r="ALX30" s="28"/>
      <c r="ALY30" s="28"/>
      <c r="ALZ30" s="28"/>
      <c r="AMA30" s="28"/>
      <c r="AMB30" s="28"/>
      <c r="AMC30" s="28"/>
      <c r="AMD30" s="28"/>
      <c r="AME30" s="28"/>
      <c r="AMF30" s="28"/>
      <c r="AMG30" s="28"/>
      <c r="AMH30" s="28"/>
      <c r="AMI30" s="28"/>
      <c r="AMJ30" s="28"/>
    </row>
    <row r="31" spans="1:1024" s="29" customFormat="1" ht="15.75" customHeight="1" x14ac:dyDescent="0.3">
      <c r="A31" s="600"/>
      <c r="B31" s="601" t="s">
        <v>268</v>
      </c>
      <c r="C31" s="602"/>
      <c r="D31" s="602"/>
      <c r="E31" s="602"/>
      <c r="F31" s="604" t="s">
        <v>223</v>
      </c>
      <c r="G31" s="453" t="s">
        <v>244</v>
      </c>
      <c r="H31" s="453" t="s">
        <v>244</v>
      </c>
      <c r="I31" s="461"/>
      <c r="J31" s="30"/>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8"/>
      <c r="BA31" s="28"/>
      <c r="BB31" s="28"/>
      <c r="BC31" s="28"/>
      <c r="BD31" s="28"/>
      <c r="BE31" s="28"/>
      <c r="BF31" s="28"/>
      <c r="BG31" s="28"/>
      <c r="BH31" s="28"/>
      <c r="BI31" s="28"/>
      <c r="BJ31" s="28"/>
      <c r="BK31" s="28"/>
      <c r="BL31" s="28"/>
      <c r="BM31" s="28"/>
      <c r="BN31" s="28"/>
      <c r="BO31" s="28"/>
      <c r="BP31" s="28"/>
      <c r="BQ31" s="28"/>
      <c r="BR31" s="28"/>
      <c r="BS31" s="28"/>
      <c r="BT31" s="28"/>
      <c r="BU31" s="28"/>
      <c r="BV31" s="28"/>
      <c r="BW31" s="28"/>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c r="DA31" s="28"/>
      <c r="DB31" s="28"/>
      <c r="DC31" s="28"/>
      <c r="DD31" s="28"/>
      <c r="DE31" s="28"/>
      <c r="DF31" s="28"/>
      <c r="DG31" s="28"/>
      <c r="DH31" s="28"/>
      <c r="DI31" s="28"/>
      <c r="DJ31" s="28"/>
      <c r="DK31" s="28"/>
      <c r="DL31" s="28"/>
      <c r="DM31" s="28"/>
      <c r="DN31" s="28"/>
      <c r="DO31" s="28"/>
      <c r="DP31" s="28"/>
      <c r="DQ31" s="28"/>
      <c r="DR31" s="28"/>
      <c r="DS31" s="28"/>
      <c r="DT31" s="28"/>
      <c r="DU31" s="28"/>
      <c r="DV31" s="28"/>
      <c r="DW31" s="28"/>
      <c r="DX31" s="28"/>
      <c r="DY31" s="28"/>
      <c r="DZ31" s="28"/>
      <c r="EA31" s="28"/>
      <c r="EB31" s="28"/>
      <c r="EC31" s="28"/>
      <c r="ED31" s="28"/>
      <c r="EE31" s="28"/>
      <c r="EF31" s="28"/>
      <c r="EG31" s="28"/>
      <c r="EH31" s="28"/>
      <c r="EI31" s="28"/>
      <c r="EJ31" s="28"/>
      <c r="EK31" s="28"/>
      <c r="EL31" s="28"/>
      <c r="EM31" s="28"/>
      <c r="EN31" s="28"/>
      <c r="EO31" s="28"/>
      <c r="EP31" s="28"/>
      <c r="EQ31" s="28"/>
      <c r="ER31" s="28"/>
      <c r="ES31" s="28"/>
      <c r="ET31" s="28"/>
      <c r="EU31" s="28"/>
      <c r="EV31" s="28"/>
      <c r="EW31" s="28"/>
      <c r="EX31" s="28"/>
      <c r="EY31" s="28"/>
      <c r="EZ31" s="28"/>
      <c r="FA31" s="28"/>
      <c r="AIQ31" s="28"/>
      <c r="AIR31" s="28"/>
      <c r="AIS31" s="28"/>
      <c r="AIT31" s="28"/>
      <c r="AIU31" s="28"/>
      <c r="AIV31" s="28"/>
      <c r="AIW31" s="28"/>
      <c r="AIX31" s="28"/>
      <c r="AIY31" s="28"/>
      <c r="AIZ31" s="28"/>
      <c r="AJA31" s="28"/>
      <c r="AJB31" s="28"/>
      <c r="AJC31" s="28"/>
      <c r="AJD31" s="28"/>
      <c r="AJE31" s="28"/>
      <c r="AJF31" s="28"/>
      <c r="AJG31" s="28"/>
      <c r="AJH31" s="28"/>
      <c r="AJI31" s="28"/>
      <c r="AJJ31" s="28"/>
      <c r="AJK31" s="28"/>
      <c r="AJL31" s="28"/>
      <c r="AJM31" s="28"/>
      <c r="AJN31" s="28"/>
      <c r="AJO31" s="28"/>
      <c r="AJP31" s="28"/>
      <c r="AJQ31" s="28"/>
      <c r="AJR31" s="28"/>
      <c r="AJS31" s="28"/>
      <c r="AJT31" s="28"/>
      <c r="AJU31" s="28"/>
      <c r="AJV31" s="28"/>
      <c r="AJW31" s="28"/>
      <c r="AJX31" s="28"/>
      <c r="AJY31" s="28"/>
      <c r="AJZ31" s="28"/>
      <c r="AKA31" s="28"/>
      <c r="AKB31" s="28"/>
      <c r="AKC31" s="28"/>
      <c r="AKD31" s="28"/>
      <c r="AKE31" s="28"/>
      <c r="AKF31" s="28"/>
      <c r="AKG31" s="28"/>
      <c r="AKH31" s="28"/>
      <c r="AKI31" s="28"/>
      <c r="AKJ31" s="28"/>
      <c r="AKK31" s="28"/>
      <c r="AKL31" s="28"/>
      <c r="AKM31" s="28"/>
      <c r="AKN31" s="28"/>
      <c r="AKO31" s="28"/>
      <c r="AKP31" s="28"/>
      <c r="AKQ31" s="28"/>
      <c r="AKR31" s="28"/>
      <c r="AKS31" s="28"/>
      <c r="AKT31" s="28"/>
      <c r="AKU31" s="28"/>
      <c r="AKV31" s="28"/>
      <c r="AKW31" s="28"/>
      <c r="AKX31" s="28"/>
      <c r="AKY31" s="28"/>
      <c r="AKZ31" s="28"/>
      <c r="ALA31" s="28"/>
      <c r="ALB31" s="28"/>
      <c r="ALC31" s="28"/>
      <c r="ALD31" s="28"/>
      <c r="ALE31" s="28"/>
      <c r="ALF31" s="28"/>
      <c r="ALG31" s="28"/>
      <c r="ALH31" s="28"/>
      <c r="ALI31" s="28"/>
      <c r="ALJ31" s="28"/>
      <c r="ALK31" s="28"/>
      <c r="ALL31" s="28"/>
      <c r="ALM31" s="28"/>
      <c r="ALN31" s="28"/>
      <c r="ALO31" s="28"/>
      <c r="ALP31" s="28"/>
      <c r="ALQ31" s="28"/>
      <c r="ALR31" s="28"/>
      <c r="ALS31" s="28"/>
      <c r="ALT31" s="28"/>
      <c r="ALU31" s="28"/>
      <c r="ALV31" s="28"/>
      <c r="ALW31" s="28"/>
      <c r="ALX31" s="28"/>
      <c r="ALY31" s="28"/>
      <c r="ALZ31" s="28"/>
      <c r="AMA31" s="28"/>
      <c r="AMB31" s="28"/>
      <c r="AMC31" s="28"/>
      <c r="AMD31" s="28"/>
      <c r="AME31" s="28"/>
      <c r="AMF31" s="28"/>
      <c r="AMG31" s="28"/>
      <c r="AMH31" s="28"/>
      <c r="AMI31" s="28"/>
      <c r="AMJ31" s="28"/>
    </row>
    <row r="32" spans="1:1024" s="29" customFormat="1" ht="15.75" customHeight="1" x14ac:dyDescent="0.3">
      <c r="A32" s="600"/>
      <c r="B32" s="601" t="s">
        <v>269</v>
      </c>
      <c r="C32" s="602"/>
      <c r="D32" s="602"/>
      <c r="E32" s="602"/>
      <c r="F32" s="604" t="s">
        <v>223</v>
      </c>
      <c r="G32" s="453" t="s">
        <v>244</v>
      </c>
      <c r="H32" s="453" t="s">
        <v>244</v>
      </c>
      <c r="I32" s="461"/>
      <c r="J32" s="30"/>
      <c r="K32" s="28"/>
      <c r="L32" s="28"/>
      <c r="M32" s="28"/>
      <c r="N32" s="28"/>
      <c r="O32" s="28"/>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28"/>
      <c r="AW32" s="28"/>
      <c r="AX32" s="28"/>
      <c r="AY32" s="28"/>
      <c r="AZ32" s="28"/>
      <c r="BA32" s="28"/>
      <c r="BB32" s="28"/>
      <c r="BC32" s="28"/>
      <c r="BD32" s="28"/>
      <c r="BE32" s="28"/>
      <c r="BF32" s="28"/>
      <c r="BG32" s="28"/>
      <c r="BH32" s="28"/>
      <c r="BI32" s="28"/>
      <c r="BJ32" s="28"/>
      <c r="BK32" s="28"/>
      <c r="BL32" s="28"/>
      <c r="BM32" s="28"/>
      <c r="BN32" s="28"/>
      <c r="BO32" s="28"/>
      <c r="BP32" s="28"/>
      <c r="BQ32" s="28"/>
      <c r="BR32" s="28"/>
      <c r="BS32" s="28"/>
      <c r="BT32" s="28"/>
      <c r="BU32" s="28"/>
      <c r="BV32" s="28"/>
      <c r="BW32" s="28"/>
      <c r="BX32" s="28"/>
      <c r="BY32" s="28"/>
      <c r="BZ32" s="28"/>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c r="DA32" s="28"/>
      <c r="DB32" s="28"/>
      <c r="DC32" s="28"/>
      <c r="DD32" s="28"/>
      <c r="DE32" s="28"/>
      <c r="DF32" s="28"/>
      <c r="DG32" s="28"/>
      <c r="DH32" s="28"/>
      <c r="DI32" s="28"/>
      <c r="DJ32" s="28"/>
      <c r="DK32" s="28"/>
      <c r="DL32" s="28"/>
      <c r="DM32" s="28"/>
      <c r="DN32" s="28"/>
      <c r="DO32" s="28"/>
      <c r="DP32" s="28"/>
      <c r="DQ32" s="28"/>
      <c r="DR32" s="28"/>
      <c r="DS32" s="28"/>
      <c r="DT32" s="28"/>
      <c r="DU32" s="28"/>
      <c r="DV32" s="28"/>
      <c r="DW32" s="28"/>
      <c r="DX32" s="28"/>
      <c r="DY32" s="28"/>
      <c r="DZ32" s="28"/>
      <c r="EA32" s="28"/>
      <c r="EB32" s="28"/>
      <c r="EC32" s="28"/>
      <c r="ED32" s="28"/>
      <c r="EE32" s="28"/>
      <c r="EF32" s="28"/>
      <c r="EG32" s="28"/>
      <c r="EH32" s="28"/>
      <c r="EI32" s="28"/>
      <c r="EJ32" s="28"/>
      <c r="EK32" s="28"/>
      <c r="EL32" s="28"/>
      <c r="EM32" s="28"/>
      <c r="EN32" s="28"/>
      <c r="EO32" s="28"/>
      <c r="EP32" s="28"/>
      <c r="EQ32" s="28"/>
      <c r="ER32" s="28"/>
      <c r="ES32" s="28"/>
      <c r="ET32" s="28"/>
      <c r="EU32" s="28"/>
      <c r="EV32" s="28"/>
      <c r="EW32" s="28"/>
      <c r="EX32" s="28"/>
      <c r="EY32" s="28"/>
      <c r="EZ32" s="28"/>
      <c r="FA32" s="28"/>
      <c r="AIQ32" s="28"/>
      <c r="AIR32" s="28"/>
      <c r="AIS32" s="28"/>
      <c r="AIT32" s="28"/>
      <c r="AIU32" s="28"/>
      <c r="AIV32" s="28"/>
      <c r="AIW32" s="28"/>
      <c r="AIX32" s="28"/>
      <c r="AIY32" s="28"/>
      <c r="AIZ32" s="28"/>
      <c r="AJA32" s="28"/>
      <c r="AJB32" s="28"/>
      <c r="AJC32" s="28"/>
      <c r="AJD32" s="28"/>
      <c r="AJE32" s="28"/>
      <c r="AJF32" s="28"/>
      <c r="AJG32" s="28"/>
      <c r="AJH32" s="28"/>
      <c r="AJI32" s="28"/>
      <c r="AJJ32" s="28"/>
      <c r="AJK32" s="28"/>
      <c r="AJL32" s="28"/>
      <c r="AJM32" s="28"/>
      <c r="AJN32" s="28"/>
      <c r="AJO32" s="28"/>
      <c r="AJP32" s="28"/>
      <c r="AJQ32" s="28"/>
      <c r="AJR32" s="28"/>
      <c r="AJS32" s="28"/>
      <c r="AJT32" s="28"/>
      <c r="AJU32" s="28"/>
      <c r="AJV32" s="28"/>
      <c r="AJW32" s="28"/>
      <c r="AJX32" s="28"/>
      <c r="AJY32" s="28"/>
      <c r="AJZ32" s="28"/>
      <c r="AKA32" s="28"/>
      <c r="AKB32" s="28"/>
      <c r="AKC32" s="28"/>
      <c r="AKD32" s="28"/>
      <c r="AKE32" s="28"/>
      <c r="AKF32" s="28"/>
      <c r="AKG32" s="28"/>
      <c r="AKH32" s="28"/>
      <c r="AKI32" s="28"/>
      <c r="AKJ32" s="28"/>
      <c r="AKK32" s="28"/>
      <c r="AKL32" s="28"/>
      <c r="AKM32" s="28"/>
      <c r="AKN32" s="28"/>
      <c r="AKO32" s="28"/>
      <c r="AKP32" s="28"/>
      <c r="AKQ32" s="28"/>
      <c r="AKR32" s="28"/>
      <c r="AKS32" s="28"/>
      <c r="AKT32" s="28"/>
      <c r="AKU32" s="28"/>
      <c r="AKV32" s="28"/>
      <c r="AKW32" s="28"/>
      <c r="AKX32" s="28"/>
      <c r="AKY32" s="28"/>
      <c r="AKZ32" s="28"/>
      <c r="ALA32" s="28"/>
      <c r="ALB32" s="28"/>
      <c r="ALC32" s="28"/>
      <c r="ALD32" s="28"/>
      <c r="ALE32" s="28"/>
      <c r="ALF32" s="28"/>
      <c r="ALG32" s="28"/>
      <c r="ALH32" s="28"/>
      <c r="ALI32" s="28"/>
      <c r="ALJ32" s="28"/>
      <c r="ALK32" s="28"/>
      <c r="ALL32" s="28"/>
      <c r="ALM32" s="28"/>
      <c r="ALN32" s="28"/>
      <c r="ALO32" s="28"/>
      <c r="ALP32" s="28"/>
      <c r="ALQ32" s="28"/>
      <c r="ALR32" s="28"/>
      <c r="ALS32" s="28"/>
      <c r="ALT32" s="28"/>
      <c r="ALU32" s="28"/>
      <c r="ALV32" s="28"/>
      <c r="ALW32" s="28"/>
      <c r="ALX32" s="28"/>
      <c r="ALY32" s="28"/>
      <c r="ALZ32" s="28"/>
      <c r="AMA32" s="28"/>
      <c r="AMB32" s="28"/>
      <c r="AMC32" s="28"/>
      <c r="AMD32" s="28"/>
      <c r="AME32" s="28"/>
      <c r="AMF32" s="28"/>
      <c r="AMG32" s="28"/>
      <c r="AMH32" s="28"/>
      <c r="AMI32" s="28"/>
      <c r="AMJ32" s="28"/>
    </row>
    <row r="33" spans="1:1024" s="29" customFormat="1" ht="15.75" customHeight="1" x14ac:dyDescent="0.3">
      <c r="A33" s="600"/>
      <c r="B33" s="601" t="s">
        <v>270</v>
      </c>
      <c r="C33" s="602"/>
      <c r="D33" s="602"/>
      <c r="E33" s="602"/>
      <c r="F33" s="604" t="s">
        <v>223</v>
      </c>
      <c r="G33" s="453" t="s">
        <v>271</v>
      </c>
      <c r="H33" s="453" t="s">
        <v>271</v>
      </c>
      <c r="I33" s="461"/>
      <c r="J33" s="30"/>
      <c r="K33" s="28"/>
      <c r="L33" s="28"/>
      <c r="M33" s="28"/>
      <c r="N33" s="28"/>
      <c r="O33" s="28"/>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c r="BI33" s="28"/>
      <c r="BJ33" s="28"/>
      <c r="BK33" s="28"/>
      <c r="BL33" s="28"/>
      <c r="BM33" s="28"/>
      <c r="BN33" s="28"/>
      <c r="BO33" s="28"/>
      <c r="BP33" s="28"/>
      <c r="BQ33" s="28"/>
      <c r="BR33" s="28"/>
      <c r="BS33" s="28"/>
      <c r="BT33" s="28"/>
      <c r="BU33" s="28"/>
      <c r="BV33" s="28"/>
      <c r="BW33" s="28"/>
      <c r="BX33" s="28"/>
      <c r="BY33" s="28"/>
      <c r="BZ33" s="28"/>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c r="DA33" s="28"/>
      <c r="DB33" s="28"/>
      <c r="DC33" s="28"/>
      <c r="DD33" s="28"/>
      <c r="DE33" s="28"/>
      <c r="DF33" s="28"/>
      <c r="DG33" s="28"/>
      <c r="DH33" s="28"/>
      <c r="DI33" s="28"/>
      <c r="DJ33" s="28"/>
      <c r="DK33" s="28"/>
      <c r="DL33" s="28"/>
      <c r="DM33" s="28"/>
      <c r="DN33" s="28"/>
      <c r="DO33" s="28"/>
      <c r="DP33" s="28"/>
      <c r="DQ33" s="28"/>
      <c r="DR33" s="28"/>
      <c r="DS33" s="28"/>
      <c r="DT33" s="28"/>
      <c r="DU33" s="28"/>
      <c r="DV33" s="28"/>
      <c r="DW33" s="28"/>
      <c r="DX33" s="28"/>
      <c r="DY33" s="28"/>
      <c r="DZ33" s="28"/>
      <c r="EA33" s="28"/>
      <c r="EB33" s="28"/>
      <c r="EC33" s="28"/>
      <c r="ED33" s="28"/>
      <c r="EE33" s="28"/>
      <c r="EF33" s="28"/>
      <c r="EG33" s="28"/>
      <c r="EH33" s="28"/>
      <c r="EI33" s="28"/>
      <c r="EJ33" s="28"/>
      <c r="EK33" s="28"/>
      <c r="EL33" s="28"/>
      <c r="EM33" s="28"/>
      <c r="EN33" s="28"/>
      <c r="EO33" s="28"/>
      <c r="EP33" s="28"/>
      <c r="EQ33" s="28"/>
      <c r="ER33" s="28"/>
      <c r="ES33" s="28"/>
      <c r="ET33" s="28"/>
      <c r="EU33" s="28"/>
      <c r="EV33" s="28"/>
      <c r="EW33" s="28"/>
      <c r="EX33" s="28"/>
      <c r="EY33" s="28"/>
      <c r="EZ33" s="28"/>
      <c r="FA33" s="28"/>
      <c r="AIQ33" s="28"/>
      <c r="AIR33" s="28"/>
      <c r="AIS33" s="28"/>
      <c r="AIT33" s="28"/>
      <c r="AIU33" s="28"/>
      <c r="AIV33" s="28"/>
      <c r="AIW33" s="28"/>
      <c r="AIX33" s="28"/>
      <c r="AIY33" s="28"/>
      <c r="AIZ33" s="28"/>
      <c r="AJA33" s="28"/>
      <c r="AJB33" s="28"/>
      <c r="AJC33" s="28"/>
      <c r="AJD33" s="28"/>
      <c r="AJE33" s="28"/>
      <c r="AJF33" s="28"/>
      <c r="AJG33" s="28"/>
      <c r="AJH33" s="28"/>
      <c r="AJI33" s="28"/>
      <c r="AJJ33" s="28"/>
      <c r="AJK33" s="28"/>
      <c r="AJL33" s="28"/>
      <c r="AJM33" s="28"/>
      <c r="AJN33" s="28"/>
      <c r="AJO33" s="28"/>
      <c r="AJP33" s="28"/>
      <c r="AJQ33" s="28"/>
      <c r="AJR33" s="28"/>
      <c r="AJS33" s="28"/>
      <c r="AJT33" s="28"/>
      <c r="AJU33" s="28"/>
      <c r="AJV33" s="28"/>
      <c r="AJW33" s="28"/>
      <c r="AJX33" s="28"/>
      <c r="AJY33" s="28"/>
      <c r="AJZ33" s="28"/>
      <c r="AKA33" s="28"/>
      <c r="AKB33" s="28"/>
      <c r="AKC33" s="28"/>
      <c r="AKD33" s="28"/>
      <c r="AKE33" s="28"/>
      <c r="AKF33" s="28"/>
      <c r="AKG33" s="28"/>
      <c r="AKH33" s="28"/>
      <c r="AKI33" s="28"/>
      <c r="AKJ33" s="28"/>
      <c r="AKK33" s="28"/>
      <c r="AKL33" s="28"/>
      <c r="AKM33" s="28"/>
      <c r="AKN33" s="28"/>
      <c r="AKO33" s="28"/>
      <c r="AKP33" s="28"/>
      <c r="AKQ33" s="28"/>
      <c r="AKR33" s="28"/>
      <c r="AKS33" s="28"/>
      <c r="AKT33" s="28"/>
      <c r="AKU33" s="28"/>
      <c r="AKV33" s="28"/>
      <c r="AKW33" s="28"/>
      <c r="AKX33" s="28"/>
      <c r="AKY33" s="28"/>
      <c r="AKZ33" s="28"/>
      <c r="ALA33" s="28"/>
      <c r="ALB33" s="28"/>
      <c r="ALC33" s="28"/>
      <c r="ALD33" s="28"/>
      <c r="ALE33" s="28"/>
      <c r="ALF33" s="28"/>
      <c r="ALG33" s="28"/>
      <c r="ALH33" s="28"/>
      <c r="ALI33" s="28"/>
      <c r="ALJ33" s="28"/>
      <c r="ALK33" s="28"/>
      <c r="ALL33" s="28"/>
      <c r="ALM33" s="28"/>
      <c r="ALN33" s="28"/>
      <c r="ALO33" s="28"/>
      <c r="ALP33" s="28"/>
      <c r="ALQ33" s="28"/>
      <c r="ALR33" s="28"/>
      <c r="ALS33" s="28"/>
      <c r="ALT33" s="28"/>
      <c r="ALU33" s="28"/>
      <c r="ALV33" s="28"/>
      <c r="ALW33" s="28"/>
      <c r="ALX33" s="28"/>
      <c r="ALY33" s="28"/>
      <c r="ALZ33" s="28"/>
      <c r="AMA33" s="28"/>
      <c r="AMB33" s="28"/>
      <c r="AMC33" s="28"/>
      <c r="AMD33" s="28"/>
      <c r="AME33" s="28"/>
      <c r="AMF33" s="28"/>
      <c r="AMG33" s="28"/>
      <c r="AMH33" s="28"/>
      <c r="AMI33" s="28"/>
      <c r="AMJ33" s="28"/>
    </row>
    <row r="34" spans="1:1024" s="29" customFormat="1" ht="30" customHeight="1" x14ac:dyDescent="0.3">
      <c r="A34" s="600"/>
      <c r="B34" s="601" t="s">
        <v>272</v>
      </c>
      <c r="C34" s="602"/>
      <c r="D34" s="602"/>
      <c r="E34" s="602"/>
      <c r="F34" s="604" t="s">
        <v>223</v>
      </c>
      <c r="G34" s="453" t="s">
        <v>273</v>
      </c>
      <c r="H34" s="453" t="s">
        <v>274</v>
      </c>
      <c r="I34" s="461"/>
      <c r="J34" s="30"/>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8"/>
      <c r="AW34" s="28"/>
      <c r="AX34" s="28"/>
      <c r="AY34" s="28"/>
      <c r="AZ34" s="28"/>
      <c r="BA34" s="28"/>
      <c r="BB34" s="28"/>
      <c r="BC34" s="28"/>
      <c r="BD34" s="28"/>
      <c r="BE34" s="28"/>
      <c r="BF34" s="28"/>
      <c r="BG34" s="28"/>
      <c r="BH34" s="28"/>
      <c r="BI34" s="28"/>
      <c r="BJ34" s="28"/>
      <c r="BK34" s="28"/>
      <c r="BL34" s="28"/>
      <c r="BM34" s="28"/>
      <c r="BN34" s="28"/>
      <c r="BO34" s="28"/>
      <c r="BP34" s="28"/>
      <c r="BQ34" s="28"/>
      <c r="BR34" s="28"/>
      <c r="BS34" s="28"/>
      <c r="BT34" s="28"/>
      <c r="BU34" s="28"/>
      <c r="BV34" s="28"/>
      <c r="BW34" s="28"/>
      <c r="BX34" s="28"/>
      <c r="BY34" s="28"/>
      <c r="BZ34" s="28"/>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c r="DA34" s="28"/>
      <c r="DB34" s="28"/>
      <c r="DC34" s="28"/>
      <c r="DD34" s="28"/>
      <c r="DE34" s="28"/>
      <c r="DF34" s="28"/>
      <c r="DG34" s="28"/>
      <c r="DH34" s="28"/>
      <c r="DI34" s="28"/>
      <c r="DJ34" s="28"/>
      <c r="DK34" s="28"/>
      <c r="DL34" s="28"/>
      <c r="DM34" s="28"/>
      <c r="DN34" s="28"/>
      <c r="DO34" s="28"/>
      <c r="DP34" s="28"/>
      <c r="DQ34" s="28"/>
      <c r="DR34" s="28"/>
      <c r="DS34" s="28"/>
      <c r="DT34" s="28"/>
      <c r="DU34" s="28"/>
      <c r="DV34" s="28"/>
      <c r="DW34" s="28"/>
      <c r="DX34" s="28"/>
      <c r="DY34" s="28"/>
      <c r="DZ34" s="28"/>
      <c r="EA34" s="28"/>
      <c r="EB34" s="28"/>
      <c r="EC34" s="28"/>
      <c r="ED34" s="28"/>
      <c r="EE34" s="28"/>
      <c r="EF34" s="28"/>
      <c r="EG34" s="28"/>
      <c r="EH34" s="28"/>
      <c r="EI34" s="28"/>
      <c r="EJ34" s="28"/>
      <c r="EK34" s="28"/>
      <c r="EL34" s="28"/>
      <c r="EM34" s="28"/>
      <c r="EN34" s="28"/>
      <c r="EO34" s="28"/>
      <c r="EP34" s="28"/>
      <c r="EQ34" s="28"/>
      <c r="ER34" s="28"/>
      <c r="ES34" s="28"/>
      <c r="ET34" s="28"/>
      <c r="EU34" s="28"/>
      <c r="EV34" s="28"/>
      <c r="EW34" s="28"/>
      <c r="EX34" s="28"/>
      <c r="EY34" s="28"/>
      <c r="EZ34" s="28"/>
      <c r="FA34" s="28"/>
      <c r="AIQ34" s="28"/>
      <c r="AIR34" s="28"/>
      <c r="AIS34" s="28"/>
      <c r="AIT34" s="28"/>
      <c r="AIU34" s="28"/>
      <c r="AIV34" s="28"/>
      <c r="AIW34" s="28"/>
      <c r="AIX34" s="28"/>
      <c r="AIY34" s="28"/>
      <c r="AIZ34" s="28"/>
      <c r="AJA34" s="28"/>
      <c r="AJB34" s="28"/>
      <c r="AJC34" s="28"/>
      <c r="AJD34" s="28"/>
      <c r="AJE34" s="28"/>
      <c r="AJF34" s="28"/>
      <c r="AJG34" s="28"/>
      <c r="AJH34" s="28"/>
      <c r="AJI34" s="28"/>
      <c r="AJJ34" s="28"/>
      <c r="AJK34" s="28"/>
      <c r="AJL34" s="28"/>
      <c r="AJM34" s="28"/>
      <c r="AJN34" s="28"/>
      <c r="AJO34" s="28"/>
      <c r="AJP34" s="28"/>
      <c r="AJQ34" s="28"/>
      <c r="AJR34" s="28"/>
      <c r="AJS34" s="28"/>
      <c r="AJT34" s="28"/>
      <c r="AJU34" s="28"/>
      <c r="AJV34" s="28"/>
      <c r="AJW34" s="28"/>
      <c r="AJX34" s="28"/>
      <c r="AJY34" s="28"/>
      <c r="AJZ34" s="28"/>
      <c r="AKA34" s="28"/>
      <c r="AKB34" s="28"/>
      <c r="AKC34" s="28"/>
      <c r="AKD34" s="28"/>
      <c r="AKE34" s="28"/>
      <c r="AKF34" s="28"/>
      <c r="AKG34" s="28"/>
      <c r="AKH34" s="28"/>
      <c r="AKI34" s="28"/>
      <c r="AKJ34" s="28"/>
      <c r="AKK34" s="28"/>
      <c r="AKL34" s="28"/>
      <c r="AKM34" s="28"/>
      <c r="AKN34" s="28"/>
      <c r="AKO34" s="28"/>
      <c r="AKP34" s="28"/>
      <c r="AKQ34" s="28"/>
      <c r="AKR34" s="28"/>
      <c r="AKS34" s="28"/>
      <c r="AKT34" s="28"/>
      <c r="AKU34" s="28"/>
      <c r="AKV34" s="28"/>
      <c r="AKW34" s="28"/>
      <c r="AKX34" s="28"/>
      <c r="AKY34" s="28"/>
      <c r="AKZ34" s="28"/>
      <c r="ALA34" s="28"/>
      <c r="ALB34" s="28"/>
      <c r="ALC34" s="28"/>
      <c r="ALD34" s="28"/>
      <c r="ALE34" s="28"/>
      <c r="ALF34" s="28"/>
      <c r="ALG34" s="28"/>
      <c r="ALH34" s="28"/>
      <c r="ALI34" s="28"/>
      <c r="ALJ34" s="28"/>
      <c r="ALK34" s="28"/>
      <c r="ALL34" s="28"/>
      <c r="ALM34" s="28"/>
      <c r="ALN34" s="28"/>
      <c r="ALO34" s="28"/>
      <c r="ALP34" s="28"/>
      <c r="ALQ34" s="28"/>
      <c r="ALR34" s="28"/>
      <c r="ALS34" s="28"/>
      <c r="ALT34" s="28"/>
      <c r="ALU34" s="28"/>
      <c r="ALV34" s="28"/>
      <c r="ALW34" s="28"/>
      <c r="ALX34" s="28"/>
      <c r="ALY34" s="28"/>
      <c r="ALZ34" s="28"/>
      <c r="AMA34" s="28"/>
      <c r="AMB34" s="28"/>
      <c r="AMC34" s="28"/>
      <c r="AMD34" s="28"/>
      <c r="AME34" s="28"/>
      <c r="AMF34" s="28"/>
      <c r="AMG34" s="28"/>
      <c r="AMH34" s="28"/>
      <c r="AMI34" s="28"/>
      <c r="AMJ34" s="28"/>
    </row>
    <row r="35" spans="1:1024" s="29" customFormat="1" ht="15.75" customHeight="1" x14ac:dyDescent="0.3">
      <c r="A35" s="593" t="s">
        <v>275</v>
      </c>
      <c r="B35" s="594" t="s">
        <v>276</v>
      </c>
      <c r="C35" s="612"/>
      <c r="D35" s="605"/>
      <c r="E35" s="605"/>
      <c r="F35" s="606"/>
      <c r="G35" s="607"/>
      <c r="H35" s="607"/>
      <c r="I35" s="608"/>
      <c r="J35" s="30"/>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28"/>
      <c r="AW35" s="28"/>
      <c r="AX35" s="28"/>
      <c r="AY35" s="28"/>
      <c r="AZ35" s="28"/>
      <c r="BA35" s="28"/>
      <c r="BB35" s="28"/>
      <c r="BC35" s="28"/>
      <c r="BD35" s="28"/>
      <c r="BE35" s="28"/>
      <c r="BF35" s="28"/>
      <c r="BG35" s="28"/>
      <c r="BH35" s="28"/>
      <c r="BI35" s="28"/>
      <c r="BJ35" s="28"/>
      <c r="BK35" s="28"/>
      <c r="BL35" s="28"/>
      <c r="BM35" s="28"/>
      <c r="BN35" s="28"/>
      <c r="BO35" s="28"/>
      <c r="BP35" s="28"/>
      <c r="BQ35" s="28"/>
      <c r="BR35" s="28"/>
      <c r="BS35" s="28"/>
      <c r="BT35" s="28"/>
      <c r="BU35" s="28"/>
      <c r="BV35" s="28"/>
      <c r="BW35" s="28"/>
      <c r="BX35" s="28"/>
      <c r="BY35" s="28"/>
      <c r="BZ35" s="28"/>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c r="DA35" s="28"/>
      <c r="DB35" s="28"/>
      <c r="DC35" s="28"/>
      <c r="DD35" s="28"/>
      <c r="DE35" s="28"/>
      <c r="DF35" s="28"/>
      <c r="DG35" s="28"/>
      <c r="DH35" s="28"/>
      <c r="DI35" s="28"/>
      <c r="DJ35" s="28"/>
      <c r="DK35" s="28"/>
      <c r="DL35" s="28"/>
      <c r="DM35" s="28"/>
      <c r="DN35" s="28"/>
      <c r="DO35" s="28"/>
      <c r="DP35" s="28"/>
      <c r="DQ35" s="28"/>
      <c r="DR35" s="28"/>
      <c r="DS35" s="28"/>
      <c r="DT35" s="28"/>
      <c r="DU35" s="28"/>
      <c r="DV35" s="28"/>
      <c r="DW35" s="28"/>
      <c r="DX35" s="28"/>
      <c r="DY35" s="28"/>
      <c r="DZ35" s="28"/>
      <c r="EA35" s="28"/>
      <c r="EB35" s="28"/>
      <c r="EC35" s="28"/>
      <c r="ED35" s="28"/>
      <c r="EE35" s="28"/>
      <c r="EF35" s="28"/>
      <c r="EG35" s="28"/>
      <c r="EH35" s="28"/>
      <c r="EI35" s="28"/>
      <c r="EJ35" s="28"/>
      <c r="EK35" s="28"/>
      <c r="EL35" s="28"/>
      <c r="EM35" s="28"/>
      <c r="EN35" s="28"/>
      <c r="EO35" s="28"/>
      <c r="EP35" s="28"/>
      <c r="EQ35" s="28"/>
      <c r="ER35" s="28"/>
      <c r="ES35" s="28"/>
      <c r="ET35" s="28"/>
      <c r="EU35" s="28"/>
      <c r="EV35" s="28"/>
      <c r="EW35" s="28"/>
      <c r="EX35" s="28"/>
      <c r="EY35" s="28"/>
      <c r="EZ35" s="28"/>
      <c r="FA35" s="28"/>
      <c r="AIQ35" s="28"/>
      <c r="AIR35" s="28"/>
      <c r="AIS35" s="28"/>
      <c r="AIT35" s="28"/>
      <c r="AIU35" s="28"/>
      <c r="AIV35" s="28"/>
      <c r="AIW35" s="28"/>
      <c r="AIX35" s="28"/>
      <c r="AIY35" s="28"/>
      <c r="AIZ35" s="28"/>
      <c r="AJA35" s="28"/>
      <c r="AJB35" s="28"/>
      <c r="AJC35" s="28"/>
      <c r="AJD35" s="28"/>
      <c r="AJE35" s="28"/>
      <c r="AJF35" s="28"/>
      <c r="AJG35" s="28"/>
      <c r="AJH35" s="28"/>
      <c r="AJI35" s="28"/>
      <c r="AJJ35" s="28"/>
      <c r="AJK35" s="28"/>
      <c r="AJL35" s="28"/>
      <c r="AJM35" s="28"/>
      <c r="AJN35" s="28"/>
      <c r="AJO35" s="28"/>
      <c r="AJP35" s="28"/>
      <c r="AJQ35" s="28"/>
      <c r="AJR35" s="28"/>
      <c r="AJS35" s="28"/>
      <c r="AJT35" s="28"/>
      <c r="AJU35" s="28"/>
      <c r="AJV35" s="28"/>
      <c r="AJW35" s="28"/>
      <c r="AJX35" s="28"/>
      <c r="AJY35" s="28"/>
      <c r="AJZ35" s="28"/>
      <c r="AKA35" s="28"/>
      <c r="AKB35" s="28"/>
      <c r="AKC35" s="28"/>
      <c r="AKD35" s="28"/>
      <c r="AKE35" s="28"/>
      <c r="AKF35" s="28"/>
      <c r="AKG35" s="28"/>
      <c r="AKH35" s="28"/>
      <c r="AKI35" s="28"/>
      <c r="AKJ35" s="28"/>
      <c r="AKK35" s="28"/>
      <c r="AKL35" s="28"/>
      <c r="AKM35" s="28"/>
      <c r="AKN35" s="28"/>
      <c r="AKO35" s="28"/>
      <c r="AKP35" s="28"/>
      <c r="AKQ35" s="28"/>
      <c r="AKR35" s="28"/>
      <c r="AKS35" s="28"/>
      <c r="AKT35" s="28"/>
      <c r="AKU35" s="28"/>
      <c r="AKV35" s="28"/>
      <c r="AKW35" s="28"/>
      <c r="AKX35" s="28"/>
      <c r="AKY35" s="28"/>
      <c r="AKZ35" s="28"/>
      <c r="ALA35" s="28"/>
      <c r="ALB35" s="28"/>
      <c r="ALC35" s="28"/>
      <c r="ALD35" s="28"/>
      <c r="ALE35" s="28"/>
      <c r="ALF35" s="28"/>
      <c r="ALG35" s="28"/>
      <c r="ALH35" s="28"/>
      <c r="ALI35" s="28"/>
      <c r="ALJ35" s="28"/>
      <c r="ALK35" s="28"/>
      <c r="ALL35" s="28"/>
      <c r="ALM35" s="28"/>
      <c r="ALN35" s="28"/>
      <c r="ALO35" s="28"/>
      <c r="ALP35" s="28"/>
      <c r="ALQ35" s="28"/>
      <c r="ALR35" s="28"/>
      <c r="ALS35" s="28"/>
      <c r="ALT35" s="28"/>
      <c r="ALU35" s="28"/>
      <c r="ALV35" s="28"/>
      <c r="ALW35" s="28"/>
      <c r="ALX35" s="28"/>
      <c r="ALY35" s="28"/>
      <c r="ALZ35" s="28"/>
      <c r="AMA35" s="28"/>
      <c r="AMB35" s="28"/>
      <c r="AMC35" s="28"/>
      <c r="AMD35" s="28"/>
      <c r="AME35" s="28"/>
      <c r="AMF35" s="28"/>
      <c r="AMG35" s="28"/>
      <c r="AMH35" s="28"/>
      <c r="AMI35" s="28"/>
      <c r="AMJ35" s="28"/>
    </row>
    <row r="36" spans="1:1024" s="29" customFormat="1" ht="15.75" customHeight="1" x14ac:dyDescent="0.3">
      <c r="A36" s="613" t="s">
        <v>222</v>
      </c>
      <c r="B36" s="601" t="s">
        <v>277</v>
      </c>
      <c r="C36" s="614"/>
      <c r="D36" s="615"/>
      <c r="E36" s="615"/>
      <c r="F36" s="616"/>
      <c r="G36" s="617"/>
      <c r="H36" s="617"/>
      <c r="I36" s="611"/>
      <c r="J36" s="30"/>
      <c r="K36" s="28"/>
      <c r="L36" s="28"/>
      <c r="M36" s="28"/>
      <c r="N36" s="28"/>
      <c r="O36" s="28"/>
      <c r="P36" s="28"/>
      <c r="Q36" s="28"/>
      <c r="R36" s="28"/>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c r="BI36" s="28"/>
      <c r="BJ36" s="28"/>
      <c r="BK36" s="28"/>
      <c r="BL36" s="28"/>
      <c r="BM36" s="28"/>
      <c r="BN36" s="28"/>
      <c r="BO36" s="28"/>
      <c r="BP36" s="28"/>
      <c r="BQ36" s="28"/>
      <c r="BR36" s="28"/>
      <c r="BS36" s="28"/>
      <c r="BT36" s="28"/>
      <c r="BU36" s="28"/>
      <c r="BV36" s="28"/>
      <c r="BW36" s="28"/>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c r="DA36" s="28"/>
      <c r="DB36" s="28"/>
      <c r="DC36" s="28"/>
      <c r="DD36" s="28"/>
      <c r="DE36" s="28"/>
      <c r="DF36" s="28"/>
      <c r="DG36" s="28"/>
      <c r="DH36" s="28"/>
      <c r="DI36" s="28"/>
      <c r="DJ36" s="28"/>
      <c r="DK36" s="28"/>
      <c r="DL36" s="28"/>
      <c r="DM36" s="28"/>
      <c r="DN36" s="28"/>
      <c r="DO36" s="28"/>
      <c r="DP36" s="28"/>
      <c r="DQ36" s="28"/>
      <c r="DR36" s="28"/>
      <c r="DS36" s="28"/>
      <c r="DT36" s="28"/>
      <c r="DU36" s="28"/>
      <c r="DV36" s="28"/>
      <c r="DW36" s="28"/>
      <c r="DX36" s="28"/>
      <c r="DY36" s="28"/>
      <c r="DZ36" s="28"/>
      <c r="EA36" s="28"/>
      <c r="EB36" s="28"/>
      <c r="EC36" s="28"/>
      <c r="ED36" s="28"/>
      <c r="EE36" s="28"/>
      <c r="EF36" s="28"/>
      <c r="EG36" s="28"/>
      <c r="EH36" s="28"/>
      <c r="EI36" s="28"/>
      <c r="EJ36" s="28"/>
      <c r="EK36" s="28"/>
      <c r="EL36" s="28"/>
      <c r="EM36" s="28"/>
      <c r="EN36" s="28"/>
      <c r="EO36" s="28"/>
      <c r="EP36" s="28"/>
      <c r="EQ36" s="28"/>
      <c r="ER36" s="28"/>
      <c r="ES36" s="28"/>
      <c r="ET36" s="28"/>
      <c r="EU36" s="28"/>
      <c r="EV36" s="28"/>
      <c r="EW36" s="28"/>
      <c r="EX36" s="28"/>
      <c r="EY36" s="28"/>
      <c r="EZ36" s="28"/>
      <c r="FA36" s="28"/>
      <c r="AIQ36" s="28"/>
      <c r="AIR36" s="28"/>
      <c r="AIS36" s="28"/>
      <c r="AIT36" s="28"/>
      <c r="AIU36" s="28"/>
      <c r="AIV36" s="28"/>
      <c r="AIW36" s="28"/>
      <c r="AIX36" s="28"/>
      <c r="AIY36" s="28"/>
      <c r="AIZ36" s="28"/>
      <c r="AJA36" s="28"/>
      <c r="AJB36" s="28"/>
      <c r="AJC36" s="28"/>
      <c r="AJD36" s="28"/>
      <c r="AJE36" s="28"/>
      <c r="AJF36" s="28"/>
      <c r="AJG36" s="28"/>
      <c r="AJH36" s="28"/>
      <c r="AJI36" s="28"/>
      <c r="AJJ36" s="28"/>
      <c r="AJK36" s="28"/>
      <c r="AJL36" s="28"/>
      <c r="AJM36" s="28"/>
      <c r="AJN36" s="28"/>
      <c r="AJO36" s="28"/>
      <c r="AJP36" s="28"/>
      <c r="AJQ36" s="28"/>
      <c r="AJR36" s="28"/>
      <c r="AJS36" s="28"/>
      <c r="AJT36" s="28"/>
      <c r="AJU36" s="28"/>
      <c r="AJV36" s="28"/>
      <c r="AJW36" s="28"/>
      <c r="AJX36" s="28"/>
      <c r="AJY36" s="28"/>
      <c r="AJZ36" s="28"/>
      <c r="AKA36" s="28"/>
      <c r="AKB36" s="28"/>
      <c r="AKC36" s="28"/>
      <c r="AKD36" s="28"/>
      <c r="AKE36" s="28"/>
      <c r="AKF36" s="28"/>
      <c r="AKG36" s="28"/>
      <c r="AKH36" s="28"/>
      <c r="AKI36" s="28"/>
      <c r="AKJ36" s="28"/>
      <c r="AKK36" s="28"/>
      <c r="AKL36" s="28"/>
      <c r="AKM36" s="28"/>
      <c r="AKN36" s="28"/>
      <c r="AKO36" s="28"/>
      <c r="AKP36" s="28"/>
      <c r="AKQ36" s="28"/>
      <c r="AKR36" s="28"/>
      <c r="AKS36" s="28"/>
      <c r="AKT36" s="28"/>
      <c r="AKU36" s="28"/>
      <c r="AKV36" s="28"/>
      <c r="AKW36" s="28"/>
      <c r="AKX36" s="28"/>
      <c r="AKY36" s="28"/>
      <c r="AKZ36" s="28"/>
      <c r="ALA36" s="28"/>
      <c r="ALB36" s="28"/>
      <c r="ALC36" s="28"/>
      <c r="ALD36" s="28"/>
      <c r="ALE36" s="28"/>
      <c r="ALF36" s="28"/>
      <c r="ALG36" s="28"/>
      <c r="ALH36" s="28"/>
      <c r="ALI36" s="28"/>
      <c r="ALJ36" s="28"/>
      <c r="ALK36" s="28"/>
      <c r="ALL36" s="28"/>
      <c r="ALM36" s="28"/>
      <c r="ALN36" s="28"/>
      <c r="ALO36" s="28"/>
      <c r="ALP36" s="28"/>
      <c r="ALQ36" s="28"/>
      <c r="ALR36" s="28"/>
      <c r="ALS36" s="28"/>
      <c r="ALT36" s="28"/>
      <c r="ALU36" s="28"/>
      <c r="ALV36" s="28"/>
      <c r="ALW36" s="28"/>
      <c r="ALX36" s="28"/>
      <c r="ALY36" s="28"/>
      <c r="ALZ36" s="28"/>
      <c r="AMA36" s="28"/>
      <c r="AMB36" s="28"/>
      <c r="AMC36" s="28"/>
      <c r="AMD36" s="28"/>
      <c r="AME36" s="28"/>
      <c r="AMF36" s="28"/>
      <c r="AMG36" s="28"/>
      <c r="AMH36" s="28"/>
      <c r="AMI36" s="28"/>
      <c r="AMJ36" s="28"/>
    </row>
    <row r="37" spans="1:1024" s="29" customFormat="1" ht="15.75" customHeight="1" x14ac:dyDescent="0.3">
      <c r="A37" s="613" t="s">
        <v>222</v>
      </c>
      <c r="B37" s="601" t="s">
        <v>278</v>
      </c>
      <c r="C37" s="614"/>
      <c r="D37" s="615"/>
      <c r="E37" s="615"/>
      <c r="F37" s="616"/>
      <c r="G37" s="617"/>
      <c r="H37" s="617"/>
      <c r="I37" s="611"/>
      <c r="J37" s="30"/>
      <c r="K37" s="28"/>
      <c r="L37" s="28"/>
      <c r="M37" s="28"/>
      <c r="N37" s="28"/>
      <c r="O37" s="28"/>
      <c r="P37" s="28"/>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28"/>
      <c r="AZ37" s="28"/>
      <c r="BA37" s="28"/>
      <c r="BB37" s="28"/>
      <c r="BC37" s="28"/>
      <c r="BD37" s="28"/>
      <c r="BE37" s="28"/>
      <c r="BF37" s="28"/>
      <c r="BG37" s="28"/>
      <c r="BH37" s="28"/>
      <c r="BI37" s="28"/>
      <c r="BJ37" s="28"/>
      <c r="BK37" s="28"/>
      <c r="BL37" s="28"/>
      <c r="BM37" s="28"/>
      <c r="BN37" s="28"/>
      <c r="BO37" s="28"/>
      <c r="BP37" s="28"/>
      <c r="BQ37" s="28"/>
      <c r="BR37" s="28"/>
      <c r="BS37" s="28"/>
      <c r="BT37" s="28"/>
      <c r="BU37" s="28"/>
      <c r="BV37" s="28"/>
      <c r="BW37" s="28"/>
      <c r="BX37" s="28"/>
      <c r="BY37" s="28"/>
      <c r="BZ37" s="28"/>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c r="DA37" s="28"/>
      <c r="DB37" s="28"/>
      <c r="DC37" s="28"/>
      <c r="DD37" s="28"/>
      <c r="DE37" s="28"/>
      <c r="DF37" s="28"/>
      <c r="DG37" s="28"/>
      <c r="DH37" s="28"/>
      <c r="DI37" s="28"/>
      <c r="DJ37" s="28"/>
      <c r="DK37" s="28"/>
      <c r="DL37" s="28"/>
      <c r="DM37" s="28"/>
      <c r="DN37" s="28"/>
      <c r="DO37" s="28"/>
      <c r="DP37" s="28"/>
      <c r="DQ37" s="28"/>
      <c r="DR37" s="28"/>
      <c r="DS37" s="28"/>
      <c r="DT37" s="28"/>
      <c r="DU37" s="28"/>
      <c r="DV37" s="28"/>
      <c r="DW37" s="28"/>
      <c r="DX37" s="28"/>
      <c r="DY37" s="28"/>
      <c r="DZ37" s="28"/>
      <c r="EA37" s="28"/>
      <c r="EB37" s="28"/>
      <c r="EC37" s="28"/>
      <c r="ED37" s="28"/>
      <c r="EE37" s="28"/>
      <c r="EF37" s="28"/>
      <c r="EG37" s="28"/>
      <c r="EH37" s="28"/>
      <c r="EI37" s="28"/>
      <c r="EJ37" s="28"/>
      <c r="EK37" s="28"/>
      <c r="EL37" s="28"/>
      <c r="EM37" s="28"/>
      <c r="EN37" s="28"/>
      <c r="EO37" s="28"/>
      <c r="EP37" s="28"/>
      <c r="EQ37" s="28"/>
      <c r="ER37" s="28"/>
      <c r="ES37" s="28"/>
      <c r="ET37" s="28"/>
      <c r="EU37" s="28"/>
      <c r="EV37" s="28"/>
      <c r="EW37" s="28"/>
      <c r="EX37" s="28"/>
      <c r="EY37" s="28"/>
      <c r="EZ37" s="28"/>
      <c r="FA37" s="28"/>
      <c r="AIQ37" s="28"/>
      <c r="AIR37" s="28"/>
      <c r="AIS37" s="28"/>
      <c r="AIT37" s="28"/>
      <c r="AIU37" s="28"/>
      <c r="AIV37" s="28"/>
      <c r="AIW37" s="28"/>
      <c r="AIX37" s="28"/>
      <c r="AIY37" s="28"/>
      <c r="AIZ37" s="28"/>
      <c r="AJA37" s="28"/>
      <c r="AJB37" s="28"/>
      <c r="AJC37" s="28"/>
      <c r="AJD37" s="28"/>
      <c r="AJE37" s="28"/>
      <c r="AJF37" s="28"/>
      <c r="AJG37" s="28"/>
      <c r="AJH37" s="28"/>
      <c r="AJI37" s="28"/>
      <c r="AJJ37" s="28"/>
      <c r="AJK37" s="28"/>
      <c r="AJL37" s="28"/>
      <c r="AJM37" s="28"/>
      <c r="AJN37" s="28"/>
      <c r="AJO37" s="28"/>
      <c r="AJP37" s="28"/>
      <c r="AJQ37" s="28"/>
      <c r="AJR37" s="28"/>
      <c r="AJS37" s="28"/>
      <c r="AJT37" s="28"/>
      <c r="AJU37" s="28"/>
      <c r="AJV37" s="28"/>
      <c r="AJW37" s="28"/>
      <c r="AJX37" s="28"/>
      <c r="AJY37" s="28"/>
      <c r="AJZ37" s="28"/>
      <c r="AKA37" s="28"/>
      <c r="AKB37" s="28"/>
      <c r="AKC37" s="28"/>
      <c r="AKD37" s="28"/>
      <c r="AKE37" s="28"/>
      <c r="AKF37" s="28"/>
      <c r="AKG37" s="28"/>
      <c r="AKH37" s="28"/>
      <c r="AKI37" s="28"/>
      <c r="AKJ37" s="28"/>
      <c r="AKK37" s="28"/>
      <c r="AKL37" s="28"/>
      <c r="AKM37" s="28"/>
      <c r="AKN37" s="28"/>
      <c r="AKO37" s="28"/>
      <c r="AKP37" s="28"/>
      <c r="AKQ37" s="28"/>
      <c r="AKR37" s="28"/>
      <c r="AKS37" s="28"/>
      <c r="AKT37" s="28"/>
      <c r="AKU37" s="28"/>
      <c r="AKV37" s="28"/>
      <c r="AKW37" s="28"/>
      <c r="AKX37" s="28"/>
      <c r="AKY37" s="28"/>
      <c r="AKZ37" s="28"/>
      <c r="ALA37" s="28"/>
      <c r="ALB37" s="28"/>
      <c r="ALC37" s="28"/>
      <c r="ALD37" s="28"/>
      <c r="ALE37" s="28"/>
      <c r="ALF37" s="28"/>
      <c r="ALG37" s="28"/>
      <c r="ALH37" s="28"/>
      <c r="ALI37" s="28"/>
      <c r="ALJ37" s="28"/>
      <c r="ALK37" s="28"/>
      <c r="ALL37" s="28"/>
      <c r="ALM37" s="28"/>
      <c r="ALN37" s="28"/>
      <c r="ALO37" s="28"/>
      <c r="ALP37" s="28"/>
      <c r="ALQ37" s="28"/>
      <c r="ALR37" s="28"/>
      <c r="ALS37" s="28"/>
      <c r="ALT37" s="28"/>
      <c r="ALU37" s="28"/>
      <c r="ALV37" s="28"/>
      <c r="ALW37" s="28"/>
      <c r="ALX37" s="28"/>
      <c r="ALY37" s="28"/>
      <c r="ALZ37" s="28"/>
      <c r="AMA37" s="28"/>
      <c r="AMB37" s="28"/>
      <c r="AMC37" s="28"/>
      <c r="AMD37" s="28"/>
      <c r="AME37" s="28"/>
      <c r="AMF37" s="28"/>
      <c r="AMG37" s="28"/>
      <c r="AMH37" s="28"/>
      <c r="AMI37" s="28"/>
      <c r="AMJ37" s="28"/>
    </row>
    <row r="38" spans="1:1024" s="29" customFormat="1" ht="24.75" customHeight="1" x14ac:dyDescent="0.3">
      <c r="A38" s="593" t="s">
        <v>279</v>
      </c>
      <c r="B38" s="594" t="s">
        <v>280</v>
      </c>
      <c r="C38" s="612"/>
      <c r="D38" s="605"/>
      <c r="E38" s="605"/>
      <c r="F38" s="606"/>
      <c r="G38" s="607"/>
      <c r="H38" s="607"/>
      <c r="I38" s="608"/>
      <c r="J38" s="30"/>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c r="BD38" s="28"/>
      <c r="BE38" s="28"/>
      <c r="BF38" s="28"/>
      <c r="BG38" s="28"/>
      <c r="BH38" s="28"/>
      <c r="BI38" s="28"/>
      <c r="BJ38" s="28"/>
      <c r="BK38" s="28"/>
      <c r="BL38" s="28"/>
      <c r="BM38" s="28"/>
      <c r="BN38" s="28"/>
      <c r="BO38" s="28"/>
      <c r="BP38" s="28"/>
      <c r="BQ38" s="28"/>
      <c r="BR38" s="28"/>
      <c r="BS38" s="28"/>
      <c r="BT38" s="28"/>
      <c r="BU38" s="28"/>
      <c r="BV38" s="28"/>
      <c r="BW38" s="28"/>
      <c r="BX38" s="28"/>
      <c r="BY38" s="28"/>
      <c r="BZ38" s="28"/>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c r="DA38" s="28"/>
      <c r="DB38" s="28"/>
      <c r="DC38" s="28"/>
      <c r="DD38" s="28"/>
      <c r="DE38" s="28"/>
      <c r="DF38" s="28"/>
      <c r="DG38" s="28"/>
      <c r="DH38" s="28"/>
      <c r="DI38" s="28"/>
      <c r="DJ38" s="28"/>
      <c r="DK38" s="28"/>
      <c r="DL38" s="28"/>
      <c r="DM38" s="28"/>
      <c r="DN38" s="28"/>
      <c r="DO38" s="28"/>
      <c r="DP38" s="28"/>
      <c r="DQ38" s="28"/>
      <c r="DR38" s="28"/>
      <c r="DS38" s="28"/>
      <c r="DT38" s="28"/>
      <c r="DU38" s="28"/>
      <c r="DV38" s="28"/>
      <c r="DW38" s="28"/>
      <c r="DX38" s="28"/>
      <c r="DY38" s="28"/>
      <c r="DZ38" s="28"/>
      <c r="EA38" s="28"/>
      <c r="EB38" s="28"/>
      <c r="EC38" s="28"/>
      <c r="ED38" s="28"/>
      <c r="EE38" s="28"/>
      <c r="EF38" s="28"/>
      <c r="EG38" s="28"/>
      <c r="EH38" s="28"/>
      <c r="EI38" s="28"/>
      <c r="EJ38" s="28"/>
      <c r="EK38" s="28"/>
      <c r="EL38" s="28"/>
      <c r="EM38" s="28"/>
      <c r="EN38" s="28"/>
      <c r="EO38" s="28"/>
      <c r="EP38" s="28"/>
      <c r="EQ38" s="28"/>
      <c r="ER38" s="28"/>
      <c r="ES38" s="28"/>
      <c r="ET38" s="28"/>
      <c r="EU38" s="28"/>
      <c r="EV38" s="28"/>
      <c r="EW38" s="28"/>
      <c r="EX38" s="28"/>
      <c r="EY38" s="28"/>
      <c r="EZ38" s="28"/>
      <c r="FA38" s="28"/>
      <c r="AIQ38" s="28"/>
      <c r="AIR38" s="28"/>
      <c r="AIS38" s="28"/>
      <c r="AIT38" s="28"/>
      <c r="AIU38" s="28"/>
      <c r="AIV38" s="28"/>
      <c r="AIW38" s="28"/>
      <c r="AIX38" s="28"/>
      <c r="AIY38" s="28"/>
      <c r="AIZ38" s="28"/>
      <c r="AJA38" s="28"/>
      <c r="AJB38" s="28"/>
      <c r="AJC38" s="28"/>
      <c r="AJD38" s="28"/>
      <c r="AJE38" s="28"/>
      <c r="AJF38" s="28"/>
      <c r="AJG38" s="28"/>
      <c r="AJH38" s="28"/>
      <c r="AJI38" s="28"/>
      <c r="AJJ38" s="28"/>
      <c r="AJK38" s="28"/>
      <c r="AJL38" s="28"/>
      <c r="AJM38" s="28"/>
      <c r="AJN38" s="28"/>
      <c r="AJO38" s="28"/>
      <c r="AJP38" s="28"/>
      <c r="AJQ38" s="28"/>
      <c r="AJR38" s="28"/>
      <c r="AJS38" s="28"/>
      <c r="AJT38" s="28"/>
      <c r="AJU38" s="28"/>
      <c r="AJV38" s="28"/>
      <c r="AJW38" s="28"/>
      <c r="AJX38" s="28"/>
      <c r="AJY38" s="28"/>
      <c r="AJZ38" s="28"/>
      <c r="AKA38" s="28"/>
      <c r="AKB38" s="28"/>
      <c r="AKC38" s="28"/>
      <c r="AKD38" s="28"/>
      <c r="AKE38" s="28"/>
      <c r="AKF38" s="28"/>
      <c r="AKG38" s="28"/>
      <c r="AKH38" s="28"/>
      <c r="AKI38" s="28"/>
      <c r="AKJ38" s="28"/>
      <c r="AKK38" s="28"/>
      <c r="AKL38" s="28"/>
      <c r="AKM38" s="28"/>
      <c r="AKN38" s="28"/>
      <c r="AKO38" s="28"/>
      <c r="AKP38" s="28"/>
      <c r="AKQ38" s="28"/>
      <c r="AKR38" s="28"/>
      <c r="AKS38" s="28"/>
      <c r="AKT38" s="28"/>
      <c r="AKU38" s="28"/>
      <c r="AKV38" s="28"/>
      <c r="AKW38" s="28"/>
      <c r="AKX38" s="28"/>
      <c r="AKY38" s="28"/>
      <c r="AKZ38" s="28"/>
      <c r="ALA38" s="28"/>
      <c r="ALB38" s="28"/>
      <c r="ALC38" s="28"/>
      <c r="ALD38" s="28"/>
      <c r="ALE38" s="28"/>
      <c r="ALF38" s="28"/>
      <c r="ALG38" s="28"/>
      <c r="ALH38" s="28"/>
      <c r="ALI38" s="28"/>
      <c r="ALJ38" s="28"/>
      <c r="ALK38" s="28"/>
      <c r="ALL38" s="28"/>
      <c r="ALM38" s="28"/>
      <c r="ALN38" s="28"/>
      <c r="ALO38" s="28"/>
      <c r="ALP38" s="28"/>
      <c r="ALQ38" s="28"/>
      <c r="ALR38" s="28"/>
      <c r="ALS38" s="28"/>
      <c r="ALT38" s="28"/>
      <c r="ALU38" s="28"/>
      <c r="ALV38" s="28"/>
      <c r="ALW38" s="28"/>
      <c r="ALX38" s="28"/>
      <c r="ALY38" s="28"/>
      <c r="ALZ38" s="28"/>
      <c r="AMA38" s="28"/>
      <c r="AMB38" s="28"/>
      <c r="AMC38" s="28"/>
      <c r="AMD38" s="28"/>
      <c r="AME38" s="28"/>
      <c r="AMF38" s="28"/>
      <c r="AMG38" s="28"/>
      <c r="AMH38" s="28"/>
      <c r="AMI38" s="28"/>
      <c r="AMJ38" s="28"/>
    </row>
    <row r="39" spans="1:1024" ht="23.25" customHeight="1" x14ac:dyDescent="0.35">
      <c r="A39" s="618" t="s">
        <v>222</v>
      </c>
      <c r="B39" s="619" t="s">
        <v>281</v>
      </c>
      <c r="C39" s="620"/>
      <c r="D39" s="621"/>
      <c r="E39" s="621"/>
      <c r="F39" s="620"/>
      <c r="G39" s="622" t="s">
        <v>282</v>
      </c>
      <c r="H39" s="622" t="s">
        <v>282</v>
      </c>
      <c r="I39" s="623"/>
      <c r="J39" s="31"/>
    </row>
    <row r="40" spans="1:1024" s="34" customFormat="1" ht="15.75" customHeight="1" x14ac:dyDescent="0.25">
      <c r="A40" s="624" t="s">
        <v>283</v>
      </c>
      <c r="B40" s="625" t="s">
        <v>284</v>
      </c>
      <c r="C40" s="626"/>
      <c r="D40" s="627"/>
      <c r="E40" s="627"/>
      <c r="F40" s="628"/>
      <c r="G40" s="629"/>
      <c r="H40" s="629"/>
      <c r="I40" s="630"/>
      <c r="J40" s="32"/>
      <c r="K40" s="33"/>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33"/>
      <c r="CG40" s="33"/>
      <c r="CH40" s="33"/>
      <c r="CI40" s="33"/>
      <c r="CJ40" s="33"/>
      <c r="CK40" s="33"/>
      <c r="CL40" s="33"/>
      <c r="CM40" s="33"/>
      <c r="CN40" s="33"/>
      <c r="CO40" s="33"/>
      <c r="CP40" s="33"/>
      <c r="CQ40" s="33"/>
      <c r="CR40" s="33"/>
      <c r="CS40" s="33"/>
      <c r="CT40" s="33"/>
      <c r="CU40" s="33"/>
      <c r="CV40" s="33"/>
      <c r="CW40" s="33"/>
      <c r="CX40" s="33"/>
      <c r="CY40" s="33"/>
      <c r="CZ40" s="33"/>
      <c r="DA40" s="33"/>
      <c r="DB40" s="33"/>
      <c r="DC40" s="33"/>
      <c r="DD40" s="33"/>
      <c r="DE40" s="33"/>
      <c r="DF40" s="33"/>
      <c r="DG40" s="33"/>
      <c r="DH40" s="33"/>
      <c r="DI40" s="33"/>
      <c r="DJ40" s="33"/>
      <c r="DK40" s="33"/>
      <c r="DL40" s="33"/>
      <c r="DM40" s="33"/>
      <c r="DN40" s="33"/>
      <c r="DO40" s="33"/>
      <c r="DP40" s="33"/>
      <c r="DQ40" s="33"/>
      <c r="DR40" s="33"/>
      <c r="DS40" s="33"/>
      <c r="DT40" s="33"/>
      <c r="DU40" s="33"/>
      <c r="DV40" s="33"/>
      <c r="DW40" s="33"/>
      <c r="DX40" s="33"/>
      <c r="DY40" s="33"/>
      <c r="DZ40" s="33"/>
      <c r="EA40" s="33"/>
      <c r="EB40" s="33"/>
      <c r="EC40" s="33"/>
      <c r="ED40" s="33"/>
      <c r="EE40" s="33"/>
      <c r="EF40" s="33"/>
      <c r="EG40" s="33"/>
      <c r="EH40" s="33"/>
      <c r="EI40" s="33"/>
      <c r="EJ40" s="33"/>
      <c r="EK40" s="33"/>
      <c r="EL40" s="33"/>
      <c r="EM40" s="33"/>
      <c r="EN40" s="33"/>
      <c r="EO40" s="33"/>
      <c r="EP40" s="33"/>
      <c r="EQ40" s="33"/>
      <c r="ER40" s="33"/>
      <c r="ES40" s="33"/>
      <c r="ET40" s="33"/>
      <c r="EU40" s="33"/>
      <c r="EV40" s="33"/>
      <c r="EW40" s="33"/>
      <c r="EX40" s="33"/>
      <c r="EY40" s="33"/>
      <c r="EZ40" s="33"/>
      <c r="FA40" s="33"/>
      <c r="AIQ40" s="33"/>
      <c r="AIR40" s="33"/>
      <c r="AIS40" s="33"/>
      <c r="AIT40" s="33"/>
      <c r="AIU40" s="33"/>
      <c r="AIV40" s="33"/>
      <c r="AIW40" s="33"/>
      <c r="AIX40" s="33"/>
      <c r="AIY40" s="33"/>
      <c r="AIZ40" s="33"/>
      <c r="AJA40" s="33"/>
      <c r="AJB40" s="33"/>
      <c r="AJC40" s="33"/>
      <c r="AJD40" s="33"/>
      <c r="AJE40" s="33"/>
      <c r="AJF40" s="33"/>
      <c r="AJG40" s="33"/>
      <c r="AJH40" s="33"/>
      <c r="AJI40" s="33"/>
      <c r="AJJ40" s="33"/>
      <c r="AJK40" s="33"/>
      <c r="AJL40" s="33"/>
      <c r="AJM40" s="33"/>
      <c r="AJN40" s="33"/>
      <c r="AJO40" s="33"/>
      <c r="AJP40" s="33"/>
      <c r="AJQ40" s="33"/>
      <c r="AJR40" s="33"/>
      <c r="AJS40" s="33"/>
      <c r="AJT40" s="33"/>
      <c r="AJU40" s="33"/>
      <c r="AJV40" s="33"/>
      <c r="AJW40" s="33"/>
      <c r="AJX40" s="33"/>
      <c r="AJY40" s="33"/>
      <c r="AJZ40" s="33"/>
      <c r="AKA40" s="33"/>
      <c r="AKB40" s="33"/>
      <c r="AKC40" s="33"/>
      <c r="AKD40" s="33"/>
      <c r="AKE40" s="33"/>
      <c r="AKF40" s="33"/>
      <c r="AKG40" s="33"/>
      <c r="AKH40" s="33"/>
      <c r="AKI40" s="33"/>
      <c r="AKJ40" s="33"/>
      <c r="AKK40" s="33"/>
      <c r="AKL40" s="33"/>
      <c r="AKM40" s="33"/>
      <c r="AKN40" s="33"/>
      <c r="AKO40" s="33"/>
      <c r="AKP40" s="33"/>
      <c r="AKQ40" s="33"/>
      <c r="AKR40" s="33"/>
      <c r="AKS40" s="33"/>
      <c r="AKT40" s="33"/>
      <c r="AKU40" s="33"/>
      <c r="AKV40" s="33"/>
      <c r="AKW40" s="33"/>
      <c r="AKX40" s="33"/>
      <c r="AKY40" s="33"/>
      <c r="AKZ40" s="33"/>
      <c r="ALA40" s="33"/>
      <c r="ALB40" s="33"/>
      <c r="ALC40" s="33"/>
      <c r="ALD40" s="33"/>
      <c r="ALE40" s="33"/>
      <c r="ALF40" s="33"/>
      <c r="ALG40" s="33"/>
      <c r="ALH40" s="33"/>
      <c r="ALI40" s="33"/>
      <c r="ALJ40" s="33"/>
      <c r="ALK40" s="33"/>
      <c r="ALL40" s="33"/>
      <c r="ALM40" s="33"/>
      <c r="ALN40" s="33"/>
      <c r="ALO40" s="33"/>
      <c r="ALP40" s="33"/>
      <c r="ALQ40" s="33"/>
      <c r="ALR40" s="33"/>
      <c r="ALS40" s="33"/>
      <c r="ALT40" s="33"/>
      <c r="ALU40" s="33"/>
      <c r="ALV40" s="33"/>
      <c r="ALW40" s="33"/>
      <c r="ALX40" s="33"/>
      <c r="ALY40" s="33"/>
      <c r="ALZ40" s="33"/>
      <c r="AMA40" s="33"/>
      <c r="AMB40" s="33"/>
      <c r="AMC40" s="33"/>
      <c r="AMD40" s="33"/>
      <c r="AME40" s="33"/>
      <c r="AMF40" s="33"/>
      <c r="AMG40" s="33"/>
      <c r="AMH40" s="33"/>
      <c r="AMI40" s="33"/>
      <c r="AMJ40" s="33"/>
    </row>
    <row r="41" spans="1:1024" s="29" customFormat="1" ht="15.75" customHeight="1" x14ac:dyDescent="0.35">
      <c r="A41" s="631" t="s">
        <v>285</v>
      </c>
      <c r="B41" s="632" t="s">
        <v>286</v>
      </c>
      <c r="C41" s="595"/>
      <c r="D41" s="595"/>
      <c r="E41" s="595"/>
      <c r="F41" s="633"/>
      <c r="G41" s="598"/>
      <c r="H41" s="598"/>
      <c r="I41" s="634"/>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AIQ41" s="3"/>
      <c r="AIR41" s="3"/>
      <c r="AIS41" s="3"/>
      <c r="AIT41" s="3"/>
      <c r="AIU41" s="3"/>
      <c r="AIV41" s="3"/>
      <c r="AIW41" s="3"/>
      <c r="AIX41" s="3"/>
      <c r="AIY41" s="3"/>
      <c r="AIZ41" s="3"/>
      <c r="AJA41" s="3"/>
      <c r="AJB41" s="3"/>
      <c r="AJC41" s="3"/>
      <c r="AJD41" s="3"/>
      <c r="AJE41" s="3"/>
      <c r="AJF41" s="3"/>
      <c r="AJG41" s="3"/>
      <c r="AJH41" s="3"/>
      <c r="AJI41" s="3"/>
      <c r="AJJ41" s="3"/>
      <c r="AJK41" s="3"/>
      <c r="AJL41" s="3"/>
      <c r="AJM41" s="3"/>
      <c r="AJN41" s="3"/>
      <c r="AJO41" s="3"/>
      <c r="AJP41" s="3"/>
      <c r="AJQ41" s="3"/>
      <c r="AJR41" s="3"/>
      <c r="AJS41" s="3"/>
      <c r="AJT41" s="3"/>
      <c r="AJU41" s="3"/>
      <c r="AJV41" s="3"/>
      <c r="AJW41" s="3"/>
      <c r="AJX41" s="3"/>
      <c r="AJY41" s="3"/>
      <c r="AJZ41" s="3"/>
      <c r="AKA41" s="3"/>
      <c r="AKB41" s="3"/>
      <c r="AKC41" s="3"/>
      <c r="AKD41" s="3"/>
      <c r="AKE41" s="3"/>
      <c r="AKF41" s="3"/>
      <c r="AKG41" s="3"/>
      <c r="AKH41" s="3"/>
      <c r="AKI41" s="3"/>
      <c r="AKJ41" s="3"/>
      <c r="AKK41" s="3"/>
      <c r="AKL41" s="3"/>
      <c r="AKM41" s="3"/>
      <c r="AKN41" s="3"/>
      <c r="AKO41" s="3"/>
      <c r="AKP41" s="3"/>
      <c r="AKQ41" s="3"/>
      <c r="AKR41" s="3"/>
      <c r="AKS41" s="3"/>
      <c r="AKT41" s="3"/>
      <c r="AKU41" s="3"/>
      <c r="AKV41" s="3"/>
      <c r="AKW41" s="3"/>
      <c r="AKX41" s="3"/>
      <c r="AKY41" s="3"/>
      <c r="AKZ41" s="3"/>
      <c r="ALA41" s="3"/>
      <c r="ALB41" s="3"/>
      <c r="ALC41" s="3"/>
      <c r="ALD41" s="3"/>
      <c r="ALE41" s="3"/>
      <c r="ALF41" s="3"/>
      <c r="ALG41" s="3"/>
      <c r="ALH41" s="3"/>
      <c r="ALI41" s="3"/>
      <c r="ALJ41" s="3"/>
      <c r="ALK41" s="3"/>
      <c r="ALL41" s="3"/>
      <c r="ALM41" s="3"/>
      <c r="ALN41" s="3"/>
      <c r="ALO41" s="3"/>
      <c r="ALP41" s="3"/>
      <c r="ALQ41" s="3"/>
      <c r="ALR41" s="3"/>
      <c r="ALS41" s="3"/>
      <c r="ALT41" s="3"/>
      <c r="ALU41" s="3"/>
      <c r="ALV41" s="3"/>
      <c r="ALW41" s="3"/>
      <c r="ALX41" s="3"/>
      <c r="ALY41" s="3"/>
      <c r="ALZ41" s="3"/>
      <c r="AMA41" s="3"/>
      <c r="AMB41" s="3"/>
      <c r="AMC41" s="3"/>
      <c r="AMD41" s="3"/>
      <c r="AME41" s="3"/>
      <c r="AMF41" s="3"/>
      <c r="AMG41" s="3"/>
      <c r="AMH41" s="3"/>
      <c r="AMI41" s="3"/>
      <c r="AMJ41" s="3"/>
    </row>
    <row r="42" spans="1:1024" s="29" customFormat="1" ht="15.75" customHeight="1" x14ac:dyDescent="0.3">
      <c r="A42" s="600"/>
      <c r="B42" s="601" t="s">
        <v>287</v>
      </c>
      <c r="C42" s="635"/>
      <c r="D42" s="636"/>
      <c r="E42" s="636"/>
      <c r="F42" s="635"/>
      <c r="G42" s="637" t="s">
        <v>259</v>
      </c>
      <c r="H42" s="637" t="s">
        <v>259</v>
      </c>
      <c r="I42" s="461"/>
      <c r="J42" s="30"/>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28"/>
      <c r="AV42" s="28"/>
      <c r="AW42" s="28"/>
      <c r="AX42" s="28"/>
      <c r="AY42" s="28"/>
      <c r="AZ42" s="28"/>
      <c r="BA42" s="28"/>
      <c r="BB42" s="28"/>
      <c r="BC42" s="28"/>
      <c r="BD42" s="28"/>
      <c r="BE42" s="28"/>
      <c r="BF42" s="28"/>
      <c r="BG42" s="28"/>
      <c r="BH42" s="28"/>
      <c r="BI42" s="28"/>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AIQ42" s="28"/>
      <c r="AIR42" s="28"/>
      <c r="AIS42" s="28"/>
      <c r="AIT42" s="28"/>
      <c r="AIU42" s="28"/>
      <c r="AIV42" s="28"/>
      <c r="AIW42" s="28"/>
      <c r="AIX42" s="28"/>
      <c r="AIY42" s="28"/>
      <c r="AIZ42" s="28"/>
      <c r="AJA42" s="28"/>
      <c r="AJB42" s="28"/>
      <c r="AJC42" s="28"/>
      <c r="AJD42" s="28"/>
      <c r="AJE42" s="28"/>
      <c r="AJF42" s="28"/>
      <c r="AJG42" s="28"/>
      <c r="AJH42" s="28"/>
      <c r="AJI42" s="28"/>
      <c r="AJJ42" s="28"/>
      <c r="AJK42" s="28"/>
      <c r="AJL42" s="28"/>
      <c r="AJM42" s="28"/>
      <c r="AJN42" s="28"/>
      <c r="AJO42" s="28"/>
      <c r="AJP42" s="28"/>
      <c r="AJQ42" s="28"/>
      <c r="AJR42" s="28"/>
      <c r="AJS42" s="28"/>
      <c r="AJT42" s="28"/>
      <c r="AJU42" s="28"/>
      <c r="AJV42" s="28"/>
      <c r="AJW42" s="28"/>
      <c r="AJX42" s="28"/>
      <c r="AJY42" s="28"/>
      <c r="AJZ42" s="28"/>
      <c r="AKA42" s="28"/>
      <c r="AKB42" s="28"/>
      <c r="AKC42" s="28"/>
      <c r="AKD42" s="28"/>
      <c r="AKE42" s="28"/>
      <c r="AKF42" s="28"/>
      <c r="AKG42" s="28"/>
      <c r="AKH42" s="28"/>
      <c r="AKI42" s="28"/>
      <c r="AKJ42" s="28"/>
      <c r="AKK42" s="28"/>
      <c r="AKL42" s="28"/>
      <c r="AKM42" s="28"/>
      <c r="AKN42" s="28"/>
      <c r="AKO42" s="28"/>
      <c r="AKP42" s="28"/>
      <c r="AKQ42" s="28"/>
      <c r="AKR42" s="28"/>
      <c r="AKS42" s="28"/>
      <c r="AKT42" s="28"/>
      <c r="AKU42" s="28"/>
      <c r="AKV42" s="28"/>
      <c r="AKW42" s="28"/>
      <c r="AKX42" s="28"/>
      <c r="AKY42" s="28"/>
      <c r="AKZ42" s="28"/>
      <c r="ALA42" s="28"/>
      <c r="ALB42" s="28"/>
      <c r="ALC42" s="28"/>
      <c r="ALD42" s="28"/>
      <c r="ALE42" s="28"/>
      <c r="ALF42" s="28"/>
      <c r="ALG42" s="28"/>
      <c r="ALH42" s="28"/>
      <c r="ALI42" s="28"/>
      <c r="ALJ42" s="28"/>
      <c r="ALK42" s="28"/>
      <c r="ALL42" s="28"/>
      <c r="ALM42" s="28"/>
      <c r="ALN42" s="28"/>
      <c r="ALO42" s="28"/>
      <c r="ALP42" s="28"/>
      <c r="ALQ42" s="28"/>
      <c r="ALR42" s="28"/>
      <c r="ALS42" s="28"/>
      <c r="ALT42" s="28"/>
      <c r="ALU42" s="28"/>
      <c r="ALV42" s="28"/>
      <c r="ALW42" s="28"/>
      <c r="ALX42" s="28"/>
      <c r="ALY42" s="28"/>
      <c r="ALZ42" s="28"/>
      <c r="AMA42" s="28"/>
      <c r="AMB42" s="28"/>
      <c r="AMC42" s="28"/>
      <c r="AMD42" s="28"/>
      <c r="AME42" s="28"/>
      <c r="AMF42" s="28"/>
      <c r="AMG42" s="28"/>
      <c r="AMH42" s="28"/>
      <c r="AMI42" s="28"/>
      <c r="AMJ42" s="28"/>
    </row>
    <row r="43" spans="1:1024" s="29" customFormat="1" ht="15.75" customHeight="1" x14ac:dyDescent="0.3">
      <c r="A43" s="600"/>
      <c r="B43" s="601" t="s">
        <v>288</v>
      </c>
      <c r="C43" s="635"/>
      <c r="D43" s="636"/>
      <c r="E43" s="636"/>
      <c r="F43" s="635"/>
      <c r="G43" s="637" t="s">
        <v>289</v>
      </c>
      <c r="H43" s="637" t="s">
        <v>289</v>
      </c>
      <c r="I43" s="461"/>
      <c r="J43" s="30"/>
      <c r="K43" s="28"/>
      <c r="L43" s="28"/>
      <c r="M43" s="28"/>
      <c r="N43" s="28"/>
      <c r="O43" s="28"/>
      <c r="P43" s="28"/>
      <c r="Q43" s="28"/>
      <c r="R43" s="28"/>
      <c r="S43" s="28"/>
      <c r="T43" s="28"/>
      <c r="U43" s="28"/>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8"/>
      <c r="AW43" s="28"/>
      <c r="AX43" s="28"/>
      <c r="AY43" s="28"/>
      <c r="AZ43" s="28"/>
      <c r="BA43" s="28"/>
      <c r="BB43" s="28"/>
      <c r="BC43" s="28"/>
      <c r="BD43" s="28"/>
      <c r="BE43" s="28"/>
      <c r="BF43" s="28"/>
      <c r="BG43" s="28"/>
      <c r="BH43" s="28"/>
      <c r="BI43" s="28"/>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AIQ43" s="28"/>
      <c r="AIR43" s="28"/>
      <c r="AIS43" s="28"/>
      <c r="AIT43" s="28"/>
      <c r="AIU43" s="28"/>
      <c r="AIV43" s="28"/>
      <c r="AIW43" s="28"/>
      <c r="AIX43" s="28"/>
      <c r="AIY43" s="28"/>
      <c r="AIZ43" s="28"/>
      <c r="AJA43" s="28"/>
      <c r="AJB43" s="28"/>
      <c r="AJC43" s="28"/>
      <c r="AJD43" s="28"/>
      <c r="AJE43" s="28"/>
      <c r="AJF43" s="28"/>
      <c r="AJG43" s="28"/>
      <c r="AJH43" s="28"/>
      <c r="AJI43" s="28"/>
      <c r="AJJ43" s="28"/>
      <c r="AJK43" s="28"/>
      <c r="AJL43" s="28"/>
      <c r="AJM43" s="28"/>
      <c r="AJN43" s="28"/>
      <c r="AJO43" s="28"/>
      <c r="AJP43" s="28"/>
      <c r="AJQ43" s="28"/>
      <c r="AJR43" s="28"/>
      <c r="AJS43" s="28"/>
      <c r="AJT43" s="28"/>
      <c r="AJU43" s="28"/>
      <c r="AJV43" s="28"/>
      <c r="AJW43" s="28"/>
      <c r="AJX43" s="28"/>
      <c r="AJY43" s="28"/>
      <c r="AJZ43" s="28"/>
      <c r="AKA43" s="28"/>
      <c r="AKB43" s="28"/>
      <c r="AKC43" s="28"/>
      <c r="AKD43" s="28"/>
      <c r="AKE43" s="28"/>
      <c r="AKF43" s="28"/>
      <c r="AKG43" s="28"/>
      <c r="AKH43" s="28"/>
      <c r="AKI43" s="28"/>
      <c r="AKJ43" s="28"/>
      <c r="AKK43" s="28"/>
      <c r="AKL43" s="28"/>
      <c r="AKM43" s="28"/>
      <c r="AKN43" s="28"/>
      <c r="AKO43" s="28"/>
      <c r="AKP43" s="28"/>
      <c r="AKQ43" s="28"/>
      <c r="AKR43" s="28"/>
      <c r="AKS43" s="28"/>
      <c r="AKT43" s="28"/>
      <c r="AKU43" s="28"/>
      <c r="AKV43" s="28"/>
      <c r="AKW43" s="28"/>
      <c r="AKX43" s="28"/>
      <c r="AKY43" s="28"/>
      <c r="AKZ43" s="28"/>
      <c r="ALA43" s="28"/>
      <c r="ALB43" s="28"/>
      <c r="ALC43" s="28"/>
      <c r="ALD43" s="28"/>
      <c r="ALE43" s="28"/>
      <c r="ALF43" s="28"/>
      <c r="ALG43" s="28"/>
      <c r="ALH43" s="28"/>
      <c r="ALI43" s="28"/>
      <c r="ALJ43" s="28"/>
      <c r="ALK43" s="28"/>
      <c r="ALL43" s="28"/>
      <c r="ALM43" s="28"/>
      <c r="ALN43" s="28"/>
      <c r="ALO43" s="28"/>
      <c r="ALP43" s="28"/>
      <c r="ALQ43" s="28"/>
      <c r="ALR43" s="28"/>
      <c r="ALS43" s="28"/>
      <c r="ALT43" s="28"/>
      <c r="ALU43" s="28"/>
      <c r="ALV43" s="28"/>
      <c r="ALW43" s="28"/>
      <c r="ALX43" s="28"/>
      <c r="ALY43" s="28"/>
      <c r="ALZ43" s="28"/>
      <c r="AMA43" s="28"/>
      <c r="AMB43" s="28"/>
      <c r="AMC43" s="28"/>
      <c r="AMD43" s="28"/>
      <c r="AME43" s="28"/>
      <c r="AMF43" s="28"/>
      <c r="AMG43" s="28"/>
      <c r="AMH43" s="28"/>
      <c r="AMI43" s="28"/>
      <c r="AMJ43" s="28"/>
    </row>
    <row r="44" spans="1:1024" s="29" customFormat="1" ht="15.75" customHeight="1" x14ac:dyDescent="0.3">
      <c r="A44" s="600"/>
      <c r="B44" s="601" t="s">
        <v>290</v>
      </c>
      <c r="C44" s="635"/>
      <c r="D44" s="636"/>
      <c r="E44" s="636"/>
      <c r="F44" s="635"/>
      <c r="G44" s="453" t="s">
        <v>282</v>
      </c>
      <c r="H44" s="453" t="s">
        <v>291</v>
      </c>
      <c r="I44" s="461"/>
      <c r="J44" s="30"/>
      <c r="K44" s="28"/>
      <c r="L44" s="28"/>
      <c r="M44" s="28"/>
      <c r="N44" s="28"/>
      <c r="O44" s="28"/>
      <c r="P44" s="28"/>
      <c r="Q44" s="28"/>
      <c r="R44" s="28"/>
      <c r="S44" s="28"/>
      <c r="T44" s="28"/>
      <c r="U44" s="28"/>
      <c r="V44" s="28"/>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28"/>
      <c r="AW44" s="28"/>
      <c r="AX44" s="28"/>
      <c r="AY44" s="28"/>
      <c r="AZ44" s="28"/>
      <c r="BA44" s="28"/>
      <c r="BB44" s="28"/>
      <c r="BC44" s="28"/>
      <c r="BD44" s="28"/>
      <c r="BE44" s="28"/>
      <c r="BF44" s="28"/>
      <c r="BG44" s="28"/>
      <c r="BH44" s="28"/>
      <c r="BI44" s="28"/>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AIQ44" s="28"/>
      <c r="AIR44" s="28"/>
      <c r="AIS44" s="28"/>
      <c r="AIT44" s="28"/>
      <c r="AIU44" s="28"/>
      <c r="AIV44" s="28"/>
      <c r="AIW44" s="28"/>
      <c r="AIX44" s="28"/>
      <c r="AIY44" s="28"/>
      <c r="AIZ44" s="28"/>
      <c r="AJA44" s="28"/>
      <c r="AJB44" s="28"/>
      <c r="AJC44" s="28"/>
      <c r="AJD44" s="28"/>
      <c r="AJE44" s="28"/>
      <c r="AJF44" s="28"/>
      <c r="AJG44" s="28"/>
      <c r="AJH44" s="28"/>
      <c r="AJI44" s="28"/>
      <c r="AJJ44" s="28"/>
      <c r="AJK44" s="28"/>
      <c r="AJL44" s="28"/>
      <c r="AJM44" s="28"/>
      <c r="AJN44" s="28"/>
      <c r="AJO44" s="28"/>
      <c r="AJP44" s="28"/>
      <c r="AJQ44" s="28"/>
      <c r="AJR44" s="28"/>
      <c r="AJS44" s="28"/>
      <c r="AJT44" s="28"/>
      <c r="AJU44" s="28"/>
      <c r="AJV44" s="28"/>
      <c r="AJW44" s="28"/>
      <c r="AJX44" s="28"/>
      <c r="AJY44" s="28"/>
      <c r="AJZ44" s="28"/>
      <c r="AKA44" s="28"/>
      <c r="AKB44" s="28"/>
      <c r="AKC44" s="28"/>
      <c r="AKD44" s="28"/>
      <c r="AKE44" s="28"/>
      <c r="AKF44" s="28"/>
      <c r="AKG44" s="28"/>
      <c r="AKH44" s="28"/>
      <c r="AKI44" s="28"/>
      <c r="AKJ44" s="28"/>
      <c r="AKK44" s="28"/>
      <c r="AKL44" s="28"/>
      <c r="AKM44" s="28"/>
      <c r="AKN44" s="28"/>
      <c r="AKO44" s="28"/>
      <c r="AKP44" s="28"/>
      <c r="AKQ44" s="28"/>
      <c r="AKR44" s="28"/>
      <c r="AKS44" s="28"/>
      <c r="AKT44" s="28"/>
      <c r="AKU44" s="28"/>
      <c r="AKV44" s="28"/>
      <c r="AKW44" s="28"/>
      <c r="AKX44" s="28"/>
      <c r="AKY44" s="28"/>
      <c r="AKZ44" s="28"/>
      <c r="ALA44" s="28"/>
      <c r="ALB44" s="28"/>
      <c r="ALC44" s="28"/>
      <c r="ALD44" s="28"/>
      <c r="ALE44" s="28"/>
      <c r="ALF44" s="28"/>
      <c r="ALG44" s="28"/>
      <c r="ALH44" s="28"/>
      <c r="ALI44" s="28"/>
      <c r="ALJ44" s="28"/>
      <c r="ALK44" s="28"/>
      <c r="ALL44" s="28"/>
      <c r="ALM44" s="28"/>
      <c r="ALN44" s="28"/>
      <c r="ALO44" s="28"/>
      <c r="ALP44" s="28"/>
      <c r="ALQ44" s="28"/>
      <c r="ALR44" s="28"/>
      <c r="ALS44" s="28"/>
      <c r="ALT44" s="28"/>
      <c r="ALU44" s="28"/>
      <c r="ALV44" s="28"/>
      <c r="ALW44" s="28"/>
      <c r="ALX44" s="28"/>
      <c r="ALY44" s="28"/>
      <c r="ALZ44" s="28"/>
      <c r="AMA44" s="28"/>
      <c r="AMB44" s="28"/>
      <c r="AMC44" s="28"/>
      <c r="AMD44" s="28"/>
      <c r="AME44" s="28"/>
      <c r="AMF44" s="28"/>
      <c r="AMG44" s="28"/>
      <c r="AMH44" s="28"/>
      <c r="AMI44" s="28"/>
      <c r="AMJ44" s="28"/>
    </row>
    <row r="45" spans="1:1024" s="29" customFormat="1" ht="15.75" customHeight="1" x14ac:dyDescent="0.3">
      <c r="A45" s="600"/>
      <c r="B45" s="601" t="s">
        <v>292</v>
      </c>
      <c r="C45" s="635"/>
      <c r="D45" s="636"/>
      <c r="E45" s="636"/>
      <c r="F45" s="635"/>
      <c r="G45" s="637" t="s">
        <v>289</v>
      </c>
      <c r="H45" s="453" t="s">
        <v>291</v>
      </c>
      <c r="I45" s="461"/>
      <c r="J45" s="30"/>
      <c r="K45" s="28"/>
      <c r="L45" s="28"/>
      <c r="M45" s="28"/>
      <c r="N45" s="28"/>
      <c r="O45" s="28"/>
      <c r="P45" s="28"/>
      <c r="Q45" s="28"/>
      <c r="R45" s="28"/>
      <c r="S45" s="28"/>
      <c r="T45" s="28"/>
      <c r="U45" s="28"/>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28"/>
      <c r="AW45" s="28"/>
      <c r="AX45" s="28"/>
      <c r="AY45" s="28"/>
      <c r="AZ45" s="28"/>
      <c r="BA45" s="28"/>
      <c r="BB45" s="28"/>
      <c r="BC45" s="28"/>
      <c r="BD45" s="28"/>
      <c r="BE45" s="28"/>
      <c r="BF45" s="28"/>
      <c r="BG45" s="28"/>
      <c r="BH45" s="28"/>
      <c r="BI45" s="28"/>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AIQ45" s="28"/>
      <c r="AIR45" s="28"/>
      <c r="AIS45" s="28"/>
      <c r="AIT45" s="28"/>
      <c r="AIU45" s="28"/>
      <c r="AIV45" s="28"/>
      <c r="AIW45" s="28"/>
      <c r="AIX45" s="28"/>
      <c r="AIY45" s="28"/>
      <c r="AIZ45" s="28"/>
      <c r="AJA45" s="28"/>
      <c r="AJB45" s="28"/>
      <c r="AJC45" s="28"/>
      <c r="AJD45" s="28"/>
      <c r="AJE45" s="28"/>
      <c r="AJF45" s="28"/>
      <c r="AJG45" s="28"/>
      <c r="AJH45" s="28"/>
      <c r="AJI45" s="28"/>
      <c r="AJJ45" s="28"/>
      <c r="AJK45" s="28"/>
      <c r="AJL45" s="28"/>
      <c r="AJM45" s="28"/>
      <c r="AJN45" s="28"/>
      <c r="AJO45" s="28"/>
      <c r="AJP45" s="28"/>
      <c r="AJQ45" s="28"/>
      <c r="AJR45" s="28"/>
      <c r="AJS45" s="28"/>
      <c r="AJT45" s="28"/>
      <c r="AJU45" s="28"/>
      <c r="AJV45" s="28"/>
      <c r="AJW45" s="28"/>
      <c r="AJX45" s="28"/>
      <c r="AJY45" s="28"/>
      <c r="AJZ45" s="28"/>
      <c r="AKA45" s="28"/>
      <c r="AKB45" s="28"/>
      <c r="AKC45" s="28"/>
      <c r="AKD45" s="28"/>
      <c r="AKE45" s="28"/>
      <c r="AKF45" s="28"/>
      <c r="AKG45" s="28"/>
      <c r="AKH45" s="28"/>
      <c r="AKI45" s="28"/>
      <c r="AKJ45" s="28"/>
      <c r="AKK45" s="28"/>
      <c r="AKL45" s="28"/>
      <c r="AKM45" s="28"/>
      <c r="AKN45" s="28"/>
      <c r="AKO45" s="28"/>
      <c r="AKP45" s="28"/>
      <c r="AKQ45" s="28"/>
      <c r="AKR45" s="28"/>
      <c r="AKS45" s="28"/>
      <c r="AKT45" s="28"/>
      <c r="AKU45" s="28"/>
      <c r="AKV45" s="28"/>
      <c r="AKW45" s="28"/>
      <c r="AKX45" s="28"/>
      <c r="AKY45" s="28"/>
      <c r="AKZ45" s="28"/>
      <c r="ALA45" s="28"/>
      <c r="ALB45" s="28"/>
      <c r="ALC45" s="28"/>
      <c r="ALD45" s="28"/>
      <c r="ALE45" s="28"/>
      <c r="ALF45" s="28"/>
      <c r="ALG45" s="28"/>
      <c r="ALH45" s="28"/>
      <c r="ALI45" s="28"/>
      <c r="ALJ45" s="28"/>
      <c r="ALK45" s="28"/>
      <c r="ALL45" s="28"/>
      <c r="ALM45" s="28"/>
      <c r="ALN45" s="28"/>
      <c r="ALO45" s="28"/>
      <c r="ALP45" s="28"/>
      <c r="ALQ45" s="28"/>
      <c r="ALR45" s="28"/>
      <c r="ALS45" s="28"/>
      <c r="ALT45" s="28"/>
      <c r="ALU45" s="28"/>
      <c r="ALV45" s="28"/>
      <c r="ALW45" s="28"/>
      <c r="ALX45" s="28"/>
      <c r="ALY45" s="28"/>
      <c r="ALZ45" s="28"/>
      <c r="AMA45" s="28"/>
      <c r="AMB45" s="28"/>
      <c r="AMC45" s="28"/>
      <c r="AMD45" s="28"/>
      <c r="AME45" s="28"/>
      <c r="AMF45" s="28"/>
      <c r="AMG45" s="28"/>
      <c r="AMH45" s="28"/>
      <c r="AMI45" s="28"/>
      <c r="AMJ45" s="28"/>
    </row>
    <row r="46" spans="1:1024" s="29" customFormat="1" ht="15.75" customHeight="1" x14ac:dyDescent="0.3">
      <c r="A46" s="593" t="s">
        <v>293</v>
      </c>
      <c r="B46" s="594" t="s">
        <v>294</v>
      </c>
      <c r="C46" s="638"/>
      <c r="D46" s="638"/>
      <c r="E46" s="638"/>
      <c r="F46" s="639"/>
      <c r="G46" s="640"/>
      <c r="H46" s="640"/>
      <c r="I46" s="608"/>
      <c r="J46" s="30"/>
      <c r="K46" s="28"/>
      <c r="L46" s="28"/>
      <c r="M46" s="28"/>
      <c r="N46" s="28"/>
      <c r="O46" s="28"/>
      <c r="P46" s="28"/>
      <c r="Q46" s="28"/>
      <c r="R46" s="28"/>
      <c r="S46" s="28"/>
      <c r="T46" s="28"/>
      <c r="U46" s="28"/>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28"/>
      <c r="AW46" s="28"/>
      <c r="AX46" s="28"/>
      <c r="AY46" s="28"/>
      <c r="AZ46" s="28"/>
      <c r="BA46" s="28"/>
      <c r="BB46" s="28"/>
      <c r="BC46" s="28"/>
      <c r="BD46" s="28"/>
      <c r="BE46" s="28"/>
      <c r="BF46" s="28"/>
      <c r="BG46" s="28"/>
      <c r="BH46" s="28"/>
      <c r="BI46" s="28"/>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AIQ46" s="28"/>
      <c r="AIR46" s="28"/>
      <c r="AIS46" s="28"/>
      <c r="AIT46" s="28"/>
      <c r="AIU46" s="28"/>
      <c r="AIV46" s="28"/>
      <c r="AIW46" s="28"/>
      <c r="AIX46" s="28"/>
      <c r="AIY46" s="28"/>
      <c r="AIZ46" s="28"/>
      <c r="AJA46" s="28"/>
      <c r="AJB46" s="28"/>
      <c r="AJC46" s="28"/>
      <c r="AJD46" s="28"/>
      <c r="AJE46" s="28"/>
      <c r="AJF46" s="28"/>
      <c r="AJG46" s="28"/>
      <c r="AJH46" s="28"/>
      <c r="AJI46" s="28"/>
      <c r="AJJ46" s="28"/>
      <c r="AJK46" s="28"/>
      <c r="AJL46" s="28"/>
      <c r="AJM46" s="28"/>
      <c r="AJN46" s="28"/>
      <c r="AJO46" s="28"/>
      <c r="AJP46" s="28"/>
      <c r="AJQ46" s="28"/>
      <c r="AJR46" s="28"/>
      <c r="AJS46" s="28"/>
      <c r="AJT46" s="28"/>
      <c r="AJU46" s="28"/>
      <c r="AJV46" s="28"/>
      <c r="AJW46" s="28"/>
      <c r="AJX46" s="28"/>
      <c r="AJY46" s="28"/>
      <c r="AJZ46" s="28"/>
      <c r="AKA46" s="28"/>
      <c r="AKB46" s="28"/>
      <c r="AKC46" s="28"/>
      <c r="AKD46" s="28"/>
      <c r="AKE46" s="28"/>
      <c r="AKF46" s="28"/>
      <c r="AKG46" s="28"/>
      <c r="AKH46" s="28"/>
      <c r="AKI46" s="28"/>
      <c r="AKJ46" s="28"/>
      <c r="AKK46" s="28"/>
      <c r="AKL46" s="28"/>
      <c r="AKM46" s="28"/>
      <c r="AKN46" s="28"/>
      <c r="AKO46" s="28"/>
      <c r="AKP46" s="28"/>
      <c r="AKQ46" s="28"/>
      <c r="AKR46" s="28"/>
      <c r="AKS46" s="28"/>
      <c r="AKT46" s="28"/>
      <c r="AKU46" s="28"/>
      <c r="AKV46" s="28"/>
      <c r="AKW46" s="28"/>
      <c r="AKX46" s="28"/>
      <c r="AKY46" s="28"/>
      <c r="AKZ46" s="28"/>
      <c r="ALA46" s="28"/>
      <c r="ALB46" s="28"/>
      <c r="ALC46" s="28"/>
      <c r="ALD46" s="28"/>
      <c r="ALE46" s="28"/>
      <c r="ALF46" s="28"/>
      <c r="ALG46" s="28"/>
      <c r="ALH46" s="28"/>
      <c r="ALI46" s="28"/>
      <c r="ALJ46" s="28"/>
      <c r="ALK46" s="28"/>
      <c r="ALL46" s="28"/>
      <c r="ALM46" s="28"/>
      <c r="ALN46" s="28"/>
      <c r="ALO46" s="28"/>
      <c r="ALP46" s="28"/>
      <c r="ALQ46" s="28"/>
      <c r="ALR46" s="28"/>
      <c r="ALS46" s="28"/>
      <c r="ALT46" s="28"/>
      <c r="ALU46" s="28"/>
      <c r="ALV46" s="28"/>
      <c r="ALW46" s="28"/>
      <c r="ALX46" s="28"/>
      <c r="ALY46" s="28"/>
      <c r="ALZ46" s="28"/>
      <c r="AMA46" s="28"/>
      <c r="AMB46" s="28"/>
      <c r="AMC46" s="28"/>
      <c r="AMD46" s="28"/>
      <c r="AME46" s="28"/>
      <c r="AMF46" s="28"/>
      <c r="AMG46" s="28"/>
      <c r="AMH46" s="28"/>
      <c r="AMI46" s="28"/>
      <c r="AMJ46" s="28"/>
    </row>
    <row r="47" spans="1:1024" s="29" customFormat="1" ht="15.75" customHeight="1" x14ac:dyDescent="0.3">
      <c r="A47" s="600"/>
      <c r="B47" s="601" t="s">
        <v>295</v>
      </c>
      <c r="C47" s="635"/>
      <c r="D47" s="636"/>
      <c r="E47" s="636"/>
      <c r="F47" s="635"/>
      <c r="G47" s="637" t="s">
        <v>289</v>
      </c>
      <c r="H47" s="637" t="s">
        <v>289</v>
      </c>
      <c r="I47" s="461"/>
      <c r="J47" s="30"/>
      <c r="K47" s="28"/>
      <c r="L47" s="28"/>
      <c r="M47" s="28"/>
      <c r="N47" s="28"/>
      <c r="O47" s="28"/>
      <c r="P47" s="28"/>
      <c r="Q47" s="28"/>
      <c r="R47" s="28"/>
      <c r="S47" s="28"/>
      <c r="T47" s="28"/>
      <c r="U47" s="28"/>
      <c r="V47" s="28"/>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28"/>
      <c r="AW47" s="28"/>
      <c r="AX47" s="28"/>
      <c r="AY47" s="28"/>
      <c r="AZ47" s="28"/>
      <c r="BA47" s="28"/>
      <c r="BB47" s="28"/>
      <c r="BC47" s="28"/>
      <c r="BD47" s="28"/>
      <c r="BE47" s="28"/>
      <c r="BF47" s="28"/>
      <c r="BG47" s="28"/>
      <c r="BH47" s="28"/>
      <c r="BI47" s="28"/>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AIQ47" s="28"/>
      <c r="AIR47" s="28"/>
      <c r="AIS47" s="28"/>
      <c r="AIT47" s="28"/>
      <c r="AIU47" s="28"/>
      <c r="AIV47" s="28"/>
      <c r="AIW47" s="28"/>
      <c r="AIX47" s="28"/>
      <c r="AIY47" s="28"/>
      <c r="AIZ47" s="28"/>
      <c r="AJA47" s="28"/>
      <c r="AJB47" s="28"/>
      <c r="AJC47" s="28"/>
      <c r="AJD47" s="28"/>
      <c r="AJE47" s="28"/>
      <c r="AJF47" s="28"/>
      <c r="AJG47" s="28"/>
      <c r="AJH47" s="28"/>
      <c r="AJI47" s="28"/>
      <c r="AJJ47" s="28"/>
      <c r="AJK47" s="28"/>
      <c r="AJL47" s="28"/>
      <c r="AJM47" s="28"/>
      <c r="AJN47" s="28"/>
      <c r="AJO47" s="28"/>
      <c r="AJP47" s="28"/>
      <c r="AJQ47" s="28"/>
      <c r="AJR47" s="28"/>
      <c r="AJS47" s="28"/>
      <c r="AJT47" s="28"/>
      <c r="AJU47" s="28"/>
      <c r="AJV47" s="28"/>
      <c r="AJW47" s="28"/>
      <c r="AJX47" s="28"/>
      <c r="AJY47" s="28"/>
      <c r="AJZ47" s="28"/>
      <c r="AKA47" s="28"/>
      <c r="AKB47" s="28"/>
      <c r="AKC47" s="28"/>
      <c r="AKD47" s="28"/>
      <c r="AKE47" s="28"/>
      <c r="AKF47" s="28"/>
      <c r="AKG47" s="28"/>
      <c r="AKH47" s="28"/>
      <c r="AKI47" s="28"/>
      <c r="AKJ47" s="28"/>
      <c r="AKK47" s="28"/>
      <c r="AKL47" s="28"/>
      <c r="AKM47" s="28"/>
      <c r="AKN47" s="28"/>
      <c r="AKO47" s="28"/>
      <c r="AKP47" s="28"/>
      <c r="AKQ47" s="28"/>
      <c r="AKR47" s="28"/>
      <c r="AKS47" s="28"/>
      <c r="AKT47" s="28"/>
      <c r="AKU47" s="28"/>
      <c r="AKV47" s="28"/>
      <c r="AKW47" s="28"/>
      <c r="AKX47" s="28"/>
      <c r="AKY47" s="28"/>
      <c r="AKZ47" s="28"/>
      <c r="ALA47" s="28"/>
      <c r="ALB47" s="28"/>
      <c r="ALC47" s="28"/>
      <c r="ALD47" s="28"/>
      <c r="ALE47" s="28"/>
      <c r="ALF47" s="28"/>
      <c r="ALG47" s="28"/>
      <c r="ALH47" s="28"/>
      <c r="ALI47" s="28"/>
      <c r="ALJ47" s="28"/>
      <c r="ALK47" s="28"/>
      <c r="ALL47" s="28"/>
      <c r="ALM47" s="28"/>
      <c r="ALN47" s="28"/>
      <c r="ALO47" s="28"/>
      <c r="ALP47" s="28"/>
      <c r="ALQ47" s="28"/>
      <c r="ALR47" s="28"/>
      <c r="ALS47" s="28"/>
      <c r="ALT47" s="28"/>
      <c r="ALU47" s="28"/>
      <c r="ALV47" s="28"/>
      <c r="ALW47" s="28"/>
      <c r="ALX47" s="28"/>
      <c r="ALY47" s="28"/>
      <c r="ALZ47" s="28"/>
      <c r="AMA47" s="28"/>
      <c r="AMB47" s="28"/>
      <c r="AMC47" s="28"/>
      <c r="AMD47" s="28"/>
      <c r="AME47" s="28"/>
      <c r="AMF47" s="28"/>
      <c r="AMG47" s="28"/>
      <c r="AMH47" s="28"/>
      <c r="AMI47" s="28"/>
      <c r="AMJ47" s="28"/>
    </row>
    <row r="48" spans="1:1024" s="29" customFormat="1" ht="15.75" customHeight="1" x14ac:dyDescent="0.3">
      <c r="A48" s="613"/>
      <c r="B48" s="601" t="s">
        <v>296</v>
      </c>
      <c r="C48" s="635"/>
      <c r="D48" s="636"/>
      <c r="E48" s="636"/>
      <c r="F48" s="635"/>
      <c r="G48" s="637" t="s">
        <v>289</v>
      </c>
      <c r="H48" s="637" t="s">
        <v>289</v>
      </c>
      <c r="I48" s="461"/>
      <c r="J48" s="30"/>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AIQ48" s="28"/>
      <c r="AIR48" s="28"/>
      <c r="AIS48" s="28"/>
      <c r="AIT48" s="28"/>
      <c r="AIU48" s="28"/>
      <c r="AIV48" s="28"/>
      <c r="AIW48" s="28"/>
      <c r="AIX48" s="28"/>
      <c r="AIY48" s="28"/>
      <c r="AIZ48" s="28"/>
      <c r="AJA48" s="28"/>
      <c r="AJB48" s="28"/>
      <c r="AJC48" s="28"/>
      <c r="AJD48" s="28"/>
      <c r="AJE48" s="28"/>
      <c r="AJF48" s="28"/>
      <c r="AJG48" s="28"/>
      <c r="AJH48" s="28"/>
      <c r="AJI48" s="28"/>
      <c r="AJJ48" s="28"/>
      <c r="AJK48" s="28"/>
      <c r="AJL48" s="28"/>
      <c r="AJM48" s="28"/>
      <c r="AJN48" s="28"/>
      <c r="AJO48" s="28"/>
      <c r="AJP48" s="28"/>
      <c r="AJQ48" s="28"/>
      <c r="AJR48" s="28"/>
      <c r="AJS48" s="28"/>
      <c r="AJT48" s="28"/>
      <c r="AJU48" s="28"/>
      <c r="AJV48" s="28"/>
      <c r="AJW48" s="28"/>
      <c r="AJX48" s="28"/>
      <c r="AJY48" s="28"/>
      <c r="AJZ48" s="28"/>
      <c r="AKA48" s="28"/>
      <c r="AKB48" s="28"/>
      <c r="AKC48" s="28"/>
      <c r="AKD48" s="28"/>
      <c r="AKE48" s="28"/>
      <c r="AKF48" s="28"/>
      <c r="AKG48" s="28"/>
      <c r="AKH48" s="28"/>
      <c r="AKI48" s="28"/>
      <c r="AKJ48" s="28"/>
      <c r="AKK48" s="28"/>
      <c r="AKL48" s="28"/>
      <c r="AKM48" s="28"/>
      <c r="AKN48" s="28"/>
      <c r="AKO48" s="28"/>
      <c r="AKP48" s="28"/>
      <c r="AKQ48" s="28"/>
      <c r="AKR48" s="28"/>
      <c r="AKS48" s="28"/>
      <c r="AKT48" s="28"/>
      <c r="AKU48" s="28"/>
      <c r="AKV48" s="28"/>
      <c r="AKW48" s="28"/>
      <c r="AKX48" s="28"/>
      <c r="AKY48" s="28"/>
      <c r="AKZ48" s="28"/>
      <c r="ALA48" s="28"/>
      <c r="ALB48" s="28"/>
      <c r="ALC48" s="28"/>
      <c r="ALD48" s="28"/>
      <c r="ALE48" s="28"/>
      <c r="ALF48" s="28"/>
      <c r="ALG48" s="28"/>
      <c r="ALH48" s="28"/>
      <c r="ALI48" s="28"/>
      <c r="ALJ48" s="28"/>
      <c r="ALK48" s="28"/>
      <c r="ALL48" s="28"/>
      <c r="ALM48" s="28"/>
      <c r="ALN48" s="28"/>
      <c r="ALO48" s="28"/>
      <c r="ALP48" s="28"/>
      <c r="ALQ48" s="28"/>
      <c r="ALR48" s="28"/>
      <c r="ALS48" s="28"/>
      <c r="ALT48" s="28"/>
      <c r="ALU48" s="28"/>
      <c r="ALV48" s="28"/>
      <c r="ALW48" s="28"/>
      <c r="ALX48" s="28"/>
      <c r="ALY48" s="28"/>
      <c r="ALZ48" s="28"/>
      <c r="AMA48" s="28"/>
      <c r="AMB48" s="28"/>
      <c r="AMC48" s="28"/>
      <c r="AMD48" s="28"/>
      <c r="AME48" s="28"/>
      <c r="AMF48" s="28"/>
      <c r="AMG48" s="28"/>
      <c r="AMH48" s="28"/>
      <c r="AMI48" s="28"/>
      <c r="AMJ48" s="28"/>
    </row>
    <row r="49" spans="1:1024" s="29" customFormat="1" ht="15.75" customHeight="1" x14ac:dyDescent="0.3">
      <c r="A49" s="613"/>
      <c r="B49" s="601" t="s">
        <v>297</v>
      </c>
      <c r="C49" s="635"/>
      <c r="D49" s="636"/>
      <c r="E49" s="636"/>
      <c r="F49" s="635"/>
      <c r="G49" s="453" t="s">
        <v>298</v>
      </c>
      <c r="H49" s="453" t="s">
        <v>298</v>
      </c>
      <c r="I49" s="461"/>
      <c r="J49" s="30"/>
      <c r="K49" s="28"/>
      <c r="L49" s="28"/>
      <c r="M49" s="28"/>
      <c r="N49" s="28"/>
      <c r="O49" s="28"/>
      <c r="P49" s="28"/>
      <c r="Q49" s="28"/>
      <c r="R49" s="28"/>
      <c r="S49" s="28"/>
      <c r="T49" s="28"/>
      <c r="U49" s="28"/>
      <c r="V49" s="28"/>
      <c r="W49" s="28"/>
      <c r="X49" s="28"/>
      <c r="Y49" s="28"/>
      <c r="Z49" s="28"/>
      <c r="AA49" s="28"/>
      <c r="AB49" s="28"/>
      <c r="AC49" s="28"/>
      <c r="AD49" s="28"/>
      <c r="AE49" s="28"/>
      <c r="AF49" s="28"/>
      <c r="AG49" s="28"/>
      <c r="AH49" s="28"/>
      <c r="AI49" s="28"/>
      <c r="AJ49" s="28"/>
      <c r="AK49" s="28"/>
      <c r="AL49" s="28"/>
      <c r="AM49" s="28"/>
      <c r="AN49" s="28"/>
      <c r="AO49" s="28"/>
      <c r="AP49" s="28"/>
      <c r="AQ49" s="28"/>
      <c r="AR49" s="28"/>
      <c r="AS49" s="28"/>
      <c r="AT49" s="28"/>
      <c r="AU49" s="28"/>
      <c r="AV49" s="28"/>
      <c r="AW49" s="28"/>
      <c r="AX49" s="28"/>
      <c r="AY49" s="28"/>
      <c r="AZ49" s="28"/>
      <c r="BA49" s="28"/>
      <c r="BB49" s="28"/>
      <c r="BC49" s="28"/>
      <c r="BD49" s="28"/>
      <c r="BE49" s="28"/>
      <c r="BF49" s="28"/>
      <c r="BG49" s="28"/>
      <c r="BH49" s="28"/>
      <c r="BI49" s="28"/>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AIQ49" s="28"/>
      <c r="AIR49" s="28"/>
      <c r="AIS49" s="28"/>
      <c r="AIT49" s="28"/>
      <c r="AIU49" s="28"/>
      <c r="AIV49" s="28"/>
      <c r="AIW49" s="28"/>
      <c r="AIX49" s="28"/>
      <c r="AIY49" s="28"/>
      <c r="AIZ49" s="28"/>
      <c r="AJA49" s="28"/>
      <c r="AJB49" s="28"/>
      <c r="AJC49" s="28"/>
      <c r="AJD49" s="28"/>
      <c r="AJE49" s="28"/>
      <c r="AJF49" s="28"/>
      <c r="AJG49" s="28"/>
      <c r="AJH49" s="28"/>
      <c r="AJI49" s="28"/>
      <c r="AJJ49" s="28"/>
      <c r="AJK49" s="28"/>
      <c r="AJL49" s="28"/>
      <c r="AJM49" s="28"/>
      <c r="AJN49" s="28"/>
      <c r="AJO49" s="28"/>
      <c r="AJP49" s="28"/>
      <c r="AJQ49" s="28"/>
      <c r="AJR49" s="28"/>
      <c r="AJS49" s="28"/>
      <c r="AJT49" s="28"/>
      <c r="AJU49" s="28"/>
      <c r="AJV49" s="28"/>
      <c r="AJW49" s="28"/>
      <c r="AJX49" s="28"/>
      <c r="AJY49" s="28"/>
      <c r="AJZ49" s="28"/>
      <c r="AKA49" s="28"/>
      <c r="AKB49" s="28"/>
      <c r="AKC49" s="28"/>
      <c r="AKD49" s="28"/>
      <c r="AKE49" s="28"/>
      <c r="AKF49" s="28"/>
      <c r="AKG49" s="28"/>
      <c r="AKH49" s="28"/>
      <c r="AKI49" s="28"/>
      <c r="AKJ49" s="28"/>
      <c r="AKK49" s="28"/>
      <c r="AKL49" s="28"/>
      <c r="AKM49" s="28"/>
      <c r="AKN49" s="28"/>
      <c r="AKO49" s="28"/>
      <c r="AKP49" s="28"/>
      <c r="AKQ49" s="28"/>
      <c r="AKR49" s="28"/>
      <c r="AKS49" s="28"/>
      <c r="AKT49" s="28"/>
      <c r="AKU49" s="28"/>
      <c r="AKV49" s="28"/>
      <c r="AKW49" s="28"/>
      <c r="AKX49" s="28"/>
      <c r="AKY49" s="28"/>
      <c r="AKZ49" s="28"/>
      <c r="ALA49" s="28"/>
      <c r="ALB49" s="28"/>
      <c r="ALC49" s="28"/>
      <c r="ALD49" s="28"/>
      <c r="ALE49" s="28"/>
      <c r="ALF49" s="28"/>
      <c r="ALG49" s="28"/>
      <c r="ALH49" s="28"/>
      <c r="ALI49" s="28"/>
      <c r="ALJ49" s="28"/>
      <c r="ALK49" s="28"/>
      <c r="ALL49" s="28"/>
      <c r="ALM49" s="28"/>
      <c r="ALN49" s="28"/>
      <c r="ALO49" s="28"/>
      <c r="ALP49" s="28"/>
      <c r="ALQ49" s="28"/>
      <c r="ALR49" s="28"/>
      <c r="ALS49" s="28"/>
      <c r="ALT49" s="28"/>
      <c r="ALU49" s="28"/>
      <c r="ALV49" s="28"/>
      <c r="ALW49" s="28"/>
      <c r="ALX49" s="28"/>
      <c r="ALY49" s="28"/>
      <c r="ALZ49" s="28"/>
      <c r="AMA49" s="28"/>
      <c r="AMB49" s="28"/>
      <c r="AMC49" s="28"/>
      <c r="AMD49" s="28"/>
      <c r="AME49" s="28"/>
      <c r="AMF49" s="28"/>
      <c r="AMG49" s="28"/>
      <c r="AMH49" s="28"/>
      <c r="AMI49" s="28"/>
      <c r="AMJ49" s="28"/>
    </row>
    <row r="50" spans="1:1024" s="29" customFormat="1" ht="15.75" customHeight="1" x14ac:dyDescent="0.3">
      <c r="A50" s="613"/>
      <c r="B50" s="601" t="s">
        <v>299</v>
      </c>
      <c r="C50" s="635"/>
      <c r="D50" s="636"/>
      <c r="E50" s="636"/>
      <c r="F50" s="635"/>
      <c r="G50" s="453" t="s">
        <v>234</v>
      </c>
      <c r="H50" s="453" t="s">
        <v>234</v>
      </c>
      <c r="I50" s="461"/>
      <c r="J50" s="30"/>
      <c r="K50" s="28"/>
      <c r="L50" s="28"/>
      <c r="M50" s="28"/>
      <c r="N50" s="28"/>
      <c r="O50" s="28"/>
      <c r="P50" s="28"/>
      <c r="Q50" s="28"/>
      <c r="R50" s="28"/>
      <c r="S50" s="28"/>
      <c r="T50" s="28"/>
      <c r="U50" s="28"/>
      <c r="V50" s="28"/>
      <c r="W50" s="28"/>
      <c r="X50" s="28"/>
      <c r="Y50" s="28"/>
      <c r="Z50" s="28"/>
      <c r="AA50" s="28"/>
      <c r="AB50" s="28"/>
      <c r="AC50" s="28"/>
      <c r="AD50" s="28"/>
      <c r="AE50" s="28"/>
      <c r="AF50" s="28"/>
      <c r="AG50" s="28"/>
      <c r="AH50" s="28"/>
      <c r="AI50" s="28"/>
      <c r="AJ50" s="28"/>
      <c r="AK50" s="28"/>
      <c r="AL50" s="28"/>
      <c r="AM50" s="28"/>
      <c r="AN50" s="28"/>
      <c r="AO50" s="28"/>
      <c r="AP50" s="28"/>
      <c r="AQ50" s="28"/>
      <c r="AR50" s="28"/>
      <c r="AS50" s="28"/>
      <c r="AT50" s="28"/>
      <c r="AU50" s="28"/>
      <c r="AV50" s="28"/>
      <c r="AW50" s="28"/>
      <c r="AX50" s="28"/>
      <c r="AY50" s="28"/>
      <c r="AZ50" s="28"/>
      <c r="BA50" s="28"/>
      <c r="BB50" s="28"/>
      <c r="BC50" s="28"/>
      <c r="BD50" s="28"/>
      <c r="BE50" s="28"/>
      <c r="BF50" s="28"/>
      <c r="BG50" s="28"/>
      <c r="BH50" s="28"/>
      <c r="BI50" s="28"/>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AIQ50" s="28"/>
      <c r="AIR50" s="28"/>
      <c r="AIS50" s="28"/>
      <c r="AIT50" s="28"/>
      <c r="AIU50" s="28"/>
      <c r="AIV50" s="28"/>
      <c r="AIW50" s="28"/>
      <c r="AIX50" s="28"/>
      <c r="AIY50" s="28"/>
      <c r="AIZ50" s="28"/>
      <c r="AJA50" s="28"/>
      <c r="AJB50" s="28"/>
      <c r="AJC50" s="28"/>
      <c r="AJD50" s="28"/>
      <c r="AJE50" s="28"/>
      <c r="AJF50" s="28"/>
      <c r="AJG50" s="28"/>
      <c r="AJH50" s="28"/>
      <c r="AJI50" s="28"/>
      <c r="AJJ50" s="28"/>
      <c r="AJK50" s="28"/>
      <c r="AJL50" s="28"/>
      <c r="AJM50" s="28"/>
      <c r="AJN50" s="28"/>
      <c r="AJO50" s="28"/>
      <c r="AJP50" s="28"/>
      <c r="AJQ50" s="28"/>
      <c r="AJR50" s="28"/>
      <c r="AJS50" s="28"/>
      <c r="AJT50" s="28"/>
      <c r="AJU50" s="28"/>
      <c r="AJV50" s="28"/>
      <c r="AJW50" s="28"/>
      <c r="AJX50" s="28"/>
      <c r="AJY50" s="28"/>
      <c r="AJZ50" s="28"/>
      <c r="AKA50" s="28"/>
      <c r="AKB50" s="28"/>
      <c r="AKC50" s="28"/>
      <c r="AKD50" s="28"/>
      <c r="AKE50" s="28"/>
      <c r="AKF50" s="28"/>
      <c r="AKG50" s="28"/>
      <c r="AKH50" s="28"/>
      <c r="AKI50" s="28"/>
      <c r="AKJ50" s="28"/>
      <c r="AKK50" s="28"/>
      <c r="AKL50" s="28"/>
      <c r="AKM50" s="28"/>
      <c r="AKN50" s="28"/>
      <c r="AKO50" s="28"/>
      <c r="AKP50" s="28"/>
      <c r="AKQ50" s="28"/>
      <c r="AKR50" s="28"/>
      <c r="AKS50" s="28"/>
      <c r="AKT50" s="28"/>
      <c r="AKU50" s="28"/>
      <c r="AKV50" s="28"/>
      <c r="AKW50" s="28"/>
      <c r="AKX50" s="28"/>
      <c r="AKY50" s="28"/>
      <c r="AKZ50" s="28"/>
      <c r="ALA50" s="28"/>
      <c r="ALB50" s="28"/>
      <c r="ALC50" s="28"/>
      <c r="ALD50" s="28"/>
      <c r="ALE50" s="28"/>
      <c r="ALF50" s="28"/>
      <c r="ALG50" s="28"/>
      <c r="ALH50" s="28"/>
      <c r="ALI50" s="28"/>
      <c r="ALJ50" s="28"/>
      <c r="ALK50" s="28"/>
      <c r="ALL50" s="28"/>
      <c r="ALM50" s="28"/>
      <c r="ALN50" s="28"/>
      <c r="ALO50" s="28"/>
      <c r="ALP50" s="28"/>
      <c r="ALQ50" s="28"/>
      <c r="ALR50" s="28"/>
      <c r="ALS50" s="28"/>
      <c r="ALT50" s="28"/>
      <c r="ALU50" s="28"/>
      <c r="ALV50" s="28"/>
      <c r="ALW50" s="28"/>
      <c r="ALX50" s="28"/>
      <c r="ALY50" s="28"/>
      <c r="ALZ50" s="28"/>
      <c r="AMA50" s="28"/>
      <c r="AMB50" s="28"/>
      <c r="AMC50" s="28"/>
      <c r="AMD50" s="28"/>
      <c r="AME50" s="28"/>
      <c r="AMF50" s="28"/>
      <c r="AMG50" s="28"/>
      <c r="AMH50" s="28"/>
      <c r="AMI50" s="28"/>
      <c r="AMJ50" s="28"/>
    </row>
    <row r="51" spans="1:1024" s="29" customFormat="1" ht="15.75" customHeight="1" x14ac:dyDescent="0.3">
      <c r="A51" s="593" t="s">
        <v>300</v>
      </c>
      <c r="B51" s="594" t="s">
        <v>301</v>
      </c>
      <c r="C51" s="638"/>
      <c r="D51" s="605"/>
      <c r="E51" s="605"/>
      <c r="F51" s="639"/>
      <c r="G51" s="640"/>
      <c r="H51" s="640"/>
      <c r="I51" s="608"/>
      <c r="J51" s="30"/>
      <c r="K51" s="28"/>
      <c r="L51" s="28"/>
      <c r="M51" s="28"/>
      <c r="N51" s="28"/>
      <c r="O51" s="28"/>
      <c r="P51" s="28"/>
      <c r="Q51" s="28"/>
      <c r="R51" s="28"/>
      <c r="S51" s="28"/>
      <c r="T51" s="28"/>
      <c r="U51" s="28"/>
      <c r="V51" s="28"/>
      <c r="W51" s="28"/>
      <c r="X51" s="28"/>
      <c r="Y51" s="28"/>
      <c r="Z51" s="28"/>
      <c r="AA51" s="28"/>
      <c r="AB51" s="28"/>
      <c r="AC51" s="28"/>
      <c r="AD51" s="28"/>
      <c r="AE51" s="28"/>
      <c r="AF51" s="28"/>
      <c r="AG51" s="28"/>
      <c r="AH51" s="28"/>
      <c r="AI51" s="28"/>
      <c r="AJ51" s="28"/>
      <c r="AK51" s="28"/>
      <c r="AL51" s="28"/>
      <c r="AM51" s="28"/>
      <c r="AN51" s="28"/>
      <c r="AO51" s="28"/>
      <c r="AP51" s="28"/>
      <c r="AQ51" s="28"/>
      <c r="AR51" s="28"/>
      <c r="AS51" s="28"/>
      <c r="AT51" s="28"/>
      <c r="AU51" s="28"/>
      <c r="AV51" s="28"/>
      <c r="AW51" s="28"/>
      <c r="AX51" s="28"/>
      <c r="AY51" s="28"/>
      <c r="AZ51" s="28"/>
      <c r="BA51" s="28"/>
      <c r="BB51" s="28"/>
      <c r="BC51" s="28"/>
      <c r="BD51" s="28"/>
      <c r="BE51" s="28"/>
      <c r="BF51" s="28"/>
      <c r="BG51" s="28"/>
      <c r="BH51" s="28"/>
      <c r="BI51" s="28"/>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AIQ51" s="28"/>
      <c r="AIR51" s="28"/>
      <c r="AIS51" s="28"/>
      <c r="AIT51" s="28"/>
      <c r="AIU51" s="28"/>
      <c r="AIV51" s="28"/>
      <c r="AIW51" s="28"/>
      <c r="AIX51" s="28"/>
      <c r="AIY51" s="28"/>
      <c r="AIZ51" s="28"/>
      <c r="AJA51" s="28"/>
      <c r="AJB51" s="28"/>
      <c r="AJC51" s="28"/>
      <c r="AJD51" s="28"/>
      <c r="AJE51" s="28"/>
      <c r="AJF51" s="28"/>
      <c r="AJG51" s="28"/>
      <c r="AJH51" s="28"/>
      <c r="AJI51" s="28"/>
      <c r="AJJ51" s="28"/>
      <c r="AJK51" s="28"/>
      <c r="AJL51" s="28"/>
      <c r="AJM51" s="28"/>
      <c r="AJN51" s="28"/>
      <c r="AJO51" s="28"/>
      <c r="AJP51" s="28"/>
      <c r="AJQ51" s="28"/>
      <c r="AJR51" s="28"/>
      <c r="AJS51" s="28"/>
      <c r="AJT51" s="28"/>
      <c r="AJU51" s="28"/>
      <c r="AJV51" s="28"/>
      <c r="AJW51" s="28"/>
      <c r="AJX51" s="28"/>
      <c r="AJY51" s="28"/>
      <c r="AJZ51" s="28"/>
      <c r="AKA51" s="28"/>
      <c r="AKB51" s="28"/>
      <c r="AKC51" s="28"/>
      <c r="AKD51" s="28"/>
      <c r="AKE51" s="28"/>
      <c r="AKF51" s="28"/>
      <c r="AKG51" s="28"/>
      <c r="AKH51" s="28"/>
      <c r="AKI51" s="28"/>
      <c r="AKJ51" s="28"/>
      <c r="AKK51" s="28"/>
      <c r="AKL51" s="28"/>
      <c r="AKM51" s="28"/>
      <c r="AKN51" s="28"/>
      <c r="AKO51" s="28"/>
      <c r="AKP51" s="28"/>
      <c r="AKQ51" s="28"/>
      <c r="AKR51" s="28"/>
      <c r="AKS51" s="28"/>
      <c r="AKT51" s="28"/>
      <c r="AKU51" s="28"/>
      <c r="AKV51" s="28"/>
      <c r="AKW51" s="28"/>
      <c r="AKX51" s="28"/>
      <c r="AKY51" s="28"/>
      <c r="AKZ51" s="28"/>
      <c r="ALA51" s="28"/>
      <c r="ALB51" s="28"/>
      <c r="ALC51" s="28"/>
      <c r="ALD51" s="28"/>
      <c r="ALE51" s="28"/>
      <c r="ALF51" s="28"/>
      <c r="ALG51" s="28"/>
      <c r="ALH51" s="28"/>
      <c r="ALI51" s="28"/>
      <c r="ALJ51" s="28"/>
      <c r="ALK51" s="28"/>
      <c r="ALL51" s="28"/>
      <c r="ALM51" s="28"/>
      <c r="ALN51" s="28"/>
      <c r="ALO51" s="28"/>
      <c r="ALP51" s="28"/>
      <c r="ALQ51" s="28"/>
      <c r="ALR51" s="28"/>
      <c r="ALS51" s="28"/>
      <c r="ALT51" s="28"/>
      <c r="ALU51" s="28"/>
      <c r="ALV51" s="28"/>
      <c r="ALW51" s="28"/>
      <c r="ALX51" s="28"/>
      <c r="ALY51" s="28"/>
      <c r="ALZ51" s="28"/>
      <c r="AMA51" s="28"/>
      <c r="AMB51" s="28"/>
      <c r="AMC51" s="28"/>
      <c r="AMD51" s="28"/>
      <c r="AME51" s="28"/>
      <c r="AMF51" s="28"/>
      <c r="AMG51" s="28"/>
      <c r="AMH51" s="28"/>
      <c r="AMI51" s="28"/>
      <c r="AMJ51" s="28"/>
    </row>
    <row r="52" spans="1:1024" s="36" customFormat="1" ht="15.75" customHeight="1" x14ac:dyDescent="0.3">
      <c r="A52" s="613" t="s">
        <v>222</v>
      </c>
      <c r="B52" s="601" t="s">
        <v>302</v>
      </c>
      <c r="C52" s="641"/>
      <c r="D52" s="615"/>
      <c r="E52" s="615"/>
      <c r="F52" s="642"/>
      <c r="G52" s="643" t="s">
        <v>303</v>
      </c>
      <c r="H52" s="643" t="s">
        <v>259</v>
      </c>
      <c r="I52" s="611"/>
      <c r="J52" s="30"/>
      <c r="K52" s="28"/>
      <c r="L52" s="28"/>
      <c r="M52" s="28"/>
      <c r="N52" s="28"/>
      <c r="O52" s="28"/>
      <c r="P52" s="28"/>
      <c r="Q52" s="28"/>
      <c r="R52" s="28"/>
      <c r="S52" s="28"/>
      <c r="T52" s="28"/>
      <c r="U52" s="28"/>
      <c r="V52" s="28"/>
      <c r="W52" s="28"/>
      <c r="X52" s="28"/>
      <c r="Y52" s="28"/>
      <c r="Z52" s="28"/>
      <c r="AA52" s="28"/>
      <c r="AB52" s="28"/>
      <c r="AC52" s="28"/>
      <c r="AD52" s="28"/>
      <c r="AE52" s="28"/>
      <c r="AF52" s="28"/>
      <c r="AG52" s="28"/>
      <c r="AH52" s="28"/>
      <c r="AI52" s="28"/>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c r="BJ52" s="35"/>
      <c r="BK52" s="35"/>
      <c r="BL52" s="35"/>
      <c r="BM52" s="35"/>
      <c r="BN52" s="35"/>
      <c r="BO52" s="35"/>
      <c r="BP52" s="35"/>
      <c r="BQ52" s="35"/>
      <c r="BR52" s="35"/>
      <c r="BS52" s="35"/>
      <c r="BT52" s="35"/>
      <c r="BU52" s="35"/>
      <c r="BV52" s="35"/>
      <c r="BW52" s="35"/>
      <c r="BX52" s="35"/>
      <c r="BY52" s="35"/>
      <c r="BZ52" s="35"/>
      <c r="CA52" s="35"/>
      <c r="CB52" s="35"/>
      <c r="CC52" s="35"/>
      <c r="CD52" s="35"/>
      <c r="CE52" s="35"/>
      <c r="CF52" s="35"/>
      <c r="CG52" s="35"/>
      <c r="CH52" s="35"/>
      <c r="CI52" s="35"/>
      <c r="CJ52" s="35"/>
      <c r="CK52" s="35"/>
      <c r="CL52" s="35"/>
      <c r="CM52" s="35"/>
      <c r="CN52" s="35"/>
      <c r="CO52" s="35"/>
      <c r="CP52" s="35"/>
      <c r="CQ52" s="35"/>
      <c r="CR52" s="35"/>
      <c r="CS52" s="35"/>
      <c r="CT52" s="35"/>
      <c r="CU52" s="35"/>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c r="EF52" s="35"/>
      <c r="EG52" s="35"/>
      <c r="EH52" s="35"/>
      <c r="EI52" s="35"/>
      <c r="EJ52" s="35"/>
      <c r="EK52" s="35"/>
      <c r="EL52" s="35"/>
      <c r="EM52" s="35"/>
      <c r="EN52" s="35"/>
      <c r="EO52" s="35"/>
      <c r="EP52" s="35"/>
      <c r="EQ52" s="35"/>
      <c r="ER52" s="35"/>
      <c r="ES52" s="35"/>
      <c r="ET52" s="35"/>
      <c r="EU52" s="35"/>
      <c r="EV52" s="35"/>
      <c r="EW52" s="35"/>
      <c r="EX52" s="35"/>
      <c r="EY52" s="35"/>
      <c r="EZ52" s="35"/>
      <c r="FA52" s="35"/>
    </row>
    <row r="53" spans="1:1024" s="29" customFormat="1" ht="15.75" customHeight="1" x14ac:dyDescent="0.3">
      <c r="A53" s="593" t="s">
        <v>304</v>
      </c>
      <c r="B53" s="594" t="s">
        <v>305</v>
      </c>
      <c r="C53" s="638"/>
      <c r="D53" s="605"/>
      <c r="E53" s="605"/>
      <c r="F53" s="639"/>
      <c r="G53" s="640"/>
      <c r="H53" s="640"/>
      <c r="I53" s="608"/>
      <c r="J53" s="30"/>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c r="AJ53" s="28"/>
      <c r="AK53" s="28"/>
      <c r="AL53" s="28"/>
      <c r="AM53" s="28"/>
      <c r="AN53" s="28"/>
      <c r="AO53" s="28"/>
      <c r="AP53" s="28"/>
      <c r="AQ53" s="28"/>
      <c r="AR53" s="28"/>
      <c r="AS53" s="28"/>
      <c r="AT53" s="28"/>
      <c r="AU53" s="28"/>
      <c r="AV53" s="28"/>
      <c r="AW53" s="28"/>
      <c r="AX53" s="28"/>
      <c r="AY53" s="28"/>
      <c r="AZ53" s="28"/>
      <c r="BA53" s="28"/>
      <c r="BB53" s="28"/>
      <c r="BC53" s="28"/>
      <c r="BD53" s="28"/>
      <c r="BE53" s="28"/>
      <c r="BF53" s="28"/>
      <c r="BG53" s="28"/>
      <c r="BH53" s="28"/>
      <c r="BI53" s="28"/>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AIQ53" s="28"/>
      <c r="AIR53" s="28"/>
      <c r="AIS53" s="28"/>
      <c r="AIT53" s="28"/>
      <c r="AIU53" s="28"/>
      <c r="AIV53" s="28"/>
      <c r="AIW53" s="28"/>
      <c r="AIX53" s="28"/>
      <c r="AIY53" s="28"/>
      <c r="AIZ53" s="28"/>
      <c r="AJA53" s="28"/>
      <c r="AJB53" s="28"/>
      <c r="AJC53" s="28"/>
      <c r="AJD53" s="28"/>
      <c r="AJE53" s="28"/>
      <c r="AJF53" s="28"/>
      <c r="AJG53" s="28"/>
      <c r="AJH53" s="28"/>
      <c r="AJI53" s="28"/>
      <c r="AJJ53" s="28"/>
      <c r="AJK53" s="28"/>
      <c r="AJL53" s="28"/>
      <c r="AJM53" s="28"/>
      <c r="AJN53" s="28"/>
      <c r="AJO53" s="28"/>
      <c r="AJP53" s="28"/>
      <c r="AJQ53" s="28"/>
      <c r="AJR53" s="28"/>
      <c r="AJS53" s="28"/>
      <c r="AJT53" s="28"/>
      <c r="AJU53" s="28"/>
      <c r="AJV53" s="28"/>
      <c r="AJW53" s="28"/>
      <c r="AJX53" s="28"/>
      <c r="AJY53" s="28"/>
      <c r="AJZ53" s="28"/>
      <c r="AKA53" s="28"/>
      <c r="AKB53" s="28"/>
      <c r="AKC53" s="28"/>
      <c r="AKD53" s="28"/>
      <c r="AKE53" s="28"/>
      <c r="AKF53" s="28"/>
      <c r="AKG53" s="28"/>
      <c r="AKH53" s="28"/>
      <c r="AKI53" s="28"/>
      <c r="AKJ53" s="28"/>
      <c r="AKK53" s="28"/>
      <c r="AKL53" s="28"/>
      <c r="AKM53" s="28"/>
      <c r="AKN53" s="28"/>
      <c r="AKO53" s="28"/>
      <c r="AKP53" s="28"/>
      <c r="AKQ53" s="28"/>
      <c r="AKR53" s="28"/>
      <c r="AKS53" s="28"/>
      <c r="AKT53" s="28"/>
      <c r="AKU53" s="28"/>
      <c r="AKV53" s="28"/>
      <c r="AKW53" s="28"/>
      <c r="AKX53" s="28"/>
      <c r="AKY53" s="28"/>
      <c r="AKZ53" s="28"/>
      <c r="ALA53" s="28"/>
      <c r="ALB53" s="28"/>
      <c r="ALC53" s="28"/>
      <c r="ALD53" s="28"/>
      <c r="ALE53" s="28"/>
      <c r="ALF53" s="28"/>
      <c r="ALG53" s="28"/>
      <c r="ALH53" s="28"/>
      <c r="ALI53" s="28"/>
      <c r="ALJ53" s="28"/>
      <c r="ALK53" s="28"/>
      <c r="ALL53" s="28"/>
      <c r="ALM53" s="28"/>
      <c r="ALN53" s="28"/>
      <c r="ALO53" s="28"/>
      <c r="ALP53" s="28"/>
      <c r="ALQ53" s="28"/>
      <c r="ALR53" s="28"/>
      <c r="ALS53" s="28"/>
      <c r="ALT53" s="28"/>
      <c r="ALU53" s="28"/>
      <c r="ALV53" s="28"/>
      <c r="ALW53" s="28"/>
      <c r="ALX53" s="28"/>
      <c r="ALY53" s="28"/>
      <c r="ALZ53" s="28"/>
      <c r="AMA53" s="28"/>
      <c r="AMB53" s="28"/>
      <c r="AMC53" s="28"/>
      <c r="AMD53" s="28"/>
      <c r="AME53" s="28"/>
      <c r="AMF53" s="28"/>
      <c r="AMG53" s="28"/>
      <c r="AMH53" s="28"/>
      <c r="AMI53" s="28"/>
      <c r="AMJ53" s="28"/>
    </row>
    <row r="54" spans="1:1024" s="36" customFormat="1" ht="15.75" customHeight="1" x14ac:dyDescent="0.3">
      <c r="A54" s="613" t="s">
        <v>222</v>
      </c>
      <c r="B54" s="644" t="s">
        <v>306</v>
      </c>
      <c r="C54" s="641"/>
      <c r="D54" s="615"/>
      <c r="E54" s="615"/>
      <c r="F54" s="642"/>
      <c r="G54" s="643" t="s">
        <v>282</v>
      </c>
      <c r="H54" s="643" t="s">
        <v>259</v>
      </c>
      <c r="I54" s="611"/>
      <c r="J54" s="30"/>
      <c r="K54" s="28"/>
      <c r="L54" s="28"/>
      <c r="M54" s="28"/>
      <c r="N54" s="28"/>
      <c r="O54" s="28"/>
      <c r="P54" s="28"/>
      <c r="Q54" s="28"/>
      <c r="R54" s="28"/>
      <c r="S54" s="28"/>
      <c r="T54" s="28"/>
      <c r="U54" s="28"/>
      <c r="V54" s="28"/>
      <c r="W54" s="28"/>
      <c r="X54" s="28"/>
      <c r="Y54" s="28"/>
      <c r="Z54" s="28"/>
      <c r="AA54" s="28"/>
      <c r="AB54" s="28"/>
      <c r="AC54" s="28"/>
      <c r="AD54" s="28"/>
      <c r="AE54" s="28"/>
      <c r="AF54" s="28"/>
      <c r="AG54" s="28"/>
      <c r="AH54" s="28"/>
      <c r="AI54" s="28"/>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c r="BJ54" s="35"/>
      <c r="BK54" s="35"/>
      <c r="BL54" s="35"/>
      <c r="BM54" s="35"/>
      <c r="BN54" s="35"/>
      <c r="BO54" s="35"/>
      <c r="BP54" s="35"/>
      <c r="BQ54" s="35"/>
      <c r="BR54" s="35"/>
      <c r="BS54" s="35"/>
      <c r="BT54" s="35"/>
      <c r="BU54" s="35"/>
      <c r="BV54" s="35"/>
      <c r="BW54" s="35"/>
      <c r="BX54" s="35"/>
      <c r="BY54" s="35"/>
      <c r="BZ54" s="35"/>
      <c r="CA54" s="35"/>
      <c r="CB54" s="35"/>
      <c r="CC54" s="35"/>
      <c r="CD54" s="35"/>
      <c r="CE54" s="35"/>
      <c r="CF54" s="35"/>
      <c r="CG54" s="35"/>
      <c r="CH54" s="35"/>
      <c r="CI54" s="35"/>
      <c r="CJ54" s="35"/>
      <c r="CK54" s="35"/>
      <c r="CL54" s="35"/>
      <c r="CM54" s="35"/>
      <c r="CN54" s="35"/>
      <c r="CO54" s="35"/>
      <c r="CP54" s="35"/>
      <c r="CQ54" s="35"/>
      <c r="CR54" s="35"/>
      <c r="CS54" s="35"/>
      <c r="CT54" s="35"/>
      <c r="CU54" s="35"/>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c r="EF54" s="35"/>
      <c r="EG54" s="35"/>
      <c r="EH54" s="35"/>
      <c r="EI54" s="35"/>
      <c r="EJ54" s="35"/>
      <c r="EK54" s="35"/>
      <c r="EL54" s="35"/>
      <c r="EM54" s="35"/>
      <c r="EN54" s="35"/>
      <c r="EO54" s="35"/>
      <c r="EP54" s="35"/>
      <c r="EQ54" s="35"/>
      <c r="ER54" s="35"/>
      <c r="ES54" s="35"/>
      <c r="ET54" s="35"/>
      <c r="EU54" s="35"/>
      <c r="EV54" s="35"/>
      <c r="EW54" s="35"/>
      <c r="EX54" s="35"/>
      <c r="EY54" s="35"/>
      <c r="EZ54" s="35"/>
      <c r="FA54" s="35"/>
    </row>
    <row r="55" spans="1:1024" s="29" customFormat="1" ht="15.75" customHeight="1" x14ac:dyDescent="0.3">
      <c r="A55" s="593" t="s">
        <v>307</v>
      </c>
      <c r="B55" s="594" t="s">
        <v>308</v>
      </c>
      <c r="C55" s="638"/>
      <c r="D55" s="605"/>
      <c r="E55" s="605"/>
      <c r="F55" s="639"/>
      <c r="G55" s="640"/>
      <c r="H55" s="640"/>
      <c r="I55" s="608"/>
      <c r="J55" s="30"/>
      <c r="K55" s="28"/>
      <c r="L55" s="28"/>
      <c r="M55" s="28"/>
      <c r="N55" s="28"/>
      <c r="O55" s="28"/>
      <c r="P55" s="28"/>
      <c r="Q55" s="28"/>
      <c r="R55" s="28"/>
      <c r="S55" s="28"/>
      <c r="T55" s="28"/>
      <c r="U55" s="28"/>
      <c r="V55" s="28"/>
      <c r="W55" s="28"/>
      <c r="X55" s="28"/>
      <c r="Y55" s="28"/>
      <c r="Z55" s="28"/>
      <c r="AA55" s="28"/>
      <c r="AB55" s="28"/>
      <c r="AC55" s="28"/>
      <c r="AD55" s="28"/>
      <c r="AE55" s="28"/>
      <c r="AF55" s="28"/>
      <c r="AG55" s="28"/>
      <c r="AH55" s="28"/>
      <c r="AI55" s="28"/>
      <c r="AJ55" s="28"/>
      <c r="AK55" s="28"/>
      <c r="AL55" s="28"/>
      <c r="AM55" s="28"/>
      <c r="AN55" s="28"/>
      <c r="AO55" s="28"/>
      <c r="AP55" s="28"/>
      <c r="AQ55" s="28"/>
      <c r="AR55" s="28"/>
      <c r="AS55" s="28"/>
      <c r="AT55" s="28"/>
      <c r="AU55" s="28"/>
      <c r="AV55" s="28"/>
      <c r="AW55" s="28"/>
      <c r="AX55" s="28"/>
      <c r="AY55" s="28"/>
      <c r="AZ55" s="28"/>
      <c r="BA55" s="28"/>
      <c r="BB55" s="28"/>
      <c r="BC55" s="28"/>
      <c r="BD55" s="28"/>
      <c r="BE55" s="28"/>
      <c r="BF55" s="28"/>
      <c r="BG55" s="28"/>
      <c r="BH55" s="28"/>
      <c r="BI55" s="28"/>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AIQ55" s="28"/>
      <c r="AIR55" s="28"/>
      <c r="AIS55" s="28"/>
      <c r="AIT55" s="28"/>
      <c r="AIU55" s="28"/>
      <c r="AIV55" s="28"/>
      <c r="AIW55" s="28"/>
      <c r="AIX55" s="28"/>
      <c r="AIY55" s="28"/>
      <c r="AIZ55" s="28"/>
      <c r="AJA55" s="28"/>
      <c r="AJB55" s="28"/>
      <c r="AJC55" s="28"/>
      <c r="AJD55" s="28"/>
      <c r="AJE55" s="28"/>
      <c r="AJF55" s="28"/>
      <c r="AJG55" s="28"/>
      <c r="AJH55" s="28"/>
      <c r="AJI55" s="28"/>
      <c r="AJJ55" s="28"/>
      <c r="AJK55" s="28"/>
      <c r="AJL55" s="28"/>
      <c r="AJM55" s="28"/>
      <c r="AJN55" s="28"/>
      <c r="AJO55" s="28"/>
      <c r="AJP55" s="28"/>
      <c r="AJQ55" s="28"/>
      <c r="AJR55" s="28"/>
      <c r="AJS55" s="28"/>
      <c r="AJT55" s="28"/>
      <c r="AJU55" s="28"/>
      <c r="AJV55" s="28"/>
      <c r="AJW55" s="28"/>
      <c r="AJX55" s="28"/>
      <c r="AJY55" s="28"/>
      <c r="AJZ55" s="28"/>
      <c r="AKA55" s="28"/>
      <c r="AKB55" s="28"/>
      <c r="AKC55" s="28"/>
      <c r="AKD55" s="28"/>
      <c r="AKE55" s="28"/>
      <c r="AKF55" s="28"/>
      <c r="AKG55" s="28"/>
      <c r="AKH55" s="28"/>
      <c r="AKI55" s="28"/>
      <c r="AKJ55" s="28"/>
      <c r="AKK55" s="28"/>
      <c r="AKL55" s="28"/>
      <c r="AKM55" s="28"/>
      <c r="AKN55" s="28"/>
      <c r="AKO55" s="28"/>
      <c r="AKP55" s="28"/>
      <c r="AKQ55" s="28"/>
      <c r="AKR55" s="28"/>
      <c r="AKS55" s="28"/>
      <c r="AKT55" s="28"/>
      <c r="AKU55" s="28"/>
      <c r="AKV55" s="28"/>
      <c r="AKW55" s="28"/>
      <c r="AKX55" s="28"/>
      <c r="AKY55" s="28"/>
      <c r="AKZ55" s="28"/>
      <c r="ALA55" s="28"/>
      <c r="ALB55" s="28"/>
      <c r="ALC55" s="28"/>
      <c r="ALD55" s="28"/>
      <c r="ALE55" s="28"/>
      <c r="ALF55" s="28"/>
      <c r="ALG55" s="28"/>
      <c r="ALH55" s="28"/>
      <c r="ALI55" s="28"/>
      <c r="ALJ55" s="28"/>
      <c r="ALK55" s="28"/>
      <c r="ALL55" s="28"/>
      <c r="ALM55" s="28"/>
      <c r="ALN55" s="28"/>
      <c r="ALO55" s="28"/>
      <c r="ALP55" s="28"/>
      <c r="ALQ55" s="28"/>
      <c r="ALR55" s="28"/>
      <c r="ALS55" s="28"/>
      <c r="ALT55" s="28"/>
      <c r="ALU55" s="28"/>
      <c r="ALV55" s="28"/>
      <c r="ALW55" s="28"/>
      <c r="ALX55" s="28"/>
      <c r="ALY55" s="28"/>
      <c r="ALZ55" s="28"/>
      <c r="AMA55" s="28"/>
      <c r="AMB55" s="28"/>
      <c r="AMC55" s="28"/>
      <c r="AMD55" s="28"/>
      <c r="AME55" s="28"/>
      <c r="AMF55" s="28"/>
      <c r="AMG55" s="28"/>
      <c r="AMH55" s="28"/>
      <c r="AMI55" s="28"/>
      <c r="AMJ55" s="28"/>
    </row>
    <row r="56" spans="1:1024" s="37" customFormat="1" ht="15.75" customHeight="1" x14ac:dyDescent="0.35">
      <c r="A56" s="600"/>
      <c r="B56" s="644" t="s">
        <v>309</v>
      </c>
      <c r="C56" s="645"/>
      <c r="D56" s="646"/>
      <c r="E56" s="645"/>
      <c r="F56" s="646"/>
      <c r="G56" s="453" t="s">
        <v>234</v>
      </c>
      <c r="H56" s="643" t="s">
        <v>259</v>
      </c>
      <c r="I56" s="645"/>
      <c r="J56" s="38"/>
      <c r="K56" s="38"/>
      <c r="L56" s="39"/>
      <c r="M56" s="38"/>
      <c r="N56" s="39"/>
      <c r="O56" s="38"/>
      <c r="P56" s="39"/>
      <c r="Q56" s="38"/>
      <c r="R56" s="39"/>
      <c r="S56" s="38"/>
      <c r="T56" s="39"/>
      <c r="U56" s="38"/>
      <c r="V56" s="39"/>
      <c r="W56" s="38"/>
      <c r="X56" s="39"/>
      <c r="Y56" s="38"/>
      <c r="Z56" s="39"/>
      <c r="AA56" s="38"/>
      <c r="AB56" s="39"/>
      <c r="AC56" s="38"/>
      <c r="AD56" s="39"/>
      <c r="AE56" s="38"/>
      <c r="AF56" s="39"/>
      <c r="AG56" s="38"/>
      <c r="AH56" s="39"/>
      <c r="AI56" s="38"/>
      <c r="AJ56" s="39"/>
      <c r="AK56" s="40"/>
      <c r="AL56" s="39"/>
      <c r="AM56" s="40"/>
      <c r="AN56" s="39"/>
      <c r="AO56" s="40"/>
      <c r="AP56" s="39"/>
      <c r="AQ56" s="40"/>
      <c r="AR56" s="39"/>
      <c r="AS56" s="40"/>
      <c r="AT56" s="39"/>
      <c r="AU56" s="40"/>
      <c r="AV56" s="39"/>
      <c r="AW56" s="40"/>
      <c r="AX56" s="39"/>
      <c r="AY56" s="40"/>
      <c r="AZ56" s="39"/>
      <c r="BA56" s="40"/>
      <c r="BB56" s="39"/>
      <c r="BC56" s="40"/>
      <c r="BD56" s="39"/>
      <c r="BE56" s="40"/>
      <c r="BF56" s="39"/>
      <c r="BG56" s="40"/>
      <c r="BH56" s="39"/>
      <c r="BI56" s="40"/>
      <c r="BJ56" s="39"/>
      <c r="BK56" s="40"/>
      <c r="BL56" s="39"/>
      <c r="BM56" s="40"/>
      <c r="BN56" s="39"/>
      <c r="BO56" s="40"/>
      <c r="BP56" s="39"/>
      <c r="BQ56" s="40"/>
      <c r="BR56" s="39"/>
      <c r="BS56" s="40"/>
      <c r="BT56" s="39"/>
      <c r="BU56" s="40"/>
      <c r="BV56" s="39"/>
      <c r="BW56" s="40"/>
      <c r="BX56" s="39"/>
      <c r="BY56" s="40"/>
      <c r="BZ56" s="39"/>
      <c r="CA56" s="40"/>
      <c r="CB56" s="39"/>
      <c r="CC56" s="40"/>
      <c r="CD56" s="39"/>
      <c r="CE56" s="40"/>
      <c r="CF56" s="39"/>
      <c r="CG56" s="40"/>
      <c r="CH56" s="39"/>
      <c r="CI56" s="40"/>
      <c r="CJ56" s="39"/>
      <c r="CK56" s="40"/>
      <c r="CL56" s="39"/>
      <c r="CM56" s="40"/>
      <c r="CN56" s="39"/>
      <c r="CO56" s="40"/>
      <c r="CP56" s="39"/>
      <c r="CQ56" s="40"/>
      <c r="CR56" s="39"/>
      <c r="CS56" s="40"/>
      <c r="CT56" s="39"/>
      <c r="CU56" s="40"/>
      <c r="CV56" s="39"/>
      <c r="CW56" s="40"/>
      <c r="CX56" s="39"/>
      <c r="CY56" s="40"/>
      <c r="CZ56" s="39"/>
      <c r="DA56" s="40"/>
      <c r="DB56" s="39"/>
      <c r="DC56" s="40"/>
      <c r="DD56" s="39"/>
      <c r="DE56" s="40"/>
      <c r="DF56" s="39"/>
      <c r="DG56" s="40"/>
      <c r="DH56" s="39"/>
      <c r="DI56" s="40"/>
      <c r="DJ56" s="39"/>
      <c r="DK56" s="40"/>
      <c r="DL56" s="39"/>
      <c r="DM56" s="40"/>
      <c r="DN56" s="39"/>
      <c r="DO56" s="40"/>
      <c r="DP56" s="39"/>
      <c r="DQ56" s="40"/>
      <c r="DR56" s="39"/>
      <c r="DS56" s="40"/>
      <c r="DT56" s="39"/>
      <c r="DU56" s="40"/>
      <c r="DV56" s="39"/>
      <c r="DW56" s="40"/>
      <c r="DX56" s="39"/>
      <c r="DY56" s="40"/>
      <c r="DZ56" s="39"/>
      <c r="EA56" s="40"/>
      <c r="EB56" s="39"/>
      <c r="EC56" s="40"/>
      <c r="ED56" s="39"/>
      <c r="EE56" s="40"/>
      <c r="EF56" s="39"/>
      <c r="EG56" s="40"/>
      <c r="EH56" s="39"/>
      <c r="EI56" s="40"/>
      <c r="EJ56" s="39"/>
      <c r="EK56" s="40"/>
      <c r="EL56" s="39"/>
      <c r="EM56" s="40"/>
      <c r="EN56" s="39"/>
      <c r="EO56" s="40"/>
      <c r="EP56" s="39"/>
      <c r="EQ56" s="40"/>
      <c r="ER56" s="39"/>
      <c r="ES56" s="40"/>
      <c r="ET56" s="39"/>
      <c r="EU56" s="40"/>
      <c r="EV56" s="39"/>
      <c r="EW56" s="40"/>
      <c r="EX56" s="39"/>
      <c r="EY56" s="40"/>
      <c r="EZ56" s="39"/>
      <c r="FA56" s="40"/>
      <c r="FB56" s="39"/>
      <c r="FC56" s="40"/>
      <c r="FD56" s="39"/>
      <c r="FE56" s="40"/>
      <c r="FF56" s="39"/>
      <c r="FG56" s="40"/>
      <c r="FH56" s="39"/>
      <c r="FI56" s="40"/>
      <c r="FJ56" s="39"/>
      <c r="FK56" s="40"/>
      <c r="FL56" s="39"/>
      <c r="FM56" s="40"/>
      <c r="FN56" s="39"/>
      <c r="FO56" s="40"/>
      <c r="FP56" s="39"/>
      <c r="FQ56" s="40"/>
      <c r="FR56" s="39"/>
      <c r="FS56" s="40"/>
      <c r="FT56" s="39"/>
      <c r="FU56" s="40"/>
      <c r="FV56" s="39"/>
      <c r="FW56" s="40"/>
      <c r="FX56" s="39"/>
      <c r="FY56" s="40"/>
      <c r="FZ56" s="39"/>
      <c r="GA56" s="40"/>
      <c r="GB56" s="39"/>
      <c r="GC56" s="40"/>
      <c r="GD56" s="39"/>
      <c r="GE56" s="40"/>
      <c r="GF56" s="39"/>
      <c r="GG56" s="40"/>
      <c r="GH56" s="39"/>
      <c r="GI56" s="40"/>
      <c r="GJ56" s="39"/>
      <c r="GK56" s="40"/>
      <c r="GL56" s="39"/>
      <c r="GM56" s="40"/>
      <c r="GN56" s="39"/>
      <c r="GO56" s="40"/>
      <c r="GP56" s="39"/>
      <c r="GQ56" s="40"/>
      <c r="GR56" s="39"/>
      <c r="GS56" s="40"/>
      <c r="GT56" s="39"/>
      <c r="GU56" s="40"/>
      <c r="GV56" s="39"/>
      <c r="GW56" s="40"/>
      <c r="GX56" s="39"/>
      <c r="GY56" s="40"/>
      <c r="GZ56" s="39"/>
      <c r="HA56" s="40"/>
      <c r="HB56" s="39"/>
      <c r="HC56" s="40"/>
      <c r="HD56" s="39"/>
      <c r="HE56" s="40"/>
      <c r="HF56" s="39"/>
      <c r="HG56" s="40"/>
      <c r="HH56" s="39"/>
      <c r="HI56" s="40"/>
      <c r="HJ56" s="39"/>
      <c r="HK56" s="40"/>
      <c r="HL56" s="39"/>
      <c r="HM56" s="40"/>
      <c r="HN56" s="39"/>
      <c r="HO56" s="40"/>
      <c r="HP56" s="39"/>
      <c r="HQ56" s="40"/>
      <c r="HR56" s="39"/>
      <c r="HS56" s="40"/>
      <c r="HT56" s="39"/>
      <c r="HU56" s="40"/>
      <c r="HV56" s="39"/>
      <c r="HW56" s="40"/>
      <c r="HX56" s="39"/>
      <c r="HY56" s="40"/>
      <c r="HZ56" s="39"/>
      <c r="IA56" s="40"/>
      <c r="IB56" s="39"/>
      <c r="IC56" s="1068"/>
      <c r="ID56" s="645"/>
      <c r="IE56" s="646"/>
      <c r="IF56" s="645"/>
      <c r="IG56" s="646"/>
      <c r="IH56" s="645"/>
      <c r="II56" s="646"/>
      <c r="IJ56" s="645"/>
      <c r="IK56" s="646"/>
      <c r="IL56" s="645"/>
      <c r="IM56" s="646"/>
      <c r="IN56" s="645"/>
      <c r="IO56" s="646"/>
      <c r="IP56" s="645"/>
      <c r="IQ56" s="646"/>
      <c r="IR56" s="645"/>
      <c r="IS56" s="646"/>
      <c r="IT56" s="645"/>
      <c r="IU56" s="646"/>
      <c r="IV56" s="645"/>
      <c r="IW56" s="646"/>
      <c r="IX56" s="645"/>
      <c r="IY56" s="646"/>
      <c r="IZ56" s="645"/>
      <c r="JA56" s="646"/>
      <c r="JB56" s="645"/>
      <c r="JC56" s="646"/>
      <c r="JD56" s="645"/>
      <c r="JE56" s="646"/>
      <c r="JF56" s="645"/>
      <c r="JG56" s="646"/>
      <c r="JH56" s="645"/>
      <c r="JI56" s="646"/>
      <c r="JJ56" s="645"/>
      <c r="JK56" s="646"/>
      <c r="JL56" s="645"/>
      <c r="JM56" s="646"/>
      <c r="JN56" s="645"/>
      <c r="JO56" s="646"/>
      <c r="JP56" s="645"/>
      <c r="JQ56" s="646"/>
      <c r="JR56" s="645"/>
      <c r="JS56" s="646"/>
      <c r="JT56" s="645"/>
      <c r="JU56" s="646"/>
      <c r="JV56" s="645"/>
      <c r="JW56" s="646"/>
      <c r="JX56" s="645"/>
      <c r="JY56" s="646"/>
      <c r="JZ56" s="645"/>
      <c r="KA56" s="646"/>
      <c r="KB56" s="645"/>
      <c r="KC56" s="646"/>
      <c r="KD56" s="645"/>
      <c r="KE56" s="646"/>
      <c r="KF56" s="645"/>
      <c r="KG56" s="646"/>
      <c r="KH56" s="645"/>
      <c r="KI56" s="646"/>
      <c r="KJ56" s="645"/>
      <c r="KK56" s="646"/>
      <c r="KL56" s="645"/>
      <c r="KM56" s="646"/>
      <c r="KN56" s="645"/>
      <c r="KO56" s="646"/>
      <c r="KP56" s="645"/>
      <c r="KQ56" s="646"/>
      <c r="KR56" s="645"/>
      <c r="KS56" s="646"/>
      <c r="KT56" s="645"/>
      <c r="KU56" s="646"/>
      <c r="KV56" s="645"/>
      <c r="KW56" s="646"/>
      <c r="KX56" s="645"/>
      <c r="KY56" s="646"/>
      <c r="KZ56" s="645"/>
      <c r="LA56" s="646"/>
      <c r="LB56" s="645"/>
      <c r="LC56" s="646"/>
      <c r="LD56" s="645"/>
      <c r="LE56" s="646"/>
      <c r="LF56" s="645"/>
      <c r="LG56" s="646"/>
      <c r="LH56" s="645"/>
      <c r="LI56" s="646"/>
      <c r="LJ56" s="645"/>
      <c r="LK56" s="646"/>
      <c r="LL56" s="645"/>
      <c r="LM56" s="646"/>
      <c r="LN56" s="645"/>
      <c r="LO56" s="646"/>
      <c r="LP56" s="645"/>
      <c r="LQ56" s="646"/>
      <c r="LR56" s="645"/>
      <c r="LS56" s="646"/>
      <c r="LT56" s="645"/>
      <c r="LU56" s="646"/>
      <c r="LV56" s="645"/>
      <c r="LW56" s="646"/>
      <c r="LX56" s="645"/>
      <c r="LY56" s="646"/>
      <c r="LZ56" s="645"/>
      <c r="MA56" s="646"/>
      <c r="MB56" s="645"/>
      <c r="MC56" s="646"/>
      <c r="MD56" s="645"/>
      <c r="ME56" s="646"/>
      <c r="MF56" s="645"/>
      <c r="MG56" s="646"/>
      <c r="MH56" s="645"/>
      <c r="MI56" s="646"/>
      <c r="MJ56" s="645"/>
      <c r="MK56" s="646"/>
      <c r="ML56" s="645"/>
      <c r="MM56" s="646"/>
      <c r="MN56" s="645"/>
      <c r="MO56" s="646"/>
      <c r="MP56" s="645"/>
      <c r="MQ56" s="646"/>
      <c r="MR56" s="645"/>
      <c r="MS56" s="646"/>
      <c r="MT56" s="645"/>
      <c r="MU56" s="646"/>
      <c r="MV56" s="645"/>
      <c r="MW56" s="646"/>
      <c r="MX56" s="645"/>
      <c r="MY56" s="646"/>
      <c r="MZ56" s="645"/>
      <c r="NA56" s="646"/>
      <c r="NB56" s="645"/>
      <c r="NC56" s="646"/>
      <c r="ND56" s="645"/>
      <c r="NE56" s="646"/>
      <c r="NF56" s="645"/>
      <c r="NG56" s="646"/>
      <c r="NH56" s="645"/>
      <c r="NI56" s="646"/>
      <c r="NJ56" s="645"/>
      <c r="NK56" s="646"/>
      <c r="NL56" s="645"/>
      <c r="NM56" s="646"/>
      <c r="NN56" s="645"/>
      <c r="NO56" s="646"/>
      <c r="NP56" s="645"/>
      <c r="NQ56" s="646"/>
      <c r="NR56" s="645"/>
      <c r="NS56" s="646"/>
      <c r="NT56" s="645"/>
      <c r="NU56" s="646"/>
      <c r="NV56" s="645"/>
      <c r="NW56" s="646"/>
      <c r="NX56" s="645"/>
      <c r="NY56" s="646"/>
      <c r="NZ56" s="645"/>
      <c r="OA56" s="646"/>
      <c r="OB56" s="645"/>
      <c r="OC56" s="646"/>
      <c r="OD56" s="645"/>
      <c r="OE56" s="646"/>
      <c r="OF56" s="645"/>
      <c r="OG56" s="646"/>
      <c r="OH56" s="645"/>
      <c r="OI56" s="646"/>
      <c r="OJ56" s="645"/>
      <c r="OK56" s="646"/>
      <c r="OL56" s="645"/>
      <c r="OM56" s="646"/>
      <c r="ON56" s="645"/>
      <c r="OO56" s="646"/>
      <c r="OP56" s="645"/>
      <c r="OQ56" s="646"/>
      <c r="OR56" s="645"/>
      <c r="OS56" s="646"/>
      <c r="OT56" s="645"/>
      <c r="OU56" s="646"/>
      <c r="OV56" s="645"/>
      <c r="OW56" s="646"/>
      <c r="OX56" s="645"/>
      <c r="OY56" s="646"/>
      <c r="OZ56" s="645"/>
      <c r="PA56" s="646"/>
      <c r="PB56" s="645"/>
      <c r="PC56" s="646"/>
      <c r="PD56" s="645"/>
      <c r="PE56" s="646"/>
      <c r="PF56" s="645"/>
      <c r="PG56" s="646"/>
      <c r="PH56" s="645"/>
      <c r="PI56" s="646"/>
      <c r="PJ56" s="645"/>
      <c r="PK56" s="646"/>
      <c r="PL56" s="645"/>
      <c r="PM56" s="646"/>
      <c r="PN56" s="645"/>
      <c r="PO56" s="646"/>
      <c r="PP56" s="645"/>
      <c r="PQ56" s="646"/>
      <c r="PR56" s="645"/>
      <c r="PS56" s="646"/>
      <c r="PT56" s="645"/>
      <c r="PU56" s="646"/>
      <c r="PV56" s="645"/>
      <c r="PW56" s="646"/>
      <c r="PX56" s="645"/>
      <c r="PY56" s="646"/>
      <c r="PZ56" s="645"/>
      <c r="QA56" s="646"/>
      <c r="QB56" s="645"/>
      <c r="QC56" s="646"/>
      <c r="QD56" s="645"/>
      <c r="QE56" s="646"/>
      <c r="QF56" s="645"/>
      <c r="QG56" s="646"/>
      <c r="QH56" s="645"/>
      <c r="QI56" s="646"/>
      <c r="QJ56" s="645"/>
      <c r="QK56" s="646"/>
      <c r="QL56" s="645"/>
      <c r="QM56" s="646"/>
      <c r="QN56" s="645"/>
      <c r="QO56" s="646"/>
      <c r="QP56" s="645"/>
      <c r="QQ56" s="646"/>
      <c r="QR56" s="645"/>
      <c r="QS56" s="646"/>
      <c r="QT56" s="645"/>
      <c r="QU56" s="646"/>
      <c r="QV56" s="645"/>
      <c r="QW56" s="646"/>
      <c r="QX56" s="645"/>
      <c r="QY56" s="646"/>
      <c r="QZ56" s="645"/>
      <c r="RA56" s="646"/>
      <c r="RB56" s="645"/>
      <c r="RC56" s="646"/>
      <c r="RD56" s="645"/>
      <c r="RE56" s="646"/>
      <c r="RF56" s="645"/>
      <c r="RG56" s="646"/>
      <c r="RH56" s="645"/>
      <c r="RI56" s="646"/>
      <c r="RJ56" s="645"/>
      <c r="RK56" s="646"/>
      <c r="RL56" s="645"/>
      <c r="RM56" s="646"/>
      <c r="RN56" s="645"/>
      <c r="RO56" s="646"/>
      <c r="RP56" s="645"/>
      <c r="RQ56" s="646"/>
      <c r="RR56" s="645"/>
      <c r="RS56" s="646"/>
      <c r="RT56" s="645"/>
      <c r="RU56" s="646"/>
      <c r="RV56" s="645"/>
      <c r="RW56" s="646"/>
      <c r="RX56" s="645"/>
      <c r="RY56" s="646"/>
      <c r="RZ56" s="645"/>
      <c r="SA56" s="646"/>
      <c r="SB56" s="645"/>
      <c r="SC56" s="646"/>
      <c r="SD56" s="645"/>
      <c r="SE56" s="646"/>
      <c r="SF56" s="645"/>
      <c r="SG56" s="646"/>
      <c r="SH56" s="645"/>
      <c r="SI56" s="646"/>
      <c r="SJ56" s="645"/>
      <c r="SK56" s="646"/>
      <c r="SL56" s="645"/>
      <c r="SM56" s="646"/>
      <c r="SN56" s="645"/>
      <c r="SO56" s="646"/>
      <c r="SP56" s="645"/>
      <c r="SQ56" s="646"/>
      <c r="SR56" s="645"/>
      <c r="SS56" s="646"/>
      <c r="ST56" s="645"/>
      <c r="SU56" s="646"/>
      <c r="SV56" s="645"/>
      <c r="SW56" s="646"/>
      <c r="SX56" s="645"/>
      <c r="SY56" s="646"/>
      <c r="SZ56" s="645"/>
      <c r="TA56" s="646"/>
      <c r="TB56" s="645"/>
      <c r="TC56" s="646"/>
      <c r="TD56" s="645"/>
      <c r="TE56" s="646"/>
      <c r="TF56" s="645"/>
      <c r="TG56" s="646"/>
      <c r="TH56" s="645"/>
      <c r="TI56" s="646"/>
      <c r="TJ56" s="645"/>
      <c r="TK56" s="646"/>
      <c r="TL56" s="645"/>
      <c r="TM56" s="646"/>
      <c r="TN56" s="645"/>
      <c r="TO56" s="646"/>
      <c r="TP56" s="645"/>
      <c r="TQ56" s="646"/>
      <c r="TR56" s="645"/>
      <c r="TS56" s="646"/>
      <c r="TT56" s="645"/>
      <c r="TU56" s="646"/>
      <c r="TV56" s="645"/>
      <c r="TW56" s="646"/>
      <c r="TX56" s="645"/>
      <c r="TY56" s="646"/>
      <c r="TZ56" s="645"/>
      <c r="UA56" s="646"/>
      <c r="UB56" s="645"/>
      <c r="UC56" s="646"/>
      <c r="UD56" s="645"/>
      <c r="UE56" s="646"/>
      <c r="UF56" s="645"/>
      <c r="UG56" s="646"/>
      <c r="UH56" s="645"/>
      <c r="UI56" s="646"/>
      <c r="UJ56" s="645"/>
      <c r="UK56" s="646"/>
      <c r="UL56" s="645"/>
      <c r="UM56" s="646"/>
      <c r="UN56" s="645"/>
      <c r="UO56" s="646"/>
      <c r="UP56" s="645"/>
      <c r="UQ56" s="646"/>
      <c r="UR56" s="645"/>
      <c r="US56" s="646"/>
      <c r="UT56" s="645"/>
      <c r="UU56" s="646"/>
      <c r="UV56" s="645"/>
      <c r="UW56" s="646"/>
      <c r="UX56" s="645"/>
      <c r="UY56" s="646"/>
      <c r="UZ56" s="645"/>
      <c r="VA56" s="646"/>
      <c r="VB56" s="645"/>
      <c r="VC56" s="646"/>
      <c r="VD56" s="645"/>
      <c r="VE56" s="646"/>
      <c r="VF56" s="645"/>
      <c r="VG56" s="646"/>
      <c r="VH56" s="645"/>
      <c r="VI56" s="646"/>
      <c r="VJ56" s="645"/>
      <c r="VK56" s="646"/>
      <c r="VL56" s="645"/>
      <c r="VM56" s="646"/>
      <c r="VN56" s="645"/>
      <c r="VO56" s="646"/>
      <c r="VP56" s="645"/>
      <c r="VQ56" s="646"/>
      <c r="VR56" s="645"/>
      <c r="VS56" s="646"/>
      <c r="VT56" s="645"/>
      <c r="VU56" s="646"/>
      <c r="VV56" s="645"/>
      <c r="VW56" s="646"/>
      <c r="VX56" s="645"/>
      <c r="VY56" s="646"/>
      <c r="VZ56" s="645"/>
      <c r="WA56" s="646"/>
      <c r="WB56" s="645"/>
      <c r="WC56" s="646"/>
      <c r="WD56" s="645"/>
      <c r="WE56" s="646"/>
      <c r="WF56" s="645"/>
      <c r="WG56" s="646"/>
      <c r="WH56" s="645"/>
      <c r="WI56" s="646"/>
      <c r="WJ56" s="645"/>
      <c r="WK56" s="646"/>
      <c r="WL56" s="645"/>
      <c r="WM56" s="646"/>
      <c r="WN56" s="645"/>
      <c r="WO56" s="646"/>
      <c r="WP56" s="645"/>
      <c r="WQ56" s="646"/>
      <c r="WR56" s="645"/>
      <c r="WS56" s="646"/>
      <c r="WT56" s="645"/>
      <c r="WU56" s="646"/>
      <c r="WV56" s="645"/>
      <c r="WW56" s="646"/>
      <c r="WX56" s="645"/>
      <c r="WY56" s="646"/>
      <c r="WZ56" s="645"/>
      <c r="XA56" s="646"/>
      <c r="XB56" s="645"/>
      <c r="XC56" s="646"/>
      <c r="XD56" s="645"/>
      <c r="XE56" s="646"/>
      <c r="XF56" s="645"/>
      <c r="XG56" s="646"/>
      <c r="XH56" s="645"/>
      <c r="XI56" s="646"/>
      <c r="XJ56" s="645"/>
      <c r="XK56" s="646"/>
      <c r="XL56" s="645"/>
      <c r="XM56" s="646"/>
      <c r="XN56" s="645"/>
      <c r="XO56" s="646"/>
      <c r="XP56" s="645"/>
      <c r="XQ56" s="646"/>
      <c r="XR56" s="645"/>
      <c r="XS56" s="646"/>
      <c r="XT56" s="645"/>
      <c r="XU56" s="646"/>
      <c r="XV56" s="645"/>
      <c r="XW56" s="646"/>
      <c r="XX56" s="645"/>
      <c r="XY56" s="646"/>
      <c r="XZ56" s="645"/>
      <c r="YA56" s="646"/>
      <c r="YB56" s="645"/>
      <c r="YC56" s="646"/>
      <c r="YD56" s="645"/>
      <c r="YE56" s="646"/>
      <c r="YF56" s="645"/>
      <c r="YG56" s="646"/>
      <c r="YH56" s="645"/>
      <c r="YI56" s="646"/>
      <c r="YJ56" s="645"/>
      <c r="YK56" s="646"/>
      <c r="YL56" s="645"/>
      <c r="YM56" s="646"/>
      <c r="YN56" s="645"/>
      <c r="YO56" s="646"/>
      <c r="YP56" s="645"/>
      <c r="YQ56" s="646"/>
      <c r="YR56" s="645"/>
      <c r="YS56" s="646"/>
      <c r="YT56" s="645"/>
      <c r="YU56" s="646"/>
      <c r="YV56" s="645"/>
      <c r="YW56" s="646"/>
      <c r="YX56" s="645"/>
      <c r="YY56" s="646"/>
      <c r="YZ56" s="645"/>
      <c r="ZA56" s="646"/>
      <c r="ZB56" s="645"/>
      <c r="ZC56" s="646"/>
      <c r="ZD56" s="645"/>
      <c r="ZE56" s="646"/>
      <c r="ZF56" s="645"/>
      <c r="ZG56" s="646"/>
      <c r="ZH56" s="645"/>
      <c r="ZI56" s="646"/>
      <c r="ZJ56" s="645"/>
      <c r="ZK56" s="646"/>
      <c r="ZL56" s="645"/>
      <c r="ZM56" s="646"/>
      <c r="ZN56" s="645"/>
      <c r="ZO56" s="646"/>
      <c r="ZP56" s="645"/>
      <c r="ZQ56" s="646"/>
      <c r="ZR56" s="645"/>
      <c r="ZS56" s="646"/>
      <c r="ZT56" s="645"/>
      <c r="ZU56" s="646"/>
      <c r="ZV56" s="645"/>
      <c r="ZW56" s="646"/>
      <c r="ZX56" s="645"/>
      <c r="ZY56" s="646"/>
      <c r="ZZ56" s="645"/>
      <c r="AAA56" s="646"/>
      <c r="AAB56" s="645"/>
      <c r="AAC56" s="646"/>
      <c r="AAD56" s="645"/>
      <c r="AAE56" s="646"/>
      <c r="AAF56" s="645"/>
      <c r="AAG56" s="646"/>
      <c r="AAH56" s="645"/>
      <c r="AAI56" s="646"/>
      <c r="AAJ56" s="645"/>
      <c r="AAK56" s="646"/>
      <c r="AAL56" s="645"/>
      <c r="AAM56" s="646"/>
      <c r="AAN56" s="645"/>
      <c r="AAO56" s="646"/>
      <c r="AAP56" s="645"/>
      <c r="AAQ56" s="646"/>
      <c r="AAR56" s="645"/>
      <c r="AAS56" s="646"/>
      <c r="AAT56" s="645"/>
      <c r="AAU56" s="646"/>
      <c r="AAV56" s="645"/>
      <c r="AAW56" s="646"/>
      <c r="AAX56" s="645"/>
      <c r="AAY56" s="646"/>
      <c r="AAZ56" s="645"/>
      <c r="ABA56" s="646"/>
      <c r="ABB56" s="645"/>
      <c r="ABC56" s="646"/>
      <c r="ABD56" s="645"/>
      <c r="ABE56" s="646"/>
      <c r="ABF56" s="645"/>
      <c r="ABG56" s="646"/>
      <c r="ABH56" s="645"/>
      <c r="ABI56" s="646"/>
      <c r="ABJ56" s="645"/>
      <c r="ABK56" s="646"/>
      <c r="ABL56" s="645"/>
      <c r="ABM56" s="646"/>
      <c r="ABN56" s="645"/>
      <c r="ABO56" s="646"/>
      <c r="ABP56" s="645"/>
      <c r="ABQ56" s="646"/>
      <c r="ABR56" s="645"/>
      <c r="ABS56" s="646"/>
      <c r="ABT56" s="645"/>
      <c r="ABU56" s="646"/>
      <c r="ABV56" s="645"/>
      <c r="ABW56" s="646"/>
      <c r="ABX56" s="645"/>
      <c r="ABY56" s="646"/>
      <c r="ABZ56" s="645"/>
      <c r="ACA56" s="646"/>
      <c r="ACB56" s="645"/>
      <c r="ACC56" s="646"/>
      <c r="ACD56" s="645"/>
      <c r="ACE56" s="646"/>
      <c r="ACF56" s="645"/>
      <c r="ACG56" s="646"/>
      <c r="ACH56" s="645"/>
      <c r="ACI56" s="646"/>
      <c r="ACJ56" s="645"/>
      <c r="ACK56" s="646"/>
      <c r="ACL56" s="645"/>
      <c r="ACM56" s="646"/>
      <c r="ACN56" s="645"/>
      <c r="ACO56" s="646"/>
      <c r="ACP56" s="645"/>
      <c r="ACQ56" s="646"/>
      <c r="ACR56" s="645"/>
      <c r="ACS56" s="646"/>
      <c r="ACT56" s="645"/>
      <c r="ACU56" s="646"/>
      <c r="ACV56" s="645"/>
      <c r="ACW56" s="646"/>
      <c r="ACX56" s="645"/>
      <c r="ACY56" s="646"/>
      <c r="ACZ56" s="645"/>
      <c r="ADA56" s="646"/>
      <c r="ADB56" s="645"/>
      <c r="ADC56" s="646"/>
      <c r="ADD56" s="645"/>
      <c r="ADE56" s="646"/>
      <c r="ADF56" s="645"/>
      <c r="ADG56" s="646"/>
      <c r="ADH56" s="645"/>
      <c r="ADI56" s="646"/>
      <c r="ADJ56" s="645"/>
      <c r="ADK56" s="646"/>
      <c r="ADL56" s="645"/>
      <c r="ADM56" s="646"/>
      <c r="ADN56" s="645"/>
      <c r="ADO56" s="646"/>
      <c r="ADP56" s="645"/>
      <c r="ADQ56" s="646"/>
      <c r="ADR56" s="645"/>
      <c r="ADS56" s="646"/>
      <c r="ADT56" s="645"/>
      <c r="ADU56" s="646"/>
      <c r="ADV56" s="645"/>
      <c r="ADW56" s="646"/>
      <c r="ADX56" s="645"/>
      <c r="ADY56" s="646"/>
      <c r="ADZ56" s="645"/>
      <c r="AEA56" s="646"/>
      <c r="AEB56" s="645"/>
      <c r="AEC56" s="646"/>
      <c r="AED56" s="645"/>
      <c r="AEE56" s="646"/>
      <c r="AEF56" s="645"/>
      <c r="AEG56" s="646"/>
      <c r="AEH56" s="645"/>
      <c r="AEI56" s="646"/>
      <c r="AEJ56" s="645"/>
      <c r="AEK56" s="646"/>
      <c r="AEL56" s="645"/>
      <c r="AEM56" s="646"/>
      <c r="AEN56" s="645"/>
      <c r="AEO56" s="646"/>
      <c r="AEP56" s="645"/>
      <c r="AEQ56" s="646"/>
      <c r="AER56" s="645"/>
      <c r="AES56" s="646"/>
      <c r="AET56" s="645"/>
      <c r="AEU56" s="646"/>
      <c r="AEV56" s="645"/>
      <c r="AEW56" s="646"/>
      <c r="AEX56" s="645"/>
      <c r="AEY56" s="646"/>
      <c r="AEZ56" s="645"/>
      <c r="AFA56" s="646"/>
      <c r="AFB56" s="645"/>
      <c r="AFC56" s="646"/>
      <c r="AFD56" s="645"/>
      <c r="AFE56" s="646"/>
      <c r="AFF56" s="645"/>
      <c r="AFG56" s="646"/>
      <c r="AFH56" s="645"/>
      <c r="AFI56" s="646"/>
      <c r="AFJ56" s="645"/>
      <c r="AFK56" s="646"/>
      <c r="AFL56" s="645"/>
      <c r="AFM56" s="646"/>
      <c r="AFN56" s="645"/>
      <c r="AFO56" s="646"/>
      <c r="AFP56" s="645"/>
      <c r="AFQ56" s="646"/>
      <c r="AFR56" s="645"/>
      <c r="AFS56" s="646"/>
      <c r="AFT56" s="645"/>
      <c r="AFU56" s="646"/>
      <c r="AFV56" s="645"/>
      <c r="AFW56" s="646"/>
      <c r="AFX56" s="645"/>
      <c r="AFY56" s="646"/>
      <c r="AFZ56" s="645"/>
      <c r="AGA56" s="646"/>
      <c r="AGB56" s="645"/>
      <c r="AGC56" s="646"/>
      <c r="AGD56" s="645"/>
      <c r="AGE56" s="646"/>
      <c r="AGF56" s="645"/>
      <c r="AGG56" s="646"/>
      <c r="AGH56" s="645"/>
      <c r="AGI56" s="646"/>
      <c r="AGJ56" s="645"/>
      <c r="AGK56" s="646"/>
      <c r="AGL56" s="645"/>
      <c r="AGM56" s="646"/>
      <c r="AGN56" s="645"/>
      <c r="AGO56" s="646"/>
      <c r="AGP56" s="645"/>
      <c r="AGQ56" s="646"/>
      <c r="AGR56" s="645"/>
      <c r="AGS56" s="646"/>
      <c r="AGT56" s="645"/>
      <c r="AGU56" s="646"/>
      <c r="AGV56" s="645"/>
      <c r="AGW56" s="646"/>
      <c r="AGX56" s="645"/>
      <c r="AGY56" s="646"/>
      <c r="AGZ56" s="645"/>
      <c r="AHA56" s="646"/>
      <c r="AHB56" s="645"/>
      <c r="AHC56" s="646"/>
      <c r="AHD56" s="645"/>
      <c r="AHE56" s="646"/>
      <c r="AHF56" s="645"/>
      <c r="AHG56" s="646"/>
      <c r="AHH56" s="645"/>
      <c r="AHI56" s="646"/>
      <c r="AHJ56" s="645"/>
      <c r="AHK56" s="646"/>
      <c r="AHL56" s="645"/>
      <c r="AHM56" s="646"/>
      <c r="AHN56" s="645"/>
      <c r="AHO56" s="646"/>
      <c r="AHP56" s="645"/>
      <c r="AHQ56" s="646"/>
      <c r="AHR56" s="645"/>
      <c r="AHS56" s="646"/>
      <c r="AHT56" s="645"/>
      <c r="AHU56" s="646"/>
      <c r="AHV56" s="645"/>
      <c r="AHW56" s="646"/>
      <c r="AHX56" s="645"/>
      <c r="AHY56" s="646"/>
      <c r="AHZ56" s="645"/>
      <c r="AIA56" s="646"/>
      <c r="AIB56" s="645"/>
      <c r="AIC56" s="646"/>
      <c r="AID56" s="645"/>
      <c r="AIE56" s="646"/>
      <c r="AIF56" s="645"/>
      <c r="AIG56" s="646"/>
      <c r="AIH56" s="645"/>
      <c r="AII56" s="646"/>
      <c r="AIJ56" s="645"/>
      <c r="AIK56" s="646"/>
      <c r="AIL56" s="645"/>
      <c r="AIM56" s="646"/>
      <c r="AIN56" s="645"/>
      <c r="AIO56" s="646"/>
      <c r="AIP56" s="645"/>
      <c r="AIQ56" s="645"/>
      <c r="AIR56" s="645"/>
      <c r="AIS56" s="645"/>
      <c r="AIT56" s="645"/>
      <c r="AIU56" s="645"/>
      <c r="AIV56" s="645"/>
      <c r="AIW56" s="645"/>
      <c r="AIX56" s="645"/>
      <c r="AIY56" s="645"/>
      <c r="AIZ56" s="645"/>
      <c r="AJA56" s="645"/>
      <c r="AJB56" s="645"/>
      <c r="AJC56" s="645"/>
      <c r="AJD56" s="645"/>
      <c r="AJE56" s="645"/>
      <c r="AJF56" s="645"/>
      <c r="AJG56" s="645"/>
      <c r="AJH56" s="645"/>
      <c r="AJI56" s="645"/>
      <c r="AJJ56" s="645"/>
      <c r="AJK56" s="645"/>
      <c r="AJL56" s="645"/>
      <c r="AJM56" s="645"/>
      <c r="AJN56" s="645"/>
      <c r="AJO56" s="645"/>
      <c r="AJP56" s="645"/>
      <c r="AJQ56" s="645"/>
      <c r="AJR56" s="645"/>
      <c r="AJS56" s="645"/>
      <c r="AJT56" s="645"/>
      <c r="AJU56" s="645"/>
      <c r="AJV56" s="645"/>
      <c r="AJW56" s="645"/>
      <c r="AJX56" s="645"/>
      <c r="AJY56" s="645"/>
      <c r="AJZ56" s="645"/>
      <c r="AKA56" s="645"/>
      <c r="AKB56" s="645"/>
      <c r="AKC56" s="645"/>
      <c r="AKD56" s="645"/>
      <c r="AKE56" s="645"/>
      <c r="AKF56" s="645"/>
      <c r="AKG56" s="645"/>
      <c r="AKH56" s="645"/>
      <c r="AKI56" s="645"/>
      <c r="AKJ56" s="645"/>
      <c r="AKK56" s="645"/>
      <c r="AKL56" s="645"/>
      <c r="AKM56" s="645"/>
      <c r="AKN56" s="645"/>
      <c r="AKO56" s="645"/>
      <c r="AKP56" s="645"/>
      <c r="AKQ56" s="645"/>
      <c r="AKR56" s="645"/>
      <c r="AKS56" s="645"/>
      <c r="AKT56" s="645"/>
      <c r="AKU56" s="645"/>
      <c r="AKV56" s="645"/>
      <c r="AKW56" s="645"/>
      <c r="AKX56" s="645"/>
      <c r="AKY56" s="645"/>
      <c r="AKZ56" s="645"/>
      <c r="ALA56" s="645"/>
      <c r="ALB56" s="645"/>
      <c r="ALC56" s="645"/>
      <c r="ALD56" s="645"/>
      <c r="ALE56" s="645"/>
      <c r="ALF56" s="645"/>
      <c r="ALG56" s="645"/>
      <c r="ALH56" s="645"/>
      <c r="ALI56" s="645"/>
      <c r="ALJ56" s="645"/>
      <c r="ALK56" s="645"/>
      <c r="ALL56" s="645"/>
      <c r="ALM56" s="645"/>
      <c r="ALN56" s="645"/>
      <c r="ALO56" s="645"/>
      <c r="ALP56" s="645"/>
      <c r="ALQ56" s="645"/>
      <c r="ALR56" s="645"/>
      <c r="ALS56" s="645"/>
      <c r="ALT56" s="645"/>
      <c r="ALU56" s="645"/>
      <c r="ALV56" s="645"/>
      <c r="ALW56" s="645"/>
      <c r="ALX56" s="645"/>
      <c r="ALY56" s="645"/>
      <c r="ALZ56" s="645"/>
      <c r="AMA56" s="645"/>
      <c r="AMB56" s="645"/>
      <c r="AMC56" s="645"/>
      <c r="AMD56" s="645"/>
      <c r="AME56" s="645"/>
      <c r="AMF56" s="645"/>
      <c r="AMG56" s="645"/>
      <c r="AMH56" s="645"/>
      <c r="AMI56" s="645"/>
      <c r="AMJ56" s="645"/>
    </row>
    <row r="57" spans="1:1024" s="37" customFormat="1" ht="15.75" customHeight="1" x14ac:dyDescent="0.35">
      <c r="A57" s="600"/>
      <c r="B57" s="644" t="s">
        <v>310</v>
      </c>
      <c r="C57" s="645"/>
      <c r="D57" s="646"/>
      <c r="E57" s="645"/>
      <c r="F57" s="646"/>
      <c r="G57" s="453" t="s">
        <v>311</v>
      </c>
      <c r="H57" s="643" t="s">
        <v>259</v>
      </c>
      <c r="I57" s="645"/>
      <c r="J57" s="38"/>
      <c r="K57" s="38"/>
      <c r="L57" s="39"/>
      <c r="M57" s="38"/>
      <c r="N57" s="39"/>
      <c r="O57" s="38"/>
      <c r="P57" s="39"/>
      <c r="Q57" s="38"/>
      <c r="R57" s="39"/>
      <c r="S57" s="38"/>
      <c r="T57" s="39"/>
      <c r="U57" s="38"/>
      <c r="V57" s="39"/>
      <c r="W57" s="38"/>
      <c r="X57" s="39"/>
      <c r="Y57" s="38"/>
      <c r="Z57" s="39"/>
      <c r="AA57" s="38"/>
      <c r="AB57" s="39"/>
      <c r="AC57" s="38"/>
      <c r="AD57" s="39"/>
      <c r="AE57" s="38"/>
      <c r="AF57" s="39"/>
      <c r="AG57" s="38"/>
      <c r="AH57" s="39"/>
      <c r="AI57" s="38"/>
      <c r="AJ57" s="39"/>
      <c r="AK57" s="40"/>
      <c r="AL57" s="39"/>
      <c r="AM57" s="40"/>
      <c r="AN57" s="39"/>
      <c r="AO57" s="40"/>
      <c r="AP57" s="39"/>
      <c r="AQ57" s="40"/>
      <c r="AR57" s="39"/>
      <c r="AS57" s="40"/>
      <c r="AT57" s="39"/>
      <c r="AU57" s="40"/>
      <c r="AV57" s="39"/>
      <c r="AW57" s="40"/>
      <c r="AX57" s="39"/>
      <c r="AY57" s="40"/>
      <c r="AZ57" s="39"/>
      <c r="BA57" s="40"/>
      <c r="BB57" s="39"/>
      <c r="BC57" s="40"/>
      <c r="BD57" s="39"/>
      <c r="BE57" s="40"/>
      <c r="BF57" s="39"/>
      <c r="BG57" s="40"/>
      <c r="BH57" s="39"/>
      <c r="BI57" s="40"/>
      <c r="BJ57" s="39"/>
      <c r="BK57" s="40"/>
      <c r="BL57" s="39"/>
      <c r="BM57" s="40"/>
      <c r="BN57" s="39"/>
      <c r="BO57" s="40"/>
      <c r="BP57" s="39"/>
      <c r="BQ57" s="40"/>
      <c r="BR57" s="39"/>
      <c r="BS57" s="40"/>
      <c r="BT57" s="39"/>
      <c r="BU57" s="40"/>
      <c r="BV57" s="39"/>
      <c r="BW57" s="40"/>
      <c r="BX57" s="39"/>
      <c r="BY57" s="40"/>
      <c r="BZ57" s="39"/>
      <c r="CA57" s="40"/>
      <c r="CB57" s="39"/>
      <c r="CC57" s="40"/>
      <c r="CD57" s="39"/>
      <c r="CE57" s="40"/>
      <c r="CF57" s="39"/>
      <c r="CG57" s="40"/>
      <c r="CH57" s="39"/>
      <c r="CI57" s="40"/>
      <c r="CJ57" s="39"/>
      <c r="CK57" s="40"/>
      <c r="CL57" s="39"/>
      <c r="CM57" s="40"/>
      <c r="CN57" s="39"/>
      <c r="CO57" s="40"/>
      <c r="CP57" s="39"/>
      <c r="CQ57" s="40"/>
      <c r="CR57" s="39"/>
      <c r="CS57" s="40"/>
      <c r="CT57" s="39"/>
      <c r="CU57" s="40"/>
      <c r="CV57" s="39"/>
      <c r="CW57" s="40"/>
      <c r="CX57" s="39"/>
      <c r="CY57" s="40"/>
      <c r="CZ57" s="39"/>
      <c r="DA57" s="40"/>
      <c r="DB57" s="39"/>
      <c r="DC57" s="40"/>
      <c r="DD57" s="39"/>
      <c r="DE57" s="40"/>
      <c r="DF57" s="39"/>
      <c r="DG57" s="40"/>
      <c r="DH57" s="39"/>
      <c r="DI57" s="40"/>
      <c r="DJ57" s="39"/>
      <c r="DK57" s="40"/>
      <c r="DL57" s="39"/>
      <c r="DM57" s="40"/>
      <c r="DN57" s="39"/>
      <c r="DO57" s="40"/>
      <c r="DP57" s="39"/>
      <c r="DQ57" s="40"/>
      <c r="DR57" s="39"/>
      <c r="DS57" s="40"/>
      <c r="DT57" s="39"/>
      <c r="DU57" s="40"/>
      <c r="DV57" s="39"/>
      <c r="DW57" s="40"/>
      <c r="DX57" s="39"/>
      <c r="DY57" s="40"/>
      <c r="DZ57" s="39"/>
      <c r="EA57" s="40"/>
      <c r="EB57" s="39"/>
      <c r="EC57" s="40"/>
      <c r="ED57" s="39"/>
      <c r="EE57" s="40"/>
      <c r="EF57" s="39"/>
      <c r="EG57" s="40"/>
      <c r="EH57" s="39"/>
      <c r="EI57" s="40"/>
      <c r="EJ57" s="39"/>
      <c r="EK57" s="40"/>
      <c r="EL57" s="39"/>
      <c r="EM57" s="40"/>
      <c r="EN57" s="39"/>
      <c r="EO57" s="40"/>
      <c r="EP57" s="39"/>
      <c r="EQ57" s="40"/>
      <c r="ER57" s="39"/>
      <c r="ES57" s="40"/>
      <c r="ET57" s="39"/>
      <c r="EU57" s="40"/>
      <c r="EV57" s="39"/>
      <c r="EW57" s="40"/>
      <c r="EX57" s="39"/>
      <c r="EY57" s="40"/>
      <c r="EZ57" s="39"/>
      <c r="FA57" s="40"/>
      <c r="FB57" s="39"/>
      <c r="FC57" s="40"/>
      <c r="FD57" s="39"/>
      <c r="FE57" s="40"/>
      <c r="FF57" s="39"/>
      <c r="FG57" s="40"/>
      <c r="FH57" s="39"/>
      <c r="FI57" s="40"/>
      <c r="FJ57" s="39"/>
      <c r="FK57" s="40"/>
      <c r="FL57" s="39"/>
      <c r="FM57" s="40"/>
      <c r="FN57" s="39"/>
      <c r="FO57" s="40"/>
      <c r="FP57" s="39"/>
      <c r="FQ57" s="40"/>
      <c r="FR57" s="39"/>
      <c r="FS57" s="40"/>
      <c r="FT57" s="39"/>
      <c r="FU57" s="40"/>
      <c r="FV57" s="39"/>
      <c r="FW57" s="40"/>
      <c r="FX57" s="39"/>
      <c r="FY57" s="40"/>
      <c r="FZ57" s="39"/>
      <c r="GA57" s="40"/>
      <c r="GB57" s="39"/>
      <c r="GC57" s="40"/>
      <c r="GD57" s="39"/>
      <c r="GE57" s="40"/>
      <c r="GF57" s="39"/>
      <c r="GG57" s="40"/>
      <c r="GH57" s="39"/>
      <c r="GI57" s="40"/>
      <c r="GJ57" s="39"/>
      <c r="GK57" s="40"/>
      <c r="GL57" s="39"/>
      <c r="GM57" s="40"/>
      <c r="GN57" s="39"/>
      <c r="GO57" s="40"/>
      <c r="GP57" s="39"/>
      <c r="GQ57" s="40"/>
      <c r="GR57" s="39"/>
      <c r="GS57" s="40"/>
      <c r="GT57" s="39"/>
      <c r="GU57" s="40"/>
      <c r="GV57" s="39"/>
      <c r="GW57" s="40"/>
      <c r="GX57" s="39"/>
      <c r="GY57" s="40"/>
      <c r="GZ57" s="39"/>
      <c r="HA57" s="40"/>
      <c r="HB57" s="39"/>
      <c r="HC57" s="40"/>
      <c r="HD57" s="39"/>
      <c r="HE57" s="40"/>
      <c r="HF57" s="39"/>
      <c r="HG57" s="40"/>
      <c r="HH57" s="39"/>
      <c r="HI57" s="40"/>
      <c r="HJ57" s="39"/>
      <c r="HK57" s="40"/>
      <c r="HL57" s="39"/>
      <c r="HM57" s="40"/>
      <c r="HN57" s="39"/>
      <c r="HO57" s="40"/>
      <c r="HP57" s="39"/>
      <c r="HQ57" s="40"/>
      <c r="HR57" s="39"/>
      <c r="HS57" s="40"/>
      <c r="HT57" s="39"/>
      <c r="HU57" s="40"/>
      <c r="HV57" s="39"/>
      <c r="HW57" s="40"/>
      <c r="HX57" s="39"/>
      <c r="HY57" s="40"/>
      <c r="HZ57" s="39"/>
      <c r="IA57" s="40"/>
      <c r="IB57" s="39"/>
      <c r="IC57" s="1068"/>
      <c r="ID57" s="645"/>
      <c r="IE57" s="646"/>
      <c r="IF57" s="645"/>
      <c r="IG57" s="646"/>
      <c r="IH57" s="645"/>
      <c r="II57" s="646"/>
      <c r="IJ57" s="645"/>
      <c r="IK57" s="646"/>
      <c r="IL57" s="645"/>
      <c r="IM57" s="646"/>
      <c r="IN57" s="645"/>
      <c r="IO57" s="646"/>
      <c r="IP57" s="645"/>
      <c r="IQ57" s="646"/>
      <c r="IR57" s="645"/>
      <c r="IS57" s="646"/>
      <c r="IT57" s="645"/>
      <c r="IU57" s="646"/>
      <c r="IV57" s="645"/>
      <c r="IW57" s="646"/>
      <c r="IX57" s="645"/>
      <c r="IY57" s="646"/>
      <c r="IZ57" s="645"/>
      <c r="JA57" s="646"/>
      <c r="JB57" s="645"/>
      <c r="JC57" s="646"/>
      <c r="JD57" s="645"/>
      <c r="JE57" s="646"/>
      <c r="JF57" s="645"/>
      <c r="JG57" s="646"/>
      <c r="JH57" s="645"/>
      <c r="JI57" s="646"/>
      <c r="JJ57" s="645"/>
      <c r="JK57" s="646"/>
      <c r="JL57" s="645"/>
      <c r="JM57" s="646"/>
      <c r="JN57" s="645"/>
      <c r="JO57" s="646"/>
      <c r="JP57" s="645"/>
      <c r="JQ57" s="646"/>
      <c r="JR57" s="645"/>
      <c r="JS57" s="646"/>
      <c r="JT57" s="645"/>
      <c r="JU57" s="646"/>
      <c r="JV57" s="645"/>
      <c r="JW57" s="646"/>
      <c r="JX57" s="645"/>
      <c r="JY57" s="646"/>
      <c r="JZ57" s="645"/>
      <c r="KA57" s="646"/>
      <c r="KB57" s="645"/>
      <c r="KC57" s="646"/>
      <c r="KD57" s="645"/>
      <c r="KE57" s="646"/>
      <c r="KF57" s="645"/>
      <c r="KG57" s="646"/>
      <c r="KH57" s="645"/>
      <c r="KI57" s="646"/>
      <c r="KJ57" s="645"/>
      <c r="KK57" s="646"/>
      <c r="KL57" s="645"/>
      <c r="KM57" s="646"/>
      <c r="KN57" s="645"/>
      <c r="KO57" s="646"/>
      <c r="KP57" s="645"/>
      <c r="KQ57" s="646"/>
      <c r="KR57" s="645"/>
      <c r="KS57" s="646"/>
      <c r="KT57" s="645"/>
      <c r="KU57" s="646"/>
      <c r="KV57" s="645"/>
      <c r="KW57" s="646"/>
      <c r="KX57" s="645"/>
      <c r="KY57" s="646"/>
      <c r="KZ57" s="645"/>
      <c r="LA57" s="646"/>
      <c r="LB57" s="645"/>
      <c r="LC57" s="646"/>
      <c r="LD57" s="645"/>
      <c r="LE57" s="646"/>
      <c r="LF57" s="645"/>
      <c r="LG57" s="646"/>
      <c r="LH57" s="645"/>
      <c r="LI57" s="646"/>
      <c r="LJ57" s="645"/>
      <c r="LK57" s="646"/>
      <c r="LL57" s="645"/>
      <c r="LM57" s="646"/>
      <c r="LN57" s="645"/>
      <c r="LO57" s="646"/>
      <c r="LP57" s="645"/>
      <c r="LQ57" s="646"/>
      <c r="LR57" s="645"/>
      <c r="LS57" s="646"/>
      <c r="LT57" s="645"/>
      <c r="LU57" s="646"/>
      <c r="LV57" s="645"/>
      <c r="LW57" s="646"/>
      <c r="LX57" s="645"/>
      <c r="LY57" s="646"/>
      <c r="LZ57" s="645"/>
      <c r="MA57" s="646"/>
      <c r="MB57" s="645"/>
      <c r="MC57" s="646"/>
      <c r="MD57" s="645"/>
      <c r="ME57" s="646"/>
      <c r="MF57" s="645"/>
      <c r="MG57" s="646"/>
      <c r="MH57" s="645"/>
      <c r="MI57" s="646"/>
      <c r="MJ57" s="645"/>
      <c r="MK57" s="646"/>
      <c r="ML57" s="645"/>
      <c r="MM57" s="646"/>
      <c r="MN57" s="645"/>
      <c r="MO57" s="646"/>
      <c r="MP57" s="645"/>
      <c r="MQ57" s="646"/>
      <c r="MR57" s="645"/>
      <c r="MS57" s="646"/>
      <c r="MT57" s="645"/>
      <c r="MU57" s="646"/>
      <c r="MV57" s="645"/>
      <c r="MW57" s="646"/>
      <c r="MX57" s="645"/>
      <c r="MY57" s="646"/>
      <c r="MZ57" s="645"/>
      <c r="NA57" s="646"/>
      <c r="NB57" s="645"/>
      <c r="NC57" s="646"/>
      <c r="ND57" s="645"/>
      <c r="NE57" s="646"/>
      <c r="NF57" s="645"/>
      <c r="NG57" s="646"/>
      <c r="NH57" s="645"/>
      <c r="NI57" s="646"/>
      <c r="NJ57" s="645"/>
      <c r="NK57" s="646"/>
      <c r="NL57" s="645"/>
      <c r="NM57" s="646"/>
      <c r="NN57" s="645"/>
      <c r="NO57" s="646"/>
      <c r="NP57" s="645"/>
      <c r="NQ57" s="646"/>
      <c r="NR57" s="645"/>
      <c r="NS57" s="646"/>
      <c r="NT57" s="645"/>
      <c r="NU57" s="646"/>
      <c r="NV57" s="645"/>
      <c r="NW57" s="646"/>
      <c r="NX57" s="645"/>
      <c r="NY57" s="646"/>
      <c r="NZ57" s="645"/>
      <c r="OA57" s="646"/>
      <c r="OB57" s="645"/>
      <c r="OC57" s="646"/>
      <c r="OD57" s="645"/>
      <c r="OE57" s="646"/>
      <c r="OF57" s="645"/>
      <c r="OG57" s="646"/>
      <c r="OH57" s="645"/>
      <c r="OI57" s="646"/>
      <c r="OJ57" s="645"/>
      <c r="OK57" s="646"/>
      <c r="OL57" s="645"/>
      <c r="OM57" s="646"/>
      <c r="ON57" s="645"/>
      <c r="OO57" s="646"/>
      <c r="OP57" s="645"/>
      <c r="OQ57" s="646"/>
      <c r="OR57" s="645"/>
      <c r="OS57" s="646"/>
      <c r="OT57" s="645"/>
      <c r="OU57" s="646"/>
      <c r="OV57" s="645"/>
      <c r="OW57" s="646"/>
      <c r="OX57" s="645"/>
      <c r="OY57" s="646"/>
      <c r="OZ57" s="645"/>
      <c r="PA57" s="646"/>
      <c r="PB57" s="645"/>
      <c r="PC57" s="646"/>
      <c r="PD57" s="645"/>
      <c r="PE57" s="646"/>
      <c r="PF57" s="645"/>
      <c r="PG57" s="646"/>
      <c r="PH57" s="645"/>
      <c r="PI57" s="646"/>
      <c r="PJ57" s="645"/>
      <c r="PK57" s="646"/>
      <c r="PL57" s="645"/>
      <c r="PM57" s="646"/>
      <c r="PN57" s="645"/>
      <c r="PO57" s="646"/>
      <c r="PP57" s="645"/>
      <c r="PQ57" s="646"/>
      <c r="PR57" s="645"/>
      <c r="PS57" s="646"/>
      <c r="PT57" s="645"/>
      <c r="PU57" s="646"/>
      <c r="PV57" s="645"/>
      <c r="PW57" s="646"/>
      <c r="PX57" s="645"/>
      <c r="PY57" s="646"/>
      <c r="PZ57" s="645"/>
      <c r="QA57" s="646"/>
      <c r="QB57" s="645"/>
      <c r="QC57" s="646"/>
      <c r="QD57" s="645"/>
      <c r="QE57" s="646"/>
      <c r="QF57" s="645"/>
      <c r="QG57" s="646"/>
      <c r="QH57" s="645"/>
      <c r="QI57" s="646"/>
      <c r="QJ57" s="645"/>
      <c r="QK57" s="646"/>
      <c r="QL57" s="645"/>
      <c r="QM57" s="646"/>
      <c r="QN57" s="645"/>
      <c r="QO57" s="646"/>
      <c r="QP57" s="645"/>
      <c r="QQ57" s="646"/>
      <c r="QR57" s="645"/>
      <c r="QS57" s="646"/>
      <c r="QT57" s="645"/>
      <c r="QU57" s="646"/>
      <c r="QV57" s="645"/>
      <c r="QW57" s="646"/>
      <c r="QX57" s="645"/>
      <c r="QY57" s="646"/>
      <c r="QZ57" s="645"/>
      <c r="RA57" s="646"/>
      <c r="RB57" s="645"/>
      <c r="RC57" s="646"/>
      <c r="RD57" s="645"/>
      <c r="RE57" s="646"/>
      <c r="RF57" s="645"/>
      <c r="RG57" s="646"/>
      <c r="RH57" s="645"/>
      <c r="RI57" s="646"/>
      <c r="RJ57" s="645"/>
      <c r="RK57" s="646"/>
      <c r="RL57" s="645"/>
      <c r="RM57" s="646"/>
      <c r="RN57" s="645"/>
      <c r="RO57" s="646"/>
      <c r="RP57" s="645"/>
      <c r="RQ57" s="646"/>
      <c r="RR57" s="645"/>
      <c r="RS57" s="646"/>
      <c r="RT57" s="645"/>
      <c r="RU57" s="646"/>
      <c r="RV57" s="645"/>
      <c r="RW57" s="646"/>
      <c r="RX57" s="645"/>
      <c r="RY57" s="646"/>
      <c r="RZ57" s="645"/>
      <c r="SA57" s="646"/>
      <c r="SB57" s="645"/>
      <c r="SC57" s="646"/>
      <c r="SD57" s="645"/>
      <c r="SE57" s="646"/>
      <c r="SF57" s="645"/>
      <c r="SG57" s="646"/>
      <c r="SH57" s="645"/>
      <c r="SI57" s="646"/>
      <c r="SJ57" s="645"/>
      <c r="SK57" s="646"/>
      <c r="SL57" s="645"/>
      <c r="SM57" s="646"/>
      <c r="SN57" s="645"/>
      <c r="SO57" s="646"/>
      <c r="SP57" s="645"/>
      <c r="SQ57" s="646"/>
      <c r="SR57" s="645"/>
      <c r="SS57" s="646"/>
      <c r="ST57" s="645"/>
      <c r="SU57" s="646"/>
      <c r="SV57" s="645"/>
      <c r="SW57" s="646"/>
      <c r="SX57" s="645"/>
      <c r="SY57" s="646"/>
      <c r="SZ57" s="645"/>
      <c r="TA57" s="646"/>
      <c r="TB57" s="645"/>
      <c r="TC57" s="646"/>
      <c r="TD57" s="645"/>
      <c r="TE57" s="646"/>
      <c r="TF57" s="645"/>
      <c r="TG57" s="646"/>
      <c r="TH57" s="645"/>
      <c r="TI57" s="646"/>
      <c r="TJ57" s="645"/>
      <c r="TK57" s="646"/>
      <c r="TL57" s="645"/>
      <c r="TM57" s="646"/>
      <c r="TN57" s="645"/>
      <c r="TO57" s="646"/>
      <c r="TP57" s="645"/>
      <c r="TQ57" s="646"/>
      <c r="TR57" s="645"/>
      <c r="TS57" s="646"/>
      <c r="TT57" s="645"/>
      <c r="TU57" s="646"/>
      <c r="TV57" s="645"/>
      <c r="TW57" s="646"/>
      <c r="TX57" s="645"/>
      <c r="TY57" s="646"/>
      <c r="TZ57" s="645"/>
      <c r="UA57" s="646"/>
      <c r="UB57" s="645"/>
      <c r="UC57" s="646"/>
      <c r="UD57" s="645"/>
      <c r="UE57" s="646"/>
      <c r="UF57" s="645"/>
      <c r="UG57" s="646"/>
      <c r="UH57" s="645"/>
      <c r="UI57" s="646"/>
      <c r="UJ57" s="645"/>
      <c r="UK57" s="646"/>
      <c r="UL57" s="645"/>
      <c r="UM57" s="646"/>
      <c r="UN57" s="645"/>
      <c r="UO57" s="646"/>
      <c r="UP57" s="645"/>
      <c r="UQ57" s="646"/>
      <c r="UR57" s="645"/>
      <c r="US57" s="646"/>
      <c r="UT57" s="645"/>
      <c r="UU57" s="646"/>
      <c r="UV57" s="645"/>
      <c r="UW57" s="646"/>
      <c r="UX57" s="645"/>
      <c r="UY57" s="646"/>
      <c r="UZ57" s="645"/>
      <c r="VA57" s="646"/>
      <c r="VB57" s="645"/>
      <c r="VC57" s="646"/>
      <c r="VD57" s="645"/>
      <c r="VE57" s="646"/>
      <c r="VF57" s="645"/>
      <c r="VG57" s="646"/>
      <c r="VH57" s="645"/>
      <c r="VI57" s="646"/>
      <c r="VJ57" s="645"/>
      <c r="VK57" s="646"/>
      <c r="VL57" s="645"/>
      <c r="VM57" s="646"/>
      <c r="VN57" s="645"/>
      <c r="VO57" s="646"/>
      <c r="VP57" s="645"/>
      <c r="VQ57" s="646"/>
      <c r="VR57" s="645"/>
      <c r="VS57" s="646"/>
      <c r="VT57" s="645"/>
      <c r="VU57" s="646"/>
      <c r="VV57" s="645"/>
      <c r="VW57" s="646"/>
      <c r="VX57" s="645"/>
      <c r="VY57" s="646"/>
      <c r="VZ57" s="645"/>
      <c r="WA57" s="646"/>
      <c r="WB57" s="645"/>
      <c r="WC57" s="646"/>
      <c r="WD57" s="645"/>
      <c r="WE57" s="646"/>
      <c r="WF57" s="645"/>
      <c r="WG57" s="646"/>
      <c r="WH57" s="645"/>
      <c r="WI57" s="646"/>
      <c r="WJ57" s="645"/>
      <c r="WK57" s="646"/>
      <c r="WL57" s="645"/>
      <c r="WM57" s="646"/>
      <c r="WN57" s="645"/>
      <c r="WO57" s="646"/>
      <c r="WP57" s="645"/>
      <c r="WQ57" s="646"/>
      <c r="WR57" s="645"/>
      <c r="WS57" s="646"/>
      <c r="WT57" s="645"/>
      <c r="WU57" s="646"/>
      <c r="WV57" s="645"/>
      <c r="WW57" s="646"/>
      <c r="WX57" s="645"/>
      <c r="WY57" s="646"/>
      <c r="WZ57" s="645"/>
      <c r="XA57" s="646"/>
      <c r="XB57" s="645"/>
      <c r="XC57" s="646"/>
      <c r="XD57" s="645"/>
      <c r="XE57" s="646"/>
      <c r="XF57" s="645"/>
      <c r="XG57" s="646"/>
      <c r="XH57" s="645"/>
      <c r="XI57" s="646"/>
      <c r="XJ57" s="645"/>
      <c r="XK57" s="646"/>
      <c r="XL57" s="645"/>
      <c r="XM57" s="646"/>
      <c r="XN57" s="645"/>
      <c r="XO57" s="646"/>
      <c r="XP57" s="645"/>
      <c r="XQ57" s="646"/>
      <c r="XR57" s="645"/>
      <c r="XS57" s="646"/>
      <c r="XT57" s="645"/>
      <c r="XU57" s="646"/>
      <c r="XV57" s="645"/>
      <c r="XW57" s="646"/>
      <c r="XX57" s="645"/>
      <c r="XY57" s="646"/>
      <c r="XZ57" s="645"/>
      <c r="YA57" s="646"/>
      <c r="YB57" s="645"/>
      <c r="YC57" s="646"/>
      <c r="YD57" s="645"/>
      <c r="YE57" s="646"/>
      <c r="YF57" s="645"/>
      <c r="YG57" s="646"/>
      <c r="YH57" s="645"/>
      <c r="YI57" s="646"/>
      <c r="YJ57" s="645"/>
      <c r="YK57" s="646"/>
      <c r="YL57" s="645"/>
      <c r="YM57" s="646"/>
      <c r="YN57" s="645"/>
      <c r="YO57" s="646"/>
      <c r="YP57" s="645"/>
      <c r="YQ57" s="646"/>
      <c r="YR57" s="645"/>
      <c r="YS57" s="646"/>
      <c r="YT57" s="645"/>
      <c r="YU57" s="646"/>
      <c r="YV57" s="645"/>
      <c r="YW57" s="646"/>
      <c r="YX57" s="645"/>
      <c r="YY57" s="646"/>
      <c r="YZ57" s="645"/>
      <c r="ZA57" s="646"/>
      <c r="ZB57" s="645"/>
      <c r="ZC57" s="646"/>
      <c r="ZD57" s="645"/>
      <c r="ZE57" s="646"/>
      <c r="ZF57" s="645"/>
      <c r="ZG57" s="646"/>
      <c r="ZH57" s="645"/>
      <c r="ZI57" s="646"/>
      <c r="ZJ57" s="645"/>
      <c r="ZK57" s="646"/>
      <c r="ZL57" s="645"/>
      <c r="ZM57" s="646"/>
      <c r="ZN57" s="645"/>
      <c r="ZO57" s="646"/>
      <c r="ZP57" s="645"/>
      <c r="ZQ57" s="646"/>
      <c r="ZR57" s="645"/>
      <c r="ZS57" s="646"/>
      <c r="ZT57" s="645"/>
      <c r="ZU57" s="646"/>
      <c r="ZV57" s="645"/>
      <c r="ZW57" s="646"/>
      <c r="ZX57" s="645"/>
      <c r="ZY57" s="646"/>
      <c r="ZZ57" s="645"/>
      <c r="AAA57" s="646"/>
      <c r="AAB57" s="645"/>
      <c r="AAC57" s="646"/>
      <c r="AAD57" s="645"/>
      <c r="AAE57" s="646"/>
      <c r="AAF57" s="645"/>
      <c r="AAG57" s="646"/>
      <c r="AAH57" s="645"/>
      <c r="AAI57" s="646"/>
      <c r="AAJ57" s="645"/>
      <c r="AAK57" s="646"/>
      <c r="AAL57" s="645"/>
      <c r="AAM57" s="646"/>
      <c r="AAN57" s="645"/>
      <c r="AAO57" s="646"/>
      <c r="AAP57" s="645"/>
      <c r="AAQ57" s="646"/>
      <c r="AAR57" s="645"/>
      <c r="AAS57" s="646"/>
      <c r="AAT57" s="645"/>
      <c r="AAU57" s="646"/>
      <c r="AAV57" s="645"/>
      <c r="AAW57" s="646"/>
      <c r="AAX57" s="645"/>
      <c r="AAY57" s="646"/>
      <c r="AAZ57" s="645"/>
      <c r="ABA57" s="646"/>
      <c r="ABB57" s="645"/>
      <c r="ABC57" s="646"/>
      <c r="ABD57" s="645"/>
      <c r="ABE57" s="646"/>
      <c r="ABF57" s="645"/>
      <c r="ABG57" s="646"/>
      <c r="ABH57" s="645"/>
      <c r="ABI57" s="646"/>
      <c r="ABJ57" s="645"/>
      <c r="ABK57" s="646"/>
      <c r="ABL57" s="645"/>
      <c r="ABM57" s="646"/>
      <c r="ABN57" s="645"/>
      <c r="ABO57" s="646"/>
      <c r="ABP57" s="645"/>
      <c r="ABQ57" s="646"/>
      <c r="ABR57" s="645"/>
      <c r="ABS57" s="646"/>
      <c r="ABT57" s="645"/>
      <c r="ABU57" s="646"/>
      <c r="ABV57" s="645"/>
      <c r="ABW57" s="646"/>
      <c r="ABX57" s="645"/>
      <c r="ABY57" s="646"/>
      <c r="ABZ57" s="645"/>
      <c r="ACA57" s="646"/>
      <c r="ACB57" s="645"/>
      <c r="ACC57" s="646"/>
      <c r="ACD57" s="645"/>
      <c r="ACE57" s="646"/>
      <c r="ACF57" s="645"/>
      <c r="ACG57" s="646"/>
      <c r="ACH57" s="645"/>
      <c r="ACI57" s="646"/>
      <c r="ACJ57" s="645"/>
      <c r="ACK57" s="646"/>
      <c r="ACL57" s="645"/>
      <c r="ACM57" s="646"/>
      <c r="ACN57" s="645"/>
      <c r="ACO57" s="646"/>
      <c r="ACP57" s="645"/>
      <c r="ACQ57" s="646"/>
      <c r="ACR57" s="645"/>
      <c r="ACS57" s="646"/>
      <c r="ACT57" s="645"/>
      <c r="ACU57" s="646"/>
      <c r="ACV57" s="645"/>
      <c r="ACW57" s="646"/>
      <c r="ACX57" s="645"/>
      <c r="ACY57" s="646"/>
      <c r="ACZ57" s="645"/>
      <c r="ADA57" s="646"/>
      <c r="ADB57" s="645"/>
      <c r="ADC57" s="646"/>
      <c r="ADD57" s="645"/>
      <c r="ADE57" s="646"/>
      <c r="ADF57" s="645"/>
      <c r="ADG57" s="646"/>
      <c r="ADH57" s="645"/>
      <c r="ADI57" s="646"/>
      <c r="ADJ57" s="645"/>
      <c r="ADK57" s="646"/>
      <c r="ADL57" s="645"/>
      <c r="ADM57" s="646"/>
      <c r="ADN57" s="645"/>
      <c r="ADO57" s="646"/>
      <c r="ADP57" s="645"/>
      <c r="ADQ57" s="646"/>
      <c r="ADR57" s="645"/>
      <c r="ADS57" s="646"/>
      <c r="ADT57" s="645"/>
      <c r="ADU57" s="646"/>
      <c r="ADV57" s="645"/>
      <c r="ADW57" s="646"/>
      <c r="ADX57" s="645"/>
      <c r="ADY57" s="646"/>
      <c r="ADZ57" s="645"/>
      <c r="AEA57" s="646"/>
      <c r="AEB57" s="645"/>
      <c r="AEC57" s="646"/>
      <c r="AED57" s="645"/>
      <c r="AEE57" s="646"/>
      <c r="AEF57" s="645"/>
      <c r="AEG57" s="646"/>
      <c r="AEH57" s="645"/>
      <c r="AEI57" s="646"/>
      <c r="AEJ57" s="645"/>
      <c r="AEK57" s="646"/>
      <c r="AEL57" s="645"/>
      <c r="AEM57" s="646"/>
      <c r="AEN57" s="645"/>
      <c r="AEO57" s="646"/>
      <c r="AEP57" s="645"/>
      <c r="AEQ57" s="646"/>
      <c r="AER57" s="645"/>
      <c r="AES57" s="646"/>
      <c r="AET57" s="645"/>
      <c r="AEU57" s="646"/>
      <c r="AEV57" s="645"/>
      <c r="AEW57" s="646"/>
      <c r="AEX57" s="645"/>
      <c r="AEY57" s="646"/>
      <c r="AEZ57" s="645"/>
      <c r="AFA57" s="646"/>
      <c r="AFB57" s="645"/>
      <c r="AFC57" s="646"/>
      <c r="AFD57" s="645"/>
      <c r="AFE57" s="646"/>
      <c r="AFF57" s="645"/>
      <c r="AFG57" s="646"/>
      <c r="AFH57" s="645"/>
      <c r="AFI57" s="646"/>
      <c r="AFJ57" s="645"/>
      <c r="AFK57" s="646"/>
      <c r="AFL57" s="645"/>
      <c r="AFM57" s="646"/>
      <c r="AFN57" s="645"/>
      <c r="AFO57" s="646"/>
      <c r="AFP57" s="645"/>
      <c r="AFQ57" s="646"/>
      <c r="AFR57" s="645"/>
      <c r="AFS57" s="646"/>
      <c r="AFT57" s="645"/>
      <c r="AFU57" s="646"/>
      <c r="AFV57" s="645"/>
      <c r="AFW57" s="646"/>
      <c r="AFX57" s="645"/>
      <c r="AFY57" s="646"/>
      <c r="AFZ57" s="645"/>
      <c r="AGA57" s="646"/>
      <c r="AGB57" s="645"/>
      <c r="AGC57" s="646"/>
      <c r="AGD57" s="645"/>
      <c r="AGE57" s="646"/>
      <c r="AGF57" s="645"/>
      <c r="AGG57" s="646"/>
      <c r="AGH57" s="645"/>
      <c r="AGI57" s="646"/>
      <c r="AGJ57" s="645"/>
      <c r="AGK57" s="646"/>
      <c r="AGL57" s="645"/>
      <c r="AGM57" s="646"/>
      <c r="AGN57" s="645"/>
      <c r="AGO57" s="646"/>
      <c r="AGP57" s="645"/>
      <c r="AGQ57" s="646"/>
      <c r="AGR57" s="645"/>
      <c r="AGS57" s="646"/>
      <c r="AGT57" s="645"/>
      <c r="AGU57" s="646"/>
      <c r="AGV57" s="645"/>
      <c r="AGW57" s="646"/>
      <c r="AGX57" s="645"/>
      <c r="AGY57" s="646"/>
      <c r="AGZ57" s="645"/>
      <c r="AHA57" s="646"/>
      <c r="AHB57" s="645"/>
      <c r="AHC57" s="646"/>
      <c r="AHD57" s="645"/>
      <c r="AHE57" s="646"/>
      <c r="AHF57" s="645"/>
      <c r="AHG57" s="646"/>
      <c r="AHH57" s="645"/>
      <c r="AHI57" s="646"/>
      <c r="AHJ57" s="645"/>
      <c r="AHK57" s="646"/>
      <c r="AHL57" s="645"/>
      <c r="AHM57" s="646"/>
      <c r="AHN57" s="645"/>
      <c r="AHO57" s="646"/>
      <c r="AHP57" s="645"/>
      <c r="AHQ57" s="646"/>
      <c r="AHR57" s="645"/>
      <c r="AHS57" s="646"/>
      <c r="AHT57" s="645"/>
      <c r="AHU57" s="646"/>
      <c r="AHV57" s="645"/>
      <c r="AHW57" s="646"/>
      <c r="AHX57" s="645"/>
      <c r="AHY57" s="646"/>
      <c r="AHZ57" s="645"/>
      <c r="AIA57" s="646"/>
      <c r="AIB57" s="645"/>
      <c r="AIC57" s="646"/>
      <c r="AID57" s="645"/>
      <c r="AIE57" s="646"/>
      <c r="AIF57" s="645"/>
      <c r="AIG57" s="646"/>
      <c r="AIH57" s="645"/>
      <c r="AII57" s="646"/>
      <c r="AIJ57" s="645"/>
      <c r="AIK57" s="646"/>
      <c r="AIL57" s="645"/>
      <c r="AIM57" s="646"/>
      <c r="AIN57" s="645"/>
      <c r="AIO57" s="646"/>
      <c r="AIP57" s="645"/>
      <c r="AIQ57" s="645"/>
      <c r="AIR57" s="645"/>
      <c r="AIS57" s="645"/>
      <c r="AIT57" s="645"/>
      <c r="AIU57" s="645"/>
      <c r="AIV57" s="645"/>
      <c r="AIW57" s="645"/>
      <c r="AIX57" s="645"/>
      <c r="AIY57" s="645"/>
      <c r="AIZ57" s="645"/>
      <c r="AJA57" s="645"/>
      <c r="AJB57" s="645"/>
      <c r="AJC57" s="645"/>
      <c r="AJD57" s="645"/>
      <c r="AJE57" s="645"/>
      <c r="AJF57" s="645"/>
      <c r="AJG57" s="645"/>
      <c r="AJH57" s="645"/>
      <c r="AJI57" s="645"/>
      <c r="AJJ57" s="645"/>
      <c r="AJK57" s="645"/>
      <c r="AJL57" s="645"/>
      <c r="AJM57" s="645"/>
      <c r="AJN57" s="645"/>
      <c r="AJO57" s="645"/>
      <c r="AJP57" s="645"/>
      <c r="AJQ57" s="645"/>
      <c r="AJR57" s="645"/>
      <c r="AJS57" s="645"/>
      <c r="AJT57" s="645"/>
      <c r="AJU57" s="645"/>
      <c r="AJV57" s="645"/>
      <c r="AJW57" s="645"/>
      <c r="AJX57" s="645"/>
      <c r="AJY57" s="645"/>
      <c r="AJZ57" s="645"/>
      <c r="AKA57" s="645"/>
      <c r="AKB57" s="645"/>
      <c r="AKC57" s="645"/>
      <c r="AKD57" s="645"/>
      <c r="AKE57" s="645"/>
      <c r="AKF57" s="645"/>
      <c r="AKG57" s="645"/>
      <c r="AKH57" s="645"/>
      <c r="AKI57" s="645"/>
      <c r="AKJ57" s="645"/>
      <c r="AKK57" s="645"/>
      <c r="AKL57" s="645"/>
      <c r="AKM57" s="645"/>
      <c r="AKN57" s="645"/>
      <c r="AKO57" s="645"/>
      <c r="AKP57" s="645"/>
      <c r="AKQ57" s="645"/>
      <c r="AKR57" s="645"/>
      <c r="AKS57" s="645"/>
      <c r="AKT57" s="645"/>
      <c r="AKU57" s="645"/>
      <c r="AKV57" s="645"/>
      <c r="AKW57" s="645"/>
      <c r="AKX57" s="645"/>
      <c r="AKY57" s="645"/>
      <c r="AKZ57" s="645"/>
      <c r="ALA57" s="645"/>
      <c r="ALB57" s="645"/>
      <c r="ALC57" s="645"/>
      <c r="ALD57" s="645"/>
      <c r="ALE57" s="645"/>
      <c r="ALF57" s="645"/>
      <c r="ALG57" s="645"/>
      <c r="ALH57" s="645"/>
      <c r="ALI57" s="645"/>
      <c r="ALJ57" s="645"/>
      <c r="ALK57" s="645"/>
      <c r="ALL57" s="645"/>
      <c r="ALM57" s="645"/>
      <c r="ALN57" s="645"/>
      <c r="ALO57" s="645"/>
      <c r="ALP57" s="645"/>
      <c r="ALQ57" s="645"/>
      <c r="ALR57" s="645"/>
      <c r="ALS57" s="645"/>
      <c r="ALT57" s="645"/>
      <c r="ALU57" s="645"/>
      <c r="ALV57" s="645"/>
      <c r="ALW57" s="645"/>
      <c r="ALX57" s="645"/>
      <c r="ALY57" s="645"/>
      <c r="ALZ57" s="645"/>
      <c r="AMA57" s="645"/>
      <c r="AMB57" s="645"/>
      <c r="AMC57" s="645"/>
      <c r="AMD57" s="645"/>
      <c r="AME57" s="645"/>
      <c r="AMF57" s="645"/>
      <c r="AMG57" s="645"/>
      <c r="AMH57" s="645"/>
      <c r="AMI57" s="645"/>
      <c r="AMJ57" s="645"/>
    </row>
    <row r="58" spans="1:1024" s="37" customFormat="1" ht="15.75" customHeight="1" x14ac:dyDescent="0.35">
      <c r="A58" s="600"/>
      <c r="B58" s="644" t="s">
        <v>312</v>
      </c>
      <c r="C58" s="645"/>
      <c r="D58" s="646"/>
      <c r="E58" s="645"/>
      <c r="F58" s="646"/>
      <c r="G58" s="453" t="s">
        <v>234</v>
      </c>
      <c r="H58" s="643" t="s">
        <v>259</v>
      </c>
      <c r="I58" s="645"/>
      <c r="J58" s="38"/>
      <c r="K58" s="38"/>
      <c r="L58" s="39"/>
      <c r="M58" s="38"/>
      <c r="N58" s="39"/>
      <c r="O58" s="38"/>
      <c r="P58" s="39"/>
      <c r="Q58" s="38"/>
      <c r="R58" s="39"/>
      <c r="S58" s="38"/>
      <c r="T58" s="39"/>
      <c r="U58" s="38"/>
      <c r="V58" s="39"/>
      <c r="W58" s="38"/>
      <c r="X58" s="39"/>
      <c r="Y58" s="38"/>
      <c r="Z58" s="39"/>
      <c r="AA58" s="38"/>
      <c r="AB58" s="39"/>
      <c r="AC58" s="38"/>
      <c r="AD58" s="39"/>
      <c r="AE58" s="38"/>
      <c r="AF58" s="39"/>
      <c r="AG58" s="38"/>
      <c r="AH58" s="39"/>
      <c r="AI58" s="38"/>
      <c r="AJ58" s="39"/>
      <c r="AK58" s="40"/>
      <c r="AL58" s="39"/>
      <c r="AM58" s="40"/>
      <c r="AN58" s="39"/>
      <c r="AO58" s="40"/>
      <c r="AP58" s="39"/>
      <c r="AQ58" s="40"/>
      <c r="AR58" s="39"/>
      <c r="AS58" s="40"/>
      <c r="AT58" s="39"/>
      <c r="AU58" s="40"/>
      <c r="AV58" s="39"/>
      <c r="AW58" s="40"/>
      <c r="AX58" s="39"/>
      <c r="AY58" s="40"/>
      <c r="AZ58" s="39"/>
      <c r="BA58" s="40"/>
      <c r="BB58" s="39"/>
      <c r="BC58" s="40"/>
      <c r="BD58" s="39"/>
      <c r="BE58" s="40"/>
      <c r="BF58" s="39"/>
      <c r="BG58" s="40"/>
      <c r="BH58" s="39"/>
      <c r="BI58" s="40"/>
      <c r="BJ58" s="39"/>
      <c r="BK58" s="40"/>
      <c r="BL58" s="39"/>
      <c r="BM58" s="40"/>
      <c r="BN58" s="39"/>
      <c r="BO58" s="40"/>
      <c r="BP58" s="39"/>
      <c r="BQ58" s="40"/>
      <c r="BR58" s="39"/>
      <c r="BS58" s="40"/>
      <c r="BT58" s="39"/>
      <c r="BU58" s="40"/>
      <c r="BV58" s="39"/>
      <c r="BW58" s="40"/>
      <c r="BX58" s="39"/>
      <c r="BY58" s="40"/>
      <c r="BZ58" s="39"/>
      <c r="CA58" s="40"/>
      <c r="CB58" s="39"/>
      <c r="CC58" s="40"/>
      <c r="CD58" s="39"/>
      <c r="CE58" s="40"/>
      <c r="CF58" s="39"/>
      <c r="CG58" s="40"/>
      <c r="CH58" s="39"/>
      <c r="CI58" s="40"/>
      <c r="CJ58" s="39"/>
      <c r="CK58" s="40"/>
      <c r="CL58" s="39"/>
      <c r="CM58" s="40"/>
      <c r="CN58" s="39"/>
      <c r="CO58" s="40"/>
      <c r="CP58" s="39"/>
      <c r="CQ58" s="40"/>
      <c r="CR58" s="39"/>
      <c r="CS58" s="40"/>
      <c r="CT58" s="39"/>
      <c r="CU58" s="40"/>
      <c r="CV58" s="39"/>
      <c r="CW58" s="40"/>
      <c r="CX58" s="39"/>
      <c r="CY58" s="40"/>
      <c r="CZ58" s="39"/>
      <c r="DA58" s="40"/>
      <c r="DB58" s="39"/>
      <c r="DC58" s="40"/>
      <c r="DD58" s="39"/>
      <c r="DE58" s="40"/>
      <c r="DF58" s="39"/>
      <c r="DG58" s="40"/>
      <c r="DH58" s="39"/>
      <c r="DI58" s="40"/>
      <c r="DJ58" s="39"/>
      <c r="DK58" s="40"/>
      <c r="DL58" s="39"/>
      <c r="DM58" s="40"/>
      <c r="DN58" s="39"/>
      <c r="DO58" s="40"/>
      <c r="DP58" s="39"/>
      <c r="DQ58" s="40"/>
      <c r="DR58" s="39"/>
      <c r="DS58" s="40"/>
      <c r="DT58" s="39"/>
      <c r="DU58" s="40"/>
      <c r="DV58" s="39"/>
      <c r="DW58" s="40"/>
      <c r="DX58" s="39"/>
      <c r="DY58" s="40"/>
      <c r="DZ58" s="39"/>
      <c r="EA58" s="40"/>
      <c r="EB58" s="39"/>
      <c r="EC58" s="40"/>
      <c r="ED58" s="39"/>
      <c r="EE58" s="40"/>
      <c r="EF58" s="39"/>
      <c r="EG58" s="40"/>
      <c r="EH58" s="39"/>
      <c r="EI58" s="40"/>
      <c r="EJ58" s="39"/>
      <c r="EK58" s="40"/>
      <c r="EL58" s="39"/>
      <c r="EM58" s="40"/>
      <c r="EN58" s="39"/>
      <c r="EO58" s="40"/>
      <c r="EP58" s="39"/>
      <c r="EQ58" s="40"/>
      <c r="ER58" s="39"/>
      <c r="ES58" s="40"/>
      <c r="ET58" s="39"/>
      <c r="EU58" s="40"/>
      <c r="EV58" s="39"/>
      <c r="EW58" s="40"/>
      <c r="EX58" s="39"/>
      <c r="EY58" s="40"/>
      <c r="EZ58" s="39"/>
      <c r="FA58" s="40"/>
      <c r="FB58" s="39"/>
      <c r="FC58" s="40"/>
      <c r="FD58" s="39"/>
      <c r="FE58" s="40"/>
      <c r="FF58" s="39"/>
      <c r="FG58" s="40"/>
      <c r="FH58" s="39"/>
      <c r="FI58" s="40"/>
      <c r="FJ58" s="39"/>
      <c r="FK58" s="40"/>
      <c r="FL58" s="39"/>
      <c r="FM58" s="40"/>
      <c r="FN58" s="39"/>
      <c r="FO58" s="40"/>
      <c r="FP58" s="39"/>
      <c r="FQ58" s="40"/>
      <c r="FR58" s="39"/>
      <c r="FS58" s="40"/>
      <c r="FT58" s="39"/>
      <c r="FU58" s="40"/>
      <c r="FV58" s="39"/>
      <c r="FW58" s="40"/>
      <c r="FX58" s="39"/>
      <c r="FY58" s="40"/>
      <c r="FZ58" s="39"/>
      <c r="GA58" s="40"/>
      <c r="GB58" s="39"/>
      <c r="GC58" s="40"/>
      <c r="GD58" s="39"/>
      <c r="GE58" s="40"/>
      <c r="GF58" s="39"/>
      <c r="GG58" s="40"/>
      <c r="GH58" s="39"/>
      <c r="GI58" s="40"/>
      <c r="GJ58" s="39"/>
      <c r="GK58" s="40"/>
      <c r="GL58" s="39"/>
      <c r="GM58" s="40"/>
      <c r="GN58" s="39"/>
      <c r="GO58" s="40"/>
      <c r="GP58" s="39"/>
      <c r="GQ58" s="40"/>
      <c r="GR58" s="39"/>
      <c r="GS58" s="40"/>
      <c r="GT58" s="39"/>
      <c r="GU58" s="40"/>
      <c r="GV58" s="39"/>
      <c r="GW58" s="40"/>
      <c r="GX58" s="39"/>
      <c r="GY58" s="40"/>
      <c r="GZ58" s="39"/>
      <c r="HA58" s="40"/>
      <c r="HB58" s="39"/>
      <c r="HC58" s="40"/>
      <c r="HD58" s="39"/>
      <c r="HE58" s="40"/>
      <c r="HF58" s="39"/>
      <c r="HG58" s="40"/>
      <c r="HH58" s="39"/>
      <c r="HI58" s="40"/>
      <c r="HJ58" s="39"/>
      <c r="HK58" s="40"/>
      <c r="HL58" s="39"/>
      <c r="HM58" s="40"/>
      <c r="HN58" s="39"/>
      <c r="HO58" s="40"/>
      <c r="HP58" s="39"/>
      <c r="HQ58" s="40"/>
      <c r="HR58" s="39"/>
      <c r="HS58" s="40"/>
      <c r="HT58" s="39"/>
      <c r="HU58" s="40"/>
      <c r="HV58" s="39"/>
      <c r="HW58" s="40"/>
      <c r="HX58" s="39"/>
      <c r="HY58" s="40"/>
      <c r="HZ58" s="39"/>
      <c r="IA58" s="40"/>
      <c r="IB58" s="39"/>
      <c r="IC58" s="1068"/>
      <c r="ID58" s="645"/>
      <c r="IE58" s="646"/>
      <c r="IF58" s="645"/>
      <c r="IG58" s="646"/>
      <c r="IH58" s="645"/>
      <c r="II58" s="646"/>
      <c r="IJ58" s="645"/>
      <c r="IK58" s="646"/>
      <c r="IL58" s="645"/>
      <c r="IM58" s="646"/>
      <c r="IN58" s="645"/>
      <c r="IO58" s="646"/>
      <c r="IP58" s="645"/>
      <c r="IQ58" s="646"/>
      <c r="IR58" s="645"/>
      <c r="IS58" s="646"/>
      <c r="IT58" s="645"/>
      <c r="IU58" s="646"/>
      <c r="IV58" s="645"/>
      <c r="IW58" s="646"/>
      <c r="IX58" s="645"/>
      <c r="IY58" s="646"/>
      <c r="IZ58" s="645"/>
      <c r="JA58" s="646"/>
      <c r="JB58" s="645"/>
      <c r="JC58" s="646"/>
      <c r="JD58" s="645"/>
      <c r="JE58" s="646"/>
      <c r="JF58" s="645"/>
      <c r="JG58" s="646"/>
      <c r="JH58" s="645"/>
      <c r="JI58" s="646"/>
      <c r="JJ58" s="645"/>
      <c r="JK58" s="646"/>
      <c r="JL58" s="645"/>
      <c r="JM58" s="646"/>
      <c r="JN58" s="645"/>
      <c r="JO58" s="646"/>
      <c r="JP58" s="645"/>
      <c r="JQ58" s="646"/>
      <c r="JR58" s="645"/>
      <c r="JS58" s="646"/>
      <c r="JT58" s="645"/>
      <c r="JU58" s="646"/>
      <c r="JV58" s="645"/>
      <c r="JW58" s="646"/>
      <c r="JX58" s="645"/>
      <c r="JY58" s="646"/>
      <c r="JZ58" s="645"/>
      <c r="KA58" s="646"/>
      <c r="KB58" s="645"/>
      <c r="KC58" s="646"/>
      <c r="KD58" s="645"/>
      <c r="KE58" s="646"/>
      <c r="KF58" s="645"/>
      <c r="KG58" s="646"/>
      <c r="KH58" s="645"/>
      <c r="KI58" s="646"/>
      <c r="KJ58" s="645"/>
      <c r="KK58" s="646"/>
      <c r="KL58" s="645"/>
      <c r="KM58" s="646"/>
      <c r="KN58" s="645"/>
      <c r="KO58" s="646"/>
      <c r="KP58" s="645"/>
      <c r="KQ58" s="646"/>
      <c r="KR58" s="645"/>
      <c r="KS58" s="646"/>
      <c r="KT58" s="645"/>
      <c r="KU58" s="646"/>
      <c r="KV58" s="645"/>
      <c r="KW58" s="646"/>
      <c r="KX58" s="645"/>
      <c r="KY58" s="646"/>
      <c r="KZ58" s="645"/>
      <c r="LA58" s="646"/>
      <c r="LB58" s="645"/>
      <c r="LC58" s="646"/>
      <c r="LD58" s="645"/>
      <c r="LE58" s="646"/>
      <c r="LF58" s="645"/>
      <c r="LG58" s="646"/>
      <c r="LH58" s="645"/>
      <c r="LI58" s="646"/>
      <c r="LJ58" s="645"/>
      <c r="LK58" s="646"/>
      <c r="LL58" s="645"/>
      <c r="LM58" s="646"/>
      <c r="LN58" s="645"/>
      <c r="LO58" s="646"/>
      <c r="LP58" s="645"/>
      <c r="LQ58" s="646"/>
      <c r="LR58" s="645"/>
      <c r="LS58" s="646"/>
      <c r="LT58" s="645"/>
      <c r="LU58" s="646"/>
      <c r="LV58" s="645"/>
      <c r="LW58" s="646"/>
      <c r="LX58" s="645"/>
      <c r="LY58" s="646"/>
      <c r="LZ58" s="645"/>
      <c r="MA58" s="646"/>
      <c r="MB58" s="645"/>
      <c r="MC58" s="646"/>
      <c r="MD58" s="645"/>
      <c r="ME58" s="646"/>
      <c r="MF58" s="645"/>
      <c r="MG58" s="646"/>
      <c r="MH58" s="645"/>
      <c r="MI58" s="646"/>
      <c r="MJ58" s="645"/>
      <c r="MK58" s="646"/>
      <c r="ML58" s="645"/>
      <c r="MM58" s="646"/>
      <c r="MN58" s="645"/>
      <c r="MO58" s="646"/>
      <c r="MP58" s="645"/>
      <c r="MQ58" s="646"/>
      <c r="MR58" s="645"/>
      <c r="MS58" s="646"/>
      <c r="MT58" s="645"/>
      <c r="MU58" s="646"/>
      <c r="MV58" s="645"/>
      <c r="MW58" s="646"/>
      <c r="MX58" s="645"/>
      <c r="MY58" s="646"/>
      <c r="MZ58" s="645"/>
      <c r="NA58" s="646"/>
      <c r="NB58" s="645"/>
      <c r="NC58" s="646"/>
      <c r="ND58" s="645"/>
      <c r="NE58" s="646"/>
      <c r="NF58" s="645"/>
      <c r="NG58" s="646"/>
      <c r="NH58" s="645"/>
      <c r="NI58" s="646"/>
      <c r="NJ58" s="645"/>
      <c r="NK58" s="646"/>
      <c r="NL58" s="645"/>
      <c r="NM58" s="646"/>
      <c r="NN58" s="645"/>
      <c r="NO58" s="646"/>
      <c r="NP58" s="645"/>
      <c r="NQ58" s="646"/>
      <c r="NR58" s="645"/>
      <c r="NS58" s="646"/>
      <c r="NT58" s="645"/>
      <c r="NU58" s="646"/>
      <c r="NV58" s="645"/>
      <c r="NW58" s="646"/>
      <c r="NX58" s="645"/>
      <c r="NY58" s="646"/>
      <c r="NZ58" s="645"/>
      <c r="OA58" s="646"/>
      <c r="OB58" s="645"/>
      <c r="OC58" s="646"/>
      <c r="OD58" s="645"/>
      <c r="OE58" s="646"/>
      <c r="OF58" s="645"/>
      <c r="OG58" s="646"/>
      <c r="OH58" s="645"/>
      <c r="OI58" s="646"/>
      <c r="OJ58" s="645"/>
      <c r="OK58" s="646"/>
      <c r="OL58" s="645"/>
      <c r="OM58" s="646"/>
      <c r="ON58" s="645"/>
      <c r="OO58" s="646"/>
      <c r="OP58" s="645"/>
      <c r="OQ58" s="646"/>
      <c r="OR58" s="645"/>
      <c r="OS58" s="646"/>
      <c r="OT58" s="645"/>
      <c r="OU58" s="646"/>
      <c r="OV58" s="645"/>
      <c r="OW58" s="646"/>
      <c r="OX58" s="645"/>
      <c r="OY58" s="646"/>
      <c r="OZ58" s="645"/>
      <c r="PA58" s="646"/>
      <c r="PB58" s="645"/>
      <c r="PC58" s="646"/>
      <c r="PD58" s="645"/>
      <c r="PE58" s="646"/>
      <c r="PF58" s="645"/>
      <c r="PG58" s="646"/>
      <c r="PH58" s="645"/>
      <c r="PI58" s="646"/>
      <c r="PJ58" s="645"/>
      <c r="PK58" s="646"/>
      <c r="PL58" s="645"/>
      <c r="PM58" s="646"/>
      <c r="PN58" s="645"/>
      <c r="PO58" s="646"/>
      <c r="PP58" s="645"/>
      <c r="PQ58" s="646"/>
      <c r="PR58" s="645"/>
      <c r="PS58" s="646"/>
      <c r="PT58" s="645"/>
      <c r="PU58" s="646"/>
      <c r="PV58" s="645"/>
      <c r="PW58" s="646"/>
      <c r="PX58" s="645"/>
      <c r="PY58" s="646"/>
      <c r="PZ58" s="645"/>
      <c r="QA58" s="646"/>
      <c r="QB58" s="645"/>
      <c r="QC58" s="646"/>
      <c r="QD58" s="645"/>
      <c r="QE58" s="646"/>
      <c r="QF58" s="645"/>
      <c r="QG58" s="646"/>
      <c r="QH58" s="645"/>
      <c r="QI58" s="646"/>
      <c r="QJ58" s="645"/>
      <c r="QK58" s="646"/>
      <c r="QL58" s="645"/>
      <c r="QM58" s="646"/>
      <c r="QN58" s="645"/>
      <c r="QO58" s="646"/>
      <c r="QP58" s="645"/>
      <c r="QQ58" s="646"/>
      <c r="QR58" s="645"/>
      <c r="QS58" s="646"/>
      <c r="QT58" s="645"/>
      <c r="QU58" s="646"/>
      <c r="QV58" s="645"/>
      <c r="QW58" s="646"/>
      <c r="QX58" s="645"/>
      <c r="QY58" s="646"/>
      <c r="QZ58" s="645"/>
      <c r="RA58" s="646"/>
      <c r="RB58" s="645"/>
      <c r="RC58" s="646"/>
      <c r="RD58" s="645"/>
      <c r="RE58" s="646"/>
      <c r="RF58" s="645"/>
      <c r="RG58" s="646"/>
      <c r="RH58" s="645"/>
      <c r="RI58" s="646"/>
      <c r="RJ58" s="645"/>
      <c r="RK58" s="646"/>
      <c r="RL58" s="645"/>
      <c r="RM58" s="646"/>
      <c r="RN58" s="645"/>
      <c r="RO58" s="646"/>
      <c r="RP58" s="645"/>
      <c r="RQ58" s="646"/>
      <c r="RR58" s="645"/>
      <c r="RS58" s="646"/>
      <c r="RT58" s="645"/>
      <c r="RU58" s="646"/>
      <c r="RV58" s="645"/>
      <c r="RW58" s="646"/>
      <c r="RX58" s="645"/>
      <c r="RY58" s="646"/>
      <c r="RZ58" s="645"/>
      <c r="SA58" s="646"/>
      <c r="SB58" s="645"/>
      <c r="SC58" s="646"/>
      <c r="SD58" s="645"/>
      <c r="SE58" s="646"/>
      <c r="SF58" s="645"/>
      <c r="SG58" s="646"/>
      <c r="SH58" s="645"/>
      <c r="SI58" s="646"/>
      <c r="SJ58" s="645"/>
      <c r="SK58" s="646"/>
      <c r="SL58" s="645"/>
      <c r="SM58" s="646"/>
      <c r="SN58" s="645"/>
      <c r="SO58" s="646"/>
      <c r="SP58" s="645"/>
      <c r="SQ58" s="646"/>
      <c r="SR58" s="645"/>
      <c r="SS58" s="646"/>
      <c r="ST58" s="645"/>
      <c r="SU58" s="646"/>
      <c r="SV58" s="645"/>
      <c r="SW58" s="646"/>
      <c r="SX58" s="645"/>
      <c r="SY58" s="646"/>
      <c r="SZ58" s="645"/>
      <c r="TA58" s="646"/>
      <c r="TB58" s="645"/>
      <c r="TC58" s="646"/>
      <c r="TD58" s="645"/>
      <c r="TE58" s="646"/>
      <c r="TF58" s="645"/>
      <c r="TG58" s="646"/>
      <c r="TH58" s="645"/>
      <c r="TI58" s="646"/>
      <c r="TJ58" s="645"/>
      <c r="TK58" s="646"/>
      <c r="TL58" s="645"/>
      <c r="TM58" s="646"/>
      <c r="TN58" s="645"/>
      <c r="TO58" s="646"/>
      <c r="TP58" s="645"/>
      <c r="TQ58" s="646"/>
      <c r="TR58" s="645"/>
      <c r="TS58" s="646"/>
      <c r="TT58" s="645"/>
      <c r="TU58" s="646"/>
      <c r="TV58" s="645"/>
      <c r="TW58" s="646"/>
      <c r="TX58" s="645"/>
      <c r="TY58" s="646"/>
      <c r="TZ58" s="645"/>
      <c r="UA58" s="646"/>
      <c r="UB58" s="645"/>
      <c r="UC58" s="646"/>
      <c r="UD58" s="645"/>
      <c r="UE58" s="646"/>
      <c r="UF58" s="645"/>
      <c r="UG58" s="646"/>
      <c r="UH58" s="645"/>
      <c r="UI58" s="646"/>
      <c r="UJ58" s="645"/>
      <c r="UK58" s="646"/>
      <c r="UL58" s="645"/>
      <c r="UM58" s="646"/>
      <c r="UN58" s="645"/>
      <c r="UO58" s="646"/>
      <c r="UP58" s="645"/>
      <c r="UQ58" s="646"/>
      <c r="UR58" s="645"/>
      <c r="US58" s="646"/>
      <c r="UT58" s="645"/>
      <c r="UU58" s="646"/>
      <c r="UV58" s="645"/>
      <c r="UW58" s="646"/>
      <c r="UX58" s="645"/>
      <c r="UY58" s="646"/>
      <c r="UZ58" s="645"/>
      <c r="VA58" s="646"/>
      <c r="VB58" s="645"/>
      <c r="VC58" s="646"/>
      <c r="VD58" s="645"/>
      <c r="VE58" s="646"/>
      <c r="VF58" s="645"/>
      <c r="VG58" s="646"/>
      <c r="VH58" s="645"/>
      <c r="VI58" s="646"/>
      <c r="VJ58" s="645"/>
      <c r="VK58" s="646"/>
      <c r="VL58" s="645"/>
      <c r="VM58" s="646"/>
      <c r="VN58" s="645"/>
      <c r="VO58" s="646"/>
      <c r="VP58" s="645"/>
      <c r="VQ58" s="646"/>
      <c r="VR58" s="645"/>
      <c r="VS58" s="646"/>
      <c r="VT58" s="645"/>
      <c r="VU58" s="646"/>
      <c r="VV58" s="645"/>
      <c r="VW58" s="646"/>
      <c r="VX58" s="645"/>
      <c r="VY58" s="646"/>
      <c r="VZ58" s="645"/>
      <c r="WA58" s="646"/>
      <c r="WB58" s="645"/>
      <c r="WC58" s="646"/>
      <c r="WD58" s="645"/>
      <c r="WE58" s="646"/>
      <c r="WF58" s="645"/>
      <c r="WG58" s="646"/>
      <c r="WH58" s="645"/>
      <c r="WI58" s="646"/>
      <c r="WJ58" s="645"/>
      <c r="WK58" s="646"/>
      <c r="WL58" s="645"/>
      <c r="WM58" s="646"/>
      <c r="WN58" s="645"/>
      <c r="WO58" s="646"/>
      <c r="WP58" s="645"/>
      <c r="WQ58" s="646"/>
      <c r="WR58" s="645"/>
      <c r="WS58" s="646"/>
      <c r="WT58" s="645"/>
      <c r="WU58" s="646"/>
      <c r="WV58" s="645"/>
      <c r="WW58" s="646"/>
      <c r="WX58" s="645"/>
      <c r="WY58" s="646"/>
      <c r="WZ58" s="645"/>
      <c r="XA58" s="646"/>
      <c r="XB58" s="645"/>
      <c r="XC58" s="646"/>
      <c r="XD58" s="645"/>
      <c r="XE58" s="646"/>
      <c r="XF58" s="645"/>
      <c r="XG58" s="646"/>
      <c r="XH58" s="645"/>
      <c r="XI58" s="646"/>
      <c r="XJ58" s="645"/>
      <c r="XK58" s="646"/>
      <c r="XL58" s="645"/>
      <c r="XM58" s="646"/>
      <c r="XN58" s="645"/>
      <c r="XO58" s="646"/>
      <c r="XP58" s="645"/>
      <c r="XQ58" s="646"/>
      <c r="XR58" s="645"/>
      <c r="XS58" s="646"/>
      <c r="XT58" s="645"/>
      <c r="XU58" s="646"/>
      <c r="XV58" s="645"/>
      <c r="XW58" s="646"/>
      <c r="XX58" s="645"/>
      <c r="XY58" s="646"/>
      <c r="XZ58" s="645"/>
      <c r="YA58" s="646"/>
      <c r="YB58" s="645"/>
      <c r="YC58" s="646"/>
      <c r="YD58" s="645"/>
      <c r="YE58" s="646"/>
      <c r="YF58" s="645"/>
      <c r="YG58" s="646"/>
      <c r="YH58" s="645"/>
      <c r="YI58" s="646"/>
      <c r="YJ58" s="645"/>
      <c r="YK58" s="646"/>
      <c r="YL58" s="645"/>
      <c r="YM58" s="646"/>
      <c r="YN58" s="645"/>
      <c r="YO58" s="646"/>
      <c r="YP58" s="645"/>
      <c r="YQ58" s="646"/>
      <c r="YR58" s="645"/>
      <c r="YS58" s="646"/>
      <c r="YT58" s="645"/>
      <c r="YU58" s="646"/>
      <c r="YV58" s="645"/>
      <c r="YW58" s="646"/>
      <c r="YX58" s="645"/>
      <c r="YY58" s="646"/>
      <c r="YZ58" s="645"/>
      <c r="ZA58" s="646"/>
      <c r="ZB58" s="645"/>
      <c r="ZC58" s="646"/>
      <c r="ZD58" s="645"/>
      <c r="ZE58" s="646"/>
      <c r="ZF58" s="645"/>
      <c r="ZG58" s="646"/>
      <c r="ZH58" s="645"/>
      <c r="ZI58" s="646"/>
      <c r="ZJ58" s="645"/>
      <c r="ZK58" s="646"/>
      <c r="ZL58" s="645"/>
      <c r="ZM58" s="646"/>
      <c r="ZN58" s="645"/>
      <c r="ZO58" s="646"/>
      <c r="ZP58" s="645"/>
      <c r="ZQ58" s="646"/>
      <c r="ZR58" s="645"/>
      <c r="ZS58" s="646"/>
      <c r="ZT58" s="645"/>
      <c r="ZU58" s="646"/>
      <c r="ZV58" s="645"/>
      <c r="ZW58" s="646"/>
      <c r="ZX58" s="645"/>
      <c r="ZY58" s="646"/>
      <c r="ZZ58" s="645"/>
      <c r="AAA58" s="646"/>
      <c r="AAB58" s="645"/>
      <c r="AAC58" s="646"/>
      <c r="AAD58" s="645"/>
      <c r="AAE58" s="646"/>
      <c r="AAF58" s="645"/>
      <c r="AAG58" s="646"/>
      <c r="AAH58" s="645"/>
      <c r="AAI58" s="646"/>
      <c r="AAJ58" s="645"/>
      <c r="AAK58" s="646"/>
      <c r="AAL58" s="645"/>
      <c r="AAM58" s="646"/>
      <c r="AAN58" s="645"/>
      <c r="AAO58" s="646"/>
      <c r="AAP58" s="645"/>
      <c r="AAQ58" s="646"/>
      <c r="AAR58" s="645"/>
      <c r="AAS58" s="646"/>
      <c r="AAT58" s="645"/>
      <c r="AAU58" s="646"/>
      <c r="AAV58" s="645"/>
      <c r="AAW58" s="646"/>
      <c r="AAX58" s="645"/>
      <c r="AAY58" s="646"/>
      <c r="AAZ58" s="645"/>
      <c r="ABA58" s="646"/>
      <c r="ABB58" s="645"/>
      <c r="ABC58" s="646"/>
      <c r="ABD58" s="645"/>
      <c r="ABE58" s="646"/>
      <c r="ABF58" s="645"/>
      <c r="ABG58" s="646"/>
      <c r="ABH58" s="645"/>
      <c r="ABI58" s="646"/>
      <c r="ABJ58" s="645"/>
      <c r="ABK58" s="646"/>
      <c r="ABL58" s="645"/>
      <c r="ABM58" s="646"/>
      <c r="ABN58" s="645"/>
      <c r="ABO58" s="646"/>
      <c r="ABP58" s="645"/>
      <c r="ABQ58" s="646"/>
      <c r="ABR58" s="645"/>
      <c r="ABS58" s="646"/>
      <c r="ABT58" s="645"/>
      <c r="ABU58" s="646"/>
      <c r="ABV58" s="645"/>
      <c r="ABW58" s="646"/>
      <c r="ABX58" s="645"/>
      <c r="ABY58" s="646"/>
      <c r="ABZ58" s="645"/>
      <c r="ACA58" s="646"/>
      <c r="ACB58" s="645"/>
      <c r="ACC58" s="646"/>
      <c r="ACD58" s="645"/>
      <c r="ACE58" s="646"/>
      <c r="ACF58" s="645"/>
      <c r="ACG58" s="646"/>
      <c r="ACH58" s="645"/>
      <c r="ACI58" s="646"/>
      <c r="ACJ58" s="645"/>
      <c r="ACK58" s="646"/>
      <c r="ACL58" s="645"/>
      <c r="ACM58" s="646"/>
      <c r="ACN58" s="645"/>
      <c r="ACO58" s="646"/>
      <c r="ACP58" s="645"/>
      <c r="ACQ58" s="646"/>
      <c r="ACR58" s="645"/>
      <c r="ACS58" s="646"/>
      <c r="ACT58" s="645"/>
      <c r="ACU58" s="646"/>
      <c r="ACV58" s="645"/>
      <c r="ACW58" s="646"/>
      <c r="ACX58" s="645"/>
      <c r="ACY58" s="646"/>
      <c r="ACZ58" s="645"/>
      <c r="ADA58" s="646"/>
      <c r="ADB58" s="645"/>
      <c r="ADC58" s="646"/>
      <c r="ADD58" s="645"/>
      <c r="ADE58" s="646"/>
      <c r="ADF58" s="645"/>
      <c r="ADG58" s="646"/>
      <c r="ADH58" s="645"/>
      <c r="ADI58" s="646"/>
      <c r="ADJ58" s="645"/>
      <c r="ADK58" s="646"/>
      <c r="ADL58" s="645"/>
      <c r="ADM58" s="646"/>
      <c r="ADN58" s="645"/>
      <c r="ADO58" s="646"/>
      <c r="ADP58" s="645"/>
      <c r="ADQ58" s="646"/>
      <c r="ADR58" s="645"/>
      <c r="ADS58" s="646"/>
      <c r="ADT58" s="645"/>
      <c r="ADU58" s="646"/>
      <c r="ADV58" s="645"/>
      <c r="ADW58" s="646"/>
      <c r="ADX58" s="645"/>
      <c r="ADY58" s="646"/>
      <c r="ADZ58" s="645"/>
      <c r="AEA58" s="646"/>
      <c r="AEB58" s="645"/>
      <c r="AEC58" s="646"/>
      <c r="AED58" s="645"/>
      <c r="AEE58" s="646"/>
      <c r="AEF58" s="645"/>
      <c r="AEG58" s="646"/>
      <c r="AEH58" s="645"/>
      <c r="AEI58" s="646"/>
      <c r="AEJ58" s="645"/>
      <c r="AEK58" s="646"/>
      <c r="AEL58" s="645"/>
      <c r="AEM58" s="646"/>
      <c r="AEN58" s="645"/>
      <c r="AEO58" s="646"/>
      <c r="AEP58" s="645"/>
      <c r="AEQ58" s="646"/>
      <c r="AER58" s="645"/>
      <c r="AES58" s="646"/>
      <c r="AET58" s="645"/>
      <c r="AEU58" s="646"/>
      <c r="AEV58" s="645"/>
      <c r="AEW58" s="646"/>
      <c r="AEX58" s="645"/>
      <c r="AEY58" s="646"/>
      <c r="AEZ58" s="645"/>
      <c r="AFA58" s="646"/>
      <c r="AFB58" s="645"/>
      <c r="AFC58" s="646"/>
      <c r="AFD58" s="645"/>
      <c r="AFE58" s="646"/>
      <c r="AFF58" s="645"/>
      <c r="AFG58" s="646"/>
      <c r="AFH58" s="645"/>
      <c r="AFI58" s="646"/>
      <c r="AFJ58" s="645"/>
      <c r="AFK58" s="646"/>
      <c r="AFL58" s="645"/>
      <c r="AFM58" s="646"/>
      <c r="AFN58" s="645"/>
      <c r="AFO58" s="646"/>
      <c r="AFP58" s="645"/>
      <c r="AFQ58" s="646"/>
      <c r="AFR58" s="645"/>
      <c r="AFS58" s="646"/>
      <c r="AFT58" s="645"/>
      <c r="AFU58" s="646"/>
      <c r="AFV58" s="645"/>
      <c r="AFW58" s="646"/>
      <c r="AFX58" s="645"/>
      <c r="AFY58" s="646"/>
      <c r="AFZ58" s="645"/>
      <c r="AGA58" s="646"/>
      <c r="AGB58" s="645"/>
      <c r="AGC58" s="646"/>
      <c r="AGD58" s="645"/>
      <c r="AGE58" s="646"/>
      <c r="AGF58" s="645"/>
      <c r="AGG58" s="646"/>
      <c r="AGH58" s="645"/>
      <c r="AGI58" s="646"/>
      <c r="AGJ58" s="645"/>
      <c r="AGK58" s="646"/>
      <c r="AGL58" s="645"/>
      <c r="AGM58" s="646"/>
      <c r="AGN58" s="645"/>
      <c r="AGO58" s="646"/>
      <c r="AGP58" s="645"/>
      <c r="AGQ58" s="646"/>
      <c r="AGR58" s="645"/>
      <c r="AGS58" s="646"/>
      <c r="AGT58" s="645"/>
      <c r="AGU58" s="646"/>
      <c r="AGV58" s="645"/>
      <c r="AGW58" s="646"/>
      <c r="AGX58" s="645"/>
      <c r="AGY58" s="646"/>
      <c r="AGZ58" s="645"/>
      <c r="AHA58" s="646"/>
      <c r="AHB58" s="645"/>
      <c r="AHC58" s="646"/>
      <c r="AHD58" s="645"/>
      <c r="AHE58" s="646"/>
      <c r="AHF58" s="645"/>
      <c r="AHG58" s="646"/>
      <c r="AHH58" s="645"/>
      <c r="AHI58" s="646"/>
      <c r="AHJ58" s="645"/>
      <c r="AHK58" s="646"/>
      <c r="AHL58" s="645"/>
      <c r="AHM58" s="646"/>
      <c r="AHN58" s="645"/>
      <c r="AHO58" s="646"/>
      <c r="AHP58" s="645"/>
      <c r="AHQ58" s="646"/>
      <c r="AHR58" s="645"/>
      <c r="AHS58" s="646"/>
      <c r="AHT58" s="645"/>
      <c r="AHU58" s="646"/>
      <c r="AHV58" s="645"/>
      <c r="AHW58" s="646"/>
      <c r="AHX58" s="645"/>
      <c r="AHY58" s="646"/>
      <c r="AHZ58" s="645"/>
      <c r="AIA58" s="646"/>
      <c r="AIB58" s="645"/>
      <c r="AIC58" s="646"/>
      <c r="AID58" s="645"/>
      <c r="AIE58" s="646"/>
      <c r="AIF58" s="645"/>
      <c r="AIG58" s="646"/>
      <c r="AIH58" s="645"/>
      <c r="AII58" s="646"/>
      <c r="AIJ58" s="645"/>
      <c r="AIK58" s="646"/>
      <c r="AIL58" s="645"/>
      <c r="AIM58" s="646"/>
      <c r="AIN58" s="645"/>
      <c r="AIO58" s="646"/>
      <c r="AIP58" s="645"/>
      <c r="AIQ58" s="645"/>
      <c r="AIR58" s="645"/>
      <c r="AIS58" s="645"/>
      <c r="AIT58" s="645"/>
      <c r="AIU58" s="645"/>
      <c r="AIV58" s="645"/>
      <c r="AIW58" s="645"/>
      <c r="AIX58" s="645"/>
      <c r="AIY58" s="645"/>
      <c r="AIZ58" s="645"/>
      <c r="AJA58" s="645"/>
      <c r="AJB58" s="645"/>
      <c r="AJC58" s="645"/>
      <c r="AJD58" s="645"/>
      <c r="AJE58" s="645"/>
      <c r="AJF58" s="645"/>
      <c r="AJG58" s="645"/>
      <c r="AJH58" s="645"/>
      <c r="AJI58" s="645"/>
      <c r="AJJ58" s="645"/>
      <c r="AJK58" s="645"/>
      <c r="AJL58" s="645"/>
      <c r="AJM58" s="645"/>
      <c r="AJN58" s="645"/>
      <c r="AJO58" s="645"/>
      <c r="AJP58" s="645"/>
      <c r="AJQ58" s="645"/>
      <c r="AJR58" s="645"/>
      <c r="AJS58" s="645"/>
      <c r="AJT58" s="645"/>
      <c r="AJU58" s="645"/>
      <c r="AJV58" s="645"/>
      <c r="AJW58" s="645"/>
      <c r="AJX58" s="645"/>
      <c r="AJY58" s="645"/>
      <c r="AJZ58" s="645"/>
      <c r="AKA58" s="645"/>
      <c r="AKB58" s="645"/>
      <c r="AKC58" s="645"/>
      <c r="AKD58" s="645"/>
      <c r="AKE58" s="645"/>
      <c r="AKF58" s="645"/>
      <c r="AKG58" s="645"/>
      <c r="AKH58" s="645"/>
      <c r="AKI58" s="645"/>
      <c r="AKJ58" s="645"/>
      <c r="AKK58" s="645"/>
      <c r="AKL58" s="645"/>
      <c r="AKM58" s="645"/>
      <c r="AKN58" s="645"/>
      <c r="AKO58" s="645"/>
      <c r="AKP58" s="645"/>
      <c r="AKQ58" s="645"/>
      <c r="AKR58" s="645"/>
      <c r="AKS58" s="645"/>
      <c r="AKT58" s="645"/>
      <c r="AKU58" s="645"/>
      <c r="AKV58" s="645"/>
      <c r="AKW58" s="645"/>
      <c r="AKX58" s="645"/>
      <c r="AKY58" s="645"/>
      <c r="AKZ58" s="645"/>
      <c r="ALA58" s="645"/>
      <c r="ALB58" s="645"/>
      <c r="ALC58" s="645"/>
      <c r="ALD58" s="645"/>
      <c r="ALE58" s="645"/>
      <c r="ALF58" s="645"/>
      <c r="ALG58" s="645"/>
      <c r="ALH58" s="645"/>
      <c r="ALI58" s="645"/>
      <c r="ALJ58" s="645"/>
      <c r="ALK58" s="645"/>
      <c r="ALL58" s="645"/>
      <c r="ALM58" s="645"/>
      <c r="ALN58" s="645"/>
      <c r="ALO58" s="645"/>
      <c r="ALP58" s="645"/>
      <c r="ALQ58" s="645"/>
      <c r="ALR58" s="645"/>
      <c r="ALS58" s="645"/>
      <c r="ALT58" s="645"/>
      <c r="ALU58" s="645"/>
      <c r="ALV58" s="645"/>
      <c r="ALW58" s="645"/>
      <c r="ALX58" s="645"/>
      <c r="ALY58" s="645"/>
      <c r="ALZ58" s="645"/>
      <c r="AMA58" s="645"/>
      <c r="AMB58" s="645"/>
      <c r="AMC58" s="645"/>
      <c r="AMD58" s="645"/>
      <c r="AME58" s="645"/>
      <c r="AMF58" s="645"/>
      <c r="AMG58" s="645"/>
      <c r="AMH58" s="645"/>
      <c r="AMI58" s="645"/>
      <c r="AMJ58" s="645"/>
    </row>
    <row r="59" spans="1:1024" s="37" customFormat="1" ht="15.75" customHeight="1" x14ac:dyDescent="0.35">
      <c r="A59" s="600"/>
      <c r="B59" s="644" t="s">
        <v>313</v>
      </c>
      <c r="C59" s="645"/>
      <c r="D59" s="646"/>
      <c r="E59" s="645"/>
      <c r="F59" s="646"/>
      <c r="G59" s="453" t="s">
        <v>234</v>
      </c>
      <c r="H59" s="643" t="s">
        <v>259</v>
      </c>
      <c r="I59" s="645"/>
      <c r="J59" s="38"/>
      <c r="K59" s="38"/>
      <c r="L59" s="39"/>
      <c r="M59" s="38"/>
      <c r="N59" s="39"/>
      <c r="O59" s="38"/>
      <c r="P59" s="39"/>
      <c r="Q59" s="38"/>
      <c r="R59" s="39"/>
      <c r="S59" s="38"/>
      <c r="T59" s="39"/>
      <c r="U59" s="38"/>
      <c r="V59" s="39"/>
      <c r="W59" s="38"/>
      <c r="X59" s="39"/>
      <c r="Y59" s="38"/>
      <c r="Z59" s="39"/>
      <c r="AA59" s="38"/>
      <c r="AB59" s="39"/>
      <c r="AC59" s="38"/>
      <c r="AD59" s="39"/>
      <c r="AE59" s="38"/>
      <c r="AF59" s="39"/>
      <c r="AG59" s="38"/>
      <c r="AH59" s="39"/>
      <c r="AI59" s="38"/>
      <c r="AJ59" s="39"/>
      <c r="AK59" s="40"/>
      <c r="AL59" s="39"/>
      <c r="AM59" s="40"/>
      <c r="AN59" s="39"/>
      <c r="AO59" s="40"/>
      <c r="AP59" s="39"/>
      <c r="AQ59" s="40"/>
      <c r="AR59" s="39"/>
      <c r="AS59" s="40"/>
      <c r="AT59" s="39"/>
      <c r="AU59" s="40"/>
      <c r="AV59" s="39"/>
      <c r="AW59" s="40"/>
      <c r="AX59" s="39"/>
      <c r="AY59" s="40"/>
      <c r="AZ59" s="39"/>
      <c r="BA59" s="40"/>
      <c r="BB59" s="39"/>
      <c r="BC59" s="40"/>
      <c r="BD59" s="39"/>
      <c r="BE59" s="40"/>
      <c r="BF59" s="39"/>
      <c r="BG59" s="40"/>
      <c r="BH59" s="39"/>
      <c r="BI59" s="40"/>
      <c r="BJ59" s="39"/>
      <c r="BK59" s="40"/>
      <c r="BL59" s="39"/>
      <c r="BM59" s="40"/>
      <c r="BN59" s="39"/>
      <c r="BO59" s="40"/>
      <c r="BP59" s="39"/>
      <c r="BQ59" s="40"/>
      <c r="BR59" s="39"/>
      <c r="BS59" s="40"/>
      <c r="BT59" s="39"/>
      <c r="BU59" s="40"/>
      <c r="BV59" s="39"/>
      <c r="BW59" s="40"/>
      <c r="BX59" s="39"/>
      <c r="BY59" s="40"/>
      <c r="BZ59" s="39"/>
      <c r="CA59" s="40"/>
      <c r="CB59" s="39"/>
      <c r="CC59" s="40"/>
      <c r="CD59" s="39"/>
      <c r="CE59" s="40"/>
      <c r="CF59" s="39"/>
      <c r="CG59" s="40"/>
      <c r="CH59" s="39"/>
      <c r="CI59" s="40"/>
      <c r="CJ59" s="39"/>
      <c r="CK59" s="40"/>
      <c r="CL59" s="39"/>
      <c r="CM59" s="40"/>
      <c r="CN59" s="39"/>
      <c r="CO59" s="40"/>
      <c r="CP59" s="39"/>
      <c r="CQ59" s="40"/>
      <c r="CR59" s="39"/>
      <c r="CS59" s="40"/>
      <c r="CT59" s="39"/>
      <c r="CU59" s="40"/>
      <c r="CV59" s="39"/>
      <c r="CW59" s="40"/>
      <c r="CX59" s="39"/>
      <c r="CY59" s="40"/>
      <c r="CZ59" s="39"/>
      <c r="DA59" s="40"/>
      <c r="DB59" s="39"/>
      <c r="DC59" s="40"/>
      <c r="DD59" s="39"/>
      <c r="DE59" s="40"/>
      <c r="DF59" s="39"/>
      <c r="DG59" s="40"/>
      <c r="DH59" s="39"/>
      <c r="DI59" s="40"/>
      <c r="DJ59" s="39"/>
      <c r="DK59" s="40"/>
      <c r="DL59" s="39"/>
      <c r="DM59" s="40"/>
      <c r="DN59" s="39"/>
      <c r="DO59" s="40"/>
      <c r="DP59" s="39"/>
      <c r="DQ59" s="40"/>
      <c r="DR59" s="39"/>
      <c r="DS59" s="40"/>
      <c r="DT59" s="39"/>
      <c r="DU59" s="40"/>
      <c r="DV59" s="39"/>
      <c r="DW59" s="40"/>
      <c r="DX59" s="39"/>
      <c r="DY59" s="40"/>
      <c r="DZ59" s="39"/>
      <c r="EA59" s="40"/>
      <c r="EB59" s="39"/>
      <c r="EC59" s="40"/>
      <c r="ED59" s="39"/>
      <c r="EE59" s="40"/>
      <c r="EF59" s="39"/>
      <c r="EG59" s="40"/>
      <c r="EH59" s="39"/>
      <c r="EI59" s="40"/>
      <c r="EJ59" s="39"/>
      <c r="EK59" s="40"/>
      <c r="EL59" s="39"/>
      <c r="EM59" s="40"/>
      <c r="EN59" s="39"/>
      <c r="EO59" s="40"/>
      <c r="EP59" s="39"/>
      <c r="EQ59" s="40"/>
      <c r="ER59" s="39"/>
      <c r="ES59" s="40"/>
      <c r="ET59" s="39"/>
      <c r="EU59" s="40"/>
      <c r="EV59" s="39"/>
      <c r="EW59" s="40"/>
      <c r="EX59" s="39"/>
      <c r="EY59" s="40"/>
      <c r="EZ59" s="39"/>
      <c r="FA59" s="40"/>
      <c r="FB59" s="39"/>
      <c r="FC59" s="40"/>
      <c r="FD59" s="39"/>
      <c r="FE59" s="40"/>
      <c r="FF59" s="39"/>
      <c r="FG59" s="40"/>
      <c r="FH59" s="39"/>
      <c r="FI59" s="40"/>
      <c r="FJ59" s="39"/>
      <c r="FK59" s="40"/>
      <c r="FL59" s="39"/>
      <c r="FM59" s="40"/>
      <c r="FN59" s="39"/>
      <c r="FO59" s="40"/>
      <c r="FP59" s="39"/>
      <c r="FQ59" s="40"/>
      <c r="FR59" s="39"/>
      <c r="FS59" s="40"/>
      <c r="FT59" s="39"/>
      <c r="FU59" s="40"/>
      <c r="FV59" s="39"/>
      <c r="FW59" s="40"/>
      <c r="FX59" s="39"/>
      <c r="FY59" s="40"/>
      <c r="FZ59" s="39"/>
      <c r="GA59" s="40"/>
      <c r="GB59" s="39"/>
      <c r="GC59" s="40"/>
      <c r="GD59" s="39"/>
      <c r="GE59" s="40"/>
      <c r="GF59" s="39"/>
      <c r="GG59" s="40"/>
      <c r="GH59" s="39"/>
      <c r="GI59" s="40"/>
      <c r="GJ59" s="39"/>
      <c r="GK59" s="40"/>
      <c r="GL59" s="39"/>
      <c r="GM59" s="40"/>
      <c r="GN59" s="39"/>
      <c r="GO59" s="40"/>
      <c r="GP59" s="39"/>
      <c r="GQ59" s="40"/>
      <c r="GR59" s="39"/>
      <c r="GS59" s="40"/>
      <c r="GT59" s="39"/>
      <c r="GU59" s="40"/>
      <c r="GV59" s="39"/>
      <c r="GW59" s="40"/>
      <c r="GX59" s="39"/>
      <c r="GY59" s="40"/>
      <c r="GZ59" s="39"/>
      <c r="HA59" s="40"/>
      <c r="HB59" s="39"/>
      <c r="HC59" s="40"/>
      <c r="HD59" s="39"/>
      <c r="HE59" s="40"/>
      <c r="HF59" s="39"/>
      <c r="HG59" s="40"/>
      <c r="HH59" s="39"/>
      <c r="HI59" s="40"/>
      <c r="HJ59" s="39"/>
      <c r="HK59" s="40"/>
      <c r="HL59" s="39"/>
      <c r="HM59" s="40"/>
      <c r="HN59" s="39"/>
      <c r="HO59" s="40"/>
      <c r="HP59" s="39"/>
      <c r="HQ59" s="40"/>
      <c r="HR59" s="39"/>
      <c r="HS59" s="40"/>
      <c r="HT59" s="39"/>
      <c r="HU59" s="40"/>
      <c r="HV59" s="39"/>
      <c r="HW59" s="40"/>
      <c r="HX59" s="39"/>
      <c r="HY59" s="40"/>
      <c r="HZ59" s="39"/>
      <c r="IA59" s="40"/>
      <c r="IB59" s="39"/>
      <c r="IC59" s="1068"/>
      <c r="ID59" s="645"/>
      <c r="IE59" s="646"/>
      <c r="IF59" s="645"/>
      <c r="IG59" s="646"/>
      <c r="IH59" s="645"/>
      <c r="II59" s="646"/>
      <c r="IJ59" s="645"/>
      <c r="IK59" s="646"/>
      <c r="IL59" s="645"/>
      <c r="IM59" s="646"/>
      <c r="IN59" s="645"/>
      <c r="IO59" s="646"/>
      <c r="IP59" s="645"/>
      <c r="IQ59" s="646"/>
      <c r="IR59" s="645"/>
      <c r="IS59" s="646"/>
      <c r="IT59" s="645"/>
      <c r="IU59" s="646"/>
      <c r="IV59" s="645"/>
      <c r="IW59" s="646"/>
      <c r="IX59" s="645"/>
      <c r="IY59" s="646"/>
      <c r="IZ59" s="645"/>
      <c r="JA59" s="646"/>
      <c r="JB59" s="645"/>
      <c r="JC59" s="646"/>
      <c r="JD59" s="645"/>
      <c r="JE59" s="646"/>
      <c r="JF59" s="645"/>
      <c r="JG59" s="646"/>
      <c r="JH59" s="645"/>
      <c r="JI59" s="646"/>
      <c r="JJ59" s="645"/>
      <c r="JK59" s="646"/>
      <c r="JL59" s="645"/>
      <c r="JM59" s="646"/>
      <c r="JN59" s="645"/>
      <c r="JO59" s="646"/>
      <c r="JP59" s="645"/>
      <c r="JQ59" s="646"/>
      <c r="JR59" s="645"/>
      <c r="JS59" s="646"/>
      <c r="JT59" s="645"/>
      <c r="JU59" s="646"/>
      <c r="JV59" s="645"/>
      <c r="JW59" s="646"/>
      <c r="JX59" s="645"/>
      <c r="JY59" s="646"/>
      <c r="JZ59" s="645"/>
      <c r="KA59" s="646"/>
      <c r="KB59" s="645"/>
      <c r="KC59" s="646"/>
      <c r="KD59" s="645"/>
      <c r="KE59" s="646"/>
      <c r="KF59" s="645"/>
      <c r="KG59" s="646"/>
      <c r="KH59" s="645"/>
      <c r="KI59" s="646"/>
      <c r="KJ59" s="645"/>
      <c r="KK59" s="646"/>
      <c r="KL59" s="645"/>
      <c r="KM59" s="646"/>
      <c r="KN59" s="645"/>
      <c r="KO59" s="646"/>
      <c r="KP59" s="645"/>
      <c r="KQ59" s="646"/>
      <c r="KR59" s="645"/>
      <c r="KS59" s="646"/>
      <c r="KT59" s="645"/>
      <c r="KU59" s="646"/>
      <c r="KV59" s="645"/>
      <c r="KW59" s="646"/>
      <c r="KX59" s="645"/>
      <c r="KY59" s="646"/>
      <c r="KZ59" s="645"/>
      <c r="LA59" s="646"/>
      <c r="LB59" s="645"/>
      <c r="LC59" s="646"/>
      <c r="LD59" s="645"/>
      <c r="LE59" s="646"/>
      <c r="LF59" s="645"/>
      <c r="LG59" s="646"/>
      <c r="LH59" s="645"/>
      <c r="LI59" s="646"/>
      <c r="LJ59" s="645"/>
      <c r="LK59" s="646"/>
      <c r="LL59" s="645"/>
      <c r="LM59" s="646"/>
      <c r="LN59" s="645"/>
      <c r="LO59" s="646"/>
      <c r="LP59" s="645"/>
      <c r="LQ59" s="646"/>
      <c r="LR59" s="645"/>
      <c r="LS59" s="646"/>
      <c r="LT59" s="645"/>
      <c r="LU59" s="646"/>
      <c r="LV59" s="645"/>
      <c r="LW59" s="646"/>
      <c r="LX59" s="645"/>
      <c r="LY59" s="646"/>
      <c r="LZ59" s="645"/>
      <c r="MA59" s="646"/>
      <c r="MB59" s="645"/>
      <c r="MC59" s="646"/>
      <c r="MD59" s="645"/>
      <c r="ME59" s="646"/>
      <c r="MF59" s="645"/>
      <c r="MG59" s="646"/>
      <c r="MH59" s="645"/>
      <c r="MI59" s="646"/>
      <c r="MJ59" s="645"/>
      <c r="MK59" s="646"/>
      <c r="ML59" s="645"/>
      <c r="MM59" s="646"/>
      <c r="MN59" s="645"/>
      <c r="MO59" s="646"/>
      <c r="MP59" s="645"/>
      <c r="MQ59" s="646"/>
      <c r="MR59" s="645"/>
      <c r="MS59" s="646"/>
      <c r="MT59" s="645"/>
      <c r="MU59" s="646"/>
      <c r="MV59" s="645"/>
      <c r="MW59" s="646"/>
      <c r="MX59" s="645"/>
      <c r="MY59" s="646"/>
      <c r="MZ59" s="645"/>
      <c r="NA59" s="646"/>
      <c r="NB59" s="645"/>
      <c r="NC59" s="646"/>
      <c r="ND59" s="645"/>
      <c r="NE59" s="646"/>
      <c r="NF59" s="645"/>
      <c r="NG59" s="646"/>
      <c r="NH59" s="645"/>
      <c r="NI59" s="646"/>
      <c r="NJ59" s="645"/>
      <c r="NK59" s="646"/>
      <c r="NL59" s="645"/>
      <c r="NM59" s="646"/>
      <c r="NN59" s="645"/>
      <c r="NO59" s="646"/>
      <c r="NP59" s="645"/>
      <c r="NQ59" s="646"/>
      <c r="NR59" s="645"/>
      <c r="NS59" s="646"/>
      <c r="NT59" s="645"/>
      <c r="NU59" s="646"/>
      <c r="NV59" s="645"/>
      <c r="NW59" s="646"/>
      <c r="NX59" s="645"/>
      <c r="NY59" s="646"/>
      <c r="NZ59" s="645"/>
      <c r="OA59" s="646"/>
      <c r="OB59" s="645"/>
      <c r="OC59" s="646"/>
      <c r="OD59" s="645"/>
      <c r="OE59" s="646"/>
      <c r="OF59" s="645"/>
      <c r="OG59" s="646"/>
      <c r="OH59" s="645"/>
      <c r="OI59" s="646"/>
      <c r="OJ59" s="645"/>
      <c r="OK59" s="646"/>
      <c r="OL59" s="645"/>
      <c r="OM59" s="646"/>
      <c r="ON59" s="645"/>
      <c r="OO59" s="646"/>
      <c r="OP59" s="645"/>
      <c r="OQ59" s="646"/>
      <c r="OR59" s="645"/>
      <c r="OS59" s="646"/>
      <c r="OT59" s="645"/>
      <c r="OU59" s="646"/>
      <c r="OV59" s="645"/>
      <c r="OW59" s="646"/>
      <c r="OX59" s="645"/>
      <c r="OY59" s="646"/>
      <c r="OZ59" s="645"/>
      <c r="PA59" s="646"/>
      <c r="PB59" s="645"/>
      <c r="PC59" s="646"/>
      <c r="PD59" s="645"/>
      <c r="PE59" s="646"/>
      <c r="PF59" s="645"/>
      <c r="PG59" s="646"/>
      <c r="PH59" s="645"/>
      <c r="PI59" s="646"/>
      <c r="PJ59" s="645"/>
      <c r="PK59" s="646"/>
      <c r="PL59" s="645"/>
      <c r="PM59" s="646"/>
      <c r="PN59" s="645"/>
      <c r="PO59" s="646"/>
      <c r="PP59" s="645"/>
      <c r="PQ59" s="646"/>
      <c r="PR59" s="645"/>
      <c r="PS59" s="646"/>
      <c r="PT59" s="645"/>
      <c r="PU59" s="646"/>
      <c r="PV59" s="645"/>
      <c r="PW59" s="646"/>
      <c r="PX59" s="645"/>
      <c r="PY59" s="646"/>
      <c r="PZ59" s="645"/>
      <c r="QA59" s="646"/>
      <c r="QB59" s="645"/>
      <c r="QC59" s="646"/>
      <c r="QD59" s="645"/>
      <c r="QE59" s="646"/>
      <c r="QF59" s="645"/>
      <c r="QG59" s="646"/>
      <c r="QH59" s="645"/>
      <c r="QI59" s="646"/>
      <c r="QJ59" s="645"/>
      <c r="QK59" s="646"/>
      <c r="QL59" s="645"/>
      <c r="QM59" s="646"/>
      <c r="QN59" s="645"/>
      <c r="QO59" s="646"/>
      <c r="QP59" s="645"/>
      <c r="QQ59" s="646"/>
      <c r="QR59" s="645"/>
      <c r="QS59" s="646"/>
      <c r="QT59" s="645"/>
      <c r="QU59" s="646"/>
      <c r="QV59" s="645"/>
      <c r="QW59" s="646"/>
      <c r="QX59" s="645"/>
      <c r="QY59" s="646"/>
      <c r="QZ59" s="645"/>
      <c r="RA59" s="646"/>
      <c r="RB59" s="645"/>
      <c r="RC59" s="646"/>
      <c r="RD59" s="645"/>
      <c r="RE59" s="646"/>
      <c r="RF59" s="645"/>
      <c r="RG59" s="646"/>
      <c r="RH59" s="645"/>
      <c r="RI59" s="646"/>
      <c r="RJ59" s="645"/>
      <c r="RK59" s="646"/>
      <c r="RL59" s="645"/>
      <c r="RM59" s="646"/>
      <c r="RN59" s="645"/>
      <c r="RO59" s="646"/>
      <c r="RP59" s="645"/>
      <c r="RQ59" s="646"/>
      <c r="RR59" s="645"/>
      <c r="RS59" s="646"/>
      <c r="RT59" s="645"/>
      <c r="RU59" s="646"/>
      <c r="RV59" s="645"/>
      <c r="RW59" s="646"/>
      <c r="RX59" s="645"/>
      <c r="RY59" s="646"/>
      <c r="RZ59" s="645"/>
      <c r="SA59" s="646"/>
      <c r="SB59" s="645"/>
      <c r="SC59" s="646"/>
      <c r="SD59" s="645"/>
      <c r="SE59" s="646"/>
      <c r="SF59" s="645"/>
      <c r="SG59" s="646"/>
      <c r="SH59" s="645"/>
      <c r="SI59" s="646"/>
      <c r="SJ59" s="645"/>
      <c r="SK59" s="646"/>
      <c r="SL59" s="645"/>
      <c r="SM59" s="646"/>
      <c r="SN59" s="645"/>
      <c r="SO59" s="646"/>
      <c r="SP59" s="645"/>
      <c r="SQ59" s="646"/>
      <c r="SR59" s="645"/>
      <c r="SS59" s="646"/>
      <c r="ST59" s="645"/>
      <c r="SU59" s="646"/>
      <c r="SV59" s="645"/>
      <c r="SW59" s="646"/>
      <c r="SX59" s="645"/>
      <c r="SY59" s="646"/>
      <c r="SZ59" s="645"/>
      <c r="TA59" s="646"/>
      <c r="TB59" s="645"/>
      <c r="TC59" s="646"/>
      <c r="TD59" s="645"/>
      <c r="TE59" s="646"/>
      <c r="TF59" s="645"/>
      <c r="TG59" s="646"/>
      <c r="TH59" s="645"/>
      <c r="TI59" s="646"/>
      <c r="TJ59" s="645"/>
      <c r="TK59" s="646"/>
      <c r="TL59" s="645"/>
      <c r="TM59" s="646"/>
      <c r="TN59" s="645"/>
      <c r="TO59" s="646"/>
      <c r="TP59" s="645"/>
      <c r="TQ59" s="646"/>
      <c r="TR59" s="645"/>
      <c r="TS59" s="646"/>
      <c r="TT59" s="645"/>
      <c r="TU59" s="646"/>
      <c r="TV59" s="645"/>
      <c r="TW59" s="646"/>
      <c r="TX59" s="645"/>
      <c r="TY59" s="646"/>
      <c r="TZ59" s="645"/>
      <c r="UA59" s="646"/>
      <c r="UB59" s="645"/>
      <c r="UC59" s="646"/>
      <c r="UD59" s="645"/>
      <c r="UE59" s="646"/>
      <c r="UF59" s="645"/>
      <c r="UG59" s="646"/>
      <c r="UH59" s="645"/>
      <c r="UI59" s="646"/>
      <c r="UJ59" s="645"/>
      <c r="UK59" s="646"/>
      <c r="UL59" s="645"/>
      <c r="UM59" s="646"/>
      <c r="UN59" s="645"/>
      <c r="UO59" s="646"/>
      <c r="UP59" s="645"/>
      <c r="UQ59" s="646"/>
      <c r="UR59" s="645"/>
      <c r="US59" s="646"/>
      <c r="UT59" s="645"/>
      <c r="UU59" s="646"/>
      <c r="UV59" s="645"/>
      <c r="UW59" s="646"/>
      <c r="UX59" s="645"/>
      <c r="UY59" s="646"/>
      <c r="UZ59" s="645"/>
      <c r="VA59" s="646"/>
      <c r="VB59" s="645"/>
      <c r="VC59" s="646"/>
      <c r="VD59" s="645"/>
      <c r="VE59" s="646"/>
      <c r="VF59" s="645"/>
      <c r="VG59" s="646"/>
      <c r="VH59" s="645"/>
      <c r="VI59" s="646"/>
      <c r="VJ59" s="645"/>
      <c r="VK59" s="646"/>
      <c r="VL59" s="645"/>
      <c r="VM59" s="646"/>
      <c r="VN59" s="645"/>
      <c r="VO59" s="646"/>
      <c r="VP59" s="645"/>
      <c r="VQ59" s="646"/>
      <c r="VR59" s="645"/>
      <c r="VS59" s="646"/>
      <c r="VT59" s="645"/>
      <c r="VU59" s="646"/>
      <c r="VV59" s="645"/>
      <c r="VW59" s="646"/>
      <c r="VX59" s="645"/>
      <c r="VY59" s="646"/>
      <c r="VZ59" s="645"/>
      <c r="WA59" s="646"/>
      <c r="WB59" s="645"/>
      <c r="WC59" s="646"/>
      <c r="WD59" s="645"/>
      <c r="WE59" s="646"/>
      <c r="WF59" s="645"/>
      <c r="WG59" s="646"/>
      <c r="WH59" s="645"/>
      <c r="WI59" s="646"/>
      <c r="WJ59" s="645"/>
      <c r="WK59" s="646"/>
      <c r="WL59" s="645"/>
      <c r="WM59" s="646"/>
      <c r="WN59" s="645"/>
      <c r="WO59" s="646"/>
      <c r="WP59" s="645"/>
      <c r="WQ59" s="646"/>
      <c r="WR59" s="645"/>
      <c r="WS59" s="646"/>
      <c r="WT59" s="645"/>
      <c r="WU59" s="646"/>
      <c r="WV59" s="645"/>
      <c r="WW59" s="646"/>
      <c r="WX59" s="645"/>
      <c r="WY59" s="646"/>
      <c r="WZ59" s="645"/>
      <c r="XA59" s="646"/>
      <c r="XB59" s="645"/>
      <c r="XC59" s="646"/>
      <c r="XD59" s="645"/>
      <c r="XE59" s="646"/>
      <c r="XF59" s="645"/>
      <c r="XG59" s="646"/>
      <c r="XH59" s="645"/>
      <c r="XI59" s="646"/>
      <c r="XJ59" s="645"/>
      <c r="XK59" s="646"/>
      <c r="XL59" s="645"/>
      <c r="XM59" s="646"/>
      <c r="XN59" s="645"/>
      <c r="XO59" s="646"/>
      <c r="XP59" s="645"/>
      <c r="XQ59" s="646"/>
      <c r="XR59" s="645"/>
      <c r="XS59" s="646"/>
      <c r="XT59" s="645"/>
      <c r="XU59" s="646"/>
      <c r="XV59" s="645"/>
      <c r="XW59" s="646"/>
      <c r="XX59" s="645"/>
      <c r="XY59" s="646"/>
      <c r="XZ59" s="645"/>
      <c r="YA59" s="646"/>
      <c r="YB59" s="645"/>
      <c r="YC59" s="646"/>
      <c r="YD59" s="645"/>
      <c r="YE59" s="646"/>
      <c r="YF59" s="645"/>
      <c r="YG59" s="646"/>
      <c r="YH59" s="645"/>
      <c r="YI59" s="646"/>
      <c r="YJ59" s="645"/>
      <c r="YK59" s="646"/>
      <c r="YL59" s="645"/>
      <c r="YM59" s="646"/>
      <c r="YN59" s="645"/>
      <c r="YO59" s="646"/>
      <c r="YP59" s="645"/>
      <c r="YQ59" s="646"/>
      <c r="YR59" s="645"/>
      <c r="YS59" s="646"/>
      <c r="YT59" s="645"/>
      <c r="YU59" s="646"/>
      <c r="YV59" s="645"/>
      <c r="YW59" s="646"/>
      <c r="YX59" s="645"/>
      <c r="YY59" s="646"/>
      <c r="YZ59" s="645"/>
      <c r="ZA59" s="646"/>
      <c r="ZB59" s="645"/>
      <c r="ZC59" s="646"/>
      <c r="ZD59" s="645"/>
      <c r="ZE59" s="646"/>
      <c r="ZF59" s="645"/>
      <c r="ZG59" s="646"/>
      <c r="ZH59" s="645"/>
      <c r="ZI59" s="646"/>
      <c r="ZJ59" s="645"/>
      <c r="ZK59" s="646"/>
      <c r="ZL59" s="645"/>
      <c r="ZM59" s="646"/>
      <c r="ZN59" s="645"/>
      <c r="ZO59" s="646"/>
      <c r="ZP59" s="645"/>
      <c r="ZQ59" s="646"/>
      <c r="ZR59" s="645"/>
      <c r="ZS59" s="646"/>
      <c r="ZT59" s="645"/>
      <c r="ZU59" s="646"/>
      <c r="ZV59" s="645"/>
      <c r="ZW59" s="646"/>
      <c r="ZX59" s="645"/>
      <c r="ZY59" s="646"/>
      <c r="ZZ59" s="645"/>
      <c r="AAA59" s="646"/>
      <c r="AAB59" s="645"/>
      <c r="AAC59" s="646"/>
      <c r="AAD59" s="645"/>
      <c r="AAE59" s="646"/>
      <c r="AAF59" s="645"/>
      <c r="AAG59" s="646"/>
      <c r="AAH59" s="645"/>
      <c r="AAI59" s="646"/>
      <c r="AAJ59" s="645"/>
      <c r="AAK59" s="646"/>
      <c r="AAL59" s="645"/>
      <c r="AAM59" s="646"/>
      <c r="AAN59" s="645"/>
      <c r="AAO59" s="646"/>
      <c r="AAP59" s="645"/>
      <c r="AAQ59" s="646"/>
      <c r="AAR59" s="645"/>
      <c r="AAS59" s="646"/>
      <c r="AAT59" s="645"/>
      <c r="AAU59" s="646"/>
      <c r="AAV59" s="645"/>
      <c r="AAW59" s="646"/>
      <c r="AAX59" s="645"/>
      <c r="AAY59" s="646"/>
      <c r="AAZ59" s="645"/>
      <c r="ABA59" s="646"/>
      <c r="ABB59" s="645"/>
      <c r="ABC59" s="646"/>
      <c r="ABD59" s="645"/>
      <c r="ABE59" s="646"/>
      <c r="ABF59" s="645"/>
      <c r="ABG59" s="646"/>
      <c r="ABH59" s="645"/>
      <c r="ABI59" s="646"/>
      <c r="ABJ59" s="645"/>
      <c r="ABK59" s="646"/>
      <c r="ABL59" s="645"/>
      <c r="ABM59" s="646"/>
      <c r="ABN59" s="645"/>
      <c r="ABO59" s="646"/>
      <c r="ABP59" s="645"/>
      <c r="ABQ59" s="646"/>
      <c r="ABR59" s="645"/>
      <c r="ABS59" s="646"/>
      <c r="ABT59" s="645"/>
      <c r="ABU59" s="646"/>
      <c r="ABV59" s="645"/>
      <c r="ABW59" s="646"/>
      <c r="ABX59" s="645"/>
      <c r="ABY59" s="646"/>
      <c r="ABZ59" s="645"/>
      <c r="ACA59" s="646"/>
      <c r="ACB59" s="645"/>
      <c r="ACC59" s="646"/>
      <c r="ACD59" s="645"/>
      <c r="ACE59" s="646"/>
      <c r="ACF59" s="645"/>
      <c r="ACG59" s="646"/>
      <c r="ACH59" s="645"/>
      <c r="ACI59" s="646"/>
      <c r="ACJ59" s="645"/>
      <c r="ACK59" s="646"/>
      <c r="ACL59" s="645"/>
      <c r="ACM59" s="646"/>
      <c r="ACN59" s="645"/>
      <c r="ACO59" s="646"/>
      <c r="ACP59" s="645"/>
      <c r="ACQ59" s="646"/>
      <c r="ACR59" s="645"/>
      <c r="ACS59" s="646"/>
      <c r="ACT59" s="645"/>
      <c r="ACU59" s="646"/>
      <c r="ACV59" s="645"/>
      <c r="ACW59" s="646"/>
      <c r="ACX59" s="645"/>
      <c r="ACY59" s="646"/>
      <c r="ACZ59" s="645"/>
      <c r="ADA59" s="646"/>
      <c r="ADB59" s="645"/>
      <c r="ADC59" s="646"/>
      <c r="ADD59" s="645"/>
      <c r="ADE59" s="646"/>
      <c r="ADF59" s="645"/>
      <c r="ADG59" s="646"/>
      <c r="ADH59" s="645"/>
      <c r="ADI59" s="646"/>
      <c r="ADJ59" s="645"/>
      <c r="ADK59" s="646"/>
      <c r="ADL59" s="645"/>
      <c r="ADM59" s="646"/>
      <c r="ADN59" s="645"/>
      <c r="ADO59" s="646"/>
      <c r="ADP59" s="645"/>
      <c r="ADQ59" s="646"/>
      <c r="ADR59" s="645"/>
      <c r="ADS59" s="646"/>
      <c r="ADT59" s="645"/>
      <c r="ADU59" s="646"/>
      <c r="ADV59" s="645"/>
      <c r="ADW59" s="646"/>
      <c r="ADX59" s="645"/>
      <c r="ADY59" s="646"/>
      <c r="ADZ59" s="645"/>
      <c r="AEA59" s="646"/>
      <c r="AEB59" s="645"/>
      <c r="AEC59" s="646"/>
      <c r="AED59" s="645"/>
      <c r="AEE59" s="646"/>
      <c r="AEF59" s="645"/>
      <c r="AEG59" s="646"/>
      <c r="AEH59" s="645"/>
      <c r="AEI59" s="646"/>
      <c r="AEJ59" s="645"/>
      <c r="AEK59" s="646"/>
      <c r="AEL59" s="645"/>
      <c r="AEM59" s="646"/>
      <c r="AEN59" s="645"/>
      <c r="AEO59" s="646"/>
      <c r="AEP59" s="645"/>
      <c r="AEQ59" s="646"/>
      <c r="AER59" s="645"/>
      <c r="AES59" s="646"/>
      <c r="AET59" s="645"/>
      <c r="AEU59" s="646"/>
      <c r="AEV59" s="645"/>
      <c r="AEW59" s="646"/>
      <c r="AEX59" s="645"/>
      <c r="AEY59" s="646"/>
      <c r="AEZ59" s="645"/>
      <c r="AFA59" s="646"/>
      <c r="AFB59" s="645"/>
      <c r="AFC59" s="646"/>
      <c r="AFD59" s="645"/>
      <c r="AFE59" s="646"/>
      <c r="AFF59" s="645"/>
      <c r="AFG59" s="646"/>
      <c r="AFH59" s="645"/>
      <c r="AFI59" s="646"/>
      <c r="AFJ59" s="645"/>
      <c r="AFK59" s="646"/>
      <c r="AFL59" s="645"/>
      <c r="AFM59" s="646"/>
      <c r="AFN59" s="645"/>
      <c r="AFO59" s="646"/>
      <c r="AFP59" s="645"/>
      <c r="AFQ59" s="646"/>
      <c r="AFR59" s="645"/>
      <c r="AFS59" s="646"/>
      <c r="AFT59" s="645"/>
      <c r="AFU59" s="646"/>
      <c r="AFV59" s="645"/>
      <c r="AFW59" s="646"/>
      <c r="AFX59" s="645"/>
      <c r="AFY59" s="646"/>
      <c r="AFZ59" s="645"/>
      <c r="AGA59" s="646"/>
      <c r="AGB59" s="645"/>
      <c r="AGC59" s="646"/>
      <c r="AGD59" s="645"/>
      <c r="AGE59" s="646"/>
      <c r="AGF59" s="645"/>
      <c r="AGG59" s="646"/>
      <c r="AGH59" s="645"/>
      <c r="AGI59" s="646"/>
      <c r="AGJ59" s="645"/>
      <c r="AGK59" s="646"/>
      <c r="AGL59" s="645"/>
      <c r="AGM59" s="646"/>
      <c r="AGN59" s="645"/>
      <c r="AGO59" s="646"/>
      <c r="AGP59" s="645"/>
      <c r="AGQ59" s="646"/>
      <c r="AGR59" s="645"/>
      <c r="AGS59" s="646"/>
      <c r="AGT59" s="645"/>
      <c r="AGU59" s="646"/>
      <c r="AGV59" s="645"/>
      <c r="AGW59" s="646"/>
      <c r="AGX59" s="645"/>
      <c r="AGY59" s="646"/>
      <c r="AGZ59" s="645"/>
      <c r="AHA59" s="646"/>
      <c r="AHB59" s="645"/>
      <c r="AHC59" s="646"/>
      <c r="AHD59" s="645"/>
      <c r="AHE59" s="646"/>
      <c r="AHF59" s="645"/>
      <c r="AHG59" s="646"/>
      <c r="AHH59" s="645"/>
      <c r="AHI59" s="646"/>
      <c r="AHJ59" s="645"/>
      <c r="AHK59" s="646"/>
      <c r="AHL59" s="645"/>
      <c r="AHM59" s="646"/>
      <c r="AHN59" s="645"/>
      <c r="AHO59" s="646"/>
      <c r="AHP59" s="645"/>
      <c r="AHQ59" s="646"/>
      <c r="AHR59" s="645"/>
      <c r="AHS59" s="646"/>
      <c r="AHT59" s="645"/>
      <c r="AHU59" s="646"/>
      <c r="AHV59" s="645"/>
      <c r="AHW59" s="646"/>
      <c r="AHX59" s="645"/>
      <c r="AHY59" s="646"/>
      <c r="AHZ59" s="645"/>
      <c r="AIA59" s="646"/>
      <c r="AIB59" s="645"/>
      <c r="AIC59" s="646"/>
      <c r="AID59" s="645"/>
      <c r="AIE59" s="646"/>
      <c r="AIF59" s="645"/>
      <c r="AIG59" s="646"/>
      <c r="AIH59" s="645"/>
      <c r="AII59" s="646"/>
      <c r="AIJ59" s="645"/>
      <c r="AIK59" s="646"/>
      <c r="AIL59" s="645"/>
      <c r="AIM59" s="646"/>
      <c r="AIN59" s="645"/>
      <c r="AIO59" s="646"/>
      <c r="AIP59" s="645"/>
      <c r="AIQ59" s="645"/>
      <c r="AIR59" s="645"/>
      <c r="AIS59" s="645"/>
      <c r="AIT59" s="645"/>
      <c r="AIU59" s="645"/>
      <c r="AIV59" s="645"/>
      <c r="AIW59" s="645"/>
      <c r="AIX59" s="645"/>
      <c r="AIY59" s="645"/>
      <c r="AIZ59" s="645"/>
      <c r="AJA59" s="645"/>
      <c r="AJB59" s="645"/>
      <c r="AJC59" s="645"/>
      <c r="AJD59" s="645"/>
      <c r="AJE59" s="645"/>
      <c r="AJF59" s="645"/>
      <c r="AJG59" s="645"/>
      <c r="AJH59" s="645"/>
      <c r="AJI59" s="645"/>
      <c r="AJJ59" s="645"/>
      <c r="AJK59" s="645"/>
      <c r="AJL59" s="645"/>
      <c r="AJM59" s="645"/>
      <c r="AJN59" s="645"/>
      <c r="AJO59" s="645"/>
      <c r="AJP59" s="645"/>
      <c r="AJQ59" s="645"/>
      <c r="AJR59" s="645"/>
      <c r="AJS59" s="645"/>
      <c r="AJT59" s="645"/>
      <c r="AJU59" s="645"/>
      <c r="AJV59" s="645"/>
      <c r="AJW59" s="645"/>
      <c r="AJX59" s="645"/>
      <c r="AJY59" s="645"/>
      <c r="AJZ59" s="645"/>
      <c r="AKA59" s="645"/>
      <c r="AKB59" s="645"/>
      <c r="AKC59" s="645"/>
      <c r="AKD59" s="645"/>
      <c r="AKE59" s="645"/>
      <c r="AKF59" s="645"/>
      <c r="AKG59" s="645"/>
      <c r="AKH59" s="645"/>
      <c r="AKI59" s="645"/>
      <c r="AKJ59" s="645"/>
      <c r="AKK59" s="645"/>
      <c r="AKL59" s="645"/>
      <c r="AKM59" s="645"/>
      <c r="AKN59" s="645"/>
      <c r="AKO59" s="645"/>
      <c r="AKP59" s="645"/>
      <c r="AKQ59" s="645"/>
      <c r="AKR59" s="645"/>
      <c r="AKS59" s="645"/>
      <c r="AKT59" s="645"/>
      <c r="AKU59" s="645"/>
      <c r="AKV59" s="645"/>
      <c r="AKW59" s="645"/>
      <c r="AKX59" s="645"/>
      <c r="AKY59" s="645"/>
      <c r="AKZ59" s="645"/>
      <c r="ALA59" s="645"/>
      <c r="ALB59" s="645"/>
      <c r="ALC59" s="645"/>
      <c r="ALD59" s="645"/>
      <c r="ALE59" s="645"/>
      <c r="ALF59" s="645"/>
      <c r="ALG59" s="645"/>
      <c r="ALH59" s="645"/>
      <c r="ALI59" s="645"/>
      <c r="ALJ59" s="645"/>
      <c r="ALK59" s="645"/>
      <c r="ALL59" s="645"/>
      <c r="ALM59" s="645"/>
      <c r="ALN59" s="645"/>
      <c r="ALO59" s="645"/>
      <c r="ALP59" s="645"/>
      <c r="ALQ59" s="645"/>
      <c r="ALR59" s="645"/>
      <c r="ALS59" s="645"/>
      <c r="ALT59" s="645"/>
      <c r="ALU59" s="645"/>
      <c r="ALV59" s="645"/>
      <c r="ALW59" s="645"/>
      <c r="ALX59" s="645"/>
      <c r="ALY59" s="645"/>
      <c r="ALZ59" s="645"/>
      <c r="AMA59" s="645"/>
      <c r="AMB59" s="645"/>
      <c r="AMC59" s="645"/>
      <c r="AMD59" s="645"/>
      <c r="AME59" s="645"/>
      <c r="AMF59" s="645"/>
      <c r="AMG59" s="645"/>
      <c r="AMH59" s="645"/>
      <c r="AMI59" s="645"/>
      <c r="AMJ59" s="645"/>
    </row>
    <row r="60" spans="1:1024" s="29" customFormat="1" ht="15.75" customHeight="1" x14ac:dyDescent="0.3">
      <c r="A60" s="593" t="s">
        <v>314</v>
      </c>
      <c r="B60" s="594" t="s">
        <v>315</v>
      </c>
      <c r="C60" s="638"/>
      <c r="D60" s="605"/>
      <c r="E60" s="605"/>
      <c r="F60" s="639"/>
      <c r="G60" s="640"/>
      <c r="H60" s="640"/>
      <c r="I60" s="608"/>
      <c r="J60" s="30"/>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c r="AS60" s="28"/>
      <c r="AT60" s="28"/>
      <c r="AU60" s="28"/>
      <c r="AV60" s="28"/>
      <c r="AW60" s="28"/>
      <c r="AX60" s="28"/>
      <c r="AY60" s="28"/>
      <c r="AZ60" s="28"/>
      <c r="BA60" s="28"/>
      <c r="BB60" s="28"/>
      <c r="BC60" s="28"/>
      <c r="BD60" s="28"/>
      <c r="BE60" s="28"/>
      <c r="BF60" s="28"/>
      <c r="BG60" s="28"/>
      <c r="BH60" s="28"/>
      <c r="BI60" s="28"/>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AIQ60" s="28"/>
      <c r="AIR60" s="28"/>
      <c r="AIS60" s="28"/>
      <c r="AIT60" s="28"/>
      <c r="AIU60" s="28"/>
      <c r="AIV60" s="28"/>
      <c r="AIW60" s="28"/>
      <c r="AIX60" s="28"/>
      <c r="AIY60" s="28"/>
      <c r="AIZ60" s="28"/>
      <c r="AJA60" s="28"/>
      <c r="AJB60" s="28"/>
      <c r="AJC60" s="28"/>
      <c r="AJD60" s="28"/>
      <c r="AJE60" s="28"/>
      <c r="AJF60" s="28"/>
      <c r="AJG60" s="28"/>
      <c r="AJH60" s="28"/>
      <c r="AJI60" s="28"/>
      <c r="AJJ60" s="28"/>
      <c r="AJK60" s="28"/>
      <c r="AJL60" s="28"/>
      <c r="AJM60" s="28"/>
      <c r="AJN60" s="28"/>
      <c r="AJO60" s="28"/>
      <c r="AJP60" s="28"/>
      <c r="AJQ60" s="28"/>
      <c r="AJR60" s="28"/>
      <c r="AJS60" s="28"/>
      <c r="AJT60" s="28"/>
      <c r="AJU60" s="28"/>
      <c r="AJV60" s="28"/>
      <c r="AJW60" s="28"/>
      <c r="AJX60" s="28"/>
      <c r="AJY60" s="28"/>
      <c r="AJZ60" s="28"/>
      <c r="AKA60" s="28"/>
      <c r="AKB60" s="28"/>
      <c r="AKC60" s="28"/>
      <c r="AKD60" s="28"/>
      <c r="AKE60" s="28"/>
      <c r="AKF60" s="28"/>
      <c r="AKG60" s="28"/>
      <c r="AKH60" s="28"/>
      <c r="AKI60" s="28"/>
      <c r="AKJ60" s="28"/>
      <c r="AKK60" s="28"/>
      <c r="AKL60" s="28"/>
      <c r="AKM60" s="28"/>
      <c r="AKN60" s="28"/>
      <c r="AKO60" s="28"/>
      <c r="AKP60" s="28"/>
      <c r="AKQ60" s="28"/>
      <c r="AKR60" s="28"/>
      <c r="AKS60" s="28"/>
      <c r="AKT60" s="28"/>
      <c r="AKU60" s="28"/>
      <c r="AKV60" s="28"/>
      <c r="AKW60" s="28"/>
      <c r="AKX60" s="28"/>
      <c r="AKY60" s="28"/>
      <c r="AKZ60" s="28"/>
      <c r="ALA60" s="28"/>
      <c r="ALB60" s="28"/>
      <c r="ALC60" s="28"/>
      <c r="ALD60" s="28"/>
      <c r="ALE60" s="28"/>
      <c r="ALF60" s="28"/>
      <c r="ALG60" s="28"/>
      <c r="ALH60" s="28"/>
      <c r="ALI60" s="28"/>
      <c r="ALJ60" s="28"/>
      <c r="ALK60" s="28"/>
      <c r="ALL60" s="28"/>
      <c r="ALM60" s="28"/>
      <c r="ALN60" s="28"/>
      <c r="ALO60" s="28"/>
      <c r="ALP60" s="28"/>
      <c r="ALQ60" s="28"/>
      <c r="ALR60" s="28"/>
      <c r="ALS60" s="28"/>
      <c r="ALT60" s="28"/>
      <c r="ALU60" s="28"/>
      <c r="ALV60" s="28"/>
      <c r="ALW60" s="28"/>
      <c r="ALX60" s="28"/>
      <c r="ALY60" s="28"/>
      <c r="ALZ60" s="28"/>
      <c r="AMA60" s="28"/>
      <c r="AMB60" s="28"/>
      <c r="AMC60" s="28"/>
      <c r="AMD60" s="28"/>
      <c r="AME60" s="28"/>
      <c r="AMF60" s="28"/>
      <c r="AMG60" s="28"/>
      <c r="AMH60" s="28"/>
      <c r="AMI60" s="28"/>
      <c r="AMJ60" s="28"/>
    </row>
    <row r="61" spans="1:1024" s="37" customFormat="1" ht="15.75" customHeight="1" x14ac:dyDescent="0.35">
      <c r="A61" s="600"/>
      <c r="B61" s="644" t="s">
        <v>316</v>
      </c>
      <c r="C61" s="645"/>
      <c r="D61" s="646"/>
      <c r="E61" s="645"/>
      <c r="F61" s="646"/>
      <c r="G61" s="647" t="s">
        <v>243</v>
      </c>
      <c r="H61" s="643"/>
      <c r="I61" s="645"/>
      <c r="J61" s="38"/>
      <c r="K61" s="38"/>
      <c r="L61" s="39"/>
      <c r="M61" s="38"/>
      <c r="N61" s="39"/>
      <c r="O61" s="38"/>
      <c r="P61" s="39"/>
      <c r="Q61" s="38"/>
      <c r="R61" s="39"/>
      <c r="S61" s="38"/>
      <c r="T61" s="39"/>
      <c r="U61" s="38"/>
      <c r="V61" s="39"/>
      <c r="W61" s="38"/>
      <c r="X61" s="39"/>
      <c r="Y61" s="38"/>
      <c r="Z61" s="39"/>
      <c r="AA61" s="38"/>
      <c r="AB61" s="39"/>
      <c r="AC61" s="38"/>
      <c r="AD61" s="39"/>
      <c r="AE61" s="38"/>
      <c r="AF61" s="39"/>
      <c r="AG61" s="38"/>
      <c r="AH61" s="39"/>
      <c r="AI61" s="38"/>
      <c r="AJ61" s="39"/>
      <c r="AK61" s="40"/>
      <c r="AL61" s="39"/>
      <c r="AM61" s="40"/>
      <c r="AN61" s="39"/>
      <c r="AO61" s="40"/>
      <c r="AP61" s="39"/>
      <c r="AQ61" s="40"/>
      <c r="AR61" s="39"/>
      <c r="AS61" s="40"/>
      <c r="AT61" s="39"/>
      <c r="AU61" s="40"/>
      <c r="AV61" s="39"/>
      <c r="AW61" s="40"/>
      <c r="AX61" s="39"/>
      <c r="AY61" s="40"/>
      <c r="AZ61" s="39"/>
      <c r="BA61" s="40"/>
      <c r="BB61" s="39"/>
      <c r="BC61" s="40"/>
      <c r="BD61" s="39"/>
      <c r="BE61" s="40"/>
      <c r="BF61" s="39"/>
      <c r="BG61" s="40"/>
      <c r="BH61" s="39"/>
      <c r="BI61" s="40"/>
      <c r="BJ61" s="39"/>
      <c r="BK61" s="40"/>
      <c r="BL61" s="39"/>
      <c r="BM61" s="40"/>
      <c r="BN61" s="39"/>
      <c r="BO61" s="40"/>
      <c r="BP61" s="39"/>
      <c r="BQ61" s="40"/>
      <c r="BR61" s="39"/>
      <c r="BS61" s="40"/>
      <c r="BT61" s="39"/>
      <c r="BU61" s="40"/>
      <c r="BV61" s="39"/>
      <c r="BW61" s="40"/>
      <c r="BX61" s="39"/>
      <c r="BY61" s="40"/>
      <c r="BZ61" s="39"/>
      <c r="CA61" s="40"/>
      <c r="CB61" s="39"/>
      <c r="CC61" s="40"/>
      <c r="CD61" s="39"/>
      <c r="CE61" s="40"/>
      <c r="CF61" s="39"/>
      <c r="CG61" s="40"/>
      <c r="CH61" s="39"/>
      <c r="CI61" s="40"/>
      <c r="CJ61" s="39"/>
      <c r="CK61" s="40"/>
      <c r="CL61" s="39"/>
      <c r="CM61" s="40"/>
      <c r="CN61" s="39"/>
      <c r="CO61" s="40"/>
      <c r="CP61" s="39"/>
      <c r="CQ61" s="40"/>
      <c r="CR61" s="39"/>
      <c r="CS61" s="40"/>
      <c r="CT61" s="39"/>
      <c r="CU61" s="40"/>
      <c r="CV61" s="39"/>
      <c r="CW61" s="40"/>
      <c r="CX61" s="39"/>
      <c r="CY61" s="40"/>
      <c r="CZ61" s="39"/>
      <c r="DA61" s="40"/>
      <c r="DB61" s="39"/>
      <c r="DC61" s="40"/>
      <c r="DD61" s="39"/>
      <c r="DE61" s="40"/>
      <c r="DF61" s="39"/>
      <c r="DG61" s="40"/>
      <c r="DH61" s="39"/>
      <c r="DI61" s="40"/>
      <c r="DJ61" s="39"/>
      <c r="DK61" s="40"/>
      <c r="DL61" s="39"/>
      <c r="DM61" s="40"/>
      <c r="DN61" s="39"/>
      <c r="DO61" s="40"/>
      <c r="DP61" s="39"/>
      <c r="DQ61" s="40"/>
      <c r="DR61" s="39"/>
      <c r="DS61" s="40"/>
      <c r="DT61" s="39"/>
      <c r="DU61" s="40"/>
      <c r="DV61" s="39"/>
      <c r="DW61" s="40"/>
      <c r="DX61" s="39"/>
      <c r="DY61" s="40"/>
      <c r="DZ61" s="39"/>
      <c r="EA61" s="40"/>
      <c r="EB61" s="39"/>
      <c r="EC61" s="40"/>
      <c r="ED61" s="39"/>
      <c r="EE61" s="40"/>
      <c r="EF61" s="39"/>
      <c r="EG61" s="40"/>
      <c r="EH61" s="39"/>
      <c r="EI61" s="40"/>
      <c r="EJ61" s="39"/>
      <c r="EK61" s="40"/>
      <c r="EL61" s="39"/>
      <c r="EM61" s="40"/>
      <c r="EN61" s="39"/>
      <c r="EO61" s="40"/>
      <c r="EP61" s="39"/>
      <c r="EQ61" s="40"/>
      <c r="ER61" s="39"/>
      <c r="ES61" s="40"/>
      <c r="ET61" s="39"/>
      <c r="EU61" s="40"/>
      <c r="EV61" s="39"/>
      <c r="EW61" s="40"/>
      <c r="EX61" s="39"/>
      <c r="EY61" s="40"/>
      <c r="EZ61" s="39"/>
      <c r="FA61" s="40"/>
      <c r="FB61" s="39"/>
      <c r="FC61" s="40"/>
      <c r="FD61" s="39"/>
      <c r="FE61" s="40"/>
      <c r="FF61" s="39"/>
      <c r="FG61" s="40"/>
      <c r="FH61" s="39"/>
      <c r="FI61" s="40"/>
      <c r="FJ61" s="39"/>
      <c r="FK61" s="40"/>
      <c r="FL61" s="39"/>
      <c r="FM61" s="40"/>
      <c r="FN61" s="39"/>
      <c r="FO61" s="40"/>
      <c r="FP61" s="39"/>
      <c r="FQ61" s="40"/>
      <c r="FR61" s="39"/>
      <c r="FS61" s="40"/>
      <c r="FT61" s="39"/>
      <c r="FU61" s="40"/>
      <c r="FV61" s="39"/>
      <c r="FW61" s="40"/>
      <c r="FX61" s="39"/>
      <c r="FY61" s="40"/>
      <c r="FZ61" s="39"/>
      <c r="GA61" s="40"/>
      <c r="GB61" s="39"/>
      <c r="GC61" s="40"/>
      <c r="GD61" s="39"/>
      <c r="GE61" s="40"/>
      <c r="GF61" s="39"/>
      <c r="GG61" s="40"/>
      <c r="GH61" s="39"/>
      <c r="GI61" s="40"/>
      <c r="GJ61" s="39"/>
      <c r="GK61" s="40"/>
      <c r="GL61" s="39"/>
      <c r="GM61" s="40"/>
      <c r="GN61" s="39"/>
      <c r="GO61" s="40"/>
      <c r="GP61" s="39"/>
      <c r="GQ61" s="40"/>
      <c r="GR61" s="39"/>
      <c r="GS61" s="40"/>
      <c r="GT61" s="39"/>
      <c r="GU61" s="40"/>
      <c r="GV61" s="39"/>
      <c r="GW61" s="40"/>
      <c r="GX61" s="39"/>
      <c r="GY61" s="40"/>
      <c r="GZ61" s="39"/>
      <c r="HA61" s="40"/>
      <c r="HB61" s="39"/>
      <c r="HC61" s="40"/>
      <c r="HD61" s="39"/>
      <c r="HE61" s="40"/>
      <c r="HF61" s="39"/>
      <c r="HG61" s="40"/>
      <c r="HH61" s="39"/>
      <c r="HI61" s="40"/>
      <c r="HJ61" s="39"/>
      <c r="HK61" s="40"/>
      <c r="HL61" s="39"/>
      <c r="HM61" s="40"/>
      <c r="HN61" s="39"/>
      <c r="HO61" s="40"/>
      <c r="HP61" s="39"/>
      <c r="HQ61" s="40"/>
      <c r="HR61" s="39"/>
      <c r="HS61" s="40"/>
      <c r="HT61" s="39"/>
      <c r="HU61" s="40"/>
      <c r="HV61" s="39"/>
      <c r="HW61" s="40"/>
      <c r="HX61" s="39"/>
      <c r="HY61" s="40"/>
      <c r="HZ61" s="39"/>
      <c r="IA61" s="40"/>
      <c r="IB61" s="39"/>
      <c r="IC61" s="1068"/>
      <c r="ID61" s="645"/>
      <c r="IE61" s="646"/>
      <c r="IF61" s="645"/>
      <c r="IG61" s="646"/>
      <c r="IH61" s="645"/>
      <c r="II61" s="646"/>
      <c r="IJ61" s="645"/>
      <c r="IK61" s="646"/>
      <c r="IL61" s="645"/>
      <c r="IM61" s="646"/>
      <c r="IN61" s="645"/>
      <c r="IO61" s="646"/>
      <c r="IP61" s="645"/>
      <c r="IQ61" s="646"/>
      <c r="IR61" s="645"/>
      <c r="IS61" s="646"/>
      <c r="IT61" s="645"/>
      <c r="IU61" s="646"/>
      <c r="IV61" s="645"/>
      <c r="IW61" s="646"/>
      <c r="IX61" s="645"/>
      <c r="IY61" s="646"/>
      <c r="IZ61" s="645"/>
      <c r="JA61" s="646"/>
      <c r="JB61" s="645"/>
      <c r="JC61" s="646"/>
      <c r="JD61" s="645"/>
      <c r="JE61" s="646"/>
      <c r="JF61" s="645"/>
      <c r="JG61" s="646"/>
      <c r="JH61" s="645"/>
      <c r="JI61" s="646"/>
      <c r="JJ61" s="645"/>
      <c r="JK61" s="646"/>
      <c r="JL61" s="645"/>
      <c r="JM61" s="646"/>
      <c r="JN61" s="645"/>
      <c r="JO61" s="646"/>
      <c r="JP61" s="645"/>
      <c r="JQ61" s="646"/>
      <c r="JR61" s="645"/>
      <c r="JS61" s="646"/>
      <c r="JT61" s="645"/>
      <c r="JU61" s="646"/>
      <c r="JV61" s="645"/>
      <c r="JW61" s="646"/>
      <c r="JX61" s="645"/>
      <c r="JY61" s="646"/>
      <c r="JZ61" s="645"/>
      <c r="KA61" s="646"/>
      <c r="KB61" s="645"/>
      <c r="KC61" s="646"/>
      <c r="KD61" s="645"/>
      <c r="KE61" s="646"/>
      <c r="KF61" s="645"/>
      <c r="KG61" s="646"/>
      <c r="KH61" s="645"/>
      <c r="KI61" s="646"/>
      <c r="KJ61" s="645"/>
      <c r="KK61" s="646"/>
      <c r="KL61" s="645"/>
      <c r="KM61" s="646"/>
      <c r="KN61" s="645"/>
      <c r="KO61" s="646"/>
      <c r="KP61" s="645"/>
      <c r="KQ61" s="646"/>
      <c r="KR61" s="645"/>
      <c r="KS61" s="646"/>
      <c r="KT61" s="645"/>
      <c r="KU61" s="646"/>
      <c r="KV61" s="645"/>
      <c r="KW61" s="646"/>
      <c r="KX61" s="645"/>
      <c r="KY61" s="646"/>
      <c r="KZ61" s="645"/>
      <c r="LA61" s="646"/>
      <c r="LB61" s="645"/>
      <c r="LC61" s="646"/>
      <c r="LD61" s="645"/>
      <c r="LE61" s="646"/>
      <c r="LF61" s="645"/>
      <c r="LG61" s="646"/>
      <c r="LH61" s="645"/>
      <c r="LI61" s="646"/>
      <c r="LJ61" s="645"/>
      <c r="LK61" s="646"/>
      <c r="LL61" s="645"/>
      <c r="LM61" s="646"/>
      <c r="LN61" s="645"/>
      <c r="LO61" s="646"/>
      <c r="LP61" s="645"/>
      <c r="LQ61" s="646"/>
      <c r="LR61" s="645"/>
      <c r="LS61" s="646"/>
      <c r="LT61" s="645"/>
      <c r="LU61" s="646"/>
      <c r="LV61" s="645"/>
      <c r="LW61" s="646"/>
      <c r="LX61" s="645"/>
      <c r="LY61" s="646"/>
      <c r="LZ61" s="645"/>
      <c r="MA61" s="646"/>
      <c r="MB61" s="645"/>
      <c r="MC61" s="646"/>
      <c r="MD61" s="645"/>
      <c r="ME61" s="646"/>
      <c r="MF61" s="645"/>
      <c r="MG61" s="646"/>
      <c r="MH61" s="645"/>
      <c r="MI61" s="646"/>
      <c r="MJ61" s="645"/>
      <c r="MK61" s="646"/>
      <c r="ML61" s="645"/>
      <c r="MM61" s="646"/>
      <c r="MN61" s="645"/>
      <c r="MO61" s="646"/>
      <c r="MP61" s="645"/>
      <c r="MQ61" s="646"/>
      <c r="MR61" s="645"/>
      <c r="MS61" s="646"/>
      <c r="MT61" s="645"/>
      <c r="MU61" s="646"/>
      <c r="MV61" s="645"/>
      <c r="MW61" s="646"/>
      <c r="MX61" s="645"/>
      <c r="MY61" s="646"/>
      <c r="MZ61" s="645"/>
      <c r="NA61" s="646"/>
      <c r="NB61" s="645"/>
      <c r="NC61" s="646"/>
      <c r="ND61" s="645"/>
      <c r="NE61" s="646"/>
      <c r="NF61" s="645"/>
      <c r="NG61" s="646"/>
      <c r="NH61" s="645"/>
      <c r="NI61" s="646"/>
      <c r="NJ61" s="645"/>
      <c r="NK61" s="646"/>
      <c r="NL61" s="645"/>
      <c r="NM61" s="646"/>
      <c r="NN61" s="645"/>
      <c r="NO61" s="646"/>
      <c r="NP61" s="645"/>
      <c r="NQ61" s="646"/>
      <c r="NR61" s="645"/>
      <c r="NS61" s="646"/>
      <c r="NT61" s="645"/>
      <c r="NU61" s="646"/>
      <c r="NV61" s="645"/>
      <c r="NW61" s="646"/>
      <c r="NX61" s="645"/>
      <c r="NY61" s="646"/>
      <c r="NZ61" s="645"/>
      <c r="OA61" s="646"/>
      <c r="OB61" s="645"/>
      <c r="OC61" s="646"/>
      <c r="OD61" s="645"/>
      <c r="OE61" s="646"/>
      <c r="OF61" s="645"/>
      <c r="OG61" s="646"/>
      <c r="OH61" s="645"/>
      <c r="OI61" s="646"/>
      <c r="OJ61" s="645"/>
      <c r="OK61" s="646"/>
      <c r="OL61" s="645"/>
      <c r="OM61" s="646"/>
      <c r="ON61" s="645"/>
      <c r="OO61" s="646"/>
      <c r="OP61" s="645"/>
      <c r="OQ61" s="646"/>
      <c r="OR61" s="645"/>
      <c r="OS61" s="646"/>
      <c r="OT61" s="645"/>
      <c r="OU61" s="646"/>
      <c r="OV61" s="645"/>
      <c r="OW61" s="646"/>
      <c r="OX61" s="645"/>
      <c r="OY61" s="646"/>
      <c r="OZ61" s="645"/>
      <c r="PA61" s="646"/>
      <c r="PB61" s="645"/>
      <c r="PC61" s="646"/>
      <c r="PD61" s="645"/>
      <c r="PE61" s="646"/>
      <c r="PF61" s="645"/>
      <c r="PG61" s="646"/>
      <c r="PH61" s="645"/>
      <c r="PI61" s="646"/>
      <c r="PJ61" s="645"/>
      <c r="PK61" s="646"/>
      <c r="PL61" s="645"/>
      <c r="PM61" s="646"/>
      <c r="PN61" s="645"/>
      <c r="PO61" s="646"/>
      <c r="PP61" s="645"/>
      <c r="PQ61" s="646"/>
      <c r="PR61" s="645"/>
      <c r="PS61" s="646"/>
      <c r="PT61" s="645"/>
      <c r="PU61" s="646"/>
      <c r="PV61" s="645"/>
      <c r="PW61" s="646"/>
      <c r="PX61" s="645"/>
      <c r="PY61" s="646"/>
      <c r="PZ61" s="645"/>
      <c r="QA61" s="646"/>
      <c r="QB61" s="645"/>
      <c r="QC61" s="646"/>
      <c r="QD61" s="645"/>
      <c r="QE61" s="646"/>
      <c r="QF61" s="645"/>
      <c r="QG61" s="646"/>
      <c r="QH61" s="645"/>
      <c r="QI61" s="646"/>
      <c r="QJ61" s="645"/>
      <c r="QK61" s="646"/>
      <c r="QL61" s="645"/>
      <c r="QM61" s="646"/>
      <c r="QN61" s="645"/>
      <c r="QO61" s="646"/>
      <c r="QP61" s="645"/>
      <c r="QQ61" s="646"/>
      <c r="QR61" s="645"/>
      <c r="QS61" s="646"/>
      <c r="QT61" s="645"/>
      <c r="QU61" s="646"/>
      <c r="QV61" s="645"/>
      <c r="QW61" s="646"/>
      <c r="QX61" s="645"/>
      <c r="QY61" s="646"/>
      <c r="QZ61" s="645"/>
      <c r="RA61" s="646"/>
      <c r="RB61" s="645"/>
      <c r="RC61" s="646"/>
      <c r="RD61" s="645"/>
      <c r="RE61" s="646"/>
      <c r="RF61" s="645"/>
      <c r="RG61" s="646"/>
      <c r="RH61" s="645"/>
      <c r="RI61" s="646"/>
      <c r="RJ61" s="645"/>
      <c r="RK61" s="646"/>
      <c r="RL61" s="645"/>
      <c r="RM61" s="646"/>
      <c r="RN61" s="645"/>
      <c r="RO61" s="646"/>
      <c r="RP61" s="645"/>
      <c r="RQ61" s="646"/>
      <c r="RR61" s="645"/>
      <c r="RS61" s="646"/>
      <c r="RT61" s="645"/>
      <c r="RU61" s="646"/>
      <c r="RV61" s="645"/>
      <c r="RW61" s="646"/>
      <c r="RX61" s="645"/>
      <c r="RY61" s="646"/>
      <c r="RZ61" s="645"/>
      <c r="SA61" s="646"/>
      <c r="SB61" s="645"/>
      <c r="SC61" s="646"/>
      <c r="SD61" s="645"/>
      <c r="SE61" s="646"/>
      <c r="SF61" s="645"/>
      <c r="SG61" s="646"/>
      <c r="SH61" s="645"/>
      <c r="SI61" s="646"/>
      <c r="SJ61" s="645"/>
      <c r="SK61" s="646"/>
      <c r="SL61" s="645"/>
      <c r="SM61" s="646"/>
      <c r="SN61" s="645"/>
      <c r="SO61" s="646"/>
      <c r="SP61" s="645"/>
      <c r="SQ61" s="646"/>
      <c r="SR61" s="645"/>
      <c r="SS61" s="646"/>
      <c r="ST61" s="645"/>
      <c r="SU61" s="646"/>
      <c r="SV61" s="645"/>
      <c r="SW61" s="646"/>
      <c r="SX61" s="645"/>
      <c r="SY61" s="646"/>
      <c r="SZ61" s="645"/>
      <c r="TA61" s="646"/>
      <c r="TB61" s="645"/>
      <c r="TC61" s="646"/>
      <c r="TD61" s="645"/>
      <c r="TE61" s="646"/>
      <c r="TF61" s="645"/>
      <c r="TG61" s="646"/>
      <c r="TH61" s="645"/>
      <c r="TI61" s="646"/>
      <c r="TJ61" s="645"/>
      <c r="TK61" s="646"/>
      <c r="TL61" s="645"/>
      <c r="TM61" s="646"/>
      <c r="TN61" s="645"/>
      <c r="TO61" s="646"/>
      <c r="TP61" s="645"/>
      <c r="TQ61" s="646"/>
      <c r="TR61" s="645"/>
      <c r="TS61" s="646"/>
      <c r="TT61" s="645"/>
      <c r="TU61" s="646"/>
      <c r="TV61" s="645"/>
      <c r="TW61" s="646"/>
      <c r="TX61" s="645"/>
      <c r="TY61" s="646"/>
      <c r="TZ61" s="645"/>
      <c r="UA61" s="646"/>
      <c r="UB61" s="645"/>
      <c r="UC61" s="646"/>
      <c r="UD61" s="645"/>
      <c r="UE61" s="646"/>
      <c r="UF61" s="645"/>
      <c r="UG61" s="646"/>
      <c r="UH61" s="645"/>
      <c r="UI61" s="646"/>
      <c r="UJ61" s="645"/>
      <c r="UK61" s="646"/>
      <c r="UL61" s="645"/>
      <c r="UM61" s="646"/>
      <c r="UN61" s="645"/>
      <c r="UO61" s="646"/>
      <c r="UP61" s="645"/>
      <c r="UQ61" s="646"/>
      <c r="UR61" s="645"/>
      <c r="US61" s="646"/>
      <c r="UT61" s="645"/>
      <c r="UU61" s="646"/>
      <c r="UV61" s="645"/>
      <c r="UW61" s="646"/>
      <c r="UX61" s="645"/>
      <c r="UY61" s="646"/>
      <c r="UZ61" s="645"/>
      <c r="VA61" s="646"/>
      <c r="VB61" s="645"/>
      <c r="VC61" s="646"/>
      <c r="VD61" s="645"/>
      <c r="VE61" s="646"/>
      <c r="VF61" s="645"/>
      <c r="VG61" s="646"/>
      <c r="VH61" s="645"/>
      <c r="VI61" s="646"/>
      <c r="VJ61" s="645"/>
      <c r="VK61" s="646"/>
      <c r="VL61" s="645"/>
      <c r="VM61" s="646"/>
      <c r="VN61" s="645"/>
      <c r="VO61" s="646"/>
      <c r="VP61" s="645"/>
      <c r="VQ61" s="646"/>
      <c r="VR61" s="645"/>
      <c r="VS61" s="646"/>
      <c r="VT61" s="645"/>
      <c r="VU61" s="646"/>
      <c r="VV61" s="645"/>
      <c r="VW61" s="646"/>
      <c r="VX61" s="645"/>
      <c r="VY61" s="646"/>
      <c r="VZ61" s="645"/>
      <c r="WA61" s="646"/>
      <c r="WB61" s="645"/>
      <c r="WC61" s="646"/>
      <c r="WD61" s="645"/>
      <c r="WE61" s="646"/>
      <c r="WF61" s="645"/>
      <c r="WG61" s="646"/>
      <c r="WH61" s="645"/>
      <c r="WI61" s="646"/>
      <c r="WJ61" s="645"/>
      <c r="WK61" s="646"/>
      <c r="WL61" s="645"/>
      <c r="WM61" s="646"/>
      <c r="WN61" s="645"/>
      <c r="WO61" s="646"/>
      <c r="WP61" s="645"/>
      <c r="WQ61" s="646"/>
      <c r="WR61" s="645"/>
      <c r="WS61" s="646"/>
      <c r="WT61" s="645"/>
      <c r="WU61" s="646"/>
      <c r="WV61" s="645"/>
      <c r="WW61" s="646"/>
      <c r="WX61" s="645"/>
      <c r="WY61" s="646"/>
      <c r="WZ61" s="645"/>
      <c r="XA61" s="646"/>
      <c r="XB61" s="645"/>
      <c r="XC61" s="646"/>
      <c r="XD61" s="645"/>
      <c r="XE61" s="646"/>
      <c r="XF61" s="645"/>
      <c r="XG61" s="646"/>
      <c r="XH61" s="645"/>
      <c r="XI61" s="646"/>
      <c r="XJ61" s="645"/>
      <c r="XK61" s="646"/>
      <c r="XL61" s="645"/>
      <c r="XM61" s="646"/>
      <c r="XN61" s="645"/>
      <c r="XO61" s="646"/>
      <c r="XP61" s="645"/>
      <c r="XQ61" s="646"/>
      <c r="XR61" s="645"/>
      <c r="XS61" s="646"/>
      <c r="XT61" s="645"/>
      <c r="XU61" s="646"/>
      <c r="XV61" s="645"/>
      <c r="XW61" s="646"/>
      <c r="XX61" s="645"/>
      <c r="XY61" s="646"/>
      <c r="XZ61" s="645"/>
      <c r="YA61" s="646"/>
      <c r="YB61" s="645"/>
      <c r="YC61" s="646"/>
      <c r="YD61" s="645"/>
      <c r="YE61" s="646"/>
      <c r="YF61" s="645"/>
      <c r="YG61" s="646"/>
      <c r="YH61" s="645"/>
      <c r="YI61" s="646"/>
      <c r="YJ61" s="645"/>
      <c r="YK61" s="646"/>
      <c r="YL61" s="645"/>
      <c r="YM61" s="646"/>
      <c r="YN61" s="645"/>
      <c r="YO61" s="646"/>
      <c r="YP61" s="645"/>
      <c r="YQ61" s="646"/>
      <c r="YR61" s="645"/>
      <c r="YS61" s="646"/>
      <c r="YT61" s="645"/>
      <c r="YU61" s="646"/>
      <c r="YV61" s="645"/>
      <c r="YW61" s="646"/>
      <c r="YX61" s="645"/>
      <c r="YY61" s="646"/>
      <c r="YZ61" s="645"/>
      <c r="ZA61" s="646"/>
      <c r="ZB61" s="645"/>
      <c r="ZC61" s="646"/>
      <c r="ZD61" s="645"/>
      <c r="ZE61" s="646"/>
      <c r="ZF61" s="645"/>
      <c r="ZG61" s="646"/>
      <c r="ZH61" s="645"/>
      <c r="ZI61" s="646"/>
      <c r="ZJ61" s="645"/>
      <c r="ZK61" s="646"/>
      <c r="ZL61" s="645"/>
      <c r="ZM61" s="646"/>
      <c r="ZN61" s="645"/>
      <c r="ZO61" s="646"/>
      <c r="ZP61" s="645"/>
      <c r="ZQ61" s="646"/>
      <c r="ZR61" s="645"/>
      <c r="ZS61" s="646"/>
      <c r="ZT61" s="645"/>
      <c r="ZU61" s="646"/>
      <c r="ZV61" s="645"/>
      <c r="ZW61" s="646"/>
      <c r="ZX61" s="645"/>
      <c r="ZY61" s="646"/>
      <c r="ZZ61" s="645"/>
      <c r="AAA61" s="646"/>
      <c r="AAB61" s="645"/>
      <c r="AAC61" s="646"/>
      <c r="AAD61" s="645"/>
      <c r="AAE61" s="646"/>
      <c r="AAF61" s="645"/>
      <c r="AAG61" s="646"/>
      <c r="AAH61" s="645"/>
      <c r="AAI61" s="646"/>
      <c r="AAJ61" s="645"/>
      <c r="AAK61" s="646"/>
      <c r="AAL61" s="645"/>
      <c r="AAM61" s="646"/>
      <c r="AAN61" s="645"/>
      <c r="AAO61" s="646"/>
      <c r="AAP61" s="645"/>
      <c r="AAQ61" s="646"/>
      <c r="AAR61" s="645"/>
      <c r="AAS61" s="646"/>
      <c r="AAT61" s="645"/>
      <c r="AAU61" s="646"/>
      <c r="AAV61" s="645"/>
      <c r="AAW61" s="646"/>
      <c r="AAX61" s="645"/>
      <c r="AAY61" s="646"/>
      <c r="AAZ61" s="645"/>
      <c r="ABA61" s="646"/>
      <c r="ABB61" s="645"/>
      <c r="ABC61" s="646"/>
      <c r="ABD61" s="645"/>
      <c r="ABE61" s="646"/>
      <c r="ABF61" s="645"/>
      <c r="ABG61" s="646"/>
      <c r="ABH61" s="645"/>
      <c r="ABI61" s="646"/>
      <c r="ABJ61" s="645"/>
      <c r="ABK61" s="646"/>
      <c r="ABL61" s="645"/>
      <c r="ABM61" s="646"/>
      <c r="ABN61" s="645"/>
      <c r="ABO61" s="646"/>
      <c r="ABP61" s="645"/>
      <c r="ABQ61" s="646"/>
      <c r="ABR61" s="645"/>
      <c r="ABS61" s="646"/>
      <c r="ABT61" s="645"/>
      <c r="ABU61" s="646"/>
      <c r="ABV61" s="645"/>
      <c r="ABW61" s="646"/>
      <c r="ABX61" s="645"/>
      <c r="ABY61" s="646"/>
      <c r="ABZ61" s="645"/>
      <c r="ACA61" s="646"/>
      <c r="ACB61" s="645"/>
      <c r="ACC61" s="646"/>
      <c r="ACD61" s="645"/>
      <c r="ACE61" s="646"/>
      <c r="ACF61" s="645"/>
      <c r="ACG61" s="646"/>
      <c r="ACH61" s="645"/>
      <c r="ACI61" s="646"/>
      <c r="ACJ61" s="645"/>
      <c r="ACK61" s="646"/>
      <c r="ACL61" s="645"/>
      <c r="ACM61" s="646"/>
      <c r="ACN61" s="645"/>
      <c r="ACO61" s="646"/>
      <c r="ACP61" s="645"/>
      <c r="ACQ61" s="646"/>
      <c r="ACR61" s="645"/>
      <c r="ACS61" s="646"/>
      <c r="ACT61" s="645"/>
      <c r="ACU61" s="646"/>
      <c r="ACV61" s="645"/>
      <c r="ACW61" s="646"/>
      <c r="ACX61" s="645"/>
      <c r="ACY61" s="646"/>
      <c r="ACZ61" s="645"/>
      <c r="ADA61" s="646"/>
      <c r="ADB61" s="645"/>
      <c r="ADC61" s="646"/>
      <c r="ADD61" s="645"/>
      <c r="ADE61" s="646"/>
      <c r="ADF61" s="645"/>
      <c r="ADG61" s="646"/>
      <c r="ADH61" s="645"/>
      <c r="ADI61" s="646"/>
      <c r="ADJ61" s="645"/>
      <c r="ADK61" s="646"/>
      <c r="ADL61" s="645"/>
      <c r="ADM61" s="646"/>
      <c r="ADN61" s="645"/>
      <c r="ADO61" s="646"/>
      <c r="ADP61" s="645"/>
      <c r="ADQ61" s="646"/>
      <c r="ADR61" s="645"/>
      <c r="ADS61" s="646"/>
      <c r="ADT61" s="645"/>
      <c r="ADU61" s="646"/>
      <c r="ADV61" s="645"/>
      <c r="ADW61" s="646"/>
      <c r="ADX61" s="645"/>
      <c r="ADY61" s="646"/>
      <c r="ADZ61" s="645"/>
      <c r="AEA61" s="646"/>
      <c r="AEB61" s="645"/>
      <c r="AEC61" s="646"/>
      <c r="AED61" s="645"/>
      <c r="AEE61" s="646"/>
      <c r="AEF61" s="645"/>
      <c r="AEG61" s="646"/>
      <c r="AEH61" s="645"/>
      <c r="AEI61" s="646"/>
      <c r="AEJ61" s="645"/>
      <c r="AEK61" s="646"/>
      <c r="AEL61" s="645"/>
      <c r="AEM61" s="646"/>
      <c r="AEN61" s="645"/>
      <c r="AEO61" s="646"/>
      <c r="AEP61" s="645"/>
      <c r="AEQ61" s="646"/>
      <c r="AER61" s="645"/>
      <c r="AES61" s="646"/>
      <c r="AET61" s="645"/>
      <c r="AEU61" s="646"/>
      <c r="AEV61" s="645"/>
      <c r="AEW61" s="646"/>
      <c r="AEX61" s="645"/>
      <c r="AEY61" s="646"/>
      <c r="AEZ61" s="645"/>
      <c r="AFA61" s="646"/>
      <c r="AFB61" s="645"/>
      <c r="AFC61" s="646"/>
      <c r="AFD61" s="645"/>
      <c r="AFE61" s="646"/>
      <c r="AFF61" s="645"/>
      <c r="AFG61" s="646"/>
      <c r="AFH61" s="645"/>
      <c r="AFI61" s="646"/>
      <c r="AFJ61" s="645"/>
      <c r="AFK61" s="646"/>
      <c r="AFL61" s="645"/>
      <c r="AFM61" s="646"/>
      <c r="AFN61" s="645"/>
      <c r="AFO61" s="646"/>
      <c r="AFP61" s="645"/>
      <c r="AFQ61" s="646"/>
      <c r="AFR61" s="645"/>
      <c r="AFS61" s="646"/>
      <c r="AFT61" s="645"/>
      <c r="AFU61" s="646"/>
      <c r="AFV61" s="645"/>
      <c r="AFW61" s="646"/>
      <c r="AFX61" s="645"/>
      <c r="AFY61" s="646"/>
      <c r="AFZ61" s="645"/>
      <c r="AGA61" s="646"/>
      <c r="AGB61" s="645"/>
      <c r="AGC61" s="646"/>
      <c r="AGD61" s="645"/>
      <c r="AGE61" s="646"/>
      <c r="AGF61" s="645"/>
      <c r="AGG61" s="646"/>
      <c r="AGH61" s="645"/>
      <c r="AGI61" s="646"/>
      <c r="AGJ61" s="645"/>
      <c r="AGK61" s="646"/>
      <c r="AGL61" s="645"/>
      <c r="AGM61" s="646"/>
      <c r="AGN61" s="645"/>
      <c r="AGO61" s="646"/>
      <c r="AGP61" s="645"/>
      <c r="AGQ61" s="646"/>
      <c r="AGR61" s="645"/>
      <c r="AGS61" s="646"/>
      <c r="AGT61" s="645"/>
      <c r="AGU61" s="646"/>
      <c r="AGV61" s="645"/>
      <c r="AGW61" s="646"/>
      <c r="AGX61" s="645"/>
      <c r="AGY61" s="646"/>
      <c r="AGZ61" s="645"/>
      <c r="AHA61" s="646"/>
      <c r="AHB61" s="645"/>
      <c r="AHC61" s="646"/>
      <c r="AHD61" s="645"/>
      <c r="AHE61" s="646"/>
      <c r="AHF61" s="645"/>
      <c r="AHG61" s="646"/>
      <c r="AHH61" s="645"/>
      <c r="AHI61" s="646"/>
      <c r="AHJ61" s="645"/>
      <c r="AHK61" s="646"/>
      <c r="AHL61" s="645"/>
      <c r="AHM61" s="646"/>
      <c r="AHN61" s="645"/>
      <c r="AHO61" s="646"/>
      <c r="AHP61" s="645"/>
      <c r="AHQ61" s="646"/>
      <c r="AHR61" s="645"/>
      <c r="AHS61" s="646"/>
      <c r="AHT61" s="645"/>
      <c r="AHU61" s="646"/>
      <c r="AHV61" s="645"/>
      <c r="AHW61" s="646"/>
      <c r="AHX61" s="645"/>
      <c r="AHY61" s="646"/>
      <c r="AHZ61" s="645"/>
      <c r="AIA61" s="646"/>
      <c r="AIB61" s="645"/>
      <c r="AIC61" s="646"/>
      <c r="AID61" s="645"/>
      <c r="AIE61" s="646"/>
      <c r="AIF61" s="645"/>
      <c r="AIG61" s="646"/>
      <c r="AIH61" s="645"/>
      <c r="AII61" s="646"/>
      <c r="AIJ61" s="645"/>
      <c r="AIK61" s="646"/>
      <c r="AIL61" s="645"/>
      <c r="AIM61" s="646"/>
      <c r="AIN61" s="645"/>
      <c r="AIO61" s="646"/>
      <c r="AIP61" s="645"/>
      <c r="AIQ61" s="645"/>
      <c r="AIR61" s="645"/>
      <c r="AIS61" s="645"/>
      <c r="AIT61" s="645"/>
      <c r="AIU61" s="645"/>
      <c r="AIV61" s="645"/>
      <c r="AIW61" s="645"/>
      <c r="AIX61" s="645"/>
      <c r="AIY61" s="645"/>
      <c r="AIZ61" s="645"/>
      <c r="AJA61" s="645"/>
      <c r="AJB61" s="645"/>
      <c r="AJC61" s="645"/>
      <c r="AJD61" s="645"/>
      <c r="AJE61" s="645"/>
      <c r="AJF61" s="645"/>
      <c r="AJG61" s="645"/>
      <c r="AJH61" s="645"/>
      <c r="AJI61" s="645"/>
      <c r="AJJ61" s="645"/>
      <c r="AJK61" s="645"/>
      <c r="AJL61" s="645"/>
      <c r="AJM61" s="645"/>
      <c r="AJN61" s="645"/>
      <c r="AJO61" s="645"/>
      <c r="AJP61" s="645"/>
      <c r="AJQ61" s="645"/>
      <c r="AJR61" s="645"/>
      <c r="AJS61" s="645"/>
      <c r="AJT61" s="645"/>
      <c r="AJU61" s="645"/>
      <c r="AJV61" s="645"/>
      <c r="AJW61" s="645"/>
      <c r="AJX61" s="645"/>
      <c r="AJY61" s="645"/>
      <c r="AJZ61" s="645"/>
      <c r="AKA61" s="645"/>
      <c r="AKB61" s="645"/>
      <c r="AKC61" s="645"/>
      <c r="AKD61" s="645"/>
      <c r="AKE61" s="645"/>
      <c r="AKF61" s="645"/>
      <c r="AKG61" s="645"/>
      <c r="AKH61" s="645"/>
      <c r="AKI61" s="645"/>
      <c r="AKJ61" s="645"/>
      <c r="AKK61" s="645"/>
      <c r="AKL61" s="645"/>
      <c r="AKM61" s="645"/>
      <c r="AKN61" s="645"/>
      <c r="AKO61" s="645"/>
      <c r="AKP61" s="645"/>
      <c r="AKQ61" s="645"/>
      <c r="AKR61" s="645"/>
      <c r="AKS61" s="645"/>
      <c r="AKT61" s="645"/>
      <c r="AKU61" s="645"/>
      <c r="AKV61" s="645"/>
      <c r="AKW61" s="645"/>
      <c r="AKX61" s="645"/>
      <c r="AKY61" s="645"/>
      <c r="AKZ61" s="645"/>
      <c r="ALA61" s="645"/>
      <c r="ALB61" s="645"/>
      <c r="ALC61" s="645"/>
      <c r="ALD61" s="645"/>
      <c r="ALE61" s="645"/>
      <c r="ALF61" s="645"/>
      <c r="ALG61" s="645"/>
      <c r="ALH61" s="645"/>
      <c r="ALI61" s="645"/>
      <c r="ALJ61" s="645"/>
      <c r="ALK61" s="645"/>
      <c r="ALL61" s="645"/>
      <c r="ALM61" s="645"/>
      <c r="ALN61" s="645"/>
      <c r="ALO61" s="645"/>
      <c r="ALP61" s="645"/>
      <c r="ALQ61" s="645"/>
      <c r="ALR61" s="645"/>
      <c r="ALS61" s="645"/>
      <c r="ALT61" s="645"/>
      <c r="ALU61" s="645"/>
      <c r="ALV61" s="645"/>
      <c r="ALW61" s="645"/>
      <c r="ALX61" s="645"/>
      <c r="ALY61" s="645"/>
      <c r="ALZ61" s="645"/>
      <c r="AMA61" s="645"/>
      <c r="AMB61" s="645"/>
      <c r="AMC61" s="645"/>
      <c r="AMD61" s="645"/>
      <c r="AME61" s="645"/>
      <c r="AMF61" s="645"/>
      <c r="AMG61" s="645"/>
      <c r="AMH61" s="645"/>
      <c r="AMI61" s="645"/>
      <c r="AMJ61" s="645"/>
    </row>
    <row r="62" spans="1:1024" s="37" customFormat="1" ht="15.75" customHeight="1" x14ac:dyDescent="0.35">
      <c r="A62" s="600"/>
      <c r="B62" s="644" t="s">
        <v>317</v>
      </c>
      <c r="C62" s="645"/>
      <c r="D62" s="646"/>
      <c r="E62" s="645"/>
      <c r="F62" s="646"/>
      <c r="G62" s="647" t="s">
        <v>243</v>
      </c>
      <c r="H62" s="643"/>
      <c r="I62" s="645"/>
      <c r="J62" s="38"/>
      <c r="K62" s="38"/>
      <c r="L62" s="39"/>
      <c r="M62" s="38"/>
      <c r="N62" s="39"/>
      <c r="O62" s="38"/>
      <c r="P62" s="39"/>
      <c r="Q62" s="38"/>
      <c r="R62" s="39"/>
      <c r="S62" s="38"/>
      <c r="T62" s="39"/>
      <c r="U62" s="38"/>
      <c r="V62" s="39"/>
      <c r="W62" s="38"/>
      <c r="X62" s="39"/>
      <c r="Y62" s="38"/>
      <c r="Z62" s="39"/>
      <c r="AA62" s="38"/>
      <c r="AB62" s="39"/>
      <c r="AC62" s="38"/>
      <c r="AD62" s="39"/>
      <c r="AE62" s="38"/>
      <c r="AF62" s="39"/>
      <c r="AG62" s="38"/>
      <c r="AH62" s="39"/>
      <c r="AI62" s="38"/>
      <c r="AJ62" s="39"/>
      <c r="AK62" s="40"/>
      <c r="AL62" s="39"/>
      <c r="AM62" s="40"/>
      <c r="AN62" s="39"/>
      <c r="AO62" s="40"/>
      <c r="AP62" s="39"/>
      <c r="AQ62" s="40"/>
      <c r="AR62" s="39"/>
      <c r="AS62" s="40"/>
      <c r="AT62" s="39"/>
      <c r="AU62" s="40"/>
      <c r="AV62" s="39"/>
      <c r="AW62" s="40"/>
      <c r="AX62" s="39"/>
      <c r="AY62" s="40"/>
      <c r="AZ62" s="39"/>
      <c r="BA62" s="40"/>
      <c r="BB62" s="39"/>
      <c r="BC62" s="40"/>
      <c r="BD62" s="39"/>
      <c r="BE62" s="40"/>
      <c r="BF62" s="39"/>
      <c r="BG62" s="40"/>
      <c r="BH62" s="39"/>
      <c r="BI62" s="40"/>
      <c r="BJ62" s="39"/>
      <c r="BK62" s="40"/>
      <c r="BL62" s="39"/>
      <c r="BM62" s="40"/>
      <c r="BN62" s="39"/>
      <c r="BO62" s="40"/>
      <c r="BP62" s="39"/>
      <c r="BQ62" s="40"/>
      <c r="BR62" s="39"/>
      <c r="BS62" s="40"/>
      <c r="BT62" s="39"/>
      <c r="BU62" s="40"/>
      <c r="BV62" s="39"/>
      <c r="BW62" s="40"/>
      <c r="BX62" s="39"/>
      <c r="BY62" s="40"/>
      <c r="BZ62" s="39"/>
      <c r="CA62" s="40"/>
      <c r="CB62" s="39"/>
      <c r="CC62" s="40"/>
      <c r="CD62" s="39"/>
      <c r="CE62" s="40"/>
      <c r="CF62" s="39"/>
      <c r="CG62" s="40"/>
      <c r="CH62" s="39"/>
      <c r="CI62" s="40"/>
      <c r="CJ62" s="39"/>
      <c r="CK62" s="40"/>
      <c r="CL62" s="39"/>
      <c r="CM62" s="40"/>
      <c r="CN62" s="39"/>
      <c r="CO62" s="40"/>
      <c r="CP62" s="39"/>
      <c r="CQ62" s="40"/>
      <c r="CR62" s="39"/>
      <c r="CS62" s="40"/>
      <c r="CT62" s="39"/>
      <c r="CU62" s="40"/>
      <c r="CV62" s="39"/>
      <c r="CW62" s="40"/>
      <c r="CX62" s="39"/>
      <c r="CY62" s="40"/>
      <c r="CZ62" s="39"/>
      <c r="DA62" s="40"/>
      <c r="DB62" s="39"/>
      <c r="DC62" s="40"/>
      <c r="DD62" s="39"/>
      <c r="DE62" s="40"/>
      <c r="DF62" s="39"/>
      <c r="DG62" s="40"/>
      <c r="DH62" s="39"/>
      <c r="DI62" s="40"/>
      <c r="DJ62" s="39"/>
      <c r="DK62" s="40"/>
      <c r="DL62" s="39"/>
      <c r="DM62" s="40"/>
      <c r="DN62" s="39"/>
      <c r="DO62" s="40"/>
      <c r="DP62" s="39"/>
      <c r="DQ62" s="40"/>
      <c r="DR62" s="39"/>
      <c r="DS62" s="40"/>
      <c r="DT62" s="39"/>
      <c r="DU62" s="40"/>
      <c r="DV62" s="39"/>
      <c r="DW62" s="40"/>
      <c r="DX62" s="39"/>
      <c r="DY62" s="40"/>
      <c r="DZ62" s="39"/>
      <c r="EA62" s="40"/>
      <c r="EB62" s="39"/>
      <c r="EC62" s="40"/>
      <c r="ED62" s="39"/>
      <c r="EE62" s="40"/>
      <c r="EF62" s="39"/>
      <c r="EG62" s="40"/>
      <c r="EH62" s="39"/>
      <c r="EI62" s="40"/>
      <c r="EJ62" s="39"/>
      <c r="EK62" s="40"/>
      <c r="EL62" s="39"/>
      <c r="EM62" s="40"/>
      <c r="EN62" s="39"/>
      <c r="EO62" s="40"/>
      <c r="EP62" s="39"/>
      <c r="EQ62" s="40"/>
      <c r="ER62" s="39"/>
      <c r="ES62" s="40"/>
      <c r="ET62" s="39"/>
      <c r="EU62" s="40"/>
      <c r="EV62" s="39"/>
      <c r="EW62" s="40"/>
      <c r="EX62" s="39"/>
      <c r="EY62" s="40"/>
      <c r="EZ62" s="39"/>
      <c r="FA62" s="40"/>
      <c r="FB62" s="39"/>
      <c r="FC62" s="40"/>
      <c r="FD62" s="39"/>
      <c r="FE62" s="40"/>
      <c r="FF62" s="39"/>
      <c r="FG62" s="40"/>
      <c r="FH62" s="39"/>
      <c r="FI62" s="40"/>
      <c r="FJ62" s="39"/>
      <c r="FK62" s="40"/>
      <c r="FL62" s="39"/>
      <c r="FM62" s="40"/>
      <c r="FN62" s="39"/>
      <c r="FO62" s="40"/>
      <c r="FP62" s="39"/>
      <c r="FQ62" s="40"/>
      <c r="FR62" s="39"/>
      <c r="FS62" s="40"/>
      <c r="FT62" s="39"/>
      <c r="FU62" s="40"/>
      <c r="FV62" s="39"/>
      <c r="FW62" s="40"/>
      <c r="FX62" s="39"/>
      <c r="FY62" s="40"/>
      <c r="FZ62" s="39"/>
      <c r="GA62" s="40"/>
      <c r="GB62" s="39"/>
      <c r="GC62" s="40"/>
      <c r="GD62" s="39"/>
      <c r="GE62" s="40"/>
      <c r="GF62" s="39"/>
      <c r="GG62" s="40"/>
      <c r="GH62" s="39"/>
      <c r="GI62" s="40"/>
      <c r="GJ62" s="39"/>
      <c r="GK62" s="40"/>
      <c r="GL62" s="39"/>
      <c r="GM62" s="40"/>
      <c r="GN62" s="39"/>
      <c r="GO62" s="40"/>
      <c r="GP62" s="39"/>
      <c r="GQ62" s="40"/>
      <c r="GR62" s="39"/>
      <c r="GS62" s="40"/>
      <c r="GT62" s="39"/>
      <c r="GU62" s="40"/>
      <c r="GV62" s="39"/>
      <c r="GW62" s="40"/>
      <c r="GX62" s="39"/>
      <c r="GY62" s="40"/>
      <c r="GZ62" s="39"/>
      <c r="HA62" s="40"/>
      <c r="HB62" s="39"/>
      <c r="HC62" s="40"/>
      <c r="HD62" s="39"/>
      <c r="HE62" s="40"/>
      <c r="HF62" s="39"/>
      <c r="HG62" s="40"/>
      <c r="HH62" s="39"/>
      <c r="HI62" s="40"/>
      <c r="HJ62" s="39"/>
      <c r="HK62" s="40"/>
      <c r="HL62" s="39"/>
      <c r="HM62" s="40"/>
      <c r="HN62" s="39"/>
      <c r="HO62" s="40"/>
      <c r="HP62" s="39"/>
      <c r="HQ62" s="40"/>
      <c r="HR62" s="39"/>
      <c r="HS62" s="40"/>
      <c r="HT62" s="39"/>
      <c r="HU62" s="40"/>
      <c r="HV62" s="39"/>
      <c r="HW62" s="40"/>
      <c r="HX62" s="39"/>
      <c r="HY62" s="40"/>
      <c r="HZ62" s="39"/>
      <c r="IA62" s="40"/>
      <c r="IB62" s="39"/>
      <c r="IC62" s="1068"/>
      <c r="ID62" s="645"/>
      <c r="IE62" s="646"/>
      <c r="IF62" s="645"/>
      <c r="IG62" s="646"/>
      <c r="IH62" s="645"/>
      <c r="II62" s="646"/>
      <c r="IJ62" s="645"/>
      <c r="IK62" s="646"/>
      <c r="IL62" s="645"/>
      <c r="IM62" s="646"/>
      <c r="IN62" s="645"/>
      <c r="IO62" s="646"/>
      <c r="IP62" s="645"/>
      <c r="IQ62" s="646"/>
      <c r="IR62" s="645"/>
      <c r="IS62" s="646"/>
      <c r="IT62" s="645"/>
      <c r="IU62" s="646"/>
      <c r="IV62" s="645"/>
      <c r="IW62" s="646"/>
      <c r="IX62" s="645"/>
      <c r="IY62" s="646"/>
      <c r="IZ62" s="645"/>
      <c r="JA62" s="646"/>
      <c r="JB62" s="645"/>
      <c r="JC62" s="646"/>
      <c r="JD62" s="645"/>
      <c r="JE62" s="646"/>
      <c r="JF62" s="645"/>
      <c r="JG62" s="646"/>
      <c r="JH62" s="645"/>
      <c r="JI62" s="646"/>
      <c r="JJ62" s="645"/>
      <c r="JK62" s="646"/>
      <c r="JL62" s="645"/>
      <c r="JM62" s="646"/>
      <c r="JN62" s="645"/>
      <c r="JO62" s="646"/>
      <c r="JP62" s="645"/>
      <c r="JQ62" s="646"/>
      <c r="JR62" s="645"/>
      <c r="JS62" s="646"/>
      <c r="JT62" s="645"/>
      <c r="JU62" s="646"/>
      <c r="JV62" s="645"/>
      <c r="JW62" s="646"/>
      <c r="JX62" s="645"/>
      <c r="JY62" s="646"/>
      <c r="JZ62" s="645"/>
      <c r="KA62" s="646"/>
      <c r="KB62" s="645"/>
      <c r="KC62" s="646"/>
      <c r="KD62" s="645"/>
      <c r="KE62" s="646"/>
      <c r="KF62" s="645"/>
      <c r="KG62" s="646"/>
      <c r="KH62" s="645"/>
      <c r="KI62" s="646"/>
      <c r="KJ62" s="645"/>
      <c r="KK62" s="646"/>
      <c r="KL62" s="645"/>
      <c r="KM62" s="646"/>
      <c r="KN62" s="645"/>
      <c r="KO62" s="646"/>
      <c r="KP62" s="645"/>
      <c r="KQ62" s="646"/>
      <c r="KR62" s="645"/>
      <c r="KS62" s="646"/>
      <c r="KT62" s="645"/>
      <c r="KU62" s="646"/>
      <c r="KV62" s="645"/>
      <c r="KW62" s="646"/>
      <c r="KX62" s="645"/>
      <c r="KY62" s="646"/>
      <c r="KZ62" s="645"/>
      <c r="LA62" s="646"/>
      <c r="LB62" s="645"/>
      <c r="LC62" s="646"/>
      <c r="LD62" s="645"/>
      <c r="LE62" s="646"/>
      <c r="LF62" s="645"/>
      <c r="LG62" s="646"/>
      <c r="LH62" s="645"/>
      <c r="LI62" s="646"/>
      <c r="LJ62" s="645"/>
      <c r="LK62" s="646"/>
      <c r="LL62" s="645"/>
      <c r="LM62" s="646"/>
      <c r="LN62" s="645"/>
      <c r="LO62" s="646"/>
      <c r="LP62" s="645"/>
      <c r="LQ62" s="646"/>
      <c r="LR62" s="645"/>
      <c r="LS62" s="646"/>
      <c r="LT62" s="645"/>
      <c r="LU62" s="646"/>
      <c r="LV62" s="645"/>
      <c r="LW62" s="646"/>
      <c r="LX62" s="645"/>
      <c r="LY62" s="646"/>
      <c r="LZ62" s="645"/>
      <c r="MA62" s="646"/>
      <c r="MB62" s="645"/>
      <c r="MC62" s="646"/>
      <c r="MD62" s="645"/>
      <c r="ME62" s="646"/>
      <c r="MF62" s="645"/>
      <c r="MG62" s="646"/>
      <c r="MH62" s="645"/>
      <c r="MI62" s="646"/>
      <c r="MJ62" s="645"/>
      <c r="MK62" s="646"/>
      <c r="ML62" s="645"/>
      <c r="MM62" s="646"/>
      <c r="MN62" s="645"/>
      <c r="MO62" s="646"/>
      <c r="MP62" s="645"/>
      <c r="MQ62" s="646"/>
      <c r="MR62" s="645"/>
      <c r="MS62" s="646"/>
      <c r="MT62" s="645"/>
      <c r="MU62" s="646"/>
      <c r="MV62" s="645"/>
      <c r="MW62" s="646"/>
      <c r="MX62" s="645"/>
      <c r="MY62" s="646"/>
      <c r="MZ62" s="645"/>
      <c r="NA62" s="646"/>
      <c r="NB62" s="645"/>
      <c r="NC62" s="646"/>
      <c r="ND62" s="645"/>
      <c r="NE62" s="646"/>
      <c r="NF62" s="645"/>
      <c r="NG62" s="646"/>
      <c r="NH62" s="645"/>
      <c r="NI62" s="646"/>
      <c r="NJ62" s="645"/>
      <c r="NK62" s="646"/>
      <c r="NL62" s="645"/>
      <c r="NM62" s="646"/>
      <c r="NN62" s="645"/>
      <c r="NO62" s="646"/>
      <c r="NP62" s="645"/>
      <c r="NQ62" s="646"/>
      <c r="NR62" s="645"/>
      <c r="NS62" s="646"/>
      <c r="NT62" s="645"/>
      <c r="NU62" s="646"/>
      <c r="NV62" s="645"/>
      <c r="NW62" s="646"/>
      <c r="NX62" s="645"/>
      <c r="NY62" s="646"/>
      <c r="NZ62" s="645"/>
      <c r="OA62" s="646"/>
      <c r="OB62" s="645"/>
      <c r="OC62" s="646"/>
      <c r="OD62" s="645"/>
      <c r="OE62" s="646"/>
      <c r="OF62" s="645"/>
      <c r="OG62" s="646"/>
      <c r="OH62" s="645"/>
      <c r="OI62" s="646"/>
      <c r="OJ62" s="645"/>
      <c r="OK62" s="646"/>
      <c r="OL62" s="645"/>
      <c r="OM62" s="646"/>
      <c r="ON62" s="645"/>
      <c r="OO62" s="646"/>
      <c r="OP62" s="645"/>
      <c r="OQ62" s="646"/>
      <c r="OR62" s="645"/>
      <c r="OS62" s="646"/>
      <c r="OT62" s="645"/>
      <c r="OU62" s="646"/>
      <c r="OV62" s="645"/>
      <c r="OW62" s="646"/>
      <c r="OX62" s="645"/>
      <c r="OY62" s="646"/>
      <c r="OZ62" s="645"/>
      <c r="PA62" s="646"/>
      <c r="PB62" s="645"/>
      <c r="PC62" s="646"/>
      <c r="PD62" s="645"/>
      <c r="PE62" s="646"/>
      <c r="PF62" s="645"/>
      <c r="PG62" s="646"/>
      <c r="PH62" s="645"/>
      <c r="PI62" s="646"/>
      <c r="PJ62" s="645"/>
      <c r="PK62" s="646"/>
      <c r="PL62" s="645"/>
      <c r="PM62" s="646"/>
      <c r="PN62" s="645"/>
      <c r="PO62" s="646"/>
      <c r="PP62" s="645"/>
      <c r="PQ62" s="646"/>
      <c r="PR62" s="645"/>
      <c r="PS62" s="646"/>
      <c r="PT62" s="645"/>
      <c r="PU62" s="646"/>
      <c r="PV62" s="645"/>
      <c r="PW62" s="646"/>
      <c r="PX62" s="645"/>
      <c r="PY62" s="646"/>
      <c r="PZ62" s="645"/>
      <c r="QA62" s="646"/>
      <c r="QB62" s="645"/>
      <c r="QC62" s="646"/>
      <c r="QD62" s="645"/>
      <c r="QE62" s="646"/>
      <c r="QF62" s="645"/>
      <c r="QG62" s="646"/>
      <c r="QH62" s="645"/>
      <c r="QI62" s="646"/>
      <c r="QJ62" s="645"/>
      <c r="QK62" s="646"/>
      <c r="QL62" s="645"/>
      <c r="QM62" s="646"/>
      <c r="QN62" s="645"/>
      <c r="QO62" s="646"/>
      <c r="QP62" s="645"/>
      <c r="QQ62" s="646"/>
      <c r="QR62" s="645"/>
      <c r="QS62" s="646"/>
      <c r="QT62" s="645"/>
      <c r="QU62" s="646"/>
      <c r="QV62" s="645"/>
      <c r="QW62" s="646"/>
      <c r="QX62" s="645"/>
      <c r="QY62" s="646"/>
      <c r="QZ62" s="645"/>
      <c r="RA62" s="646"/>
      <c r="RB62" s="645"/>
      <c r="RC62" s="646"/>
      <c r="RD62" s="645"/>
      <c r="RE62" s="646"/>
      <c r="RF62" s="645"/>
      <c r="RG62" s="646"/>
      <c r="RH62" s="645"/>
      <c r="RI62" s="646"/>
      <c r="RJ62" s="645"/>
      <c r="RK62" s="646"/>
      <c r="RL62" s="645"/>
      <c r="RM62" s="646"/>
      <c r="RN62" s="645"/>
      <c r="RO62" s="646"/>
      <c r="RP62" s="645"/>
      <c r="RQ62" s="646"/>
      <c r="RR62" s="645"/>
      <c r="RS62" s="646"/>
      <c r="RT62" s="645"/>
      <c r="RU62" s="646"/>
      <c r="RV62" s="645"/>
      <c r="RW62" s="646"/>
      <c r="RX62" s="645"/>
      <c r="RY62" s="646"/>
      <c r="RZ62" s="645"/>
      <c r="SA62" s="646"/>
      <c r="SB62" s="645"/>
      <c r="SC62" s="646"/>
      <c r="SD62" s="645"/>
      <c r="SE62" s="646"/>
      <c r="SF62" s="645"/>
      <c r="SG62" s="646"/>
      <c r="SH62" s="645"/>
      <c r="SI62" s="646"/>
      <c r="SJ62" s="645"/>
      <c r="SK62" s="646"/>
      <c r="SL62" s="645"/>
      <c r="SM62" s="646"/>
      <c r="SN62" s="645"/>
      <c r="SO62" s="646"/>
      <c r="SP62" s="645"/>
      <c r="SQ62" s="646"/>
      <c r="SR62" s="645"/>
      <c r="SS62" s="646"/>
      <c r="ST62" s="645"/>
      <c r="SU62" s="646"/>
      <c r="SV62" s="645"/>
      <c r="SW62" s="646"/>
      <c r="SX62" s="645"/>
      <c r="SY62" s="646"/>
      <c r="SZ62" s="645"/>
      <c r="TA62" s="646"/>
      <c r="TB62" s="645"/>
      <c r="TC62" s="646"/>
      <c r="TD62" s="645"/>
      <c r="TE62" s="646"/>
      <c r="TF62" s="645"/>
      <c r="TG62" s="646"/>
      <c r="TH62" s="645"/>
      <c r="TI62" s="646"/>
      <c r="TJ62" s="645"/>
      <c r="TK62" s="646"/>
      <c r="TL62" s="645"/>
      <c r="TM62" s="646"/>
      <c r="TN62" s="645"/>
      <c r="TO62" s="646"/>
      <c r="TP62" s="645"/>
      <c r="TQ62" s="646"/>
      <c r="TR62" s="645"/>
      <c r="TS62" s="646"/>
      <c r="TT62" s="645"/>
      <c r="TU62" s="646"/>
      <c r="TV62" s="645"/>
      <c r="TW62" s="646"/>
      <c r="TX62" s="645"/>
      <c r="TY62" s="646"/>
      <c r="TZ62" s="645"/>
      <c r="UA62" s="646"/>
      <c r="UB62" s="645"/>
      <c r="UC62" s="646"/>
      <c r="UD62" s="645"/>
      <c r="UE62" s="646"/>
      <c r="UF62" s="645"/>
      <c r="UG62" s="646"/>
      <c r="UH62" s="645"/>
      <c r="UI62" s="646"/>
      <c r="UJ62" s="645"/>
      <c r="UK62" s="646"/>
      <c r="UL62" s="645"/>
      <c r="UM62" s="646"/>
      <c r="UN62" s="645"/>
      <c r="UO62" s="646"/>
      <c r="UP62" s="645"/>
      <c r="UQ62" s="646"/>
      <c r="UR62" s="645"/>
      <c r="US62" s="646"/>
      <c r="UT62" s="645"/>
      <c r="UU62" s="646"/>
      <c r="UV62" s="645"/>
      <c r="UW62" s="646"/>
      <c r="UX62" s="645"/>
      <c r="UY62" s="646"/>
      <c r="UZ62" s="645"/>
      <c r="VA62" s="646"/>
      <c r="VB62" s="645"/>
      <c r="VC62" s="646"/>
      <c r="VD62" s="645"/>
      <c r="VE62" s="646"/>
      <c r="VF62" s="645"/>
      <c r="VG62" s="646"/>
      <c r="VH62" s="645"/>
      <c r="VI62" s="646"/>
      <c r="VJ62" s="645"/>
      <c r="VK62" s="646"/>
      <c r="VL62" s="645"/>
      <c r="VM62" s="646"/>
      <c r="VN62" s="645"/>
      <c r="VO62" s="646"/>
      <c r="VP62" s="645"/>
      <c r="VQ62" s="646"/>
      <c r="VR62" s="645"/>
      <c r="VS62" s="646"/>
      <c r="VT62" s="645"/>
      <c r="VU62" s="646"/>
      <c r="VV62" s="645"/>
      <c r="VW62" s="646"/>
      <c r="VX62" s="645"/>
      <c r="VY62" s="646"/>
      <c r="VZ62" s="645"/>
      <c r="WA62" s="646"/>
      <c r="WB62" s="645"/>
      <c r="WC62" s="646"/>
      <c r="WD62" s="645"/>
      <c r="WE62" s="646"/>
      <c r="WF62" s="645"/>
      <c r="WG62" s="646"/>
      <c r="WH62" s="645"/>
      <c r="WI62" s="646"/>
      <c r="WJ62" s="645"/>
      <c r="WK62" s="646"/>
      <c r="WL62" s="645"/>
      <c r="WM62" s="646"/>
      <c r="WN62" s="645"/>
      <c r="WO62" s="646"/>
      <c r="WP62" s="645"/>
      <c r="WQ62" s="646"/>
      <c r="WR62" s="645"/>
      <c r="WS62" s="646"/>
      <c r="WT62" s="645"/>
      <c r="WU62" s="646"/>
      <c r="WV62" s="645"/>
      <c r="WW62" s="646"/>
      <c r="WX62" s="645"/>
      <c r="WY62" s="646"/>
      <c r="WZ62" s="645"/>
      <c r="XA62" s="646"/>
      <c r="XB62" s="645"/>
      <c r="XC62" s="646"/>
      <c r="XD62" s="645"/>
      <c r="XE62" s="646"/>
      <c r="XF62" s="645"/>
      <c r="XG62" s="646"/>
      <c r="XH62" s="645"/>
      <c r="XI62" s="646"/>
      <c r="XJ62" s="645"/>
      <c r="XK62" s="646"/>
      <c r="XL62" s="645"/>
      <c r="XM62" s="646"/>
      <c r="XN62" s="645"/>
      <c r="XO62" s="646"/>
      <c r="XP62" s="645"/>
      <c r="XQ62" s="646"/>
      <c r="XR62" s="645"/>
      <c r="XS62" s="646"/>
      <c r="XT62" s="645"/>
      <c r="XU62" s="646"/>
      <c r="XV62" s="645"/>
      <c r="XW62" s="646"/>
      <c r="XX62" s="645"/>
      <c r="XY62" s="646"/>
      <c r="XZ62" s="645"/>
      <c r="YA62" s="646"/>
      <c r="YB62" s="645"/>
      <c r="YC62" s="646"/>
      <c r="YD62" s="645"/>
      <c r="YE62" s="646"/>
      <c r="YF62" s="645"/>
      <c r="YG62" s="646"/>
      <c r="YH62" s="645"/>
      <c r="YI62" s="646"/>
      <c r="YJ62" s="645"/>
      <c r="YK62" s="646"/>
      <c r="YL62" s="645"/>
      <c r="YM62" s="646"/>
      <c r="YN62" s="645"/>
      <c r="YO62" s="646"/>
      <c r="YP62" s="645"/>
      <c r="YQ62" s="646"/>
      <c r="YR62" s="645"/>
      <c r="YS62" s="646"/>
      <c r="YT62" s="645"/>
      <c r="YU62" s="646"/>
      <c r="YV62" s="645"/>
      <c r="YW62" s="646"/>
      <c r="YX62" s="645"/>
      <c r="YY62" s="646"/>
      <c r="YZ62" s="645"/>
      <c r="ZA62" s="646"/>
      <c r="ZB62" s="645"/>
      <c r="ZC62" s="646"/>
      <c r="ZD62" s="645"/>
      <c r="ZE62" s="646"/>
      <c r="ZF62" s="645"/>
      <c r="ZG62" s="646"/>
      <c r="ZH62" s="645"/>
      <c r="ZI62" s="646"/>
      <c r="ZJ62" s="645"/>
      <c r="ZK62" s="646"/>
      <c r="ZL62" s="645"/>
      <c r="ZM62" s="646"/>
      <c r="ZN62" s="645"/>
      <c r="ZO62" s="646"/>
      <c r="ZP62" s="645"/>
      <c r="ZQ62" s="646"/>
      <c r="ZR62" s="645"/>
      <c r="ZS62" s="646"/>
      <c r="ZT62" s="645"/>
      <c r="ZU62" s="646"/>
      <c r="ZV62" s="645"/>
      <c r="ZW62" s="646"/>
      <c r="ZX62" s="645"/>
      <c r="ZY62" s="646"/>
      <c r="ZZ62" s="645"/>
      <c r="AAA62" s="646"/>
      <c r="AAB62" s="645"/>
      <c r="AAC62" s="646"/>
      <c r="AAD62" s="645"/>
      <c r="AAE62" s="646"/>
      <c r="AAF62" s="645"/>
      <c r="AAG62" s="646"/>
      <c r="AAH62" s="645"/>
      <c r="AAI62" s="646"/>
      <c r="AAJ62" s="645"/>
      <c r="AAK62" s="646"/>
      <c r="AAL62" s="645"/>
      <c r="AAM62" s="646"/>
      <c r="AAN62" s="645"/>
      <c r="AAO62" s="646"/>
      <c r="AAP62" s="645"/>
      <c r="AAQ62" s="646"/>
      <c r="AAR62" s="645"/>
      <c r="AAS62" s="646"/>
      <c r="AAT62" s="645"/>
      <c r="AAU62" s="646"/>
      <c r="AAV62" s="645"/>
      <c r="AAW62" s="646"/>
      <c r="AAX62" s="645"/>
      <c r="AAY62" s="646"/>
      <c r="AAZ62" s="645"/>
      <c r="ABA62" s="646"/>
      <c r="ABB62" s="645"/>
      <c r="ABC62" s="646"/>
      <c r="ABD62" s="645"/>
      <c r="ABE62" s="646"/>
      <c r="ABF62" s="645"/>
      <c r="ABG62" s="646"/>
      <c r="ABH62" s="645"/>
      <c r="ABI62" s="646"/>
      <c r="ABJ62" s="645"/>
      <c r="ABK62" s="646"/>
      <c r="ABL62" s="645"/>
      <c r="ABM62" s="646"/>
      <c r="ABN62" s="645"/>
      <c r="ABO62" s="646"/>
      <c r="ABP62" s="645"/>
      <c r="ABQ62" s="646"/>
      <c r="ABR62" s="645"/>
      <c r="ABS62" s="646"/>
      <c r="ABT62" s="645"/>
      <c r="ABU62" s="646"/>
      <c r="ABV62" s="645"/>
      <c r="ABW62" s="646"/>
      <c r="ABX62" s="645"/>
      <c r="ABY62" s="646"/>
      <c r="ABZ62" s="645"/>
      <c r="ACA62" s="646"/>
      <c r="ACB62" s="645"/>
      <c r="ACC62" s="646"/>
      <c r="ACD62" s="645"/>
      <c r="ACE62" s="646"/>
      <c r="ACF62" s="645"/>
      <c r="ACG62" s="646"/>
      <c r="ACH62" s="645"/>
      <c r="ACI62" s="646"/>
      <c r="ACJ62" s="645"/>
      <c r="ACK62" s="646"/>
      <c r="ACL62" s="645"/>
      <c r="ACM62" s="646"/>
      <c r="ACN62" s="645"/>
      <c r="ACO62" s="646"/>
      <c r="ACP62" s="645"/>
      <c r="ACQ62" s="646"/>
      <c r="ACR62" s="645"/>
      <c r="ACS62" s="646"/>
      <c r="ACT62" s="645"/>
      <c r="ACU62" s="646"/>
      <c r="ACV62" s="645"/>
      <c r="ACW62" s="646"/>
      <c r="ACX62" s="645"/>
      <c r="ACY62" s="646"/>
      <c r="ACZ62" s="645"/>
      <c r="ADA62" s="646"/>
      <c r="ADB62" s="645"/>
      <c r="ADC62" s="646"/>
      <c r="ADD62" s="645"/>
      <c r="ADE62" s="646"/>
      <c r="ADF62" s="645"/>
      <c r="ADG62" s="646"/>
      <c r="ADH62" s="645"/>
      <c r="ADI62" s="646"/>
      <c r="ADJ62" s="645"/>
      <c r="ADK62" s="646"/>
      <c r="ADL62" s="645"/>
      <c r="ADM62" s="646"/>
      <c r="ADN62" s="645"/>
      <c r="ADO62" s="646"/>
      <c r="ADP62" s="645"/>
      <c r="ADQ62" s="646"/>
      <c r="ADR62" s="645"/>
      <c r="ADS62" s="646"/>
      <c r="ADT62" s="645"/>
      <c r="ADU62" s="646"/>
      <c r="ADV62" s="645"/>
      <c r="ADW62" s="646"/>
      <c r="ADX62" s="645"/>
      <c r="ADY62" s="646"/>
      <c r="ADZ62" s="645"/>
      <c r="AEA62" s="646"/>
      <c r="AEB62" s="645"/>
      <c r="AEC62" s="646"/>
      <c r="AED62" s="645"/>
      <c r="AEE62" s="646"/>
      <c r="AEF62" s="645"/>
      <c r="AEG62" s="646"/>
      <c r="AEH62" s="645"/>
      <c r="AEI62" s="646"/>
      <c r="AEJ62" s="645"/>
      <c r="AEK62" s="646"/>
      <c r="AEL62" s="645"/>
      <c r="AEM62" s="646"/>
      <c r="AEN62" s="645"/>
      <c r="AEO62" s="646"/>
      <c r="AEP62" s="645"/>
      <c r="AEQ62" s="646"/>
      <c r="AER62" s="645"/>
      <c r="AES62" s="646"/>
      <c r="AET62" s="645"/>
      <c r="AEU62" s="646"/>
      <c r="AEV62" s="645"/>
      <c r="AEW62" s="646"/>
      <c r="AEX62" s="645"/>
      <c r="AEY62" s="646"/>
      <c r="AEZ62" s="645"/>
      <c r="AFA62" s="646"/>
      <c r="AFB62" s="645"/>
      <c r="AFC62" s="646"/>
      <c r="AFD62" s="645"/>
      <c r="AFE62" s="646"/>
      <c r="AFF62" s="645"/>
      <c r="AFG62" s="646"/>
      <c r="AFH62" s="645"/>
      <c r="AFI62" s="646"/>
      <c r="AFJ62" s="645"/>
      <c r="AFK62" s="646"/>
      <c r="AFL62" s="645"/>
      <c r="AFM62" s="646"/>
      <c r="AFN62" s="645"/>
      <c r="AFO62" s="646"/>
      <c r="AFP62" s="645"/>
      <c r="AFQ62" s="646"/>
      <c r="AFR62" s="645"/>
      <c r="AFS62" s="646"/>
      <c r="AFT62" s="645"/>
      <c r="AFU62" s="646"/>
      <c r="AFV62" s="645"/>
      <c r="AFW62" s="646"/>
      <c r="AFX62" s="645"/>
      <c r="AFY62" s="646"/>
      <c r="AFZ62" s="645"/>
      <c r="AGA62" s="646"/>
      <c r="AGB62" s="645"/>
      <c r="AGC62" s="646"/>
      <c r="AGD62" s="645"/>
      <c r="AGE62" s="646"/>
      <c r="AGF62" s="645"/>
      <c r="AGG62" s="646"/>
      <c r="AGH62" s="645"/>
      <c r="AGI62" s="646"/>
      <c r="AGJ62" s="645"/>
      <c r="AGK62" s="646"/>
      <c r="AGL62" s="645"/>
      <c r="AGM62" s="646"/>
      <c r="AGN62" s="645"/>
      <c r="AGO62" s="646"/>
      <c r="AGP62" s="645"/>
      <c r="AGQ62" s="646"/>
      <c r="AGR62" s="645"/>
      <c r="AGS62" s="646"/>
      <c r="AGT62" s="645"/>
      <c r="AGU62" s="646"/>
      <c r="AGV62" s="645"/>
      <c r="AGW62" s="646"/>
      <c r="AGX62" s="645"/>
      <c r="AGY62" s="646"/>
      <c r="AGZ62" s="645"/>
      <c r="AHA62" s="646"/>
      <c r="AHB62" s="645"/>
      <c r="AHC62" s="646"/>
      <c r="AHD62" s="645"/>
      <c r="AHE62" s="646"/>
      <c r="AHF62" s="645"/>
      <c r="AHG62" s="646"/>
      <c r="AHH62" s="645"/>
      <c r="AHI62" s="646"/>
      <c r="AHJ62" s="645"/>
      <c r="AHK62" s="646"/>
      <c r="AHL62" s="645"/>
      <c r="AHM62" s="646"/>
      <c r="AHN62" s="645"/>
      <c r="AHO62" s="646"/>
      <c r="AHP62" s="645"/>
      <c r="AHQ62" s="646"/>
      <c r="AHR62" s="645"/>
      <c r="AHS62" s="646"/>
      <c r="AHT62" s="645"/>
      <c r="AHU62" s="646"/>
      <c r="AHV62" s="645"/>
      <c r="AHW62" s="646"/>
      <c r="AHX62" s="645"/>
      <c r="AHY62" s="646"/>
      <c r="AHZ62" s="645"/>
      <c r="AIA62" s="646"/>
      <c r="AIB62" s="645"/>
      <c r="AIC62" s="646"/>
      <c r="AID62" s="645"/>
      <c r="AIE62" s="646"/>
      <c r="AIF62" s="645"/>
      <c r="AIG62" s="646"/>
      <c r="AIH62" s="645"/>
      <c r="AII62" s="646"/>
      <c r="AIJ62" s="645"/>
      <c r="AIK62" s="646"/>
      <c r="AIL62" s="645"/>
      <c r="AIM62" s="646"/>
      <c r="AIN62" s="645"/>
      <c r="AIO62" s="646"/>
      <c r="AIP62" s="645"/>
      <c r="AIQ62" s="645"/>
      <c r="AIR62" s="645"/>
      <c r="AIS62" s="645"/>
      <c r="AIT62" s="645"/>
      <c r="AIU62" s="645"/>
      <c r="AIV62" s="645"/>
      <c r="AIW62" s="645"/>
      <c r="AIX62" s="645"/>
      <c r="AIY62" s="645"/>
      <c r="AIZ62" s="645"/>
      <c r="AJA62" s="645"/>
      <c r="AJB62" s="645"/>
      <c r="AJC62" s="645"/>
      <c r="AJD62" s="645"/>
      <c r="AJE62" s="645"/>
      <c r="AJF62" s="645"/>
      <c r="AJG62" s="645"/>
      <c r="AJH62" s="645"/>
      <c r="AJI62" s="645"/>
      <c r="AJJ62" s="645"/>
      <c r="AJK62" s="645"/>
      <c r="AJL62" s="645"/>
      <c r="AJM62" s="645"/>
      <c r="AJN62" s="645"/>
      <c r="AJO62" s="645"/>
      <c r="AJP62" s="645"/>
      <c r="AJQ62" s="645"/>
      <c r="AJR62" s="645"/>
      <c r="AJS62" s="645"/>
      <c r="AJT62" s="645"/>
      <c r="AJU62" s="645"/>
      <c r="AJV62" s="645"/>
      <c r="AJW62" s="645"/>
      <c r="AJX62" s="645"/>
      <c r="AJY62" s="645"/>
      <c r="AJZ62" s="645"/>
      <c r="AKA62" s="645"/>
      <c r="AKB62" s="645"/>
      <c r="AKC62" s="645"/>
      <c r="AKD62" s="645"/>
      <c r="AKE62" s="645"/>
      <c r="AKF62" s="645"/>
      <c r="AKG62" s="645"/>
      <c r="AKH62" s="645"/>
      <c r="AKI62" s="645"/>
      <c r="AKJ62" s="645"/>
      <c r="AKK62" s="645"/>
      <c r="AKL62" s="645"/>
      <c r="AKM62" s="645"/>
      <c r="AKN62" s="645"/>
      <c r="AKO62" s="645"/>
      <c r="AKP62" s="645"/>
      <c r="AKQ62" s="645"/>
      <c r="AKR62" s="645"/>
      <c r="AKS62" s="645"/>
      <c r="AKT62" s="645"/>
      <c r="AKU62" s="645"/>
      <c r="AKV62" s="645"/>
      <c r="AKW62" s="645"/>
      <c r="AKX62" s="645"/>
      <c r="AKY62" s="645"/>
      <c r="AKZ62" s="645"/>
      <c r="ALA62" s="645"/>
      <c r="ALB62" s="645"/>
      <c r="ALC62" s="645"/>
      <c r="ALD62" s="645"/>
      <c r="ALE62" s="645"/>
      <c r="ALF62" s="645"/>
      <c r="ALG62" s="645"/>
      <c r="ALH62" s="645"/>
      <c r="ALI62" s="645"/>
      <c r="ALJ62" s="645"/>
      <c r="ALK62" s="645"/>
      <c r="ALL62" s="645"/>
      <c r="ALM62" s="645"/>
      <c r="ALN62" s="645"/>
      <c r="ALO62" s="645"/>
      <c r="ALP62" s="645"/>
      <c r="ALQ62" s="645"/>
      <c r="ALR62" s="645"/>
      <c r="ALS62" s="645"/>
      <c r="ALT62" s="645"/>
      <c r="ALU62" s="645"/>
      <c r="ALV62" s="645"/>
      <c r="ALW62" s="645"/>
      <c r="ALX62" s="645"/>
      <c r="ALY62" s="645"/>
      <c r="ALZ62" s="645"/>
      <c r="AMA62" s="645"/>
      <c r="AMB62" s="645"/>
      <c r="AMC62" s="645"/>
      <c r="AMD62" s="645"/>
      <c r="AME62" s="645"/>
      <c r="AMF62" s="645"/>
      <c r="AMG62" s="645"/>
      <c r="AMH62" s="645"/>
      <c r="AMI62" s="645"/>
      <c r="AMJ62" s="645"/>
    </row>
    <row r="63" spans="1:1024" s="37" customFormat="1" ht="15.75" customHeight="1" x14ac:dyDescent="0.35">
      <c r="A63" s="600"/>
      <c r="B63" s="644" t="s">
        <v>318</v>
      </c>
      <c r="C63" s="645"/>
      <c r="D63" s="646"/>
      <c r="E63" s="645"/>
      <c r="F63" s="646"/>
      <c r="G63" s="647" t="s">
        <v>241</v>
      </c>
      <c r="H63" s="643"/>
      <c r="I63" s="645"/>
      <c r="J63" s="38"/>
      <c r="K63" s="38"/>
      <c r="L63" s="39"/>
      <c r="M63" s="38"/>
      <c r="N63" s="39"/>
      <c r="O63" s="38"/>
      <c r="P63" s="39"/>
      <c r="Q63" s="38"/>
      <c r="R63" s="39"/>
      <c r="S63" s="38"/>
      <c r="T63" s="39"/>
      <c r="U63" s="38"/>
      <c r="V63" s="39"/>
      <c r="W63" s="38"/>
      <c r="X63" s="39"/>
      <c r="Y63" s="38"/>
      <c r="Z63" s="39"/>
      <c r="AA63" s="38"/>
      <c r="AB63" s="39"/>
      <c r="AC63" s="38"/>
      <c r="AD63" s="39"/>
      <c r="AE63" s="38"/>
      <c r="AF63" s="39"/>
      <c r="AG63" s="38"/>
      <c r="AH63" s="39"/>
      <c r="AI63" s="38"/>
      <c r="AJ63" s="39"/>
      <c r="AK63" s="40"/>
      <c r="AL63" s="39"/>
      <c r="AM63" s="40"/>
      <c r="AN63" s="39"/>
      <c r="AO63" s="40"/>
      <c r="AP63" s="39"/>
      <c r="AQ63" s="40"/>
      <c r="AR63" s="39"/>
      <c r="AS63" s="40"/>
      <c r="AT63" s="39"/>
      <c r="AU63" s="40"/>
      <c r="AV63" s="39"/>
      <c r="AW63" s="40"/>
      <c r="AX63" s="39"/>
      <c r="AY63" s="40"/>
      <c r="AZ63" s="39"/>
      <c r="BA63" s="40"/>
      <c r="BB63" s="39"/>
      <c r="BC63" s="40"/>
      <c r="BD63" s="39"/>
      <c r="BE63" s="40"/>
      <c r="BF63" s="39"/>
      <c r="BG63" s="40"/>
      <c r="BH63" s="39"/>
      <c r="BI63" s="40"/>
      <c r="BJ63" s="39"/>
      <c r="BK63" s="40"/>
      <c r="BL63" s="39"/>
      <c r="BM63" s="40"/>
      <c r="BN63" s="39"/>
      <c r="BO63" s="40"/>
      <c r="BP63" s="39"/>
      <c r="BQ63" s="40"/>
      <c r="BR63" s="39"/>
      <c r="BS63" s="40"/>
      <c r="BT63" s="39"/>
      <c r="BU63" s="40"/>
      <c r="BV63" s="39"/>
      <c r="BW63" s="40"/>
      <c r="BX63" s="39"/>
      <c r="BY63" s="40"/>
      <c r="BZ63" s="39"/>
      <c r="CA63" s="40"/>
      <c r="CB63" s="39"/>
      <c r="CC63" s="40"/>
      <c r="CD63" s="39"/>
      <c r="CE63" s="40"/>
      <c r="CF63" s="39"/>
      <c r="CG63" s="40"/>
      <c r="CH63" s="39"/>
      <c r="CI63" s="40"/>
      <c r="CJ63" s="39"/>
      <c r="CK63" s="40"/>
      <c r="CL63" s="39"/>
      <c r="CM63" s="40"/>
      <c r="CN63" s="39"/>
      <c r="CO63" s="40"/>
      <c r="CP63" s="39"/>
      <c r="CQ63" s="40"/>
      <c r="CR63" s="39"/>
      <c r="CS63" s="40"/>
      <c r="CT63" s="39"/>
      <c r="CU63" s="40"/>
      <c r="CV63" s="39"/>
      <c r="CW63" s="40"/>
      <c r="CX63" s="39"/>
      <c r="CY63" s="40"/>
      <c r="CZ63" s="39"/>
      <c r="DA63" s="40"/>
      <c r="DB63" s="39"/>
      <c r="DC63" s="40"/>
      <c r="DD63" s="39"/>
      <c r="DE63" s="40"/>
      <c r="DF63" s="39"/>
      <c r="DG63" s="40"/>
      <c r="DH63" s="39"/>
      <c r="DI63" s="40"/>
      <c r="DJ63" s="39"/>
      <c r="DK63" s="40"/>
      <c r="DL63" s="39"/>
      <c r="DM63" s="40"/>
      <c r="DN63" s="39"/>
      <c r="DO63" s="40"/>
      <c r="DP63" s="39"/>
      <c r="DQ63" s="40"/>
      <c r="DR63" s="39"/>
      <c r="DS63" s="40"/>
      <c r="DT63" s="39"/>
      <c r="DU63" s="40"/>
      <c r="DV63" s="39"/>
      <c r="DW63" s="40"/>
      <c r="DX63" s="39"/>
      <c r="DY63" s="40"/>
      <c r="DZ63" s="39"/>
      <c r="EA63" s="40"/>
      <c r="EB63" s="39"/>
      <c r="EC63" s="40"/>
      <c r="ED63" s="39"/>
      <c r="EE63" s="40"/>
      <c r="EF63" s="39"/>
      <c r="EG63" s="40"/>
      <c r="EH63" s="39"/>
      <c r="EI63" s="40"/>
      <c r="EJ63" s="39"/>
      <c r="EK63" s="40"/>
      <c r="EL63" s="39"/>
      <c r="EM63" s="40"/>
      <c r="EN63" s="39"/>
      <c r="EO63" s="40"/>
      <c r="EP63" s="39"/>
      <c r="EQ63" s="40"/>
      <c r="ER63" s="39"/>
      <c r="ES63" s="40"/>
      <c r="ET63" s="39"/>
      <c r="EU63" s="40"/>
      <c r="EV63" s="39"/>
      <c r="EW63" s="40"/>
      <c r="EX63" s="39"/>
      <c r="EY63" s="40"/>
      <c r="EZ63" s="39"/>
      <c r="FA63" s="40"/>
      <c r="FB63" s="39"/>
      <c r="FC63" s="40"/>
      <c r="FD63" s="39"/>
      <c r="FE63" s="40"/>
      <c r="FF63" s="39"/>
      <c r="FG63" s="40"/>
      <c r="FH63" s="39"/>
      <c r="FI63" s="40"/>
      <c r="FJ63" s="39"/>
      <c r="FK63" s="40"/>
      <c r="FL63" s="39"/>
      <c r="FM63" s="40"/>
      <c r="FN63" s="39"/>
      <c r="FO63" s="40"/>
      <c r="FP63" s="39"/>
      <c r="FQ63" s="40"/>
      <c r="FR63" s="39"/>
      <c r="FS63" s="40"/>
      <c r="FT63" s="39"/>
      <c r="FU63" s="40"/>
      <c r="FV63" s="39"/>
      <c r="FW63" s="40"/>
      <c r="FX63" s="39"/>
      <c r="FY63" s="40"/>
      <c r="FZ63" s="39"/>
      <c r="GA63" s="40"/>
      <c r="GB63" s="39"/>
      <c r="GC63" s="40"/>
      <c r="GD63" s="39"/>
      <c r="GE63" s="40"/>
      <c r="GF63" s="39"/>
      <c r="GG63" s="40"/>
      <c r="GH63" s="39"/>
      <c r="GI63" s="40"/>
      <c r="GJ63" s="39"/>
      <c r="GK63" s="40"/>
      <c r="GL63" s="39"/>
      <c r="GM63" s="40"/>
      <c r="GN63" s="39"/>
      <c r="GO63" s="40"/>
      <c r="GP63" s="39"/>
      <c r="GQ63" s="40"/>
      <c r="GR63" s="39"/>
      <c r="GS63" s="40"/>
      <c r="GT63" s="39"/>
      <c r="GU63" s="40"/>
      <c r="GV63" s="39"/>
      <c r="GW63" s="40"/>
      <c r="GX63" s="39"/>
      <c r="GY63" s="40"/>
      <c r="GZ63" s="39"/>
      <c r="HA63" s="40"/>
      <c r="HB63" s="39"/>
      <c r="HC63" s="40"/>
      <c r="HD63" s="39"/>
      <c r="HE63" s="40"/>
      <c r="HF63" s="39"/>
      <c r="HG63" s="40"/>
      <c r="HH63" s="39"/>
      <c r="HI63" s="40"/>
      <c r="HJ63" s="39"/>
      <c r="HK63" s="40"/>
      <c r="HL63" s="39"/>
      <c r="HM63" s="40"/>
      <c r="HN63" s="39"/>
      <c r="HO63" s="40"/>
      <c r="HP63" s="39"/>
      <c r="HQ63" s="40"/>
      <c r="HR63" s="39"/>
      <c r="HS63" s="40"/>
      <c r="HT63" s="39"/>
      <c r="HU63" s="40"/>
      <c r="HV63" s="39"/>
      <c r="HW63" s="40"/>
      <c r="HX63" s="39"/>
      <c r="HY63" s="40"/>
      <c r="HZ63" s="39"/>
      <c r="IA63" s="40"/>
      <c r="IB63" s="39"/>
      <c r="IC63" s="1068"/>
      <c r="ID63" s="645"/>
      <c r="IE63" s="646"/>
      <c r="IF63" s="645"/>
      <c r="IG63" s="646"/>
      <c r="IH63" s="645"/>
      <c r="II63" s="646"/>
      <c r="IJ63" s="645"/>
      <c r="IK63" s="646"/>
      <c r="IL63" s="645"/>
      <c r="IM63" s="646"/>
      <c r="IN63" s="645"/>
      <c r="IO63" s="646"/>
      <c r="IP63" s="645"/>
      <c r="IQ63" s="646"/>
      <c r="IR63" s="645"/>
      <c r="IS63" s="646"/>
      <c r="IT63" s="645"/>
      <c r="IU63" s="646"/>
      <c r="IV63" s="645"/>
      <c r="IW63" s="646"/>
      <c r="IX63" s="645"/>
      <c r="IY63" s="646"/>
      <c r="IZ63" s="645"/>
      <c r="JA63" s="646"/>
      <c r="JB63" s="645"/>
      <c r="JC63" s="646"/>
      <c r="JD63" s="645"/>
      <c r="JE63" s="646"/>
      <c r="JF63" s="645"/>
      <c r="JG63" s="646"/>
      <c r="JH63" s="645"/>
      <c r="JI63" s="646"/>
      <c r="JJ63" s="645"/>
      <c r="JK63" s="646"/>
      <c r="JL63" s="645"/>
      <c r="JM63" s="646"/>
      <c r="JN63" s="645"/>
      <c r="JO63" s="646"/>
      <c r="JP63" s="645"/>
      <c r="JQ63" s="646"/>
      <c r="JR63" s="645"/>
      <c r="JS63" s="646"/>
      <c r="JT63" s="645"/>
      <c r="JU63" s="646"/>
      <c r="JV63" s="645"/>
      <c r="JW63" s="646"/>
      <c r="JX63" s="645"/>
      <c r="JY63" s="646"/>
      <c r="JZ63" s="645"/>
      <c r="KA63" s="646"/>
      <c r="KB63" s="645"/>
      <c r="KC63" s="646"/>
      <c r="KD63" s="645"/>
      <c r="KE63" s="646"/>
      <c r="KF63" s="645"/>
      <c r="KG63" s="646"/>
      <c r="KH63" s="645"/>
      <c r="KI63" s="646"/>
      <c r="KJ63" s="645"/>
      <c r="KK63" s="646"/>
      <c r="KL63" s="645"/>
      <c r="KM63" s="646"/>
      <c r="KN63" s="645"/>
      <c r="KO63" s="646"/>
      <c r="KP63" s="645"/>
      <c r="KQ63" s="646"/>
      <c r="KR63" s="645"/>
      <c r="KS63" s="646"/>
      <c r="KT63" s="645"/>
      <c r="KU63" s="646"/>
      <c r="KV63" s="645"/>
      <c r="KW63" s="646"/>
      <c r="KX63" s="645"/>
      <c r="KY63" s="646"/>
      <c r="KZ63" s="645"/>
      <c r="LA63" s="646"/>
      <c r="LB63" s="645"/>
      <c r="LC63" s="646"/>
      <c r="LD63" s="645"/>
      <c r="LE63" s="646"/>
      <c r="LF63" s="645"/>
      <c r="LG63" s="646"/>
      <c r="LH63" s="645"/>
      <c r="LI63" s="646"/>
      <c r="LJ63" s="645"/>
      <c r="LK63" s="646"/>
      <c r="LL63" s="645"/>
      <c r="LM63" s="646"/>
      <c r="LN63" s="645"/>
      <c r="LO63" s="646"/>
      <c r="LP63" s="645"/>
      <c r="LQ63" s="646"/>
      <c r="LR63" s="645"/>
      <c r="LS63" s="646"/>
      <c r="LT63" s="645"/>
      <c r="LU63" s="646"/>
      <c r="LV63" s="645"/>
      <c r="LW63" s="646"/>
      <c r="LX63" s="645"/>
      <c r="LY63" s="646"/>
      <c r="LZ63" s="645"/>
      <c r="MA63" s="646"/>
      <c r="MB63" s="645"/>
      <c r="MC63" s="646"/>
      <c r="MD63" s="645"/>
      <c r="ME63" s="646"/>
      <c r="MF63" s="645"/>
      <c r="MG63" s="646"/>
      <c r="MH63" s="645"/>
      <c r="MI63" s="646"/>
      <c r="MJ63" s="645"/>
      <c r="MK63" s="646"/>
      <c r="ML63" s="645"/>
      <c r="MM63" s="646"/>
      <c r="MN63" s="645"/>
      <c r="MO63" s="646"/>
      <c r="MP63" s="645"/>
      <c r="MQ63" s="646"/>
      <c r="MR63" s="645"/>
      <c r="MS63" s="646"/>
      <c r="MT63" s="645"/>
      <c r="MU63" s="646"/>
      <c r="MV63" s="645"/>
      <c r="MW63" s="646"/>
      <c r="MX63" s="645"/>
      <c r="MY63" s="646"/>
      <c r="MZ63" s="645"/>
      <c r="NA63" s="646"/>
      <c r="NB63" s="645"/>
      <c r="NC63" s="646"/>
      <c r="ND63" s="645"/>
      <c r="NE63" s="646"/>
      <c r="NF63" s="645"/>
      <c r="NG63" s="646"/>
      <c r="NH63" s="645"/>
      <c r="NI63" s="646"/>
      <c r="NJ63" s="645"/>
      <c r="NK63" s="646"/>
      <c r="NL63" s="645"/>
      <c r="NM63" s="646"/>
      <c r="NN63" s="645"/>
      <c r="NO63" s="646"/>
      <c r="NP63" s="645"/>
      <c r="NQ63" s="646"/>
      <c r="NR63" s="645"/>
      <c r="NS63" s="646"/>
      <c r="NT63" s="645"/>
      <c r="NU63" s="646"/>
      <c r="NV63" s="645"/>
      <c r="NW63" s="646"/>
      <c r="NX63" s="645"/>
      <c r="NY63" s="646"/>
      <c r="NZ63" s="645"/>
      <c r="OA63" s="646"/>
      <c r="OB63" s="645"/>
      <c r="OC63" s="646"/>
      <c r="OD63" s="645"/>
      <c r="OE63" s="646"/>
      <c r="OF63" s="645"/>
      <c r="OG63" s="646"/>
      <c r="OH63" s="645"/>
      <c r="OI63" s="646"/>
      <c r="OJ63" s="645"/>
      <c r="OK63" s="646"/>
      <c r="OL63" s="645"/>
      <c r="OM63" s="646"/>
      <c r="ON63" s="645"/>
      <c r="OO63" s="646"/>
      <c r="OP63" s="645"/>
      <c r="OQ63" s="646"/>
      <c r="OR63" s="645"/>
      <c r="OS63" s="646"/>
      <c r="OT63" s="645"/>
      <c r="OU63" s="646"/>
      <c r="OV63" s="645"/>
      <c r="OW63" s="646"/>
      <c r="OX63" s="645"/>
      <c r="OY63" s="646"/>
      <c r="OZ63" s="645"/>
      <c r="PA63" s="646"/>
      <c r="PB63" s="645"/>
      <c r="PC63" s="646"/>
      <c r="PD63" s="645"/>
      <c r="PE63" s="646"/>
      <c r="PF63" s="645"/>
      <c r="PG63" s="646"/>
      <c r="PH63" s="645"/>
      <c r="PI63" s="646"/>
      <c r="PJ63" s="645"/>
      <c r="PK63" s="646"/>
      <c r="PL63" s="645"/>
      <c r="PM63" s="646"/>
      <c r="PN63" s="645"/>
      <c r="PO63" s="646"/>
      <c r="PP63" s="645"/>
      <c r="PQ63" s="646"/>
      <c r="PR63" s="645"/>
      <c r="PS63" s="646"/>
      <c r="PT63" s="645"/>
      <c r="PU63" s="646"/>
      <c r="PV63" s="645"/>
      <c r="PW63" s="646"/>
      <c r="PX63" s="645"/>
      <c r="PY63" s="646"/>
      <c r="PZ63" s="645"/>
      <c r="QA63" s="646"/>
      <c r="QB63" s="645"/>
      <c r="QC63" s="646"/>
      <c r="QD63" s="645"/>
      <c r="QE63" s="646"/>
      <c r="QF63" s="645"/>
      <c r="QG63" s="646"/>
      <c r="QH63" s="645"/>
      <c r="QI63" s="646"/>
      <c r="QJ63" s="645"/>
      <c r="QK63" s="646"/>
      <c r="QL63" s="645"/>
      <c r="QM63" s="646"/>
      <c r="QN63" s="645"/>
      <c r="QO63" s="646"/>
      <c r="QP63" s="645"/>
      <c r="QQ63" s="646"/>
      <c r="QR63" s="645"/>
      <c r="QS63" s="646"/>
      <c r="QT63" s="645"/>
      <c r="QU63" s="646"/>
      <c r="QV63" s="645"/>
      <c r="QW63" s="646"/>
      <c r="QX63" s="645"/>
      <c r="QY63" s="646"/>
      <c r="QZ63" s="645"/>
      <c r="RA63" s="646"/>
      <c r="RB63" s="645"/>
      <c r="RC63" s="646"/>
      <c r="RD63" s="645"/>
      <c r="RE63" s="646"/>
      <c r="RF63" s="645"/>
      <c r="RG63" s="646"/>
      <c r="RH63" s="645"/>
      <c r="RI63" s="646"/>
      <c r="RJ63" s="645"/>
      <c r="RK63" s="646"/>
      <c r="RL63" s="645"/>
      <c r="RM63" s="646"/>
      <c r="RN63" s="645"/>
      <c r="RO63" s="646"/>
      <c r="RP63" s="645"/>
      <c r="RQ63" s="646"/>
      <c r="RR63" s="645"/>
      <c r="RS63" s="646"/>
      <c r="RT63" s="645"/>
      <c r="RU63" s="646"/>
      <c r="RV63" s="645"/>
      <c r="RW63" s="646"/>
      <c r="RX63" s="645"/>
      <c r="RY63" s="646"/>
      <c r="RZ63" s="645"/>
      <c r="SA63" s="646"/>
      <c r="SB63" s="645"/>
      <c r="SC63" s="646"/>
      <c r="SD63" s="645"/>
      <c r="SE63" s="646"/>
      <c r="SF63" s="645"/>
      <c r="SG63" s="646"/>
      <c r="SH63" s="645"/>
      <c r="SI63" s="646"/>
      <c r="SJ63" s="645"/>
      <c r="SK63" s="646"/>
      <c r="SL63" s="645"/>
      <c r="SM63" s="646"/>
      <c r="SN63" s="645"/>
      <c r="SO63" s="646"/>
      <c r="SP63" s="645"/>
      <c r="SQ63" s="646"/>
      <c r="SR63" s="645"/>
      <c r="SS63" s="646"/>
      <c r="ST63" s="645"/>
      <c r="SU63" s="646"/>
      <c r="SV63" s="645"/>
      <c r="SW63" s="646"/>
      <c r="SX63" s="645"/>
      <c r="SY63" s="646"/>
      <c r="SZ63" s="645"/>
      <c r="TA63" s="646"/>
      <c r="TB63" s="645"/>
      <c r="TC63" s="646"/>
      <c r="TD63" s="645"/>
      <c r="TE63" s="646"/>
      <c r="TF63" s="645"/>
      <c r="TG63" s="646"/>
      <c r="TH63" s="645"/>
      <c r="TI63" s="646"/>
      <c r="TJ63" s="645"/>
      <c r="TK63" s="646"/>
      <c r="TL63" s="645"/>
      <c r="TM63" s="646"/>
      <c r="TN63" s="645"/>
      <c r="TO63" s="646"/>
      <c r="TP63" s="645"/>
      <c r="TQ63" s="646"/>
      <c r="TR63" s="645"/>
      <c r="TS63" s="646"/>
      <c r="TT63" s="645"/>
      <c r="TU63" s="646"/>
      <c r="TV63" s="645"/>
      <c r="TW63" s="646"/>
      <c r="TX63" s="645"/>
      <c r="TY63" s="646"/>
      <c r="TZ63" s="645"/>
      <c r="UA63" s="646"/>
      <c r="UB63" s="645"/>
      <c r="UC63" s="646"/>
      <c r="UD63" s="645"/>
      <c r="UE63" s="646"/>
      <c r="UF63" s="645"/>
      <c r="UG63" s="646"/>
      <c r="UH63" s="645"/>
      <c r="UI63" s="646"/>
      <c r="UJ63" s="645"/>
      <c r="UK63" s="646"/>
      <c r="UL63" s="645"/>
      <c r="UM63" s="646"/>
      <c r="UN63" s="645"/>
      <c r="UO63" s="646"/>
      <c r="UP63" s="645"/>
      <c r="UQ63" s="646"/>
      <c r="UR63" s="645"/>
      <c r="US63" s="646"/>
      <c r="UT63" s="645"/>
      <c r="UU63" s="646"/>
      <c r="UV63" s="645"/>
      <c r="UW63" s="646"/>
      <c r="UX63" s="645"/>
      <c r="UY63" s="646"/>
      <c r="UZ63" s="645"/>
      <c r="VA63" s="646"/>
      <c r="VB63" s="645"/>
      <c r="VC63" s="646"/>
      <c r="VD63" s="645"/>
      <c r="VE63" s="646"/>
      <c r="VF63" s="645"/>
      <c r="VG63" s="646"/>
      <c r="VH63" s="645"/>
      <c r="VI63" s="646"/>
      <c r="VJ63" s="645"/>
      <c r="VK63" s="646"/>
      <c r="VL63" s="645"/>
      <c r="VM63" s="646"/>
      <c r="VN63" s="645"/>
      <c r="VO63" s="646"/>
      <c r="VP63" s="645"/>
      <c r="VQ63" s="646"/>
      <c r="VR63" s="645"/>
      <c r="VS63" s="646"/>
      <c r="VT63" s="645"/>
      <c r="VU63" s="646"/>
      <c r="VV63" s="645"/>
      <c r="VW63" s="646"/>
      <c r="VX63" s="645"/>
      <c r="VY63" s="646"/>
      <c r="VZ63" s="645"/>
      <c r="WA63" s="646"/>
      <c r="WB63" s="645"/>
      <c r="WC63" s="646"/>
      <c r="WD63" s="645"/>
      <c r="WE63" s="646"/>
      <c r="WF63" s="645"/>
      <c r="WG63" s="646"/>
      <c r="WH63" s="645"/>
      <c r="WI63" s="646"/>
      <c r="WJ63" s="645"/>
      <c r="WK63" s="646"/>
      <c r="WL63" s="645"/>
      <c r="WM63" s="646"/>
      <c r="WN63" s="645"/>
      <c r="WO63" s="646"/>
      <c r="WP63" s="645"/>
      <c r="WQ63" s="646"/>
      <c r="WR63" s="645"/>
      <c r="WS63" s="646"/>
      <c r="WT63" s="645"/>
      <c r="WU63" s="646"/>
      <c r="WV63" s="645"/>
      <c r="WW63" s="646"/>
      <c r="WX63" s="645"/>
      <c r="WY63" s="646"/>
      <c r="WZ63" s="645"/>
      <c r="XA63" s="646"/>
      <c r="XB63" s="645"/>
      <c r="XC63" s="646"/>
      <c r="XD63" s="645"/>
      <c r="XE63" s="646"/>
      <c r="XF63" s="645"/>
      <c r="XG63" s="646"/>
      <c r="XH63" s="645"/>
      <c r="XI63" s="646"/>
      <c r="XJ63" s="645"/>
      <c r="XK63" s="646"/>
      <c r="XL63" s="645"/>
      <c r="XM63" s="646"/>
      <c r="XN63" s="645"/>
      <c r="XO63" s="646"/>
      <c r="XP63" s="645"/>
      <c r="XQ63" s="646"/>
      <c r="XR63" s="645"/>
      <c r="XS63" s="646"/>
      <c r="XT63" s="645"/>
      <c r="XU63" s="646"/>
      <c r="XV63" s="645"/>
      <c r="XW63" s="646"/>
      <c r="XX63" s="645"/>
      <c r="XY63" s="646"/>
      <c r="XZ63" s="645"/>
      <c r="YA63" s="646"/>
      <c r="YB63" s="645"/>
      <c r="YC63" s="646"/>
      <c r="YD63" s="645"/>
      <c r="YE63" s="646"/>
      <c r="YF63" s="645"/>
      <c r="YG63" s="646"/>
      <c r="YH63" s="645"/>
      <c r="YI63" s="646"/>
      <c r="YJ63" s="645"/>
      <c r="YK63" s="646"/>
      <c r="YL63" s="645"/>
      <c r="YM63" s="646"/>
      <c r="YN63" s="645"/>
      <c r="YO63" s="646"/>
      <c r="YP63" s="645"/>
      <c r="YQ63" s="646"/>
      <c r="YR63" s="645"/>
      <c r="YS63" s="646"/>
      <c r="YT63" s="645"/>
      <c r="YU63" s="646"/>
      <c r="YV63" s="645"/>
      <c r="YW63" s="646"/>
      <c r="YX63" s="645"/>
      <c r="YY63" s="646"/>
      <c r="YZ63" s="645"/>
      <c r="ZA63" s="646"/>
      <c r="ZB63" s="645"/>
      <c r="ZC63" s="646"/>
      <c r="ZD63" s="645"/>
      <c r="ZE63" s="646"/>
      <c r="ZF63" s="645"/>
      <c r="ZG63" s="646"/>
      <c r="ZH63" s="645"/>
      <c r="ZI63" s="646"/>
      <c r="ZJ63" s="645"/>
      <c r="ZK63" s="646"/>
      <c r="ZL63" s="645"/>
      <c r="ZM63" s="646"/>
      <c r="ZN63" s="645"/>
      <c r="ZO63" s="646"/>
      <c r="ZP63" s="645"/>
      <c r="ZQ63" s="646"/>
      <c r="ZR63" s="645"/>
      <c r="ZS63" s="646"/>
      <c r="ZT63" s="645"/>
      <c r="ZU63" s="646"/>
      <c r="ZV63" s="645"/>
      <c r="ZW63" s="646"/>
      <c r="ZX63" s="645"/>
      <c r="ZY63" s="646"/>
      <c r="ZZ63" s="645"/>
      <c r="AAA63" s="646"/>
      <c r="AAB63" s="645"/>
      <c r="AAC63" s="646"/>
      <c r="AAD63" s="645"/>
      <c r="AAE63" s="646"/>
      <c r="AAF63" s="645"/>
      <c r="AAG63" s="646"/>
      <c r="AAH63" s="645"/>
      <c r="AAI63" s="646"/>
      <c r="AAJ63" s="645"/>
      <c r="AAK63" s="646"/>
      <c r="AAL63" s="645"/>
      <c r="AAM63" s="646"/>
      <c r="AAN63" s="645"/>
      <c r="AAO63" s="646"/>
      <c r="AAP63" s="645"/>
      <c r="AAQ63" s="646"/>
      <c r="AAR63" s="645"/>
      <c r="AAS63" s="646"/>
      <c r="AAT63" s="645"/>
      <c r="AAU63" s="646"/>
      <c r="AAV63" s="645"/>
      <c r="AAW63" s="646"/>
      <c r="AAX63" s="645"/>
      <c r="AAY63" s="646"/>
      <c r="AAZ63" s="645"/>
      <c r="ABA63" s="646"/>
      <c r="ABB63" s="645"/>
      <c r="ABC63" s="646"/>
      <c r="ABD63" s="645"/>
      <c r="ABE63" s="646"/>
      <c r="ABF63" s="645"/>
      <c r="ABG63" s="646"/>
      <c r="ABH63" s="645"/>
      <c r="ABI63" s="646"/>
      <c r="ABJ63" s="645"/>
      <c r="ABK63" s="646"/>
      <c r="ABL63" s="645"/>
      <c r="ABM63" s="646"/>
      <c r="ABN63" s="645"/>
      <c r="ABO63" s="646"/>
      <c r="ABP63" s="645"/>
      <c r="ABQ63" s="646"/>
      <c r="ABR63" s="645"/>
      <c r="ABS63" s="646"/>
      <c r="ABT63" s="645"/>
      <c r="ABU63" s="646"/>
      <c r="ABV63" s="645"/>
      <c r="ABW63" s="646"/>
      <c r="ABX63" s="645"/>
      <c r="ABY63" s="646"/>
      <c r="ABZ63" s="645"/>
      <c r="ACA63" s="646"/>
      <c r="ACB63" s="645"/>
      <c r="ACC63" s="646"/>
      <c r="ACD63" s="645"/>
      <c r="ACE63" s="646"/>
      <c r="ACF63" s="645"/>
      <c r="ACG63" s="646"/>
      <c r="ACH63" s="645"/>
      <c r="ACI63" s="646"/>
      <c r="ACJ63" s="645"/>
      <c r="ACK63" s="646"/>
      <c r="ACL63" s="645"/>
      <c r="ACM63" s="646"/>
      <c r="ACN63" s="645"/>
      <c r="ACO63" s="646"/>
      <c r="ACP63" s="645"/>
      <c r="ACQ63" s="646"/>
      <c r="ACR63" s="645"/>
      <c r="ACS63" s="646"/>
      <c r="ACT63" s="645"/>
      <c r="ACU63" s="646"/>
      <c r="ACV63" s="645"/>
      <c r="ACW63" s="646"/>
      <c r="ACX63" s="645"/>
      <c r="ACY63" s="646"/>
      <c r="ACZ63" s="645"/>
      <c r="ADA63" s="646"/>
      <c r="ADB63" s="645"/>
      <c r="ADC63" s="646"/>
      <c r="ADD63" s="645"/>
      <c r="ADE63" s="646"/>
      <c r="ADF63" s="645"/>
      <c r="ADG63" s="646"/>
      <c r="ADH63" s="645"/>
      <c r="ADI63" s="646"/>
      <c r="ADJ63" s="645"/>
      <c r="ADK63" s="646"/>
      <c r="ADL63" s="645"/>
      <c r="ADM63" s="646"/>
      <c r="ADN63" s="645"/>
      <c r="ADO63" s="646"/>
      <c r="ADP63" s="645"/>
      <c r="ADQ63" s="646"/>
      <c r="ADR63" s="645"/>
      <c r="ADS63" s="646"/>
      <c r="ADT63" s="645"/>
      <c r="ADU63" s="646"/>
      <c r="ADV63" s="645"/>
      <c r="ADW63" s="646"/>
      <c r="ADX63" s="645"/>
      <c r="ADY63" s="646"/>
      <c r="ADZ63" s="645"/>
      <c r="AEA63" s="646"/>
      <c r="AEB63" s="645"/>
      <c r="AEC63" s="646"/>
      <c r="AED63" s="645"/>
      <c r="AEE63" s="646"/>
      <c r="AEF63" s="645"/>
      <c r="AEG63" s="646"/>
      <c r="AEH63" s="645"/>
      <c r="AEI63" s="646"/>
      <c r="AEJ63" s="645"/>
      <c r="AEK63" s="646"/>
      <c r="AEL63" s="645"/>
      <c r="AEM63" s="646"/>
      <c r="AEN63" s="645"/>
      <c r="AEO63" s="646"/>
      <c r="AEP63" s="645"/>
      <c r="AEQ63" s="646"/>
      <c r="AER63" s="645"/>
      <c r="AES63" s="646"/>
      <c r="AET63" s="645"/>
      <c r="AEU63" s="646"/>
      <c r="AEV63" s="645"/>
      <c r="AEW63" s="646"/>
      <c r="AEX63" s="645"/>
      <c r="AEY63" s="646"/>
      <c r="AEZ63" s="645"/>
      <c r="AFA63" s="646"/>
      <c r="AFB63" s="645"/>
      <c r="AFC63" s="646"/>
      <c r="AFD63" s="645"/>
      <c r="AFE63" s="646"/>
      <c r="AFF63" s="645"/>
      <c r="AFG63" s="646"/>
      <c r="AFH63" s="645"/>
      <c r="AFI63" s="646"/>
      <c r="AFJ63" s="645"/>
      <c r="AFK63" s="646"/>
      <c r="AFL63" s="645"/>
      <c r="AFM63" s="646"/>
      <c r="AFN63" s="645"/>
      <c r="AFO63" s="646"/>
      <c r="AFP63" s="645"/>
      <c r="AFQ63" s="646"/>
      <c r="AFR63" s="645"/>
      <c r="AFS63" s="646"/>
      <c r="AFT63" s="645"/>
      <c r="AFU63" s="646"/>
      <c r="AFV63" s="645"/>
      <c r="AFW63" s="646"/>
      <c r="AFX63" s="645"/>
      <c r="AFY63" s="646"/>
      <c r="AFZ63" s="645"/>
      <c r="AGA63" s="646"/>
      <c r="AGB63" s="645"/>
      <c r="AGC63" s="646"/>
      <c r="AGD63" s="645"/>
      <c r="AGE63" s="646"/>
      <c r="AGF63" s="645"/>
      <c r="AGG63" s="646"/>
      <c r="AGH63" s="645"/>
      <c r="AGI63" s="646"/>
      <c r="AGJ63" s="645"/>
      <c r="AGK63" s="646"/>
      <c r="AGL63" s="645"/>
      <c r="AGM63" s="646"/>
      <c r="AGN63" s="645"/>
      <c r="AGO63" s="646"/>
      <c r="AGP63" s="645"/>
      <c r="AGQ63" s="646"/>
      <c r="AGR63" s="645"/>
      <c r="AGS63" s="646"/>
      <c r="AGT63" s="645"/>
      <c r="AGU63" s="646"/>
      <c r="AGV63" s="645"/>
      <c r="AGW63" s="646"/>
      <c r="AGX63" s="645"/>
      <c r="AGY63" s="646"/>
      <c r="AGZ63" s="645"/>
      <c r="AHA63" s="646"/>
      <c r="AHB63" s="645"/>
      <c r="AHC63" s="646"/>
      <c r="AHD63" s="645"/>
      <c r="AHE63" s="646"/>
      <c r="AHF63" s="645"/>
      <c r="AHG63" s="646"/>
      <c r="AHH63" s="645"/>
      <c r="AHI63" s="646"/>
      <c r="AHJ63" s="645"/>
      <c r="AHK63" s="646"/>
      <c r="AHL63" s="645"/>
      <c r="AHM63" s="646"/>
      <c r="AHN63" s="645"/>
      <c r="AHO63" s="646"/>
      <c r="AHP63" s="645"/>
      <c r="AHQ63" s="646"/>
      <c r="AHR63" s="645"/>
      <c r="AHS63" s="646"/>
      <c r="AHT63" s="645"/>
      <c r="AHU63" s="646"/>
      <c r="AHV63" s="645"/>
      <c r="AHW63" s="646"/>
      <c r="AHX63" s="645"/>
      <c r="AHY63" s="646"/>
      <c r="AHZ63" s="645"/>
      <c r="AIA63" s="646"/>
      <c r="AIB63" s="645"/>
      <c r="AIC63" s="646"/>
      <c r="AID63" s="645"/>
      <c r="AIE63" s="646"/>
      <c r="AIF63" s="645"/>
      <c r="AIG63" s="646"/>
      <c r="AIH63" s="645"/>
      <c r="AII63" s="646"/>
      <c r="AIJ63" s="645"/>
      <c r="AIK63" s="646"/>
      <c r="AIL63" s="645"/>
      <c r="AIM63" s="646"/>
      <c r="AIN63" s="645"/>
      <c r="AIO63" s="646"/>
      <c r="AIP63" s="645"/>
      <c r="AIQ63" s="645"/>
      <c r="AIR63" s="645"/>
      <c r="AIS63" s="645"/>
      <c r="AIT63" s="645"/>
      <c r="AIU63" s="645"/>
      <c r="AIV63" s="645"/>
      <c r="AIW63" s="645"/>
      <c r="AIX63" s="645"/>
      <c r="AIY63" s="645"/>
      <c r="AIZ63" s="645"/>
      <c r="AJA63" s="645"/>
      <c r="AJB63" s="645"/>
      <c r="AJC63" s="645"/>
      <c r="AJD63" s="645"/>
      <c r="AJE63" s="645"/>
      <c r="AJF63" s="645"/>
      <c r="AJG63" s="645"/>
      <c r="AJH63" s="645"/>
      <c r="AJI63" s="645"/>
      <c r="AJJ63" s="645"/>
      <c r="AJK63" s="645"/>
      <c r="AJL63" s="645"/>
      <c r="AJM63" s="645"/>
      <c r="AJN63" s="645"/>
      <c r="AJO63" s="645"/>
      <c r="AJP63" s="645"/>
      <c r="AJQ63" s="645"/>
      <c r="AJR63" s="645"/>
      <c r="AJS63" s="645"/>
      <c r="AJT63" s="645"/>
      <c r="AJU63" s="645"/>
      <c r="AJV63" s="645"/>
      <c r="AJW63" s="645"/>
      <c r="AJX63" s="645"/>
      <c r="AJY63" s="645"/>
      <c r="AJZ63" s="645"/>
      <c r="AKA63" s="645"/>
      <c r="AKB63" s="645"/>
      <c r="AKC63" s="645"/>
      <c r="AKD63" s="645"/>
      <c r="AKE63" s="645"/>
      <c r="AKF63" s="645"/>
      <c r="AKG63" s="645"/>
      <c r="AKH63" s="645"/>
      <c r="AKI63" s="645"/>
      <c r="AKJ63" s="645"/>
      <c r="AKK63" s="645"/>
      <c r="AKL63" s="645"/>
      <c r="AKM63" s="645"/>
      <c r="AKN63" s="645"/>
      <c r="AKO63" s="645"/>
      <c r="AKP63" s="645"/>
      <c r="AKQ63" s="645"/>
      <c r="AKR63" s="645"/>
      <c r="AKS63" s="645"/>
      <c r="AKT63" s="645"/>
      <c r="AKU63" s="645"/>
      <c r="AKV63" s="645"/>
      <c r="AKW63" s="645"/>
      <c r="AKX63" s="645"/>
      <c r="AKY63" s="645"/>
      <c r="AKZ63" s="645"/>
      <c r="ALA63" s="645"/>
      <c r="ALB63" s="645"/>
      <c r="ALC63" s="645"/>
      <c r="ALD63" s="645"/>
      <c r="ALE63" s="645"/>
      <c r="ALF63" s="645"/>
      <c r="ALG63" s="645"/>
      <c r="ALH63" s="645"/>
      <c r="ALI63" s="645"/>
      <c r="ALJ63" s="645"/>
      <c r="ALK63" s="645"/>
      <c r="ALL63" s="645"/>
      <c r="ALM63" s="645"/>
      <c r="ALN63" s="645"/>
      <c r="ALO63" s="645"/>
      <c r="ALP63" s="645"/>
      <c r="ALQ63" s="645"/>
      <c r="ALR63" s="645"/>
      <c r="ALS63" s="645"/>
      <c r="ALT63" s="645"/>
      <c r="ALU63" s="645"/>
      <c r="ALV63" s="645"/>
      <c r="ALW63" s="645"/>
      <c r="ALX63" s="645"/>
      <c r="ALY63" s="645"/>
      <c r="ALZ63" s="645"/>
      <c r="AMA63" s="645"/>
      <c r="AMB63" s="645"/>
      <c r="AMC63" s="645"/>
      <c r="AMD63" s="645"/>
      <c r="AME63" s="645"/>
      <c r="AMF63" s="645"/>
      <c r="AMG63" s="645"/>
      <c r="AMH63" s="645"/>
      <c r="AMI63" s="645"/>
      <c r="AMJ63" s="645"/>
    </row>
    <row r="64" spans="1:1024" s="37" customFormat="1" ht="15.75" customHeight="1" x14ac:dyDescent="0.35">
      <c r="A64" s="600"/>
      <c r="B64" s="644" t="s">
        <v>319</v>
      </c>
      <c r="C64" s="645"/>
      <c r="D64" s="646"/>
      <c r="E64" s="645"/>
      <c r="F64" s="646"/>
      <c r="G64" s="647" t="s">
        <v>243</v>
      </c>
      <c r="H64" s="643"/>
      <c r="I64" s="645"/>
      <c r="J64" s="38"/>
      <c r="K64" s="38"/>
      <c r="L64" s="39"/>
      <c r="M64" s="38"/>
      <c r="N64" s="39"/>
      <c r="O64" s="38"/>
      <c r="P64" s="39"/>
      <c r="Q64" s="38"/>
      <c r="R64" s="39"/>
      <c r="S64" s="38"/>
      <c r="T64" s="39"/>
      <c r="U64" s="38"/>
      <c r="V64" s="39"/>
      <c r="W64" s="38"/>
      <c r="X64" s="39"/>
      <c r="Y64" s="38"/>
      <c r="Z64" s="39"/>
      <c r="AA64" s="38"/>
      <c r="AB64" s="39"/>
      <c r="AC64" s="38"/>
      <c r="AD64" s="39"/>
      <c r="AE64" s="38"/>
      <c r="AF64" s="39"/>
      <c r="AG64" s="38"/>
      <c r="AH64" s="39"/>
      <c r="AI64" s="38"/>
      <c r="AJ64" s="39"/>
      <c r="AK64" s="40"/>
      <c r="AL64" s="39"/>
      <c r="AM64" s="40"/>
      <c r="AN64" s="39"/>
      <c r="AO64" s="40"/>
      <c r="AP64" s="39"/>
      <c r="AQ64" s="40"/>
      <c r="AR64" s="39"/>
      <c r="AS64" s="40"/>
      <c r="AT64" s="39"/>
      <c r="AU64" s="40"/>
      <c r="AV64" s="39"/>
      <c r="AW64" s="40"/>
      <c r="AX64" s="39"/>
      <c r="AY64" s="40"/>
      <c r="AZ64" s="39"/>
      <c r="BA64" s="40"/>
      <c r="BB64" s="39"/>
      <c r="BC64" s="40"/>
      <c r="BD64" s="39"/>
      <c r="BE64" s="40"/>
      <c r="BF64" s="39"/>
      <c r="BG64" s="40"/>
      <c r="BH64" s="39"/>
      <c r="BI64" s="40"/>
      <c r="BJ64" s="39"/>
      <c r="BK64" s="40"/>
      <c r="BL64" s="39"/>
      <c r="BM64" s="40"/>
      <c r="BN64" s="39"/>
      <c r="BO64" s="40"/>
      <c r="BP64" s="39"/>
      <c r="BQ64" s="40"/>
      <c r="BR64" s="39"/>
      <c r="BS64" s="40"/>
      <c r="BT64" s="39"/>
      <c r="BU64" s="40"/>
      <c r="BV64" s="39"/>
      <c r="BW64" s="40"/>
      <c r="BX64" s="39"/>
      <c r="BY64" s="40"/>
      <c r="BZ64" s="39"/>
      <c r="CA64" s="40"/>
      <c r="CB64" s="39"/>
      <c r="CC64" s="40"/>
      <c r="CD64" s="39"/>
      <c r="CE64" s="40"/>
      <c r="CF64" s="39"/>
      <c r="CG64" s="40"/>
      <c r="CH64" s="39"/>
      <c r="CI64" s="40"/>
      <c r="CJ64" s="39"/>
      <c r="CK64" s="40"/>
      <c r="CL64" s="39"/>
      <c r="CM64" s="40"/>
      <c r="CN64" s="39"/>
      <c r="CO64" s="40"/>
      <c r="CP64" s="39"/>
      <c r="CQ64" s="40"/>
      <c r="CR64" s="39"/>
      <c r="CS64" s="40"/>
      <c r="CT64" s="39"/>
      <c r="CU64" s="40"/>
      <c r="CV64" s="39"/>
      <c r="CW64" s="40"/>
      <c r="CX64" s="39"/>
      <c r="CY64" s="40"/>
      <c r="CZ64" s="39"/>
      <c r="DA64" s="40"/>
      <c r="DB64" s="39"/>
      <c r="DC64" s="40"/>
      <c r="DD64" s="39"/>
      <c r="DE64" s="40"/>
      <c r="DF64" s="39"/>
      <c r="DG64" s="40"/>
      <c r="DH64" s="39"/>
      <c r="DI64" s="40"/>
      <c r="DJ64" s="39"/>
      <c r="DK64" s="40"/>
      <c r="DL64" s="39"/>
      <c r="DM64" s="40"/>
      <c r="DN64" s="39"/>
      <c r="DO64" s="40"/>
      <c r="DP64" s="39"/>
      <c r="DQ64" s="40"/>
      <c r="DR64" s="39"/>
      <c r="DS64" s="40"/>
      <c r="DT64" s="39"/>
      <c r="DU64" s="40"/>
      <c r="DV64" s="39"/>
      <c r="DW64" s="40"/>
      <c r="DX64" s="39"/>
      <c r="DY64" s="40"/>
      <c r="DZ64" s="39"/>
      <c r="EA64" s="40"/>
      <c r="EB64" s="39"/>
      <c r="EC64" s="40"/>
      <c r="ED64" s="39"/>
      <c r="EE64" s="40"/>
      <c r="EF64" s="39"/>
      <c r="EG64" s="40"/>
      <c r="EH64" s="39"/>
      <c r="EI64" s="40"/>
      <c r="EJ64" s="39"/>
      <c r="EK64" s="40"/>
      <c r="EL64" s="39"/>
      <c r="EM64" s="40"/>
      <c r="EN64" s="39"/>
      <c r="EO64" s="40"/>
      <c r="EP64" s="39"/>
      <c r="EQ64" s="40"/>
      <c r="ER64" s="39"/>
      <c r="ES64" s="40"/>
      <c r="ET64" s="39"/>
      <c r="EU64" s="40"/>
      <c r="EV64" s="39"/>
      <c r="EW64" s="40"/>
      <c r="EX64" s="39"/>
      <c r="EY64" s="40"/>
      <c r="EZ64" s="39"/>
      <c r="FA64" s="40"/>
      <c r="FB64" s="39"/>
      <c r="FC64" s="40"/>
      <c r="FD64" s="39"/>
      <c r="FE64" s="40"/>
      <c r="FF64" s="39"/>
      <c r="FG64" s="40"/>
      <c r="FH64" s="39"/>
      <c r="FI64" s="40"/>
      <c r="FJ64" s="39"/>
      <c r="FK64" s="40"/>
      <c r="FL64" s="39"/>
      <c r="FM64" s="40"/>
      <c r="FN64" s="39"/>
      <c r="FO64" s="40"/>
      <c r="FP64" s="39"/>
      <c r="FQ64" s="40"/>
      <c r="FR64" s="39"/>
      <c r="FS64" s="40"/>
      <c r="FT64" s="39"/>
      <c r="FU64" s="40"/>
      <c r="FV64" s="39"/>
      <c r="FW64" s="40"/>
      <c r="FX64" s="39"/>
      <c r="FY64" s="40"/>
      <c r="FZ64" s="39"/>
      <c r="GA64" s="40"/>
      <c r="GB64" s="39"/>
      <c r="GC64" s="40"/>
      <c r="GD64" s="39"/>
      <c r="GE64" s="40"/>
      <c r="GF64" s="39"/>
      <c r="GG64" s="40"/>
      <c r="GH64" s="39"/>
      <c r="GI64" s="40"/>
      <c r="GJ64" s="39"/>
      <c r="GK64" s="40"/>
      <c r="GL64" s="39"/>
      <c r="GM64" s="40"/>
      <c r="GN64" s="39"/>
      <c r="GO64" s="40"/>
      <c r="GP64" s="39"/>
      <c r="GQ64" s="40"/>
      <c r="GR64" s="39"/>
      <c r="GS64" s="40"/>
      <c r="GT64" s="39"/>
      <c r="GU64" s="40"/>
      <c r="GV64" s="39"/>
      <c r="GW64" s="40"/>
      <c r="GX64" s="39"/>
      <c r="GY64" s="40"/>
      <c r="GZ64" s="39"/>
      <c r="HA64" s="40"/>
      <c r="HB64" s="39"/>
      <c r="HC64" s="40"/>
      <c r="HD64" s="39"/>
      <c r="HE64" s="40"/>
      <c r="HF64" s="39"/>
      <c r="HG64" s="40"/>
      <c r="HH64" s="39"/>
      <c r="HI64" s="40"/>
      <c r="HJ64" s="39"/>
      <c r="HK64" s="40"/>
      <c r="HL64" s="39"/>
      <c r="HM64" s="40"/>
      <c r="HN64" s="39"/>
      <c r="HO64" s="40"/>
      <c r="HP64" s="39"/>
      <c r="HQ64" s="40"/>
      <c r="HR64" s="39"/>
      <c r="HS64" s="40"/>
      <c r="HT64" s="39"/>
      <c r="HU64" s="40"/>
      <c r="HV64" s="39"/>
      <c r="HW64" s="40"/>
      <c r="HX64" s="39"/>
      <c r="HY64" s="40"/>
      <c r="HZ64" s="39"/>
      <c r="IA64" s="40"/>
      <c r="IB64" s="39"/>
      <c r="IC64" s="1068"/>
      <c r="ID64" s="645"/>
      <c r="IE64" s="646"/>
      <c r="IF64" s="645"/>
      <c r="IG64" s="646"/>
      <c r="IH64" s="645"/>
      <c r="II64" s="646"/>
      <c r="IJ64" s="645"/>
      <c r="IK64" s="646"/>
      <c r="IL64" s="645"/>
      <c r="IM64" s="646"/>
      <c r="IN64" s="645"/>
      <c r="IO64" s="646"/>
      <c r="IP64" s="645"/>
      <c r="IQ64" s="646"/>
      <c r="IR64" s="645"/>
      <c r="IS64" s="646"/>
      <c r="IT64" s="645"/>
      <c r="IU64" s="646"/>
      <c r="IV64" s="645"/>
      <c r="IW64" s="646"/>
      <c r="IX64" s="645"/>
      <c r="IY64" s="646"/>
      <c r="IZ64" s="645"/>
      <c r="JA64" s="646"/>
      <c r="JB64" s="645"/>
      <c r="JC64" s="646"/>
      <c r="JD64" s="645"/>
      <c r="JE64" s="646"/>
      <c r="JF64" s="645"/>
      <c r="JG64" s="646"/>
      <c r="JH64" s="645"/>
      <c r="JI64" s="646"/>
      <c r="JJ64" s="645"/>
      <c r="JK64" s="646"/>
      <c r="JL64" s="645"/>
      <c r="JM64" s="646"/>
      <c r="JN64" s="645"/>
      <c r="JO64" s="646"/>
      <c r="JP64" s="645"/>
      <c r="JQ64" s="646"/>
      <c r="JR64" s="645"/>
      <c r="JS64" s="646"/>
      <c r="JT64" s="645"/>
      <c r="JU64" s="646"/>
      <c r="JV64" s="645"/>
      <c r="JW64" s="646"/>
      <c r="JX64" s="645"/>
      <c r="JY64" s="646"/>
      <c r="JZ64" s="645"/>
      <c r="KA64" s="646"/>
      <c r="KB64" s="645"/>
      <c r="KC64" s="646"/>
      <c r="KD64" s="645"/>
      <c r="KE64" s="646"/>
      <c r="KF64" s="645"/>
      <c r="KG64" s="646"/>
      <c r="KH64" s="645"/>
      <c r="KI64" s="646"/>
      <c r="KJ64" s="645"/>
      <c r="KK64" s="646"/>
      <c r="KL64" s="645"/>
      <c r="KM64" s="646"/>
      <c r="KN64" s="645"/>
      <c r="KO64" s="646"/>
      <c r="KP64" s="645"/>
      <c r="KQ64" s="646"/>
      <c r="KR64" s="645"/>
      <c r="KS64" s="646"/>
      <c r="KT64" s="645"/>
      <c r="KU64" s="646"/>
      <c r="KV64" s="645"/>
      <c r="KW64" s="646"/>
      <c r="KX64" s="645"/>
      <c r="KY64" s="646"/>
      <c r="KZ64" s="645"/>
      <c r="LA64" s="646"/>
      <c r="LB64" s="645"/>
      <c r="LC64" s="646"/>
      <c r="LD64" s="645"/>
      <c r="LE64" s="646"/>
      <c r="LF64" s="645"/>
      <c r="LG64" s="646"/>
      <c r="LH64" s="645"/>
      <c r="LI64" s="646"/>
      <c r="LJ64" s="645"/>
      <c r="LK64" s="646"/>
      <c r="LL64" s="645"/>
      <c r="LM64" s="646"/>
      <c r="LN64" s="645"/>
      <c r="LO64" s="646"/>
      <c r="LP64" s="645"/>
      <c r="LQ64" s="646"/>
      <c r="LR64" s="645"/>
      <c r="LS64" s="646"/>
      <c r="LT64" s="645"/>
      <c r="LU64" s="646"/>
      <c r="LV64" s="645"/>
      <c r="LW64" s="646"/>
      <c r="LX64" s="645"/>
      <c r="LY64" s="646"/>
      <c r="LZ64" s="645"/>
      <c r="MA64" s="646"/>
      <c r="MB64" s="645"/>
      <c r="MC64" s="646"/>
      <c r="MD64" s="645"/>
      <c r="ME64" s="646"/>
      <c r="MF64" s="645"/>
      <c r="MG64" s="646"/>
      <c r="MH64" s="645"/>
      <c r="MI64" s="646"/>
      <c r="MJ64" s="645"/>
      <c r="MK64" s="646"/>
      <c r="ML64" s="645"/>
      <c r="MM64" s="646"/>
      <c r="MN64" s="645"/>
      <c r="MO64" s="646"/>
      <c r="MP64" s="645"/>
      <c r="MQ64" s="646"/>
      <c r="MR64" s="645"/>
      <c r="MS64" s="646"/>
      <c r="MT64" s="645"/>
      <c r="MU64" s="646"/>
      <c r="MV64" s="645"/>
      <c r="MW64" s="646"/>
      <c r="MX64" s="645"/>
      <c r="MY64" s="646"/>
      <c r="MZ64" s="645"/>
      <c r="NA64" s="646"/>
      <c r="NB64" s="645"/>
      <c r="NC64" s="646"/>
      <c r="ND64" s="645"/>
      <c r="NE64" s="646"/>
      <c r="NF64" s="645"/>
      <c r="NG64" s="646"/>
      <c r="NH64" s="645"/>
      <c r="NI64" s="646"/>
      <c r="NJ64" s="645"/>
      <c r="NK64" s="646"/>
      <c r="NL64" s="645"/>
      <c r="NM64" s="646"/>
      <c r="NN64" s="645"/>
      <c r="NO64" s="646"/>
      <c r="NP64" s="645"/>
      <c r="NQ64" s="646"/>
      <c r="NR64" s="645"/>
      <c r="NS64" s="646"/>
      <c r="NT64" s="645"/>
      <c r="NU64" s="646"/>
      <c r="NV64" s="645"/>
      <c r="NW64" s="646"/>
      <c r="NX64" s="645"/>
      <c r="NY64" s="646"/>
      <c r="NZ64" s="645"/>
      <c r="OA64" s="646"/>
      <c r="OB64" s="645"/>
      <c r="OC64" s="646"/>
      <c r="OD64" s="645"/>
      <c r="OE64" s="646"/>
      <c r="OF64" s="645"/>
      <c r="OG64" s="646"/>
      <c r="OH64" s="645"/>
      <c r="OI64" s="646"/>
      <c r="OJ64" s="645"/>
      <c r="OK64" s="646"/>
      <c r="OL64" s="645"/>
      <c r="OM64" s="646"/>
      <c r="ON64" s="645"/>
      <c r="OO64" s="646"/>
      <c r="OP64" s="645"/>
      <c r="OQ64" s="646"/>
      <c r="OR64" s="645"/>
      <c r="OS64" s="646"/>
      <c r="OT64" s="645"/>
      <c r="OU64" s="646"/>
      <c r="OV64" s="645"/>
      <c r="OW64" s="646"/>
      <c r="OX64" s="645"/>
      <c r="OY64" s="646"/>
      <c r="OZ64" s="645"/>
      <c r="PA64" s="646"/>
      <c r="PB64" s="645"/>
      <c r="PC64" s="646"/>
      <c r="PD64" s="645"/>
      <c r="PE64" s="646"/>
      <c r="PF64" s="645"/>
      <c r="PG64" s="646"/>
      <c r="PH64" s="645"/>
      <c r="PI64" s="646"/>
      <c r="PJ64" s="645"/>
      <c r="PK64" s="646"/>
      <c r="PL64" s="645"/>
      <c r="PM64" s="646"/>
      <c r="PN64" s="645"/>
      <c r="PO64" s="646"/>
      <c r="PP64" s="645"/>
      <c r="PQ64" s="646"/>
      <c r="PR64" s="645"/>
      <c r="PS64" s="646"/>
      <c r="PT64" s="645"/>
      <c r="PU64" s="646"/>
      <c r="PV64" s="645"/>
      <c r="PW64" s="646"/>
      <c r="PX64" s="645"/>
      <c r="PY64" s="646"/>
      <c r="PZ64" s="645"/>
      <c r="QA64" s="646"/>
      <c r="QB64" s="645"/>
      <c r="QC64" s="646"/>
      <c r="QD64" s="645"/>
      <c r="QE64" s="646"/>
      <c r="QF64" s="645"/>
      <c r="QG64" s="646"/>
      <c r="QH64" s="645"/>
      <c r="QI64" s="646"/>
      <c r="QJ64" s="645"/>
      <c r="QK64" s="646"/>
      <c r="QL64" s="645"/>
      <c r="QM64" s="646"/>
      <c r="QN64" s="645"/>
      <c r="QO64" s="646"/>
      <c r="QP64" s="645"/>
      <c r="QQ64" s="646"/>
      <c r="QR64" s="645"/>
      <c r="QS64" s="646"/>
      <c r="QT64" s="645"/>
      <c r="QU64" s="646"/>
      <c r="QV64" s="645"/>
      <c r="QW64" s="646"/>
      <c r="QX64" s="645"/>
      <c r="QY64" s="646"/>
      <c r="QZ64" s="645"/>
      <c r="RA64" s="646"/>
      <c r="RB64" s="645"/>
      <c r="RC64" s="646"/>
      <c r="RD64" s="645"/>
      <c r="RE64" s="646"/>
      <c r="RF64" s="645"/>
      <c r="RG64" s="646"/>
      <c r="RH64" s="645"/>
      <c r="RI64" s="646"/>
      <c r="RJ64" s="645"/>
      <c r="RK64" s="646"/>
      <c r="RL64" s="645"/>
      <c r="RM64" s="646"/>
      <c r="RN64" s="645"/>
      <c r="RO64" s="646"/>
      <c r="RP64" s="645"/>
      <c r="RQ64" s="646"/>
      <c r="RR64" s="645"/>
      <c r="RS64" s="646"/>
      <c r="RT64" s="645"/>
      <c r="RU64" s="646"/>
      <c r="RV64" s="645"/>
      <c r="RW64" s="646"/>
      <c r="RX64" s="645"/>
      <c r="RY64" s="646"/>
      <c r="RZ64" s="645"/>
      <c r="SA64" s="646"/>
      <c r="SB64" s="645"/>
      <c r="SC64" s="646"/>
      <c r="SD64" s="645"/>
      <c r="SE64" s="646"/>
      <c r="SF64" s="645"/>
      <c r="SG64" s="646"/>
      <c r="SH64" s="645"/>
      <c r="SI64" s="646"/>
      <c r="SJ64" s="645"/>
      <c r="SK64" s="646"/>
      <c r="SL64" s="645"/>
      <c r="SM64" s="646"/>
      <c r="SN64" s="645"/>
      <c r="SO64" s="646"/>
      <c r="SP64" s="645"/>
      <c r="SQ64" s="646"/>
      <c r="SR64" s="645"/>
      <c r="SS64" s="646"/>
      <c r="ST64" s="645"/>
      <c r="SU64" s="646"/>
      <c r="SV64" s="645"/>
      <c r="SW64" s="646"/>
      <c r="SX64" s="645"/>
      <c r="SY64" s="646"/>
      <c r="SZ64" s="645"/>
      <c r="TA64" s="646"/>
      <c r="TB64" s="645"/>
      <c r="TC64" s="646"/>
      <c r="TD64" s="645"/>
      <c r="TE64" s="646"/>
      <c r="TF64" s="645"/>
      <c r="TG64" s="646"/>
      <c r="TH64" s="645"/>
      <c r="TI64" s="646"/>
      <c r="TJ64" s="645"/>
      <c r="TK64" s="646"/>
      <c r="TL64" s="645"/>
      <c r="TM64" s="646"/>
      <c r="TN64" s="645"/>
      <c r="TO64" s="646"/>
      <c r="TP64" s="645"/>
      <c r="TQ64" s="646"/>
      <c r="TR64" s="645"/>
      <c r="TS64" s="646"/>
      <c r="TT64" s="645"/>
      <c r="TU64" s="646"/>
      <c r="TV64" s="645"/>
      <c r="TW64" s="646"/>
      <c r="TX64" s="645"/>
      <c r="TY64" s="646"/>
      <c r="TZ64" s="645"/>
      <c r="UA64" s="646"/>
      <c r="UB64" s="645"/>
      <c r="UC64" s="646"/>
      <c r="UD64" s="645"/>
      <c r="UE64" s="646"/>
      <c r="UF64" s="645"/>
      <c r="UG64" s="646"/>
      <c r="UH64" s="645"/>
      <c r="UI64" s="646"/>
      <c r="UJ64" s="645"/>
      <c r="UK64" s="646"/>
      <c r="UL64" s="645"/>
      <c r="UM64" s="646"/>
      <c r="UN64" s="645"/>
      <c r="UO64" s="646"/>
      <c r="UP64" s="645"/>
      <c r="UQ64" s="646"/>
      <c r="UR64" s="645"/>
      <c r="US64" s="646"/>
      <c r="UT64" s="645"/>
      <c r="UU64" s="646"/>
      <c r="UV64" s="645"/>
      <c r="UW64" s="646"/>
      <c r="UX64" s="645"/>
      <c r="UY64" s="646"/>
      <c r="UZ64" s="645"/>
      <c r="VA64" s="646"/>
      <c r="VB64" s="645"/>
      <c r="VC64" s="646"/>
      <c r="VD64" s="645"/>
      <c r="VE64" s="646"/>
      <c r="VF64" s="645"/>
      <c r="VG64" s="646"/>
      <c r="VH64" s="645"/>
      <c r="VI64" s="646"/>
      <c r="VJ64" s="645"/>
      <c r="VK64" s="646"/>
      <c r="VL64" s="645"/>
      <c r="VM64" s="646"/>
      <c r="VN64" s="645"/>
      <c r="VO64" s="646"/>
      <c r="VP64" s="645"/>
      <c r="VQ64" s="646"/>
      <c r="VR64" s="645"/>
      <c r="VS64" s="646"/>
      <c r="VT64" s="645"/>
      <c r="VU64" s="646"/>
      <c r="VV64" s="645"/>
      <c r="VW64" s="646"/>
      <c r="VX64" s="645"/>
      <c r="VY64" s="646"/>
      <c r="VZ64" s="645"/>
      <c r="WA64" s="646"/>
      <c r="WB64" s="645"/>
      <c r="WC64" s="646"/>
      <c r="WD64" s="645"/>
      <c r="WE64" s="646"/>
      <c r="WF64" s="645"/>
      <c r="WG64" s="646"/>
      <c r="WH64" s="645"/>
      <c r="WI64" s="646"/>
      <c r="WJ64" s="645"/>
      <c r="WK64" s="646"/>
      <c r="WL64" s="645"/>
      <c r="WM64" s="646"/>
      <c r="WN64" s="645"/>
      <c r="WO64" s="646"/>
      <c r="WP64" s="645"/>
      <c r="WQ64" s="646"/>
      <c r="WR64" s="645"/>
      <c r="WS64" s="646"/>
      <c r="WT64" s="645"/>
      <c r="WU64" s="646"/>
      <c r="WV64" s="645"/>
      <c r="WW64" s="646"/>
      <c r="WX64" s="645"/>
      <c r="WY64" s="646"/>
      <c r="WZ64" s="645"/>
      <c r="XA64" s="646"/>
      <c r="XB64" s="645"/>
      <c r="XC64" s="646"/>
      <c r="XD64" s="645"/>
      <c r="XE64" s="646"/>
      <c r="XF64" s="645"/>
      <c r="XG64" s="646"/>
      <c r="XH64" s="645"/>
      <c r="XI64" s="646"/>
      <c r="XJ64" s="645"/>
      <c r="XK64" s="646"/>
      <c r="XL64" s="645"/>
      <c r="XM64" s="646"/>
      <c r="XN64" s="645"/>
      <c r="XO64" s="646"/>
      <c r="XP64" s="645"/>
      <c r="XQ64" s="646"/>
      <c r="XR64" s="645"/>
      <c r="XS64" s="646"/>
      <c r="XT64" s="645"/>
      <c r="XU64" s="646"/>
      <c r="XV64" s="645"/>
      <c r="XW64" s="646"/>
      <c r="XX64" s="645"/>
      <c r="XY64" s="646"/>
      <c r="XZ64" s="645"/>
      <c r="YA64" s="646"/>
      <c r="YB64" s="645"/>
      <c r="YC64" s="646"/>
      <c r="YD64" s="645"/>
      <c r="YE64" s="646"/>
      <c r="YF64" s="645"/>
      <c r="YG64" s="646"/>
      <c r="YH64" s="645"/>
      <c r="YI64" s="646"/>
      <c r="YJ64" s="645"/>
      <c r="YK64" s="646"/>
      <c r="YL64" s="645"/>
      <c r="YM64" s="646"/>
      <c r="YN64" s="645"/>
      <c r="YO64" s="646"/>
      <c r="YP64" s="645"/>
      <c r="YQ64" s="646"/>
      <c r="YR64" s="645"/>
      <c r="YS64" s="646"/>
      <c r="YT64" s="645"/>
      <c r="YU64" s="646"/>
      <c r="YV64" s="645"/>
      <c r="YW64" s="646"/>
      <c r="YX64" s="645"/>
      <c r="YY64" s="646"/>
      <c r="YZ64" s="645"/>
      <c r="ZA64" s="646"/>
      <c r="ZB64" s="645"/>
      <c r="ZC64" s="646"/>
      <c r="ZD64" s="645"/>
      <c r="ZE64" s="646"/>
      <c r="ZF64" s="645"/>
      <c r="ZG64" s="646"/>
      <c r="ZH64" s="645"/>
      <c r="ZI64" s="646"/>
      <c r="ZJ64" s="645"/>
      <c r="ZK64" s="646"/>
      <c r="ZL64" s="645"/>
      <c r="ZM64" s="646"/>
      <c r="ZN64" s="645"/>
      <c r="ZO64" s="646"/>
      <c r="ZP64" s="645"/>
      <c r="ZQ64" s="646"/>
      <c r="ZR64" s="645"/>
      <c r="ZS64" s="646"/>
      <c r="ZT64" s="645"/>
      <c r="ZU64" s="646"/>
      <c r="ZV64" s="645"/>
      <c r="ZW64" s="646"/>
      <c r="ZX64" s="645"/>
      <c r="ZY64" s="646"/>
      <c r="ZZ64" s="645"/>
      <c r="AAA64" s="646"/>
      <c r="AAB64" s="645"/>
      <c r="AAC64" s="646"/>
      <c r="AAD64" s="645"/>
      <c r="AAE64" s="646"/>
      <c r="AAF64" s="645"/>
      <c r="AAG64" s="646"/>
      <c r="AAH64" s="645"/>
      <c r="AAI64" s="646"/>
      <c r="AAJ64" s="645"/>
      <c r="AAK64" s="646"/>
      <c r="AAL64" s="645"/>
      <c r="AAM64" s="646"/>
      <c r="AAN64" s="645"/>
      <c r="AAO64" s="646"/>
      <c r="AAP64" s="645"/>
      <c r="AAQ64" s="646"/>
      <c r="AAR64" s="645"/>
      <c r="AAS64" s="646"/>
      <c r="AAT64" s="645"/>
      <c r="AAU64" s="646"/>
      <c r="AAV64" s="645"/>
      <c r="AAW64" s="646"/>
      <c r="AAX64" s="645"/>
      <c r="AAY64" s="646"/>
      <c r="AAZ64" s="645"/>
      <c r="ABA64" s="646"/>
      <c r="ABB64" s="645"/>
      <c r="ABC64" s="646"/>
      <c r="ABD64" s="645"/>
      <c r="ABE64" s="646"/>
      <c r="ABF64" s="645"/>
      <c r="ABG64" s="646"/>
      <c r="ABH64" s="645"/>
      <c r="ABI64" s="646"/>
      <c r="ABJ64" s="645"/>
      <c r="ABK64" s="646"/>
      <c r="ABL64" s="645"/>
      <c r="ABM64" s="646"/>
      <c r="ABN64" s="645"/>
      <c r="ABO64" s="646"/>
      <c r="ABP64" s="645"/>
      <c r="ABQ64" s="646"/>
      <c r="ABR64" s="645"/>
      <c r="ABS64" s="646"/>
      <c r="ABT64" s="645"/>
      <c r="ABU64" s="646"/>
      <c r="ABV64" s="645"/>
      <c r="ABW64" s="646"/>
      <c r="ABX64" s="645"/>
      <c r="ABY64" s="646"/>
      <c r="ABZ64" s="645"/>
      <c r="ACA64" s="646"/>
      <c r="ACB64" s="645"/>
      <c r="ACC64" s="646"/>
      <c r="ACD64" s="645"/>
      <c r="ACE64" s="646"/>
      <c r="ACF64" s="645"/>
      <c r="ACG64" s="646"/>
      <c r="ACH64" s="645"/>
      <c r="ACI64" s="646"/>
      <c r="ACJ64" s="645"/>
      <c r="ACK64" s="646"/>
      <c r="ACL64" s="645"/>
      <c r="ACM64" s="646"/>
      <c r="ACN64" s="645"/>
      <c r="ACO64" s="646"/>
      <c r="ACP64" s="645"/>
      <c r="ACQ64" s="646"/>
      <c r="ACR64" s="645"/>
      <c r="ACS64" s="646"/>
      <c r="ACT64" s="645"/>
      <c r="ACU64" s="646"/>
      <c r="ACV64" s="645"/>
      <c r="ACW64" s="646"/>
      <c r="ACX64" s="645"/>
      <c r="ACY64" s="646"/>
      <c r="ACZ64" s="645"/>
      <c r="ADA64" s="646"/>
      <c r="ADB64" s="645"/>
      <c r="ADC64" s="646"/>
      <c r="ADD64" s="645"/>
      <c r="ADE64" s="646"/>
      <c r="ADF64" s="645"/>
      <c r="ADG64" s="646"/>
      <c r="ADH64" s="645"/>
      <c r="ADI64" s="646"/>
      <c r="ADJ64" s="645"/>
      <c r="ADK64" s="646"/>
      <c r="ADL64" s="645"/>
      <c r="ADM64" s="646"/>
      <c r="ADN64" s="645"/>
      <c r="ADO64" s="646"/>
      <c r="ADP64" s="645"/>
      <c r="ADQ64" s="646"/>
      <c r="ADR64" s="645"/>
      <c r="ADS64" s="646"/>
      <c r="ADT64" s="645"/>
      <c r="ADU64" s="646"/>
      <c r="ADV64" s="645"/>
      <c r="ADW64" s="646"/>
      <c r="ADX64" s="645"/>
      <c r="ADY64" s="646"/>
      <c r="ADZ64" s="645"/>
      <c r="AEA64" s="646"/>
      <c r="AEB64" s="645"/>
      <c r="AEC64" s="646"/>
      <c r="AED64" s="645"/>
      <c r="AEE64" s="646"/>
      <c r="AEF64" s="645"/>
      <c r="AEG64" s="646"/>
      <c r="AEH64" s="645"/>
      <c r="AEI64" s="646"/>
      <c r="AEJ64" s="645"/>
      <c r="AEK64" s="646"/>
      <c r="AEL64" s="645"/>
      <c r="AEM64" s="646"/>
      <c r="AEN64" s="645"/>
      <c r="AEO64" s="646"/>
      <c r="AEP64" s="645"/>
      <c r="AEQ64" s="646"/>
      <c r="AER64" s="645"/>
      <c r="AES64" s="646"/>
      <c r="AET64" s="645"/>
      <c r="AEU64" s="646"/>
      <c r="AEV64" s="645"/>
      <c r="AEW64" s="646"/>
      <c r="AEX64" s="645"/>
      <c r="AEY64" s="646"/>
      <c r="AEZ64" s="645"/>
      <c r="AFA64" s="646"/>
      <c r="AFB64" s="645"/>
      <c r="AFC64" s="646"/>
      <c r="AFD64" s="645"/>
      <c r="AFE64" s="646"/>
      <c r="AFF64" s="645"/>
      <c r="AFG64" s="646"/>
      <c r="AFH64" s="645"/>
      <c r="AFI64" s="646"/>
      <c r="AFJ64" s="645"/>
      <c r="AFK64" s="646"/>
      <c r="AFL64" s="645"/>
      <c r="AFM64" s="646"/>
      <c r="AFN64" s="645"/>
      <c r="AFO64" s="646"/>
      <c r="AFP64" s="645"/>
      <c r="AFQ64" s="646"/>
      <c r="AFR64" s="645"/>
      <c r="AFS64" s="646"/>
      <c r="AFT64" s="645"/>
      <c r="AFU64" s="646"/>
      <c r="AFV64" s="645"/>
      <c r="AFW64" s="646"/>
      <c r="AFX64" s="645"/>
      <c r="AFY64" s="646"/>
      <c r="AFZ64" s="645"/>
      <c r="AGA64" s="646"/>
      <c r="AGB64" s="645"/>
      <c r="AGC64" s="646"/>
      <c r="AGD64" s="645"/>
      <c r="AGE64" s="646"/>
      <c r="AGF64" s="645"/>
      <c r="AGG64" s="646"/>
      <c r="AGH64" s="645"/>
      <c r="AGI64" s="646"/>
      <c r="AGJ64" s="645"/>
      <c r="AGK64" s="646"/>
      <c r="AGL64" s="645"/>
      <c r="AGM64" s="646"/>
      <c r="AGN64" s="645"/>
      <c r="AGO64" s="646"/>
      <c r="AGP64" s="645"/>
      <c r="AGQ64" s="646"/>
      <c r="AGR64" s="645"/>
      <c r="AGS64" s="646"/>
      <c r="AGT64" s="645"/>
      <c r="AGU64" s="646"/>
      <c r="AGV64" s="645"/>
      <c r="AGW64" s="646"/>
      <c r="AGX64" s="645"/>
      <c r="AGY64" s="646"/>
      <c r="AGZ64" s="645"/>
      <c r="AHA64" s="646"/>
      <c r="AHB64" s="645"/>
      <c r="AHC64" s="646"/>
      <c r="AHD64" s="645"/>
      <c r="AHE64" s="646"/>
      <c r="AHF64" s="645"/>
      <c r="AHG64" s="646"/>
      <c r="AHH64" s="645"/>
      <c r="AHI64" s="646"/>
      <c r="AHJ64" s="645"/>
      <c r="AHK64" s="646"/>
      <c r="AHL64" s="645"/>
      <c r="AHM64" s="646"/>
      <c r="AHN64" s="645"/>
      <c r="AHO64" s="646"/>
      <c r="AHP64" s="645"/>
      <c r="AHQ64" s="646"/>
      <c r="AHR64" s="645"/>
      <c r="AHS64" s="646"/>
      <c r="AHT64" s="645"/>
      <c r="AHU64" s="646"/>
      <c r="AHV64" s="645"/>
      <c r="AHW64" s="646"/>
      <c r="AHX64" s="645"/>
      <c r="AHY64" s="646"/>
      <c r="AHZ64" s="645"/>
      <c r="AIA64" s="646"/>
      <c r="AIB64" s="645"/>
      <c r="AIC64" s="646"/>
      <c r="AID64" s="645"/>
      <c r="AIE64" s="646"/>
      <c r="AIF64" s="645"/>
      <c r="AIG64" s="646"/>
      <c r="AIH64" s="645"/>
      <c r="AII64" s="646"/>
      <c r="AIJ64" s="645"/>
      <c r="AIK64" s="646"/>
      <c r="AIL64" s="645"/>
      <c r="AIM64" s="646"/>
      <c r="AIN64" s="645"/>
      <c r="AIO64" s="646"/>
      <c r="AIP64" s="645"/>
      <c r="AIQ64" s="645"/>
      <c r="AIR64" s="645"/>
      <c r="AIS64" s="645"/>
      <c r="AIT64" s="645"/>
      <c r="AIU64" s="645"/>
      <c r="AIV64" s="645"/>
      <c r="AIW64" s="645"/>
      <c r="AIX64" s="645"/>
      <c r="AIY64" s="645"/>
      <c r="AIZ64" s="645"/>
      <c r="AJA64" s="645"/>
      <c r="AJB64" s="645"/>
      <c r="AJC64" s="645"/>
      <c r="AJD64" s="645"/>
      <c r="AJE64" s="645"/>
      <c r="AJF64" s="645"/>
      <c r="AJG64" s="645"/>
      <c r="AJH64" s="645"/>
      <c r="AJI64" s="645"/>
      <c r="AJJ64" s="645"/>
      <c r="AJK64" s="645"/>
      <c r="AJL64" s="645"/>
      <c r="AJM64" s="645"/>
      <c r="AJN64" s="645"/>
      <c r="AJO64" s="645"/>
      <c r="AJP64" s="645"/>
      <c r="AJQ64" s="645"/>
      <c r="AJR64" s="645"/>
      <c r="AJS64" s="645"/>
      <c r="AJT64" s="645"/>
      <c r="AJU64" s="645"/>
      <c r="AJV64" s="645"/>
      <c r="AJW64" s="645"/>
      <c r="AJX64" s="645"/>
      <c r="AJY64" s="645"/>
      <c r="AJZ64" s="645"/>
      <c r="AKA64" s="645"/>
      <c r="AKB64" s="645"/>
      <c r="AKC64" s="645"/>
      <c r="AKD64" s="645"/>
      <c r="AKE64" s="645"/>
      <c r="AKF64" s="645"/>
      <c r="AKG64" s="645"/>
      <c r="AKH64" s="645"/>
      <c r="AKI64" s="645"/>
      <c r="AKJ64" s="645"/>
      <c r="AKK64" s="645"/>
      <c r="AKL64" s="645"/>
      <c r="AKM64" s="645"/>
      <c r="AKN64" s="645"/>
      <c r="AKO64" s="645"/>
      <c r="AKP64" s="645"/>
      <c r="AKQ64" s="645"/>
      <c r="AKR64" s="645"/>
      <c r="AKS64" s="645"/>
      <c r="AKT64" s="645"/>
      <c r="AKU64" s="645"/>
      <c r="AKV64" s="645"/>
      <c r="AKW64" s="645"/>
      <c r="AKX64" s="645"/>
      <c r="AKY64" s="645"/>
      <c r="AKZ64" s="645"/>
      <c r="ALA64" s="645"/>
      <c r="ALB64" s="645"/>
      <c r="ALC64" s="645"/>
      <c r="ALD64" s="645"/>
      <c r="ALE64" s="645"/>
      <c r="ALF64" s="645"/>
      <c r="ALG64" s="645"/>
      <c r="ALH64" s="645"/>
      <c r="ALI64" s="645"/>
      <c r="ALJ64" s="645"/>
      <c r="ALK64" s="645"/>
      <c r="ALL64" s="645"/>
      <c r="ALM64" s="645"/>
      <c r="ALN64" s="645"/>
      <c r="ALO64" s="645"/>
      <c r="ALP64" s="645"/>
      <c r="ALQ64" s="645"/>
      <c r="ALR64" s="645"/>
      <c r="ALS64" s="645"/>
      <c r="ALT64" s="645"/>
      <c r="ALU64" s="645"/>
      <c r="ALV64" s="645"/>
      <c r="ALW64" s="645"/>
      <c r="ALX64" s="645"/>
      <c r="ALY64" s="645"/>
      <c r="ALZ64" s="645"/>
      <c r="AMA64" s="645"/>
      <c r="AMB64" s="645"/>
      <c r="AMC64" s="645"/>
      <c r="AMD64" s="645"/>
      <c r="AME64" s="645"/>
      <c r="AMF64" s="645"/>
      <c r="AMG64" s="645"/>
      <c r="AMH64" s="645"/>
      <c r="AMI64" s="645"/>
      <c r="AMJ64" s="645"/>
    </row>
    <row r="65" spans="1:1024" s="37" customFormat="1" ht="15.75" customHeight="1" x14ac:dyDescent="0.35">
      <c r="A65" s="600"/>
      <c r="B65" s="644" t="s">
        <v>320</v>
      </c>
      <c r="C65" s="645"/>
      <c r="D65" s="646"/>
      <c r="E65" s="645"/>
      <c r="F65" s="646"/>
      <c r="G65" s="647" t="s">
        <v>241</v>
      </c>
      <c r="H65" s="643"/>
      <c r="I65" s="645"/>
      <c r="J65" s="38"/>
      <c r="K65" s="38"/>
      <c r="L65" s="39"/>
      <c r="M65" s="38"/>
      <c r="N65" s="39"/>
      <c r="O65" s="38"/>
      <c r="P65" s="39"/>
      <c r="Q65" s="38"/>
      <c r="R65" s="39"/>
      <c r="S65" s="38"/>
      <c r="T65" s="39"/>
      <c r="U65" s="38"/>
      <c r="V65" s="39"/>
      <c r="W65" s="38"/>
      <c r="X65" s="39"/>
      <c r="Y65" s="38"/>
      <c r="Z65" s="39"/>
      <c r="AA65" s="38"/>
      <c r="AB65" s="39"/>
      <c r="AC65" s="38"/>
      <c r="AD65" s="39"/>
      <c r="AE65" s="38"/>
      <c r="AF65" s="39"/>
      <c r="AG65" s="38"/>
      <c r="AH65" s="39"/>
      <c r="AI65" s="38"/>
      <c r="AJ65" s="39"/>
      <c r="AK65" s="40"/>
      <c r="AL65" s="39"/>
      <c r="AM65" s="40"/>
      <c r="AN65" s="39"/>
      <c r="AO65" s="40"/>
      <c r="AP65" s="39"/>
      <c r="AQ65" s="40"/>
      <c r="AR65" s="39"/>
      <c r="AS65" s="40"/>
      <c r="AT65" s="39"/>
      <c r="AU65" s="40"/>
      <c r="AV65" s="39"/>
      <c r="AW65" s="40"/>
      <c r="AX65" s="39"/>
      <c r="AY65" s="40"/>
      <c r="AZ65" s="39"/>
      <c r="BA65" s="40"/>
      <c r="BB65" s="39"/>
      <c r="BC65" s="40"/>
      <c r="BD65" s="39"/>
      <c r="BE65" s="40"/>
      <c r="BF65" s="39"/>
      <c r="BG65" s="40"/>
      <c r="BH65" s="39"/>
      <c r="BI65" s="40"/>
      <c r="BJ65" s="39"/>
      <c r="BK65" s="40"/>
      <c r="BL65" s="39"/>
      <c r="BM65" s="40"/>
      <c r="BN65" s="39"/>
      <c r="BO65" s="40"/>
      <c r="BP65" s="39"/>
      <c r="BQ65" s="40"/>
      <c r="BR65" s="39"/>
      <c r="BS65" s="40"/>
      <c r="BT65" s="39"/>
      <c r="BU65" s="40"/>
      <c r="BV65" s="39"/>
      <c r="BW65" s="40"/>
      <c r="BX65" s="39"/>
      <c r="BY65" s="40"/>
      <c r="BZ65" s="39"/>
      <c r="CA65" s="40"/>
      <c r="CB65" s="39"/>
      <c r="CC65" s="40"/>
      <c r="CD65" s="39"/>
      <c r="CE65" s="40"/>
      <c r="CF65" s="39"/>
      <c r="CG65" s="40"/>
      <c r="CH65" s="39"/>
      <c r="CI65" s="40"/>
      <c r="CJ65" s="39"/>
      <c r="CK65" s="40"/>
      <c r="CL65" s="39"/>
      <c r="CM65" s="40"/>
      <c r="CN65" s="39"/>
      <c r="CO65" s="40"/>
      <c r="CP65" s="39"/>
      <c r="CQ65" s="40"/>
      <c r="CR65" s="39"/>
      <c r="CS65" s="40"/>
      <c r="CT65" s="39"/>
      <c r="CU65" s="40"/>
      <c r="CV65" s="39"/>
      <c r="CW65" s="40"/>
      <c r="CX65" s="39"/>
      <c r="CY65" s="40"/>
      <c r="CZ65" s="39"/>
      <c r="DA65" s="40"/>
      <c r="DB65" s="39"/>
      <c r="DC65" s="40"/>
      <c r="DD65" s="39"/>
      <c r="DE65" s="40"/>
      <c r="DF65" s="39"/>
      <c r="DG65" s="40"/>
      <c r="DH65" s="39"/>
      <c r="DI65" s="40"/>
      <c r="DJ65" s="39"/>
      <c r="DK65" s="40"/>
      <c r="DL65" s="39"/>
      <c r="DM65" s="40"/>
      <c r="DN65" s="39"/>
      <c r="DO65" s="40"/>
      <c r="DP65" s="39"/>
      <c r="DQ65" s="40"/>
      <c r="DR65" s="39"/>
      <c r="DS65" s="40"/>
      <c r="DT65" s="39"/>
      <c r="DU65" s="40"/>
      <c r="DV65" s="39"/>
      <c r="DW65" s="40"/>
      <c r="DX65" s="39"/>
      <c r="DY65" s="40"/>
      <c r="DZ65" s="39"/>
      <c r="EA65" s="40"/>
      <c r="EB65" s="39"/>
      <c r="EC65" s="40"/>
      <c r="ED65" s="39"/>
      <c r="EE65" s="40"/>
      <c r="EF65" s="39"/>
      <c r="EG65" s="40"/>
      <c r="EH65" s="39"/>
      <c r="EI65" s="40"/>
      <c r="EJ65" s="39"/>
      <c r="EK65" s="40"/>
      <c r="EL65" s="39"/>
      <c r="EM65" s="40"/>
      <c r="EN65" s="39"/>
      <c r="EO65" s="40"/>
      <c r="EP65" s="39"/>
      <c r="EQ65" s="40"/>
      <c r="ER65" s="39"/>
      <c r="ES65" s="40"/>
      <c r="ET65" s="39"/>
      <c r="EU65" s="40"/>
      <c r="EV65" s="39"/>
      <c r="EW65" s="40"/>
      <c r="EX65" s="39"/>
      <c r="EY65" s="40"/>
      <c r="EZ65" s="39"/>
      <c r="FA65" s="40"/>
      <c r="FB65" s="39"/>
      <c r="FC65" s="40"/>
      <c r="FD65" s="39"/>
      <c r="FE65" s="40"/>
      <c r="FF65" s="39"/>
      <c r="FG65" s="40"/>
      <c r="FH65" s="39"/>
      <c r="FI65" s="40"/>
      <c r="FJ65" s="39"/>
      <c r="FK65" s="40"/>
      <c r="FL65" s="39"/>
      <c r="FM65" s="40"/>
      <c r="FN65" s="39"/>
      <c r="FO65" s="40"/>
      <c r="FP65" s="39"/>
      <c r="FQ65" s="40"/>
      <c r="FR65" s="39"/>
      <c r="FS65" s="40"/>
      <c r="FT65" s="39"/>
      <c r="FU65" s="40"/>
      <c r="FV65" s="39"/>
      <c r="FW65" s="40"/>
      <c r="FX65" s="39"/>
      <c r="FY65" s="40"/>
      <c r="FZ65" s="39"/>
      <c r="GA65" s="40"/>
      <c r="GB65" s="39"/>
      <c r="GC65" s="40"/>
      <c r="GD65" s="39"/>
      <c r="GE65" s="40"/>
      <c r="GF65" s="39"/>
      <c r="GG65" s="40"/>
      <c r="GH65" s="39"/>
      <c r="GI65" s="40"/>
      <c r="GJ65" s="39"/>
      <c r="GK65" s="40"/>
      <c r="GL65" s="39"/>
      <c r="GM65" s="40"/>
      <c r="GN65" s="39"/>
      <c r="GO65" s="40"/>
      <c r="GP65" s="39"/>
      <c r="GQ65" s="40"/>
      <c r="GR65" s="39"/>
      <c r="GS65" s="40"/>
      <c r="GT65" s="39"/>
      <c r="GU65" s="40"/>
      <c r="GV65" s="39"/>
      <c r="GW65" s="40"/>
      <c r="GX65" s="39"/>
      <c r="GY65" s="40"/>
      <c r="GZ65" s="39"/>
      <c r="HA65" s="40"/>
      <c r="HB65" s="39"/>
      <c r="HC65" s="40"/>
      <c r="HD65" s="39"/>
      <c r="HE65" s="40"/>
      <c r="HF65" s="39"/>
      <c r="HG65" s="40"/>
      <c r="HH65" s="39"/>
      <c r="HI65" s="40"/>
      <c r="HJ65" s="39"/>
      <c r="HK65" s="40"/>
      <c r="HL65" s="39"/>
      <c r="HM65" s="40"/>
      <c r="HN65" s="39"/>
      <c r="HO65" s="40"/>
      <c r="HP65" s="39"/>
      <c r="HQ65" s="40"/>
      <c r="HR65" s="39"/>
      <c r="HS65" s="40"/>
      <c r="HT65" s="39"/>
      <c r="HU65" s="40"/>
      <c r="HV65" s="39"/>
      <c r="HW65" s="40"/>
      <c r="HX65" s="39"/>
      <c r="HY65" s="40"/>
      <c r="HZ65" s="39"/>
      <c r="IA65" s="40"/>
      <c r="IB65" s="39"/>
      <c r="IC65" s="1068"/>
      <c r="ID65" s="645"/>
      <c r="IE65" s="646"/>
      <c r="IF65" s="645"/>
      <c r="IG65" s="646"/>
      <c r="IH65" s="645"/>
      <c r="II65" s="646"/>
      <c r="IJ65" s="645"/>
      <c r="IK65" s="646"/>
      <c r="IL65" s="645"/>
      <c r="IM65" s="646"/>
      <c r="IN65" s="645"/>
      <c r="IO65" s="646"/>
      <c r="IP65" s="645"/>
      <c r="IQ65" s="646"/>
      <c r="IR65" s="645"/>
      <c r="IS65" s="646"/>
      <c r="IT65" s="645"/>
      <c r="IU65" s="646"/>
      <c r="IV65" s="645"/>
      <c r="IW65" s="646"/>
      <c r="IX65" s="645"/>
      <c r="IY65" s="646"/>
      <c r="IZ65" s="645"/>
      <c r="JA65" s="646"/>
      <c r="JB65" s="645"/>
      <c r="JC65" s="646"/>
      <c r="JD65" s="645"/>
      <c r="JE65" s="646"/>
      <c r="JF65" s="645"/>
      <c r="JG65" s="646"/>
      <c r="JH65" s="645"/>
      <c r="JI65" s="646"/>
      <c r="JJ65" s="645"/>
      <c r="JK65" s="646"/>
      <c r="JL65" s="645"/>
      <c r="JM65" s="646"/>
      <c r="JN65" s="645"/>
      <c r="JO65" s="646"/>
      <c r="JP65" s="645"/>
      <c r="JQ65" s="646"/>
      <c r="JR65" s="645"/>
      <c r="JS65" s="646"/>
      <c r="JT65" s="645"/>
      <c r="JU65" s="646"/>
      <c r="JV65" s="645"/>
      <c r="JW65" s="646"/>
      <c r="JX65" s="645"/>
      <c r="JY65" s="646"/>
      <c r="JZ65" s="645"/>
      <c r="KA65" s="646"/>
      <c r="KB65" s="645"/>
      <c r="KC65" s="646"/>
      <c r="KD65" s="645"/>
      <c r="KE65" s="646"/>
      <c r="KF65" s="645"/>
      <c r="KG65" s="646"/>
      <c r="KH65" s="645"/>
      <c r="KI65" s="646"/>
      <c r="KJ65" s="645"/>
      <c r="KK65" s="646"/>
      <c r="KL65" s="645"/>
      <c r="KM65" s="646"/>
      <c r="KN65" s="645"/>
      <c r="KO65" s="646"/>
      <c r="KP65" s="645"/>
      <c r="KQ65" s="646"/>
      <c r="KR65" s="645"/>
      <c r="KS65" s="646"/>
      <c r="KT65" s="645"/>
      <c r="KU65" s="646"/>
      <c r="KV65" s="645"/>
      <c r="KW65" s="646"/>
      <c r="KX65" s="645"/>
      <c r="KY65" s="646"/>
      <c r="KZ65" s="645"/>
      <c r="LA65" s="646"/>
      <c r="LB65" s="645"/>
      <c r="LC65" s="646"/>
      <c r="LD65" s="645"/>
      <c r="LE65" s="646"/>
      <c r="LF65" s="645"/>
      <c r="LG65" s="646"/>
      <c r="LH65" s="645"/>
      <c r="LI65" s="646"/>
      <c r="LJ65" s="645"/>
      <c r="LK65" s="646"/>
      <c r="LL65" s="645"/>
      <c r="LM65" s="646"/>
      <c r="LN65" s="645"/>
      <c r="LO65" s="646"/>
      <c r="LP65" s="645"/>
      <c r="LQ65" s="646"/>
      <c r="LR65" s="645"/>
      <c r="LS65" s="646"/>
      <c r="LT65" s="645"/>
      <c r="LU65" s="646"/>
      <c r="LV65" s="645"/>
      <c r="LW65" s="646"/>
      <c r="LX65" s="645"/>
      <c r="LY65" s="646"/>
      <c r="LZ65" s="645"/>
      <c r="MA65" s="646"/>
      <c r="MB65" s="645"/>
      <c r="MC65" s="646"/>
      <c r="MD65" s="645"/>
      <c r="ME65" s="646"/>
      <c r="MF65" s="645"/>
      <c r="MG65" s="646"/>
      <c r="MH65" s="645"/>
      <c r="MI65" s="646"/>
      <c r="MJ65" s="645"/>
      <c r="MK65" s="646"/>
      <c r="ML65" s="645"/>
      <c r="MM65" s="646"/>
      <c r="MN65" s="645"/>
      <c r="MO65" s="646"/>
      <c r="MP65" s="645"/>
      <c r="MQ65" s="646"/>
      <c r="MR65" s="645"/>
      <c r="MS65" s="646"/>
      <c r="MT65" s="645"/>
      <c r="MU65" s="646"/>
      <c r="MV65" s="645"/>
      <c r="MW65" s="646"/>
      <c r="MX65" s="645"/>
      <c r="MY65" s="646"/>
      <c r="MZ65" s="645"/>
      <c r="NA65" s="646"/>
      <c r="NB65" s="645"/>
      <c r="NC65" s="646"/>
      <c r="ND65" s="645"/>
      <c r="NE65" s="646"/>
      <c r="NF65" s="645"/>
      <c r="NG65" s="646"/>
      <c r="NH65" s="645"/>
      <c r="NI65" s="646"/>
      <c r="NJ65" s="645"/>
      <c r="NK65" s="646"/>
      <c r="NL65" s="645"/>
      <c r="NM65" s="646"/>
      <c r="NN65" s="645"/>
      <c r="NO65" s="646"/>
      <c r="NP65" s="645"/>
      <c r="NQ65" s="646"/>
      <c r="NR65" s="645"/>
      <c r="NS65" s="646"/>
      <c r="NT65" s="645"/>
      <c r="NU65" s="646"/>
      <c r="NV65" s="645"/>
      <c r="NW65" s="646"/>
      <c r="NX65" s="645"/>
      <c r="NY65" s="646"/>
      <c r="NZ65" s="645"/>
      <c r="OA65" s="646"/>
      <c r="OB65" s="645"/>
      <c r="OC65" s="646"/>
      <c r="OD65" s="645"/>
      <c r="OE65" s="646"/>
      <c r="OF65" s="645"/>
      <c r="OG65" s="646"/>
      <c r="OH65" s="645"/>
      <c r="OI65" s="646"/>
      <c r="OJ65" s="645"/>
      <c r="OK65" s="646"/>
      <c r="OL65" s="645"/>
      <c r="OM65" s="646"/>
      <c r="ON65" s="645"/>
      <c r="OO65" s="646"/>
      <c r="OP65" s="645"/>
      <c r="OQ65" s="646"/>
      <c r="OR65" s="645"/>
      <c r="OS65" s="646"/>
      <c r="OT65" s="645"/>
      <c r="OU65" s="646"/>
      <c r="OV65" s="645"/>
      <c r="OW65" s="646"/>
      <c r="OX65" s="645"/>
      <c r="OY65" s="646"/>
      <c r="OZ65" s="645"/>
      <c r="PA65" s="646"/>
      <c r="PB65" s="645"/>
      <c r="PC65" s="646"/>
      <c r="PD65" s="645"/>
      <c r="PE65" s="646"/>
      <c r="PF65" s="645"/>
      <c r="PG65" s="646"/>
      <c r="PH65" s="645"/>
      <c r="PI65" s="646"/>
      <c r="PJ65" s="645"/>
      <c r="PK65" s="646"/>
      <c r="PL65" s="645"/>
      <c r="PM65" s="646"/>
      <c r="PN65" s="645"/>
      <c r="PO65" s="646"/>
      <c r="PP65" s="645"/>
      <c r="PQ65" s="646"/>
      <c r="PR65" s="645"/>
      <c r="PS65" s="646"/>
      <c r="PT65" s="645"/>
      <c r="PU65" s="646"/>
      <c r="PV65" s="645"/>
      <c r="PW65" s="646"/>
      <c r="PX65" s="645"/>
      <c r="PY65" s="646"/>
      <c r="PZ65" s="645"/>
      <c r="QA65" s="646"/>
      <c r="QB65" s="645"/>
      <c r="QC65" s="646"/>
      <c r="QD65" s="645"/>
      <c r="QE65" s="646"/>
      <c r="QF65" s="645"/>
      <c r="QG65" s="646"/>
      <c r="QH65" s="645"/>
      <c r="QI65" s="646"/>
      <c r="QJ65" s="645"/>
      <c r="QK65" s="646"/>
      <c r="QL65" s="645"/>
      <c r="QM65" s="646"/>
      <c r="QN65" s="645"/>
      <c r="QO65" s="646"/>
      <c r="QP65" s="645"/>
      <c r="QQ65" s="646"/>
      <c r="QR65" s="645"/>
      <c r="QS65" s="646"/>
      <c r="QT65" s="645"/>
      <c r="QU65" s="646"/>
      <c r="QV65" s="645"/>
      <c r="QW65" s="646"/>
      <c r="QX65" s="645"/>
      <c r="QY65" s="646"/>
      <c r="QZ65" s="645"/>
      <c r="RA65" s="646"/>
      <c r="RB65" s="645"/>
      <c r="RC65" s="646"/>
      <c r="RD65" s="645"/>
      <c r="RE65" s="646"/>
      <c r="RF65" s="645"/>
      <c r="RG65" s="646"/>
      <c r="RH65" s="645"/>
      <c r="RI65" s="646"/>
      <c r="RJ65" s="645"/>
      <c r="RK65" s="646"/>
      <c r="RL65" s="645"/>
      <c r="RM65" s="646"/>
      <c r="RN65" s="645"/>
      <c r="RO65" s="646"/>
      <c r="RP65" s="645"/>
      <c r="RQ65" s="646"/>
      <c r="RR65" s="645"/>
      <c r="RS65" s="646"/>
      <c r="RT65" s="645"/>
      <c r="RU65" s="646"/>
      <c r="RV65" s="645"/>
      <c r="RW65" s="646"/>
      <c r="RX65" s="645"/>
      <c r="RY65" s="646"/>
      <c r="RZ65" s="645"/>
      <c r="SA65" s="646"/>
      <c r="SB65" s="645"/>
      <c r="SC65" s="646"/>
      <c r="SD65" s="645"/>
      <c r="SE65" s="646"/>
      <c r="SF65" s="645"/>
      <c r="SG65" s="646"/>
      <c r="SH65" s="645"/>
      <c r="SI65" s="646"/>
      <c r="SJ65" s="645"/>
      <c r="SK65" s="646"/>
      <c r="SL65" s="645"/>
      <c r="SM65" s="646"/>
      <c r="SN65" s="645"/>
      <c r="SO65" s="646"/>
      <c r="SP65" s="645"/>
      <c r="SQ65" s="646"/>
      <c r="SR65" s="645"/>
      <c r="SS65" s="646"/>
      <c r="ST65" s="645"/>
      <c r="SU65" s="646"/>
      <c r="SV65" s="645"/>
      <c r="SW65" s="646"/>
      <c r="SX65" s="645"/>
      <c r="SY65" s="646"/>
      <c r="SZ65" s="645"/>
      <c r="TA65" s="646"/>
      <c r="TB65" s="645"/>
      <c r="TC65" s="646"/>
      <c r="TD65" s="645"/>
      <c r="TE65" s="646"/>
      <c r="TF65" s="645"/>
      <c r="TG65" s="646"/>
      <c r="TH65" s="645"/>
      <c r="TI65" s="646"/>
      <c r="TJ65" s="645"/>
      <c r="TK65" s="646"/>
      <c r="TL65" s="645"/>
      <c r="TM65" s="646"/>
      <c r="TN65" s="645"/>
      <c r="TO65" s="646"/>
      <c r="TP65" s="645"/>
      <c r="TQ65" s="646"/>
      <c r="TR65" s="645"/>
      <c r="TS65" s="646"/>
      <c r="TT65" s="645"/>
      <c r="TU65" s="646"/>
      <c r="TV65" s="645"/>
      <c r="TW65" s="646"/>
      <c r="TX65" s="645"/>
      <c r="TY65" s="646"/>
      <c r="TZ65" s="645"/>
      <c r="UA65" s="646"/>
      <c r="UB65" s="645"/>
      <c r="UC65" s="646"/>
      <c r="UD65" s="645"/>
      <c r="UE65" s="646"/>
      <c r="UF65" s="645"/>
      <c r="UG65" s="646"/>
      <c r="UH65" s="645"/>
      <c r="UI65" s="646"/>
      <c r="UJ65" s="645"/>
      <c r="UK65" s="646"/>
      <c r="UL65" s="645"/>
      <c r="UM65" s="646"/>
      <c r="UN65" s="645"/>
      <c r="UO65" s="646"/>
      <c r="UP65" s="645"/>
      <c r="UQ65" s="646"/>
      <c r="UR65" s="645"/>
      <c r="US65" s="646"/>
      <c r="UT65" s="645"/>
      <c r="UU65" s="646"/>
      <c r="UV65" s="645"/>
      <c r="UW65" s="646"/>
      <c r="UX65" s="645"/>
      <c r="UY65" s="646"/>
      <c r="UZ65" s="645"/>
      <c r="VA65" s="646"/>
      <c r="VB65" s="645"/>
      <c r="VC65" s="646"/>
      <c r="VD65" s="645"/>
      <c r="VE65" s="646"/>
      <c r="VF65" s="645"/>
      <c r="VG65" s="646"/>
      <c r="VH65" s="645"/>
      <c r="VI65" s="646"/>
      <c r="VJ65" s="645"/>
      <c r="VK65" s="646"/>
      <c r="VL65" s="645"/>
      <c r="VM65" s="646"/>
      <c r="VN65" s="645"/>
      <c r="VO65" s="646"/>
      <c r="VP65" s="645"/>
      <c r="VQ65" s="646"/>
      <c r="VR65" s="645"/>
      <c r="VS65" s="646"/>
      <c r="VT65" s="645"/>
      <c r="VU65" s="646"/>
      <c r="VV65" s="645"/>
      <c r="VW65" s="646"/>
      <c r="VX65" s="645"/>
      <c r="VY65" s="646"/>
      <c r="VZ65" s="645"/>
      <c r="WA65" s="646"/>
      <c r="WB65" s="645"/>
      <c r="WC65" s="646"/>
      <c r="WD65" s="645"/>
      <c r="WE65" s="646"/>
      <c r="WF65" s="645"/>
      <c r="WG65" s="646"/>
      <c r="WH65" s="645"/>
      <c r="WI65" s="646"/>
      <c r="WJ65" s="645"/>
      <c r="WK65" s="646"/>
      <c r="WL65" s="645"/>
      <c r="WM65" s="646"/>
      <c r="WN65" s="645"/>
      <c r="WO65" s="646"/>
      <c r="WP65" s="645"/>
      <c r="WQ65" s="646"/>
      <c r="WR65" s="645"/>
      <c r="WS65" s="646"/>
      <c r="WT65" s="645"/>
      <c r="WU65" s="646"/>
      <c r="WV65" s="645"/>
      <c r="WW65" s="646"/>
      <c r="WX65" s="645"/>
      <c r="WY65" s="646"/>
      <c r="WZ65" s="645"/>
      <c r="XA65" s="646"/>
      <c r="XB65" s="645"/>
      <c r="XC65" s="646"/>
      <c r="XD65" s="645"/>
      <c r="XE65" s="646"/>
      <c r="XF65" s="645"/>
      <c r="XG65" s="646"/>
      <c r="XH65" s="645"/>
      <c r="XI65" s="646"/>
      <c r="XJ65" s="645"/>
      <c r="XK65" s="646"/>
      <c r="XL65" s="645"/>
      <c r="XM65" s="646"/>
      <c r="XN65" s="645"/>
      <c r="XO65" s="646"/>
      <c r="XP65" s="645"/>
      <c r="XQ65" s="646"/>
      <c r="XR65" s="645"/>
      <c r="XS65" s="646"/>
      <c r="XT65" s="645"/>
      <c r="XU65" s="646"/>
      <c r="XV65" s="645"/>
      <c r="XW65" s="646"/>
      <c r="XX65" s="645"/>
      <c r="XY65" s="646"/>
      <c r="XZ65" s="645"/>
      <c r="YA65" s="646"/>
      <c r="YB65" s="645"/>
      <c r="YC65" s="646"/>
      <c r="YD65" s="645"/>
      <c r="YE65" s="646"/>
      <c r="YF65" s="645"/>
      <c r="YG65" s="646"/>
      <c r="YH65" s="645"/>
      <c r="YI65" s="646"/>
      <c r="YJ65" s="645"/>
      <c r="YK65" s="646"/>
      <c r="YL65" s="645"/>
      <c r="YM65" s="646"/>
      <c r="YN65" s="645"/>
      <c r="YO65" s="646"/>
      <c r="YP65" s="645"/>
      <c r="YQ65" s="646"/>
      <c r="YR65" s="645"/>
      <c r="YS65" s="646"/>
      <c r="YT65" s="645"/>
      <c r="YU65" s="646"/>
      <c r="YV65" s="645"/>
      <c r="YW65" s="646"/>
      <c r="YX65" s="645"/>
      <c r="YY65" s="646"/>
      <c r="YZ65" s="645"/>
      <c r="ZA65" s="646"/>
      <c r="ZB65" s="645"/>
      <c r="ZC65" s="646"/>
      <c r="ZD65" s="645"/>
      <c r="ZE65" s="646"/>
      <c r="ZF65" s="645"/>
      <c r="ZG65" s="646"/>
      <c r="ZH65" s="645"/>
      <c r="ZI65" s="646"/>
      <c r="ZJ65" s="645"/>
      <c r="ZK65" s="646"/>
      <c r="ZL65" s="645"/>
      <c r="ZM65" s="646"/>
      <c r="ZN65" s="645"/>
      <c r="ZO65" s="646"/>
      <c r="ZP65" s="645"/>
      <c r="ZQ65" s="646"/>
      <c r="ZR65" s="645"/>
      <c r="ZS65" s="646"/>
      <c r="ZT65" s="645"/>
      <c r="ZU65" s="646"/>
      <c r="ZV65" s="645"/>
      <c r="ZW65" s="646"/>
      <c r="ZX65" s="645"/>
      <c r="ZY65" s="646"/>
      <c r="ZZ65" s="645"/>
      <c r="AAA65" s="646"/>
      <c r="AAB65" s="645"/>
      <c r="AAC65" s="646"/>
      <c r="AAD65" s="645"/>
      <c r="AAE65" s="646"/>
      <c r="AAF65" s="645"/>
      <c r="AAG65" s="646"/>
      <c r="AAH65" s="645"/>
      <c r="AAI65" s="646"/>
      <c r="AAJ65" s="645"/>
      <c r="AAK65" s="646"/>
      <c r="AAL65" s="645"/>
      <c r="AAM65" s="646"/>
      <c r="AAN65" s="645"/>
      <c r="AAO65" s="646"/>
      <c r="AAP65" s="645"/>
      <c r="AAQ65" s="646"/>
      <c r="AAR65" s="645"/>
      <c r="AAS65" s="646"/>
      <c r="AAT65" s="645"/>
      <c r="AAU65" s="646"/>
      <c r="AAV65" s="645"/>
      <c r="AAW65" s="646"/>
      <c r="AAX65" s="645"/>
      <c r="AAY65" s="646"/>
      <c r="AAZ65" s="645"/>
      <c r="ABA65" s="646"/>
      <c r="ABB65" s="645"/>
      <c r="ABC65" s="646"/>
      <c r="ABD65" s="645"/>
      <c r="ABE65" s="646"/>
      <c r="ABF65" s="645"/>
      <c r="ABG65" s="646"/>
      <c r="ABH65" s="645"/>
      <c r="ABI65" s="646"/>
      <c r="ABJ65" s="645"/>
      <c r="ABK65" s="646"/>
      <c r="ABL65" s="645"/>
      <c r="ABM65" s="646"/>
      <c r="ABN65" s="645"/>
      <c r="ABO65" s="646"/>
      <c r="ABP65" s="645"/>
      <c r="ABQ65" s="646"/>
      <c r="ABR65" s="645"/>
      <c r="ABS65" s="646"/>
      <c r="ABT65" s="645"/>
      <c r="ABU65" s="646"/>
      <c r="ABV65" s="645"/>
      <c r="ABW65" s="646"/>
      <c r="ABX65" s="645"/>
      <c r="ABY65" s="646"/>
      <c r="ABZ65" s="645"/>
      <c r="ACA65" s="646"/>
      <c r="ACB65" s="645"/>
      <c r="ACC65" s="646"/>
      <c r="ACD65" s="645"/>
      <c r="ACE65" s="646"/>
      <c r="ACF65" s="645"/>
      <c r="ACG65" s="646"/>
      <c r="ACH65" s="645"/>
      <c r="ACI65" s="646"/>
      <c r="ACJ65" s="645"/>
      <c r="ACK65" s="646"/>
      <c r="ACL65" s="645"/>
      <c r="ACM65" s="646"/>
      <c r="ACN65" s="645"/>
      <c r="ACO65" s="646"/>
      <c r="ACP65" s="645"/>
      <c r="ACQ65" s="646"/>
      <c r="ACR65" s="645"/>
      <c r="ACS65" s="646"/>
      <c r="ACT65" s="645"/>
      <c r="ACU65" s="646"/>
      <c r="ACV65" s="645"/>
      <c r="ACW65" s="646"/>
      <c r="ACX65" s="645"/>
      <c r="ACY65" s="646"/>
      <c r="ACZ65" s="645"/>
      <c r="ADA65" s="646"/>
      <c r="ADB65" s="645"/>
      <c r="ADC65" s="646"/>
      <c r="ADD65" s="645"/>
      <c r="ADE65" s="646"/>
      <c r="ADF65" s="645"/>
      <c r="ADG65" s="646"/>
      <c r="ADH65" s="645"/>
      <c r="ADI65" s="646"/>
      <c r="ADJ65" s="645"/>
      <c r="ADK65" s="646"/>
      <c r="ADL65" s="645"/>
      <c r="ADM65" s="646"/>
      <c r="ADN65" s="645"/>
      <c r="ADO65" s="646"/>
      <c r="ADP65" s="645"/>
      <c r="ADQ65" s="646"/>
      <c r="ADR65" s="645"/>
      <c r="ADS65" s="646"/>
      <c r="ADT65" s="645"/>
      <c r="ADU65" s="646"/>
      <c r="ADV65" s="645"/>
      <c r="ADW65" s="646"/>
      <c r="ADX65" s="645"/>
      <c r="ADY65" s="646"/>
      <c r="ADZ65" s="645"/>
      <c r="AEA65" s="646"/>
      <c r="AEB65" s="645"/>
      <c r="AEC65" s="646"/>
      <c r="AED65" s="645"/>
      <c r="AEE65" s="646"/>
      <c r="AEF65" s="645"/>
      <c r="AEG65" s="646"/>
      <c r="AEH65" s="645"/>
      <c r="AEI65" s="646"/>
      <c r="AEJ65" s="645"/>
      <c r="AEK65" s="646"/>
      <c r="AEL65" s="645"/>
      <c r="AEM65" s="646"/>
      <c r="AEN65" s="645"/>
      <c r="AEO65" s="646"/>
      <c r="AEP65" s="645"/>
      <c r="AEQ65" s="646"/>
      <c r="AER65" s="645"/>
      <c r="AES65" s="646"/>
      <c r="AET65" s="645"/>
      <c r="AEU65" s="646"/>
      <c r="AEV65" s="645"/>
      <c r="AEW65" s="646"/>
      <c r="AEX65" s="645"/>
      <c r="AEY65" s="646"/>
      <c r="AEZ65" s="645"/>
      <c r="AFA65" s="646"/>
      <c r="AFB65" s="645"/>
      <c r="AFC65" s="646"/>
      <c r="AFD65" s="645"/>
      <c r="AFE65" s="646"/>
      <c r="AFF65" s="645"/>
      <c r="AFG65" s="646"/>
      <c r="AFH65" s="645"/>
      <c r="AFI65" s="646"/>
      <c r="AFJ65" s="645"/>
      <c r="AFK65" s="646"/>
      <c r="AFL65" s="645"/>
      <c r="AFM65" s="646"/>
      <c r="AFN65" s="645"/>
      <c r="AFO65" s="646"/>
      <c r="AFP65" s="645"/>
      <c r="AFQ65" s="646"/>
      <c r="AFR65" s="645"/>
      <c r="AFS65" s="646"/>
      <c r="AFT65" s="645"/>
      <c r="AFU65" s="646"/>
      <c r="AFV65" s="645"/>
      <c r="AFW65" s="646"/>
      <c r="AFX65" s="645"/>
      <c r="AFY65" s="646"/>
      <c r="AFZ65" s="645"/>
      <c r="AGA65" s="646"/>
      <c r="AGB65" s="645"/>
      <c r="AGC65" s="646"/>
      <c r="AGD65" s="645"/>
      <c r="AGE65" s="646"/>
      <c r="AGF65" s="645"/>
      <c r="AGG65" s="646"/>
      <c r="AGH65" s="645"/>
      <c r="AGI65" s="646"/>
      <c r="AGJ65" s="645"/>
      <c r="AGK65" s="646"/>
      <c r="AGL65" s="645"/>
      <c r="AGM65" s="646"/>
      <c r="AGN65" s="645"/>
      <c r="AGO65" s="646"/>
      <c r="AGP65" s="645"/>
      <c r="AGQ65" s="646"/>
      <c r="AGR65" s="645"/>
      <c r="AGS65" s="646"/>
      <c r="AGT65" s="645"/>
      <c r="AGU65" s="646"/>
      <c r="AGV65" s="645"/>
      <c r="AGW65" s="646"/>
      <c r="AGX65" s="645"/>
      <c r="AGY65" s="646"/>
      <c r="AGZ65" s="645"/>
      <c r="AHA65" s="646"/>
      <c r="AHB65" s="645"/>
      <c r="AHC65" s="646"/>
      <c r="AHD65" s="645"/>
      <c r="AHE65" s="646"/>
      <c r="AHF65" s="645"/>
      <c r="AHG65" s="646"/>
      <c r="AHH65" s="645"/>
      <c r="AHI65" s="646"/>
      <c r="AHJ65" s="645"/>
      <c r="AHK65" s="646"/>
      <c r="AHL65" s="645"/>
      <c r="AHM65" s="646"/>
      <c r="AHN65" s="645"/>
      <c r="AHO65" s="646"/>
      <c r="AHP65" s="645"/>
      <c r="AHQ65" s="646"/>
      <c r="AHR65" s="645"/>
      <c r="AHS65" s="646"/>
      <c r="AHT65" s="645"/>
      <c r="AHU65" s="646"/>
      <c r="AHV65" s="645"/>
      <c r="AHW65" s="646"/>
      <c r="AHX65" s="645"/>
      <c r="AHY65" s="646"/>
      <c r="AHZ65" s="645"/>
      <c r="AIA65" s="646"/>
      <c r="AIB65" s="645"/>
      <c r="AIC65" s="646"/>
      <c r="AID65" s="645"/>
      <c r="AIE65" s="646"/>
      <c r="AIF65" s="645"/>
      <c r="AIG65" s="646"/>
      <c r="AIH65" s="645"/>
      <c r="AII65" s="646"/>
      <c r="AIJ65" s="645"/>
      <c r="AIK65" s="646"/>
      <c r="AIL65" s="645"/>
      <c r="AIM65" s="646"/>
      <c r="AIN65" s="645"/>
      <c r="AIO65" s="646"/>
      <c r="AIP65" s="645"/>
      <c r="AIQ65" s="645"/>
      <c r="AIR65" s="645"/>
      <c r="AIS65" s="645"/>
      <c r="AIT65" s="645"/>
      <c r="AIU65" s="645"/>
      <c r="AIV65" s="645"/>
      <c r="AIW65" s="645"/>
      <c r="AIX65" s="645"/>
      <c r="AIY65" s="645"/>
      <c r="AIZ65" s="645"/>
      <c r="AJA65" s="645"/>
      <c r="AJB65" s="645"/>
      <c r="AJC65" s="645"/>
      <c r="AJD65" s="645"/>
      <c r="AJE65" s="645"/>
      <c r="AJF65" s="645"/>
      <c r="AJG65" s="645"/>
      <c r="AJH65" s="645"/>
      <c r="AJI65" s="645"/>
      <c r="AJJ65" s="645"/>
      <c r="AJK65" s="645"/>
      <c r="AJL65" s="645"/>
      <c r="AJM65" s="645"/>
      <c r="AJN65" s="645"/>
      <c r="AJO65" s="645"/>
      <c r="AJP65" s="645"/>
      <c r="AJQ65" s="645"/>
      <c r="AJR65" s="645"/>
      <c r="AJS65" s="645"/>
      <c r="AJT65" s="645"/>
      <c r="AJU65" s="645"/>
      <c r="AJV65" s="645"/>
      <c r="AJW65" s="645"/>
      <c r="AJX65" s="645"/>
      <c r="AJY65" s="645"/>
      <c r="AJZ65" s="645"/>
      <c r="AKA65" s="645"/>
      <c r="AKB65" s="645"/>
      <c r="AKC65" s="645"/>
      <c r="AKD65" s="645"/>
      <c r="AKE65" s="645"/>
      <c r="AKF65" s="645"/>
      <c r="AKG65" s="645"/>
      <c r="AKH65" s="645"/>
      <c r="AKI65" s="645"/>
      <c r="AKJ65" s="645"/>
      <c r="AKK65" s="645"/>
      <c r="AKL65" s="645"/>
      <c r="AKM65" s="645"/>
      <c r="AKN65" s="645"/>
      <c r="AKO65" s="645"/>
      <c r="AKP65" s="645"/>
      <c r="AKQ65" s="645"/>
      <c r="AKR65" s="645"/>
      <c r="AKS65" s="645"/>
      <c r="AKT65" s="645"/>
      <c r="AKU65" s="645"/>
      <c r="AKV65" s="645"/>
      <c r="AKW65" s="645"/>
      <c r="AKX65" s="645"/>
      <c r="AKY65" s="645"/>
      <c r="AKZ65" s="645"/>
      <c r="ALA65" s="645"/>
      <c r="ALB65" s="645"/>
      <c r="ALC65" s="645"/>
      <c r="ALD65" s="645"/>
      <c r="ALE65" s="645"/>
      <c r="ALF65" s="645"/>
      <c r="ALG65" s="645"/>
      <c r="ALH65" s="645"/>
      <c r="ALI65" s="645"/>
      <c r="ALJ65" s="645"/>
      <c r="ALK65" s="645"/>
      <c r="ALL65" s="645"/>
      <c r="ALM65" s="645"/>
      <c r="ALN65" s="645"/>
      <c r="ALO65" s="645"/>
      <c r="ALP65" s="645"/>
      <c r="ALQ65" s="645"/>
      <c r="ALR65" s="645"/>
      <c r="ALS65" s="645"/>
      <c r="ALT65" s="645"/>
      <c r="ALU65" s="645"/>
      <c r="ALV65" s="645"/>
      <c r="ALW65" s="645"/>
      <c r="ALX65" s="645"/>
      <c r="ALY65" s="645"/>
      <c r="ALZ65" s="645"/>
      <c r="AMA65" s="645"/>
      <c r="AMB65" s="645"/>
      <c r="AMC65" s="645"/>
      <c r="AMD65" s="645"/>
      <c r="AME65" s="645"/>
      <c r="AMF65" s="645"/>
      <c r="AMG65" s="645"/>
      <c r="AMH65" s="645"/>
      <c r="AMI65" s="645"/>
      <c r="AMJ65" s="645"/>
    </row>
    <row r="66" spans="1:1024" s="27" customFormat="1" ht="15.75" customHeight="1" x14ac:dyDescent="0.35">
      <c r="A66" s="593" t="s">
        <v>321</v>
      </c>
      <c r="B66" s="594" t="s">
        <v>322</v>
      </c>
      <c r="C66" s="593"/>
      <c r="D66" s="594"/>
      <c r="E66" s="593"/>
      <c r="F66" s="594"/>
      <c r="G66" s="593"/>
      <c r="H66" s="594"/>
      <c r="I66" s="593"/>
      <c r="J66" s="594"/>
      <c r="K66" s="593"/>
      <c r="L66" s="594"/>
      <c r="M66" s="593"/>
      <c r="N66" s="594"/>
      <c r="O66" s="593"/>
      <c r="P66" s="594"/>
      <c r="Q66" s="593"/>
      <c r="R66" s="594"/>
      <c r="S66" s="593"/>
      <c r="T66" s="594"/>
      <c r="U66" s="593"/>
      <c r="V66" s="594"/>
      <c r="W66" s="593"/>
      <c r="X66" s="594"/>
      <c r="Y66" s="593"/>
      <c r="Z66" s="594"/>
      <c r="AA66" s="593"/>
      <c r="AB66" s="594"/>
      <c r="AC66" s="593"/>
      <c r="AD66" s="594"/>
      <c r="AE66" s="593"/>
      <c r="AF66" s="594"/>
      <c r="AG66" s="593"/>
      <c r="AH66" s="594"/>
      <c r="AI66" s="593"/>
      <c r="AJ66" s="594"/>
      <c r="AK66" s="593"/>
      <c r="AL66" s="594"/>
      <c r="AM66" s="593"/>
      <c r="AN66" s="594"/>
      <c r="AO66" s="593"/>
      <c r="AP66" s="594"/>
      <c r="AQ66" s="593"/>
      <c r="AR66" s="594"/>
      <c r="AS66" s="593"/>
      <c r="AT66" s="594"/>
      <c r="AU66" s="593"/>
      <c r="AV66" s="594"/>
      <c r="AW66" s="593"/>
      <c r="AX66" s="594"/>
      <c r="AY66" s="593"/>
      <c r="AZ66" s="594"/>
      <c r="BA66" s="593"/>
      <c r="BB66" s="594"/>
      <c r="BC66" s="593"/>
      <c r="BD66" s="594"/>
      <c r="BE66" s="593"/>
      <c r="BF66" s="594"/>
      <c r="BG66" s="593"/>
      <c r="BH66" s="594"/>
      <c r="BI66" s="593"/>
      <c r="BJ66" s="594"/>
      <c r="BK66" s="593"/>
      <c r="BL66" s="594"/>
      <c r="BM66" s="593"/>
      <c r="BN66" s="594"/>
      <c r="BO66" s="593"/>
      <c r="BP66" s="594"/>
      <c r="BQ66" s="593"/>
      <c r="BR66" s="594"/>
      <c r="BS66" s="593"/>
      <c r="BT66" s="594"/>
      <c r="BU66" s="593"/>
      <c r="BV66" s="594"/>
      <c r="BW66" s="593"/>
      <c r="BX66" s="594"/>
      <c r="BY66" s="593"/>
      <c r="BZ66" s="594"/>
      <c r="CA66" s="593"/>
      <c r="CB66" s="594"/>
      <c r="CC66" s="593"/>
      <c r="CD66" s="594"/>
      <c r="CE66" s="593"/>
      <c r="CF66" s="594"/>
      <c r="CG66" s="593"/>
      <c r="CH66" s="594"/>
      <c r="CI66" s="593"/>
      <c r="CJ66" s="594"/>
      <c r="CK66" s="593"/>
      <c r="CL66" s="594"/>
      <c r="CM66" s="593"/>
      <c r="CN66" s="594"/>
      <c r="CO66" s="593"/>
      <c r="CP66" s="594"/>
      <c r="CQ66" s="593"/>
      <c r="CR66" s="594"/>
      <c r="CS66" s="593"/>
      <c r="CT66" s="594"/>
      <c r="CU66" s="593"/>
      <c r="CV66" s="594"/>
      <c r="CW66" s="593"/>
      <c r="CX66" s="594"/>
      <c r="CY66" s="593"/>
      <c r="CZ66" s="594"/>
      <c r="DA66" s="593"/>
      <c r="DB66" s="594"/>
      <c r="DC66" s="593"/>
      <c r="DD66" s="594"/>
      <c r="DE66" s="593"/>
      <c r="DF66" s="594"/>
      <c r="DG66" s="593"/>
      <c r="DH66" s="594"/>
      <c r="DI66" s="593"/>
      <c r="DJ66" s="594"/>
      <c r="DK66" s="593"/>
      <c r="DL66" s="594"/>
      <c r="DM66" s="593"/>
      <c r="DN66" s="594"/>
      <c r="DO66" s="593"/>
      <c r="DP66" s="594"/>
      <c r="DQ66" s="593"/>
      <c r="DR66" s="594"/>
      <c r="DS66" s="593"/>
      <c r="DT66" s="594"/>
      <c r="DU66" s="593"/>
      <c r="DV66" s="594"/>
      <c r="DW66" s="593"/>
      <c r="DX66" s="594"/>
      <c r="DY66" s="593"/>
      <c r="DZ66" s="594"/>
      <c r="EA66" s="593"/>
      <c r="EB66" s="594"/>
      <c r="EC66" s="593"/>
      <c r="ED66" s="594"/>
      <c r="EE66" s="593"/>
      <c r="EF66" s="594"/>
      <c r="EG66" s="593"/>
      <c r="EH66" s="594"/>
      <c r="EI66" s="593"/>
      <c r="EJ66" s="594"/>
      <c r="EK66" s="593"/>
      <c r="EL66" s="594"/>
      <c r="EM66" s="593"/>
      <c r="EN66" s="594"/>
      <c r="EO66" s="593"/>
      <c r="EP66" s="594"/>
      <c r="EQ66" s="593"/>
      <c r="ER66" s="594"/>
      <c r="ES66" s="593"/>
      <c r="ET66" s="594"/>
      <c r="EU66" s="593"/>
      <c r="EV66" s="594"/>
      <c r="EW66" s="593"/>
      <c r="EX66" s="594"/>
      <c r="EY66" s="593"/>
      <c r="EZ66" s="594"/>
      <c r="FA66" s="593"/>
      <c r="FB66" s="594"/>
      <c r="FC66" s="593"/>
      <c r="FD66" s="594"/>
      <c r="FE66" s="593"/>
      <c r="FF66" s="594"/>
      <c r="FG66" s="593"/>
      <c r="FH66" s="594"/>
      <c r="FI66" s="593"/>
      <c r="FJ66" s="594"/>
      <c r="FK66" s="593"/>
      <c r="FL66" s="594"/>
      <c r="FM66" s="593"/>
      <c r="FN66" s="594"/>
      <c r="FO66" s="593"/>
      <c r="FP66" s="594"/>
      <c r="FQ66" s="593"/>
      <c r="FR66" s="594"/>
      <c r="FS66" s="593"/>
      <c r="FT66" s="594"/>
      <c r="FU66" s="593"/>
      <c r="FV66" s="594"/>
      <c r="FW66" s="593"/>
      <c r="FX66" s="594"/>
      <c r="FY66" s="593"/>
      <c r="FZ66" s="594"/>
      <c r="GA66" s="593"/>
      <c r="GB66" s="594"/>
      <c r="GC66" s="593"/>
      <c r="GD66" s="594"/>
      <c r="GE66" s="593"/>
      <c r="GF66" s="594"/>
      <c r="GG66" s="593"/>
      <c r="GH66" s="594"/>
      <c r="GI66" s="593"/>
      <c r="GJ66" s="594"/>
      <c r="GK66" s="593"/>
      <c r="GL66" s="594"/>
      <c r="GM66" s="593"/>
      <c r="GN66" s="594"/>
      <c r="GO66" s="593"/>
      <c r="GP66" s="594"/>
      <c r="GQ66" s="593"/>
      <c r="GR66" s="594"/>
      <c r="GS66" s="593"/>
      <c r="GT66" s="594"/>
      <c r="GU66" s="593"/>
      <c r="GV66" s="594"/>
      <c r="GW66" s="593"/>
      <c r="GX66" s="594"/>
      <c r="GY66" s="593"/>
      <c r="GZ66" s="594"/>
      <c r="HA66" s="593"/>
      <c r="HB66" s="594"/>
      <c r="HC66" s="593"/>
      <c r="HD66" s="594"/>
      <c r="HE66" s="593"/>
      <c r="HF66" s="594"/>
      <c r="HG66" s="593"/>
      <c r="HH66" s="594"/>
      <c r="HI66" s="593"/>
      <c r="HJ66" s="594"/>
      <c r="HK66" s="593"/>
      <c r="HL66" s="594"/>
      <c r="HM66" s="593"/>
      <c r="HN66" s="594"/>
      <c r="HO66" s="593"/>
      <c r="HP66" s="594"/>
      <c r="HQ66" s="593"/>
      <c r="HR66" s="594"/>
      <c r="HS66" s="593"/>
      <c r="HT66" s="594"/>
      <c r="HU66" s="593"/>
      <c r="HV66" s="594"/>
      <c r="HW66" s="593"/>
      <c r="HX66" s="594"/>
      <c r="HY66" s="593"/>
      <c r="HZ66" s="594"/>
      <c r="IA66" s="593"/>
      <c r="IB66" s="594"/>
      <c r="IC66" s="593"/>
      <c r="ID66" s="594"/>
      <c r="IE66" s="593"/>
      <c r="IF66" s="594"/>
      <c r="IG66" s="593"/>
      <c r="IH66" s="594"/>
      <c r="II66" s="593"/>
      <c r="IJ66" s="594"/>
      <c r="IK66" s="593"/>
      <c r="IL66" s="594"/>
      <c r="IM66" s="593"/>
      <c r="IN66" s="594"/>
      <c r="IO66" s="593"/>
      <c r="IP66" s="594"/>
      <c r="IQ66" s="593"/>
      <c r="IR66" s="594"/>
      <c r="IS66" s="593"/>
      <c r="IT66" s="594"/>
      <c r="IU66" s="593"/>
      <c r="IV66" s="594"/>
      <c r="IW66" s="593"/>
      <c r="IX66" s="594"/>
      <c r="IY66" s="593"/>
      <c r="IZ66" s="594"/>
      <c r="JA66" s="593"/>
      <c r="JB66" s="594"/>
      <c r="JC66" s="593"/>
      <c r="JD66" s="594"/>
      <c r="JE66" s="593"/>
      <c r="JF66" s="594"/>
      <c r="JG66" s="593"/>
      <c r="JH66" s="594"/>
      <c r="JI66" s="593"/>
      <c r="JJ66" s="594"/>
      <c r="JK66" s="593"/>
      <c r="JL66" s="594"/>
      <c r="JM66" s="593"/>
      <c r="JN66" s="594"/>
      <c r="JO66" s="593"/>
      <c r="JP66" s="594"/>
      <c r="JQ66" s="593"/>
      <c r="JR66" s="594"/>
      <c r="JS66" s="593"/>
      <c r="JT66" s="594"/>
      <c r="JU66" s="593"/>
      <c r="JV66" s="594"/>
      <c r="JW66" s="593"/>
      <c r="JX66" s="594"/>
      <c r="JY66" s="593"/>
      <c r="JZ66" s="594"/>
      <c r="KA66" s="593"/>
      <c r="KB66" s="594"/>
      <c r="KC66" s="593"/>
      <c r="KD66" s="594"/>
      <c r="KE66" s="593"/>
      <c r="KF66" s="594"/>
      <c r="KG66" s="593"/>
      <c r="KH66" s="594"/>
      <c r="KI66" s="593"/>
      <c r="KJ66" s="594"/>
      <c r="KK66" s="593"/>
      <c r="KL66" s="594"/>
      <c r="KM66" s="593"/>
      <c r="KN66" s="594"/>
      <c r="KO66" s="593"/>
      <c r="KP66" s="594"/>
      <c r="KQ66" s="593"/>
      <c r="KR66" s="594"/>
      <c r="KS66" s="593"/>
      <c r="KT66" s="594"/>
      <c r="KU66" s="593"/>
      <c r="KV66" s="594"/>
      <c r="KW66" s="593"/>
      <c r="KX66" s="594"/>
      <c r="KY66" s="593"/>
      <c r="KZ66" s="594"/>
      <c r="LA66" s="593"/>
      <c r="LB66" s="594"/>
      <c r="LC66" s="593"/>
      <c r="LD66" s="594"/>
      <c r="LE66" s="593"/>
      <c r="LF66" s="594"/>
      <c r="LG66" s="593"/>
      <c r="LH66" s="594"/>
      <c r="LI66" s="593"/>
      <c r="LJ66" s="594"/>
      <c r="LK66" s="593"/>
      <c r="LL66" s="594"/>
      <c r="LM66" s="593"/>
      <c r="LN66" s="594"/>
      <c r="LO66" s="593"/>
      <c r="LP66" s="594"/>
      <c r="LQ66" s="593"/>
      <c r="LR66" s="594"/>
      <c r="LS66" s="593"/>
      <c r="LT66" s="594"/>
      <c r="LU66" s="593"/>
      <c r="LV66" s="594"/>
      <c r="LW66" s="593"/>
      <c r="LX66" s="594"/>
      <c r="LY66" s="593"/>
      <c r="LZ66" s="594"/>
      <c r="MA66" s="593"/>
      <c r="MB66" s="594"/>
      <c r="MC66" s="593"/>
      <c r="MD66" s="594"/>
      <c r="ME66" s="593"/>
      <c r="MF66" s="594"/>
      <c r="MG66" s="593"/>
      <c r="MH66" s="594"/>
      <c r="MI66" s="593"/>
      <c r="MJ66" s="594"/>
      <c r="MK66" s="593"/>
      <c r="ML66" s="594"/>
      <c r="MM66" s="593"/>
      <c r="MN66" s="594"/>
      <c r="MO66" s="593"/>
      <c r="MP66" s="594"/>
      <c r="MQ66" s="593"/>
      <c r="MR66" s="594"/>
      <c r="MS66" s="593"/>
      <c r="MT66" s="594"/>
      <c r="MU66" s="593"/>
      <c r="MV66" s="594"/>
      <c r="MW66" s="593"/>
      <c r="MX66" s="594"/>
      <c r="MY66" s="593"/>
      <c r="MZ66" s="594"/>
      <c r="NA66" s="593"/>
      <c r="NB66" s="594"/>
      <c r="NC66" s="593"/>
      <c r="ND66" s="594"/>
      <c r="NE66" s="593"/>
      <c r="NF66" s="594"/>
      <c r="NG66" s="593"/>
      <c r="NH66" s="594"/>
      <c r="NI66" s="593"/>
      <c r="NJ66" s="594"/>
      <c r="NK66" s="593"/>
      <c r="NL66" s="594"/>
      <c r="NM66" s="593"/>
      <c r="NN66" s="594"/>
      <c r="NO66" s="593"/>
      <c r="NP66" s="594"/>
      <c r="NQ66" s="593"/>
      <c r="NR66" s="594"/>
      <c r="NS66" s="593"/>
      <c r="NT66" s="594"/>
      <c r="NU66" s="593"/>
      <c r="NV66" s="594"/>
      <c r="NW66" s="593"/>
      <c r="NX66" s="594"/>
      <c r="NY66" s="593"/>
      <c r="NZ66" s="594"/>
      <c r="OA66" s="593"/>
      <c r="OB66" s="594"/>
      <c r="OC66" s="593"/>
      <c r="OD66" s="594"/>
      <c r="OE66" s="593"/>
      <c r="OF66" s="594"/>
      <c r="OG66" s="593"/>
      <c r="OH66" s="594"/>
      <c r="OI66" s="593"/>
      <c r="OJ66" s="594"/>
      <c r="OK66" s="593"/>
      <c r="OL66" s="594"/>
      <c r="OM66" s="593"/>
      <c r="ON66" s="594"/>
      <c r="OO66" s="593"/>
      <c r="OP66" s="594"/>
      <c r="OQ66" s="593"/>
      <c r="OR66" s="594"/>
      <c r="OS66" s="593"/>
      <c r="OT66" s="594"/>
      <c r="OU66" s="593"/>
      <c r="OV66" s="594"/>
      <c r="OW66" s="593"/>
      <c r="OX66" s="594"/>
      <c r="OY66" s="593"/>
      <c r="OZ66" s="594"/>
      <c r="PA66" s="593"/>
      <c r="PB66" s="594"/>
      <c r="PC66" s="593"/>
      <c r="PD66" s="594"/>
      <c r="PE66" s="593"/>
      <c r="PF66" s="594"/>
      <c r="PG66" s="593"/>
      <c r="PH66" s="594"/>
      <c r="PI66" s="593"/>
      <c r="PJ66" s="594"/>
      <c r="PK66" s="593"/>
      <c r="PL66" s="594"/>
      <c r="PM66" s="593"/>
      <c r="PN66" s="594"/>
      <c r="PO66" s="593"/>
      <c r="PP66" s="594"/>
      <c r="PQ66" s="593"/>
      <c r="PR66" s="594"/>
      <c r="PS66" s="593"/>
      <c r="PT66" s="594"/>
      <c r="PU66" s="593"/>
      <c r="PV66" s="594"/>
      <c r="PW66" s="593"/>
      <c r="PX66" s="594"/>
      <c r="PY66" s="593"/>
      <c r="PZ66" s="594"/>
      <c r="QA66" s="593"/>
      <c r="QB66" s="594"/>
      <c r="QC66" s="593"/>
      <c r="QD66" s="594"/>
      <c r="QE66" s="593"/>
      <c r="QF66" s="594"/>
      <c r="QG66" s="593"/>
      <c r="QH66" s="594"/>
      <c r="QI66" s="593"/>
      <c r="QJ66" s="594"/>
      <c r="QK66" s="593"/>
      <c r="QL66" s="594"/>
      <c r="QM66" s="593"/>
      <c r="QN66" s="594"/>
      <c r="QO66" s="593"/>
      <c r="QP66" s="594"/>
      <c r="QQ66" s="593"/>
      <c r="QR66" s="594"/>
      <c r="QS66" s="593"/>
      <c r="QT66" s="594"/>
      <c r="QU66" s="593"/>
      <c r="QV66" s="594"/>
      <c r="QW66" s="593"/>
      <c r="QX66" s="594"/>
      <c r="QY66" s="593"/>
      <c r="QZ66" s="594"/>
      <c r="RA66" s="593"/>
      <c r="RB66" s="594"/>
      <c r="RC66" s="593"/>
      <c r="RD66" s="594"/>
      <c r="RE66" s="593"/>
      <c r="RF66" s="594"/>
      <c r="RG66" s="593"/>
      <c r="RH66" s="594"/>
      <c r="RI66" s="593"/>
      <c r="RJ66" s="594"/>
      <c r="RK66" s="593"/>
      <c r="RL66" s="594"/>
      <c r="RM66" s="593"/>
      <c r="RN66" s="594"/>
      <c r="RO66" s="593"/>
      <c r="RP66" s="594"/>
      <c r="RQ66" s="593"/>
      <c r="RR66" s="594"/>
      <c r="RS66" s="593"/>
      <c r="RT66" s="594"/>
      <c r="RU66" s="593"/>
      <c r="RV66" s="594"/>
      <c r="RW66" s="593"/>
      <c r="RX66" s="594"/>
      <c r="RY66" s="593"/>
      <c r="RZ66" s="594"/>
      <c r="SA66" s="593"/>
      <c r="SB66" s="594"/>
      <c r="SC66" s="593"/>
      <c r="SD66" s="594"/>
      <c r="SE66" s="593"/>
      <c r="SF66" s="594"/>
      <c r="SG66" s="593"/>
      <c r="SH66" s="594"/>
      <c r="SI66" s="593"/>
      <c r="SJ66" s="594"/>
      <c r="SK66" s="593"/>
      <c r="SL66" s="594"/>
      <c r="SM66" s="593"/>
      <c r="SN66" s="594"/>
      <c r="SO66" s="593"/>
      <c r="SP66" s="594"/>
      <c r="SQ66" s="593"/>
      <c r="SR66" s="594"/>
      <c r="SS66" s="593"/>
      <c r="ST66" s="594"/>
      <c r="SU66" s="593"/>
      <c r="SV66" s="594"/>
      <c r="SW66" s="593"/>
      <c r="SX66" s="594"/>
      <c r="SY66" s="593"/>
      <c r="SZ66" s="594"/>
      <c r="TA66" s="593"/>
      <c r="TB66" s="594"/>
      <c r="TC66" s="593"/>
      <c r="TD66" s="594"/>
      <c r="TE66" s="593"/>
      <c r="TF66" s="594"/>
      <c r="TG66" s="593"/>
      <c r="TH66" s="594"/>
      <c r="TI66" s="593"/>
      <c r="TJ66" s="594"/>
      <c r="TK66" s="593"/>
      <c r="TL66" s="594"/>
      <c r="TM66" s="593"/>
      <c r="TN66" s="594"/>
      <c r="TO66" s="593"/>
      <c r="TP66" s="594"/>
      <c r="TQ66" s="593"/>
      <c r="TR66" s="594"/>
      <c r="TS66" s="593"/>
      <c r="TT66" s="594"/>
      <c r="TU66" s="593"/>
      <c r="TV66" s="594"/>
      <c r="TW66" s="593"/>
      <c r="TX66" s="594"/>
      <c r="TY66" s="593"/>
      <c r="TZ66" s="594"/>
      <c r="UA66" s="593"/>
      <c r="UB66" s="594"/>
      <c r="UC66" s="593"/>
      <c r="UD66" s="594"/>
      <c r="UE66" s="593"/>
      <c r="UF66" s="594"/>
      <c r="UG66" s="593"/>
      <c r="UH66" s="594"/>
      <c r="UI66" s="593"/>
      <c r="UJ66" s="594"/>
      <c r="UK66" s="593"/>
      <c r="UL66" s="594"/>
      <c r="UM66" s="593"/>
      <c r="UN66" s="594"/>
      <c r="UO66" s="593"/>
      <c r="UP66" s="594"/>
      <c r="UQ66" s="593"/>
      <c r="UR66" s="594"/>
      <c r="US66" s="593"/>
      <c r="UT66" s="594"/>
      <c r="UU66" s="593"/>
      <c r="UV66" s="594"/>
      <c r="UW66" s="593"/>
      <c r="UX66" s="594"/>
      <c r="UY66" s="593"/>
      <c r="UZ66" s="594"/>
      <c r="VA66" s="593"/>
      <c r="VB66" s="594"/>
      <c r="VC66" s="593"/>
      <c r="VD66" s="594"/>
      <c r="VE66" s="593"/>
      <c r="VF66" s="594"/>
      <c r="VG66" s="593"/>
      <c r="VH66" s="594"/>
      <c r="VI66" s="593"/>
      <c r="VJ66" s="594"/>
      <c r="VK66" s="593"/>
      <c r="VL66" s="594"/>
      <c r="VM66" s="593"/>
      <c r="VN66" s="594"/>
      <c r="VO66" s="593"/>
      <c r="VP66" s="594"/>
      <c r="VQ66" s="593"/>
      <c r="VR66" s="594"/>
      <c r="VS66" s="593"/>
      <c r="VT66" s="594"/>
      <c r="VU66" s="593"/>
      <c r="VV66" s="594"/>
      <c r="VW66" s="593"/>
      <c r="VX66" s="594"/>
      <c r="VY66" s="593"/>
      <c r="VZ66" s="594"/>
      <c r="WA66" s="593"/>
      <c r="WB66" s="594"/>
      <c r="WC66" s="593"/>
      <c r="WD66" s="594"/>
      <c r="WE66" s="593"/>
      <c r="WF66" s="594"/>
      <c r="WG66" s="593"/>
      <c r="WH66" s="594"/>
      <c r="WI66" s="593"/>
      <c r="WJ66" s="594"/>
      <c r="WK66" s="593"/>
      <c r="WL66" s="594"/>
      <c r="WM66" s="593"/>
      <c r="WN66" s="594"/>
      <c r="WO66" s="593"/>
      <c r="WP66" s="594"/>
      <c r="WQ66" s="593"/>
      <c r="WR66" s="594"/>
      <c r="WS66" s="593"/>
      <c r="WT66" s="594"/>
      <c r="WU66" s="593"/>
      <c r="WV66" s="594"/>
      <c r="WW66" s="593"/>
      <c r="WX66" s="594"/>
      <c r="WY66" s="593"/>
      <c r="WZ66" s="594"/>
      <c r="XA66" s="593"/>
      <c r="XB66" s="594"/>
      <c r="XC66" s="593"/>
      <c r="XD66" s="594"/>
      <c r="XE66" s="593"/>
      <c r="XF66" s="594"/>
      <c r="XG66" s="593"/>
      <c r="XH66" s="594"/>
      <c r="XI66" s="593"/>
      <c r="XJ66" s="594"/>
      <c r="XK66" s="593"/>
      <c r="XL66" s="594"/>
      <c r="XM66" s="593"/>
      <c r="XN66" s="594"/>
      <c r="XO66" s="593"/>
      <c r="XP66" s="594"/>
      <c r="XQ66" s="593"/>
      <c r="XR66" s="594"/>
      <c r="XS66" s="593"/>
      <c r="XT66" s="594"/>
      <c r="XU66" s="593"/>
      <c r="XV66" s="594"/>
      <c r="XW66" s="593"/>
      <c r="XX66" s="594"/>
      <c r="XY66" s="593"/>
      <c r="XZ66" s="594"/>
      <c r="YA66" s="593"/>
      <c r="YB66" s="594"/>
      <c r="YC66" s="593"/>
      <c r="YD66" s="594"/>
      <c r="YE66" s="593"/>
      <c r="YF66" s="594"/>
      <c r="YG66" s="593"/>
      <c r="YH66" s="594"/>
      <c r="YI66" s="593"/>
      <c r="YJ66" s="594"/>
      <c r="YK66" s="593"/>
      <c r="YL66" s="594"/>
      <c r="YM66" s="593"/>
      <c r="YN66" s="594"/>
      <c r="YO66" s="593"/>
      <c r="YP66" s="594"/>
      <c r="YQ66" s="593"/>
      <c r="YR66" s="594"/>
      <c r="YS66" s="593"/>
      <c r="YT66" s="594"/>
      <c r="YU66" s="593"/>
      <c r="YV66" s="594"/>
      <c r="YW66" s="593"/>
      <c r="YX66" s="594"/>
      <c r="YY66" s="593"/>
      <c r="YZ66" s="594"/>
      <c r="ZA66" s="593"/>
      <c r="ZB66" s="594"/>
      <c r="ZC66" s="593"/>
      <c r="ZD66" s="594"/>
      <c r="ZE66" s="593"/>
      <c r="ZF66" s="594"/>
      <c r="ZG66" s="593"/>
      <c r="ZH66" s="594"/>
      <c r="ZI66" s="593"/>
      <c r="ZJ66" s="594"/>
      <c r="ZK66" s="593"/>
      <c r="ZL66" s="594"/>
      <c r="ZM66" s="593"/>
      <c r="ZN66" s="594"/>
      <c r="ZO66" s="593"/>
      <c r="ZP66" s="594"/>
      <c r="ZQ66" s="593"/>
      <c r="ZR66" s="594"/>
      <c r="ZS66" s="593"/>
      <c r="ZT66" s="594"/>
      <c r="ZU66" s="593"/>
      <c r="ZV66" s="594"/>
      <c r="ZW66" s="593"/>
      <c r="ZX66" s="594"/>
      <c r="ZY66" s="593"/>
      <c r="ZZ66" s="594"/>
      <c r="AAA66" s="593"/>
      <c r="AAB66" s="594"/>
      <c r="AAC66" s="593"/>
      <c r="AAD66" s="594"/>
      <c r="AAE66" s="593"/>
      <c r="AAF66" s="594"/>
      <c r="AAG66" s="593"/>
      <c r="AAH66" s="594"/>
      <c r="AAI66" s="593"/>
      <c r="AAJ66" s="594"/>
      <c r="AAK66" s="593"/>
      <c r="AAL66" s="594"/>
      <c r="AAM66" s="593"/>
      <c r="AAN66" s="594"/>
      <c r="AAO66" s="593"/>
      <c r="AAP66" s="594"/>
      <c r="AAQ66" s="593"/>
      <c r="AAR66" s="594"/>
      <c r="AAS66" s="593"/>
      <c r="AAT66" s="594"/>
      <c r="AAU66" s="593"/>
      <c r="AAV66" s="594"/>
      <c r="AAW66" s="593"/>
      <c r="AAX66" s="594"/>
      <c r="AAY66" s="593"/>
      <c r="AAZ66" s="594"/>
      <c r="ABA66" s="593"/>
      <c r="ABB66" s="594"/>
      <c r="ABC66" s="593"/>
      <c r="ABD66" s="594"/>
      <c r="ABE66" s="593"/>
      <c r="ABF66" s="594"/>
      <c r="ABG66" s="593"/>
      <c r="ABH66" s="594"/>
      <c r="ABI66" s="593"/>
      <c r="ABJ66" s="594"/>
      <c r="ABK66" s="593"/>
      <c r="ABL66" s="594"/>
      <c r="ABM66" s="593"/>
      <c r="ABN66" s="594"/>
      <c r="ABO66" s="593"/>
      <c r="ABP66" s="594"/>
      <c r="ABQ66" s="593"/>
      <c r="ABR66" s="594"/>
      <c r="ABS66" s="593"/>
      <c r="ABT66" s="594"/>
      <c r="ABU66" s="593"/>
      <c r="ABV66" s="594"/>
      <c r="ABW66" s="593"/>
      <c r="ABX66" s="594"/>
      <c r="ABY66" s="593"/>
      <c r="ABZ66" s="594"/>
      <c r="ACA66" s="593"/>
      <c r="ACB66" s="594"/>
      <c r="ACC66" s="593"/>
      <c r="ACD66" s="594"/>
      <c r="ACE66" s="593"/>
      <c r="ACF66" s="594"/>
      <c r="ACG66" s="593"/>
      <c r="ACH66" s="594"/>
      <c r="ACI66" s="593"/>
      <c r="ACJ66" s="594"/>
      <c r="ACK66" s="593"/>
      <c r="ACL66" s="594"/>
      <c r="ACM66" s="593"/>
      <c r="ACN66" s="594"/>
      <c r="ACO66" s="593"/>
      <c r="ACP66" s="594"/>
      <c r="ACQ66" s="593"/>
      <c r="ACR66" s="594"/>
      <c r="ACS66" s="593"/>
      <c r="ACT66" s="594"/>
      <c r="ACU66" s="593"/>
      <c r="ACV66" s="594"/>
      <c r="ACW66" s="593"/>
      <c r="ACX66" s="594"/>
      <c r="ACY66" s="593"/>
      <c r="ACZ66" s="594"/>
      <c r="ADA66" s="593"/>
      <c r="ADB66" s="594"/>
      <c r="ADC66" s="593"/>
      <c r="ADD66" s="594"/>
      <c r="ADE66" s="593"/>
      <c r="ADF66" s="594"/>
      <c r="ADG66" s="593"/>
      <c r="ADH66" s="594"/>
      <c r="ADI66" s="593"/>
      <c r="ADJ66" s="594"/>
      <c r="ADK66" s="593"/>
      <c r="ADL66" s="594"/>
      <c r="ADM66" s="593"/>
      <c r="ADN66" s="594"/>
      <c r="ADO66" s="593"/>
      <c r="ADP66" s="594"/>
      <c r="ADQ66" s="593"/>
      <c r="ADR66" s="594"/>
      <c r="ADS66" s="593"/>
      <c r="ADT66" s="594"/>
      <c r="ADU66" s="593"/>
      <c r="ADV66" s="594"/>
      <c r="ADW66" s="593"/>
      <c r="ADX66" s="594"/>
      <c r="ADY66" s="593"/>
      <c r="ADZ66" s="594"/>
      <c r="AEA66" s="593"/>
      <c r="AEB66" s="594"/>
      <c r="AEC66" s="593"/>
      <c r="AED66" s="594"/>
      <c r="AEE66" s="593"/>
      <c r="AEF66" s="594"/>
      <c r="AEG66" s="593"/>
      <c r="AEH66" s="594"/>
      <c r="AEI66" s="593"/>
      <c r="AEJ66" s="594"/>
      <c r="AEK66" s="593"/>
      <c r="AEL66" s="594"/>
      <c r="AEM66" s="593"/>
      <c r="AEN66" s="594"/>
      <c r="AEO66" s="593"/>
      <c r="AEP66" s="594"/>
      <c r="AEQ66" s="593"/>
      <c r="AER66" s="594"/>
      <c r="AES66" s="593"/>
      <c r="AET66" s="594"/>
      <c r="AEU66" s="593"/>
      <c r="AEV66" s="594"/>
      <c r="AEW66" s="593"/>
      <c r="AEX66" s="594"/>
      <c r="AEY66" s="593"/>
      <c r="AEZ66" s="594"/>
      <c r="AFA66" s="593"/>
      <c r="AFB66" s="594"/>
      <c r="AFC66" s="593"/>
      <c r="AFD66" s="594"/>
      <c r="AFE66" s="593"/>
      <c r="AFF66" s="594"/>
      <c r="AFG66" s="593"/>
      <c r="AFH66" s="594"/>
      <c r="AFI66" s="593"/>
      <c r="AFJ66" s="594"/>
      <c r="AFK66" s="593"/>
      <c r="AFL66" s="594"/>
      <c r="AFM66" s="593"/>
      <c r="AFN66" s="594"/>
      <c r="AFO66" s="593"/>
      <c r="AFP66" s="594"/>
      <c r="AFQ66" s="593"/>
      <c r="AFR66" s="594"/>
      <c r="AFS66" s="593"/>
      <c r="AFT66" s="594"/>
      <c r="AFU66" s="593"/>
      <c r="AFV66" s="594"/>
      <c r="AFW66" s="593"/>
      <c r="AFX66" s="594"/>
      <c r="AFY66" s="593"/>
      <c r="AFZ66" s="594"/>
      <c r="AGA66" s="593"/>
      <c r="AGB66" s="594"/>
      <c r="AGC66" s="593"/>
      <c r="AGD66" s="594"/>
      <c r="AGE66" s="593"/>
      <c r="AGF66" s="594"/>
      <c r="AGG66" s="593"/>
      <c r="AGH66" s="594"/>
      <c r="AGI66" s="593"/>
      <c r="AGJ66" s="594"/>
      <c r="AGK66" s="593"/>
      <c r="AGL66" s="594"/>
      <c r="AGM66" s="593"/>
      <c r="AGN66" s="594"/>
      <c r="AGO66" s="593"/>
      <c r="AGP66" s="594"/>
      <c r="AGQ66" s="593"/>
      <c r="AGR66" s="594"/>
      <c r="AGS66" s="593"/>
      <c r="AGT66" s="594"/>
      <c r="AGU66" s="593"/>
      <c r="AGV66" s="594"/>
      <c r="AGW66" s="593"/>
      <c r="AGX66" s="594"/>
      <c r="AGY66" s="593"/>
      <c r="AGZ66" s="594"/>
      <c r="AHA66" s="593"/>
      <c r="AHB66" s="594"/>
      <c r="AHC66" s="593"/>
      <c r="AHD66" s="594"/>
      <c r="AHE66" s="593"/>
      <c r="AHF66" s="594"/>
      <c r="AHG66" s="593"/>
      <c r="AHH66" s="594"/>
      <c r="AHI66" s="593"/>
      <c r="AHJ66" s="594"/>
      <c r="AHK66" s="593"/>
      <c r="AHL66" s="594"/>
      <c r="AHM66" s="593"/>
      <c r="AHN66" s="594"/>
      <c r="AHO66" s="593"/>
      <c r="AHP66" s="594"/>
      <c r="AHQ66" s="593"/>
      <c r="AHR66" s="594"/>
      <c r="AHS66" s="593"/>
      <c r="AHT66" s="594"/>
      <c r="AHU66" s="593"/>
      <c r="AHV66" s="594"/>
      <c r="AHW66" s="593"/>
      <c r="AHX66" s="594"/>
      <c r="AHY66" s="593"/>
      <c r="AHZ66" s="594"/>
      <c r="AIA66" s="593"/>
      <c r="AIB66" s="594"/>
      <c r="AIC66" s="593"/>
      <c r="AID66" s="594"/>
      <c r="AIE66" s="593"/>
      <c r="AIF66" s="594"/>
      <c r="AIG66" s="593"/>
      <c r="AIH66" s="594"/>
      <c r="AII66" s="593"/>
      <c r="AIJ66" s="594"/>
      <c r="AIK66" s="593"/>
      <c r="AIL66" s="594"/>
      <c r="AIM66" s="593"/>
      <c r="AIN66" s="594"/>
      <c r="AIO66" s="593"/>
      <c r="AIP66" s="594"/>
      <c r="AIQ66" s="593"/>
      <c r="AIR66" s="594"/>
      <c r="AIS66" s="593"/>
      <c r="AIT66" s="594"/>
      <c r="AIU66" s="593"/>
      <c r="AIV66" s="594"/>
      <c r="AIW66" s="593"/>
      <c r="AIX66" s="594"/>
      <c r="AIY66" s="593"/>
      <c r="AIZ66" s="594"/>
      <c r="AJA66" s="593"/>
      <c r="AJB66" s="594"/>
      <c r="AJC66" s="593"/>
      <c r="AJD66" s="594"/>
      <c r="AJE66" s="593"/>
      <c r="AJF66" s="594"/>
      <c r="AJG66" s="593"/>
      <c r="AJH66" s="594"/>
      <c r="AJI66" s="593"/>
      <c r="AJJ66" s="594"/>
      <c r="AJK66" s="593"/>
      <c r="AJL66" s="594"/>
      <c r="AJM66" s="593"/>
      <c r="AJN66" s="594"/>
      <c r="AJO66" s="593"/>
      <c r="AJP66" s="594"/>
      <c r="AJQ66" s="593"/>
      <c r="AJR66" s="594"/>
      <c r="AJS66" s="593"/>
      <c r="AJT66" s="594"/>
      <c r="AJU66" s="593"/>
      <c r="AJV66" s="594"/>
      <c r="AJW66" s="593"/>
      <c r="AJX66" s="594"/>
      <c r="AJY66" s="593"/>
      <c r="AJZ66" s="594"/>
      <c r="AKA66" s="593"/>
      <c r="AKB66" s="594"/>
      <c r="AKC66" s="593"/>
      <c r="AKD66" s="594"/>
      <c r="AKE66" s="593"/>
      <c r="AKF66" s="594"/>
      <c r="AKG66" s="593"/>
      <c r="AKH66" s="594"/>
      <c r="AKI66" s="593"/>
      <c r="AKJ66" s="594"/>
      <c r="AKK66" s="593"/>
      <c r="AKL66" s="594"/>
      <c r="AKM66" s="593"/>
      <c r="AKN66" s="594"/>
      <c r="AKO66" s="593"/>
      <c r="AKP66" s="594"/>
      <c r="AKQ66" s="593"/>
      <c r="AKR66" s="594"/>
      <c r="AKS66" s="593"/>
      <c r="AKT66" s="594"/>
      <c r="AKU66" s="593"/>
      <c r="AKV66" s="594"/>
      <c r="AKW66" s="593"/>
      <c r="AKX66" s="594"/>
      <c r="AKY66" s="593"/>
      <c r="AKZ66" s="594"/>
      <c r="ALA66" s="593"/>
      <c r="ALB66" s="594"/>
      <c r="ALC66" s="593"/>
      <c r="ALD66" s="594"/>
      <c r="ALE66" s="593"/>
      <c r="ALF66" s="594"/>
      <c r="ALG66" s="593"/>
      <c r="ALH66" s="594"/>
      <c r="ALI66" s="593"/>
      <c r="ALJ66" s="594"/>
      <c r="ALK66" s="593"/>
      <c r="ALL66" s="594"/>
      <c r="ALM66" s="593"/>
      <c r="ALN66" s="594"/>
      <c r="ALO66" s="593"/>
      <c r="ALP66" s="594"/>
      <c r="ALQ66" s="593"/>
      <c r="ALR66" s="594"/>
      <c r="ALS66" s="593"/>
      <c r="ALT66" s="594"/>
      <c r="ALU66" s="593"/>
      <c r="ALV66" s="594"/>
      <c r="ALW66" s="593"/>
      <c r="ALX66" s="594"/>
      <c r="ALY66" s="593"/>
      <c r="ALZ66" s="594"/>
      <c r="AMA66" s="593"/>
      <c r="AMB66" s="594"/>
      <c r="AMC66" s="593"/>
      <c r="AMD66" s="594"/>
      <c r="AME66" s="593"/>
      <c r="AMF66" s="594"/>
      <c r="AMG66" s="593"/>
      <c r="AMH66" s="594"/>
      <c r="AMI66" s="593"/>
      <c r="AMJ66" s="594"/>
    </row>
    <row r="67" spans="1:1024" s="39" customFormat="1" ht="15.75" customHeight="1" x14ac:dyDescent="0.35">
      <c r="A67" s="600"/>
      <c r="B67" s="644" t="s">
        <v>323</v>
      </c>
      <c r="C67" s="645"/>
      <c r="D67" s="646"/>
      <c r="E67" s="645"/>
      <c r="F67" s="646"/>
      <c r="G67" s="647"/>
      <c r="H67" s="643"/>
      <c r="I67" s="645"/>
      <c r="J67" s="38"/>
      <c r="K67" s="38"/>
      <c r="M67" s="38"/>
      <c r="O67" s="38"/>
      <c r="Q67" s="38"/>
      <c r="S67" s="38"/>
      <c r="U67" s="38"/>
      <c r="W67" s="38"/>
      <c r="Y67" s="38"/>
      <c r="AA67" s="38"/>
      <c r="AC67" s="38"/>
      <c r="AE67" s="38"/>
      <c r="AG67" s="38"/>
      <c r="AI67" s="38"/>
      <c r="AK67" s="40"/>
      <c r="AM67" s="40"/>
      <c r="AO67" s="40"/>
      <c r="AQ67" s="40"/>
      <c r="AS67" s="40"/>
      <c r="AU67" s="40"/>
      <c r="AW67" s="40"/>
      <c r="AY67" s="40"/>
      <c r="BA67" s="40"/>
      <c r="BC67" s="40"/>
      <c r="BE67" s="40"/>
      <c r="BG67" s="40"/>
      <c r="BI67" s="40"/>
      <c r="BK67" s="40"/>
      <c r="BM67" s="40"/>
      <c r="BO67" s="40"/>
      <c r="BQ67" s="40"/>
      <c r="BS67" s="40"/>
      <c r="BU67" s="40"/>
      <c r="BW67" s="40"/>
      <c r="BY67" s="40"/>
      <c r="CA67" s="40"/>
      <c r="CC67" s="40"/>
      <c r="CE67" s="40"/>
      <c r="CG67" s="40"/>
      <c r="CI67" s="40"/>
      <c r="CK67" s="40"/>
      <c r="CM67" s="40"/>
      <c r="CO67" s="40"/>
      <c r="CQ67" s="40"/>
      <c r="CS67" s="40"/>
      <c r="CU67" s="40"/>
      <c r="CW67" s="40"/>
      <c r="CY67" s="40"/>
      <c r="DA67" s="40"/>
      <c r="DC67" s="40"/>
      <c r="DE67" s="40"/>
      <c r="DG67" s="40"/>
      <c r="DI67" s="40"/>
      <c r="DK67" s="40"/>
      <c r="DM67" s="40"/>
      <c r="DO67" s="40"/>
      <c r="DQ67" s="40"/>
      <c r="DS67" s="40"/>
      <c r="DU67" s="40"/>
      <c r="DW67" s="40"/>
      <c r="DY67" s="40"/>
      <c r="EA67" s="40"/>
      <c r="EC67" s="40"/>
      <c r="EE67" s="40"/>
      <c r="EG67" s="40"/>
      <c r="EI67" s="40"/>
      <c r="EK67" s="40"/>
      <c r="EM67" s="40"/>
      <c r="EO67" s="40"/>
      <c r="EQ67" s="40"/>
      <c r="ES67" s="40"/>
      <c r="EU67" s="40"/>
      <c r="EW67" s="40"/>
      <c r="EY67" s="40"/>
      <c r="FA67" s="40"/>
      <c r="FC67" s="40"/>
      <c r="FE67" s="40"/>
      <c r="FG67" s="40"/>
      <c r="FI67" s="40"/>
      <c r="FK67" s="40"/>
      <c r="FM67" s="40"/>
      <c r="FO67" s="40"/>
      <c r="FQ67" s="40"/>
      <c r="FS67" s="40"/>
      <c r="FU67" s="40"/>
      <c r="FW67" s="40"/>
      <c r="FY67" s="40"/>
      <c r="GA67" s="40"/>
      <c r="GC67" s="40"/>
      <c r="GE67" s="40"/>
      <c r="GG67" s="40"/>
      <c r="GI67" s="40"/>
      <c r="GK67" s="40"/>
      <c r="GM67" s="40"/>
      <c r="GO67" s="40"/>
      <c r="GQ67" s="40"/>
      <c r="GS67" s="40"/>
      <c r="GU67" s="40"/>
      <c r="GW67" s="40"/>
      <c r="GY67" s="40"/>
      <c r="HA67" s="40"/>
      <c r="HC67" s="40"/>
      <c r="HE67" s="40"/>
      <c r="HG67" s="40"/>
      <c r="HI67" s="40"/>
      <c r="HK67" s="40"/>
      <c r="HM67" s="40"/>
      <c r="HO67" s="40"/>
      <c r="HQ67" s="40"/>
      <c r="HS67" s="40"/>
      <c r="HU67" s="40"/>
      <c r="HW67" s="40"/>
      <c r="HY67" s="40"/>
      <c r="IA67" s="40"/>
      <c r="IC67" s="40"/>
      <c r="IE67" s="40"/>
      <c r="IG67" s="40"/>
      <c r="II67" s="40"/>
      <c r="IK67" s="40"/>
      <c r="IM67" s="40"/>
      <c r="IO67" s="40"/>
      <c r="IQ67" s="40"/>
      <c r="IS67" s="40"/>
      <c r="IU67" s="40"/>
      <c r="IW67" s="40"/>
      <c r="IY67" s="40"/>
      <c r="JA67" s="40"/>
      <c r="JC67" s="40"/>
      <c r="JE67" s="40"/>
      <c r="JG67" s="40"/>
      <c r="JI67" s="40"/>
      <c r="JK67" s="40"/>
      <c r="JM67" s="40"/>
      <c r="JO67" s="40"/>
      <c r="JQ67" s="40"/>
      <c r="JS67" s="40"/>
      <c r="JU67" s="40"/>
      <c r="JW67" s="40"/>
      <c r="JY67" s="40"/>
      <c r="KA67" s="40"/>
      <c r="KC67" s="40"/>
      <c r="KE67" s="40"/>
      <c r="KG67" s="40"/>
      <c r="KI67" s="40"/>
      <c r="KK67" s="40"/>
      <c r="KM67" s="40"/>
      <c r="KO67" s="40"/>
      <c r="KQ67" s="40"/>
      <c r="KS67" s="40"/>
      <c r="KU67" s="40"/>
      <c r="KW67" s="40"/>
      <c r="KY67" s="40"/>
      <c r="LA67" s="40"/>
      <c r="LC67" s="40"/>
      <c r="LE67" s="40"/>
      <c r="LG67" s="40"/>
      <c r="LI67" s="40"/>
      <c r="LK67" s="40"/>
      <c r="LM67" s="40"/>
      <c r="LO67" s="40"/>
      <c r="LQ67" s="40"/>
      <c r="LS67" s="40"/>
      <c r="LU67" s="40"/>
      <c r="LW67" s="40"/>
      <c r="LY67" s="40"/>
      <c r="MA67" s="40"/>
      <c r="MC67" s="40"/>
      <c r="ME67" s="40"/>
      <c r="MG67" s="40"/>
      <c r="MI67" s="40"/>
      <c r="MK67" s="40"/>
      <c r="MM67" s="40"/>
      <c r="MO67" s="40"/>
      <c r="MQ67" s="40"/>
      <c r="MS67" s="40"/>
      <c r="MU67" s="40"/>
      <c r="MW67" s="40"/>
      <c r="MY67" s="40"/>
      <c r="NA67" s="40"/>
      <c r="NC67" s="40"/>
      <c r="NE67" s="40"/>
      <c r="NG67" s="40"/>
      <c r="NI67" s="40"/>
      <c r="NK67" s="40"/>
      <c r="NM67" s="40"/>
      <c r="NO67" s="40"/>
      <c r="NQ67" s="40"/>
      <c r="NS67" s="40"/>
      <c r="NU67" s="40"/>
      <c r="NW67" s="40"/>
      <c r="NY67" s="40"/>
      <c r="OA67" s="40"/>
      <c r="OC67" s="40"/>
      <c r="OE67" s="40"/>
      <c r="OG67" s="40"/>
      <c r="OI67" s="40"/>
      <c r="OK67" s="40"/>
      <c r="OM67" s="40"/>
      <c r="OO67" s="40"/>
      <c r="OQ67" s="40"/>
      <c r="OS67" s="40"/>
      <c r="OU67" s="40"/>
      <c r="OW67" s="40"/>
      <c r="OY67" s="40"/>
      <c r="PA67" s="40"/>
      <c r="PC67" s="40"/>
      <c r="PE67" s="40"/>
      <c r="PG67" s="40"/>
      <c r="PI67" s="40"/>
      <c r="PK67" s="40"/>
      <c r="PM67" s="40"/>
      <c r="PO67" s="40"/>
      <c r="PQ67" s="40"/>
      <c r="PS67" s="40"/>
      <c r="PU67" s="40"/>
      <c r="PW67" s="40"/>
      <c r="PY67" s="40"/>
      <c r="QA67" s="40"/>
      <c r="QC67" s="40"/>
      <c r="QE67" s="40"/>
      <c r="QG67" s="40"/>
      <c r="QI67" s="40"/>
      <c r="QK67" s="40"/>
      <c r="QM67" s="40"/>
      <c r="QO67" s="40"/>
      <c r="QQ67" s="40"/>
      <c r="QS67" s="40"/>
      <c r="QU67" s="40"/>
      <c r="QW67" s="40"/>
      <c r="QY67" s="40"/>
      <c r="RA67" s="40"/>
      <c r="RC67" s="40"/>
      <c r="RE67" s="40"/>
      <c r="RG67" s="40"/>
      <c r="RI67" s="40"/>
      <c r="RK67" s="40"/>
      <c r="RM67" s="40"/>
      <c r="RO67" s="40"/>
      <c r="RQ67" s="40"/>
      <c r="RS67" s="40"/>
      <c r="RU67" s="40"/>
      <c r="RW67" s="40"/>
      <c r="RY67" s="40"/>
      <c r="SA67" s="40"/>
      <c r="SC67" s="40"/>
      <c r="SE67" s="40"/>
      <c r="SG67" s="40"/>
      <c r="SI67" s="40"/>
      <c r="SK67" s="40"/>
      <c r="SM67" s="40"/>
      <c r="SO67" s="40"/>
      <c r="SQ67" s="40"/>
      <c r="SS67" s="40"/>
      <c r="SU67" s="40"/>
      <c r="SW67" s="40"/>
      <c r="SY67" s="40"/>
      <c r="TA67" s="40"/>
      <c r="TC67" s="40"/>
      <c r="TE67" s="40"/>
      <c r="TG67" s="40"/>
      <c r="TI67" s="40"/>
      <c r="TK67" s="40"/>
      <c r="TM67" s="40"/>
      <c r="TO67" s="40"/>
      <c r="TQ67" s="40"/>
      <c r="TS67" s="40"/>
      <c r="TU67" s="40"/>
      <c r="TW67" s="40"/>
      <c r="TY67" s="40"/>
      <c r="UA67" s="40"/>
      <c r="UC67" s="40"/>
      <c r="UE67" s="40"/>
      <c r="UG67" s="40"/>
      <c r="UI67" s="40"/>
      <c r="UK67" s="40"/>
      <c r="UM67" s="40"/>
      <c r="UO67" s="40"/>
      <c r="UQ67" s="40"/>
      <c r="US67" s="40"/>
      <c r="UU67" s="40"/>
      <c r="UW67" s="40"/>
      <c r="UY67" s="40"/>
      <c r="VA67" s="40"/>
      <c r="VC67" s="40"/>
      <c r="VE67" s="40"/>
      <c r="VG67" s="40"/>
      <c r="VI67" s="40"/>
      <c r="VK67" s="40"/>
      <c r="VM67" s="40"/>
      <c r="VO67" s="40"/>
      <c r="VQ67" s="40"/>
      <c r="VS67" s="40"/>
      <c r="VU67" s="40"/>
      <c r="VW67" s="40"/>
      <c r="VY67" s="40"/>
      <c r="WA67" s="40"/>
      <c r="WC67" s="40"/>
      <c r="WE67" s="40"/>
      <c r="WG67" s="40"/>
      <c r="WI67" s="40"/>
      <c r="WK67" s="40"/>
      <c r="WM67" s="40"/>
      <c r="WO67" s="40"/>
      <c r="WQ67" s="40"/>
      <c r="WS67" s="40"/>
      <c r="WU67" s="40"/>
      <c r="WW67" s="40"/>
      <c r="WY67" s="40"/>
      <c r="XA67" s="40"/>
      <c r="XC67" s="40"/>
      <c r="XE67" s="40"/>
      <c r="XG67" s="40"/>
      <c r="XI67" s="40"/>
      <c r="XK67" s="40"/>
      <c r="XM67" s="40"/>
      <c r="XO67" s="40"/>
      <c r="XQ67" s="40"/>
      <c r="XS67" s="40"/>
      <c r="XU67" s="40"/>
      <c r="XW67" s="40"/>
      <c r="XY67" s="40"/>
      <c r="YA67" s="40"/>
      <c r="YC67" s="40"/>
      <c r="YE67" s="40"/>
      <c r="YG67" s="40"/>
      <c r="YI67" s="40"/>
      <c r="YK67" s="40"/>
      <c r="YM67" s="40"/>
      <c r="YO67" s="40"/>
      <c r="YQ67" s="40"/>
      <c r="YS67" s="40"/>
      <c r="YU67" s="40"/>
      <c r="YW67" s="40"/>
      <c r="YY67" s="40"/>
      <c r="ZA67" s="40"/>
      <c r="ZC67" s="40"/>
      <c r="ZE67" s="40"/>
      <c r="ZG67" s="40"/>
      <c r="ZI67" s="40"/>
      <c r="ZK67" s="40"/>
      <c r="ZM67" s="40"/>
      <c r="ZO67" s="40"/>
      <c r="ZQ67" s="40"/>
      <c r="ZS67" s="40"/>
      <c r="ZU67" s="40"/>
      <c r="ZW67" s="40"/>
      <c r="ZY67" s="40"/>
      <c r="AAA67" s="40"/>
      <c r="AAC67" s="40"/>
      <c r="AAE67" s="40"/>
      <c r="AAG67" s="40"/>
      <c r="AAI67" s="40"/>
      <c r="AAK67" s="40"/>
      <c r="AAM67" s="40"/>
      <c r="AAO67" s="40"/>
      <c r="AAQ67" s="40"/>
      <c r="AAS67" s="40"/>
      <c r="AAU67" s="40"/>
      <c r="AAW67" s="40"/>
      <c r="AAY67" s="40"/>
      <c r="ABA67" s="40"/>
      <c r="ABC67" s="40"/>
      <c r="ABE67" s="40"/>
      <c r="ABG67" s="40"/>
      <c r="ABI67" s="40"/>
      <c r="ABK67" s="40"/>
      <c r="ABM67" s="40"/>
      <c r="ABO67" s="40"/>
      <c r="ABQ67" s="40"/>
      <c r="ABS67" s="40"/>
      <c r="ABU67" s="40"/>
      <c r="ABW67" s="40"/>
      <c r="ABY67" s="40"/>
      <c r="ACA67" s="40"/>
      <c r="ACC67" s="40"/>
      <c r="ACE67" s="40"/>
      <c r="ACG67" s="40"/>
      <c r="ACI67" s="40"/>
      <c r="ACK67" s="40"/>
      <c r="ACM67" s="40"/>
      <c r="ACO67" s="40"/>
      <c r="ACQ67" s="40"/>
      <c r="ACS67" s="40"/>
      <c r="ACU67" s="40"/>
      <c r="ACW67" s="40"/>
      <c r="ACY67" s="40"/>
      <c r="ADA67" s="40"/>
      <c r="ADC67" s="40"/>
      <c r="ADE67" s="40"/>
      <c r="ADG67" s="40"/>
      <c r="ADI67" s="40"/>
      <c r="ADK67" s="40"/>
      <c r="ADM67" s="40"/>
      <c r="ADO67" s="40"/>
      <c r="ADQ67" s="40"/>
      <c r="ADS67" s="40"/>
      <c r="ADU67" s="40"/>
      <c r="ADW67" s="40"/>
      <c r="ADY67" s="40"/>
      <c r="AEA67" s="40"/>
      <c r="AEC67" s="40"/>
      <c r="AEE67" s="40"/>
      <c r="AEG67" s="40"/>
      <c r="AEI67" s="40"/>
      <c r="AEK67" s="40"/>
      <c r="AEM67" s="40"/>
      <c r="AEO67" s="40"/>
      <c r="AEQ67" s="40"/>
      <c r="AES67" s="40"/>
      <c r="AEU67" s="40"/>
      <c r="AEW67" s="40"/>
      <c r="AEY67" s="40"/>
      <c r="AFA67" s="40"/>
      <c r="AFC67" s="40"/>
      <c r="AFE67" s="40"/>
      <c r="AFG67" s="40"/>
      <c r="AFI67" s="40"/>
      <c r="AFK67" s="40"/>
      <c r="AFM67" s="40"/>
      <c r="AFO67" s="40"/>
      <c r="AFQ67" s="40"/>
      <c r="AFS67" s="40"/>
      <c r="AFU67" s="40"/>
      <c r="AFW67" s="40"/>
      <c r="AFY67" s="40"/>
      <c r="AGA67" s="40"/>
      <c r="AGC67" s="40"/>
      <c r="AGE67" s="40"/>
      <c r="AGG67" s="40"/>
      <c r="AGI67" s="40"/>
      <c r="AGK67" s="40"/>
      <c r="AGM67" s="40"/>
      <c r="AGO67" s="40"/>
      <c r="AGQ67" s="40"/>
      <c r="AGS67" s="40"/>
      <c r="AGU67" s="40"/>
      <c r="AGW67" s="40"/>
      <c r="AGY67" s="40"/>
      <c r="AHA67" s="40"/>
      <c r="AHC67" s="40"/>
      <c r="AHE67" s="40"/>
      <c r="AHG67" s="40"/>
      <c r="AHI67" s="40"/>
      <c r="AHK67" s="40"/>
      <c r="AHM67" s="40"/>
      <c r="AHO67" s="40"/>
      <c r="AHQ67" s="40"/>
      <c r="AHS67" s="40"/>
      <c r="AHU67" s="40"/>
      <c r="AHW67" s="40"/>
      <c r="AHY67" s="40"/>
      <c r="AIA67" s="40"/>
      <c r="AIC67" s="40"/>
      <c r="AIE67" s="40"/>
      <c r="AIG67" s="40"/>
      <c r="AII67" s="40"/>
      <c r="AIK67" s="40"/>
      <c r="AIM67" s="40"/>
      <c r="AIO67" s="40"/>
    </row>
    <row r="68" spans="1:1024" s="39" customFormat="1" ht="15.75" customHeight="1" x14ac:dyDescent="0.35">
      <c r="A68" s="600"/>
      <c r="B68" s="644" t="s">
        <v>324</v>
      </c>
      <c r="C68" s="645"/>
      <c r="D68" s="646"/>
      <c r="E68" s="645"/>
      <c r="F68" s="646"/>
      <c r="G68" s="647"/>
      <c r="H68" s="643"/>
      <c r="I68" s="645"/>
      <c r="J68" s="38"/>
      <c r="K68" s="38"/>
      <c r="M68" s="38"/>
      <c r="O68" s="38"/>
      <c r="Q68" s="38"/>
      <c r="S68" s="38"/>
      <c r="U68" s="38"/>
      <c r="W68" s="38"/>
      <c r="Y68" s="38"/>
      <c r="AA68" s="38"/>
      <c r="AC68" s="38"/>
      <c r="AE68" s="38"/>
      <c r="AG68" s="38"/>
      <c r="AI68" s="38"/>
      <c r="AK68" s="40"/>
      <c r="AM68" s="40"/>
      <c r="AO68" s="40"/>
      <c r="AQ68" s="40"/>
      <c r="AS68" s="40"/>
      <c r="AU68" s="40"/>
      <c r="AW68" s="40"/>
      <c r="AY68" s="40"/>
      <c r="BA68" s="40"/>
      <c r="BC68" s="40"/>
      <c r="BE68" s="40"/>
      <c r="BG68" s="40"/>
      <c r="BI68" s="40"/>
      <c r="BK68" s="40"/>
      <c r="BM68" s="40"/>
      <c r="BO68" s="40"/>
      <c r="BQ68" s="40"/>
      <c r="BS68" s="40"/>
      <c r="BU68" s="40"/>
      <c r="BW68" s="40"/>
      <c r="BY68" s="40"/>
      <c r="CA68" s="40"/>
      <c r="CC68" s="40"/>
      <c r="CE68" s="40"/>
      <c r="CG68" s="40"/>
      <c r="CI68" s="40"/>
      <c r="CK68" s="40"/>
      <c r="CM68" s="40"/>
      <c r="CO68" s="40"/>
      <c r="CQ68" s="40"/>
      <c r="CS68" s="40"/>
      <c r="CU68" s="40"/>
      <c r="CW68" s="40"/>
      <c r="CY68" s="40"/>
      <c r="DA68" s="40"/>
      <c r="DC68" s="40"/>
      <c r="DE68" s="40"/>
      <c r="DG68" s="40"/>
      <c r="DI68" s="40"/>
      <c r="DK68" s="40"/>
      <c r="DM68" s="40"/>
      <c r="DO68" s="40"/>
      <c r="DQ68" s="40"/>
      <c r="DS68" s="40"/>
      <c r="DU68" s="40"/>
      <c r="DW68" s="40"/>
      <c r="DY68" s="40"/>
      <c r="EA68" s="40"/>
      <c r="EC68" s="40"/>
      <c r="EE68" s="40"/>
      <c r="EG68" s="40"/>
      <c r="EI68" s="40"/>
      <c r="EK68" s="40"/>
      <c r="EM68" s="40"/>
      <c r="EO68" s="40"/>
      <c r="EQ68" s="40"/>
      <c r="ES68" s="40"/>
      <c r="EU68" s="40"/>
      <c r="EW68" s="40"/>
      <c r="EY68" s="40"/>
      <c r="FA68" s="40"/>
      <c r="FC68" s="40"/>
      <c r="FE68" s="40"/>
      <c r="FG68" s="40"/>
      <c r="FI68" s="40"/>
      <c r="FK68" s="40"/>
      <c r="FM68" s="40"/>
      <c r="FO68" s="40"/>
      <c r="FQ68" s="40"/>
      <c r="FS68" s="40"/>
      <c r="FU68" s="40"/>
      <c r="FW68" s="40"/>
      <c r="FY68" s="40"/>
      <c r="GA68" s="40"/>
      <c r="GC68" s="40"/>
      <c r="GE68" s="40"/>
      <c r="GG68" s="40"/>
      <c r="GI68" s="40"/>
      <c r="GK68" s="40"/>
      <c r="GM68" s="40"/>
      <c r="GO68" s="40"/>
      <c r="GQ68" s="40"/>
      <c r="GS68" s="40"/>
      <c r="GU68" s="40"/>
      <c r="GW68" s="40"/>
      <c r="GY68" s="40"/>
      <c r="HA68" s="40"/>
      <c r="HC68" s="40"/>
      <c r="HE68" s="40"/>
      <c r="HG68" s="40"/>
      <c r="HI68" s="40"/>
      <c r="HK68" s="40"/>
      <c r="HM68" s="40"/>
      <c r="HO68" s="40"/>
      <c r="HQ68" s="40"/>
      <c r="HS68" s="40"/>
      <c r="HU68" s="40"/>
      <c r="HW68" s="40"/>
      <c r="HY68" s="40"/>
      <c r="IA68" s="40"/>
      <c r="IC68" s="40"/>
      <c r="IE68" s="40"/>
      <c r="IG68" s="40"/>
      <c r="II68" s="40"/>
      <c r="IK68" s="40"/>
      <c r="IM68" s="40"/>
      <c r="IO68" s="40"/>
      <c r="IQ68" s="40"/>
      <c r="IS68" s="40"/>
      <c r="IU68" s="40"/>
      <c r="IW68" s="40"/>
      <c r="IY68" s="40"/>
      <c r="JA68" s="40"/>
      <c r="JC68" s="40"/>
      <c r="JE68" s="40"/>
      <c r="JG68" s="40"/>
      <c r="JI68" s="40"/>
      <c r="JK68" s="40"/>
      <c r="JM68" s="40"/>
      <c r="JO68" s="40"/>
      <c r="JQ68" s="40"/>
      <c r="JS68" s="40"/>
      <c r="JU68" s="40"/>
      <c r="JW68" s="40"/>
      <c r="JY68" s="40"/>
      <c r="KA68" s="40"/>
      <c r="KC68" s="40"/>
      <c r="KE68" s="40"/>
      <c r="KG68" s="40"/>
      <c r="KI68" s="40"/>
      <c r="KK68" s="40"/>
      <c r="KM68" s="40"/>
      <c r="KO68" s="40"/>
      <c r="KQ68" s="40"/>
      <c r="KS68" s="40"/>
      <c r="KU68" s="40"/>
      <c r="KW68" s="40"/>
      <c r="KY68" s="40"/>
      <c r="LA68" s="40"/>
      <c r="LC68" s="40"/>
      <c r="LE68" s="40"/>
      <c r="LG68" s="40"/>
      <c r="LI68" s="40"/>
      <c r="LK68" s="40"/>
      <c r="LM68" s="40"/>
      <c r="LO68" s="40"/>
      <c r="LQ68" s="40"/>
      <c r="LS68" s="40"/>
      <c r="LU68" s="40"/>
      <c r="LW68" s="40"/>
      <c r="LY68" s="40"/>
      <c r="MA68" s="40"/>
      <c r="MC68" s="40"/>
      <c r="ME68" s="40"/>
      <c r="MG68" s="40"/>
      <c r="MI68" s="40"/>
      <c r="MK68" s="40"/>
      <c r="MM68" s="40"/>
      <c r="MO68" s="40"/>
      <c r="MQ68" s="40"/>
      <c r="MS68" s="40"/>
      <c r="MU68" s="40"/>
      <c r="MW68" s="40"/>
      <c r="MY68" s="40"/>
      <c r="NA68" s="40"/>
      <c r="NC68" s="40"/>
      <c r="NE68" s="40"/>
      <c r="NG68" s="40"/>
      <c r="NI68" s="40"/>
      <c r="NK68" s="40"/>
      <c r="NM68" s="40"/>
      <c r="NO68" s="40"/>
      <c r="NQ68" s="40"/>
      <c r="NS68" s="40"/>
      <c r="NU68" s="40"/>
      <c r="NW68" s="40"/>
      <c r="NY68" s="40"/>
      <c r="OA68" s="40"/>
      <c r="OC68" s="40"/>
      <c r="OE68" s="40"/>
      <c r="OG68" s="40"/>
      <c r="OI68" s="40"/>
      <c r="OK68" s="40"/>
      <c r="OM68" s="40"/>
      <c r="OO68" s="40"/>
      <c r="OQ68" s="40"/>
      <c r="OS68" s="40"/>
      <c r="OU68" s="40"/>
      <c r="OW68" s="40"/>
      <c r="OY68" s="40"/>
      <c r="PA68" s="40"/>
      <c r="PC68" s="40"/>
      <c r="PE68" s="40"/>
      <c r="PG68" s="40"/>
      <c r="PI68" s="40"/>
      <c r="PK68" s="40"/>
      <c r="PM68" s="40"/>
      <c r="PO68" s="40"/>
      <c r="PQ68" s="40"/>
      <c r="PS68" s="40"/>
      <c r="PU68" s="40"/>
      <c r="PW68" s="40"/>
      <c r="PY68" s="40"/>
      <c r="QA68" s="40"/>
      <c r="QC68" s="40"/>
      <c r="QE68" s="40"/>
      <c r="QG68" s="40"/>
      <c r="QI68" s="40"/>
      <c r="QK68" s="40"/>
      <c r="QM68" s="40"/>
      <c r="QO68" s="40"/>
      <c r="QQ68" s="40"/>
      <c r="QS68" s="40"/>
      <c r="QU68" s="40"/>
      <c r="QW68" s="40"/>
      <c r="QY68" s="40"/>
      <c r="RA68" s="40"/>
      <c r="RC68" s="40"/>
      <c r="RE68" s="40"/>
      <c r="RG68" s="40"/>
      <c r="RI68" s="40"/>
      <c r="RK68" s="40"/>
      <c r="RM68" s="40"/>
      <c r="RO68" s="40"/>
      <c r="RQ68" s="40"/>
      <c r="RS68" s="40"/>
      <c r="RU68" s="40"/>
      <c r="RW68" s="40"/>
      <c r="RY68" s="40"/>
      <c r="SA68" s="40"/>
      <c r="SC68" s="40"/>
      <c r="SE68" s="40"/>
      <c r="SG68" s="40"/>
      <c r="SI68" s="40"/>
      <c r="SK68" s="40"/>
      <c r="SM68" s="40"/>
      <c r="SO68" s="40"/>
      <c r="SQ68" s="40"/>
      <c r="SS68" s="40"/>
      <c r="SU68" s="40"/>
      <c r="SW68" s="40"/>
      <c r="SY68" s="40"/>
      <c r="TA68" s="40"/>
      <c r="TC68" s="40"/>
      <c r="TE68" s="40"/>
      <c r="TG68" s="40"/>
      <c r="TI68" s="40"/>
      <c r="TK68" s="40"/>
      <c r="TM68" s="40"/>
      <c r="TO68" s="40"/>
      <c r="TQ68" s="40"/>
      <c r="TS68" s="40"/>
      <c r="TU68" s="40"/>
      <c r="TW68" s="40"/>
      <c r="TY68" s="40"/>
      <c r="UA68" s="40"/>
      <c r="UC68" s="40"/>
      <c r="UE68" s="40"/>
      <c r="UG68" s="40"/>
      <c r="UI68" s="40"/>
      <c r="UK68" s="40"/>
      <c r="UM68" s="40"/>
      <c r="UO68" s="40"/>
      <c r="UQ68" s="40"/>
      <c r="US68" s="40"/>
      <c r="UU68" s="40"/>
      <c r="UW68" s="40"/>
      <c r="UY68" s="40"/>
      <c r="VA68" s="40"/>
      <c r="VC68" s="40"/>
      <c r="VE68" s="40"/>
      <c r="VG68" s="40"/>
      <c r="VI68" s="40"/>
      <c r="VK68" s="40"/>
      <c r="VM68" s="40"/>
      <c r="VO68" s="40"/>
      <c r="VQ68" s="40"/>
      <c r="VS68" s="40"/>
      <c r="VU68" s="40"/>
      <c r="VW68" s="40"/>
      <c r="VY68" s="40"/>
      <c r="WA68" s="40"/>
      <c r="WC68" s="40"/>
      <c r="WE68" s="40"/>
      <c r="WG68" s="40"/>
      <c r="WI68" s="40"/>
      <c r="WK68" s="40"/>
      <c r="WM68" s="40"/>
      <c r="WO68" s="40"/>
      <c r="WQ68" s="40"/>
      <c r="WS68" s="40"/>
      <c r="WU68" s="40"/>
      <c r="WW68" s="40"/>
      <c r="WY68" s="40"/>
      <c r="XA68" s="40"/>
      <c r="XC68" s="40"/>
      <c r="XE68" s="40"/>
      <c r="XG68" s="40"/>
      <c r="XI68" s="40"/>
      <c r="XK68" s="40"/>
      <c r="XM68" s="40"/>
      <c r="XO68" s="40"/>
      <c r="XQ68" s="40"/>
      <c r="XS68" s="40"/>
      <c r="XU68" s="40"/>
      <c r="XW68" s="40"/>
      <c r="XY68" s="40"/>
      <c r="YA68" s="40"/>
      <c r="YC68" s="40"/>
      <c r="YE68" s="40"/>
      <c r="YG68" s="40"/>
      <c r="YI68" s="40"/>
      <c r="YK68" s="40"/>
      <c r="YM68" s="40"/>
      <c r="YO68" s="40"/>
      <c r="YQ68" s="40"/>
      <c r="YS68" s="40"/>
      <c r="YU68" s="40"/>
      <c r="YW68" s="40"/>
      <c r="YY68" s="40"/>
      <c r="ZA68" s="40"/>
      <c r="ZC68" s="40"/>
      <c r="ZE68" s="40"/>
      <c r="ZG68" s="40"/>
      <c r="ZI68" s="40"/>
      <c r="ZK68" s="40"/>
      <c r="ZM68" s="40"/>
      <c r="ZO68" s="40"/>
      <c r="ZQ68" s="40"/>
      <c r="ZS68" s="40"/>
      <c r="ZU68" s="40"/>
      <c r="ZW68" s="40"/>
      <c r="ZY68" s="40"/>
      <c r="AAA68" s="40"/>
      <c r="AAC68" s="40"/>
      <c r="AAE68" s="40"/>
      <c r="AAG68" s="40"/>
      <c r="AAI68" s="40"/>
      <c r="AAK68" s="40"/>
      <c r="AAM68" s="40"/>
      <c r="AAO68" s="40"/>
      <c r="AAQ68" s="40"/>
      <c r="AAS68" s="40"/>
      <c r="AAU68" s="40"/>
      <c r="AAW68" s="40"/>
      <c r="AAY68" s="40"/>
      <c r="ABA68" s="40"/>
      <c r="ABC68" s="40"/>
      <c r="ABE68" s="40"/>
      <c r="ABG68" s="40"/>
      <c r="ABI68" s="40"/>
      <c r="ABK68" s="40"/>
      <c r="ABM68" s="40"/>
      <c r="ABO68" s="40"/>
      <c r="ABQ68" s="40"/>
      <c r="ABS68" s="40"/>
      <c r="ABU68" s="40"/>
      <c r="ABW68" s="40"/>
      <c r="ABY68" s="40"/>
      <c r="ACA68" s="40"/>
      <c r="ACC68" s="40"/>
      <c r="ACE68" s="40"/>
      <c r="ACG68" s="40"/>
      <c r="ACI68" s="40"/>
      <c r="ACK68" s="40"/>
      <c r="ACM68" s="40"/>
      <c r="ACO68" s="40"/>
      <c r="ACQ68" s="40"/>
      <c r="ACS68" s="40"/>
      <c r="ACU68" s="40"/>
      <c r="ACW68" s="40"/>
      <c r="ACY68" s="40"/>
      <c r="ADA68" s="40"/>
      <c r="ADC68" s="40"/>
      <c r="ADE68" s="40"/>
      <c r="ADG68" s="40"/>
      <c r="ADI68" s="40"/>
      <c r="ADK68" s="40"/>
      <c r="ADM68" s="40"/>
      <c r="ADO68" s="40"/>
      <c r="ADQ68" s="40"/>
      <c r="ADS68" s="40"/>
      <c r="ADU68" s="40"/>
      <c r="ADW68" s="40"/>
      <c r="ADY68" s="40"/>
      <c r="AEA68" s="40"/>
      <c r="AEC68" s="40"/>
      <c r="AEE68" s="40"/>
      <c r="AEG68" s="40"/>
      <c r="AEI68" s="40"/>
      <c r="AEK68" s="40"/>
      <c r="AEM68" s="40"/>
      <c r="AEO68" s="40"/>
      <c r="AEQ68" s="40"/>
      <c r="AES68" s="40"/>
      <c r="AEU68" s="40"/>
      <c r="AEW68" s="40"/>
      <c r="AEY68" s="40"/>
      <c r="AFA68" s="40"/>
      <c r="AFC68" s="40"/>
      <c r="AFE68" s="40"/>
      <c r="AFG68" s="40"/>
      <c r="AFI68" s="40"/>
      <c r="AFK68" s="40"/>
      <c r="AFM68" s="40"/>
      <c r="AFO68" s="40"/>
      <c r="AFQ68" s="40"/>
      <c r="AFS68" s="40"/>
      <c r="AFU68" s="40"/>
      <c r="AFW68" s="40"/>
      <c r="AFY68" s="40"/>
      <c r="AGA68" s="40"/>
      <c r="AGC68" s="40"/>
      <c r="AGE68" s="40"/>
      <c r="AGG68" s="40"/>
      <c r="AGI68" s="40"/>
      <c r="AGK68" s="40"/>
      <c r="AGM68" s="40"/>
      <c r="AGO68" s="40"/>
      <c r="AGQ68" s="40"/>
      <c r="AGS68" s="40"/>
      <c r="AGU68" s="40"/>
      <c r="AGW68" s="40"/>
      <c r="AGY68" s="40"/>
      <c r="AHA68" s="40"/>
      <c r="AHC68" s="40"/>
      <c r="AHE68" s="40"/>
      <c r="AHG68" s="40"/>
      <c r="AHI68" s="40"/>
      <c r="AHK68" s="40"/>
      <c r="AHM68" s="40"/>
      <c r="AHO68" s="40"/>
      <c r="AHQ68" s="40"/>
      <c r="AHS68" s="40"/>
      <c r="AHU68" s="40"/>
      <c r="AHW68" s="40"/>
      <c r="AHY68" s="40"/>
      <c r="AIA68" s="40"/>
      <c r="AIC68" s="40"/>
      <c r="AIE68" s="40"/>
      <c r="AIG68" s="40"/>
      <c r="AII68" s="40"/>
      <c r="AIK68" s="40"/>
      <c r="AIM68" s="40"/>
      <c r="AIO68" s="40"/>
    </row>
    <row r="69" spans="1:1024" s="39" customFormat="1" ht="15.75" customHeight="1" x14ac:dyDescent="0.35">
      <c r="A69" s="600"/>
      <c r="B69" s="644" t="s">
        <v>325</v>
      </c>
      <c r="C69" s="645"/>
      <c r="D69" s="646"/>
      <c r="E69" s="645"/>
      <c r="F69" s="646"/>
      <c r="G69" s="647"/>
      <c r="H69" s="643"/>
      <c r="I69" s="645"/>
      <c r="J69" s="38"/>
      <c r="K69" s="38"/>
      <c r="M69" s="38"/>
      <c r="O69" s="38"/>
      <c r="Q69" s="38"/>
      <c r="S69" s="38"/>
      <c r="U69" s="38"/>
      <c r="W69" s="38"/>
      <c r="Y69" s="38"/>
      <c r="AA69" s="38"/>
      <c r="AC69" s="38"/>
      <c r="AE69" s="38"/>
      <c r="AG69" s="38"/>
      <c r="AI69" s="38"/>
      <c r="AK69" s="40"/>
      <c r="AM69" s="40"/>
      <c r="AO69" s="40"/>
      <c r="AQ69" s="40"/>
      <c r="AS69" s="40"/>
      <c r="AU69" s="40"/>
      <c r="AW69" s="40"/>
      <c r="AY69" s="40"/>
      <c r="BA69" s="40"/>
      <c r="BC69" s="40"/>
      <c r="BE69" s="40"/>
      <c r="BG69" s="40"/>
      <c r="BI69" s="40"/>
      <c r="BK69" s="40"/>
      <c r="BM69" s="40"/>
      <c r="BO69" s="40"/>
      <c r="BQ69" s="40"/>
      <c r="BS69" s="40"/>
      <c r="BU69" s="40"/>
      <c r="BW69" s="40"/>
      <c r="BY69" s="40"/>
      <c r="CA69" s="40"/>
      <c r="CC69" s="40"/>
      <c r="CE69" s="40"/>
      <c r="CG69" s="40"/>
      <c r="CI69" s="40"/>
      <c r="CK69" s="40"/>
      <c r="CM69" s="40"/>
      <c r="CO69" s="40"/>
      <c r="CQ69" s="40"/>
      <c r="CS69" s="40"/>
      <c r="CU69" s="40"/>
      <c r="CW69" s="40"/>
      <c r="CY69" s="40"/>
      <c r="DA69" s="40"/>
      <c r="DC69" s="40"/>
      <c r="DE69" s="40"/>
      <c r="DG69" s="40"/>
      <c r="DI69" s="40"/>
      <c r="DK69" s="40"/>
      <c r="DM69" s="40"/>
      <c r="DO69" s="40"/>
      <c r="DQ69" s="40"/>
      <c r="DS69" s="40"/>
      <c r="DU69" s="40"/>
      <c r="DW69" s="40"/>
      <c r="DY69" s="40"/>
      <c r="EA69" s="40"/>
      <c r="EC69" s="40"/>
      <c r="EE69" s="40"/>
      <c r="EG69" s="40"/>
      <c r="EI69" s="40"/>
      <c r="EK69" s="40"/>
      <c r="EM69" s="40"/>
      <c r="EO69" s="40"/>
      <c r="EQ69" s="40"/>
      <c r="ES69" s="40"/>
      <c r="EU69" s="40"/>
      <c r="EW69" s="40"/>
      <c r="EY69" s="40"/>
      <c r="FA69" s="40"/>
      <c r="FC69" s="40"/>
      <c r="FE69" s="40"/>
      <c r="FG69" s="40"/>
      <c r="FI69" s="40"/>
      <c r="FK69" s="40"/>
      <c r="FM69" s="40"/>
      <c r="FO69" s="40"/>
      <c r="FQ69" s="40"/>
      <c r="FS69" s="40"/>
      <c r="FU69" s="40"/>
      <c r="FW69" s="40"/>
      <c r="FY69" s="40"/>
      <c r="GA69" s="40"/>
      <c r="GC69" s="40"/>
      <c r="GE69" s="40"/>
      <c r="GG69" s="40"/>
      <c r="GI69" s="40"/>
      <c r="GK69" s="40"/>
      <c r="GM69" s="40"/>
      <c r="GO69" s="40"/>
      <c r="GQ69" s="40"/>
      <c r="GS69" s="40"/>
      <c r="GU69" s="40"/>
      <c r="GW69" s="40"/>
      <c r="GY69" s="40"/>
      <c r="HA69" s="40"/>
      <c r="HC69" s="40"/>
      <c r="HE69" s="40"/>
      <c r="HG69" s="40"/>
      <c r="HI69" s="40"/>
      <c r="HK69" s="40"/>
      <c r="HM69" s="40"/>
      <c r="HO69" s="40"/>
      <c r="HQ69" s="40"/>
      <c r="HS69" s="40"/>
      <c r="HU69" s="40"/>
      <c r="HW69" s="40"/>
      <c r="HY69" s="40"/>
      <c r="IA69" s="40"/>
      <c r="IC69" s="40"/>
      <c r="IE69" s="40"/>
      <c r="IG69" s="40"/>
      <c r="II69" s="40"/>
      <c r="IK69" s="40"/>
      <c r="IM69" s="40"/>
      <c r="IO69" s="40"/>
      <c r="IQ69" s="40"/>
      <c r="IS69" s="40"/>
      <c r="IU69" s="40"/>
      <c r="IW69" s="40"/>
      <c r="IY69" s="40"/>
      <c r="JA69" s="40"/>
      <c r="JC69" s="40"/>
      <c r="JE69" s="40"/>
      <c r="JG69" s="40"/>
      <c r="JI69" s="40"/>
      <c r="JK69" s="40"/>
      <c r="JM69" s="40"/>
      <c r="JO69" s="40"/>
      <c r="JQ69" s="40"/>
      <c r="JS69" s="40"/>
      <c r="JU69" s="40"/>
      <c r="JW69" s="40"/>
      <c r="JY69" s="40"/>
      <c r="KA69" s="40"/>
      <c r="KC69" s="40"/>
      <c r="KE69" s="40"/>
      <c r="KG69" s="40"/>
      <c r="KI69" s="40"/>
      <c r="KK69" s="40"/>
      <c r="KM69" s="40"/>
      <c r="KO69" s="40"/>
      <c r="KQ69" s="40"/>
      <c r="KS69" s="40"/>
      <c r="KU69" s="40"/>
      <c r="KW69" s="40"/>
      <c r="KY69" s="40"/>
      <c r="LA69" s="40"/>
      <c r="LC69" s="40"/>
      <c r="LE69" s="40"/>
      <c r="LG69" s="40"/>
      <c r="LI69" s="40"/>
      <c r="LK69" s="40"/>
      <c r="LM69" s="40"/>
      <c r="LO69" s="40"/>
      <c r="LQ69" s="40"/>
      <c r="LS69" s="40"/>
      <c r="LU69" s="40"/>
      <c r="LW69" s="40"/>
      <c r="LY69" s="40"/>
      <c r="MA69" s="40"/>
      <c r="MC69" s="40"/>
      <c r="ME69" s="40"/>
      <c r="MG69" s="40"/>
      <c r="MI69" s="40"/>
      <c r="MK69" s="40"/>
      <c r="MM69" s="40"/>
      <c r="MO69" s="40"/>
      <c r="MQ69" s="40"/>
      <c r="MS69" s="40"/>
      <c r="MU69" s="40"/>
      <c r="MW69" s="40"/>
      <c r="MY69" s="40"/>
      <c r="NA69" s="40"/>
      <c r="NC69" s="40"/>
      <c r="NE69" s="40"/>
      <c r="NG69" s="40"/>
      <c r="NI69" s="40"/>
      <c r="NK69" s="40"/>
      <c r="NM69" s="40"/>
      <c r="NO69" s="40"/>
      <c r="NQ69" s="40"/>
      <c r="NS69" s="40"/>
      <c r="NU69" s="40"/>
      <c r="NW69" s="40"/>
      <c r="NY69" s="40"/>
      <c r="OA69" s="40"/>
      <c r="OC69" s="40"/>
      <c r="OE69" s="40"/>
      <c r="OG69" s="40"/>
      <c r="OI69" s="40"/>
      <c r="OK69" s="40"/>
      <c r="OM69" s="40"/>
      <c r="OO69" s="40"/>
      <c r="OQ69" s="40"/>
      <c r="OS69" s="40"/>
      <c r="OU69" s="40"/>
      <c r="OW69" s="40"/>
      <c r="OY69" s="40"/>
      <c r="PA69" s="40"/>
      <c r="PC69" s="40"/>
      <c r="PE69" s="40"/>
      <c r="PG69" s="40"/>
      <c r="PI69" s="40"/>
      <c r="PK69" s="40"/>
      <c r="PM69" s="40"/>
      <c r="PO69" s="40"/>
      <c r="PQ69" s="40"/>
      <c r="PS69" s="40"/>
      <c r="PU69" s="40"/>
      <c r="PW69" s="40"/>
      <c r="PY69" s="40"/>
      <c r="QA69" s="40"/>
      <c r="QC69" s="40"/>
      <c r="QE69" s="40"/>
      <c r="QG69" s="40"/>
      <c r="QI69" s="40"/>
      <c r="QK69" s="40"/>
      <c r="QM69" s="40"/>
      <c r="QO69" s="40"/>
      <c r="QQ69" s="40"/>
      <c r="QS69" s="40"/>
      <c r="QU69" s="40"/>
      <c r="QW69" s="40"/>
      <c r="QY69" s="40"/>
      <c r="RA69" s="40"/>
      <c r="RC69" s="40"/>
      <c r="RE69" s="40"/>
      <c r="RG69" s="40"/>
      <c r="RI69" s="40"/>
      <c r="RK69" s="40"/>
      <c r="RM69" s="40"/>
      <c r="RO69" s="40"/>
      <c r="RQ69" s="40"/>
      <c r="RS69" s="40"/>
      <c r="RU69" s="40"/>
      <c r="RW69" s="40"/>
      <c r="RY69" s="40"/>
      <c r="SA69" s="40"/>
      <c r="SC69" s="40"/>
      <c r="SE69" s="40"/>
      <c r="SG69" s="40"/>
      <c r="SI69" s="40"/>
      <c r="SK69" s="40"/>
      <c r="SM69" s="40"/>
      <c r="SO69" s="40"/>
      <c r="SQ69" s="40"/>
      <c r="SS69" s="40"/>
      <c r="SU69" s="40"/>
      <c r="SW69" s="40"/>
      <c r="SY69" s="40"/>
      <c r="TA69" s="40"/>
      <c r="TC69" s="40"/>
      <c r="TE69" s="40"/>
      <c r="TG69" s="40"/>
      <c r="TI69" s="40"/>
      <c r="TK69" s="40"/>
      <c r="TM69" s="40"/>
      <c r="TO69" s="40"/>
      <c r="TQ69" s="40"/>
      <c r="TS69" s="40"/>
      <c r="TU69" s="40"/>
      <c r="TW69" s="40"/>
      <c r="TY69" s="40"/>
      <c r="UA69" s="40"/>
      <c r="UC69" s="40"/>
      <c r="UE69" s="40"/>
      <c r="UG69" s="40"/>
      <c r="UI69" s="40"/>
      <c r="UK69" s="40"/>
      <c r="UM69" s="40"/>
      <c r="UO69" s="40"/>
      <c r="UQ69" s="40"/>
      <c r="US69" s="40"/>
      <c r="UU69" s="40"/>
      <c r="UW69" s="40"/>
      <c r="UY69" s="40"/>
      <c r="VA69" s="40"/>
      <c r="VC69" s="40"/>
      <c r="VE69" s="40"/>
      <c r="VG69" s="40"/>
      <c r="VI69" s="40"/>
      <c r="VK69" s="40"/>
      <c r="VM69" s="40"/>
      <c r="VO69" s="40"/>
      <c r="VQ69" s="40"/>
      <c r="VS69" s="40"/>
      <c r="VU69" s="40"/>
      <c r="VW69" s="40"/>
      <c r="VY69" s="40"/>
      <c r="WA69" s="40"/>
      <c r="WC69" s="40"/>
      <c r="WE69" s="40"/>
      <c r="WG69" s="40"/>
      <c r="WI69" s="40"/>
      <c r="WK69" s="40"/>
      <c r="WM69" s="40"/>
      <c r="WO69" s="40"/>
      <c r="WQ69" s="40"/>
      <c r="WS69" s="40"/>
      <c r="WU69" s="40"/>
      <c r="WW69" s="40"/>
      <c r="WY69" s="40"/>
      <c r="XA69" s="40"/>
      <c r="XC69" s="40"/>
      <c r="XE69" s="40"/>
      <c r="XG69" s="40"/>
      <c r="XI69" s="40"/>
      <c r="XK69" s="40"/>
      <c r="XM69" s="40"/>
      <c r="XO69" s="40"/>
      <c r="XQ69" s="40"/>
      <c r="XS69" s="40"/>
      <c r="XU69" s="40"/>
      <c r="XW69" s="40"/>
      <c r="XY69" s="40"/>
      <c r="YA69" s="40"/>
      <c r="YC69" s="40"/>
      <c r="YE69" s="40"/>
      <c r="YG69" s="40"/>
      <c r="YI69" s="40"/>
      <c r="YK69" s="40"/>
      <c r="YM69" s="40"/>
      <c r="YO69" s="40"/>
      <c r="YQ69" s="40"/>
      <c r="YS69" s="40"/>
      <c r="YU69" s="40"/>
      <c r="YW69" s="40"/>
      <c r="YY69" s="40"/>
      <c r="ZA69" s="40"/>
      <c r="ZC69" s="40"/>
      <c r="ZE69" s="40"/>
      <c r="ZG69" s="40"/>
      <c r="ZI69" s="40"/>
      <c r="ZK69" s="40"/>
      <c r="ZM69" s="40"/>
      <c r="ZO69" s="40"/>
      <c r="ZQ69" s="40"/>
      <c r="ZS69" s="40"/>
      <c r="ZU69" s="40"/>
      <c r="ZW69" s="40"/>
      <c r="ZY69" s="40"/>
      <c r="AAA69" s="40"/>
      <c r="AAC69" s="40"/>
      <c r="AAE69" s="40"/>
      <c r="AAG69" s="40"/>
      <c r="AAI69" s="40"/>
      <c r="AAK69" s="40"/>
      <c r="AAM69" s="40"/>
      <c r="AAO69" s="40"/>
      <c r="AAQ69" s="40"/>
      <c r="AAS69" s="40"/>
      <c r="AAU69" s="40"/>
      <c r="AAW69" s="40"/>
      <c r="AAY69" s="40"/>
      <c r="ABA69" s="40"/>
      <c r="ABC69" s="40"/>
      <c r="ABE69" s="40"/>
      <c r="ABG69" s="40"/>
      <c r="ABI69" s="40"/>
      <c r="ABK69" s="40"/>
      <c r="ABM69" s="40"/>
      <c r="ABO69" s="40"/>
      <c r="ABQ69" s="40"/>
      <c r="ABS69" s="40"/>
      <c r="ABU69" s="40"/>
      <c r="ABW69" s="40"/>
      <c r="ABY69" s="40"/>
      <c r="ACA69" s="40"/>
      <c r="ACC69" s="40"/>
      <c r="ACE69" s="40"/>
      <c r="ACG69" s="40"/>
      <c r="ACI69" s="40"/>
      <c r="ACK69" s="40"/>
      <c r="ACM69" s="40"/>
      <c r="ACO69" s="40"/>
      <c r="ACQ69" s="40"/>
      <c r="ACS69" s="40"/>
      <c r="ACU69" s="40"/>
      <c r="ACW69" s="40"/>
      <c r="ACY69" s="40"/>
      <c r="ADA69" s="40"/>
      <c r="ADC69" s="40"/>
      <c r="ADE69" s="40"/>
      <c r="ADG69" s="40"/>
      <c r="ADI69" s="40"/>
      <c r="ADK69" s="40"/>
      <c r="ADM69" s="40"/>
      <c r="ADO69" s="40"/>
      <c r="ADQ69" s="40"/>
      <c r="ADS69" s="40"/>
      <c r="ADU69" s="40"/>
      <c r="ADW69" s="40"/>
      <c r="ADY69" s="40"/>
      <c r="AEA69" s="40"/>
      <c r="AEC69" s="40"/>
      <c r="AEE69" s="40"/>
      <c r="AEG69" s="40"/>
      <c r="AEI69" s="40"/>
      <c r="AEK69" s="40"/>
      <c r="AEM69" s="40"/>
      <c r="AEO69" s="40"/>
      <c r="AEQ69" s="40"/>
      <c r="AES69" s="40"/>
      <c r="AEU69" s="40"/>
      <c r="AEW69" s="40"/>
      <c r="AEY69" s="40"/>
      <c r="AFA69" s="40"/>
      <c r="AFC69" s="40"/>
      <c r="AFE69" s="40"/>
      <c r="AFG69" s="40"/>
      <c r="AFI69" s="40"/>
      <c r="AFK69" s="40"/>
      <c r="AFM69" s="40"/>
      <c r="AFO69" s="40"/>
      <c r="AFQ69" s="40"/>
      <c r="AFS69" s="40"/>
      <c r="AFU69" s="40"/>
      <c r="AFW69" s="40"/>
      <c r="AFY69" s="40"/>
      <c r="AGA69" s="40"/>
      <c r="AGC69" s="40"/>
      <c r="AGE69" s="40"/>
      <c r="AGG69" s="40"/>
      <c r="AGI69" s="40"/>
      <c r="AGK69" s="40"/>
      <c r="AGM69" s="40"/>
      <c r="AGO69" s="40"/>
      <c r="AGQ69" s="40"/>
      <c r="AGS69" s="40"/>
      <c r="AGU69" s="40"/>
      <c r="AGW69" s="40"/>
      <c r="AGY69" s="40"/>
      <c r="AHA69" s="40"/>
      <c r="AHC69" s="40"/>
      <c r="AHE69" s="40"/>
      <c r="AHG69" s="40"/>
      <c r="AHI69" s="40"/>
      <c r="AHK69" s="40"/>
      <c r="AHM69" s="40"/>
      <c r="AHO69" s="40"/>
      <c r="AHQ69" s="40"/>
      <c r="AHS69" s="40"/>
      <c r="AHU69" s="40"/>
      <c r="AHW69" s="40"/>
      <c r="AHY69" s="40"/>
      <c r="AIA69" s="40"/>
      <c r="AIC69" s="40"/>
      <c r="AIE69" s="40"/>
      <c r="AIG69" s="40"/>
      <c r="AII69" s="40"/>
      <c r="AIK69" s="40"/>
      <c r="AIM69" s="40"/>
      <c r="AIO69" s="40"/>
    </row>
    <row r="70" spans="1:1024" s="39" customFormat="1" ht="15.75" customHeight="1" x14ac:dyDescent="0.35">
      <c r="A70" s="600"/>
      <c r="B70" s="644" t="s">
        <v>326</v>
      </c>
      <c r="C70" s="645"/>
      <c r="D70" s="646"/>
      <c r="E70" s="645"/>
      <c r="F70" s="646"/>
      <c r="G70" s="647"/>
      <c r="H70" s="643"/>
      <c r="I70" s="645"/>
      <c r="J70" s="38"/>
      <c r="K70" s="38"/>
      <c r="M70" s="38"/>
      <c r="O70" s="38"/>
      <c r="Q70" s="38"/>
      <c r="S70" s="38"/>
      <c r="U70" s="38"/>
      <c r="W70" s="38"/>
      <c r="Y70" s="38"/>
      <c r="AA70" s="38"/>
      <c r="AC70" s="38"/>
      <c r="AE70" s="38"/>
      <c r="AG70" s="38"/>
      <c r="AI70" s="38"/>
      <c r="AK70" s="40"/>
      <c r="AM70" s="40"/>
      <c r="AO70" s="40"/>
      <c r="AQ70" s="40"/>
      <c r="AS70" s="40"/>
      <c r="AU70" s="40"/>
      <c r="AW70" s="40"/>
      <c r="AY70" s="40"/>
      <c r="BA70" s="40"/>
      <c r="BC70" s="40"/>
      <c r="BE70" s="40"/>
      <c r="BG70" s="40"/>
      <c r="BI70" s="40"/>
      <c r="BK70" s="40"/>
      <c r="BM70" s="40"/>
      <c r="BO70" s="40"/>
      <c r="BQ70" s="40"/>
      <c r="BS70" s="40"/>
      <c r="BU70" s="40"/>
      <c r="BW70" s="40"/>
      <c r="BY70" s="40"/>
      <c r="CA70" s="40"/>
      <c r="CC70" s="40"/>
      <c r="CE70" s="40"/>
      <c r="CG70" s="40"/>
      <c r="CI70" s="40"/>
      <c r="CK70" s="40"/>
      <c r="CM70" s="40"/>
      <c r="CO70" s="40"/>
      <c r="CQ70" s="40"/>
      <c r="CS70" s="40"/>
      <c r="CU70" s="40"/>
      <c r="CW70" s="40"/>
      <c r="CY70" s="40"/>
      <c r="DA70" s="40"/>
      <c r="DC70" s="40"/>
      <c r="DE70" s="40"/>
      <c r="DG70" s="40"/>
      <c r="DI70" s="40"/>
      <c r="DK70" s="40"/>
      <c r="DM70" s="40"/>
      <c r="DO70" s="40"/>
      <c r="DQ70" s="40"/>
      <c r="DS70" s="40"/>
      <c r="DU70" s="40"/>
      <c r="DW70" s="40"/>
      <c r="DY70" s="40"/>
      <c r="EA70" s="40"/>
      <c r="EC70" s="40"/>
      <c r="EE70" s="40"/>
      <c r="EG70" s="40"/>
      <c r="EI70" s="40"/>
      <c r="EK70" s="40"/>
      <c r="EM70" s="40"/>
      <c r="EO70" s="40"/>
      <c r="EQ70" s="40"/>
      <c r="ES70" s="40"/>
      <c r="EU70" s="40"/>
      <c r="EW70" s="40"/>
      <c r="EY70" s="40"/>
      <c r="FA70" s="40"/>
      <c r="FC70" s="40"/>
      <c r="FE70" s="40"/>
      <c r="FG70" s="40"/>
      <c r="FI70" s="40"/>
      <c r="FK70" s="40"/>
      <c r="FM70" s="40"/>
      <c r="FO70" s="40"/>
      <c r="FQ70" s="40"/>
      <c r="FS70" s="40"/>
      <c r="FU70" s="40"/>
      <c r="FW70" s="40"/>
      <c r="FY70" s="40"/>
      <c r="GA70" s="40"/>
      <c r="GC70" s="40"/>
      <c r="GE70" s="40"/>
      <c r="GG70" s="40"/>
      <c r="GI70" s="40"/>
      <c r="GK70" s="40"/>
      <c r="GM70" s="40"/>
      <c r="GO70" s="40"/>
      <c r="GQ70" s="40"/>
      <c r="GS70" s="40"/>
      <c r="GU70" s="40"/>
      <c r="GW70" s="40"/>
      <c r="GY70" s="40"/>
      <c r="HA70" s="40"/>
      <c r="HC70" s="40"/>
      <c r="HE70" s="40"/>
      <c r="HG70" s="40"/>
      <c r="HI70" s="40"/>
      <c r="HK70" s="40"/>
      <c r="HM70" s="40"/>
      <c r="HO70" s="40"/>
      <c r="HQ70" s="40"/>
      <c r="HS70" s="40"/>
      <c r="HU70" s="40"/>
      <c r="HW70" s="40"/>
      <c r="HY70" s="40"/>
      <c r="IA70" s="40"/>
      <c r="IC70" s="40"/>
      <c r="IE70" s="40"/>
      <c r="IG70" s="40"/>
      <c r="II70" s="40"/>
      <c r="IK70" s="40"/>
      <c r="IM70" s="40"/>
      <c r="IO70" s="40"/>
      <c r="IQ70" s="40"/>
      <c r="IS70" s="40"/>
      <c r="IU70" s="40"/>
      <c r="IW70" s="40"/>
      <c r="IY70" s="40"/>
      <c r="JA70" s="40"/>
      <c r="JC70" s="40"/>
      <c r="JE70" s="40"/>
      <c r="JG70" s="40"/>
      <c r="JI70" s="40"/>
      <c r="JK70" s="40"/>
      <c r="JM70" s="40"/>
      <c r="JO70" s="40"/>
      <c r="JQ70" s="40"/>
      <c r="JS70" s="40"/>
      <c r="JU70" s="40"/>
      <c r="JW70" s="40"/>
      <c r="JY70" s="40"/>
      <c r="KA70" s="40"/>
      <c r="KC70" s="40"/>
      <c r="KE70" s="40"/>
      <c r="KG70" s="40"/>
      <c r="KI70" s="40"/>
      <c r="KK70" s="40"/>
      <c r="KM70" s="40"/>
      <c r="KO70" s="40"/>
      <c r="KQ70" s="40"/>
      <c r="KS70" s="40"/>
      <c r="KU70" s="40"/>
      <c r="KW70" s="40"/>
      <c r="KY70" s="40"/>
      <c r="LA70" s="40"/>
      <c r="LC70" s="40"/>
      <c r="LE70" s="40"/>
      <c r="LG70" s="40"/>
      <c r="LI70" s="40"/>
      <c r="LK70" s="40"/>
      <c r="LM70" s="40"/>
      <c r="LO70" s="40"/>
      <c r="LQ70" s="40"/>
      <c r="LS70" s="40"/>
      <c r="LU70" s="40"/>
      <c r="LW70" s="40"/>
      <c r="LY70" s="40"/>
      <c r="MA70" s="40"/>
      <c r="MC70" s="40"/>
      <c r="ME70" s="40"/>
      <c r="MG70" s="40"/>
      <c r="MI70" s="40"/>
      <c r="MK70" s="40"/>
      <c r="MM70" s="40"/>
      <c r="MO70" s="40"/>
      <c r="MQ70" s="40"/>
      <c r="MS70" s="40"/>
      <c r="MU70" s="40"/>
      <c r="MW70" s="40"/>
      <c r="MY70" s="40"/>
      <c r="NA70" s="40"/>
      <c r="NC70" s="40"/>
      <c r="NE70" s="40"/>
      <c r="NG70" s="40"/>
      <c r="NI70" s="40"/>
      <c r="NK70" s="40"/>
      <c r="NM70" s="40"/>
      <c r="NO70" s="40"/>
      <c r="NQ70" s="40"/>
      <c r="NS70" s="40"/>
      <c r="NU70" s="40"/>
      <c r="NW70" s="40"/>
      <c r="NY70" s="40"/>
      <c r="OA70" s="40"/>
      <c r="OC70" s="40"/>
      <c r="OE70" s="40"/>
      <c r="OG70" s="40"/>
      <c r="OI70" s="40"/>
      <c r="OK70" s="40"/>
      <c r="OM70" s="40"/>
      <c r="OO70" s="40"/>
      <c r="OQ70" s="40"/>
      <c r="OS70" s="40"/>
      <c r="OU70" s="40"/>
      <c r="OW70" s="40"/>
      <c r="OY70" s="40"/>
      <c r="PA70" s="40"/>
      <c r="PC70" s="40"/>
      <c r="PE70" s="40"/>
      <c r="PG70" s="40"/>
      <c r="PI70" s="40"/>
      <c r="PK70" s="40"/>
      <c r="PM70" s="40"/>
      <c r="PO70" s="40"/>
      <c r="PQ70" s="40"/>
      <c r="PS70" s="40"/>
      <c r="PU70" s="40"/>
      <c r="PW70" s="40"/>
      <c r="PY70" s="40"/>
      <c r="QA70" s="40"/>
      <c r="QC70" s="40"/>
      <c r="QE70" s="40"/>
      <c r="QG70" s="40"/>
      <c r="QI70" s="40"/>
      <c r="QK70" s="40"/>
      <c r="QM70" s="40"/>
      <c r="QO70" s="40"/>
      <c r="QQ70" s="40"/>
      <c r="QS70" s="40"/>
      <c r="QU70" s="40"/>
      <c r="QW70" s="40"/>
      <c r="QY70" s="40"/>
      <c r="RA70" s="40"/>
      <c r="RC70" s="40"/>
      <c r="RE70" s="40"/>
      <c r="RG70" s="40"/>
      <c r="RI70" s="40"/>
      <c r="RK70" s="40"/>
      <c r="RM70" s="40"/>
      <c r="RO70" s="40"/>
      <c r="RQ70" s="40"/>
      <c r="RS70" s="40"/>
      <c r="RU70" s="40"/>
      <c r="RW70" s="40"/>
      <c r="RY70" s="40"/>
      <c r="SA70" s="40"/>
      <c r="SC70" s="40"/>
      <c r="SE70" s="40"/>
      <c r="SG70" s="40"/>
      <c r="SI70" s="40"/>
      <c r="SK70" s="40"/>
      <c r="SM70" s="40"/>
      <c r="SO70" s="40"/>
      <c r="SQ70" s="40"/>
      <c r="SS70" s="40"/>
      <c r="SU70" s="40"/>
      <c r="SW70" s="40"/>
      <c r="SY70" s="40"/>
      <c r="TA70" s="40"/>
      <c r="TC70" s="40"/>
      <c r="TE70" s="40"/>
      <c r="TG70" s="40"/>
      <c r="TI70" s="40"/>
      <c r="TK70" s="40"/>
      <c r="TM70" s="40"/>
      <c r="TO70" s="40"/>
      <c r="TQ70" s="40"/>
      <c r="TS70" s="40"/>
      <c r="TU70" s="40"/>
      <c r="TW70" s="40"/>
      <c r="TY70" s="40"/>
      <c r="UA70" s="40"/>
      <c r="UC70" s="40"/>
      <c r="UE70" s="40"/>
      <c r="UG70" s="40"/>
      <c r="UI70" s="40"/>
      <c r="UK70" s="40"/>
      <c r="UM70" s="40"/>
      <c r="UO70" s="40"/>
      <c r="UQ70" s="40"/>
      <c r="US70" s="40"/>
      <c r="UU70" s="40"/>
      <c r="UW70" s="40"/>
      <c r="UY70" s="40"/>
      <c r="VA70" s="40"/>
      <c r="VC70" s="40"/>
      <c r="VE70" s="40"/>
      <c r="VG70" s="40"/>
      <c r="VI70" s="40"/>
      <c r="VK70" s="40"/>
      <c r="VM70" s="40"/>
      <c r="VO70" s="40"/>
      <c r="VQ70" s="40"/>
      <c r="VS70" s="40"/>
      <c r="VU70" s="40"/>
      <c r="VW70" s="40"/>
      <c r="VY70" s="40"/>
      <c r="WA70" s="40"/>
      <c r="WC70" s="40"/>
      <c r="WE70" s="40"/>
      <c r="WG70" s="40"/>
      <c r="WI70" s="40"/>
      <c r="WK70" s="40"/>
      <c r="WM70" s="40"/>
      <c r="WO70" s="40"/>
      <c r="WQ70" s="40"/>
      <c r="WS70" s="40"/>
      <c r="WU70" s="40"/>
      <c r="WW70" s="40"/>
      <c r="WY70" s="40"/>
      <c r="XA70" s="40"/>
      <c r="XC70" s="40"/>
      <c r="XE70" s="40"/>
      <c r="XG70" s="40"/>
      <c r="XI70" s="40"/>
      <c r="XK70" s="40"/>
      <c r="XM70" s="40"/>
      <c r="XO70" s="40"/>
      <c r="XQ70" s="40"/>
      <c r="XS70" s="40"/>
      <c r="XU70" s="40"/>
      <c r="XW70" s="40"/>
      <c r="XY70" s="40"/>
      <c r="YA70" s="40"/>
      <c r="YC70" s="40"/>
      <c r="YE70" s="40"/>
      <c r="YG70" s="40"/>
      <c r="YI70" s="40"/>
      <c r="YK70" s="40"/>
      <c r="YM70" s="40"/>
      <c r="YO70" s="40"/>
      <c r="YQ70" s="40"/>
      <c r="YS70" s="40"/>
      <c r="YU70" s="40"/>
      <c r="YW70" s="40"/>
      <c r="YY70" s="40"/>
      <c r="ZA70" s="40"/>
      <c r="ZC70" s="40"/>
      <c r="ZE70" s="40"/>
      <c r="ZG70" s="40"/>
      <c r="ZI70" s="40"/>
      <c r="ZK70" s="40"/>
      <c r="ZM70" s="40"/>
      <c r="ZO70" s="40"/>
      <c r="ZQ70" s="40"/>
      <c r="ZS70" s="40"/>
      <c r="ZU70" s="40"/>
      <c r="ZW70" s="40"/>
      <c r="ZY70" s="40"/>
      <c r="AAA70" s="40"/>
      <c r="AAC70" s="40"/>
      <c r="AAE70" s="40"/>
      <c r="AAG70" s="40"/>
      <c r="AAI70" s="40"/>
      <c r="AAK70" s="40"/>
      <c r="AAM70" s="40"/>
      <c r="AAO70" s="40"/>
      <c r="AAQ70" s="40"/>
      <c r="AAS70" s="40"/>
      <c r="AAU70" s="40"/>
      <c r="AAW70" s="40"/>
      <c r="AAY70" s="40"/>
      <c r="ABA70" s="40"/>
      <c r="ABC70" s="40"/>
      <c r="ABE70" s="40"/>
      <c r="ABG70" s="40"/>
      <c r="ABI70" s="40"/>
      <c r="ABK70" s="40"/>
      <c r="ABM70" s="40"/>
      <c r="ABO70" s="40"/>
      <c r="ABQ70" s="40"/>
      <c r="ABS70" s="40"/>
      <c r="ABU70" s="40"/>
      <c r="ABW70" s="40"/>
      <c r="ABY70" s="40"/>
      <c r="ACA70" s="40"/>
      <c r="ACC70" s="40"/>
      <c r="ACE70" s="40"/>
      <c r="ACG70" s="40"/>
      <c r="ACI70" s="40"/>
      <c r="ACK70" s="40"/>
      <c r="ACM70" s="40"/>
      <c r="ACO70" s="40"/>
      <c r="ACQ70" s="40"/>
      <c r="ACS70" s="40"/>
      <c r="ACU70" s="40"/>
      <c r="ACW70" s="40"/>
      <c r="ACY70" s="40"/>
      <c r="ADA70" s="40"/>
      <c r="ADC70" s="40"/>
      <c r="ADE70" s="40"/>
      <c r="ADG70" s="40"/>
      <c r="ADI70" s="40"/>
      <c r="ADK70" s="40"/>
      <c r="ADM70" s="40"/>
      <c r="ADO70" s="40"/>
      <c r="ADQ70" s="40"/>
      <c r="ADS70" s="40"/>
      <c r="ADU70" s="40"/>
      <c r="ADW70" s="40"/>
      <c r="ADY70" s="40"/>
      <c r="AEA70" s="40"/>
      <c r="AEC70" s="40"/>
      <c r="AEE70" s="40"/>
      <c r="AEG70" s="40"/>
      <c r="AEI70" s="40"/>
      <c r="AEK70" s="40"/>
      <c r="AEM70" s="40"/>
      <c r="AEO70" s="40"/>
      <c r="AEQ70" s="40"/>
      <c r="AES70" s="40"/>
      <c r="AEU70" s="40"/>
      <c r="AEW70" s="40"/>
      <c r="AEY70" s="40"/>
      <c r="AFA70" s="40"/>
      <c r="AFC70" s="40"/>
      <c r="AFE70" s="40"/>
      <c r="AFG70" s="40"/>
      <c r="AFI70" s="40"/>
      <c r="AFK70" s="40"/>
      <c r="AFM70" s="40"/>
      <c r="AFO70" s="40"/>
      <c r="AFQ70" s="40"/>
      <c r="AFS70" s="40"/>
      <c r="AFU70" s="40"/>
      <c r="AFW70" s="40"/>
      <c r="AFY70" s="40"/>
      <c r="AGA70" s="40"/>
      <c r="AGC70" s="40"/>
      <c r="AGE70" s="40"/>
      <c r="AGG70" s="40"/>
      <c r="AGI70" s="40"/>
      <c r="AGK70" s="40"/>
      <c r="AGM70" s="40"/>
      <c r="AGO70" s="40"/>
      <c r="AGQ70" s="40"/>
      <c r="AGS70" s="40"/>
      <c r="AGU70" s="40"/>
      <c r="AGW70" s="40"/>
      <c r="AGY70" s="40"/>
      <c r="AHA70" s="40"/>
      <c r="AHC70" s="40"/>
      <c r="AHE70" s="40"/>
      <c r="AHG70" s="40"/>
      <c r="AHI70" s="40"/>
      <c r="AHK70" s="40"/>
      <c r="AHM70" s="40"/>
      <c r="AHO70" s="40"/>
      <c r="AHQ70" s="40"/>
      <c r="AHS70" s="40"/>
      <c r="AHU70" s="40"/>
      <c r="AHW70" s="40"/>
      <c r="AHY70" s="40"/>
      <c r="AIA70" s="40"/>
      <c r="AIC70" s="40"/>
      <c r="AIE70" s="40"/>
      <c r="AIG70" s="40"/>
      <c r="AII70" s="40"/>
      <c r="AIK70" s="40"/>
      <c r="AIM70" s="40"/>
      <c r="AIO70" s="40"/>
    </row>
    <row r="71" spans="1:1024" s="39" customFormat="1" ht="35.9" customHeight="1" x14ac:dyDescent="0.35">
      <c r="A71" s="600"/>
      <c r="B71" s="644" t="s">
        <v>327</v>
      </c>
      <c r="C71" s="645"/>
      <c r="D71" s="646"/>
      <c r="E71" s="645"/>
      <c r="F71" s="646"/>
      <c r="G71" s="647"/>
      <c r="H71" s="643"/>
      <c r="I71" s="645"/>
      <c r="J71" s="38"/>
      <c r="K71" s="38"/>
      <c r="M71" s="38"/>
      <c r="O71" s="38"/>
      <c r="Q71" s="38"/>
      <c r="S71" s="38"/>
      <c r="U71" s="38"/>
      <c r="W71" s="38"/>
      <c r="Y71" s="38"/>
      <c r="AA71" s="38"/>
      <c r="AC71" s="38"/>
      <c r="AE71" s="38"/>
      <c r="AG71" s="38"/>
      <c r="AI71" s="38"/>
      <c r="AK71" s="40"/>
      <c r="AM71" s="40"/>
      <c r="AO71" s="40"/>
      <c r="AQ71" s="40"/>
      <c r="AS71" s="40"/>
      <c r="AU71" s="40"/>
      <c r="AW71" s="40"/>
      <c r="AY71" s="40"/>
      <c r="BA71" s="40"/>
      <c r="BC71" s="40"/>
      <c r="BE71" s="40"/>
      <c r="BG71" s="40"/>
      <c r="BI71" s="40"/>
      <c r="BK71" s="40"/>
      <c r="BM71" s="40"/>
      <c r="BO71" s="40"/>
      <c r="BQ71" s="40"/>
      <c r="BS71" s="40"/>
      <c r="BU71" s="40"/>
      <c r="BW71" s="40"/>
      <c r="BY71" s="40"/>
      <c r="CA71" s="40"/>
      <c r="CC71" s="40"/>
      <c r="CE71" s="40"/>
      <c r="CG71" s="40"/>
      <c r="CI71" s="40"/>
      <c r="CK71" s="40"/>
      <c r="CM71" s="40"/>
      <c r="CO71" s="40"/>
      <c r="CQ71" s="40"/>
      <c r="CS71" s="40"/>
      <c r="CU71" s="40"/>
      <c r="CW71" s="40"/>
      <c r="CY71" s="40"/>
      <c r="DA71" s="40"/>
      <c r="DC71" s="40"/>
      <c r="DE71" s="40"/>
      <c r="DG71" s="40"/>
      <c r="DI71" s="40"/>
      <c r="DK71" s="40"/>
      <c r="DM71" s="40"/>
      <c r="DO71" s="40"/>
      <c r="DQ71" s="40"/>
      <c r="DS71" s="40"/>
      <c r="DU71" s="40"/>
      <c r="DW71" s="40"/>
      <c r="DY71" s="40"/>
      <c r="EA71" s="40"/>
      <c r="EC71" s="40"/>
      <c r="EE71" s="40"/>
      <c r="EG71" s="40"/>
      <c r="EI71" s="40"/>
      <c r="EK71" s="40"/>
      <c r="EM71" s="40"/>
      <c r="EO71" s="40"/>
      <c r="EQ71" s="40"/>
      <c r="ES71" s="40"/>
      <c r="EU71" s="40"/>
      <c r="EW71" s="40"/>
      <c r="EY71" s="40"/>
      <c r="FA71" s="40"/>
      <c r="FC71" s="40"/>
      <c r="FE71" s="40"/>
      <c r="FG71" s="40"/>
      <c r="FI71" s="40"/>
      <c r="FK71" s="40"/>
      <c r="FM71" s="40"/>
      <c r="FO71" s="40"/>
      <c r="FQ71" s="40"/>
      <c r="FS71" s="40"/>
      <c r="FU71" s="40"/>
      <c r="FW71" s="40"/>
      <c r="FY71" s="40"/>
      <c r="GA71" s="40"/>
      <c r="GC71" s="40"/>
      <c r="GE71" s="40"/>
      <c r="GG71" s="40"/>
      <c r="GI71" s="40"/>
      <c r="GK71" s="40"/>
      <c r="GM71" s="40"/>
      <c r="GO71" s="40"/>
      <c r="GQ71" s="40"/>
      <c r="GS71" s="40"/>
      <c r="GU71" s="40"/>
      <c r="GW71" s="40"/>
      <c r="GY71" s="40"/>
      <c r="HA71" s="40"/>
      <c r="HC71" s="40"/>
      <c r="HE71" s="40"/>
      <c r="HG71" s="40"/>
      <c r="HI71" s="40"/>
      <c r="HK71" s="40"/>
      <c r="HM71" s="40"/>
      <c r="HO71" s="40"/>
      <c r="HQ71" s="40"/>
      <c r="HS71" s="40"/>
      <c r="HU71" s="40"/>
      <c r="HW71" s="40"/>
      <c r="HY71" s="40"/>
      <c r="IA71" s="40"/>
      <c r="IC71" s="40"/>
      <c r="IE71" s="40"/>
      <c r="IG71" s="40"/>
      <c r="II71" s="40"/>
      <c r="IK71" s="40"/>
      <c r="IM71" s="40"/>
      <c r="IO71" s="40"/>
      <c r="IQ71" s="40"/>
      <c r="IS71" s="40"/>
      <c r="IU71" s="40"/>
      <c r="IW71" s="40"/>
      <c r="IY71" s="40"/>
      <c r="JA71" s="40"/>
      <c r="JC71" s="40"/>
      <c r="JE71" s="40"/>
      <c r="JG71" s="40"/>
      <c r="JI71" s="40"/>
      <c r="JK71" s="40"/>
      <c r="JM71" s="40"/>
      <c r="JO71" s="40"/>
      <c r="JQ71" s="40"/>
      <c r="JS71" s="40"/>
      <c r="JU71" s="40"/>
      <c r="JW71" s="40"/>
      <c r="JY71" s="40"/>
      <c r="KA71" s="40"/>
      <c r="KC71" s="40"/>
      <c r="KE71" s="40"/>
      <c r="KG71" s="40"/>
      <c r="KI71" s="40"/>
      <c r="KK71" s="40"/>
      <c r="KM71" s="40"/>
      <c r="KO71" s="40"/>
      <c r="KQ71" s="40"/>
      <c r="KS71" s="40"/>
      <c r="KU71" s="40"/>
      <c r="KW71" s="40"/>
      <c r="KY71" s="40"/>
      <c r="LA71" s="40"/>
      <c r="LC71" s="40"/>
      <c r="LE71" s="40"/>
      <c r="LG71" s="40"/>
      <c r="LI71" s="40"/>
      <c r="LK71" s="40"/>
      <c r="LM71" s="40"/>
      <c r="LO71" s="40"/>
      <c r="LQ71" s="40"/>
      <c r="LS71" s="40"/>
      <c r="LU71" s="40"/>
      <c r="LW71" s="40"/>
      <c r="LY71" s="40"/>
      <c r="MA71" s="40"/>
      <c r="MC71" s="40"/>
      <c r="ME71" s="40"/>
      <c r="MG71" s="40"/>
      <c r="MI71" s="40"/>
      <c r="MK71" s="40"/>
      <c r="MM71" s="40"/>
      <c r="MO71" s="40"/>
      <c r="MQ71" s="40"/>
      <c r="MS71" s="40"/>
      <c r="MU71" s="40"/>
      <c r="MW71" s="40"/>
      <c r="MY71" s="40"/>
      <c r="NA71" s="40"/>
      <c r="NC71" s="40"/>
      <c r="NE71" s="40"/>
      <c r="NG71" s="40"/>
      <c r="NI71" s="40"/>
      <c r="NK71" s="40"/>
      <c r="NM71" s="40"/>
      <c r="NO71" s="40"/>
      <c r="NQ71" s="40"/>
      <c r="NS71" s="40"/>
      <c r="NU71" s="40"/>
      <c r="NW71" s="40"/>
      <c r="NY71" s="40"/>
      <c r="OA71" s="40"/>
      <c r="OC71" s="40"/>
      <c r="OE71" s="40"/>
      <c r="OG71" s="40"/>
      <c r="OI71" s="40"/>
      <c r="OK71" s="40"/>
      <c r="OM71" s="40"/>
      <c r="OO71" s="40"/>
      <c r="OQ71" s="40"/>
      <c r="OS71" s="40"/>
      <c r="OU71" s="40"/>
      <c r="OW71" s="40"/>
      <c r="OY71" s="40"/>
      <c r="PA71" s="40"/>
      <c r="PC71" s="40"/>
      <c r="PE71" s="40"/>
      <c r="PG71" s="40"/>
      <c r="PI71" s="40"/>
      <c r="PK71" s="40"/>
      <c r="PM71" s="40"/>
      <c r="PO71" s="40"/>
      <c r="PQ71" s="40"/>
      <c r="PS71" s="40"/>
      <c r="PU71" s="40"/>
      <c r="PW71" s="40"/>
      <c r="PY71" s="40"/>
      <c r="QA71" s="40"/>
      <c r="QC71" s="40"/>
      <c r="QE71" s="40"/>
      <c r="QG71" s="40"/>
      <c r="QI71" s="40"/>
      <c r="QK71" s="40"/>
      <c r="QM71" s="40"/>
      <c r="QO71" s="40"/>
      <c r="QQ71" s="40"/>
      <c r="QS71" s="40"/>
      <c r="QU71" s="40"/>
      <c r="QW71" s="40"/>
      <c r="QY71" s="40"/>
      <c r="RA71" s="40"/>
      <c r="RC71" s="40"/>
      <c r="RE71" s="40"/>
      <c r="RG71" s="40"/>
      <c r="RI71" s="40"/>
      <c r="RK71" s="40"/>
      <c r="RM71" s="40"/>
      <c r="RO71" s="40"/>
      <c r="RQ71" s="40"/>
      <c r="RS71" s="40"/>
      <c r="RU71" s="40"/>
      <c r="RW71" s="40"/>
      <c r="RY71" s="40"/>
      <c r="SA71" s="40"/>
      <c r="SC71" s="40"/>
      <c r="SE71" s="40"/>
      <c r="SG71" s="40"/>
      <c r="SI71" s="40"/>
      <c r="SK71" s="40"/>
      <c r="SM71" s="40"/>
      <c r="SO71" s="40"/>
      <c r="SQ71" s="40"/>
      <c r="SS71" s="40"/>
      <c r="SU71" s="40"/>
      <c r="SW71" s="40"/>
      <c r="SY71" s="40"/>
      <c r="TA71" s="40"/>
      <c r="TC71" s="40"/>
      <c r="TE71" s="40"/>
      <c r="TG71" s="40"/>
      <c r="TI71" s="40"/>
      <c r="TK71" s="40"/>
      <c r="TM71" s="40"/>
      <c r="TO71" s="40"/>
      <c r="TQ71" s="40"/>
      <c r="TS71" s="40"/>
      <c r="TU71" s="40"/>
      <c r="TW71" s="40"/>
      <c r="TY71" s="40"/>
      <c r="UA71" s="40"/>
      <c r="UC71" s="40"/>
      <c r="UE71" s="40"/>
      <c r="UG71" s="40"/>
      <c r="UI71" s="40"/>
      <c r="UK71" s="40"/>
      <c r="UM71" s="40"/>
      <c r="UO71" s="40"/>
      <c r="UQ71" s="40"/>
      <c r="US71" s="40"/>
      <c r="UU71" s="40"/>
      <c r="UW71" s="40"/>
      <c r="UY71" s="40"/>
      <c r="VA71" s="40"/>
      <c r="VC71" s="40"/>
      <c r="VE71" s="40"/>
      <c r="VG71" s="40"/>
      <c r="VI71" s="40"/>
      <c r="VK71" s="40"/>
      <c r="VM71" s="40"/>
      <c r="VO71" s="40"/>
      <c r="VQ71" s="40"/>
      <c r="VS71" s="40"/>
      <c r="VU71" s="40"/>
      <c r="VW71" s="40"/>
      <c r="VY71" s="40"/>
      <c r="WA71" s="40"/>
      <c r="WC71" s="40"/>
      <c r="WE71" s="40"/>
      <c r="WG71" s="40"/>
      <c r="WI71" s="40"/>
      <c r="WK71" s="40"/>
      <c r="WM71" s="40"/>
      <c r="WO71" s="40"/>
      <c r="WQ71" s="40"/>
      <c r="WS71" s="40"/>
      <c r="WU71" s="40"/>
      <c r="WW71" s="40"/>
      <c r="WY71" s="40"/>
      <c r="XA71" s="40"/>
      <c r="XC71" s="40"/>
      <c r="XE71" s="40"/>
      <c r="XG71" s="40"/>
      <c r="XI71" s="40"/>
      <c r="XK71" s="40"/>
      <c r="XM71" s="40"/>
      <c r="XO71" s="40"/>
      <c r="XQ71" s="40"/>
      <c r="XS71" s="40"/>
      <c r="XU71" s="40"/>
      <c r="XW71" s="40"/>
      <c r="XY71" s="40"/>
      <c r="YA71" s="40"/>
      <c r="YC71" s="40"/>
      <c r="YE71" s="40"/>
      <c r="YG71" s="40"/>
      <c r="YI71" s="40"/>
      <c r="YK71" s="40"/>
      <c r="YM71" s="40"/>
      <c r="YO71" s="40"/>
      <c r="YQ71" s="40"/>
      <c r="YS71" s="40"/>
      <c r="YU71" s="40"/>
      <c r="YW71" s="40"/>
      <c r="YY71" s="40"/>
      <c r="ZA71" s="40"/>
      <c r="ZC71" s="40"/>
      <c r="ZE71" s="40"/>
      <c r="ZG71" s="40"/>
      <c r="ZI71" s="40"/>
      <c r="ZK71" s="40"/>
      <c r="ZM71" s="40"/>
      <c r="ZO71" s="40"/>
      <c r="ZQ71" s="40"/>
      <c r="ZS71" s="40"/>
      <c r="ZU71" s="40"/>
      <c r="ZW71" s="40"/>
      <c r="ZY71" s="40"/>
      <c r="AAA71" s="40"/>
      <c r="AAC71" s="40"/>
      <c r="AAE71" s="40"/>
      <c r="AAG71" s="40"/>
      <c r="AAI71" s="40"/>
      <c r="AAK71" s="40"/>
      <c r="AAM71" s="40"/>
      <c r="AAO71" s="40"/>
      <c r="AAQ71" s="40"/>
      <c r="AAS71" s="40"/>
      <c r="AAU71" s="40"/>
      <c r="AAW71" s="40"/>
      <c r="AAY71" s="40"/>
      <c r="ABA71" s="40"/>
      <c r="ABC71" s="40"/>
      <c r="ABE71" s="40"/>
      <c r="ABG71" s="40"/>
      <c r="ABI71" s="40"/>
      <c r="ABK71" s="40"/>
      <c r="ABM71" s="40"/>
      <c r="ABO71" s="40"/>
      <c r="ABQ71" s="40"/>
      <c r="ABS71" s="40"/>
      <c r="ABU71" s="40"/>
      <c r="ABW71" s="40"/>
      <c r="ABY71" s="40"/>
      <c r="ACA71" s="40"/>
      <c r="ACC71" s="40"/>
      <c r="ACE71" s="40"/>
      <c r="ACG71" s="40"/>
      <c r="ACI71" s="40"/>
      <c r="ACK71" s="40"/>
      <c r="ACM71" s="40"/>
      <c r="ACO71" s="40"/>
      <c r="ACQ71" s="40"/>
      <c r="ACS71" s="40"/>
      <c r="ACU71" s="40"/>
      <c r="ACW71" s="40"/>
      <c r="ACY71" s="40"/>
      <c r="ADA71" s="40"/>
      <c r="ADC71" s="40"/>
      <c r="ADE71" s="40"/>
      <c r="ADG71" s="40"/>
      <c r="ADI71" s="40"/>
      <c r="ADK71" s="40"/>
      <c r="ADM71" s="40"/>
      <c r="ADO71" s="40"/>
      <c r="ADQ71" s="40"/>
      <c r="ADS71" s="40"/>
      <c r="ADU71" s="40"/>
      <c r="ADW71" s="40"/>
      <c r="ADY71" s="40"/>
      <c r="AEA71" s="40"/>
      <c r="AEC71" s="40"/>
      <c r="AEE71" s="40"/>
      <c r="AEG71" s="40"/>
      <c r="AEI71" s="40"/>
      <c r="AEK71" s="40"/>
      <c r="AEM71" s="40"/>
      <c r="AEO71" s="40"/>
      <c r="AEQ71" s="40"/>
      <c r="AES71" s="40"/>
      <c r="AEU71" s="40"/>
      <c r="AEW71" s="40"/>
      <c r="AEY71" s="40"/>
      <c r="AFA71" s="40"/>
      <c r="AFC71" s="40"/>
      <c r="AFE71" s="40"/>
      <c r="AFG71" s="40"/>
      <c r="AFI71" s="40"/>
      <c r="AFK71" s="40"/>
      <c r="AFM71" s="40"/>
      <c r="AFO71" s="40"/>
      <c r="AFQ71" s="40"/>
      <c r="AFS71" s="40"/>
      <c r="AFU71" s="40"/>
      <c r="AFW71" s="40"/>
      <c r="AFY71" s="40"/>
      <c r="AGA71" s="40"/>
      <c r="AGC71" s="40"/>
      <c r="AGE71" s="40"/>
      <c r="AGG71" s="40"/>
      <c r="AGI71" s="40"/>
      <c r="AGK71" s="40"/>
      <c r="AGM71" s="40"/>
      <c r="AGO71" s="40"/>
      <c r="AGQ71" s="40"/>
      <c r="AGS71" s="40"/>
      <c r="AGU71" s="40"/>
      <c r="AGW71" s="40"/>
      <c r="AGY71" s="40"/>
      <c r="AHA71" s="40"/>
      <c r="AHC71" s="40"/>
      <c r="AHE71" s="40"/>
      <c r="AHG71" s="40"/>
      <c r="AHI71" s="40"/>
      <c r="AHK71" s="40"/>
      <c r="AHM71" s="40"/>
      <c r="AHO71" s="40"/>
      <c r="AHQ71" s="40"/>
      <c r="AHS71" s="40"/>
      <c r="AHU71" s="40"/>
      <c r="AHW71" s="40"/>
      <c r="AHY71" s="40"/>
      <c r="AIA71" s="40"/>
      <c r="AIC71" s="40"/>
      <c r="AIE71" s="40"/>
      <c r="AIG71" s="40"/>
      <c r="AII71" s="40"/>
      <c r="AIK71" s="40"/>
      <c r="AIM71" s="40"/>
      <c r="AIO71" s="40"/>
    </row>
    <row r="72" spans="1:1024" s="27" customFormat="1" ht="15.75" customHeight="1" x14ac:dyDescent="0.35">
      <c r="A72" s="593" t="s">
        <v>328</v>
      </c>
      <c r="B72" s="594" t="s">
        <v>329</v>
      </c>
      <c r="C72" s="593"/>
      <c r="D72" s="594"/>
      <c r="E72" s="593"/>
      <c r="F72" s="594"/>
      <c r="G72" s="593"/>
      <c r="H72" s="594"/>
      <c r="I72" s="593"/>
      <c r="J72" s="594"/>
      <c r="K72" s="593"/>
      <c r="L72" s="594"/>
      <c r="M72" s="593"/>
      <c r="N72" s="594"/>
      <c r="O72" s="593"/>
      <c r="P72" s="594"/>
      <c r="Q72" s="593"/>
      <c r="R72" s="594"/>
      <c r="S72" s="593"/>
      <c r="T72" s="594"/>
      <c r="U72" s="593"/>
      <c r="V72" s="594"/>
      <c r="W72" s="593"/>
      <c r="X72" s="594"/>
      <c r="Y72" s="593"/>
      <c r="Z72" s="594"/>
      <c r="AA72" s="593"/>
      <c r="AB72" s="594"/>
      <c r="AC72" s="593"/>
      <c r="AD72" s="594"/>
      <c r="AE72" s="593"/>
      <c r="AF72" s="594"/>
      <c r="AG72" s="593"/>
      <c r="AH72" s="594"/>
      <c r="AI72" s="593"/>
      <c r="AJ72" s="594"/>
      <c r="AK72" s="593"/>
      <c r="AL72" s="594"/>
      <c r="AM72" s="593"/>
      <c r="AN72" s="594"/>
      <c r="AO72" s="593"/>
      <c r="AP72" s="594"/>
      <c r="AQ72" s="593"/>
      <c r="AR72" s="594"/>
      <c r="AS72" s="593"/>
      <c r="AT72" s="594"/>
      <c r="AU72" s="593"/>
      <c r="AV72" s="594"/>
      <c r="AW72" s="593"/>
      <c r="AX72" s="594"/>
      <c r="AY72" s="593"/>
      <c r="AZ72" s="594"/>
      <c r="BA72" s="593"/>
      <c r="BB72" s="594"/>
      <c r="BC72" s="593"/>
      <c r="BD72" s="594"/>
      <c r="BE72" s="593"/>
      <c r="BF72" s="594"/>
      <c r="BG72" s="593"/>
      <c r="BH72" s="594"/>
      <c r="BI72" s="593"/>
      <c r="BJ72" s="594"/>
      <c r="BK72" s="593"/>
      <c r="BL72" s="594"/>
      <c r="BM72" s="593"/>
      <c r="BN72" s="594"/>
      <c r="BO72" s="593"/>
      <c r="BP72" s="594"/>
      <c r="BQ72" s="593"/>
      <c r="BR72" s="594"/>
      <c r="BS72" s="593"/>
      <c r="BT72" s="594"/>
      <c r="BU72" s="593"/>
      <c r="BV72" s="594"/>
      <c r="BW72" s="593"/>
      <c r="BX72" s="594"/>
      <c r="BY72" s="593"/>
      <c r="BZ72" s="594"/>
      <c r="CA72" s="593"/>
      <c r="CB72" s="594"/>
      <c r="CC72" s="593"/>
      <c r="CD72" s="594"/>
      <c r="CE72" s="593"/>
      <c r="CF72" s="594"/>
      <c r="CG72" s="593"/>
      <c r="CH72" s="594"/>
      <c r="CI72" s="593"/>
      <c r="CJ72" s="594"/>
      <c r="CK72" s="593"/>
      <c r="CL72" s="594"/>
      <c r="CM72" s="593"/>
      <c r="CN72" s="594"/>
      <c r="CO72" s="593"/>
      <c r="CP72" s="594"/>
      <c r="CQ72" s="593"/>
      <c r="CR72" s="594"/>
      <c r="CS72" s="593"/>
      <c r="CT72" s="594"/>
      <c r="CU72" s="593"/>
      <c r="CV72" s="594"/>
      <c r="CW72" s="593"/>
      <c r="CX72" s="594"/>
      <c r="CY72" s="593"/>
      <c r="CZ72" s="594"/>
      <c r="DA72" s="593"/>
      <c r="DB72" s="594"/>
      <c r="DC72" s="593"/>
      <c r="DD72" s="594"/>
      <c r="DE72" s="593"/>
      <c r="DF72" s="594"/>
      <c r="DG72" s="593"/>
      <c r="DH72" s="594"/>
      <c r="DI72" s="593"/>
      <c r="DJ72" s="594"/>
      <c r="DK72" s="593"/>
      <c r="DL72" s="594"/>
      <c r="DM72" s="593"/>
      <c r="DN72" s="594"/>
      <c r="DO72" s="593"/>
      <c r="DP72" s="594"/>
      <c r="DQ72" s="593"/>
      <c r="DR72" s="594"/>
      <c r="DS72" s="593"/>
      <c r="DT72" s="594"/>
      <c r="DU72" s="593"/>
      <c r="DV72" s="594"/>
      <c r="DW72" s="593"/>
      <c r="DX72" s="594"/>
      <c r="DY72" s="593"/>
      <c r="DZ72" s="594"/>
      <c r="EA72" s="593"/>
      <c r="EB72" s="594"/>
      <c r="EC72" s="593"/>
      <c r="ED72" s="594"/>
      <c r="EE72" s="593"/>
      <c r="EF72" s="594"/>
      <c r="EG72" s="593"/>
      <c r="EH72" s="594"/>
      <c r="EI72" s="593"/>
      <c r="EJ72" s="594"/>
      <c r="EK72" s="593"/>
      <c r="EL72" s="594"/>
      <c r="EM72" s="593"/>
      <c r="EN72" s="594"/>
      <c r="EO72" s="593"/>
      <c r="EP72" s="594"/>
      <c r="EQ72" s="593"/>
      <c r="ER72" s="594"/>
      <c r="ES72" s="593"/>
      <c r="ET72" s="594"/>
      <c r="EU72" s="593"/>
      <c r="EV72" s="594"/>
      <c r="EW72" s="593"/>
      <c r="EX72" s="594"/>
      <c r="EY72" s="593"/>
      <c r="EZ72" s="594"/>
      <c r="FA72" s="593"/>
      <c r="FB72" s="594"/>
      <c r="FC72" s="593"/>
      <c r="FD72" s="594"/>
      <c r="FE72" s="593"/>
      <c r="FF72" s="594"/>
      <c r="FG72" s="593"/>
      <c r="FH72" s="594"/>
      <c r="FI72" s="593"/>
      <c r="FJ72" s="594"/>
      <c r="FK72" s="593"/>
      <c r="FL72" s="594"/>
      <c r="FM72" s="593"/>
      <c r="FN72" s="594"/>
      <c r="FO72" s="593"/>
      <c r="FP72" s="594"/>
      <c r="FQ72" s="593"/>
      <c r="FR72" s="594"/>
      <c r="FS72" s="593"/>
      <c r="FT72" s="594"/>
      <c r="FU72" s="593"/>
      <c r="FV72" s="594"/>
      <c r="FW72" s="593"/>
      <c r="FX72" s="594"/>
      <c r="FY72" s="593"/>
      <c r="FZ72" s="594"/>
      <c r="GA72" s="593"/>
      <c r="GB72" s="594"/>
      <c r="GC72" s="593"/>
      <c r="GD72" s="594"/>
      <c r="GE72" s="593"/>
      <c r="GF72" s="594"/>
      <c r="GG72" s="593"/>
      <c r="GH72" s="594"/>
      <c r="GI72" s="593"/>
      <c r="GJ72" s="594"/>
      <c r="GK72" s="593"/>
      <c r="GL72" s="594"/>
      <c r="GM72" s="593"/>
      <c r="GN72" s="594"/>
      <c r="GO72" s="593"/>
      <c r="GP72" s="594"/>
      <c r="GQ72" s="593"/>
      <c r="GR72" s="594"/>
      <c r="GS72" s="593"/>
      <c r="GT72" s="594"/>
      <c r="GU72" s="593"/>
      <c r="GV72" s="594"/>
      <c r="GW72" s="593"/>
      <c r="GX72" s="594"/>
      <c r="GY72" s="593"/>
      <c r="GZ72" s="594"/>
      <c r="HA72" s="593"/>
      <c r="HB72" s="594"/>
      <c r="HC72" s="593"/>
      <c r="HD72" s="594"/>
      <c r="HE72" s="593"/>
      <c r="HF72" s="594"/>
      <c r="HG72" s="593"/>
      <c r="HH72" s="594"/>
      <c r="HI72" s="593"/>
      <c r="HJ72" s="594"/>
      <c r="HK72" s="593"/>
      <c r="HL72" s="594"/>
      <c r="HM72" s="593"/>
      <c r="HN72" s="594"/>
      <c r="HO72" s="593"/>
      <c r="HP72" s="594"/>
      <c r="HQ72" s="593"/>
      <c r="HR72" s="594"/>
      <c r="HS72" s="593"/>
      <c r="HT72" s="594"/>
      <c r="HU72" s="593"/>
      <c r="HV72" s="594"/>
      <c r="HW72" s="593"/>
      <c r="HX72" s="594"/>
      <c r="HY72" s="593"/>
      <c r="HZ72" s="594"/>
      <c r="IA72" s="593"/>
      <c r="IB72" s="594"/>
      <c r="IC72" s="593"/>
      <c r="ID72" s="594"/>
      <c r="IE72" s="593"/>
      <c r="IF72" s="594"/>
      <c r="IG72" s="593"/>
      <c r="IH72" s="594"/>
      <c r="II72" s="593"/>
      <c r="IJ72" s="594"/>
      <c r="IK72" s="593"/>
      <c r="IL72" s="594"/>
      <c r="IM72" s="593"/>
      <c r="IN72" s="594"/>
      <c r="IO72" s="593"/>
      <c r="IP72" s="594"/>
      <c r="IQ72" s="593"/>
      <c r="IR72" s="594"/>
      <c r="IS72" s="593"/>
      <c r="IT72" s="594"/>
      <c r="IU72" s="593"/>
      <c r="IV72" s="594"/>
      <c r="IW72" s="593"/>
      <c r="IX72" s="594"/>
      <c r="IY72" s="593"/>
      <c r="IZ72" s="594"/>
      <c r="JA72" s="593"/>
      <c r="JB72" s="594"/>
      <c r="JC72" s="593"/>
      <c r="JD72" s="594"/>
      <c r="JE72" s="593"/>
      <c r="JF72" s="594"/>
      <c r="JG72" s="593"/>
      <c r="JH72" s="594"/>
      <c r="JI72" s="593"/>
      <c r="JJ72" s="594"/>
      <c r="JK72" s="593"/>
      <c r="JL72" s="594"/>
      <c r="JM72" s="593"/>
      <c r="JN72" s="594"/>
      <c r="JO72" s="593"/>
      <c r="JP72" s="594"/>
      <c r="JQ72" s="593"/>
      <c r="JR72" s="594"/>
      <c r="JS72" s="593"/>
      <c r="JT72" s="594"/>
      <c r="JU72" s="593"/>
      <c r="JV72" s="594"/>
      <c r="JW72" s="593"/>
      <c r="JX72" s="594"/>
      <c r="JY72" s="593"/>
      <c r="JZ72" s="594"/>
      <c r="KA72" s="593"/>
      <c r="KB72" s="594"/>
      <c r="KC72" s="593"/>
      <c r="KD72" s="594"/>
      <c r="KE72" s="593"/>
      <c r="KF72" s="594"/>
      <c r="KG72" s="593"/>
      <c r="KH72" s="594"/>
      <c r="KI72" s="593"/>
      <c r="KJ72" s="594"/>
      <c r="KK72" s="593"/>
      <c r="KL72" s="594"/>
      <c r="KM72" s="593"/>
      <c r="KN72" s="594"/>
      <c r="KO72" s="593"/>
      <c r="KP72" s="594"/>
      <c r="KQ72" s="593"/>
      <c r="KR72" s="594"/>
      <c r="KS72" s="593"/>
      <c r="KT72" s="594"/>
      <c r="KU72" s="593"/>
      <c r="KV72" s="594"/>
      <c r="KW72" s="593"/>
      <c r="KX72" s="594"/>
      <c r="KY72" s="593"/>
      <c r="KZ72" s="594"/>
      <c r="LA72" s="593"/>
      <c r="LB72" s="594"/>
      <c r="LC72" s="593"/>
      <c r="LD72" s="594"/>
      <c r="LE72" s="593"/>
      <c r="LF72" s="594"/>
      <c r="LG72" s="593"/>
      <c r="LH72" s="594"/>
      <c r="LI72" s="593"/>
      <c r="LJ72" s="594"/>
      <c r="LK72" s="593"/>
      <c r="LL72" s="594"/>
      <c r="LM72" s="593"/>
      <c r="LN72" s="594"/>
      <c r="LO72" s="593"/>
      <c r="LP72" s="594"/>
      <c r="LQ72" s="593"/>
      <c r="LR72" s="594"/>
      <c r="LS72" s="593"/>
      <c r="LT72" s="594"/>
      <c r="LU72" s="593"/>
      <c r="LV72" s="594"/>
      <c r="LW72" s="593"/>
      <c r="LX72" s="594"/>
      <c r="LY72" s="593"/>
      <c r="LZ72" s="594"/>
      <c r="MA72" s="593"/>
      <c r="MB72" s="594"/>
      <c r="MC72" s="593"/>
      <c r="MD72" s="594"/>
      <c r="ME72" s="593"/>
      <c r="MF72" s="594"/>
      <c r="MG72" s="593"/>
      <c r="MH72" s="594"/>
      <c r="MI72" s="593"/>
      <c r="MJ72" s="594"/>
      <c r="MK72" s="593"/>
      <c r="ML72" s="594"/>
      <c r="MM72" s="593"/>
      <c r="MN72" s="594"/>
      <c r="MO72" s="593"/>
      <c r="MP72" s="594"/>
      <c r="MQ72" s="593"/>
      <c r="MR72" s="594"/>
      <c r="MS72" s="593"/>
      <c r="MT72" s="594"/>
      <c r="MU72" s="593"/>
      <c r="MV72" s="594"/>
      <c r="MW72" s="593"/>
      <c r="MX72" s="594"/>
      <c r="MY72" s="593"/>
      <c r="MZ72" s="594"/>
      <c r="NA72" s="593"/>
      <c r="NB72" s="594"/>
      <c r="NC72" s="593"/>
      <c r="ND72" s="594"/>
      <c r="NE72" s="593"/>
      <c r="NF72" s="594"/>
      <c r="NG72" s="593"/>
      <c r="NH72" s="594"/>
      <c r="NI72" s="593"/>
      <c r="NJ72" s="594"/>
      <c r="NK72" s="593"/>
      <c r="NL72" s="594"/>
      <c r="NM72" s="593"/>
      <c r="NN72" s="594"/>
      <c r="NO72" s="593"/>
      <c r="NP72" s="594"/>
      <c r="NQ72" s="593"/>
      <c r="NR72" s="594"/>
      <c r="NS72" s="593"/>
      <c r="NT72" s="594"/>
      <c r="NU72" s="593"/>
      <c r="NV72" s="594"/>
      <c r="NW72" s="593"/>
      <c r="NX72" s="594"/>
      <c r="NY72" s="593"/>
      <c r="NZ72" s="594"/>
      <c r="OA72" s="593"/>
      <c r="OB72" s="594"/>
      <c r="OC72" s="593"/>
      <c r="OD72" s="594"/>
      <c r="OE72" s="593"/>
      <c r="OF72" s="594"/>
      <c r="OG72" s="593"/>
      <c r="OH72" s="594"/>
      <c r="OI72" s="593"/>
      <c r="OJ72" s="594"/>
      <c r="OK72" s="593"/>
      <c r="OL72" s="594"/>
      <c r="OM72" s="593"/>
      <c r="ON72" s="594"/>
      <c r="OO72" s="593"/>
      <c r="OP72" s="594"/>
      <c r="OQ72" s="593"/>
      <c r="OR72" s="594"/>
      <c r="OS72" s="593"/>
      <c r="OT72" s="594"/>
      <c r="OU72" s="593"/>
      <c r="OV72" s="594"/>
      <c r="OW72" s="593"/>
      <c r="OX72" s="594"/>
      <c r="OY72" s="593"/>
      <c r="OZ72" s="594"/>
      <c r="PA72" s="593"/>
      <c r="PB72" s="594"/>
      <c r="PC72" s="593"/>
      <c r="PD72" s="594"/>
      <c r="PE72" s="593"/>
      <c r="PF72" s="594"/>
      <c r="PG72" s="593"/>
      <c r="PH72" s="594"/>
      <c r="PI72" s="593"/>
      <c r="PJ72" s="594"/>
      <c r="PK72" s="593"/>
      <c r="PL72" s="594"/>
      <c r="PM72" s="593"/>
      <c r="PN72" s="594"/>
      <c r="PO72" s="593"/>
      <c r="PP72" s="594"/>
      <c r="PQ72" s="593"/>
      <c r="PR72" s="594"/>
      <c r="PS72" s="593"/>
      <c r="PT72" s="594"/>
      <c r="PU72" s="593"/>
      <c r="PV72" s="594"/>
      <c r="PW72" s="593"/>
      <c r="PX72" s="594"/>
      <c r="PY72" s="593"/>
      <c r="PZ72" s="594"/>
      <c r="QA72" s="593"/>
      <c r="QB72" s="594"/>
      <c r="QC72" s="593"/>
      <c r="QD72" s="594"/>
      <c r="QE72" s="593"/>
      <c r="QF72" s="594"/>
      <c r="QG72" s="593"/>
      <c r="QH72" s="594"/>
      <c r="QI72" s="593"/>
      <c r="QJ72" s="594"/>
      <c r="QK72" s="593"/>
      <c r="QL72" s="594"/>
      <c r="QM72" s="593"/>
      <c r="QN72" s="594"/>
      <c r="QO72" s="593"/>
      <c r="QP72" s="594"/>
      <c r="QQ72" s="593"/>
      <c r="QR72" s="594"/>
      <c r="QS72" s="593"/>
      <c r="QT72" s="594"/>
      <c r="QU72" s="593"/>
      <c r="QV72" s="594"/>
      <c r="QW72" s="593"/>
      <c r="QX72" s="594"/>
      <c r="QY72" s="593"/>
      <c r="QZ72" s="594"/>
      <c r="RA72" s="593"/>
      <c r="RB72" s="594"/>
      <c r="RC72" s="593"/>
      <c r="RD72" s="594"/>
      <c r="RE72" s="593"/>
      <c r="RF72" s="594"/>
      <c r="RG72" s="593"/>
      <c r="RH72" s="594"/>
      <c r="RI72" s="593"/>
      <c r="RJ72" s="594"/>
      <c r="RK72" s="593"/>
      <c r="RL72" s="594"/>
      <c r="RM72" s="593"/>
      <c r="RN72" s="594"/>
      <c r="RO72" s="593"/>
      <c r="RP72" s="594"/>
      <c r="RQ72" s="593"/>
      <c r="RR72" s="594"/>
      <c r="RS72" s="593"/>
      <c r="RT72" s="594"/>
      <c r="RU72" s="593"/>
      <c r="RV72" s="594"/>
      <c r="RW72" s="593"/>
      <c r="RX72" s="594"/>
      <c r="RY72" s="593"/>
      <c r="RZ72" s="594"/>
      <c r="SA72" s="593"/>
      <c r="SB72" s="594"/>
      <c r="SC72" s="593"/>
      <c r="SD72" s="594"/>
      <c r="SE72" s="593"/>
      <c r="SF72" s="594"/>
      <c r="SG72" s="593"/>
      <c r="SH72" s="594"/>
      <c r="SI72" s="593"/>
      <c r="SJ72" s="594"/>
      <c r="SK72" s="593"/>
      <c r="SL72" s="594"/>
      <c r="SM72" s="593"/>
      <c r="SN72" s="594"/>
      <c r="SO72" s="593"/>
      <c r="SP72" s="594"/>
      <c r="SQ72" s="593"/>
      <c r="SR72" s="594"/>
      <c r="SS72" s="593"/>
      <c r="ST72" s="594"/>
      <c r="SU72" s="593"/>
      <c r="SV72" s="594"/>
      <c r="SW72" s="593"/>
      <c r="SX72" s="594"/>
      <c r="SY72" s="593"/>
      <c r="SZ72" s="594"/>
      <c r="TA72" s="593"/>
      <c r="TB72" s="594"/>
      <c r="TC72" s="593"/>
      <c r="TD72" s="594"/>
      <c r="TE72" s="593"/>
      <c r="TF72" s="594"/>
      <c r="TG72" s="593"/>
      <c r="TH72" s="594"/>
      <c r="TI72" s="593"/>
      <c r="TJ72" s="594"/>
      <c r="TK72" s="593"/>
      <c r="TL72" s="594"/>
      <c r="TM72" s="593"/>
      <c r="TN72" s="594"/>
      <c r="TO72" s="593"/>
      <c r="TP72" s="594"/>
      <c r="TQ72" s="593"/>
      <c r="TR72" s="594"/>
      <c r="TS72" s="593"/>
      <c r="TT72" s="594"/>
      <c r="TU72" s="593"/>
      <c r="TV72" s="594"/>
      <c r="TW72" s="593"/>
      <c r="TX72" s="594"/>
      <c r="TY72" s="593"/>
      <c r="TZ72" s="594"/>
      <c r="UA72" s="593"/>
      <c r="UB72" s="594"/>
      <c r="UC72" s="593"/>
      <c r="UD72" s="594"/>
      <c r="UE72" s="593"/>
      <c r="UF72" s="594"/>
      <c r="UG72" s="593"/>
      <c r="UH72" s="594"/>
      <c r="UI72" s="593"/>
      <c r="UJ72" s="594"/>
      <c r="UK72" s="593"/>
      <c r="UL72" s="594"/>
      <c r="UM72" s="593"/>
      <c r="UN72" s="594"/>
      <c r="UO72" s="593"/>
      <c r="UP72" s="594"/>
      <c r="UQ72" s="593"/>
      <c r="UR72" s="594"/>
      <c r="US72" s="593"/>
      <c r="UT72" s="594"/>
      <c r="UU72" s="593"/>
      <c r="UV72" s="594"/>
      <c r="UW72" s="593"/>
      <c r="UX72" s="594"/>
      <c r="UY72" s="593"/>
      <c r="UZ72" s="594"/>
      <c r="VA72" s="593"/>
      <c r="VB72" s="594"/>
      <c r="VC72" s="593"/>
      <c r="VD72" s="594"/>
      <c r="VE72" s="593"/>
      <c r="VF72" s="594"/>
      <c r="VG72" s="593"/>
      <c r="VH72" s="594"/>
      <c r="VI72" s="593"/>
      <c r="VJ72" s="594"/>
      <c r="VK72" s="593"/>
      <c r="VL72" s="594"/>
      <c r="VM72" s="593"/>
      <c r="VN72" s="594"/>
      <c r="VO72" s="593"/>
      <c r="VP72" s="594"/>
      <c r="VQ72" s="593"/>
      <c r="VR72" s="594"/>
      <c r="VS72" s="593"/>
      <c r="VT72" s="594"/>
      <c r="VU72" s="593"/>
      <c r="VV72" s="594"/>
      <c r="VW72" s="593"/>
      <c r="VX72" s="594"/>
      <c r="VY72" s="593"/>
      <c r="VZ72" s="594"/>
      <c r="WA72" s="593"/>
      <c r="WB72" s="594"/>
      <c r="WC72" s="593"/>
      <c r="WD72" s="594"/>
      <c r="WE72" s="593"/>
      <c r="WF72" s="594"/>
      <c r="WG72" s="593"/>
      <c r="WH72" s="594"/>
      <c r="WI72" s="593"/>
      <c r="WJ72" s="594"/>
      <c r="WK72" s="593"/>
      <c r="WL72" s="594"/>
      <c r="WM72" s="593"/>
      <c r="WN72" s="594"/>
      <c r="WO72" s="593"/>
      <c r="WP72" s="594"/>
      <c r="WQ72" s="593"/>
      <c r="WR72" s="594"/>
      <c r="WS72" s="593"/>
      <c r="WT72" s="594"/>
      <c r="WU72" s="593"/>
      <c r="WV72" s="594"/>
      <c r="WW72" s="593"/>
      <c r="WX72" s="594"/>
      <c r="WY72" s="593"/>
      <c r="WZ72" s="594"/>
      <c r="XA72" s="593"/>
      <c r="XB72" s="594"/>
      <c r="XC72" s="593"/>
      <c r="XD72" s="594"/>
      <c r="XE72" s="593"/>
      <c r="XF72" s="594"/>
      <c r="XG72" s="593"/>
      <c r="XH72" s="594"/>
      <c r="XI72" s="593"/>
      <c r="XJ72" s="594"/>
      <c r="XK72" s="593"/>
      <c r="XL72" s="594"/>
      <c r="XM72" s="593"/>
      <c r="XN72" s="594"/>
      <c r="XO72" s="593"/>
      <c r="XP72" s="594"/>
      <c r="XQ72" s="593"/>
      <c r="XR72" s="594"/>
      <c r="XS72" s="593"/>
      <c r="XT72" s="594"/>
      <c r="XU72" s="593"/>
      <c r="XV72" s="594"/>
      <c r="XW72" s="593"/>
      <c r="XX72" s="594"/>
      <c r="XY72" s="593"/>
      <c r="XZ72" s="594"/>
      <c r="YA72" s="593"/>
      <c r="YB72" s="594"/>
      <c r="YC72" s="593"/>
      <c r="YD72" s="594"/>
      <c r="YE72" s="593"/>
      <c r="YF72" s="594"/>
      <c r="YG72" s="593"/>
      <c r="YH72" s="594"/>
      <c r="YI72" s="593"/>
      <c r="YJ72" s="594"/>
      <c r="YK72" s="593"/>
      <c r="YL72" s="594"/>
      <c r="YM72" s="593"/>
      <c r="YN72" s="594"/>
      <c r="YO72" s="593"/>
      <c r="YP72" s="594"/>
      <c r="YQ72" s="593"/>
      <c r="YR72" s="594"/>
      <c r="YS72" s="593"/>
      <c r="YT72" s="594"/>
      <c r="YU72" s="593"/>
      <c r="YV72" s="594"/>
      <c r="YW72" s="593"/>
      <c r="YX72" s="594"/>
      <c r="YY72" s="593"/>
      <c r="YZ72" s="594"/>
      <c r="ZA72" s="593"/>
      <c r="ZB72" s="594"/>
      <c r="ZC72" s="593"/>
      <c r="ZD72" s="594"/>
      <c r="ZE72" s="593"/>
      <c r="ZF72" s="594"/>
      <c r="ZG72" s="593"/>
      <c r="ZH72" s="594"/>
      <c r="ZI72" s="593"/>
      <c r="ZJ72" s="594"/>
      <c r="ZK72" s="593"/>
      <c r="ZL72" s="594"/>
      <c r="ZM72" s="593"/>
      <c r="ZN72" s="594"/>
      <c r="ZO72" s="593"/>
      <c r="ZP72" s="594"/>
      <c r="ZQ72" s="593"/>
      <c r="ZR72" s="594"/>
      <c r="ZS72" s="593"/>
      <c r="ZT72" s="594"/>
      <c r="ZU72" s="593"/>
      <c r="ZV72" s="594"/>
      <c r="ZW72" s="593"/>
      <c r="ZX72" s="594"/>
      <c r="ZY72" s="593"/>
      <c r="ZZ72" s="594"/>
      <c r="AAA72" s="593"/>
      <c r="AAB72" s="594"/>
      <c r="AAC72" s="593"/>
      <c r="AAD72" s="594"/>
      <c r="AAE72" s="593"/>
      <c r="AAF72" s="594"/>
      <c r="AAG72" s="593"/>
      <c r="AAH72" s="594"/>
      <c r="AAI72" s="593"/>
      <c r="AAJ72" s="594"/>
      <c r="AAK72" s="593"/>
      <c r="AAL72" s="594"/>
      <c r="AAM72" s="593"/>
      <c r="AAN72" s="594"/>
      <c r="AAO72" s="593"/>
      <c r="AAP72" s="594"/>
      <c r="AAQ72" s="593"/>
      <c r="AAR72" s="594"/>
      <c r="AAS72" s="593"/>
      <c r="AAT72" s="594"/>
      <c r="AAU72" s="593"/>
      <c r="AAV72" s="594"/>
      <c r="AAW72" s="593"/>
      <c r="AAX72" s="594"/>
      <c r="AAY72" s="593"/>
      <c r="AAZ72" s="594"/>
      <c r="ABA72" s="593"/>
      <c r="ABB72" s="594"/>
      <c r="ABC72" s="593"/>
      <c r="ABD72" s="594"/>
      <c r="ABE72" s="593"/>
      <c r="ABF72" s="594"/>
      <c r="ABG72" s="593"/>
      <c r="ABH72" s="594"/>
      <c r="ABI72" s="593"/>
      <c r="ABJ72" s="594"/>
      <c r="ABK72" s="593"/>
      <c r="ABL72" s="594"/>
      <c r="ABM72" s="593"/>
      <c r="ABN72" s="594"/>
      <c r="ABO72" s="593"/>
      <c r="ABP72" s="594"/>
      <c r="ABQ72" s="593"/>
      <c r="ABR72" s="594"/>
      <c r="ABS72" s="593"/>
      <c r="ABT72" s="594"/>
      <c r="ABU72" s="593"/>
      <c r="ABV72" s="594"/>
      <c r="ABW72" s="593"/>
      <c r="ABX72" s="594"/>
      <c r="ABY72" s="593"/>
      <c r="ABZ72" s="594"/>
      <c r="ACA72" s="593"/>
      <c r="ACB72" s="594"/>
      <c r="ACC72" s="593"/>
      <c r="ACD72" s="594"/>
      <c r="ACE72" s="593"/>
      <c r="ACF72" s="594"/>
      <c r="ACG72" s="593"/>
      <c r="ACH72" s="594"/>
      <c r="ACI72" s="593"/>
      <c r="ACJ72" s="594"/>
      <c r="ACK72" s="593"/>
      <c r="ACL72" s="594"/>
      <c r="ACM72" s="593"/>
      <c r="ACN72" s="594"/>
      <c r="ACO72" s="593"/>
      <c r="ACP72" s="594"/>
      <c r="ACQ72" s="593"/>
      <c r="ACR72" s="594"/>
      <c r="ACS72" s="593"/>
      <c r="ACT72" s="594"/>
      <c r="ACU72" s="593"/>
      <c r="ACV72" s="594"/>
      <c r="ACW72" s="593"/>
      <c r="ACX72" s="594"/>
      <c r="ACY72" s="593"/>
      <c r="ACZ72" s="594"/>
      <c r="ADA72" s="593"/>
      <c r="ADB72" s="594"/>
      <c r="ADC72" s="593"/>
      <c r="ADD72" s="594"/>
      <c r="ADE72" s="593"/>
      <c r="ADF72" s="594"/>
      <c r="ADG72" s="593"/>
      <c r="ADH72" s="594"/>
      <c r="ADI72" s="593"/>
      <c r="ADJ72" s="594"/>
      <c r="ADK72" s="593"/>
      <c r="ADL72" s="594"/>
      <c r="ADM72" s="593"/>
      <c r="ADN72" s="594"/>
      <c r="ADO72" s="593"/>
      <c r="ADP72" s="594"/>
      <c r="ADQ72" s="593"/>
      <c r="ADR72" s="594"/>
      <c r="ADS72" s="593"/>
      <c r="ADT72" s="594"/>
      <c r="ADU72" s="593"/>
      <c r="ADV72" s="594"/>
      <c r="ADW72" s="593"/>
      <c r="ADX72" s="594"/>
      <c r="ADY72" s="593"/>
      <c r="ADZ72" s="594"/>
      <c r="AEA72" s="593"/>
      <c r="AEB72" s="594"/>
      <c r="AEC72" s="593"/>
      <c r="AED72" s="594"/>
      <c r="AEE72" s="593"/>
      <c r="AEF72" s="594"/>
      <c r="AEG72" s="593"/>
      <c r="AEH72" s="594"/>
      <c r="AEI72" s="593"/>
      <c r="AEJ72" s="594"/>
      <c r="AEK72" s="593"/>
      <c r="AEL72" s="594"/>
      <c r="AEM72" s="593"/>
      <c r="AEN72" s="594"/>
      <c r="AEO72" s="593"/>
      <c r="AEP72" s="594"/>
      <c r="AEQ72" s="593"/>
      <c r="AER72" s="594"/>
      <c r="AES72" s="593"/>
      <c r="AET72" s="594"/>
      <c r="AEU72" s="593"/>
      <c r="AEV72" s="594"/>
      <c r="AEW72" s="593"/>
      <c r="AEX72" s="594"/>
      <c r="AEY72" s="593"/>
      <c r="AEZ72" s="594"/>
      <c r="AFA72" s="593"/>
      <c r="AFB72" s="594"/>
      <c r="AFC72" s="593"/>
      <c r="AFD72" s="594"/>
      <c r="AFE72" s="593"/>
      <c r="AFF72" s="594"/>
      <c r="AFG72" s="593"/>
      <c r="AFH72" s="594"/>
      <c r="AFI72" s="593"/>
      <c r="AFJ72" s="594"/>
      <c r="AFK72" s="593"/>
      <c r="AFL72" s="594"/>
      <c r="AFM72" s="593"/>
      <c r="AFN72" s="594"/>
      <c r="AFO72" s="593"/>
      <c r="AFP72" s="594"/>
      <c r="AFQ72" s="593"/>
      <c r="AFR72" s="594"/>
      <c r="AFS72" s="593"/>
      <c r="AFT72" s="594"/>
      <c r="AFU72" s="593"/>
      <c r="AFV72" s="594"/>
      <c r="AFW72" s="593"/>
      <c r="AFX72" s="594"/>
      <c r="AFY72" s="593"/>
      <c r="AFZ72" s="594"/>
      <c r="AGA72" s="593"/>
      <c r="AGB72" s="594"/>
      <c r="AGC72" s="593"/>
      <c r="AGD72" s="594"/>
      <c r="AGE72" s="593"/>
      <c r="AGF72" s="594"/>
      <c r="AGG72" s="593"/>
      <c r="AGH72" s="594"/>
      <c r="AGI72" s="593"/>
      <c r="AGJ72" s="594"/>
      <c r="AGK72" s="593"/>
      <c r="AGL72" s="594"/>
      <c r="AGM72" s="593"/>
      <c r="AGN72" s="594"/>
      <c r="AGO72" s="593"/>
      <c r="AGP72" s="594"/>
      <c r="AGQ72" s="593"/>
      <c r="AGR72" s="594"/>
      <c r="AGS72" s="593"/>
      <c r="AGT72" s="594"/>
      <c r="AGU72" s="593"/>
      <c r="AGV72" s="594"/>
      <c r="AGW72" s="593"/>
      <c r="AGX72" s="594"/>
      <c r="AGY72" s="593"/>
      <c r="AGZ72" s="594"/>
      <c r="AHA72" s="593"/>
      <c r="AHB72" s="594"/>
      <c r="AHC72" s="593"/>
      <c r="AHD72" s="594"/>
      <c r="AHE72" s="593"/>
      <c r="AHF72" s="594"/>
      <c r="AHG72" s="593"/>
      <c r="AHH72" s="594"/>
      <c r="AHI72" s="593"/>
      <c r="AHJ72" s="594"/>
      <c r="AHK72" s="593"/>
      <c r="AHL72" s="594"/>
      <c r="AHM72" s="593"/>
      <c r="AHN72" s="594"/>
      <c r="AHO72" s="593"/>
      <c r="AHP72" s="594"/>
      <c r="AHQ72" s="593"/>
      <c r="AHR72" s="594"/>
      <c r="AHS72" s="593"/>
      <c r="AHT72" s="594"/>
      <c r="AHU72" s="593"/>
      <c r="AHV72" s="594"/>
      <c r="AHW72" s="593"/>
      <c r="AHX72" s="594"/>
      <c r="AHY72" s="593"/>
      <c r="AHZ72" s="594"/>
      <c r="AIA72" s="593"/>
      <c r="AIB72" s="594"/>
      <c r="AIC72" s="593"/>
      <c r="AID72" s="594"/>
      <c r="AIE72" s="593"/>
      <c r="AIF72" s="594"/>
      <c r="AIG72" s="593"/>
      <c r="AIH72" s="594"/>
      <c r="AII72" s="593"/>
      <c r="AIJ72" s="594"/>
      <c r="AIK72" s="593"/>
      <c r="AIL72" s="594"/>
      <c r="AIM72" s="593"/>
      <c r="AIN72" s="594"/>
      <c r="AIO72" s="593"/>
      <c r="AIP72" s="594"/>
      <c r="AIQ72" s="593"/>
      <c r="AIR72" s="594"/>
      <c r="AIS72" s="593"/>
      <c r="AIT72" s="594"/>
      <c r="AIU72" s="593"/>
      <c r="AIV72" s="594"/>
      <c r="AIW72" s="593"/>
      <c r="AIX72" s="594"/>
      <c r="AIY72" s="593"/>
      <c r="AIZ72" s="594"/>
      <c r="AJA72" s="593"/>
      <c r="AJB72" s="594"/>
      <c r="AJC72" s="593"/>
      <c r="AJD72" s="594"/>
      <c r="AJE72" s="593"/>
      <c r="AJF72" s="594"/>
      <c r="AJG72" s="593"/>
      <c r="AJH72" s="594"/>
      <c r="AJI72" s="593"/>
      <c r="AJJ72" s="594"/>
      <c r="AJK72" s="593"/>
      <c r="AJL72" s="594"/>
      <c r="AJM72" s="593"/>
      <c r="AJN72" s="594"/>
      <c r="AJO72" s="593"/>
      <c r="AJP72" s="594"/>
      <c r="AJQ72" s="593"/>
      <c r="AJR72" s="594"/>
      <c r="AJS72" s="593"/>
      <c r="AJT72" s="594"/>
      <c r="AJU72" s="593"/>
      <c r="AJV72" s="594"/>
      <c r="AJW72" s="593"/>
      <c r="AJX72" s="594"/>
      <c r="AJY72" s="593"/>
      <c r="AJZ72" s="594"/>
      <c r="AKA72" s="593"/>
      <c r="AKB72" s="594"/>
      <c r="AKC72" s="593"/>
      <c r="AKD72" s="594"/>
      <c r="AKE72" s="593"/>
      <c r="AKF72" s="594"/>
      <c r="AKG72" s="593"/>
      <c r="AKH72" s="594"/>
      <c r="AKI72" s="593"/>
      <c r="AKJ72" s="594"/>
      <c r="AKK72" s="593"/>
      <c r="AKL72" s="594"/>
      <c r="AKM72" s="593"/>
      <c r="AKN72" s="594"/>
      <c r="AKO72" s="593"/>
      <c r="AKP72" s="594"/>
      <c r="AKQ72" s="593"/>
      <c r="AKR72" s="594"/>
      <c r="AKS72" s="593"/>
      <c r="AKT72" s="594"/>
      <c r="AKU72" s="593"/>
      <c r="AKV72" s="594"/>
      <c r="AKW72" s="593"/>
      <c r="AKX72" s="594"/>
      <c r="AKY72" s="593"/>
      <c r="AKZ72" s="594"/>
      <c r="ALA72" s="593"/>
      <c r="ALB72" s="594"/>
      <c r="ALC72" s="593"/>
      <c r="ALD72" s="594"/>
      <c r="ALE72" s="593"/>
      <c r="ALF72" s="594"/>
      <c r="ALG72" s="593"/>
      <c r="ALH72" s="594"/>
      <c r="ALI72" s="593"/>
      <c r="ALJ72" s="594"/>
      <c r="ALK72" s="593"/>
      <c r="ALL72" s="594"/>
      <c r="ALM72" s="593"/>
      <c r="ALN72" s="594"/>
      <c r="ALO72" s="593"/>
      <c r="ALP72" s="594"/>
      <c r="ALQ72" s="593"/>
      <c r="ALR72" s="594"/>
      <c r="ALS72" s="593"/>
      <c r="ALT72" s="594"/>
      <c r="ALU72" s="593"/>
      <c r="ALV72" s="594"/>
      <c r="ALW72" s="593"/>
      <c r="ALX72" s="594"/>
      <c r="ALY72" s="593"/>
      <c r="ALZ72" s="594"/>
      <c r="AMA72" s="593"/>
      <c r="AMB72" s="594"/>
      <c r="AMC72" s="593"/>
      <c r="AMD72" s="594"/>
      <c r="AME72" s="593"/>
      <c r="AMF72" s="594"/>
      <c r="AMG72" s="593"/>
      <c r="AMH72" s="594"/>
      <c r="AMI72" s="593"/>
      <c r="AMJ72" s="594"/>
    </row>
    <row r="73" spans="1:1024" s="39" customFormat="1" ht="15.75" customHeight="1" x14ac:dyDescent="0.35">
      <c r="A73" s="600"/>
      <c r="B73" s="644" t="s">
        <v>330</v>
      </c>
      <c r="C73" s="645"/>
      <c r="D73" s="646"/>
      <c r="E73" s="645"/>
      <c r="F73" s="646"/>
      <c r="G73" s="647"/>
      <c r="H73" s="643"/>
      <c r="I73" s="645"/>
      <c r="J73" s="38"/>
      <c r="K73" s="38"/>
      <c r="M73" s="38"/>
      <c r="O73" s="38"/>
      <c r="Q73" s="38"/>
      <c r="S73" s="38"/>
      <c r="U73" s="38"/>
      <c r="W73" s="38"/>
      <c r="Y73" s="38"/>
      <c r="AA73" s="38"/>
      <c r="AC73" s="38"/>
      <c r="AE73" s="38"/>
      <c r="AG73" s="38"/>
      <c r="AI73" s="38"/>
      <c r="AK73" s="40"/>
      <c r="AM73" s="40"/>
      <c r="AO73" s="40"/>
      <c r="AQ73" s="40"/>
      <c r="AS73" s="40"/>
      <c r="AU73" s="40"/>
      <c r="AW73" s="40"/>
      <c r="AY73" s="40"/>
      <c r="BA73" s="40"/>
      <c r="BC73" s="40"/>
      <c r="BE73" s="40"/>
      <c r="BG73" s="40"/>
      <c r="BI73" s="40"/>
      <c r="BK73" s="40"/>
      <c r="BM73" s="40"/>
      <c r="BO73" s="40"/>
      <c r="BQ73" s="40"/>
      <c r="BS73" s="40"/>
      <c r="BU73" s="40"/>
      <c r="BW73" s="40"/>
      <c r="BY73" s="40"/>
      <c r="CA73" s="40"/>
      <c r="CC73" s="40"/>
      <c r="CE73" s="40"/>
      <c r="CG73" s="40"/>
      <c r="CI73" s="40"/>
      <c r="CK73" s="40"/>
      <c r="CM73" s="40"/>
      <c r="CO73" s="40"/>
      <c r="CQ73" s="40"/>
      <c r="CS73" s="40"/>
      <c r="CU73" s="40"/>
      <c r="CW73" s="40"/>
      <c r="CY73" s="40"/>
      <c r="DA73" s="40"/>
      <c r="DC73" s="40"/>
      <c r="DE73" s="40"/>
      <c r="DG73" s="40"/>
      <c r="DI73" s="40"/>
      <c r="DK73" s="40"/>
      <c r="DM73" s="40"/>
      <c r="DO73" s="40"/>
      <c r="DQ73" s="40"/>
      <c r="DS73" s="40"/>
      <c r="DU73" s="40"/>
      <c r="DW73" s="40"/>
      <c r="DY73" s="40"/>
      <c r="EA73" s="40"/>
      <c r="EC73" s="40"/>
      <c r="EE73" s="40"/>
      <c r="EG73" s="40"/>
      <c r="EI73" s="40"/>
      <c r="EK73" s="40"/>
      <c r="EM73" s="40"/>
      <c r="EO73" s="40"/>
      <c r="EQ73" s="40"/>
      <c r="ES73" s="40"/>
      <c r="EU73" s="40"/>
      <c r="EW73" s="40"/>
      <c r="EY73" s="40"/>
      <c r="FA73" s="40"/>
      <c r="FC73" s="40"/>
      <c r="FE73" s="40"/>
      <c r="FG73" s="40"/>
      <c r="FI73" s="40"/>
      <c r="FK73" s="40"/>
      <c r="FM73" s="40"/>
      <c r="FO73" s="40"/>
      <c r="FQ73" s="40"/>
      <c r="FS73" s="40"/>
      <c r="FU73" s="40"/>
      <c r="FW73" s="40"/>
      <c r="FY73" s="40"/>
      <c r="GA73" s="40"/>
      <c r="GC73" s="40"/>
      <c r="GE73" s="40"/>
      <c r="GG73" s="40"/>
      <c r="GI73" s="40"/>
      <c r="GK73" s="40"/>
      <c r="GM73" s="40"/>
      <c r="GO73" s="40"/>
      <c r="GQ73" s="40"/>
      <c r="GS73" s="40"/>
      <c r="GU73" s="40"/>
      <c r="GW73" s="40"/>
      <c r="GY73" s="40"/>
      <c r="HA73" s="40"/>
      <c r="HC73" s="40"/>
      <c r="HE73" s="40"/>
      <c r="HG73" s="40"/>
      <c r="HI73" s="40"/>
      <c r="HK73" s="40"/>
      <c r="HM73" s="40"/>
      <c r="HO73" s="40"/>
      <c r="HQ73" s="40"/>
      <c r="HS73" s="40"/>
      <c r="HU73" s="40"/>
      <c r="HW73" s="40"/>
      <c r="HY73" s="40"/>
      <c r="IA73" s="40"/>
      <c r="IC73" s="40"/>
      <c r="IE73" s="40"/>
      <c r="IG73" s="40"/>
      <c r="II73" s="40"/>
      <c r="IK73" s="40"/>
      <c r="IM73" s="40"/>
      <c r="IO73" s="40"/>
      <c r="IQ73" s="40"/>
      <c r="IS73" s="40"/>
      <c r="IU73" s="40"/>
      <c r="IW73" s="40"/>
      <c r="IY73" s="40"/>
      <c r="JA73" s="40"/>
      <c r="JC73" s="40"/>
      <c r="JE73" s="40"/>
      <c r="JG73" s="40"/>
      <c r="JI73" s="40"/>
      <c r="JK73" s="40"/>
      <c r="JM73" s="40"/>
      <c r="JO73" s="40"/>
      <c r="JQ73" s="40"/>
      <c r="JS73" s="40"/>
      <c r="JU73" s="40"/>
      <c r="JW73" s="40"/>
      <c r="JY73" s="40"/>
      <c r="KA73" s="40"/>
      <c r="KC73" s="40"/>
      <c r="KE73" s="40"/>
      <c r="KG73" s="40"/>
      <c r="KI73" s="40"/>
      <c r="KK73" s="40"/>
      <c r="KM73" s="40"/>
      <c r="KO73" s="40"/>
      <c r="KQ73" s="40"/>
      <c r="KS73" s="40"/>
      <c r="KU73" s="40"/>
      <c r="KW73" s="40"/>
      <c r="KY73" s="40"/>
      <c r="LA73" s="40"/>
      <c r="LC73" s="40"/>
      <c r="LE73" s="40"/>
      <c r="LG73" s="40"/>
      <c r="LI73" s="40"/>
      <c r="LK73" s="40"/>
      <c r="LM73" s="40"/>
      <c r="LO73" s="40"/>
      <c r="LQ73" s="40"/>
      <c r="LS73" s="40"/>
      <c r="LU73" s="40"/>
      <c r="LW73" s="40"/>
      <c r="LY73" s="40"/>
      <c r="MA73" s="40"/>
      <c r="MC73" s="40"/>
      <c r="ME73" s="40"/>
      <c r="MG73" s="40"/>
      <c r="MI73" s="40"/>
      <c r="MK73" s="40"/>
      <c r="MM73" s="40"/>
      <c r="MO73" s="40"/>
      <c r="MQ73" s="40"/>
      <c r="MS73" s="40"/>
      <c r="MU73" s="40"/>
      <c r="MW73" s="40"/>
      <c r="MY73" s="40"/>
      <c r="NA73" s="40"/>
      <c r="NC73" s="40"/>
      <c r="NE73" s="40"/>
      <c r="NG73" s="40"/>
      <c r="NI73" s="40"/>
      <c r="NK73" s="40"/>
      <c r="NM73" s="40"/>
      <c r="NO73" s="40"/>
      <c r="NQ73" s="40"/>
      <c r="NS73" s="40"/>
      <c r="NU73" s="40"/>
      <c r="NW73" s="40"/>
      <c r="NY73" s="40"/>
      <c r="OA73" s="40"/>
      <c r="OC73" s="40"/>
      <c r="OE73" s="40"/>
      <c r="OG73" s="40"/>
      <c r="OI73" s="40"/>
      <c r="OK73" s="40"/>
      <c r="OM73" s="40"/>
      <c r="OO73" s="40"/>
      <c r="OQ73" s="40"/>
      <c r="OS73" s="40"/>
      <c r="OU73" s="40"/>
      <c r="OW73" s="40"/>
      <c r="OY73" s="40"/>
      <c r="PA73" s="40"/>
      <c r="PC73" s="40"/>
      <c r="PE73" s="40"/>
      <c r="PG73" s="40"/>
      <c r="PI73" s="40"/>
      <c r="PK73" s="40"/>
      <c r="PM73" s="40"/>
      <c r="PO73" s="40"/>
      <c r="PQ73" s="40"/>
      <c r="PS73" s="40"/>
      <c r="PU73" s="40"/>
      <c r="PW73" s="40"/>
      <c r="PY73" s="40"/>
      <c r="QA73" s="40"/>
      <c r="QC73" s="40"/>
      <c r="QE73" s="40"/>
      <c r="QG73" s="40"/>
      <c r="QI73" s="40"/>
      <c r="QK73" s="40"/>
      <c r="QM73" s="40"/>
      <c r="QO73" s="40"/>
      <c r="QQ73" s="40"/>
      <c r="QS73" s="40"/>
      <c r="QU73" s="40"/>
      <c r="QW73" s="40"/>
      <c r="QY73" s="40"/>
      <c r="RA73" s="40"/>
      <c r="RC73" s="40"/>
      <c r="RE73" s="40"/>
      <c r="RG73" s="40"/>
      <c r="RI73" s="40"/>
      <c r="RK73" s="40"/>
      <c r="RM73" s="40"/>
      <c r="RO73" s="40"/>
      <c r="RQ73" s="40"/>
      <c r="RS73" s="40"/>
      <c r="RU73" s="40"/>
      <c r="RW73" s="40"/>
      <c r="RY73" s="40"/>
      <c r="SA73" s="40"/>
      <c r="SC73" s="40"/>
      <c r="SE73" s="40"/>
      <c r="SG73" s="40"/>
      <c r="SI73" s="40"/>
      <c r="SK73" s="40"/>
      <c r="SM73" s="40"/>
      <c r="SO73" s="40"/>
      <c r="SQ73" s="40"/>
      <c r="SS73" s="40"/>
      <c r="SU73" s="40"/>
      <c r="SW73" s="40"/>
      <c r="SY73" s="40"/>
      <c r="TA73" s="40"/>
      <c r="TC73" s="40"/>
      <c r="TE73" s="40"/>
      <c r="TG73" s="40"/>
      <c r="TI73" s="40"/>
      <c r="TK73" s="40"/>
      <c r="TM73" s="40"/>
      <c r="TO73" s="40"/>
      <c r="TQ73" s="40"/>
      <c r="TS73" s="40"/>
      <c r="TU73" s="40"/>
      <c r="TW73" s="40"/>
      <c r="TY73" s="40"/>
      <c r="UA73" s="40"/>
      <c r="UC73" s="40"/>
      <c r="UE73" s="40"/>
      <c r="UG73" s="40"/>
      <c r="UI73" s="40"/>
      <c r="UK73" s="40"/>
      <c r="UM73" s="40"/>
      <c r="UO73" s="40"/>
      <c r="UQ73" s="40"/>
      <c r="US73" s="40"/>
      <c r="UU73" s="40"/>
      <c r="UW73" s="40"/>
      <c r="UY73" s="40"/>
      <c r="VA73" s="40"/>
      <c r="VC73" s="40"/>
      <c r="VE73" s="40"/>
      <c r="VG73" s="40"/>
      <c r="VI73" s="40"/>
      <c r="VK73" s="40"/>
      <c r="VM73" s="40"/>
      <c r="VO73" s="40"/>
      <c r="VQ73" s="40"/>
      <c r="VS73" s="40"/>
      <c r="VU73" s="40"/>
      <c r="VW73" s="40"/>
      <c r="VY73" s="40"/>
      <c r="WA73" s="40"/>
      <c r="WC73" s="40"/>
      <c r="WE73" s="40"/>
      <c r="WG73" s="40"/>
      <c r="WI73" s="40"/>
      <c r="WK73" s="40"/>
      <c r="WM73" s="40"/>
      <c r="WO73" s="40"/>
      <c r="WQ73" s="40"/>
      <c r="WS73" s="40"/>
      <c r="WU73" s="40"/>
      <c r="WW73" s="40"/>
      <c r="WY73" s="40"/>
      <c r="XA73" s="40"/>
      <c r="XC73" s="40"/>
      <c r="XE73" s="40"/>
      <c r="XG73" s="40"/>
      <c r="XI73" s="40"/>
      <c r="XK73" s="40"/>
      <c r="XM73" s="40"/>
      <c r="XO73" s="40"/>
      <c r="XQ73" s="40"/>
      <c r="XS73" s="40"/>
      <c r="XU73" s="40"/>
      <c r="XW73" s="40"/>
      <c r="XY73" s="40"/>
      <c r="YA73" s="40"/>
      <c r="YC73" s="40"/>
      <c r="YE73" s="40"/>
      <c r="YG73" s="40"/>
      <c r="YI73" s="40"/>
      <c r="YK73" s="40"/>
      <c r="YM73" s="40"/>
      <c r="YO73" s="40"/>
      <c r="YQ73" s="40"/>
      <c r="YS73" s="40"/>
      <c r="YU73" s="40"/>
      <c r="YW73" s="40"/>
      <c r="YY73" s="40"/>
      <c r="ZA73" s="40"/>
      <c r="ZC73" s="40"/>
      <c r="ZE73" s="40"/>
      <c r="ZG73" s="40"/>
      <c r="ZI73" s="40"/>
      <c r="ZK73" s="40"/>
      <c r="ZM73" s="40"/>
      <c r="ZO73" s="40"/>
      <c r="ZQ73" s="40"/>
      <c r="ZS73" s="40"/>
      <c r="ZU73" s="40"/>
      <c r="ZW73" s="40"/>
      <c r="ZY73" s="40"/>
      <c r="AAA73" s="40"/>
      <c r="AAC73" s="40"/>
      <c r="AAE73" s="40"/>
      <c r="AAG73" s="40"/>
      <c r="AAI73" s="40"/>
      <c r="AAK73" s="40"/>
      <c r="AAM73" s="40"/>
      <c r="AAO73" s="40"/>
      <c r="AAQ73" s="40"/>
      <c r="AAS73" s="40"/>
      <c r="AAU73" s="40"/>
      <c r="AAW73" s="40"/>
      <c r="AAY73" s="40"/>
      <c r="ABA73" s="40"/>
      <c r="ABC73" s="40"/>
      <c r="ABE73" s="40"/>
      <c r="ABG73" s="40"/>
      <c r="ABI73" s="40"/>
      <c r="ABK73" s="40"/>
      <c r="ABM73" s="40"/>
      <c r="ABO73" s="40"/>
      <c r="ABQ73" s="40"/>
      <c r="ABS73" s="40"/>
      <c r="ABU73" s="40"/>
      <c r="ABW73" s="40"/>
      <c r="ABY73" s="40"/>
      <c r="ACA73" s="40"/>
      <c r="ACC73" s="40"/>
      <c r="ACE73" s="40"/>
      <c r="ACG73" s="40"/>
      <c r="ACI73" s="40"/>
      <c r="ACK73" s="40"/>
      <c r="ACM73" s="40"/>
      <c r="ACO73" s="40"/>
      <c r="ACQ73" s="40"/>
      <c r="ACS73" s="40"/>
      <c r="ACU73" s="40"/>
      <c r="ACW73" s="40"/>
      <c r="ACY73" s="40"/>
      <c r="ADA73" s="40"/>
      <c r="ADC73" s="40"/>
      <c r="ADE73" s="40"/>
      <c r="ADG73" s="40"/>
      <c r="ADI73" s="40"/>
      <c r="ADK73" s="40"/>
      <c r="ADM73" s="40"/>
      <c r="ADO73" s="40"/>
      <c r="ADQ73" s="40"/>
      <c r="ADS73" s="40"/>
      <c r="ADU73" s="40"/>
      <c r="ADW73" s="40"/>
      <c r="ADY73" s="40"/>
      <c r="AEA73" s="40"/>
      <c r="AEC73" s="40"/>
      <c r="AEE73" s="40"/>
      <c r="AEG73" s="40"/>
      <c r="AEI73" s="40"/>
      <c r="AEK73" s="40"/>
      <c r="AEM73" s="40"/>
      <c r="AEO73" s="40"/>
      <c r="AEQ73" s="40"/>
      <c r="AES73" s="40"/>
      <c r="AEU73" s="40"/>
      <c r="AEW73" s="40"/>
      <c r="AEY73" s="40"/>
      <c r="AFA73" s="40"/>
      <c r="AFC73" s="40"/>
      <c r="AFE73" s="40"/>
      <c r="AFG73" s="40"/>
      <c r="AFI73" s="40"/>
      <c r="AFK73" s="40"/>
      <c r="AFM73" s="40"/>
      <c r="AFO73" s="40"/>
      <c r="AFQ73" s="40"/>
      <c r="AFS73" s="40"/>
      <c r="AFU73" s="40"/>
      <c r="AFW73" s="40"/>
      <c r="AFY73" s="40"/>
      <c r="AGA73" s="40"/>
      <c r="AGC73" s="40"/>
      <c r="AGE73" s="40"/>
      <c r="AGG73" s="40"/>
      <c r="AGI73" s="40"/>
      <c r="AGK73" s="40"/>
      <c r="AGM73" s="40"/>
      <c r="AGO73" s="40"/>
      <c r="AGQ73" s="40"/>
      <c r="AGS73" s="40"/>
      <c r="AGU73" s="40"/>
      <c r="AGW73" s="40"/>
      <c r="AGY73" s="40"/>
      <c r="AHA73" s="40"/>
      <c r="AHC73" s="40"/>
      <c r="AHE73" s="40"/>
      <c r="AHG73" s="40"/>
      <c r="AHI73" s="40"/>
      <c r="AHK73" s="40"/>
      <c r="AHM73" s="40"/>
      <c r="AHO73" s="40"/>
      <c r="AHQ73" s="40"/>
      <c r="AHS73" s="40"/>
      <c r="AHU73" s="40"/>
      <c r="AHW73" s="40"/>
      <c r="AHY73" s="40"/>
      <c r="AIA73" s="40"/>
      <c r="AIC73" s="40"/>
      <c r="AIE73" s="40"/>
      <c r="AIG73" s="40"/>
      <c r="AII73" s="40"/>
      <c r="AIK73" s="40"/>
      <c r="AIM73" s="40"/>
      <c r="AIO73" s="40"/>
    </row>
    <row r="74" spans="1:1024" s="39" customFormat="1" ht="15.75" customHeight="1" x14ac:dyDescent="0.35">
      <c r="A74" s="600"/>
      <c r="B74" s="644" t="s">
        <v>331</v>
      </c>
      <c r="C74" s="645"/>
      <c r="D74" s="646"/>
      <c r="E74" s="645"/>
      <c r="F74" s="646"/>
      <c r="G74" s="647"/>
      <c r="H74" s="643"/>
      <c r="I74" s="645"/>
      <c r="J74" s="38"/>
      <c r="K74" s="38"/>
      <c r="M74" s="38"/>
      <c r="O74" s="38"/>
      <c r="Q74" s="38"/>
      <c r="S74" s="38"/>
      <c r="U74" s="38"/>
      <c r="W74" s="38"/>
      <c r="Y74" s="38"/>
      <c r="AA74" s="38"/>
      <c r="AC74" s="38"/>
      <c r="AE74" s="38"/>
      <c r="AG74" s="38"/>
      <c r="AI74" s="38"/>
      <c r="AK74" s="40"/>
      <c r="AM74" s="40"/>
      <c r="AO74" s="40"/>
      <c r="AQ74" s="40"/>
      <c r="AS74" s="40"/>
      <c r="AU74" s="40"/>
      <c r="AW74" s="40"/>
      <c r="AY74" s="40"/>
      <c r="BA74" s="40"/>
      <c r="BC74" s="40"/>
      <c r="BE74" s="40"/>
      <c r="BG74" s="40"/>
      <c r="BI74" s="40"/>
      <c r="BK74" s="40"/>
      <c r="BM74" s="40"/>
      <c r="BO74" s="40"/>
      <c r="BQ74" s="40"/>
      <c r="BS74" s="40"/>
      <c r="BU74" s="40"/>
      <c r="BW74" s="40"/>
      <c r="BY74" s="40"/>
      <c r="CA74" s="40"/>
      <c r="CC74" s="40"/>
      <c r="CE74" s="40"/>
      <c r="CG74" s="40"/>
      <c r="CI74" s="40"/>
      <c r="CK74" s="40"/>
      <c r="CM74" s="40"/>
      <c r="CO74" s="40"/>
      <c r="CQ74" s="40"/>
      <c r="CS74" s="40"/>
      <c r="CU74" s="40"/>
      <c r="CW74" s="40"/>
      <c r="CY74" s="40"/>
      <c r="DA74" s="40"/>
      <c r="DC74" s="40"/>
      <c r="DE74" s="40"/>
      <c r="DG74" s="40"/>
      <c r="DI74" s="40"/>
      <c r="DK74" s="40"/>
      <c r="DM74" s="40"/>
      <c r="DO74" s="40"/>
      <c r="DQ74" s="40"/>
      <c r="DS74" s="40"/>
      <c r="DU74" s="40"/>
      <c r="DW74" s="40"/>
      <c r="DY74" s="40"/>
      <c r="EA74" s="40"/>
      <c r="EC74" s="40"/>
      <c r="EE74" s="40"/>
      <c r="EG74" s="40"/>
      <c r="EI74" s="40"/>
      <c r="EK74" s="40"/>
      <c r="EM74" s="40"/>
      <c r="EO74" s="40"/>
      <c r="EQ74" s="40"/>
      <c r="ES74" s="40"/>
      <c r="EU74" s="40"/>
      <c r="EW74" s="40"/>
      <c r="EY74" s="40"/>
      <c r="FA74" s="40"/>
      <c r="FC74" s="40"/>
      <c r="FE74" s="40"/>
      <c r="FG74" s="40"/>
      <c r="FI74" s="40"/>
      <c r="FK74" s="40"/>
      <c r="FM74" s="40"/>
      <c r="FO74" s="40"/>
      <c r="FQ74" s="40"/>
      <c r="FS74" s="40"/>
      <c r="FU74" s="40"/>
      <c r="FW74" s="40"/>
      <c r="FY74" s="40"/>
      <c r="GA74" s="40"/>
      <c r="GC74" s="40"/>
      <c r="GE74" s="40"/>
      <c r="GG74" s="40"/>
      <c r="GI74" s="40"/>
      <c r="GK74" s="40"/>
      <c r="GM74" s="40"/>
      <c r="GO74" s="40"/>
      <c r="GQ74" s="40"/>
      <c r="GS74" s="40"/>
      <c r="GU74" s="40"/>
      <c r="GW74" s="40"/>
      <c r="GY74" s="40"/>
      <c r="HA74" s="40"/>
      <c r="HC74" s="40"/>
      <c r="HE74" s="40"/>
      <c r="HG74" s="40"/>
      <c r="HI74" s="40"/>
      <c r="HK74" s="40"/>
      <c r="HM74" s="40"/>
      <c r="HO74" s="40"/>
      <c r="HQ74" s="40"/>
      <c r="HS74" s="40"/>
      <c r="HU74" s="40"/>
      <c r="HW74" s="40"/>
      <c r="HY74" s="40"/>
      <c r="IA74" s="40"/>
      <c r="IC74" s="40"/>
      <c r="IE74" s="40"/>
      <c r="IG74" s="40"/>
      <c r="II74" s="40"/>
      <c r="IK74" s="40"/>
      <c r="IM74" s="40"/>
      <c r="IO74" s="40"/>
      <c r="IQ74" s="40"/>
      <c r="IS74" s="40"/>
      <c r="IU74" s="40"/>
      <c r="IW74" s="40"/>
      <c r="IY74" s="40"/>
      <c r="JA74" s="40"/>
      <c r="JC74" s="40"/>
      <c r="JE74" s="40"/>
      <c r="JG74" s="40"/>
      <c r="JI74" s="40"/>
      <c r="JK74" s="40"/>
      <c r="JM74" s="40"/>
      <c r="JO74" s="40"/>
      <c r="JQ74" s="40"/>
      <c r="JS74" s="40"/>
      <c r="JU74" s="40"/>
      <c r="JW74" s="40"/>
      <c r="JY74" s="40"/>
      <c r="KA74" s="40"/>
      <c r="KC74" s="40"/>
      <c r="KE74" s="40"/>
      <c r="KG74" s="40"/>
      <c r="KI74" s="40"/>
      <c r="KK74" s="40"/>
      <c r="KM74" s="40"/>
      <c r="KO74" s="40"/>
      <c r="KQ74" s="40"/>
      <c r="KS74" s="40"/>
      <c r="KU74" s="40"/>
      <c r="KW74" s="40"/>
      <c r="KY74" s="40"/>
      <c r="LA74" s="40"/>
      <c r="LC74" s="40"/>
      <c r="LE74" s="40"/>
      <c r="LG74" s="40"/>
      <c r="LI74" s="40"/>
      <c r="LK74" s="40"/>
      <c r="LM74" s="40"/>
      <c r="LO74" s="40"/>
      <c r="LQ74" s="40"/>
      <c r="LS74" s="40"/>
      <c r="LU74" s="40"/>
      <c r="LW74" s="40"/>
      <c r="LY74" s="40"/>
      <c r="MA74" s="40"/>
      <c r="MC74" s="40"/>
      <c r="ME74" s="40"/>
      <c r="MG74" s="40"/>
      <c r="MI74" s="40"/>
      <c r="MK74" s="40"/>
      <c r="MM74" s="40"/>
      <c r="MO74" s="40"/>
      <c r="MQ74" s="40"/>
      <c r="MS74" s="40"/>
      <c r="MU74" s="40"/>
      <c r="MW74" s="40"/>
      <c r="MY74" s="40"/>
      <c r="NA74" s="40"/>
      <c r="NC74" s="40"/>
      <c r="NE74" s="40"/>
      <c r="NG74" s="40"/>
      <c r="NI74" s="40"/>
      <c r="NK74" s="40"/>
      <c r="NM74" s="40"/>
      <c r="NO74" s="40"/>
      <c r="NQ74" s="40"/>
      <c r="NS74" s="40"/>
      <c r="NU74" s="40"/>
      <c r="NW74" s="40"/>
      <c r="NY74" s="40"/>
      <c r="OA74" s="40"/>
      <c r="OC74" s="40"/>
      <c r="OE74" s="40"/>
      <c r="OG74" s="40"/>
      <c r="OI74" s="40"/>
      <c r="OK74" s="40"/>
      <c r="OM74" s="40"/>
      <c r="OO74" s="40"/>
      <c r="OQ74" s="40"/>
      <c r="OS74" s="40"/>
      <c r="OU74" s="40"/>
      <c r="OW74" s="40"/>
      <c r="OY74" s="40"/>
      <c r="PA74" s="40"/>
      <c r="PC74" s="40"/>
      <c r="PE74" s="40"/>
      <c r="PG74" s="40"/>
      <c r="PI74" s="40"/>
      <c r="PK74" s="40"/>
      <c r="PM74" s="40"/>
      <c r="PO74" s="40"/>
      <c r="PQ74" s="40"/>
      <c r="PS74" s="40"/>
      <c r="PU74" s="40"/>
      <c r="PW74" s="40"/>
      <c r="PY74" s="40"/>
      <c r="QA74" s="40"/>
      <c r="QC74" s="40"/>
      <c r="QE74" s="40"/>
      <c r="QG74" s="40"/>
      <c r="QI74" s="40"/>
      <c r="QK74" s="40"/>
      <c r="QM74" s="40"/>
      <c r="QO74" s="40"/>
      <c r="QQ74" s="40"/>
      <c r="QS74" s="40"/>
      <c r="QU74" s="40"/>
      <c r="QW74" s="40"/>
      <c r="QY74" s="40"/>
      <c r="RA74" s="40"/>
      <c r="RC74" s="40"/>
      <c r="RE74" s="40"/>
      <c r="RG74" s="40"/>
      <c r="RI74" s="40"/>
      <c r="RK74" s="40"/>
      <c r="RM74" s="40"/>
      <c r="RO74" s="40"/>
      <c r="RQ74" s="40"/>
      <c r="RS74" s="40"/>
      <c r="RU74" s="40"/>
      <c r="RW74" s="40"/>
      <c r="RY74" s="40"/>
      <c r="SA74" s="40"/>
      <c r="SC74" s="40"/>
      <c r="SE74" s="40"/>
      <c r="SG74" s="40"/>
      <c r="SI74" s="40"/>
      <c r="SK74" s="40"/>
      <c r="SM74" s="40"/>
      <c r="SO74" s="40"/>
      <c r="SQ74" s="40"/>
      <c r="SS74" s="40"/>
      <c r="SU74" s="40"/>
      <c r="SW74" s="40"/>
      <c r="SY74" s="40"/>
      <c r="TA74" s="40"/>
      <c r="TC74" s="40"/>
      <c r="TE74" s="40"/>
      <c r="TG74" s="40"/>
      <c r="TI74" s="40"/>
      <c r="TK74" s="40"/>
      <c r="TM74" s="40"/>
      <c r="TO74" s="40"/>
      <c r="TQ74" s="40"/>
      <c r="TS74" s="40"/>
      <c r="TU74" s="40"/>
      <c r="TW74" s="40"/>
      <c r="TY74" s="40"/>
      <c r="UA74" s="40"/>
      <c r="UC74" s="40"/>
      <c r="UE74" s="40"/>
      <c r="UG74" s="40"/>
      <c r="UI74" s="40"/>
      <c r="UK74" s="40"/>
      <c r="UM74" s="40"/>
      <c r="UO74" s="40"/>
      <c r="UQ74" s="40"/>
      <c r="US74" s="40"/>
      <c r="UU74" s="40"/>
      <c r="UW74" s="40"/>
      <c r="UY74" s="40"/>
      <c r="VA74" s="40"/>
      <c r="VC74" s="40"/>
      <c r="VE74" s="40"/>
      <c r="VG74" s="40"/>
      <c r="VI74" s="40"/>
      <c r="VK74" s="40"/>
      <c r="VM74" s="40"/>
      <c r="VO74" s="40"/>
      <c r="VQ74" s="40"/>
      <c r="VS74" s="40"/>
      <c r="VU74" s="40"/>
      <c r="VW74" s="40"/>
      <c r="VY74" s="40"/>
      <c r="WA74" s="40"/>
      <c r="WC74" s="40"/>
      <c r="WE74" s="40"/>
      <c r="WG74" s="40"/>
      <c r="WI74" s="40"/>
      <c r="WK74" s="40"/>
      <c r="WM74" s="40"/>
      <c r="WO74" s="40"/>
      <c r="WQ74" s="40"/>
      <c r="WS74" s="40"/>
      <c r="WU74" s="40"/>
      <c r="WW74" s="40"/>
      <c r="WY74" s="40"/>
      <c r="XA74" s="40"/>
      <c r="XC74" s="40"/>
      <c r="XE74" s="40"/>
      <c r="XG74" s="40"/>
      <c r="XI74" s="40"/>
      <c r="XK74" s="40"/>
      <c r="XM74" s="40"/>
      <c r="XO74" s="40"/>
      <c r="XQ74" s="40"/>
      <c r="XS74" s="40"/>
      <c r="XU74" s="40"/>
      <c r="XW74" s="40"/>
      <c r="XY74" s="40"/>
      <c r="YA74" s="40"/>
      <c r="YC74" s="40"/>
      <c r="YE74" s="40"/>
      <c r="YG74" s="40"/>
      <c r="YI74" s="40"/>
      <c r="YK74" s="40"/>
      <c r="YM74" s="40"/>
      <c r="YO74" s="40"/>
      <c r="YQ74" s="40"/>
      <c r="YS74" s="40"/>
      <c r="YU74" s="40"/>
      <c r="YW74" s="40"/>
      <c r="YY74" s="40"/>
      <c r="ZA74" s="40"/>
      <c r="ZC74" s="40"/>
      <c r="ZE74" s="40"/>
      <c r="ZG74" s="40"/>
      <c r="ZI74" s="40"/>
      <c r="ZK74" s="40"/>
      <c r="ZM74" s="40"/>
      <c r="ZO74" s="40"/>
      <c r="ZQ74" s="40"/>
      <c r="ZS74" s="40"/>
      <c r="ZU74" s="40"/>
      <c r="ZW74" s="40"/>
      <c r="ZY74" s="40"/>
      <c r="AAA74" s="40"/>
      <c r="AAC74" s="40"/>
      <c r="AAE74" s="40"/>
      <c r="AAG74" s="40"/>
      <c r="AAI74" s="40"/>
      <c r="AAK74" s="40"/>
      <c r="AAM74" s="40"/>
      <c r="AAO74" s="40"/>
      <c r="AAQ74" s="40"/>
      <c r="AAS74" s="40"/>
      <c r="AAU74" s="40"/>
      <c r="AAW74" s="40"/>
      <c r="AAY74" s="40"/>
      <c r="ABA74" s="40"/>
      <c r="ABC74" s="40"/>
      <c r="ABE74" s="40"/>
      <c r="ABG74" s="40"/>
      <c r="ABI74" s="40"/>
      <c r="ABK74" s="40"/>
      <c r="ABM74" s="40"/>
      <c r="ABO74" s="40"/>
      <c r="ABQ74" s="40"/>
      <c r="ABS74" s="40"/>
      <c r="ABU74" s="40"/>
      <c r="ABW74" s="40"/>
      <c r="ABY74" s="40"/>
      <c r="ACA74" s="40"/>
      <c r="ACC74" s="40"/>
      <c r="ACE74" s="40"/>
      <c r="ACG74" s="40"/>
      <c r="ACI74" s="40"/>
      <c r="ACK74" s="40"/>
      <c r="ACM74" s="40"/>
      <c r="ACO74" s="40"/>
      <c r="ACQ74" s="40"/>
      <c r="ACS74" s="40"/>
      <c r="ACU74" s="40"/>
      <c r="ACW74" s="40"/>
      <c r="ACY74" s="40"/>
      <c r="ADA74" s="40"/>
      <c r="ADC74" s="40"/>
      <c r="ADE74" s="40"/>
      <c r="ADG74" s="40"/>
      <c r="ADI74" s="40"/>
      <c r="ADK74" s="40"/>
      <c r="ADM74" s="40"/>
      <c r="ADO74" s="40"/>
      <c r="ADQ74" s="40"/>
      <c r="ADS74" s="40"/>
      <c r="ADU74" s="40"/>
      <c r="ADW74" s="40"/>
      <c r="ADY74" s="40"/>
      <c r="AEA74" s="40"/>
      <c r="AEC74" s="40"/>
      <c r="AEE74" s="40"/>
      <c r="AEG74" s="40"/>
      <c r="AEI74" s="40"/>
      <c r="AEK74" s="40"/>
      <c r="AEM74" s="40"/>
      <c r="AEO74" s="40"/>
      <c r="AEQ74" s="40"/>
      <c r="AES74" s="40"/>
      <c r="AEU74" s="40"/>
      <c r="AEW74" s="40"/>
      <c r="AEY74" s="40"/>
      <c r="AFA74" s="40"/>
      <c r="AFC74" s="40"/>
      <c r="AFE74" s="40"/>
      <c r="AFG74" s="40"/>
      <c r="AFI74" s="40"/>
      <c r="AFK74" s="40"/>
      <c r="AFM74" s="40"/>
      <c r="AFO74" s="40"/>
      <c r="AFQ74" s="40"/>
      <c r="AFS74" s="40"/>
      <c r="AFU74" s="40"/>
      <c r="AFW74" s="40"/>
      <c r="AFY74" s="40"/>
      <c r="AGA74" s="40"/>
      <c r="AGC74" s="40"/>
      <c r="AGE74" s="40"/>
      <c r="AGG74" s="40"/>
      <c r="AGI74" s="40"/>
      <c r="AGK74" s="40"/>
      <c r="AGM74" s="40"/>
      <c r="AGO74" s="40"/>
      <c r="AGQ74" s="40"/>
      <c r="AGS74" s="40"/>
      <c r="AGU74" s="40"/>
      <c r="AGW74" s="40"/>
      <c r="AGY74" s="40"/>
      <c r="AHA74" s="40"/>
      <c r="AHC74" s="40"/>
      <c r="AHE74" s="40"/>
      <c r="AHG74" s="40"/>
      <c r="AHI74" s="40"/>
      <c r="AHK74" s="40"/>
      <c r="AHM74" s="40"/>
      <c r="AHO74" s="40"/>
      <c r="AHQ74" s="40"/>
      <c r="AHS74" s="40"/>
      <c r="AHU74" s="40"/>
      <c r="AHW74" s="40"/>
      <c r="AHY74" s="40"/>
      <c r="AIA74" s="40"/>
      <c r="AIC74" s="40"/>
      <c r="AIE74" s="40"/>
      <c r="AIG74" s="40"/>
      <c r="AII74" s="40"/>
      <c r="AIK74" s="40"/>
      <c r="AIM74" s="40"/>
      <c r="AIO74" s="40"/>
    </row>
    <row r="75" spans="1:1024" s="39" customFormat="1" ht="15.75" customHeight="1" x14ac:dyDescent="0.35">
      <c r="A75" s="600"/>
      <c r="B75" s="644" t="s">
        <v>332</v>
      </c>
      <c r="C75" s="645"/>
      <c r="D75" s="646"/>
      <c r="E75" s="645"/>
      <c r="F75" s="646"/>
      <c r="G75" s="647"/>
      <c r="H75" s="643"/>
      <c r="I75" s="645"/>
      <c r="J75" s="38"/>
      <c r="K75" s="38"/>
      <c r="M75" s="38"/>
      <c r="O75" s="38"/>
      <c r="Q75" s="38"/>
      <c r="S75" s="38"/>
      <c r="U75" s="38"/>
      <c r="W75" s="38"/>
      <c r="Y75" s="38"/>
      <c r="AA75" s="38"/>
      <c r="AC75" s="38"/>
      <c r="AE75" s="38"/>
      <c r="AG75" s="38"/>
      <c r="AI75" s="38"/>
      <c r="AK75" s="40"/>
      <c r="AM75" s="40"/>
      <c r="AO75" s="40"/>
      <c r="AQ75" s="40"/>
      <c r="AS75" s="40"/>
      <c r="AU75" s="40"/>
      <c r="AW75" s="40"/>
      <c r="AY75" s="40"/>
      <c r="BA75" s="40"/>
      <c r="BC75" s="40"/>
      <c r="BE75" s="40"/>
      <c r="BG75" s="40"/>
      <c r="BI75" s="40"/>
      <c r="BK75" s="40"/>
      <c r="BM75" s="40"/>
      <c r="BO75" s="40"/>
      <c r="BQ75" s="40"/>
      <c r="BS75" s="40"/>
      <c r="BU75" s="40"/>
      <c r="BW75" s="40"/>
      <c r="BY75" s="40"/>
      <c r="CA75" s="40"/>
      <c r="CC75" s="40"/>
      <c r="CE75" s="40"/>
      <c r="CG75" s="40"/>
      <c r="CI75" s="40"/>
      <c r="CK75" s="40"/>
      <c r="CM75" s="40"/>
      <c r="CO75" s="40"/>
      <c r="CQ75" s="40"/>
      <c r="CS75" s="40"/>
      <c r="CU75" s="40"/>
      <c r="CW75" s="40"/>
      <c r="CY75" s="40"/>
      <c r="DA75" s="40"/>
      <c r="DC75" s="40"/>
      <c r="DE75" s="40"/>
      <c r="DG75" s="40"/>
      <c r="DI75" s="40"/>
      <c r="DK75" s="40"/>
      <c r="DM75" s="40"/>
      <c r="DO75" s="40"/>
      <c r="DQ75" s="40"/>
      <c r="DS75" s="40"/>
      <c r="DU75" s="40"/>
      <c r="DW75" s="40"/>
      <c r="DY75" s="40"/>
      <c r="EA75" s="40"/>
      <c r="EC75" s="40"/>
      <c r="EE75" s="40"/>
      <c r="EG75" s="40"/>
      <c r="EI75" s="40"/>
      <c r="EK75" s="40"/>
      <c r="EM75" s="40"/>
      <c r="EO75" s="40"/>
      <c r="EQ75" s="40"/>
      <c r="ES75" s="40"/>
      <c r="EU75" s="40"/>
      <c r="EW75" s="40"/>
      <c r="EY75" s="40"/>
      <c r="FA75" s="40"/>
      <c r="FC75" s="40"/>
      <c r="FE75" s="40"/>
      <c r="FG75" s="40"/>
      <c r="FI75" s="40"/>
      <c r="FK75" s="40"/>
      <c r="FM75" s="40"/>
      <c r="FO75" s="40"/>
      <c r="FQ75" s="40"/>
      <c r="FS75" s="40"/>
      <c r="FU75" s="40"/>
      <c r="FW75" s="40"/>
      <c r="FY75" s="40"/>
      <c r="GA75" s="40"/>
      <c r="GC75" s="40"/>
      <c r="GE75" s="40"/>
      <c r="GG75" s="40"/>
      <c r="GI75" s="40"/>
      <c r="GK75" s="40"/>
      <c r="GM75" s="40"/>
      <c r="GO75" s="40"/>
      <c r="GQ75" s="40"/>
      <c r="GS75" s="40"/>
      <c r="GU75" s="40"/>
      <c r="GW75" s="40"/>
      <c r="GY75" s="40"/>
      <c r="HA75" s="40"/>
      <c r="HC75" s="40"/>
      <c r="HE75" s="40"/>
      <c r="HG75" s="40"/>
      <c r="HI75" s="40"/>
      <c r="HK75" s="40"/>
      <c r="HM75" s="40"/>
      <c r="HO75" s="40"/>
      <c r="HQ75" s="40"/>
      <c r="HS75" s="40"/>
      <c r="HU75" s="40"/>
      <c r="HW75" s="40"/>
      <c r="HY75" s="40"/>
      <c r="IA75" s="40"/>
      <c r="IC75" s="40"/>
      <c r="IE75" s="40"/>
      <c r="IG75" s="40"/>
      <c r="II75" s="40"/>
      <c r="IK75" s="40"/>
      <c r="IM75" s="40"/>
      <c r="IO75" s="40"/>
      <c r="IQ75" s="40"/>
      <c r="IS75" s="40"/>
      <c r="IU75" s="40"/>
      <c r="IW75" s="40"/>
      <c r="IY75" s="40"/>
      <c r="JA75" s="40"/>
      <c r="JC75" s="40"/>
      <c r="JE75" s="40"/>
      <c r="JG75" s="40"/>
      <c r="JI75" s="40"/>
      <c r="JK75" s="40"/>
      <c r="JM75" s="40"/>
      <c r="JO75" s="40"/>
      <c r="JQ75" s="40"/>
      <c r="JS75" s="40"/>
      <c r="JU75" s="40"/>
      <c r="JW75" s="40"/>
      <c r="JY75" s="40"/>
      <c r="KA75" s="40"/>
      <c r="KC75" s="40"/>
      <c r="KE75" s="40"/>
      <c r="KG75" s="40"/>
      <c r="KI75" s="40"/>
      <c r="KK75" s="40"/>
      <c r="KM75" s="40"/>
      <c r="KO75" s="40"/>
      <c r="KQ75" s="40"/>
      <c r="KS75" s="40"/>
      <c r="KU75" s="40"/>
      <c r="KW75" s="40"/>
      <c r="KY75" s="40"/>
      <c r="LA75" s="40"/>
      <c r="LC75" s="40"/>
      <c r="LE75" s="40"/>
      <c r="LG75" s="40"/>
      <c r="LI75" s="40"/>
      <c r="LK75" s="40"/>
      <c r="LM75" s="40"/>
      <c r="LO75" s="40"/>
      <c r="LQ75" s="40"/>
      <c r="LS75" s="40"/>
      <c r="LU75" s="40"/>
      <c r="LW75" s="40"/>
      <c r="LY75" s="40"/>
      <c r="MA75" s="40"/>
      <c r="MC75" s="40"/>
      <c r="ME75" s="40"/>
      <c r="MG75" s="40"/>
      <c r="MI75" s="40"/>
      <c r="MK75" s="40"/>
      <c r="MM75" s="40"/>
      <c r="MO75" s="40"/>
      <c r="MQ75" s="40"/>
      <c r="MS75" s="40"/>
      <c r="MU75" s="40"/>
      <c r="MW75" s="40"/>
      <c r="MY75" s="40"/>
      <c r="NA75" s="40"/>
      <c r="NC75" s="40"/>
      <c r="NE75" s="40"/>
      <c r="NG75" s="40"/>
      <c r="NI75" s="40"/>
      <c r="NK75" s="40"/>
      <c r="NM75" s="40"/>
      <c r="NO75" s="40"/>
      <c r="NQ75" s="40"/>
      <c r="NS75" s="40"/>
      <c r="NU75" s="40"/>
      <c r="NW75" s="40"/>
      <c r="NY75" s="40"/>
      <c r="OA75" s="40"/>
      <c r="OC75" s="40"/>
      <c r="OE75" s="40"/>
      <c r="OG75" s="40"/>
      <c r="OI75" s="40"/>
      <c r="OK75" s="40"/>
      <c r="OM75" s="40"/>
      <c r="OO75" s="40"/>
      <c r="OQ75" s="40"/>
      <c r="OS75" s="40"/>
      <c r="OU75" s="40"/>
      <c r="OW75" s="40"/>
      <c r="OY75" s="40"/>
      <c r="PA75" s="40"/>
      <c r="PC75" s="40"/>
      <c r="PE75" s="40"/>
      <c r="PG75" s="40"/>
      <c r="PI75" s="40"/>
      <c r="PK75" s="40"/>
      <c r="PM75" s="40"/>
      <c r="PO75" s="40"/>
      <c r="PQ75" s="40"/>
      <c r="PS75" s="40"/>
      <c r="PU75" s="40"/>
      <c r="PW75" s="40"/>
      <c r="PY75" s="40"/>
      <c r="QA75" s="40"/>
      <c r="QC75" s="40"/>
      <c r="QE75" s="40"/>
      <c r="QG75" s="40"/>
      <c r="QI75" s="40"/>
      <c r="QK75" s="40"/>
      <c r="QM75" s="40"/>
      <c r="QO75" s="40"/>
      <c r="QQ75" s="40"/>
      <c r="QS75" s="40"/>
      <c r="QU75" s="40"/>
      <c r="QW75" s="40"/>
      <c r="QY75" s="40"/>
      <c r="RA75" s="40"/>
      <c r="RC75" s="40"/>
      <c r="RE75" s="40"/>
      <c r="RG75" s="40"/>
      <c r="RI75" s="40"/>
      <c r="RK75" s="40"/>
      <c r="RM75" s="40"/>
      <c r="RO75" s="40"/>
      <c r="RQ75" s="40"/>
      <c r="RS75" s="40"/>
      <c r="RU75" s="40"/>
      <c r="RW75" s="40"/>
      <c r="RY75" s="40"/>
      <c r="SA75" s="40"/>
      <c r="SC75" s="40"/>
      <c r="SE75" s="40"/>
      <c r="SG75" s="40"/>
      <c r="SI75" s="40"/>
      <c r="SK75" s="40"/>
      <c r="SM75" s="40"/>
      <c r="SO75" s="40"/>
      <c r="SQ75" s="40"/>
      <c r="SS75" s="40"/>
      <c r="SU75" s="40"/>
      <c r="SW75" s="40"/>
      <c r="SY75" s="40"/>
      <c r="TA75" s="40"/>
      <c r="TC75" s="40"/>
      <c r="TE75" s="40"/>
      <c r="TG75" s="40"/>
      <c r="TI75" s="40"/>
      <c r="TK75" s="40"/>
      <c r="TM75" s="40"/>
      <c r="TO75" s="40"/>
      <c r="TQ75" s="40"/>
      <c r="TS75" s="40"/>
      <c r="TU75" s="40"/>
      <c r="TW75" s="40"/>
      <c r="TY75" s="40"/>
      <c r="UA75" s="40"/>
      <c r="UC75" s="40"/>
      <c r="UE75" s="40"/>
      <c r="UG75" s="40"/>
      <c r="UI75" s="40"/>
      <c r="UK75" s="40"/>
      <c r="UM75" s="40"/>
      <c r="UO75" s="40"/>
      <c r="UQ75" s="40"/>
      <c r="US75" s="40"/>
      <c r="UU75" s="40"/>
      <c r="UW75" s="40"/>
      <c r="UY75" s="40"/>
      <c r="VA75" s="40"/>
      <c r="VC75" s="40"/>
      <c r="VE75" s="40"/>
      <c r="VG75" s="40"/>
      <c r="VI75" s="40"/>
      <c r="VK75" s="40"/>
      <c r="VM75" s="40"/>
      <c r="VO75" s="40"/>
      <c r="VQ75" s="40"/>
      <c r="VS75" s="40"/>
      <c r="VU75" s="40"/>
      <c r="VW75" s="40"/>
      <c r="VY75" s="40"/>
      <c r="WA75" s="40"/>
      <c r="WC75" s="40"/>
      <c r="WE75" s="40"/>
      <c r="WG75" s="40"/>
      <c r="WI75" s="40"/>
      <c r="WK75" s="40"/>
      <c r="WM75" s="40"/>
      <c r="WO75" s="40"/>
      <c r="WQ75" s="40"/>
      <c r="WS75" s="40"/>
      <c r="WU75" s="40"/>
      <c r="WW75" s="40"/>
      <c r="WY75" s="40"/>
      <c r="XA75" s="40"/>
      <c r="XC75" s="40"/>
      <c r="XE75" s="40"/>
      <c r="XG75" s="40"/>
      <c r="XI75" s="40"/>
      <c r="XK75" s="40"/>
      <c r="XM75" s="40"/>
      <c r="XO75" s="40"/>
      <c r="XQ75" s="40"/>
      <c r="XS75" s="40"/>
      <c r="XU75" s="40"/>
      <c r="XW75" s="40"/>
      <c r="XY75" s="40"/>
      <c r="YA75" s="40"/>
      <c r="YC75" s="40"/>
      <c r="YE75" s="40"/>
      <c r="YG75" s="40"/>
      <c r="YI75" s="40"/>
      <c r="YK75" s="40"/>
      <c r="YM75" s="40"/>
      <c r="YO75" s="40"/>
      <c r="YQ75" s="40"/>
      <c r="YS75" s="40"/>
      <c r="YU75" s="40"/>
      <c r="YW75" s="40"/>
      <c r="YY75" s="40"/>
      <c r="ZA75" s="40"/>
      <c r="ZC75" s="40"/>
      <c r="ZE75" s="40"/>
      <c r="ZG75" s="40"/>
      <c r="ZI75" s="40"/>
      <c r="ZK75" s="40"/>
      <c r="ZM75" s="40"/>
      <c r="ZO75" s="40"/>
      <c r="ZQ75" s="40"/>
      <c r="ZS75" s="40"/>
      <c r="ZU75" s="40"/>
      <c r="ZW75" s="40"/>
      <c r="ZY75" s="40"/>
      <c r="AAA75" s="40"/>
      <c r="AAC75" s="40"/>
      <c r="AAE75" s="40"/>
      <c r="AAG75" s="40"/>
      <c r="AAI75" s="40"/>
      <c r="AAK75" s="40"/>
      <c r="AAM75" s="40"/>
      <c r="AAO75" s="40"/>
      <c r="AAQ75" s="40"/>
      <c r="AAS75" s="40"/>
      <c r="AAU75" s="40"/>
      <c r="AAW75" s="40"/>
      <c r="AAY75" s="40"/>
      <c r="ABA75" s="40"/>
      <c r="ABC75" s="40"/>
      <c r="ABE75" s="40"/>
      <c r="ABG75" s="40"/>
      <c r="ABI75" s="40"/>
      <c r="ABK75" s="40"/>
      <c r="ABM75" s="40"/>
      <c r="ABO75" s="40"/>
      <c r="ABQ75" s="40"/>
      <c r="ABS75" s="40"/>
      <c r="ABU75" s="40"/>
      <c r="ABW75" s="40"/>
      <c r="ABY75" s="40"/>
      <c r="ACA75" s="40"/>
      <c r="ACC75" s="40"/>
      <c r="ACE75" s="40"/>
      <c r="ACG75" s="40"/>
      <c r="ACI75" s="40"/>
      <c r="ACK75" s="40"/>
      <c r="ACM75" s="40"/>
      <c r="ACO75" s="40"/>
      <c r="ACQ75" s="40"/>
      <c r="ACS75" s="40"/>
      <c r="ACU75" s="40"/>
      <c r="ACW75" s="40"/>
      <c r="ACY75" s="40"/>
      <c r="ADA75" s="40"/>
      <c r="ADC75" s="40"/>
      <c r="ADE75" s="40"/>
      <c r="ADG75" s="40"/>
      <c r="ADI75" s="40"/>
      <c r="ADK75" s="40"/>
      <c r="ADM75" s="40"/>
      <c r="ADO75" s="40"/>
      <c r="ADQ75" s="40"/>
      <c r="ADS75" s="40"/>
      <c r="ADU75" s="40"/>
      <c r="ADW75" s="40"/>
      <c r="ADY75" s="40"/>
      <c r="AEA75" s="40"/>
      <c r="AEC75" s="40"/>
      <c r="AEE75" s="40"/>
      <c r="AEG75" s="40"/>
      <c r="AEI75" s="40"/>
      <c r="AEK75" s="40"/>
      <c r="AEM75" s="40"/>
      <c r="AEO75" s="40"/>
      <c r="AEQ75" s="40"/>
      <c r="AES75" s="40"/>
      <c r="AEU75" s="40"/>
      <c r="AEW75" s="40"/>
      <c r="AEY75" s="40"/>
      <c r="AFA75" s="40"/>
      <c r="AFC75" s="40"/>
      <c r="AFE75" s="40"/>
      <c r="AFG75" s="40"/>
      <c r="AFI75" s="40"/>
      <c r="AFK75" s="40"/>
      <c r="AFM75" s="40"/>
      <c r="AFO75" s="40"/>
      <c r="AFQ75" s="40"/>
      <c r="AFS75" s="40"/>
      <c r="AFU75" s="40"/>
      <c r="AFW75" s="40"/>
      <c r="AFY75" s="40"/>
      <c r="AGA75" s="40"/>
      <c r="AGC75" s="40"/>
      <c r="AGE75" s="40"/>
      <c r="AGG75" s="40"/>
      <c r="AGI75" s="40"/>
      <c r="AGK75" s="40"/>
      <c r="AGM75" s="40"/>
      <c r="AGO75" s="40"/>
      <c r="AGQ75" s="40"/>
      <c r="AGS75" s="40"/>
      <c r="AGU75" s="40"/>
      <c r="AGW75" s="40"/>
      <c r="AGY75" s="40"/>
      <c r="AHA75" s="40"/>
      <c r="AHC75" s="40"/>
      <c r="AHE75" s="40"/>
      <c r="AHG75" s="40"/>
      <c r="AHI75" s="40"/>
      <c r="AHK75" s="40"/>
      <c r="AHM75" s="40"/>
      <c r="AHO75" s="40"/>
      <c r="AHQ75" s="40"/>
      <c r="AHS75" s="40"/>
      <c r="AHU75" s="40"/>
      <c r="AHW75" s="40"/>
      <c r="AHY75" s="40"/>
      <c r="AIA75" s="40"/>
      <c r="AIC75" s="40"/>
      <c r="AIE75" s="40"/>
      <c r="AIG75" s="40"/>
      <c r="AII75" s="40"/>
      <c r="AIK75" s="40"/>
      <c r="AIM75" s="40"/>
      <c r="AIO75" s="40"/>
    </row>
    <row r="76" spans="1:1024" s="39" customFormat="1" ht="15.75" customHeight="1" x14ac:dyDescent="0.35">
      <c r="A76" s="600"/>
      <c r="B76" s="644" t="s">
        <v>333</v>
      </c>
      <c r="C76" s="645"/>
      <c r="D76" s="646"/>
      <c r="E76" s="645"/>
      <c r="F76" s="646"/>
      <c r="G76" s="647"/>
      <c r="H76" s="643"/>
      <c r="I76" s="645"/>
      <c r="J76" s="38"/>
      <c r="K76" s="38"/>
      <c r="M76" s="38"/>
      <c r="O76" s="38"/>
      <c r="Q76" s="38"/>
      <c r="S76" s="38"/>
      <c r="U76" s="38"/>
      <c r="W76" s="38"/>
      <c r="Y76" s="38"/>
      <c r="AA76" s="38"/>
      <c r="AC76" s="38"/>
      <c r="AE76" s="38"/>
      <c r="AG76" s="38"/>
      <c r="AI76" s="38"/>
      <c r="AK76" s="40"/>
      <c r="AM76" s="40"/>
      <c r="AO76" s="40"/>
      <c r="AQ76" s="40"/>
      <c r="AS76" s="40"/>
      <c r="AU76" s="40"/>
      <c r="AW76" s="40"/>
      <c r="AY76" s="40"/>
      <c r="BA76" s="40"/>
      <c r="BC76" s="40"/>
      <c r="BE76" s="40"/>
      <c r="BG76" s="40"/>
      <c r="BI76" s="40"/>
      <c r="BK76" s="40"/>
      <c r="BM76" s="40"/>
      <c r="BO76" s="40"/>
      <c r="BQ76" s="40"/>
      <c r="BS76" s="40"/>
      <c r="BU76" s="40"/>
      <c r="BW76" s="40"/>
      <c r="BY76" s="40"/>
      <c r="CA76" s="40"/>
      <c r="CC76" s="40"/>
      <c r="CE76" s="40"/>
      <c r="CG76" s="40"/>
      <c r="CI76" s="40"/>
      <c r="CK76" s="40"/>
      <c r="CM76" s="40"/>
      <c r="CO76" s="40"/>
      <c r="CQ76" s="40"/>
      <c r="CS76" s="40"/>
      <c r="CU76" s="40"/>
      <c r="CW76" s="40"/>
      <c r="CY76" s="40"/>
      <c r="DA76" s="40"/>
      <c r="DC76" s="40"/>
      <c r="DE76" s="40"/>
      <c r="DG76" s="40"/>
      <c r="DI76" s="40"/>
      <c r="DK76" s="40"/>
      <c r="DM76" s="40"/>
      <c r="DO76" s="40"/>
      <c r="DQ76" s="40"/>
      <c r="DS76" s="40"/>
      <c r="DU76" s="40"/>
      <c r="DW76" s="40"/>
      <c r="DY76" s="40"/>
      <c r="EA76" s="40"/>
      <c r="EC76" s="40"/>
      <c r="EE76" s="40"/>
      <c r="EG76" s="40"/>
      <c r="EI76" s="40"/>
      <c r="EK76" s="40"/>
      <c r="EM76" s="40"/>
      <c r="EO76" s="40"/>
      <c r="EQ76" s="40"/>
      <c r="ES76" s="40"/>
      <c r="EU76" s="40"/>
      <c r="EW76" s="40"/>
      <c r="EY76" s="40"/>
      <c r="FA76" s="40"/>
      <c r="FC76" s="40"/>
      <c r="FE76" s="40"/>
      <c r="FG76" s="40"/>
      <c r="FI76" s="40"/>
      <c r="FK76" s="40"/>
      <c r="FM76" s="40"/>
      <c r="FO76" s="40"/>
      <c r="FQ76" s="40"/>
      <c r="FS76" s="40"/>
      <c r="FU76" s="40"/>
      <c r="FW76" s="40"/>
      <c r="FY76" s="40"/>
      <c r="GA76" s="40"/>
      <c r="GC76" s="40"/>
      <c r="GE76" s="40"/>
      <c r="GG76" s="40"/>
      <c r="GI76" s="40"/>
      <c r="GK76" s="40"/>
      <c r="GM76" s="40"/>
      <c r="GO76" s="40"/>
      <c r="GQ76" s="40"/>
      <c r="GS76" s="40"/>
      <c r="GU76" s="40"/>
      <c r="GW76" s="40"/>
      <c r="GY76" s="40"/>
      <c r="HA76" s="40"/>
      <c r="HC76" s="40"/>
      <c r="HE76" s="40"/>
      <c r="HG76" s="40"/>
      <c r="HI76" s="40"/>
      <c r="HK76" s="40"/>
      <c r="HM76" s="40"/>
      <c r="HO76" s="40"/>
      <c r="HQ76" s="40"/>
      <c r="HS76" s="40"/>
      <c r="HU76" s="40"/>
      <c r="HW76" s="40"/>
      <c r="HY76" s="40"/>
      <c r="IA76" s="40"/>
      <c r="IC76" s="40"/>
      <c r="IE76" s="40"/>
      <c r="IG76" s="40"/>
      <c r="II76" s="40"/>
      <c r="IK76" s="40"/>
      <c r="IM76" s="40"/>
      <c r="IO76" s="40"/>
      <c r="IQ76" s="40"/>
      <c r="IS76" s="40"/>
      <c r="IU76" s="40"/>
      <c r="IW76" s="40"/>
      <c r="IY76" s="40"/>
      <c r="JA76" s="40"/>
      <c r="JC76" s="40"/>
      <c r="JE76" s="40"/>
      <c r="JG76" s="40"/>
      <c r="JI76" s="40"/>
      <c r="JK76" s="40"/>
      <c r="JM76" s="40"/>
      <c r="JO76" s="40"/>
      <c r="JQ76" s="40"/>
      <c r="JS76" s="40"/>
      <c r="JU76" s="40"/>
      <c r="JW76" s="40"/>
      <c r="JY76" s="40"/>
      <c r="KA76" s="40"/>
      <c r="KC76" s="40"/>
      <c r="KE76" s="40"/>
      <c r="KG76" s="40"/>
      <c r="KI76" s="40"/>
      <c r="KK76" s="40"/>
      <c r="KM76" s="40"/>
      <c r="KO76" s="40"/>
      <c r="KQ76" s="40"/>
      <c r="KS76" s="40"/>
      <c r="KU76" s="40"/>
      <c r="KW76" s="40"/>
      <c r="KY76" s="40"/>
      <c r="LA76" s="40"/>
      <c r="LC76" s="40"/>
      <c r="LE76" s="40"/>
      <c r="LG76" s="40"/>
      <c r="LI76" s="40"/>
      <c r="LK76" s="40"/>
      <c r="LM76" s="40"/>
      <c r="LO76" s="40"/>
      <c r="LQ76" s="40"/>
      <c r="LS76" s="40"/>
      <c r="LU76" s="40"/>
      <c r="LW76" s="40"/>
      <c r="LY76" s="40"/>
      <c r="MA76" s="40"/>
      <c r="MC76" s="40"/>
      <c r="ME76" s="40"/>
      <c r="MG76" s="40"/>
      <c r="MI76" s="40"/>
      <c r="MK76" s="40"/>
      <c r="MM76" s="40"/>
      <c r="MO76" s="40"/>
      <c r="MQ76" s="40"/>
      <c r="MS76" s="40"/>
      <c r="MU76" s="40"/>
      <c r="MW76" s="40"/>
      <c r="MY76" s="40"/>
      <c r="NA76" s="40"/>
      <c r="NC76" s="40"/>
      <c r="NE76" s="40"/>
      <c r="NG76" s="40"/>
      <c r="NI76" s="40"/>
      <c r="NK76" s="40"/>
      <c r="NM76" s="40"/>
      <c r="NO76" s="40"/>
      <c r="NQ76" s="40"/>
      <c r="NS76" s="40"/>
      <c r="NU76" s="40"/>
      <c r="NW76" s="40"/>
      <c r="NY76" s="40"/>
      <c r="OA76" s="40"/>
      <c r="OC76" s="40"/>
      <c r="OE76" s="40"/>
      <c r="OG76" s="40"/>
      <c r="OI76" s="40"/>
      <c r="OK76" s="40"/>
      <c r="OM76" s="40"/>
      <c r="OO76" s="40"/>
      <c r="OQ76" s="40"/>
      <c r="OS76" s="40"/>
      <c r="OU76" s="40"/>
      <c r="OW76" s="40"/>
      <c r="OY76" s="40"/>
      <c r="PA76" s="40"/>
      <c r="PC76" s="40"/>
      <c r="PE76" s="40"/>
      <c r="PG76" s="40"/>
      <c r="PI76" s="40"/>
      <c r="PK76" s="40"/>
      <c r="PM76" s="40"/>
      <c r="PO76" s="40"/>
      <c r="PQ76" s="40"/>
      <c r="PS76" s="40"/>
      <c r="PU76" s="40"/>
      <c r="PW76" s="40"/>
      <c r="PY76" s="40"/>
      <c r="QA76" s="40"/>
      <c r="QC76" s="40"/>
      <c r="QE76" s="40"/>
      <c r="QG76" s="40"/>
      <c r="QI76" s="40"/>
      <c r="QK76" s="40"/>
      <c r="QM76" s="40"/>
      <c r="QO76" s="40"/>
      <c r="QQ76" s="40"/>
      <c r="QS76" s="40"/>
      <c r="QU76" s="40"/>
      <c r="QW76" s="40"/>
      <c r="QY76" s="40"/>
      <c r="RA76" s="40"/>
      <c r="RC76" s="40"/>
      <c r="RE76" s="40"/>
      <c r="RG76" s="40"/>
      <c r="RI76" s="40"/>
      <c r="RK76" s="40"/>
      <c r="RM76" s="40"/>
      <c r="RO76" s="40"/>
      <c r="RQ76" s="40"/>
      <c r="RS76" s="40"/>
      <c r="RU76" s="40"/>
      <c r="RW76" s="40"/>
      <c r="RY76" s="40"/>
      <c r="SA76" s="40"/>
      <c r="SC76" s="40"/>
      <c r="SE76" s="40"/>
      <c r="SG76" s="40"/>
      <c r="SI76" s="40"/>
      <c r="SK76" s="40"/>
      <c r="SM76" s="40"/>
      <c r="SO76" s="40"/>
      <c r="SQ76" s="40"/>
      <c r="SS76" s="40"/>
      <c r="SU76" s="40"/>
      <c r="SW76" s="40"/>
      <c r="SY76" s="40"/>
      <c r="TA76" s="40"/>
      <c r="TC76" s="40"/>
      <c r="TE76" s="40"/>
      <c r="TG76" s="40"/>
      <c r="TI76" s="40"/>
      <c r="TK76" s="40"/>
      <c r="TM76" s="40"/>
      <c r="TO76" s="40"/>
      <c r="TQ76" s="40"/>
      <c r="TS76" s="40"/>
      <c r="TU76" s="40"/>
      <c r="TW76" s="40"/>
      <c r="TY76" s="40"/>
      <c r="UA76" s="40"/>
      <c r="UC76" s="40"/>
      <c r="UE76" s="40"/>
      <c r="UG76" s="40"/>
      <c r="UI76" s="40"/>
      <c r="UK76" s="40"/>
      <c r="UM76" s="40"/>
      <c r="UO76" s="40"/>
      <c r="UQ76" s="40"/>
      <c r="US76" s="40"/>
      <c r="UU76" s="40"/>
      <c r="UW76" s="40"/>
      <c r="UY76" s="40"/>
      <c r="VA76" s="40"/>
      <c r="VC76" s="40"/>
      <c r="VE76" s="40"/>
      <c r="VG76" s="40"/>
      <c r="VI76" s="40"/>
      <c r="VK76" s="40"/>
      <c r="VM76" s="40"/>
      <c r="VO76" s="40"/>
      <c r="VQ76" s="40"/>
      <c r="VS76" s="40"/>
      <c r="VU76" s="40"/>
      <c r="VW76" s="40"/>
      <c r="VY76" s="40"/>
      <c r="WA76" s="40"/>
      <c r="WC76" s="40"/>
      <c r="WE76" s="40"/>
      <c r="WG76" s="40"/>
      <c r="WI76" s="40"/>
      <c r="WK76" s="40"/>
      <c r="WM76" s="40"/>
      <c r="WO76" s="40"/>
      <c r="WQ76" s="40"/>
      <c r="WS76" s="40"/>
      <c r="WU76" s="40"/>
      <c r="WW76" s="40"/>
      <c r="WY76" s="40"/>
      <c r="XA76" s="40"/>
      <c r="XC76" s="40"/>
      <c r="XE76" s="40"/>
      <c r="XG76" s="40"/>
      <c r="XI76" s="40"/>
      <c r="XK76" s="40"/>
      <c r="XM76" s="40"/>
      <c r="XO76" s="40"/>
      <c r="XQ76" s="40"/>
      <c r="XS76" s="40"/>
      <c r="XU76" s="40"/>
      <c r="XW76" s="40"/>
      <c r="XY76" s="40"/>
      <c r="YA76" s="40"/>
      <c r="YC76" s="40"/>
      <c r="YE76" s="40"/>
      <c r="YG76" s="40"/>
      <c r="YI76" s="40"/>
      <c r="YK76" s="40"/>
      <c r="YM76" s="40"/>
      <c r="YO76" s="40"/>
      <c r="YQ76" s="40"/>
      <c r="YS76" s="40"/>
      <c r="YU76" s="40"/>
      <c r="YW76" s="40"/>
      <c r="YY76" s="40"/>
      <c r="ZA76" s="40"/>
      <c r="ZC76" s="40"/>
      <c r="ZE76" s="40"/>
      <c r="ZG76" s="40"/>
      <c r="ZI76" s="40"/>
      <c r="ZK76" s="40"/>
      <c r="ZM76" s="40"/>
      <c r="ZO76" s="40"/>
      <c r="ZQ76" s="40"/>
      <c r="ZS76" s="40"/>
      <c r="ZU76" s="40"/>
      <c r="ZW76" s="40"/>
      <c r="ZY76" s="40"/>
      <c r="AAA76" s="40"/>
      <c r="AAC76" s="40"/>
      <c r="AAE76" s="40"/>
      <c r="AAG76" s="40"/>
      <c r="AAI76" s="40"/>
      <c r="AAK76" s="40"/>
      <c r="AAM76" s="40"/>
      <c r="AAO76" s="40"/>
      <c r="AAQ76" s="40"/>
      <c r="AAS76" s="40"/>
      <c r="AAU76" s="40"/>
      <c r="AAW76" s="40"/>
      <c r="AAY76" s="40"/>
      <c r="ABA76" s="40"/>
      <c r="ABC76" s="40"/>
      <c r="ABE76" s="40"/>
      <c r="ABG76" s="40"/>
      <c r="ABI76" s="40"/>
      <c r="ABK76" s="40"/>
      <c r="ABM76" s="40"/>
      <c r="ABO76" s="40"/>
      <c r="ABQ76" s="40"/>
      <c r="ABS76" s="40"/>
      <c r="ABU76" s="40"/>
      <c r="ABW76" s="40"/>
      <c r="ABY76" s="40"/>
      <c r="ACA76" s="40"/>
      <c r="ACC76" s="40"/>
      <c r="ACE76" s="40"/>
      <c r="ACG76" s="40"/>
      <c r="ACI76" s="40"/>
      <c r="ACK76" s="40"/>
      <c r="ACM76" s="40"/>
      <c r="ACO76" s="40"/>
      <c r="ACQ76" s="40"/>
      <c r="ACS76" s="40"/>
      <c r="ACU76" s="40"/>
      <c r="ACW76" s="40"/>
      <c r="ACY76" s="40"/>
      <c r="ADA76" s="40"/>
      <c r="ADC76" s="40"/>
      <c r="ADE76" s="40"/>
      <c r="ADG76" s="40"/>
      <c r="ADI76" s="40"/>
      <c r="ADK76" s="40"/>
      <c r="ADM76" s="40"/>
      <c r="ADO76" s="40"/>
      <c r="ADQ76" s="40"/>
      <c r="ADS76" s="40"/>
      <c r="ADU76" s="40"/>
      <c r="ADW76" s="40"/>
      <c r="ADY76" s="40"/>
      <c r="AEA76" s="40"/>
      <c r="AEC76" s="40"/>
      <c r="AEE76" s="40"/>
      <c r="AEG76" s="40"/>
      <c r="AEI76" s="40"/>
      <c r="AEK76" s="40"/>
      <c r="AEM76" s="40"/>
      <c r="AEO76" s="40"/>
      <c r="AEQ76" s="40"/>
      <c r="AES76" s="40"/>
      <c r="AEU76" s="40"/>
      <c r="AEW76" s="40"/>
      <c r="AEY76" s="40"/>
      <c r="AFA76" s="40"/>
      <c r="AFC76" s="40"/>
      <c r="AFE76" s="40"/>
      <c r="AFG76" s="40"/>
      <c r="AFI76" s="40"/>
      <c r="AFK76" s="40"/>
      <c r="AFM76" s="40"/>
      <c r="AFO76" s="40"/>
      <c r="AFQ76" s="40"/>
      <c r="AFS76" s="40"/>
      <c r="AFU76" s="40"/>
      <c r="AFW76" s="40"/>
      <c r="AFY76" s="40"/>
      <c r="AGA76" s="40"/>
      <c r="AGC76" s="40"/>
      <c r="AGE76" s="40"/>
      <c r="AGG76" s="40"/>
      <c r="AGI76" s="40"/>
      <c r="AGK76" s="40"/>
      <c r="AGM76" s="40"/>
      <c r="AGO76" s="40"/>
      <c r="AGQ76" s="40"/>
      <c r="AGS76" s="40"/>
      <c r="AGU76" s="40"/>
      <c r="AGW76" s="40"/>
      <c r="AGY76" s="40"/>
      <c r="AHA76" s="40"/>
      <c r="AHC76" s="40"/>
      <c r="AHE76" s="40"/>
      <c r="AHG76" s="40"/>
      <c r="AHI76" s="40"/>
      <c r="AHK76" s="40"/>
      <c r="AHM76" s="40"/>
      <c r="AHO76" s="40"/>
      <c r="AHQ76" s="40"/>
      <c r="AHS76" s="40"/>
      <c r="AHU76" s="40"/>
      <c r="AHW76" s="40"/>
      <c r="AHY76" s="40"/>
      <c r="AIA76" s="40"/>
      <c r="AIC76" s="40"/>
      <c r="AIE76" s="40"/>
      <c r="AIG76" s="40"/>
      <c r="AII76" s="40"/>
      <c r="AIK76" s="40"/>
      <c r="AIM76" s="40"/>
      <c r="AIO76" s="40"/>
    </row>
    <row r="77" spans="1:1024" s="39" customFormat="1" ht="15.75" customHeight="1" x14ac:dyDescent="0.35">
      <c r="A77" s="600"/>
      <c r="B77" s="644" t="s">
        <v>334</v>
      </c>
      <c r="C77" s="645"/>
      <c r="D77" s="646"/>
      <c r="E77" s="645"/>
      <c r="F77" s="646"/>
      <c r="G77" s="647"/>
      <c r="H77" s="643"/>
      <c r="I77" s="645"/>
      <c r="J77" s="38"/>
      <c r="K77" s="38"/>
      <c r="M77" s="38"/>
      <c r="O77" s="38"/>
      <c r="Q77" s="38"/>
      <c r="S77" s="38"/>
      <c r="U77" s="38"/>
      <c r="W77" s="38"/>
      <c r="Y77" s="38"/>
      <c r="AA77" s="38"/>
      <c r="AC77" s="38"/>
      <c r="AE77" s="38"/>
      <c r="AG77" s="38"/>
      <c r="AI77" s="38"/>
      <c r="AK77" s="40"/>
      <c r="AM77" s="40"/>
      <c r="AO77" s="40"/>
      <c r="AQ77" s="40"/>
      <c r="AS77" s="40"/>
      <c r="AU77" s="40"/>
      <c r="AW77" s="40"/>
      <c r="AY77" s="40"/>
      <c r="BA77" s="40"/>
      <c r="BC77" s="40"/>
      <c r="BE77" s="40"/>
      <c r="BG77" s="40"/>
      <c r="BI77" s="40"/>
      <c r="BK77" s="40"/>
      <c r="BM77" s="40"/>
      <c r="BO77" s="40"/>
      <c r="BQ77" s="40"/>
      <c r="BS77" s="40"/>
      <c r="BU77" s="40"/>
      <c r="BW77" s="40"/>
      <c r="BY77" s="40"/>
      <c r="CA77" s="40"/>
      <c r="CC77" s="40"/>
      <c r="CE77" s="40"/>
      <c r="CG77" s="40"/>
      <c r="CI77" s="40"/>
      <c r="CK77" s="40"/>
      <c r="CM77" s="40"/>
      <c r="CO77" s="40"/>
      <c r="CQ77" s="40"/>
      <c r="CS77" s="40"/>
      <c r="CU77" s="40"/>
      <c r="CW77" s="40"/>
      <c r="CY77" s="40"/>
      <c r="DA77" s="40"/>
      <c r="DC77" s="40"/>
      <c r="DE77" s="40"/>
      <c r="DG77" s="40"/>
      <c r="DI77" s="40"/>
      <c r="DK77" s="40"/>
      <c r="DM77" s="40"/>
      <c r="DO77" s="40"/>
      <c r="DQ77" s="40"/>
      <c r="DS77" s="40"/>
      <c r="DU77" s="40"/>
      <c r="DW77" s="40"/>
      <c r="DY77" s="40"/>
      <c r="EA77" s="40"/>
      <c r="EC77" s="40"/>
      <c r="EE77" s="40"/>
      <c r="EG77" s="40"/>
      <c r="EI77" s="40"/>
      <c r="EK77" s="40"/>
      <c r="EM77" s="40"/>
      <c r="EO77" s="40"/>
      <c r="EQ77" s="40"/>
      <c r="ES77" s="40"/>
      <c r="EU77" s="40"/>
      <c r="EW77" s="40"/>
      <c r="EY77" s="40"/>
      <c r="FA77" s="40"/>
      <c r="FC77" s="40"/>
      <c r="FE77" s="40"/>
      <c r="FG77" s="40"/>
      <c r="FI77" s="40"/>
      <c r="FK77" s="40"/>
      <c r="FM77" s="40"/>
      <c r="FO77" s="40"/>
      <c r="FQ77" s="40"/>
      <c r="FS77" s="40"/>
      <c r="FU77" s="40"/>
      <c r="FW77" s="40"/>
      <c r="FY77" s="40"/>
      <c r="GA77" s="40"/>
      <c r="GC77" s="40"/>
      <c r="GE77" s="40"/>
      <c r="GG77" s="40"/>
      <c r="GI77" s="40"/>
      <c r="GK77" s="40"/>
      <c r="GM77" s="40"/>
      <c r="GO77" s="40"/>
      <c r="GQ77" s="40"/>
      <c r="GS77" s="40"/>
      <c r="GU77" s="40"/>
      <c r="GW77" s="40"/>
      <c r="GY77" s="40"/>
      <c r="HA77" s="40"/>
      <c r="HC77" s="40"/>
      <c r="HE77" s="40"/>
      <c r="HG77" s="40"/>
      <c r="HI77" s="40"/>
      <c r="HK77" s="40"/>
      <c r="HM77" s="40"/>
      <c r="HO77" s="40"/>
      <c r="HQ77" s="40"/>
      <c r="HS77" s="40"/>
      <c r="HU77" s="40"/>
      <c r="HW77" s="40"/>
      <c r="HY77" s="40"/>
      <c r="IA77" s="40"/>
      <c r="IC77" s="40"/>
      <c r="IE77" s="40"/>
      <c r="IG77" s="40"/>
      <c r="II77" s="40"/>
      <c r="IK77" s="40"/>
      <c r="IM77" s="40"/>
      <c r="IO77" s="40"/>
      <c r="IQ77" s="40"/>
      <c r="IS77" s="40"/>
      <c r="IU77" s="40"/>
      <c r="IW77" s="40"/>
      <c r="IY77" s="40"/>
      <c r="JA77" s="40"/>
      <c r="JC77" s="40"/>
      <c r="JE77" s="40"/>
      <c r="JG77" s="40"/>
      <c r="JI77" s="40"/>
      <c r="JK77" s="40"/>
      <c r="JM77" s="40"/>
      <c r="JO77" s="40"/>
      <c r="JQ77" s="40"/>
      <c r="JS77" s="40"/>
      <c r="JU77" s="40"/>
      <c r="JW77" s="40"/>
      <c r="JY77" s="40"/>
      <c r="KA77" s="40"/>
      <c r="KC77" s="40"/>
      <c r="KE77" s="40"/>
      <c r="KG77" s="40"/>
      <c r="KI77" s="40"/>
      <c r="KK77" s="40"/>
      <c r="KM77" s="40"/>
      <c r="KO77" s="40"/>
      <c r="KQ77" s="40"/>
      <c r="KS77" s="40"/>
      <c r="KU77" s="40"/>
      <c r="KW77" s="40"/>
      <c r="KY77" s="40"/>
      <c r="LA77" s="40"/>
      <c r="LC77" s="40"/>
      <c r="LE77" s="40"/>
      <c r="LG77" s="40"/>
      <c r="LI77" s="40"/>
      <c r="LK77" s="40"/>
      <c r="LM77" s="40"/>
      <c r="LO77" s="40"/>
      <c r="LQ77" s="40"/>
      <c r="LS77" s="40"/>
      <c r="LU77" s="40"/>
      <c r="LW77" s="40"/>
      <c r="LY77" s="40"/>
      <c r="MA77" s="40"/>
      <c r="MC77" s="40"/>
      <c r="ME77" s="40"/>
      <c r="MG77" s="40"/>
      <c r="MI77" s="40"/>
      <c r="MK77" s="40"/>
      <c r="MM77" s="40"/>
      <c r="MO77" s="40"/>
      <c r="MQ77" s="40"/>
      <c r="MS77" s="40"/>
      <c r="MU77" s="40"/>
      <c r="MW77" s="40"/>
      <c r="MY77" s="40"/>
      <c r="NA77" s="40"/>
      <c r="NC77" s="40"/>
      <c r="NE77" s="40"/>
      <c r="NG77" s="40"/>
      <c r="NI77" s="40"/>
      <c r="NK77" s="40"/>
      <c r="NM77" s="40"/>
      <c r="NO77" s="40"/>
      <c r="NQ77" s="40"/>
      <c r="NS77" s="40"/>
      <c r="NU77" s="40"/>
      <c r="NW77" s="40"/>
      <c r="NY77" s="40"/>
      <c r="OA77" s="40"/>
      <c r="OC77" s="40"/>
      <c r="OE77" s="40"/>
      <c r="OG77" s="40"/>
      <c r="OI77" s="40"/>
      <c r="OK77" s="40"/>
      <c r="OM77" s="40"/>
      <c r="OO77" s="40"/>
      <c r="OQ77" s="40"/>
      <c r="OS77" s="40"/>
      <c r="OU77" s="40"/>
      <c r="OW77" s="40"/>
      <c r="OY77" s="40"/>
      <c r="PA77" s="40"/>
      <c r="PC77" s="40"/>
      <c r="PE77" s="40"/>
      <c r="PG77" s="40"/>
      <c r="PI77" s="40"/>
      <c r="PK77" s="40"/>
      <c r="PM77" s="40"/>
      <c r="PO77" s="40"/>
      <c r="PQ77" s="40"/>
      <c r="PS77" s="40"/>
      <c r="PU77" s="40"/>
      <c r="PW77" s="40"/>
      <c r="PY77" s="40"/>
      <c r="QA77" s="40"/>
      <c r="QC77" s="40"/>
      <c r="QE77" s="40"/>
      <c r="QG77" s="40"/>
      <c r="QI77" s="40"/>
      <c r="QK77" s="40"/>
      <c r="QM77" s="40"/>
      <c r="QO77" s="40"/>
      <c r="QQ77" s="40"/>
      <c r="QS77" s="40"/>
      <c r="QU77" s="40"/>
      <c r="QW77" s="40"/>
      <c r="QY77" s="40"/>
      <c r="RA77" s="40"/>
      <c r="RC77" s="40"/>
      <c r="RE77" s="40"/>
      <c r="RG77" s="40"/>
      <c r="RI77" s="40"/>
      <c r="RK77" s="40"/>
      <c r="RM77" s="40"/>
      <c r="RO77" s="40"/>
      <c r="RQ77" s="40"/>
      <c r="RS77" s="40"/>
      <c r="RU77" s="40"/>
      <c r="RW77" s="40"/>
      <c r="RY77" s="40"/>
      <c r="SA77" s="40"/>
      <c r="SC77" s="40"/>
      <c r="SE77" s="40"/>
      <c r="SG77" s="40"/>
      <c r="SI77" s="40"/>
      <c r="SK77" s="40"/>
      <c r="SM77" s="40"/>
      <c r="SO77" s="40"/>
      <c r="SQ77" s="40"/>
      <c r="SS77" s="40"/>
      <c r="SU77" s="40"/>
      <c r="SW77" s="40"/>
      <c r="SY77" s="40"/>
      <c r="TA77" s="40"/>
      <c r="TC77" s="40"/>
      <c r="TE77" s="40"/>
      <c r="TG77" s="40"/>
      <c r="TI77" s="40"/>
      <c r="TK77" s="40"/>
      <c r="TM77" s="40"/>
      <c r="TO77" s="40"/>
      <c r="TQ77" s="40"/>
      <c r="TS77" s="40"/>
      <c r="TU77" s="40"/>
      <c r="TW77" s="40"/>
      <c r="TY77" s="40"/>
      <c r="UA77" s="40"/>
      <c r="UC77" s="40"/>
      <c r="UE77" s="40"/>
      <c r="UG77" s="40"/>
      <c r="UI77" s="40"/>
      <c r="UK77" s="40"/>
      <c r="UM77" s="40"/>
      <c r="UO77" s="40"/>
      <c r="UQ77" s="40"/>
      <c r="US77" s="40"/>
      <c r="UU77" s="40"/>
      <c r="UW77" s="40"/>
      <c r="UY77" s="40"/>
      <c r="VA77" s="40"/>
      <c r="VC77" s="40"/>
      <c r="VE77" s="40"/>
      <c r="VG77" s="40"/>
      <c r="VI77" s="40"/>
      <c r="VK77" s="40"/>
      <c r="VM77" s="40"/>
      <c r="VO77" s="40"/>
      <c r="VQ77" s="40"/>
      <c r="VS77" s="40"/>
      <c r="VU77" s="40"/>
      <c r="VW77" s="40"/>
      <c r="VY77" s="40"/>
      <c r="WA77" s="40"/>
      <c r="WC77" s="40"/>
      <c r="WE77" s="40"/>
      <c r="WG77" s="40"/>
      <c r="WI77" s="40"/>
      <c r="WK77" s="40"/>
      <c r="WM77" s="40"/>
      <c r="WO77" s="40"/>
      <c r="WQ77" s="40"/>
      <c r="WS77" s="40"/>
      <c r="WU77" s="40"/>
      <c r="WW77" s="40"/>
      <c r="WY77" s="40"/>
      <c r="XA77" s="40"/>
      <c r="XC77" s="40"/>
      <c r="XE77" s="40"/>
      <c r="XG77" s="40"/>
      <c r="XI77" s="40"/>
      <c r="XK77" s="40"/>
      <c r="XM77" s="40"/>
      <c r="XO77" s="40"/>
      <c r="XQ77" s="40"/>
      <c r="XS77" s="40"/>
      <c r="XU77" s="40"/>
      <c r="XW77" s="40"/>
      <c r="XY77" s="40"/>
      <c r="YA77" s="40"/>
      <c r="YC77" s="40"/>
      <c r="YE77" s="40"/>
      <c r="YG77" s="40"/>
      <c r="YI77" s="40"/>
      <c r="YK77" s="40"/>
      <c r="YM77" s="40"/>
      <c r="YO77" s="40"/>
      <c r="YQ77" s="40"/>
      <c r="YS77" s="40"/>
      <c r="YU77" s="40"/>
      <c r="YW77" s="40"/>
      <c r="YY77" s="40"/>
      <c r="ZA77" s="40"/>
      <c r="ZC77" s="40"/>
      <c r="ZE77" s="40"/>
      <c r="ZG77" s="40"/>
      <c r="ZI77" s="40"/>
      <c r="ZK77" s="40"/>
      <c r="ZM77" s="40"/>
      <c r="ZO77" s="40"/>
      <c r="ZQ77" s="40"/>
      <c r="ZS77" s="40"/>
      <c r="ZU77" s="40"/>
      <c r="ZW77" s="40"/>
      <c r="ZY77" s="40"/>
      <c r="AAA77" s="40"/>
      <c r="AAC77" s="40"/>
      <c r="AAE77" s="40"/>
      <c r="AAG77" s="40"/>
      <c r="AAI77" s="40"/>
      <c r="AAK77" s="40"/>
      <c r="AAM77" s="40"/>
      <c r="AAO77" s="40"/>
      <c r="AAQ77" s="40"/>
      <c r="AAS77" s="40"/>
      <c r="AAU77" s="40"/>
      <c r="AAW77" s="40"/>
      <c r="AAY77" s="40"/>
      <c r="ABA77" s="40"/>
      <c r="ABC77" s="40"/>
      <c r="ABE77" s="40"/>
      <c r="ABG77" s="40"/>
      <c r="ABI77" s="40"/>
      <c r="ABK77" s="40"/>
      <c r="ABM77" s="40"/>
      <c r="ABO77" s="40"/>
      <c r="ABQ77" s="40"/>
      <c r="ABS77" s="40"/>
      <c r="ABU77" s="40"/>
      <c r="ABW77" s="40"/>
      <c r="ABY77" s="40"/>
      <c r="ACA77" s="40"/>
      <c r="ACC77" s="40"/>
      <c r="ACE77" s="40"/>
      <c r="ACG77" s="40"/>
      <c r="ACI77" s="40"/>
      <c r="ACK77" s="40"/>
      <c r="ACM77" s="40"/>
      <c r="ACO77" s="40"/>
      <c r="ACQ77" s="40"/>
      <c r="ACS77" s="40"/>
      <c r="ACU77" s="40"/>
      <c r="ACW77" s="40"/>
      <c r="ACY77" s="40"/>
      <c r="ADA77" s="40"/>
      <c r="ADC77" s="40"/>
      <c r="ADE77" s="40"/>
      <c r="ADG77" s="40"/>
      <c r="ADI77" s="40"/>
      <c r="ADK77" s="40"/>
      <c r="ADM77" s="40"/>
      <c r="ADO77" s="40"/>
      <c r="ADQ77" s="40"/>
      <c r="ADS77" s="40"/>
      <c r="ADU77" s="40"/>
      <c r="ADW77" s="40"/>
      <c r="ADY77" s="40"/>
      <c r="AEA77" s="40"/>
      <c r="AEC77" s="40"/>
      <c r="AEE77" s="40"/>
      <c r="AEG77" s="40"/>
      <c r="AEI77" s="40"/>
      <c r="AEK77" s="40"/>
      <c r="AEM77" s="40"/>
      <c r="AEO77" s="40"/>
      <c r="AEQ77" s="40"/>
      <c r="AES77" s="40"/>
      <c r="AEU77" s="40"/>
      <c r="AEW77" s="40"/>
      <c r="AEY77" s="40"/>
      <c r="AFA77" s="40"/>
      <c r="AFC77" s="40"/>
      <c r="AFE77" s="40"/>
      <c r="AFG77" s="40"/>
      <c r="AFI77" s="40"/>
      <c r="AFK77" s="40"/>
      <c r="AFM77" s="40"/>
      <c r="AFO77" s="40"/>
      <c r="AFQ77" s="40"/>
      <c r="AFS77" s="40"/>
      <c r="AFU77" s="40"/>
      <c r="AFW77" s="40"/>
      <c r="AFY77" s="40"/>
      <c r="AGA77" s="40"/>
      <c r="AGC77" s="40"/>
      <c r="AGE77" s="40"/>
      <c r="AGG77" s="40"/>
      <c r="AGI77" s="40"/>
      <c r="AGK77" s="40"/>
      <c r="AGM77" s="40"/>
      <c r="AGO77" s="40"/>
      <c r="AGQ77" s="40"/>
      <c r="AGS77" s="40"/>
      <c r="AGU77" s="40"/>
      <c r="AGW77" s="40"/>
      <c r="AGY77" s="40"/>
      <c r="AHA77" s="40"/>
      <c r="AHC77" s="40"/>
      <c r="AHE77" s="40"/>
      <c r="AHG77" s="40"/>
      <c r="AHI77" s="40"/>
      <c r="AHK77" s="40"/>
      <c r="AHM77" s="40"/>
      <c r="AHO77" s="40"/>
      <c r="AHQ77" s="40"/>
      <c r="AHS77" s="40"/>
      <c r="AHU77" s="40"/>
      <c r="AHW77" s="40"/>
      <c r="AHY77" s="40"/>
      <c r="AIA77" s="40"/>
      <c r="AIC77" s="40"/>
      <c r="AIE77" s="40"/>
      <c r="AIG77" s="40"/>
      <c r="AII77" s="40"/>
      <c r="AIK77" s="40"/>
      <c r="AIM77" s="40"/>
      <c r="AIO77" s="40"/>
    </row>
    <row r="78" spans="1:1024" s="39" customFormat="1" ht="15.75" customHeight="1" x14ac:dyDescent="0.35">
      <c r="A78" s="600"/>
      <c r="B78" s="644" t="s">
        <v>335</v>
      </c>
      <c r="C78" s="645"/>
      <c r="D78" s="646"/>
      <c r="E78" s="645"/>
      <c r="F78" s="646"/>
      <c r="G78" s="647"/>
      <c r="H78" s="643"/>
      <c r="I78" s="645"/>
      <c r="J78" s="38"/>
      <c r="K78" s="38"/>
      <c r="M78" s="38"/>
      <c r="O78" s="38"/>
      <c r="Q78" s="38"/>
      <c r="S78" s="38"/>
      <c r="U78" s="38"/>
      <c r="W78" s="38"/>
      <c r="Y78" s="38"/>
      <c r="AA78" s="38"/>
      <c r="AC78" s="38"/>
      <c r="AE78" s="38"/>
      <c r="AG78" s="38"/>
      <c r="AI78" s="38"/>
      <c r="AK78" s="40"/>
      <c r="AM78" s="40"/>
      <c r="AO78" s="40"/>
      <c r="AQ78" s="40"/>
      <c r="AS78" s="40"/>
      <c r="AU78" s="40"/>
      <c r="AW78" s="40"/>
      <c r="AY78" s="40"/>
      <c r="BA78" s="40"/>
      <c r="BC78" s="40"/>
      <c r="BE78" s="40"/>
      <c r="BG78" s="40"/>
      <c r="BI78" s="40"/>
      <c r="BK78" s="40"/>
      <c r="BM78" s="40"/>
      <c r="BO78" s="40"/>
      <c r="BQ78" s="40"/>
      <c r="BS78" s="40"/>
      <c r="BU78" s="40"/>
      <c r="BW78" s="40"/>
      <c r="BY78" s="40"/>
      <c r="CA78" s="40"/>
      <c r="CC78" s="40"/>
      <c r="CE78" s="40"/>
      <c r="CG78" s="40"/>
      <c r="CI78" s="40"/>
      <c r="CK78" s="40"/>
      <c r="CM78" s="40"/>
      <c r="CO78" s="40"/>
      <c r="CQ78" s="40"/>
      <c r="CS78" s="40"/>
      <c r="CU78" s="40"/>
      <c r="CW78" s="40"/>
      <c r="CY78" s="40"/>
      <c r="DA78" s="40"/>
      <c r="DC78" s="40"/>
      <c r="DE78" s="40"/>
      <c r="DG78" s="40"/>
      <c r="DI78" s="40"/>
      <c r="DK78" s="40"/>
      <c r="DM78" s="40"/>
      <c r="DO78" s="40"/>
      <c r="DQ78" s="40"/>
      <c r="DS78" s="40"/>
      <c r="DU78" s="40"/>
      <c r="DW78" s="40"/>
      <c r="DY78" s="40"/>
      <c r="EA78" s="40"/>
      <c r="EC78" s="40"/>
      <c r="EE78" s="40"/>
      <c r="EG78" s="40"/>
      <c r="EI78" s="40"/>
      <c r="EK78" s="40"/>
      <c r="EM78" s="40"/>
      <c r="EO78" s="40"/>
      <c r="EQ78" s="40"/>
      <c r="ES78" s="40"/>
      <c r="EU78" s="40"/>
      <c r="EW78" s="40"/>
      <c r="EY78" s="40"/>
      <c r="FA78" s="40"/>
      <c r="FC78" s="40"/>
      <c r="FE78" s="40"/>
      <c r="FG78" s="40"/>
      <c r="FI78" s="40"/>
      <c r="FK78" s="40"/>
      <c r="FM78" s="40"/>
      <c r="FO78" s="40"/>
      <c r="FQ78" s="40"/>
      <c r="FS78" s="40"/>
      <c r="FU78" s="40"/>
      <c r="FW78" s="40"/>
      <c r="FY78" s="40"/>
      <c r="GA78" s="40"/>
      <c r="GC78" s="40"/>
      <c r="GE78" s="40"/>
      <c r="GG78" s="40"/>
      <c r="GI78" s="40"/>
      <c r="GK78" s="40"/>
      <c r="GM78" s="40"/>
      <c r="GO78" s="40"/>
      <c r="GQ78" s="40"/>
      <c r="GS78" s="40"/>
      <c r="GU78" s="40"/>
      <c r="GW78" s="40"/>
      <c r="GY78" s="40"/>
      <c r="HA78" s="40"/>
      <c r="HC78" s="40"/>
      <c r="HE78" s="40"/>
      <c r="HG78" s="40"/>
      <c r="HI78" s="40"/>
      <c r="HK78" s="40"/>
      <c r="HM78" s="40"/>
      <c r="HO78" s="40"/>
      <c r="HQ78" s="40"/>
      <c r="HS78" s="40"/>
      <c r="HU78" s="40"/>
      <c r="HW78" s="40"/>
      <c r="HY78" s="40"/>
      <c r="IA78" s="40"/>
      <c r="IC78" s="40"/>
      <c r="IE78" s="40"/>
      <c r="IG78" s="40"/>
      <c r="II78" s="40"/>
      <c r="IK78" s="40"/>
      <c r="IM78" s="40"/>
      <c r="IO78" s="40"/>
      <c r="IQ78" s="40"/>
      <c r="IS78" s="40"/>
      <c r="IU78" s="40"/>
      <c r="IW78" s="40"/>
      <c r="IY78" s="40"/>
      <c r="JA78" s="40"/>
      <c r="JC78" s="40"/>
      <c r="JE78" s="40"/>
      <c r="JG78" s="40"/>
      <c r="JI78" s="40"/>
      <c r="JK78" s="40"/>
      <c r="JM78" s="40"/>
      <c r="JO78" s="40"/>
      <c r="JQ78" s="40"/>
      <c r="JS78" s="40"/>
      <c r="JU78" s="40"/>
      <c r="JW78" s="40"/>
      <c r="JY78" s="40"/>
      <c r="KA78" s="40"/>
      <c r="KC78" s="40"/>
      <c r="KE78" s="40"/>
      <c r="KG78" s="40"/>
      <c r="KI78" s="40"/>
      <c r="KK78" s="40"/>
      <c r="KM78" s="40"/>
      <c r="KO78" s="40"/>
      <c r="KQ78" s="40"/>
      <c r="KS78" s="40"/>
      <c r="KU78" s="40"/>
      <c r="KW78" s="40"/>
      <c r="KY78" s="40"/>
      <c r="LA78" s="40"/>
      <c r="LC78" s="40"/>
      <c r="LE78" s="40"/>
      <c r="LG78" s="40"/>
      <c r="LI78" s="40"/>
      <c r="LK78" s="40"/>
      <c r="LM78" s="40"/>
      <c r="LO78" s="40"/>
      <c r="LQ78" s="40"/>
      <c r="LS78" s="40"/>
      <c r="LU78" s="40"/>
      <c r="LW78" s="40"/>
      <c r="LY78" s="40"/>
      <c r="MA78" s="40"/>
      <c r="MC78" s="40"/>
      <c r="ME78" s="40"/>
      <c r="MG78" s="40"/>
      <c r="MI78" s="40"/>
      <c r="MK78" s="40"/>
      <c r="MM78" s="40"/>
      <c r="MO78" s="40"/>
      <c r="MQ78" s="40"/>
      <c r="MS78" s="40"/>
      <c r="MU78" s="40"/>
      <c r="MW78" s="40"/>
      <c r="MY78" s="40"/>
      <c r="NA78" s="40"/>
      <c r="NC78" s="40"/>
      <c r="NE78" s="40"/>
      <c r="NG78" s="40"/>
      <c r="NI78" s="40"/>
      <c r="NK78" s="40"/>
      <c r="NM78" s="40"/>
      <c r="NO78" s="40"/>
      <c r="NQ78" s="40"/>
      <c r="NS78" s="40"/>
      <c r="NU78" s="40"/>
      <c r="NW78" s="40"/>
      <c r="NY78" s="40"/>
      <c r="OA78" s="40"/>
      <c r="OC78" s="40"/>
      <c r="OE78" s="40"/>
      <c r="OG78" s="40"/>
      <c r="OI78" s="40"/>
      <c r="OK78" s="40"/>
      <c r="OM78" s="40"/>
      <c r="OO78" s="40"/>
      <c r="OQ78" s="40"/>
      <c r="OS78" s="40"/>
      <c r="OU78" s="40"/>
      <c r="OW78" s="40"/>
      <c r="OY78" s="40"/>
      <c r="PA78" s="40"/>
      <c r="PC78" s="40"/>
      <c r="PE78" s="40"/>
      <c r="PG78" s="40"/>
      <c r="PI78" s="40"/>
      <c r="PK78" s="40"/>
      <c r="PM78" s="40"/>
      <c r="PO78" s="40"/>
      <c r="PQ78" s="40"/>
      <c r="PS78" s="40"/>
      <c r="PU78" s="40"/>
      <c r="PW78" s="40"/>
      <c r="PY78" s="40"/>
      <c r="QA78" s="40"/>
      <c r="QC78" s="40"/>
      <c r="QE78" s="40"/>
      <c r="QG78" s="40"/>
      <c r="QI78" s="40"/>
      <c r="QK78" s="40"/>
      <c r="QM78" s="40"/>
      <c r="QO78" s="40"/>
      <c r="QQ78" s="40"/>
      <c r="QS78" s="40"/>
      <c r="QU78" s="40"/>
      <c r="QW78" s="40"/>
      <c r="QY78" s="40"/>
      <c r="RA78" s="40"/>
      <c r="RC78" s="40"/>
      <c r="RE78" s="40"/>
      <c r="RG78" s="40"/>
      <c r="RI78" s="40"/>
      <c r="RK78" s="40"/>
      <c r="RM78" s="40"/>
      <c r="RO78" s="40"/>
      <c r="RQ78" s="40"/>
      <c r="RS78" s="40"/>
      <c r="RU78" s="40"/>
      <c r="RW78" s="40"/>
      <c r="RY78" s="40"/>
      <c r="SA78" s="40"/>
      <c r="SC78" s="40"/>
      <c r="SE78" s="40"/>
      <c r="SG78" s="40"/>
      <c r="SI78" s="40"/>
      <c r="SK78" s="40"/>
      <c r="SM78" s="40"/>
      <c r="SO78" s="40"/>
      <c r="SQ78" s="40"/>
      <c r="SS78" s="40"/>
      <c r="SU78" s="40"/>
      <c r="SW78" s="40"/>
      <c r="SY78" s="40"/>
      <c r="TA78" s="40"/>
      <c r="TC78" s="40"/>
      <c r="TE78" s="40"/>
      <c r="TG78" s="40"/>
      <c r="TI78" s="40"/>
      <c r="TK78" s="40"/>
      <c r="TM78" s="40"/>
      <c r="TO78" s="40"/>
      <c r="TQ78" s="40"/>
      <c r="TS78" s="40"/>
      <c r="TU78" s="40"/>
      <c r="TW78" s="40"/>
      <c r="TY78" s="40"/>
      <c r="UA78" s="40"/>
      <c r="UC78" s="40"/>
      <c r="UE78" s="40"/>
      <c r="UG78" s="40"/>
      <c r="UI78" s="40"/>
      <c r="UK78" s="40"/>
      <c r="UM78" s="40"/>
      <c r="UO78" s="40"/>
      <c r="UQ78" s="40"/>
      <c r="US78" s="40"/>
      <c r="UU78" s="40"/>
      <c r="UW78" s="40"/>
      <c r="UY78" s="40"/>
      <c r="VA78" s="40"/>
      <c r="VC78" s="40"/>
      <c r="VE78" s="40"/>
      <c r="VG78" s="40"/>
      <c r="VI78" s="40"/>
      <c r="VK78" s="40"/>
      <c r="VM78" s="40"/>
      <c r="VO78" s="40"/>
      <c r="VQ78" s="40"/>
      <c r="VS78" s="40"/>
      <c r="VU78" s="40"/>
      <c r="VW78" s="40"/>
      <c r="VY78" s="40"/>
      <c r="WA78" s="40"/>
      <c r="WC78" s="40"/>
      <c r="WE78" s="40"/>
      <c r="WG78" s="40"/>
      <c r="WI78" s="40"/>
      <c r="WK78" s="40"/>
      <c r="WM78" s="40"/>
      <c r="WO78" s="40"/>
      <c r="WQ78" s="40"/>
      <c r="WS78" s="40"/>
      <c r="WU78" s="40"/>
      <c r="WW78" s="40"/>
      <c r="WY78" s="40"/>
      <c r="XA78" s="40"/>
      <c r="XC78" s="40"/>
      <c r="XE78" s="40"/>
      <c r="XG78" s="40"/>
      <c r="XI78" s="40"/>
      <c r="XK78" s="40"/>
      <c r="XM78" s="40"/>
      <c r="XO78" s="40"/>
      <c r="XQ78" s="40"/>
      <c r="XS78" s="40"/>
      <c r="XU78" s="40"/>
      <c r="XW78" s="40"/>
      <c r="XY78" s="40"/>
      <c r="YA78" s="40"/>
      <c r="YC78" s="40"/>
      <c r="YE78" s="40"/>
      <c r="YG78" s="40"/>
      <c r="YI78" s="40"/>
      <c r="YK78" s="40"/>
      <c r="YM78" s="40"/>
      <c r="YO78" s="40"/>
      <c r="YQ78" s="40"/>
      <c r="YS78" s="40"/>
      <c r="YU78" s="40"/>
      <c r="YW78" s="40"/>
      <c r="YY78" s="40"/>
      <c r="ZA78" s="40"/>
      <c r="ZC78" s="40"/>
      <c r="ZE78" s="40"/>
      <c r="ZG78" s="40"/>
      <c r="ZI78" s="40"/>
      <c r="ZK78" s="40"/>
      <c r="ZM78" s="40"/>
      <c r="ZO78" s="40"/>
      <c r="ZQ78" s="40"/>
      <c r="ZS78" s="40"/>
      <c r="ZU78" s="40"/>
      <c r="ZW78" s="40"/>
      <c r="ZY78" s="40"/>
      <c r="AAA78" s="40"/>
      <c r="AAC78" s="40"/>
      <c r="AAE78" s="40"/>
      <c r="AAG78" s="40"/>
      <c r="AAI78" s="40"/>
      <c r="AAK78" s="40"/>
      <c r="AAM78" s="40"/>
      <c r="AAO78" s="40"/>
      <c r="AAQ78" s="40"/>
      <c r="AAS78" s="40"/>
      <c r="AAU78" s="40"/>
      <c r="AAW78" s="40"/>
      <c r="AAY78" s="40"/>
      <c r="ABA78" s="40"/>
      <c r="ABC78" s="40"/>
      <c r="ABE78" s="40"/>
      <c r="ABG78" s="40"/>
      <c r="ABI78" s="40"/>
      <c r="ABK78" s="40"/>
      <c r="ABM78" s="40"/>
      <c r="ABO78" s="40"/>
      <c r="ABQ78" s="40"/>
      <c r="ABS78" s="40"/>
      <c r="ABU78" s="40"/>
      <c r="ABW78" s="40"/>
      <c r="ABY78" s="40"/>
      <c r="ACA78" s="40"/>
      <c r="ACC78" s="40"/>
      <c r="ACE78" s="40"/>
      <c r="ACG78" s="40"/>
      <c r="ACI78" s="40"/>
      <c r="ACK78" s="40"/>
      <c r="ACM78" s="40"/>
      <c r="ACO78" s="40"/>
      <c r="ACQ78" s="40"/>
      <c r="ACS78" s="40"/>
      <c r="ACU78" s="40"/>
      <c r="ACW78" s="40"/>
      <c r="ACY78" s="40"/>
      <c r="ADA78" s="40"/>
      <c r="ADC78" s="40"/>
      <c r="ADE78" s="40"/>
      <c r="ADG78" s="40"/>
      <c r="ADI78" s="40"/>
      <c r="ADK78" s="40"/>
      <c r="ADM78" s="40"/>
      <c r="ADO78" s="40"/>
      <c r="ADQ78" s="40"/>
      <c r="ADS78" s="40"/>
      <c r="ADU78" s="40"/>
      <c r="ADW78" s="40"/>
      <c r="ADY78" s="40"/>
      <c r="AEA78" s="40"/>
      <c r="AEC78" s="40"/>
      <c r="AEE78" s="40"/>
      <c r="AEG78" s="40"/>
      <c r="AEI78" s="40"/>
      <c r="AEK78" s="40"/>
      <c r="AEM78" s="40"/>
      <c r="AEO78" s="40"/>
      <c r="AEQ78" s="40"/>
      <c r="AES78" s="40"/>
      <c r="AEU78" s="40"/>
      <c r="AEW78" s="40"/>
      <c r="AEY78" s="40"/>
      <c r="AFA78" s="40"/>
      <c r="AFC78" s="40"/>
      <c r="AFE78" s="40"/>
      <c r="AFG78" s="40"/>
      <c r="AFI78" s="40"/>
      <c r="AFK78" s="40"/>
      <c r="AFM78" s="40"/>
      <c r="AFO78" s="40"/>
      <c r="AFQ78" s="40"/>
      <c r="AFS78" s="40"/>
      <c r="AFU78" s="40"/>
      <c r="AFW78" s="40"/>
      <c r="AFY78" s="40"/>
      <c r="AGA78" s="40"/>
      <c r="AGC78" s="40"/>
      <c r="AGE78" s="40"/>
      <c r="AGG78" s="40"/>
      <c r="AGI78" s="40"/>
      <c r="AGK78" s="40"/>
      <c r="AGM78" s="40"/>
      <c r="AGO78" s="40"/>
      <c r="AGQ78" s="40"/>
      <c r="AGS78" s="40"/>
      <c r="AGU78" s="40"/>
      <c r="AGW78" s="40"/>
      <c r="AGY78" s="40"/>
      <c r="AHA78" s="40"/>
      <c r="AHC78" s="40"/>
      <c r="AHE78" s="40"/>
      <c r="AHG78" s="40"/>
      <c r="AHI78" s="40"/>
      <c r="AHK78" s="40"/>
      <c r="AHM78" s="40"/>
      <c r="AHO78" s="40"/>
      <c r="AHQ78" s="40"/>
      <c r="AHS78" s="40"/>
      <c r="AHU78" s="40"/>
      <c r="AHW78" s="40"/>
      <c r="AHY78" s="40"/>
      <c r="AIA78" s="40"/>
      <c r="AIC78" s="40"/>
      <c r="AIE78" s="40"/>
      <c r="AIG78" s="40"/>
      <c r="AII78" s="40"/>
      <c r="AIK78" s="40"/>
      <c r="AIM78" s="40"/>
      <c r="AIO78" s="40"/>
    </row>
    <row r="79" spans="1:1024" s="39" customFormat="1" ht="15.75" customHeight="1" x14ac:dyDescent="0.35">
      <c r="A79" s="600"/>
      <c r="B79" s="644" t="s">
        <v>336</v>
      </c>
      <c r="C79" s="645"/>
      <c r="D79" s="646"/>
      <c r="E79" s="645"/>
      <c r="F79" s="646"/>
      <c r="G79" s="647"/>
      <c r="H79" s="643"/>
      <c r="I79" s="645"/>
      <c r="J79" s="38"/>
      <c r="K79" s="38"/>
      <c r="M79" s="38"/>
      <c r="O79" s="38"/>
      <c r="Q79" s="38"/>
      <c r="S79" s="38"/>
      <c r="U79" s="38"/>
      <c r="W79" s="38"/>
      <c r="Y79" s="38"/>
      <c r="AA79" s="38"/>
      <c r="AC79" s="38"/>
      <c r="AE79" s="38"/>
      <c r="AG79" s="38"/>
      <c r="AI79" s="38"/>
      <c r="AK79" s="40"/>
      <c r="AM79" s="40"/>
      <c r="AO79" s="40"/>
      <c r="AQ79" s="40"/>
      <c r="AS79" s="40"/>
      <c r="AU79" s="40"/>
      <c r="AW79" s="40"/>
      <c r="AY79" s="40"/>
      <c r="BA79" s="40"/>
      <c r="BC79" s="40"/>
      <c r="BE79" s="40"/>
      <c r="BG79" s="40"/>
      <c r="BI79" s="40"/>
      <c r="BK79" s="40"/>
      <c r="BM79" s="40"/>
      <c r="BO79" s="40"/>
      <c r="BQ79" s="40"/>
      <c r="BS79" s="40"/>
      <c r="BU79" s="40"/>
      <c r="BW79" s="40"/>
      <c r="BY79" s="40"/>
      <c r="CA79" s="40"/>
      <c r="CC79" s="40"/>
      <c r="CE79" s="40"/>
      <c r="CG79" s="40"/>
      <c r="CI79" s="40"/>
      <c r="CK79" s="40"/>
      <c r="CM79" s="40"/>
      <c r="CO79" s="40"/>
      <c r="CQ79" s="40"/>
      <c r="CS79" s="40"/>
      <c r="CU79" s="40"/>
      <c r="CW79" s="40"/>
      <c r="CY79" s="40"/>
      <c r="DA79" s="40"/>
      <c r="DC79" s="40"/>
      <c r="DE79" s="40"/>
      <c r="DG79" s="40"/>
      <c r="DI79" s="40"/>
      <c r="DK79" s="40"/>
      <c r="DM79" s="40"/>
      <c r="DO79" s="40"/>
      <c r="DQ79" s="40"/>
      <c r="DS79" s="40"/>
      <c r="DU79" s="40"/>
      <c r="DW79" s="40"/>
      <c r="DY79" s="40"/>
      <c r="EA79" s="40"/>
      <c r="EC79" s="40"/>
      <c r="EE79" s="40"/>
      <c r="EG79" s="40"/>
      <c r="EI79" s="40"/>
      <c r="EK79" s="40"/>
      <c r="EM79" s="40"/>
      <c r="EO79" s="40"/>
      <c r="EQ79" s="40"/>
      <c r="ES79" s="40"/>
      <c r="EU79" s="40"/>
      <c r="EW79" s="40"/>
      <c r="EY79" s="40"/>
      <c r="FA79" s="40"/>
      <c r="FC79" s="40"/>
      <c r="FE79" s="40"/>
      <c r="FG79" s="40"/>
      <c r="FI79" s="40"/>
      <c r="FK79" s="40"/>
      <c r="FM79" s="40"/>
      <c r="FO79" s="40"/>
      <c r="FQ79" s="40"/>
      <c r="FS79" s="40"/>
      <c r="FU79" s="40"/>
      <c r="FW79" s="40"/>
      <c r="FY79" s="40"/>
      <c r="GA79" s="40"/>
      <c r="GC79" s="40"/>
      <c r="GE79" s="40"/>
      <c r="GG79" s="40"/>
      <c r="GI79" s="40"/>
      <c r="GK79" s="40"/>
      <c r="GM79" s="40"/>
      <c r="GO79" s="40"/>
      <c r="GQ79" s="40"/>
      <c r="GS79" s="40"/>
      <c r="GU79" s="40"/>
      <c r="GW79" s="40"/>
      <c r="GY79" s="40"/>
      <c r="HA79" s="40"/>
      <c r="HC79" s="40"/>
      <c r="HE79" s="40"/>
      <c r="HG79" s="40"/>
      <c r="HI79" s="40"/>
      <c r="HK79" s="40"/>
      <c r="HM79" s="40"/>
      <c r="HO79" s="40"/>
      <c r="HQ79" s="40"/>
      <c r="HS79" s="40"/>
      <c r="HU79" s="40"/>
      <c r="HW79" s="40"/>
      <c r="HY79" s="40"/>
      <c r="IA79" s="40"/>
      <c r="IC79" s="40"/>
      <c r="IE79" s="40"/>
      <c r="IG79" s="40"/>
      <c r="II79" s="40"/>
      <c r="IK79" s="40"/>
      <c r="IM79" s="40"/>
      <c r="IO79" s="40"/>
      <c r="IQ79" s="40"/>
      <c r="IS79" s="40"/>
      <c r="IU79" s="40"/>
      <c r="IW79" s="40"/>
      <c r="IY79" s="40"/>
      <c r="JA79" s="40"/>
      <c r="JC79" s="40"/>
      <c r="JE79" s="40"/>
      <c r="JG79" s="40"/>
      <c r="JI79" s="40"/>
      <c r="JK79" s="40"/>
      <c r="JM79" s="40"/>
      <c r="JO79" s="40"/>
      <c r="JQ79" s="40"/>
      <c r="JS79" s="40"/>
      <c r="JU79" s="40"/>
      <c r="JW79" s="40"/>
      <c r="JY79" s="40"/>
      <c r="KA79" s="40"/>
      <c r="KC79" s="40"/>
      <c r="KE79" s="40"/>
      <c r="KG79" s="40"/>
      <c r="KI79" s="40"/>
      <c r="KK79" s="40"/>
      <c r="KM79" s="40"/>
      <c r="KO79" s="40"/>
      <c r="KQ79" s="40"/>
      <c r="KS79" s="40"/>
      <c r="KU79" s="40"/>
      <c r="KW79" s="40"/>
      <c r="KY79" s="40"/>
      <c r="LA79" s="40"/>
      <c r="LC79" s="40"/>
      <c r="LE79" s="40"/>
      <c r="LG79" s="40"/>
      <c r="LI79" s="40"/>
      <c r="LK79" s="40"/>
      <c r="LM79" s="40"/>
      <c r="LO79" s="40"/>
      <c r="LQ79" s="40"/>
      <c r="LS79" s="40"/>
      <c r="LU79" s="40"/>
      <c r="LW79" s="40"/>
      <c r="LY79" s="40"/>
      <c r="MA79" s="40"/>
      <c r="MC79" s="40"/>
      <c r="ME79" s="40"/>
      <c r="MG79" s="40"/>
      <c r="MI79" s="40"/>
      <c r="MK79" s="40"/>
      <c r="MM79" s="40"/>
      <c r="MO79" s="40"/>
      <c r="MQ79" s="40"/>
      <c r="MS79" s="40"/>
      <c r="MU79" s="40"/>
      <c r="MW79" s="40"/>
      <c r="MY79" s="40"/>
      <c r="NA79" s="40"/>
      <c r="NC79" s="40"/>
      <c r="NE79" s="40"/>
      <c r="NG79" s="40"/>
      <c r="NI79" s="40"/>
      <c r="NK79" s="40"/>
      <c r="NM79" s="40"/>
      <c r="NO79" s="40"/>
      <c r="NQ79" s="40"/>
      <c r="NS79" s="40"/>
      <c r="NU79" s="40"/>
      <c r="NW79" s="40"/>
      <c r="NY79" s="40"/>
      <c r="OA79" s="40"/>
      <c r="OC79" s="40"/>
      <c r="OE79" s="40"/>
      <c r="OG79" s="40"/>
      <c r="OI79" s="40"/>
      <c r="OK79" s="40"/>
      <c r="OM79" s="40"/>
      <c r="OO79" s="40"/>
      <c r="OQ79" s="40"/>
      <c r="OS79" s="40"/>
      <c r="OU79" s="40"/>
      <c r="OW79" s="40"/>
      <c r="OY79" s="40"/>
      <c r="PA79" s="40"/>
      <c r="PC79" s="40"/>
      <c r="PE79" s="40"/>
      <c r="PG79" s="40"/>
      <c r="PI79" s="40"/>
      <c r="PK79" s="40"/>
      <c r="PM79" s="40"/>
      <c r="PO79" s="40"/>
      <c r="PQ79" s="40"/>
      <c r="PS79" s="40"/>
      <c r="PU79" s="40"/>
      <c r="PW79" s="40"/>
      <c r="PY79" s="40"/>
      <c r="QA79" s="40"/>
      <c r="QC79" s="40"/>
      <c r="QE79" s="40"/>
      <c r="QG79" s="40"/>
      <c r="QI79" s="40"/>
      <c r="QK79" s="40"/>
      <c r="QM79" s="40"/>
      <c r="QO79" s="40"/>
      <c r="QQ79" s="40"/>
      <c r="QS79" s="40"/>
      <c r="QU79" s="40"/>
      <c r="QW79" s="40"/>
      <c r="QY79" s="40"/>
      <c r="RA79" s="40"/>
      <c r="RC79" s="40"/>
      <c r="RE79" s="40"/>
      <c r="RG79" s="40"/>
      <c r="RI79" s="40"/>
      <c r="RK79" s="40"/>
      <c r="RM79" s="40"/>
      <c r="RO79" s="40"/>
      <c r="RQ79" s="40"/>
      <c r="RS79" s="40"/>
      <c r="RU79" s="40"/>
      <c r="RW79" s="40"/>
      <c r="RY79" s="40"/>
      <c r="SA79" s="40"/>
      <c r="SC79" s="40"/>
      <c r="SE79" s="40"/>
      <c r="SG79" s="40"/>
      <c r="SI79" s="40"/>
      <c r="SK79" s="40"/>
      <c r="SM79" s="40"/>
      <c r="SO79" s="40"/>
      <c r="SQ79" s="40"/>
      <c r="SS79" s="40"/>
      <c r="SU79" s="40"/>
      <c r="SW79" s="40"/>
      <c r="SY79" s="40"/>
      <c r="TA79" s="40"/>
      <c r="TC79" s="40"/>
      <c r="TE79" s="40"/>
      <c r="TG79" s="40"/>
      <c r="TI79" s="40"/>
      <c r="TK79" s="40"/>
      <c r="TM79" s="40"/>
      <c r="TO79" s="40"/>
      <c r="TQ79" s="40"/>
      <c r="TS79" s="40"/>
      <c r="TU79" s="40"/>
      <c r="TW79" s="40"/>
      <c r="TY79" s="40"/>
      <c r="UA79" s="40"/>
      <c r="UC79" s="40"/>
      <c r="UE79" s="40"/>
      <c r="UG79" s="40"/>
      <c r="UI79" s="40"/>
      <c r="UK79" s="40"/>
      <c r="UM79" s="40"/>
      <c r="UO79" s="40"/>
      <c r="UQ79" s="40"/>
      <c r="US79" s="40"/>
      <c r="UU79" s="40"/>
      <c r="UW79" s="40"/>
      <c r="UY79" s="40"/>
      <c r="VA79" s="40"/>
      <c r="VC79" s="40"/>
      <c r="VE79" s="40"/>
      <c r="VG79" s="40"/>
      <c r="VI79" s="40"/>
      <c r="VK79" s="40"/>
      <c r="VM79" s="40"/>
      <c r="VO79" s="40"/>
      <c r="VQ79" s="40"/>
      <c r="VS79" s="40"/>
      <c r="VU79" s="40"/>
      <c r="VW79" s="40"/>
      <c r="VY79" s="40"/>
      <c r="WA79" s="40"/>
      <c r="WC79" s="40"/>
      <c r="WE79" s="40"/>
      <c r="WG79" s="40"/>
      <c r="WI79" s="40"/>
      <c r="WK79" s="40"/>
      <c r="WM79" s="40"/>
      <c r="WO79" s="40"/>
      <c r="WQ79" s="40"/>
      <c r="WS79" s="40"/>
      <c r="WU79" s="40"/>
      <c r="WW79" s="40"/>
      <c r="WY79" s="40"/>
      <c r="XA79" s="40"/>
      <c r="XC79" s="40"/>
      <c r="XE79" s="40"/>
      <c r="XG79" s="40"/>
      <c r="XI79" s="40"/>
      <c r="XK79" s="40"/>
      <c r="XM79" s="40"/>
      <c r="XO79" s="40"/>
      <c r="XQ79" s="40"/>
      <c r="XS79" s="40"/>
      <c r="XU79" s="40"/>
      <c r="XW79" s="40"/>
      <c r="XY79" s="40"/>
      <c r="YA79" s="40"/>
      <c r="YC79" s="40"/>
      <c r="YE79" s="40"/>
      <c r="YG79" s="40"/>
      <c r="YI79" s="40"/>
      <c r="YK79" s="40"/>
      <c r="YM79" s="40"/>
      <c r="YO79" s="40"/>
      <c r="YQ79" s="40"/>
      <c r="YS79" s="40"/>
      <c r="YU79" s="40"/>
      <c r="YW79" s="40"/>
      <c r="YY79" s="40"/>
      <c r="ZA79" s="40"/>
      <c r="ZC79" s="40"/>
      <c r="ZE79" s="40"/>
      <c r="ZG79" s="40"/>
      <c r="ZI79" s="40"/>
      <c r="ZK79" s="40"/>
      <c r="ZM79" s="40"/>
      <c r="ZO79" s="40"/>
      <c r="ZQ79" s="40"/>
      <c r="ZS79" s="40"/>
      <c r="ZU79" s="40"/>
      <c r="ZW79" s="40"/>
      <c r="ZY79" s="40"/>
      <c r="AAA79" s="40"/>
      <c r="AAC79" s="40"/>
      <c r="AAE79" s="40"/>
      <c r="AAG79" s="40"/>
      <c r="AAI79" s="40"/>
      <c r="AAK79" s="40"/>
      <c r="AAM79" s="40"/>
      <c r="AAO79" s="40"/>
      <c r="AAQ79" s="40"/>
      <c r="AAS79" s="40"/>
      <c r="AAU79" s="40"/>
      <c r="AAW79" s="40"/>
      <c r="AAY79" s="40"/>
      <c r="ABA79" s="40"/>
      <c r="ABC79" s="40"/>
      <c r="ABE79" s="40"/>
      <c r="ABG79" s="40"/>
      <c r="ABI79" s="40"/>
      <c r="ABK79" s="40"/>
      <c r="ABM79" s="40"/>
      <c r="ABO79" s="40"/>
      <c r="ABQ79" s="40"/>
      <c r="ABS79" s="40"/>
      <c r="ABU79" s="40"/>
      <c r="ABW79" s="40"/>
      <c r="ABY79" s="40"/>
      <c r="ACA79" s="40"/>
      <c r="ACC79" s="40"/>
      <c r="ACE79" s="40"/>
      <c r="ACG79" s="40"/>
      <c r="ACI79" s="40"/>
      <c r="ACK79" s="40"/>
      <c r="ACM79" s="40"/>
      <c r="ACO79" s="40"/>
      <c r="ACQ79" s="40"/>
      <c r="ACS79" s="40"/>
      <c r="ACU79" s="40"/>
      <c r="ACW79" s="40"/>
      <c r="ACY79" s="40"/>
      <c r="ADA79" s="40"/>
      <c r="ADC79" s="40"/>
      <c r="ADE79" s="40"/>
      <c r="ADG79" s="40"/>
      <c r="ADI79" s="40"/>
      <c r="ADK79" s="40"/>
      <c r="ADM79" s="40"/>
      <c r="ADO79" s="40"/>
      <c r="ADQ79" s="40"/>
      <c r="ADS79" s="40"/>
      <c r="ADU79" s="40"/>
      <c r="ADW79" s="40"/>
      <c r="ADY79" s="40"/>
      <c r="AEA79" s="40"/>
      <c r="AEC79" s="40"/>
      <c r="AEE79" s="40"/>
      <c r="AEG79" s="40"/>
      <c r="AEI79" s="40"/>
      <c r="AEK79" s="40"/>
      <c r="AEM79" s="40"/>
      <c r="AEO79" s="40"/>
      <c r="AEQ79" s="40"/>
      <c r="AES79" s="40"/>
      <c r="AEU79" s="40"/>
      <c r="AEW79" s="40"/>
      <c r="AEY79" s="40"/>
      <c r="AFA79" s="40"/>
      <c r="AFC79" s="40"/>
      <c r="AFE79" s="40"/>
      <c r="AFG79" s="40"/>
      <c r="AFI79" s="40"/>
      <c r="AFK79" s="40"/>
      <c r="AFM79" s="40"/>
      <c r="AFO79" s="40"/>
      <c r="AFQ79" s="40"/>
      <c r="AFS79" s="40"/>
      <c r="AFU79" s="40"/>
      <c r="AFW79" s="40"/>
      <c r="AFY79" s="40"/>
      <c r="AGA79" s="40"/>
      <c r="AGC79" s="40"/>
      <c r="AGE79" s="40"/>
      <c r="AGG79" s="40"/>
      <c r="AGI79" s="40"/>
      <c r="AGK79" s="40"/>
      <c r="AGM79" s="40"/>
      <c r="AGO79" s="40"/>
      <c r="AGQ79" s="40"/>
      <c r="AGS79" s="40"/>
      <c r="AGU79" s="40"/>
      <c r="AGW79" s="40"/>
      <c r="AGY79" s="40"/>
      <c r="AHA79" s="40"/>
      <c r="AHC79" s="40"/>
      <c r="AHE79" s="40"/>
      <c r="AHG79" s="40"/>
      <c r="AHI79" s="40"/>
      <c r="AHK79" s="40"/>
      <c r="AHM79" s="40"/>
      <c r="AHO79" s="40"/>
      <c r="AHQ79" s="40"/>
      <c r="AHS79" s="40"/>
      <c r="AHU79" s="40"/>
      <c r="AHW79" s="40"/>
      <c r="AHY79" s="40"/>
      <c r="AIA79" s="40"/>
      <c r="AIC79" s="40"/>
      <c r="AIE79" s="40"/>
      <c r="AIG79" s="40"/>
      <c r="AII79" s="40"/>
      <c r="AIK79" s="40"/>
      <c r="AIM79" s="40"/>
      <c r="AIO79" s="40"/>
    </row>
    <row r="80" spans="1:1024" s="39" customFormat="1" ht="15.75" customHeight="1" x14ac:dyDescent="0.35">
      <c r="A80" s="600"/>
      <c r="B80" s="644"/>
      <c r="C80" s="645"/>
      <c r="D80" s="646"/>
      <c r="E80" s="645"/>
      <c r="F80" s="646"/>
      <c r="G80" s="647"/>
      <c r="H80" s="643"/>
      <c r="I80" s="645"/>
      <c r="J80" s="38"/>
      <c r="K80" s="38"/>
      <c r="M80" s="38"/>
      <c r="O80" s="38"/>
      <c r="Q80" s="38"/>
      <c r="S80" s="38"/>
      <c r="U80" s="38"/>
      <c r="W80" s="38"/>
      <c r="Y80" s="38"/>
      <c r="AA80" s="38"/>
      <c r="AC80" s="38"/>
      <c r="AE80" s="38"/>
      <c r="AG80" s="38"/>
      <c r="AI80" s="38"/>
      <c r="AK80" s="40"/>
      <c r="AM80" s="40"/>
      <c r="AO80" s="40"/>
      <c r="AQ80" s="40"/>
      <c r="AS80" s="40"/>
      <c r="AU80" s="40"/>
      <c r="AW80" s="40"/>
      <c r="AY80" s="40"/>
      <c r="BA80" s="40"/>
      <c r="BC80" s="40"/>
      <c r="BE80" s="40"/>
      <c r="BG80" s="40"/>
      <c r="BI80" s="40"/>
      <c r="BK80" s="40"/>
      <c r="BM80" s="40"/>
      <c r="BO80" s="40"/>
      <c r="BQ80" s="40"/>
      <c r="BS80" s="40"/>
      <c r="BU80" s="40"/>
      <c r="BW80" s="40"/>
      <c r="BY80" s="40"/>
      <c r="CA80" s="40"/>
      <c r="CC80" s="40"/>
      <c r="CE80" s="40"/>
      <c r="CG80" s="40"/>
      <c r="CI80" s="40"/>
      <c r="CK80" s="40"/>
      <c r="CM80" s="40"/>
      <c r="CO80" s="40"/>
      <c r="CQ80" s="40"/>
      <c r="CS80" s="40"/>
      <c r="CU80" s="40"/>
      <c r="CW80" s="40"/>
      <c r="CY80" s="40"/>
      <c r="DA80" s="40"/>
      <c r="DC80" s="40"/>
      <c r="DE80" s="40"/>
      <c r="DG80" s="40"/>
      <c r="DI80" s="40"/>
      <c r="DK80" s="40"/>
      <c r="DM80" s="40"/>
      <c r="DO80" s="40"/>
      <c r="DQ80" s="40"/>
      <c r="DS80" s="40"/>
      <c r="DU80" s="40"/>
      <c r="DW80" s="40"/>
      <c r="DY80" s="40"/>
      <c r="EA80" s="40"/>
      <c r="EC80" s="40"/>
      <c r="EE80" s="40"/>
      <c r="EG80" s="40"/>
      <c r="EI80" s="40"/>
      <c r="EK80" s="40"/>
      <c r="EM80" s="40"/>
      <c r="EO80" s="40"/>
      <c r="EQ80" s="40"/>
      <c r="ES80" s="40"/>
      <c r="EU80" s="40"/>
      <c r="EW80" s="40"/>
      <c r="EY80" s="40"/>
      <c r="FA80" s="40"/>
      <c r="FC80" s="40"/>
      <c r="FE80" s="40"/>
      <c r="FG80" s="40"/>
      <c r="FI80" s="40"/>
      <c r="FK80" s="40"/>
      <c r="FM80" s="40"/>
      <c r="FO80" s="40"/>
      <c r="FQ80" s="40"/>
      <c r="FS80" s="40"/>
      <c r="FU80" s="40"/>
      <c r="FW80" s="40"/>
      <c r="FY80" s="40"/>
      <c r="GA80" s="40"/>
      <c r="GC80" s="40"/>
      <c r="GE80" s="40"/>
      <c r="GG80" s="40"/>
      <c r="GI80" s="40"/>
      <c r="GK80" s="40"/>
      <c r="GM80" s="40"/>
      <c r="GO80" s="40"/>
      <c r="GQ80" s="40"/>
      <c r="GS80" s="40"/>
      <c r="GU80" s="40"/>
      <c r="GW80" s="40"/>
      <c r="GY80" s="40"/>
      <c r="HA80" s="40"/>
      <c r="HC80" s="40"/>
      <c r="HE80" s="40"/>
      <c r="HG80" s="40"/>
      <c r="HI80" s="40"/>
      <c r="HK80" s="40"/>
      <c r="HM80" s="40"/>
      <c r="HO80" s="40"/>
      <c r="HQ80" s="40"/>
      <c r="HS80" s="40"/>
      <c r="HU80" s="40"/>
      <c r="HW80" s="40"/>
      <c r="HY80" s="40"/>
      <c r="IA80" s="40"/>
      <c r="IC80" s="40"/>
      <c r="IE80" s="40"/>
      <c r="IG80" s="40"/>
      <c r="II80" s="40"/>
      <c r="IK80" s="40"/>
      <c r="IM80" s="40"/>
      <c r="IO80" s="40"/>
      <c r="IQ80" s="40"/>
      <c r="IS80" s="40"/>
      <c r="IU80" s="40"/>
      <c r="IW80" s="40"/>
      <c r="IY80" s="40"/>
      <c r="JA80" s="40"/>
      <c r="JC80" s="40"/>
      <c r="JE80" s="40"/>
      <c r="JG80" s="40"/>
      <c r="JI80" s="40"/>
      <c r="JK80" s="40"/>
      <c r="JM80" s="40"/>
      <c r="JO80" s="40"/>
      <c r="JQ80" s="40"/>
      <c r="JS80" s="40"/>
      <c r="JU80" s="40"/>
      <c r="JW80" s="40"/>
      <c r="JY80" s="40"/>
      <c r="KA80" s="40"/>
      <c r="KC80" s="40"/>
      <c r="KE80" s="40"/>
      <c r="KG80" s="40"/>
      <c r="KI80" s="40"/>
      <c r="KK80" s="40"/>
      <c r="KM80" s="40"/>
      <c r="KO80" s="40"/>
      <c r="KQ80" s="40"/>
      <c r="KS80" s="40"/>
      <c r="KU80" s="40"/>
      <c r="KW80" s="40"/>
      <c r="KY80" s="40"/>
      <c r="LA80" s="40"/>
      <c r="LC80" s="40"/>
      <c r="LE80" s="40"/>
      <c r="LG80" s="40"/>
      <c r="LI80" s="40"/>
      <c r="LK80" s="40"/>
      <c r="LM80" s="40"/>
      <c r="LO80" s="40"/>
      <c r="LQ80" s="40"/>
      <c r="LS80" s="40"/>
      <c r="LU80" s="40"/>
      <c r="LW80" s="40"/>
      <c r="LY80" s="40"/>
      <c r="MA80" s="40"/>
      <c r="MC80" s="40"/>
      <c r="ME80" s="40"/>
      <c r="MG80" s="40"/>
      <c r="MI80" s="40"/>
      <c r="MK80" s="40"/>
      <c r="MM80" s="40"/>
      <c r="MO80" s="40"/>
      <c r="MQ80" s="40"/>
      <c r="MS80" s="40"/>
      <c r="MU80" s="40"/>
      <c r="MW80" s="40"/>
      <c r="MY80" s="40"/>
      <c r="NA80" s="40"/>
      <c r="NC80" s="40"/>
      <c r="NE80" s="40"/>
      <c r="NG80" s="40"/>
      <c r="NI80" s="40"/>
      <c r="NK80" s="40"/>
      <c r="NM80" s="40"/>
      <c r="NO80" s="40"/>
      <c r="NQ80" s="40"/>
      <c r="NS80" s="40"/>
      <c r="NU80" s="40"/>
      <c r="NW80" s="40"/>
      <c r="NY80" s="40"/>
      <c r="OA80" s="40"/>
      <c r="OC80" s="40"/>
      <c r="OE80" s="40"/>
      <c r="OG80" s="40"/>
      <c r="OI80" s="40"/>
      <c r="OK80" s="40"/>
      <c r="OM80" s="40"/>
      <c r="OO80" s="40"/>
      <c r="OQ80" s="40"/>
      <c r="OS80" s="40"/>
      <c r="OU80" s="40"/>
      <c r="OW80" s="40"/>
      <c r="OY80" s="40"/>
      <c r="PA80" s="40"/>
      <c r="PC80" s="40"/>
      <c r="PE80" s="40"/>
      <c r="PG80" s="40"/>
      <c r="PI80" s="40"/>
      <c r="PK80" s="40"/>
      <c r="PM80" s="40"/>
      <c r="PO80" s="40"/>
      <c r="PQ80" s="40"/>
      <c r="PS80" s="40"/>
      <c r="PU80" s="40"/>
      <c r="PW80" s="40"/>
      <c r="PY80" s="40"/>
      <c r="QA80" s="40"/>
      <c r="QC80" s="40"/>
      <c r="QE80" s="40"/>
      <c r="QG80" s="40"/>
      <c r="QI80" s="40"/>
      <c r="QK80" s="40"/>
      <c r="QM80" s="40"/>
      <c r="QO80" s="40"/>
      <c r="QQ80" s="40"/>
      <c r="QS80" s="40"/>
      <c r="QU80" s="40"/>
      <c r="QW80" s="40"/>
      <c r="QY80" s="40"/>
      <c r="RA80" s="40"/>
      <c r="RC80" s="40"/>
      <c r="RE80" s="40"/>
      <c r="RG80" s="40"/>
      <c r="RI80" s="40"/>
      <c r="RK80" s="40"/>
      <c r="RM80" s="40"/>
      <c r="RO80" s="40"/>
      <c r="RQ80" s="40"/>
      <c r="RS80" s="40"/>
      <c r="RU80" s="40"/>
      <c r="RW80" s="40"/>
      <c r="RY80" s="40"/>
      <c r="SA80" s="40"/>
      <c r="SC80" s="40"/>
      <c r="SE80" s="40"/>
      <c r="SG80" s="40"/>
      <c r="SI80" s="40"/>
      <c r="SK80" s="40"/>
      <c r="SM80" s="40"/>
      <c r="SO80" s="40"/>
      <c r="SQ80" s="40"/>
      <c r="SS80" s="40"/>
      <c r="SU80" s="40"/>
      <c r="SW80" s="40"/>
      <c r="SY80" s="40"/>
      <c r="TA80" s="40"/>
      <c r="TC80" s="40"/>
      <c r="TE80" s="40"/>
      <c r="TG80" s="40"/>
      <c r="TI80" s="40"/>
      <c r="TK80" s="40"/>
      <c r="TM80" s="40"/>
      <c r="TO80" s="40"/>
      <c r="TQ80" s="40"/>
      <c r="TS80" s="40"/>
      <c r="TU80" s="40"/>
      <c r="TW80" s="40"/>
      <c r="TY80" s="40"/>
      <c r="UA80" s="40"/>
      <c r="UC80" s="40"/>
      <c r="UE80" s="40"/>
      <c r="UG80" s="40"/>
      <c r="UI80" s="40"/>
      <c r="UK80" s="40"/>
      <c r="UM80" s="40"/>
      <c r="UO80" s="40"/>
      <c r="UQ80" s="40"/>
      <c r="US80" s="40"/>
      <c r="UU80" s="40"/>
      <c r="UW80" s="40"/>
      <c r="UY80" s="40"/>
      <c r="VA80" s="40"/>
      <c r="VC80" s="40"/>
      <c r="VE80" s="40"/>
      <c r="VG80" s="40"/>
      <c r="VI80" s="40"/>
      <c r="VK80" s="40"/>
      <c r="VM80" s="40"/>
      <c r="VO80" s="40"/>
      <c r="VQ80" s="40"/>
      <c r="VS80" s="40"/>
      <c r="VU80" s="40"/>
      <c r="VW80" s="40"/>
      <c r="VY80" s="40"/>
      <c r="WA80" s="40"/>
      <c r="WC80" s="40"/>
      <c r="WE80" s="40"/>
      <c r="WG80" s="40"/>
      <c r="WI80" s="40"/>
      <c r="WK80" s="40"/>
      <c r="WM80" s="40"/>
      <c r="WO80" s="40"/>
      <c r="WQ80" s="40"/>
      <c r="WS80" s="40"/>
      <c r="WU80" s="40"/>
      <c r="WW80" s="40"/>
      <c r="WY80" s="40"/>
      <c r="XA80" s="40"/>
      <c r="XC80" s="40"/>
      <c r="XE80" s="40"/>
      <c r="XG80" s="40"/>
      <c r="XI80" s="40"/>
      <c r="XK80" s="40"/>
      <c r="XM80" s="40"/>
      <c r="XO80" s="40"/>
      <c r="XQ80" s="40"/>
      <c r="XS80" s="40"/>
      <c r="XU80" s="40"/>
      <c r="XW80" s="40"/>
      <c r="XY80" s="40"/>
      <c r="YA80" s="40"/>
      <c r="YC80" s="40"/>
      <c r="YE80" s="40"/>
      <c r="YG80" s="40"/>
      <c r="YI80" s="40"/>
      <c r="YK80" s="40"/>
      <c r="YM80" s="40"/>
      <c r="YO80" s="40"/>
      <c r="YQ80" s="40"/>
      <c r="YS80" s="40"/>
      <c r="YU80" s="40"/>
      <c r="YW80" s="40"/>
      <c r="YY80" s="40"/>
      <c r="ZA80" s="40"/>
      <c r="ZC80" s="40"/>
      <c r="ZE80" s="40"/>
      <c r="ZG80" s="40"/>
      <c r="ZI80" s="40"/>
      <c r="ZK80" s="40"/>
      <c r="ZM80" s="40"/>
      <c r="ZO80" s="40"/>
      <c r="ZQ80" s="40"/>
      <c r="ZS80" s="40"/>
      <c r="ZU80" s="40"/>
      <c r="ZW80" s="40"/>
      <c r="ZY80" s="40"/>
      <c r="AAA80" s="40"/>
      <c r="AAC80" s="40"/>
      <c r="AAE80" s="40"/>
      <c r="AAG80" s="40"/>
      <c r="AAI80" s="40"/>
      <c r="AAK80" s="40"/>
      <c r="AAM80" s="40"/>
      <c r="AAO80" s="40"/>
      <c r="AAQ80" s="40"/>
      <c r="AAS80" s="40"/>
      <c r="AAU80" s="40"/>
      <c r="AAW80" s="40"/>
      <c r="AAY80" s="40"/>
      <c r="ABA80" s="40"/>
      <c r="ABC80" s="40"/>
      <c r="ABE80" s="40"/>
      <c r="ABG80" s="40"/>
      <c r="ABI80" s="40"/>
      <c r="ABK80" s="40"/>
      <c r="ABM80" s="40"/>
      <c r="ABO80" s="40"/>
      <c r="ABQ80" s="40"/>
      <c r="ABS80" s="40"/>
      <c r="ABU80" s="40"/>
      <c r="ABW80" s="40"/>
      <c r="ABY80" s="40"/>
      <c r="ACA80" s="40"/>
      <c r="ACC80" s="40"/>
      <c r="ACE80" s="40"/>
      <c r="ACG80" s="40"/>
      <c r="ACI80" s="40"/>
      <c r="ACK80" s="40"/>
      <c r="ACM80" s="40"/>
      <c r="ACO80" s="40"/>
      <c r="ACQ80" s="40"/>
      <c r="ACS80" s="40"/>
      <c r="ACU80" s="40"/>
      <c r="ACW80" s="40"/>
      <c r="ACY80" s="40"/>
      <c r="ADA80" s="40"/>
      <c r="ADC80" s="40"/>
      <c r="ADE80" s="40"/>
      <c r="ADG80" s="40"/>
      <c r="ADI80" s="40"/>
      <c r="ADK80" s="40"/>
      <c r="ADM80" s="40"/>
      <c r="ADO80" s="40"/>
      <c r="ADQ80" s="40"/>
      <c r="ADS80" s="40"/>
      <c r="ADU80" s="40"/>
      <c r="ADW80" s="40"/>
      <c r="ADY80" s="40"/>
      <c r="AEA80" s="40"/>
      <c r="AEC80" s="40"/>
      <c r="AEE80" s="40"/>
      <c r="AEG80" s="40"/>
      <c r="AEI80" s="40"/>
      <c r="AEK80" s="40"/>
      <c r="AEM80" s="40"/>
      <c r="AEO80" s="40"/>
      <c r="AEQ80" s="40"/>
      <c r="AES80" s="40"/>
      <c r="AEU80" s="40"/>
      <c r="AEW80" s="40"/>
      <c r="AEY80" s="40"/>
      <c r="AFA80" s="40"/>
      <c r="AFC80" s="40"/>
      <c r="AFE80" s="40"/>
      <c r="AFG80" s="40"/>
      <c r="AFI80" s="40"/>
      <c r="AFK80" s="40"/>
      <c r="AFM80" s="40"/>
      <c r="AFO80" s="40"/>
      <c r="AFQ80" s="40"/>
      <c r="AFS80" s="40"/>
      <c r="AFU80" s="40"/>
      <c r="AFW80" s="40"/>
      <c r="AFY80" s="40"/>
      <c r="AGA80" s="40"/>
      <c r="AGC80" s="40"/>
      <c r="AGE80" s="40"/>
      <c r="AGG80" s="40"/>
      <c r="AGI80" s="40"/>
      <c r="AGK80" s="40"/>
      <c r="AGM80" s="40"/>
      <c r="AGO80" s="40"/>
      <c r="AGQ80" s="40"/>
      <c r="AGS80" s="40"/>
      <c r="AGU80" s="40"/>
      <c r="AGW80" s="40"/>
      <c r="AGY80" s="40"/>
      <c r="AHA80" s="40"/>
      <c r="AHC80" s="40"/>
      <c r="AHE80" s="40"/>
      <c r="AHG80" s="40"/>
      <c r="AHI80" s="40"/>
      <c r="AHK80" s="40"/>
      <c r="AHM80" s="40"/>
      <c r="AHO80" s="40"/>
      <c r="AHQ80" s="40"/>
      <c r="AHS80" s="40"/>
      <c r="AHU80" s="40"/>
      <c r="AHW80" s="40"/>
      <c r="AHY80" s="40"/>
      <c r="AIA80" s="40"/>
      <c r="AIC80" s="40"/>
      <c r="AIE80" s="40"/>
      <c r="AIG80" s="40"/>
      <c r="AII80" s="40"/>
      <c r="AIK80" s="40"/>
      <c r="AIM80" s="40"/>
      <c r="AIO80" s="40"/>
    </row>
    <row r="81" spans="1:1024" s="29" customFormat="1" ht="15.75" customHeight="1" x14ac:dyDescent="0.3">
      <c r="A81" s="593" t="s">
        <v>314</v>
      </c>
      <c r="B81" s="594" t="s">
        <v>337</v>
      </c>
      <c r="C81" s="638"/>
      <c r="D81" s="605"/>
      <c r="E81" s="605"/>
      <c r="F81" s="639"/>
      <c r="G81" s="640"/>
      <c r="H81" s="640"/>
      <c r="I81" s="608"/>
      <c r="J81" s="30"/>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AIQ81" s="28"/>
      <c r="AIR81" s="28"/>
      <c r="AIS81" s="28"/>
      <c r="AIT81" s="28"/>
      <c r="AIU81" s="28"/>
      <c r="AIV81" s="28"/>
      <c r="AIW81" s="28"/>
      <c r="AIX81" s="28"/>
      <c r="AIY81" s="28"/>
      <c r="AIZ81" s="28"/>
      <c r="AJA81" s="28"/>
      <c r="AJB81" s="28"/>
      <c r="AJC81" s="28"/>
      <c r="AJD81" s="28"/>
      <c r="AJE81" s="28"/>
      <c r="AJF81" s="28"/>
      <c r="AJG81" s="28"/>
      <c r="AJH81" s="28"/>
      <c r="AJI81" s="28"/>
      <c r="AJJ81" s="28"/>
      <c r="AJK81" s="28"/>
      <c r="AJL81" s="28"/>
      <c r="AJM81" s="28"/>
      <c r="AJN81" s="28"/>
      <c r="AJO81" s="28"/>
      <c r="AJP81" s="28"/>
      <c r="AJQ81" s="28"/>
      <c r="AJR81" s="28"/>
      <c r="AJS81" s="28"/>
      <c r="AJT81" s="28"/>
      <c r="AJU81" s="28"/>
      <c r="AJV81" s="28"/>
      <c r="AJW81" s="28"/>
      <c r="AJX81" s="28"/>
      <c r="AJY81" s="28"/>
      <c r="AJZ81" s="28"/>
      <c r="AKA81" s="28"/>
      <c r="AKB81" s="28"/>
      <c r="AKC81" s="28"/>
      <c r="AKD81" s="28"/>
      <c r="AKE81" s="28"/>
      <c r="AKF81" s="28"/>
      <c r="AKG81" s="28"/>
      <c r="AKH81" s="28"/>
      <c r="AKI81" s="28"/>
      <c r="AKJ81" s="28"/>
      <c r="AKK81" s="28"/>
      <c r="AKL81" s="28"/>
      <c r="AKM81" s="28"/>
      <c r="AKN81" s="28"/>
      <c r="AKO81" s="28"/>
      <c r="AKP81" s="28"/>
      <c r="AKQ81" s="28"/>
      <c r="AKR81" s="28"/>
      <c r="AKS81" s="28"/>
      <c r="AKT81" s="28"/>
      <c r="AKU81" s="28"/>
      <c r="AKV81" s="28"/>
      <c r="AKW81" s="28"/>
      <c r="AKX81" s="28"/>
      <c r="AKY81" s="28"/>
      <c r="AKZ81" s="28"/>
      <c r="ALA81" s="28"/>
      <c r="ALB81" s="28"/>
      <c r="ALC81" s="28"/>
      <c r="ALD81" s="28"/>
      <c r="ALE81" s="28"/>
      <c r="ALF81" s="28"/>
      <c r="ALG81" s="28"/>
      <c r="ALH81" s="28"/>
      <c r="ALI81" s="28"/>
      <c r="ALJ81" s="28"/>
      <c r="ALK81" s="28"/>
      <c r="ALL81" s="28"/>
      <c r="ALM81" s="28"/>
      <c r="ALN81" s="28"/>
      <c r="ALO81" s="28"/>
      <c r="ALP81" s="28"/>
      <c r="ALQ81" s="28"/>
      <c r="ALR81" s="28"/>
      <c r="ALS81" s="28"/>
      <c r="ALT81" s="28"/>
      <c r="ALU81" s="28"/>
      <c r="ALV81" s="28"/>
      <c r="ALW81" s="28"/>
      <c r="ALX81" s="28"/>
      <c r="ALY81" s="28"/>
      <c r="ALZ81" s="28"/>
      <c r="AMA81" s="28"/>
      <c r="AMB81" s="28"/>
      <c r="AMC81" s="28"/>
      <c r="AMD81" s="28"/>
      <c r="AME81" s="28"/>
      <c r="AMF81" s="28"/>
      <c r="AMG81" s="28"/>
      <c r="AMH81" s="28"/>
      <c r="AMI81" s="28"/>
      <c r="AMJ81" s="28"/>
    </row>
    <row r="82" spans="1:1024" s="37" customFormat="1" ht="15.75" customHeight="1" x14ac:dyDescent="0.35">
      <c r="A82" s="600"/>
      <c r="B82" s="648" t="s">
        <v>319</v>
      </c>
      <c r="C82" s="645"/>
      <c r="D82" s="646"/>
      <c r="E82" s="645"/>
      <c r="F82" s="646"/>
      <c r="G82" s="647" t="s">
        <v>241</v>
      </c>
      <c r="H82" s="643"/>
      <c r="I82" s="645"/>
      <c r="J82" s="38"/>
      <c r="K82" s="38"/>
      <c r="L82" s="39"/>
      <c r="M82" s="38"/>
      <c r="N82" s="39"/>
      <c r="O82" s="38"/>
      <c r="P82" s="39"/>
      <c r="Q82" s="38"/>
      <c r="R82" s="39"/>
      <c r="S82" s="38"/>
      <c r="T82" s="39"/>
      <c r="U82" s="38"/>
      <c r="V82" s="39"/>
      <c r="W82" s="38"/>
      <c r="X82" s="39"/>
      <c r="Y82" s="38"/>
      <c r="Z82" s="39"/>
      <c r="AA82" s="38"/>
      <c r="AB82" s="39"/>
      <c r="AC82" s="38"/>
      <c r="AD82" s="39"/>
      <c r="AE82" s="38"/>
      <c r="AF82" s="39"/>
      <c r="AG82" s="38"/>
      <c r="AH82" s="39"/>
      <c r="AI82" s="38"/>
      <c r="AJ82" s="39"/>
      <c r="AK82" s="40"/>
      <c r="AL82" s="39"/>
      <c r="AM82" s="40"/>
      <c r="AN82" s="39"/>
      <c r="AO82" s="40"/>
      <c r="AP82" s="39"/>
      <c r="AQ82" s="40"/>
      <c r="AR82" s="39"/>
      <c r="AS82" s="40"/>
      <c r="AT82" s="39"/>
      <c r="AU82" s="40"/>
      <c r="AV82" s="39"/>
      <c r="AW82" s="40"/>
      <c r="AX82" s="39"/>
      <c r="AY82" s="40"/>
      <c r="AZ82" s="39"/>
      <c r="BA82" s="40"/>
      <c r="BB82" s="39"/>
      <c r="BC82" s="40"/>
      <c r="BD82" s="39"/>
      <c r="BE82" s="40"/>
      <c r="BF82" s="39"/>
      <c r="BG82" s="40"/>
      <c r="BH82" s="39"/>
      <c r="BI82" s="40"/>
      <c r="BJ82" s="39"/>
      <c r="BK82" s="40"/>
      <c r="BL82" s="39"/>
      <c r="BM82" s="40"/>
      <c r="BN82" s="39"/>
      <c r="BO82" s="40"/>
      <c r="BP82" s="39"/>
      <c r="BQ82" s="40"/>
      <c r="BR82" s="39"/>
      <c r="BS82" s="40"/>
      <c r="BT82" s="39"/>
      <c r="BU82" s="40"/>
      <c r="BV82" s="39"/>
      <c r="BW82" s="40"/>
      <c r="BX82" s="39"/>
      <c r="BY82" s="40"/>
      <c r="BZ82" s="39"/>
      <c r="CA82" s="40"/>
      <c r="CB82" s="39"/>
      <c r="CC82" s="40"/>
      <c r="CD82" s="39"/>
      <c r="CE82" s="40"/>
      <c r="CF82" s="39"/>
      <c r="CG82" s="40"/>
      <c r="CH82" s="39"/>
      <c r="CI82" s="40"/>
      <c r="CJ82" s="39"/>
      <c r="CK82" s="40"/>
      <c r="CL82" s="39"/>
      <c r="CM82" s="40"/>
      <c r="CN82" s="39"/>
      <c r="CO82" s="40"/>
      <c r="CP82" s="39"/>
      <c r="CQ82" s="40"/>
      <c r="CR82" s="39"/>
      <c r="CS82" s="40"/>
      <c r="CT82" s="39"/>
      <c r="CU82" s="40"/>
      <c r="CV82" s="39"/>
      <c r="CW82" s="40"/>
      <c r="CX82" s="39"/>
      <c r="CY82" s="40"/>
      <c r="CZ82" s="39"/>
      <c r="DA82" s="40"/>
      <c r="DB82" s="39"/>
      <c r="DC82" s="40"/>
      <c r="DD82" s="39"/>
      <c r="DE82" s="40"/>
      <c r="DF82" s="39"/>
      <c r="DG82" s="40"/>
      <c r="DH82" s="39"/>
      <c r="DI82" s="40"/>
      <c r="DJ82" s="39"/>
      <c r="DK82" s="40"/>
      <c r="DL82" s="39"/>
      <c r="DM82" s="40"/>
      <c r="DN82" s="39"/>
      <c r="DO82" s="40"/>
      <c r="DP82" s="39"/>
      <c r="DQ82" s="40"/>
      <c r="DR82" s="39"/>
      <c r="DS82" s="40"/>
      <c r="DT82" s="39"/>
      <c r="DU82" s="40"/>
      <c r="DV82" s="39"/>
      <c r="DW82" s="40"/>
      <c r="DX82" s="39"/>
      <c r="DY82" s="40"/>
      <c r="DZ82" s="39"/>
      <c r="EA82" s="40"/>
      <c r="EB82" s="39"/>
      <c r="EC82" s="40"/>
      <c r="ED82" s="39"/>
      <c r="EE82" s="40"/>
      <c r="EF82" s="39"/>
      <c r="EG82" s="40"/>
      <c r="EH82" s="39"/>
      <c r="EI82" s="40"/>
      <c r="EJ82" s="39"/>
      <c r="EK82" s="40"/>
      <c r="EL82" s="39"/>
      <c r="EM82" s="40"/>
      <c r="EN82" s="39"/>
      <c r="EO82" s="40"/>
      <c r="EP82" s="39"/>
      <c r="EQ82" s="40"/>
      <c r="ER82" s="39"/>
      <c r="ES82" s="40"/>
      <c r="ET82" s="39"/>
      <c r="EU82" s="40"/>
      <c r="EV82" s="39"/>
      <c r="EW82" s="40"/>
      <c r="EX82" s="39"/>
      <c r="EY82" s="40"/>
      <c r="EZ82" s="39"/>
      <c r="FA82" s="40"/>
      <c r="FB82" s="39"/>
      <c r="FC82" s="40"/>
      <c r="FD82" s="39"/>
      <c r="FE82" s="40"/>
      <c r="FF82" s="39"/>
      <c r="FG82" s="40"/>
      <c r="FH82" s="39"/>
      <c r="FI82" s="40"/>
      <c r="FJ82" s="39"/>
      <c r="FK82" s="40"/>
      <c r="FL82" s="39"/>
      <c r="FM82" s="40"/>
      <c r="FN82" s="39"/>
      <c r="FO82" s="40"/>
      <c r="FP82" s="39"/>
      <c r="FQ82" s="40"/>
      <c r="FR82" s="39"/>
      <c r="FS82" s="40"/>
      <c r="FT82" s="39"/>
      <c r="FU82" s="40"/>
      <c r="FV82" s="39"/>
      <c r="FW82" s="40"/>
      <c r="FX82" s="39"/>
      <c r="FY82" s="40"/>
      <c r="FZ82" s="39"/>
      <c r="GA82" s="40"/>
      <c r="GB82" s="39"/>
      <c r="GC82" s="40"/>
      <c r="GD82" s="39"/>
      <c r="GE82" s="40"/>
      <c r="GF82" s="39"/>
      <c r="GG82" s="40"/>
      <c r="GH82" s="39"/>
      <c r="GI82" s="40"/>
      <c r="GJ82" s="39"/>
      <c r="GK82" s="40"/>
      <c r="GL82" s="39"/>
      <c r="GM82" s="40"/>
      <c r="GN82" s="39"/>
      <c r="GO82" s="40"/>
      <c r="GP82" s="39"/>
      <c r="GQ82" s="40"/>
      <c r="GR82" s="39"/>
      <c r="GS82" s="40"/>
      <c r="GT82" s="39"/>
      <c r="GU82" s="40"/>
      <c r="GV82" s="39"/>
      <c r="GW82" s="40"/>
      <c r="GX82" s="39"/>
      <c r="GY82" s="40"/>
      <c r="GZ82" s="39"/>
      <c r="HA82" s="40"/>
      <c r="HB82" s="39"/>
      <c r="HC82" s="40"/>
      <c r="HD82" s="39"/>
      <c r="HE82" s="40"/>
      <c r="HF82" s="39"/>
      <c r="HG82" s="40"/>
      <c r="HH82" s="39"/>
      <c r="HI82" s="40"/>
      <c r="HJ82" s="39"/>
      <c r="HK82" s="40"/>
      <c r="HL82" s="39"/>
      <c r="HM82" s="40"/>
      <c r="HN82" s="39"/>
      <c r="HO82" s="40"/>
      <c r="HP82" s="39"/>
      <c r="HQ82" s="40"/>
      <c r="HR82" s="39"/>
      <c r="HS82" s="40"/>
      <c r="HT82" s="39"/>
      <c r="HU82" s="40"/>
      <c r="HV82" s="39"/>
      <c r="HW82" s="40"/>
      <c r="HX82" s="39"/>
      <c r="HY82" s="40"/>
      <c r="HZ82" s="39"/>
      <c r="IA82" s="40"/>
      <c r="IB82" s="39"/>
      <c r="IC82" s="1068"/>
      <c r="ID82" s="645"/>
      <c r="IE82" s="646"/>
      <c r="IF82" s="645"/>
      <c r="IG82" s="646"/>
      <c r="IH82" s="645"/>
      <c r="II82" s="646"/>
      <c r="IJ82" s="645"/>
      <c r="IK82" s="646"/>
      <c r="IL82" s="645"/>
      <c r="IM82" s="646"/>
      <c r="IN82" s="645"/>
      <c r="IO82" s="646"/>
      <c r="IP82" s="645"/>
      <c r="IQ82" s="646"/>
      <c r="IR82" s="645"/>
      <c r="IS82" s="646"/>
      <c r="IT82" s="645"/>
      <c r="IU82" s="646"/>
      <c r="IV82" s="645"/>
      <c r="IW82" s="646"/>
      <c r="IX82" s="645"/>
      <c r="IY82" s="646"/>
      <c r="IZ82" s="645"/>
      <c r="JA82" s="646"/>
      <c r="JB82" s="645"/>
      <c r="JC82" s="646"/>
      <c r="JD82" s="645"/>
      <c r="JE82" s="646"/>
      <c r="JF82" s="645"/>
      <c r="JG82" s="646"/>
      <c r="JH82" s="645"/>
      <c r="JI82" s="646"/>
      <c r="JJ82" s="645"/>
      <c r="JK82" s="646"/>
      <c r="JL82" s="645"/>
      <c r="JM82" s="646"/>
      <c r="JN82" s="645"/>
      <c r="JO82" s="646"/>
      <c r="JP82" s="645"/>
      <c r="JQ82" s="646"/>
      <c r="JR82" s="645"/>
      <c r="JS82" s="646"/>
      <c r="JT82" s="645"/>
      <c r="JU82" s="646"/>
      <c r="JV82" s="645"/>
      <c r="JW82" s="646"/>
      <c r="JX82" s="645"/>
      <c r="JY82" s="646"/>
      <c r="JZ82" s="645"/>
      <c r="KA82" s="646"/>
      <c r="KB82" s="645"/>
      <c r="KC82" s="646"/>
      <c r="KD82" s="645"/>
      <c r="KE82" s="646"/>
      <c r="KF82" s="645"/>
      <c r="KG82" s="646"/>
      <c r="KH82" s="645"/>
      <c r="KI82" s="646"/>
      <c r="KJ82" s="645"/>
      <c r="KK82" s="646"/>
      <c r="KL82" s="645"/>
      <c r="KM82" s="646"/>
      <c r="KN82" s="645"/>
      <c r="KO82" s="646"/>
      <c r="KP82" s="645"/>
      <c r="KQ82" s="646"/>
      <c r="KR82" s="645"/>
      <c r="KS82" s="646"/>
      <c r="KT82" s="645"/>
      <c r="KU82" s="646"/>
      <c r="KV82" s="645"/>
      <c r="KW82" s="646"/>
      <c r="KX82" s="645"/>
      <c r="KY82" s="646"/>
      <c r="KZ82" s="645"/>
      <c r="LA82" s="646"/>
      <c r="LB82" s="645"/>
      <c r="LC82" s="646"/>
      <c r="LD82" s="645"/>
      <c r="LE82" s="646"/>
      <c r="LF82" s="645"/>
      <c r="LG82" s="646"/>
      <c r="LH82" s="645"/>
      <c r="LI82" s="646"/>
      <c r="LJ82" s="645"/>
      <c r="LK82" s="646"/>
      <c r="LL82" s="645"/>
      <c r="LM82" s="646"/>
      <c r="LN82" s="645"/>
      <c r="LO82" s="646"/>
      <c r="LP82" s="645"/>
      <c r="LQ82" s="646"/>
      <c r="LR82" s="645"/>
      <c r="LS82" s="646"/>
      <c r="LT82" s="645"/>
      <c r="LU82" s="646"/>
      <c r="LV82" s="645"/>
      <c r="LW82" s="646"/>
      <c r="LX82" s="645"/>
      <c r="LY82" s="646"/>
      <c r="LZ82" s="645"/>
      <c r="MA82" s="646"/>
      <c r="MB82" s="645"/>
      <c r="MC82" s="646"/>
      <c r="MD82" s="645"/>
      <c r="ME82" s="646"/>
      <c r="MF82" s="645"/>
      <c r="MG82" s="646"/>
      <c r="MH82" s="645"/>
      <c r="MI82" s="646"/>
      <c r="MJ82" s="645"/>
      <c r="MK82" s="646"/>
      <c r="ML82" s="645"/>
      <c r="MM82" s="646"/>
      <c r="MN82" s="645"/>
      <c r="MO82" s="646"/>
      <c r="MP82" s="645"/>
      <c r="MQ82" s="646"/>
      <c r="MR82" s="645"/>
      <c r="MS82" s="646"/>
      <c r="MT82" s="645"/>
      <c r="MU82" s="646"/>
      <c r="MV82" s="645"/>
      <c r="MW82" s="646"/>
      <c r="MX82" s="645"/>
      <c r="MY82" s="646"/>
      <c r="MZ82" s="645"/>
      <c r="NA82" s="646"/>
      <c r="NB82" s="645"/>
      <c r="NC82" s="646"/>
      <c r="ND82" s="645"/>
      <c r="NE82" s="646"/>
      <c r="NF82" s="645"/>
      <c r="NG82" s="646"/>
      <c r="NH82" s="645"/>
      <c r="NI82" s="646"/>
      <c r="NJ82" s="645"/>
      <c r="NK82" s="646"/>
      <c r="NL82" s="645"/>
      <c r="NM82" s="646"/>
      <c r="NN82" s="645"/>
      <c r="NO82" s="646"/>
      <c r="NP82" s="645"/>
      <c r="NQ82" s="646"/>
      <c r="NR82" s="645"/>
      <c r="NS82" s="646"/>
      <c r="NT82" s="645"/>
      <c r="NU82" s="646"/>
      <c r="NV82" s="645"/>
      <c r="NW82" s="646"/>
      <c r="NX82" s="645"/>
      <c r="NY82" s="646"/>
      <c r="NZ82" s="645"/>
      <c r="OA82" s="646"/>
      <c r="OB82" s="645"/>
      <c r="OC82" s="646"/>
      <c r="OD82" s="645"/>
      <c r="OE82" s="646"/>
      <c r="OF82" s="645"/>
      <c r="OG82" s="646"/>
      <c r="OH82" s="645"/>
      <c r="OI82" s="646"/>
      <c r="OJ82" s="645"/>
      <c r="OK82" s="646"/>
      <c r="OL82" s="645"/>
      <c r="OM82" s="646"/>
      <c r="ON82" s="645"/>
      <c r="OO82" s="646"/>
      <c r="OP82" s="645"/>
      <c r="OQ82" s="646"/>
      <c r="OR82" s="645"/>
      <c r="OS82" s="646"/>
      <c r="OT82" s="645"/>
      <c r="OU82" s="646"/>
      <c r="OV82" s="645"/>
      <c r="OW82" s="646"/>
      <c r="OX82" s="645"/>
      <c r="OY82" s="646"/>
      <c r="OZ82" s="645"/>
      <c r="PA82" s="646"/>
      <c r="PB82" s="645"/>
      <c r="PC82" s="646"/>
      <c r="PD82" s="645"/>
      <c r="PE82" s="646"/>
      <c r="PF82" s="645"/>
      <c r="PG82" s="646"/>
      <c r="PH82" s="645"/>
      <c r="PI82" s="646"/>
      <c r="PJ82" s="645"/>
      <c r="PK82" s="646"/>
      <c r="PL82" s="645"/>
      <c r="PM82" s="646"/>
      <c r="PN82" s="645"/>
      <c r="PO82" s="646"/>
      <c r="PP82" s="645"/>
      <c r="PQ82" s="646"/>
      <c r="PR82" s="645"/>
      <c r="PS82" s="646"/>
      <c r="PT82" s="645"/>
      <c r="PU82" s="646"/>
      <c r="PV82" s="645"/>
      <c r="PW82" s="646"/>
      <c r="PX82" s="645"/>
      <c r="PY82" s="646"/>
      <c r="PZ82" s="645"/>
      <c r="QA82" s="646"/>
      <c r="QB82" s="645"/>
      <c r="QC82" s="646"/>
      <c r="QD82" s="645"/>
      <c r="QE82" s="646"/>
      <c r="QF82" s="645"/>
      <c r="QG82" s="646"/>
      <c r="QH82" s="645"/>
      <c r="QI82" s="646"/>
      <c r="QJ82" s="645"/>
      <c r="QK82" s="646"/>
      <c r="QL82" s="645"/>
      <c r="QM82" s="646"/>
      <c r="QN82" s="645"/>
      <c r="QO82" s="646"/>
      <c r="QP82" s="645"/>
      <c r="QQ82" s="646"/>
      <c r="QR82" s="645"/>
      <c r="QS82" s="646"/>
      <c r="QT82" s="645"/>
      <c r="QU82" s="646"/>
      <c r="QV82" s="645"/>
      <c r="QW82" s="646"/>
      <c r="QX82" s="645"/>
      <c r="QY82" s="646"/>
      <c r="QZ82" s="645"/>
      <c r="RA82" s="646"/>
      <c r="RB82" s="645"/>
      <c r="RC82" s="646"/>
      <c r="RD82" s="645"/>
      <c r="RE82" s="646"/>
      <c r="RF82" s="645"/>
      <c r="RG82" s="646"/>
      <c r="RH82" s="645"/>
      <c r="RI82" s="646"/>
      <c r="RJ82" s="645"/>
      <c r="RK82" s="646"/>
      <c r="RL82" s="645"/>
      <c r="RM82" s="646"/>
      <c r="RN82" s="645"/>
      <c r="RO82" s="646"/>
      <c r="RP82" s="645"/>
      <c r="RQ82" s="646"/>
      <c r="RR82" s="645"/>
      <c r="RS82" s="646"/>
      <c r="RT82" s="645"/>
      <c r="RU82" s="646"/>
      <c r="RV82" s="645"/>
      <c r="RW82" s="646"/>
      <c r="RX82" s="645"/>
      <c r="RY82" s="646"/>
      <c r="RZ82" s="645"/>
      <c r="SA82" s="646"/>
      <c r="SB82" s="645"/>
      <c r="SC82" s="646"/>
      <c r="SD82" s="645"/>
      <c r="SE82" s="646"/>
      <c r="SF82" s="645"/>
      <c r="SG82" s="646"/>
      <c r="SH82" s="645"/>
      <c r="SI82" s="646"/>
      <c r="SJ82" s="645"/>
      <c r="SK82" s="646"/>
      <c r="SL82" s="645"/>
      <c r="SM82" s="646"/>
      <c r="SN82" s="645"/>
      <c r="SO82" s="646"/>
      <c r="SP82" s="645"/>
      <c r="SQ82" s="646"/>
      <c r="SR82" s="645"/>
      <c r="SS82" s="646"/>
      <c r="ST82" s="645"/>
      <c r="SU82" s="646"/>
      <c r="SV82" s="645"/>
      <c r="SW82" s="646"/>
      <c r="SX82" s="645"/>
      <c r="SY82" s="646"/>
      <c r="SZ82" s="645"/>
      <c r="TA82" s="646"/>
      <c r="TB82" s="645"/>
      <c r="TC82" s="646"/>
      <c r="TD82" s="645"/>
      <c r="TE82" s="646"/>
      <c r="TF82" s="645"/>
      <c r="TG82" s="646"/>
      <c r="TH82" s="645"/>
      <c r="TI82" s="646"/>
      <c r="TJ82" s="645"/>
      <c r="TK82" s="646"/>
      <c r="TL82" s="645"/>
      <c r="TM82" s="646"/>
      <c r="TN82" s="645"/>
      <c r="TO82" s="646"/>
      <c r="TP82" s="645"/>
      <c r="TQ82" s="646"/>
      <c r="TR82" s="645"/>
      <c r="TS82" s="646"/>
      <c r="TT82" s="645"/>
      <c r="TU82" s="646"/>
      <c r="TV82" s="645"/>
      <c r="TW82" s="646"/>
      <c r="TX82" s="645"/>
      <c r="TY82" s="646"/>
      <c r="TZ82" s="645"/>
      <c r="UA82" s="646"/>
      <c r="UB82" s="645"/>
      <c r="UC82" s="646"/>
      <c r="UD82" s="645"/>
      <c r="UE82" s="646"/>
      <c r="UF82" s="645"/>
      <c r="UG82" s="646"/>
      <c r="UH82" s="645"/>
      <c r="UI82" s="646"/>
      <c r="UJ82" s="645"/>
      <c r="UK82" s="646"/>
      <c r="UL82" s="645"/>
      <c r="UM82" s="646"/>
      <c r="UN82" s="645"/>
      <c r="UO82" s="646"/>
      <c r="UP82" s="645"/>
      <c r="UQ82" s="646"/>
      <c r="UR82" s="645"/>
      <c r="US82" s="646"/>
      <c r="UT82" s="645"/>
      <c r="UU82" s="646"/>
      <c r="UV82" s="645"/>
      <c r="UW82" s="646"/>
      <c r="UX82" s="645"/>
      <c r="UY82" s="646"/>
      <c r="UZ82" s="645"/>
      <c r="VA82" s="646"/>
      <c r="VB82" s="645"/>
      <c r="VC82" s="646"/>
      <c r="VD82" s="645"/>
      <c r="VE82" s="646"/>
      <c r="VF82" s="645"/>
      <c r="VG82" s="646"/>
      <c r="VH82" s="645"/>
      <c r="VI82" s="646"/>
      <c r="VJ82" s="645"/>
      <c r="VK82" s="646"/>
      <c r="VL82" s="645"/>
      <c r="VM82" s="646"/>
      <c r="VN82" s="645"/>
      <c r="VO82" s="646"/>
      <c r="VP82" s="645"/>
      <c r="VQ82" s="646"/>
      <c r="VR82" s="645"/>
      <c r="VS82" s="646"/>
      <c r="VT82" s="645"/>
      <c r="VU82" s="646"/>
      <c r="VV82" s="645"/>
      <c r="VW82" s="646"/>
      <c r="VX82" s="645"/>
      <c r="VY82" s="646"/>
      <c r="VZ82" s="645"/>
      <c r="WA82" s="646"/>
      <c r="WB82" s="645"/>
      <c r="WC82" s="646"/>
      <c r="WD82" s="645"/>
      <c r="WE82" s="646"/>
      <c r="WF82" s="645"/>
      <c r="WG82" s="646"/>
      <c r="WH82" s="645"/>
      <c r="WI82" s="646"/>
      <c r="WJ82" s="645"/>
      <c r="WK82" s="646"/>
      <c r="WL82" s="645"/>
      <c r="WM82" s="646"/>
      <c r="WN82" s="645"/>
      <c r="WO82" s="646"/>
      <c r="WP82" s="645"/>
      <c r="WQ82" s="646"/>
      <c r="WR82" s="645"/>
      <c r="WS82" s="646"/>
      <c r="WT82" s="645"/>
      <c r="WU82" s="646"/>
      <c r="WV82" s="645"/>
      <c r="WW82" s="646"/>
      <c r="WX82" s="645"/>
      <c r="WY82" s="646"/>
      <c r="WZ82" s="645"/>
      <c r="XA82" s="646"/>
      <c r="XB82" s="645"/>
      <c r="XC82" s="646"/>
      <c r="XD82" s="645"/>
      <c r="XE82" s="646"/>
      <c r="XF82" s="645"/>
      <c r="XG82" s="646"/>
      <c r="XH82" s="645"/>
      <c r="XI82" s="646"/>
      <c r="XJ82" s="645"/>
      <c r="XK82" s="646"/>
      <c r="XL82" s="645"/>
      <c r="XM82" s="646"/>
      <c r="XN82" s="645"/>
      <c r="XO82" s="646"/>
      <c r="XP82" s="645"/>
      <c r="XQ82" s="646"/>
      <c r="XR82" s="645"/>
      <c r="XS82" s="646"/>
      <c r="XT82" s="645"/>
      <c r="XU82" s="646"/>
      <c r="XV82" s="645"/>
      <c r="XW82" s="646"/>
      <c r="XX82" s="645"/>
      <c r="XY82" s="646"/>
      <c r="XZ82" s="645"/>
      <c r="YA82" s="646"/>
      <c r="YB82" s="645"/>
      <c r="YC82" s="646"/>
      <c r="YD82" s="645"/>
      <c r="YE82" s="646"/>
      <c r="YF82" s="645"/>
      <c r="YG82" s="646"/>
      <c r="YH82" s="645"/>
      <c r="YI82" s="646"/>
      <c r="YJ82" s="645"/>
      <c r="YK82" s="646"/>
      <c r="YL82" s="645"/>
      <c r="YM82" s="646"/>
      <c r="YN82" s="645"/>
      <c r="YO82" s="646"/>
      <c r="YP82" s="645"/>
      <c r="YQ82" s="646"/>
      <c r="YR82" s="645"/>
      <c r="YS82" s="646"/>
      <c r="YT82" s="645"/>
      <c r="YU82" s="646"/>
      <c r="YV82" s="645"/>
      <c r="YW82" s="646"/>
      <c r="YX82" s="645"/>
      <c r="YY82" s="646"/>
      <c r="YZ82" s="645"/>
      <c r="ZA82" s="646"/>
      <c r="ZB82" s="645"/>
      <c r="ZC82" s="646"/>
      <c r="ZD82" s="645"/>
      <c r="ZE82" s="646"/>
      <c r="ZF82" s="645"/>
      <c r="ZG82" s="646"/>
      <c r="ZH82" s="645"/>
      <c r="ZI82" s="646"/>
      <c r="ZJ82" s="645"/>
      <c r="ZK82" s="646"/>
      <c r="ZL82" s="645"/>
      <c r="ZM82" s="646"/>
      <c r="ZN82" s="645"/>
      <c r="ZO82" s="646"/>
      <c r="ZP82" s="645"/>
      <c r="ZQ82" s="646"/>
      <c r="ZR82" s="645"/>
      <c r="ZS82" s="646"/>
      <c r="ZT82" s="645"/>
      <c r="ZU82" s="646"/>
      <c r="ZV82" s="645"/>
      <c r="ZW82" s="646"/>
      <c r="ZX82" s="645"/>
      <c r="ZY82" s="646"/>
      <c r="ZZ82" s="645"/>
      <c r="AAA82" s="646"/>
      <c r="AAB82" s="645"/>
      <c r="AAC82" s="646"/>
      <c r="AAD82" s="645"/>
      <c r="AAE82" s="646"/>
      <c r="AAF82" s="645"/>
      <c r="AAG82" s="646"/>
      <c r="AAH82" s="645"/>
      <c r="AAI82" s="646"/>
      <c r="AAJ82" s="645"/>
      <c r="AAK82" s="646"/>
      <c r="AAL82" s="645"/>
      <c r="AAM82" s="646"/>
      <c r="AAN82" s="645"/>
      <c r="AAO82" s="646"/>
      <c r="AAP82" s="645"/>
      <c r="AAQ82" s="646"/>
      <c r="AAR82" s="645"/>
      <c r="AAS82" s="646"/>
      <c r="AAT82" s="645"/>
      <c r="AAU82" s="646"/>
      <c r="AAV82" s="645"/>
      <c r="AAW82" s="646"/>
      <c r="AAX82" s="645"/>
      <c r="AAY82" s="646"/>
      <c r="AAZ82" s="645"/>
      <c r="ABA82" s="646"/>
      <c r="ABB82" s="645"/>
      <c r="ABC82" s="646"/>
      <c r="ABD82" s="645"/>
      <c r="ABE82" s="646"/>
      <c r="ABF82" s="645"/>
      <c r="ABG82" s="646"/>
      <c r="ABH82" s="645"/>
      <c r="ABI82" s="646"/>
      <c r="ABJ82" s="645"/>
      <c r="ABK82" s="646"/>
      <c r="ABL82" s="645"/>
      <c r="ABM82" s="646"/>
      <c r="ABN82" s="645"/>
      <c r="ABO82" s="646"/>
      <c r="ABP82" s="645"/>
      <c r="ABQ82" s="646"/>
      <c r="ABR82" s="645"/>
      <c r="ABS82" s="646"/>
      <c r="ABT82" s="645"/>
      <c r="ABU82" s="646"/>
      <c r="ABV82" s="645"/>
      <c r="ABW82" s="646"/>
      <c r="ABX82" s="645"/>
      <c r="ABY82" s="646"/>
      <c r="ABZ82" s="645"/>
      <c r="ACA82" s="646"/>
      <c r="ACB82" s="645"/>
      <c r="ACC82" s="646"/>
      <c r="ACD82" s="645"/>
      <c r="ACE82" s="646"/>
      <c r="ACF82" s="645"/>
      <c r="ACG82" s="646"/>
      <c r="ACH82" s="645"/>
      <c r="ACI82" s="646"/>
      <c r="ACJ82" s="645"/>
      <c r="ACK82" s="646"/>
      <c r="ACL82" s="645"/>
      <c r="ACM82" s="646"/>
      <c r="ACN82" s="645"/>
      <c r="ACO82" s="646"/>
      <c r="ACP82" s="645"/>
      <c r="ACQ82" s="646"/>
      <c r="ACR82" s="645"/>
      <c r="ACS82" s="646"/>
      <c r="ACT82" s="645"/>
      <c r="ACU82" s="646"/>
      <c r="ACV82" s="645"/>
      <c r="ACW82" s="646"/>
      <c r="ACX82" s="645"/>
      <c r="ACY82" s="646"/>
      <c r="ACZ82" s="645"/>
      <c r="ADA82" s="646"/>
      <c r="ADB82" s="645"/>
      <c r="ADC82" s="646"/>
      <c r="ADD82" s="645"/>
      <c r="ADE82" s="646"/>
      <c r="ADF82" s="645"/>
      <c r="ADG82" s="646"/>
      <c r="ADH82" s="645"/>
      <c r="ADI82" s="646"/>
      <c r="ADJ82" s="645"/>
      <c r="ADK82" s="646"/>
      <c r="ADL82" s="645"/>
      <c r="ADM82" s="646"/>
      <c r="ADN82" s="645"/>
      <c r="ADO82" s="646"/>
      <c r="ADP82" s="645"/>
      <c r="ADQ82" s="646"/>
      <c r="ADR82" s="645"/>
      <c r="ADS82" s="646"/>
      <c r="ADT82" s="645"/>
      <c r="ADU82" s="646"/>
      <c r="ADV82" s="645"/>
      <c r="ADW82" s="646"/>
      <c r="ADX82" s="645"/>
      <c r="ADY82" s="646"/>
      <c r="ADZ82" s="645"/>
      <c r="AEA82" s="646"/>
      <c r="AEB82" s="645"/>
      <c r="AEC82" s="646"/>
      <c r="AED82" s="645"/>
      <c r="AEE82" s="646"/>
      <c r="AEF82" s="645"/>
      <c r="AEG82" s="646"/>
      <c r="AEH82" s="645"/>
      <c r="AEI82" s="646"/>
      <c r="AEJ82" s="645"/>
      <c r="AEK82" s="646"/>
      <c r="AEL82" s="645"/>
      <c r="AEM82" s="646"/>
      <c r="AEN82" s="645"/>
      <c r="AEO82" s="646"/>
      <c r="AEP82" s="645"/>
      <c r="AEQ82" s="646"/>
      <c r="AER82" s="645"/>
      <c r="AES82" s="646"/>
      <c r="AET82" s="645"/>
      <c r="AEU82" s="646"/>
      <c r="AEV82" s="645"/>
      <c r="AEW82" s="646"/>
      <c r="AEX82" s="645"/>
      <c r="AEY82" s="646"/>
      <c r="AEZ82" s="645"/>
      <c r="AFA82" s="646"/>
      <c r="AFB82" s="645"/>
      <c r="AFC82" s="646"/>
      <c r="AFD82" s="645"/>
      <c r="AFE82" s="646"/>
      <c r="AFF82" s="645"/>
      <c r="AFG82" s="646"/>
      <c r="AFH82" s="645"/>
      <c r="AFI82" s="646"/>
      <c r="AFJ82" s="645"/>
      <c r="AFK82" s="646"/>
      <c r="AFL82" s="645"/>
      <c r="AFM82" s="646"/>
      <c r="AFN82" s="645"/>
      <c r="AFO82" s="646"/>
      <c r="AFP82" s="645"/>
      <c r="AFQ82" s="646"/>
      <c r="AFR82" s="645"/>
      <c r="AFS82" s="646"/>
      <c r="AFT82" s="645"/>
      <c r="AFU82" s="646"/>
      <c r="AFV82" s="645"/>
      <c r="AFW82" s="646"/>
      <c r="AFX82" s="645"/>
      <c r="AFY82" s="646"/>
      <c r="AFZ82" s="645"/>
      <c r="AGA82" s="646"/>
      <c r="AGB82" s="645"/>
      <c r="AGC82" s="646"/>
      <c r="AGD82" s="645"/>
      <c r="AGE82" s="646"/>
      <c r="AGF82" s="645"/>
      <c r="AGG82" s="646"/>
      <c r="AGH82" s="645"/>
      <c r="AGI82" s="646"/>
      <c r="AGJ82" s="645"/>
      <c r="AGK82" s="646"/>
      <c r="AGL82" s="645"/>
      <c r="AGM82" s="646"/>
      <c r="AGN82" s="645"/>
      <c r="AGO82" s="646"/>
      <c r="AGP82" s="645"/>
      <c r="AGQ82" s="646"/>
      <c r="AGR82" s="645"/>
      <c r="AGS82" s="646"/>
      <c r="AGT82" s="645"/>
      <c r="AGU82" s="646"/>
      <c r="AGV82" s="645"/>
      <c r="AGW82" s="646"/>
      <c r="AGX82" s="645"/>
      <c r="AGY82" s="646"/>
      <c r="AGZ82" s="645"/>
      <c r="AHA82" s="646"/>
      <c r="AHB82" s="645"/>
      <c r="AHC82" s="646"/>
      <c r="AHD82" s="645"/>
      <c r="AHE82" s="646"/>
      <c r="AHF82" s="645"/>
      <c r="AHG82" s="646"/>
      <c r="AHH82" s="645"/>
      <c r="AHI82" s="646"/>
      <c r="AHJ82" s="645"/>
      <c r="AHK82" s="646"/>
      <c r="AHL82" s="645"/>
      <c r="AHM82" s="646"/>
      <c r="AHN82" s="645"/>
      <c r="AHO82" s="646"/>
      <c r="AHP82" s="645"/>
      <c r="AHQ82" s="646"/>
      <c r="AHR82" s="645"/>
      <c r="AHS82" s="646"/>
      <c r="AHT82" s="645"/>
      <c r="AHU82" s="646"/>
      <c r="AHV82" s="645"/>
      <c r="AHW82" s="646"/>
      <c r="AHX82" s="645"/>
      <c r="AHY82" s="646"/>
      <c r="AHZ82" s="645"/>
      <c r="AIA82" s="646"/>
      <c r="AIB82" s="645"/>
      <c r="AIC82" s="646"/>
      <c r="AID82" s="645"/>
      <c r="AIE82" s="646"/>
      <c r="AIF82" s="645"/>
      <c r="AIG82" s="646"/>
      <c r="AIH82" s="645"/>
      <c r="AII82" s="646"/>
      <c r="AIJ82" s="645"/>
      <c r="AIK82" s="646"/>
      <c r="AIL82" s="645"/>
      <c r="AIM82" s="646"/>
      <c r="AIN82" s="645"/>
      <c r="AIO82" s="646"/>
      <c r="AIP82" s="645"/>
      <c r="AIQ82" s="645"/>
      <c r="AIR82" s="645"/>
      <c r="AIS82" s="645"/>
      <c r="AIT82" s="645"/>
      <c r="AIU82" s="645"/>
      <c r="AIV82" s="645"/>
      <c r="AIW82" s="645"/>
      <c r="AIX82" s="645"/>
      <c r="AIY82" s="645"/>
      <c r="AIZ82" s="645"/>
      <c r="AJA82" s="645"/>
      <c r="AJB82" s="645"/>
      <c r="AJC82" s="645"/>
      <c r="AJD82" s="645"/>
      <c r="AJE82" s="645"/>
      <c r="AJF82" s="645"/>
      <c r="AJG82" s="645"/>
      <c r="AJH82" s="645"/>
      <c r="AJI82" s="645"/>
      <c r="AJJ82" s="645"/>
      <c r="AJK82" s="645"/>
      <c r="AJL82" s="645"/>
      <c r="AJM82" s="645"/>
      <c r="AJN82" s="645"/>
      <c r="AJO82" s="645"/>
      <c r="AJP82" s="645"/>
      <c r="AJQ82" s="645"/>
      <c r="AJR82" s="645"/>
      <c r="AJS82" s="645"/>
      <c r="AJT82" s="645"/>
      <c r="AJU82" s="645"/>
      <c r="AJV82" s="645"/>
      <c r="AJW82" s="645"/>
      <c r="AJX82" s="645"/>
      <c r="AJY82" s="645"/>
      <c r="AJZ82" s="645"/>
      <c r="AKA82" s="645"/>
      <c r="AKB82" s="645"/>
      <c r="AKC82" s="645"/>
      <c r="AKD82" s="645"/>
      <c r="AKE82" s="645"/>
      <c r="AKF82" s="645"/>
      <c r="AKG82" s="645"/>
      <c r="AKH82" s="645"/>
      <c r="AKI82" s="645"/>
      <c r="AKJ82" s="645"/>
      <c r="AKK82" s="645"/>
      <c r="AKL82" s="645"/>
      <c r="AKM82" s="645"/>
      <c r="AKN82" s="645"/>
      <c r="AKO82" s="645"/>
      <c r="AKP82" s="645"/>
      <c r="AKQ82" s="645"/>
      <c r="AKR82" s="645"/>
      <c r="AKS82" s="645"/>
      <c r="AKT82" s="645"/>
      <c r="AKU82" s="645"/>
      <c r="AKV82" s="645"/>
      <c r="AKW82" s="645"/>
      <c r="AKX82" s="645"/>
      <c r="AKY82" s="645"/>
      <c r="AKZ82" s="645"/>
      <c r="ALA82" s="645"/>
      <c r="ALB82" s="645"/>
      <c r="ALC82" s="645"/>
      <c r="ALD82" s="645"/>
      <c r="ALE82" s="645"/>
      <c r="ALF82" s="645"/>
      <c r="ALG82" s="645"/>
      <c r="ALH82" s="645"/>
      <c r="ALI82" s="645"/>
      <c r="ALJ82" s="645"/>
      <c r="ALK82" s="645"/>
      <c r="ALL82" s="645"/>
      <c r="ALM82" s="645"/>
      <c r="ALN82" s="645"/>
      <c r="ALO82" s="645"/>
      <c r="ALP82" s="645"/>
      <c r="ALQ82" s="645"/>
      <c r="ALR82" s="645"/>
      <c r="ALS82" s="645"/>
      <c r="ALT82" s="645"/>
      <c r="ALU82" s="645"/>
      <c r="ALV82" s="645"/>
      <c r="ALW82" s="645"/>
      <c r="ALX82" s="645"/>
      <c r="ALY82" s="645"/>
      <c r="ALZ82" s="645"/>
      <c r="AMA82" s="645"/>
      <c r="AMB82" s="645"/>
      <c r="AMC82" s="645"/>
      <c r="AMD82" s="645"/>
      <c r="AME82" s="645"/>
      <c r="AMF82" s="645"/>
      <c r="AMG82" s="645"/>
      <c r="AMH82" s="645"/>
      <c r="AMI82" s="645"/>
      <c r="AMJ82" s="645"/>
    </row>
    <row r="83" spans="1:1024" s="37" customFormat="1" ht="15.75" customHeight="1" x14ac:dyDescent="0.35">
      <c r="A83" s="600"/>
      <c r="B83" s="648" t="s">
        <v>338</v>
      </c>
      <c r="C83" s="645"/>
      <c r="D83" s="646"/>
      <c r="E83" s="645"/>
      <c r="F83" s="646"/>
      <c r="G83" s="647" t="s">
        <v>243</v>
      </c>
      <c r="H83" s="643"/>
      <c r="I83" s="645"/>
      <c r="J83" s="38"/>
      <c r="K83" s="38"/>
      <c r="L83" s="39"/>
      <c r="M83" s="38"/>
      <c r="N83" s="39"/>
      <c r="O83" s="38"/>
      <c r="P83" s="39"/>
      <c r="Q83" s="38"/>
      <c r="R83" s="39"/>
      <c r="S83" s="38"/>
      <c r="T83" s="39"/>
      <c r="U83" s="38"/>
      <c r="V83" s="39"/>
      <c r="W83" s="38"/>
      <c r="X83" s="39"/>
      <c r="Y83" s="38"/>
      <c r="Z83" s="39"/>
      <c r="AA83" s="38"/>
      <c r="AB83" s="39"/>
      <c r="AC83" s="38"/>
      <c r="AD83" s="39"/>
      <c r="AE83" s="38"/>
      <c r="AF83" s="39"/>
      <c r="AG83" s="38"/>
      <c r="AH83" s="39"/>
      <c r="AI83" s="38"/>
      <c r="AJ83" s="39"/>
      <c r="AK83" s="40"/>
      <c r="AL83" s="39"/>
      <c r="AM83" s="40"/>
      <c r="AN83" s="39"/>
      <c r="AO83" s="40"/>
      <c r="AP83" s="39"/>
      <c r="AQ83" s="40"/>
      <c r="AR83" s="39"/>
      <c r="AS83" s="40"/>
      <c r="AT83" s="39"/>
      <c r="AU83" s="40"/>
      <c r="AV83" s="39"/>
      <c r="AW83" s="40"/>
      <c r="AX83" s="39"/>
      <c r="AY83" s="40"/>
      <c r="AZ83" s="39"/>
      <c r="BA83" s="40"/>
      <c r="BB83" s="39"/>
      <c r="BC83" s="40"/>
      <c r="BD83" s="39"/>
      <c r="BE83" s="40"/>
      <c r="BF83" s="39"/>
      <c r="BG83" s="40"/>
      <c r="BH83" s="39"/>
      <c r="BI83" s="40"/>
      <c r="BJ83" s="39"/>
      <c r="BK83" s="40"/>
      <c r="BL83" s="39"/>
      <c r="BM83" s="40"/>
      <c r="BN83" s="39"/>
      <c r="BO83" s="40"/>
      <c r="BP83" s="39"/>
      <c r="BQ83" s="40"/>
      <c r="BR83" s="39"/>
      <c r="BS83" s="40"/>
      <c r="BT83" s="39"/>
      <c r="BU83" s="40"/>
      <c r="BV83" s="39"/>
      <c r="BW83" s="40"/>
      <c r="BX83" s="39"/>
      <c r="BY83" s="40"/>
      <c r="BZ83" s="39"/>
      <c r="CA83" s="40"/>
      <c r="CB83" s="39"/>
      <c r="CC83" s="40"/>
      <c r="CD83" s="39"/>
      <c r="CE83" s="40"/>
      <c r="CF83" s="39"/>
      <c r="CG83" s="40"/>
      <c r="CH83" s="39"/>
      <c r="CI83" s="40"/>
      <c r="CJ83" s="39"/>
      <c r="CK83" s="40"/>
      <c r="CL83" s="39"/>
      <c r="CM83" s="40"/>
      <c r="CN83" s="39"/>
      <c r="CO83" s="40"/>
      <c r="CP83" s="39"/>
      <c r="CQ83" s="40"/>
      <c r="CR83" s="39"/>
      <c r="CS83" s="40"/>
      <c r="CT83" s="39"/>
      <c r="CU83" s="40"/>
      <c r="CV83" s="39"/>
      <c r="CW83" s="40"/>
      <c r="CX83" s="39"/>
      <c r="CY83" s="40"/>
      <c r="CZ83" s="39"/>
      <c r="DA83" s="40"/>
      <c r="DB83" s="39"/>
      <c r="DC83" s="40"/>
      <c r="DD83" s="39"/>
      <c r="DE83" s="40"/>
      <c r="DF83" s="39"/>
      <c r="DG83" s="40"/>
      <c r="DH83" s="39"/>
      <c r="DI83" s="40"/>
      <c r="DJ83" s="39"/>
      <c r="DK83" s="40"/>
      <c r="DL83" s="39"/>
      <c r="DM83" s="40"/>
      <c r="DN83" s="39"/>
      <c r="DO83" s="40"/>
      <c r="DP83" s="39"/>
      <c r="DQ83" s="40"/>
      <c r="DR83" s="39"/>
      <c r="DS83" s="40"/>
      <c r="DT83" s="39"/>
      <c r="DU83" s="40"/>
      <c r="DV83" s="39"/>
      <c r="DW83" s="40"/>
      <c r="DX83" s="39"/>
      <c r="DY83" s="40"/>
      <c r="DZ83" s="39"/>
      <c r="EA83" s="40"/>
      <c r="EB83" s="39"/>
      <c r="EC83" s="40"/>
      <c r="ED83" s="39"/>
      <c r="EE83" s="40"/>
      <c r="EF83" s="39"/>
      <c r="EG83" s="40"/>
      <c r="EH83" s="39"/>
      <c r="EI83" s="40"/>
      <c r="EJ83" s="39"/>
      <c r="EK83" s="40"/>
      <c r="EL83" s="39"/>
      <c r="EM83" s="40"/>
      <c r="EN83" s="39"/>
      <c r="EO83" s="40"/>
      <c r="EP83" s="39"/>
      <c r="EQ83" s="40"/>
      <c r="ER83" s="39"/>
      <c r="ES83" s="40"/>
      <c r="ET83" s="39"/>
      <c r="EU83" s="40"/>
      <c r="EV83" s="39"/>
      <c r="EW83" s="40"/>
      <c r="EX83" s="39"/>
      <c r="EY83" s="40"/>
      <c r="EZ83" s="39"/>
      <c r="FA83" s="40"/>
      <c r="FB83" s="39"/>
      <c r="FC83" s="40"/>
      <c r="FD83" s="39"/>
      <c r="FE83" s="40"/>
      <c r="FF83" s="39"/>
      <c r="FG83" s="40"/>
      <c r="FH83" s="39"/>
      <c r="FI83" s="40"/>
      <c r="FJ83" s="39"/>
      <c r="FK83" s="40"/>
      <c r="FL83" s="39"/>
      <c r="FM83" s="40"/>
      <c r="FN83" s="39"/>
      <c r="FO83" s="40"/>
      <c r="FP83" s="39"/>
      <c r="FQ83" s="40"/>
      <c r="FR83" s="39"/>
      <c r="FS83" s="40"/>
      <c r="FT83" s="39"/>
      <c r="FU83" s="40"/>
      <c r="FV83" s="39"/>
      <c r="FW83" s="40"/>
      <c r="FX83" s="39"/>
      <c r="FY83" s="40"/>
      <c r="FZ83" s="39"/>
      <c r="GA83" s="40"/>
      <c r="GB83" s="39"/>
      <c r="GC83" s="40"/>
      <c r="GD83" s="39"/>
      <c r="GE83" s="40"/>
      <c r="GF83" s="39"/>
      <c r="GG83" s="40"/>
      <c r="GH83" s="39"/>
      <c r="GI83" s="40"/>
      <c r="GJ83" s="39"/>
      <c r="GK83" s="40"/>
      <c r="GL83" s="39"/>
      <c r="GM83" s="40"/>
      <c r="GN83" s="39"/>
      <c r="GO83" s="40"/>
      <c r="GP83" s="39"/>
      <c r="GQ83" s="40"/>
      <c r="GR83" s="39"/>
      <c r="GS83" s="40"/>
      <c r="GT83" s="39"/>
      <c r="GU83" s="40"/>
      <c r="GV83" s="39"/>
      <c r="GW83" s="40"/>
      <c r="GX83" s="39"/>
      <c r="GY83" s="40"/>
      <c r="GZ83" s="39"/>
      <c r="HA83" s="40"/>
      <c r="HB83" s="39"/>
      <c r="HC83" s="40"/>
      <c r="HD83" s="39"/>
      <c r="HE83" s="40"/>
      <c r="HF83" s="39"/>
      <c r="HG83" s="40"/>
      <c r="HH83" s="39"/>
      <c r="HI83" s="40"/>
      <c r="HJ83" s="39"/>
      <c r="HK83" s="40"/>
      <c r="HL83" s="39"/>
      <c r="HM83" s="40"/>
      <c r="HN83" s="39"/>
      <c r="HO83" s="40"/>
      <c r="HP83" s="39"/>
      <c r="HQ83" s="40"/>
      <c r="HR83" s="39"/>
      <c r="HS83" s="40"/>
      <c r="HT83" s="39"/>
      <c r="HU83" s="40"/>
      <c r="HV83" s="39"/>
      <c r="HW83" s="40"/>
      <c r="HX83" s="39"/>
      <c r="HY83" s="40"/>
      <c r="HZ83" s="39"/>
      <c r="IA83" s="40"/>
      <c r="IB83" s="39"/>
      <c r="IC83" s="1068"/>
      <c r="ID83" s="645"/>
      <c r="IE83" s="646"/>
      <c r="IF83" s="645"/>
      <c r="IG83" s="646"/>
      <c r="IH83" s="645"/>
      <c r="II83" s="646"/>
      <c r="IJ83" s="645"/>
      <c r="IK83" s="646"/>
      <c r="IL83" s="645"/>
      <c r="IM83" s="646"/>
      <c r="IN83" s="645"/>
      <c r="IO83" s="646"/>
      <c r="IP83" s="645"/>
      <c r="IQ83" s="646"/>
      <c r="IR83" s="645"/>
      <c r="IS83" s="646"/>
      <c r="IT83" s="645"/>
      <c r="IU83" s="646"/>
      <c r="IV83" s="645"/>
      <c r="IW83" s="646"/>
      <c r="IX83" s="645"/>
      <c r="IY83" s="646"/>
      <c r="IZ83" s="645"/>
      <c r="JA83" s="646"/>
      <c r="JB83" s="645"/>
      <c r="JC83" s="646"/>
      <c r="JD83" s="645"/>
      <c r="JE83" s="646"/>
      <c r="JF83" s="645"/>
      <c r="JG83" s="646"/>
      <c r="JH83" s="645"/>
      <c r="JI83" s="646"/>
      <c r="JJ83" s="645"/>
      <c r="JK83" s="646"/>
      <c r="JL83" s="645"/>
      <c r="JM83" s="646"/>
      <c r="JN83" s="645"/>
      <c r="JO83" s="646"/>
      <c r="JP83" s="645"/>
      <c r="JQ83" s="646"/>
      <c r="JR83" s="645"/>
      <c r="JS83" s="646"/>
      <c r="JT83" s="645"/>
      <c r="JU83" s="646"/>
      <c r="JV83" s="645"/>
      <c r="JW83" s="646"/>
      <c r="JX83" s="645"/>
      <c r="JY83" s="646"/>
      <c r="JZ83" s="645"/>
      <c r="KA83" s="646"/>
      <c r="KB83" s="645"/>
      <c r="KC83" s="646"/>
      <c r="KD83" s="645"/>
      <c r="KE83" s="646"/>
      <c r="KF83" s="645"/>
      <c r="KG83" s="646"/>
      <c r="KH83" s="645"/>
      <c r="KI83" s="646"/>
      <c r="KJ83" s="645"/>
      <c r="KK83" s="646"/>
      <c r="KL83" s="645"/>
      <c r="KM83" s="646"/>
      <c r="KN83" s="645"/>
      <c r="KO83" s="646"/>
      <c r="KP83" s="645"/>
      <c r="KQ83" s="646"/>
      <c r="KR83" s="645"/>
      <c r="KS83" s="646"/>
      <c r="KT83" s="645"/>
      <c r="KU83" s="646"/>
      <c r="KV83" s="645"/>
      <c r="KW83" s="646"/>
      <c r="KX83" s="645"/>
      <c r="KY83" s="646"/>
      <c r="KZ83" s="645"/>
      <c r="LA83" s="646"/>
      <c r="LB83" s="645"/>
      <c r="LC83" s="646"/>
      <c r="LD83" s="645"/>
      <c r="LE83" s="646"/>
      <c r="LF83" s="645"/>
      <c r="LG83" s="646"/>
      <c r="LH83" s="645"/>
      <c r="LI83" s="646"/>
      <c r="LJ83" s="645"/>
      <c r="LK83" s="646"/>
      <c r="LL83" s="645"/>
      <c r="LM83" s="646"/>
      <c r="LN83" s="645"/>
      <c r="LO83" s="646"/>
      <c r="LP83" s="645"/>
      <c r="LQ83" s="646"/>
      <c r="LR83" s="645"/>
      <c r="LS83" s="646"/>
      <c r="LT83" s="645"/>
      <c r="LU83" s="646"/>
      <c r="LV83" s="645"/>
      <c r="LW83" s="646"/>
      <c r="LX83" s="645"/>
      <c r="LY83" s="646"/>
      <c r="LZ83" s="645"/>
      <c r="MA83" s="646"/>
      <c r="MB83" s="645"/>
      <c r="MC83" s="646"/>
      <c r="MD83" s="645"/>
      <c r="ME83" s="646"/>
      <c r="MF83" s="645"/>
      <c r="MG83" s="646"/>
      <c r="MH83" s="645"/>
      <c r="MI83" s="646"/>
      <c r="MJ83" s="645"/>
      <c r="MK83" s="646"/>
      <c r="ML83" s="645"/>
      <c r="MM83" s="646"/>
      <c r="MN83" s="645"/>
      <c r="MO83" s="646"/>
      <c r="MP83" s="645"/>
      <c r="MQ83" s="646"/>
      <c r="MR83" s="645"/>
      <c r="MS83" s="646"/>
      <c r="MT83" s="645"/>
      <c r="MU83" s="646"/>
      <c r="MV83" s="645"/>
      <c r="MW83" s="646"/>
      <c r="MX83" s="645"/>
      <c r="MY83" s="646"/>
      <c r="MZ83" s="645"/>
      <c r="NA83" s="646"/>
      <c r="NB83" s="645"/>
      <c r="NC83" s="646"/>
      <c r="ND83" s="645"/>
      <c r="NE83" s="646"/>
      <c r="NF83" s="645"/>
      <c r="NG83" s="646"/>
      <c r="NH83" s="645"/>
      <c r="NI83" s="646"/>
      <c r="NJ83" s="645"/>
      <c r="NK83" s="646"/>
      <c r="NL83" s="645"/>
      <c r="NM83" s="646"/>
      <c r="NN83" s="645"/>
      <c r="NO83" s="646"/>
      <c r="NP83" s="645"/>
      <c r="NQ83" s="646"/>
      <c r="NR83" s="645"/>
      <c r="NS83" s="646"/>
      <c r="NT83" s="645"/>
      <c r="NU83" s="646"/>
      <c r="NV83" s="645"/>
      <c r="NW83" s="646"/>
      <c r="NX83" s="645"/>
      <c r="NY83" s="646"/>
      <c r="NZ83" s="645"/>
      <c r="OA83" s="646"/>
      <c r="OB83" s="645"/>
      <c r="OC83" s="646"/>
      <c r="OD83" s="645"/>
      <c r="OE83" s="646"/>
      <c r="OF83" s="645"/>
      <c r="OG83" s="646"/>
      <c r="OH83" s="645"/>
      <c r="OI83" s="646"/>
      <c r="OJ83" s="645"/>
      <c r="OK83" s="646"/>
      <c r="OL83" s="645"/>
      <c r="OM83" s="646"/>
      <c r="ON83" s="645"/>
      <c r="OO83" s="646"/>
      <c r="OP83" s="645"/>
      <c r="OQ83" s="646"/>
      <c r="OR83" s="645"/>
      <c r="OS83" s="646"/>
      <c r="OT83" s="645"/>
      <c r="OU83" s="646"/>
      <c r="OV83" s="645"/>
      <c r="OW83" s="646"/>
      <c r="OX83" s="645"/>
      <c r="OY83" s="646"/>
      <c r="OZ83" s="645"/>
      <c r="PA83" s="646"/>
      <c r="PB83" s="645"/>
      <c r="PC83" s="646"/>
      <c r="PD83" s="645"/>
      <c r="PE83" s="646"/>
      <c r="PF83" s="645"/>
      <c r="PG83" s="646"/>
      <c r="PH83" s="645"/>
      <c r="PI83" s="646"/>
      <c r="PJ83" s="645"/>
      <c r="PK83" s="646"/>
      <c r="PL83" s="645"/>
      <c r="PM83" s="646"/>
      <c r="PN83" s="645"/>
      <c r="PO83" s="646"/>
      <c r="PP83" s="645"/>
      <c r="PQ83" s="646"/>
      <c r="PR83" s="645"/>
      <c r="PS83" s="646"/>
      <c r="PT83" s="645"/>
      <c r="PU83" s="646"/>
      <c r="PV83" s="645"/>
      <c r="PW83" s="646"/>
      <c r="PX83" s="645"/>
      <c r="PY83" s="646"/>
      <c r="PZ83" s="645"/>
      <c r="QA83" s="646"/>
      <c r="QB83" s="645"/>
      <c r="QC83" s="646"/>
      <c r="QD83" s="645"/>
      <c r="QE83" s="646"/>
      <c r="QF83" s="645"/>
      <c r="QG83" s="646"/>
      <c r="QH83" s="645"/>
      <c r="QI83" s="646"/>
      <c r="QJ83" s="645"/>
      <c r="QK83" s="646"/>
      <c r="QL83" s="645"/>
      <c r="QM83" s="646"/>
      <c r="QN83" s="645"/>
      <c r="QO83" s="646"/>
      <c r="QP83" s="645"/>
      <c r="QQ83" s="646"/>
      <c r="QR83" s="645"/>
      <c r="QS83" s="646"/>
      <c r="QT83" s="645"/>
      <c r="QU83" s="646"/>
      <c r="QV83" s="645"/>
      <c r="QW83" s="646"/>
      <c r="QX83" s="645"/>
      <c r="QY83" s="646"/>
      <c r="QZ83" s="645"/>
      <c r="RA83" s="646"/>
      <c r="RB83" s="645"/>
      <c r="RC83" s="646"/>
      <c r="RD83" s="645"/>
      <c r="RE83" s="646"/>
      <c r="RF83" s="645"/>
      <c r="RG83" s="646"/>
      <c r="RH83" s="645"/>
      <c r="RI83" s="646"/>
      <c r="RJ83" s="645"/>
      <c r="RK83" s="646"/>
      <c r="RL83" s="645"/>
      <c r="RM83" s="646"/>
      <c r="RN83" s="645"/>
      <c r="RO83" s="646"/>
      <c r="RP83" s="645"/>
      <c r="RQ83" s="646"/>
      <c r="RR83" s="645"/>
      <c r="RS83" s="646"/>
      <c r="RT83" s="645"/>
      <c r="RU83" s="646"/>
      <c r="RV83" s="645"/>
      <c r="RW83" s="646"/>
      <c r="RX83" s="645"/>
      <c r="RY83" s="646"/>
      <c r="RZ83" s="645"/>
      <c r="SA83" s="646"/>
      <c r="SB83" s="645"/>
      <c r="SC83" s="646"/>
      <c r="SD83" s="645"/>
      <c r="SE83" s="646"/>
      <c r="SF83" s="645"/>
      <c r="SG83" s="646"/>
      <c r="SH83" s="645"/>
      <c r="SI83" s="646"/>
      <c r="SJ83" s="645"/>
      <c r="SK83" s="646"/>
      <c r="SL83" s="645"/>
      <c r="SM83" s="646"/>
      <c r="SN83" s="645"/>
      <c r="SO83" s="646"/>
      <c r="SP83" s="645"/>
      <c r="SQ83" s="646"/>
      <c r="SR83" s="645"/>
      <c r="SS83" s="646"/>
      <c r="ST83" s="645"/>
      <c r="SU83" s="646"/>
      <c r="SV83" s="645"/>
      <c r="SW83" s="646"/>
      <c r="SX83" s="645"/>
      <c r="SY83" s="646"/>
      <c r="SZ83" s="645"/>
      <c r="TA83" s="646"/>
      <c r="TB83" s="645"/>
      <c r="TC83" s="646"/>
      <c r="TD83" s="645"/>
      <c r="TE83" s="646"/>
      <c r="TF83" s="645"/>
      <c r="TG83" s="646"/>
      <c r="TH83" s="645"/>
      <c r="TI83" s="646"/>
      <c r="TJ83" s="645"/>
      <c r="TK83" s="646"/>
      <c r="TL83" s="645"/>
      <c r="TM83" s="646"/>
      <c r="TN83" s="645"/>
      <c r="TO83" s="646"/>
      <c r="TP83" s="645"/>
      <c r="TQ83" s="646"/>
      <c r="TR83" s="645"/>
      <c r="TS83" s="646"/>
      <c r="TT83" s="645"/>
      <c r="TU83" s="646"/>
      <c r="TV83" s="645"/>
      <c r="TW83" s="646"/>
      <c r="TX83" s="645"/>
      <c r="TY83" s="646"/>
      <c r="TZ83" s="645"/>
      <c r="UA83" s="646"/>
      <c r="UB83" s="645"/>
      <c r="UC83" s="646"/>
      <c r="UD83" s="645"/>
      <c r="UE83" s="646"/>
      <c r="UF83" s="645"/>
      <c r="UG83" s="646"/>
      <c r="UH83" s="645"/>
      <c r="UI83" s="646"/>
      <c r="UJ83" s="645"/>
      <c r="UK83" s="646"/>
      <c r="UL83" s="645"/>
      <c r="UM83" s="646"/>
      <c r="UN83" s="645"/>
      <c r="UO83" s="646"/>
      <c r="UP83" s="645"/>
      <c r="UQ83" s="646"/>
      <c r="UR83" s="645"/>
      <c r="US83" s="646"/>
      <c r="UT83" s="645"/>
      <c r="UU83" s="646"/>
      <c r="UV83" s="645"/>
      <c r="UW83" s="646"/>
      <c r="UX83" s="645"/>
      <c r="UY83" s="646"/>
      <c r="UZ83" s="645"/>
      <c r="VA83" s="646"/>
      <c r="VB83" s="645"/>
      <c r="VC83" s="646"/>
      <c r="VD83" s="645"/>
      <c r="VE83" s="646"/>
      <c r="VF83" s="645"/>
      <c r="VG83" s="646"/>
      <c r="VH83" s="645"/>
      <c r="VI83" s="646"/>
      <c r="VJ83" s="645"/>
      <c r="VK83" s="646"/>
      <c r="VL83" s="645"/>
      <c r="VM83" s="646"/>
      <c r="VN83" s="645"/>
      <c r="VO83" s="646"/>
      <c r="VP83" s="645"/>
      <c r="VQ83" s="646"/>
      <c r="VR83" s="645"/>
      <c r="VS83" s="646"/>
      <c r="VT83" s="645"/>
      <c r="VU83" s="646"/>
      <c r="VV83" s="645"/>
      <c r="VW83" s="646"/>
      <c r="VX83" s="645"/>
      <c r="VY83" s="646"/>
      <c r="VZ83" s="645"/>
      <c r="WA83" s="646"/>
      <c r="WB83" s="645"/>
      <c r="WC83" s="646"/>
      <c r="WD83" s="645"/>
      <c r="WE83" s="646"/>
      <c r="WF83" s="645"/>
      <c r="WG83" s="646"/>
      <c r="WH83" s="645"/>
      <c r="WI83" s="646"/>
      <c r="WJ83" s="645"/>
      <c r="WK83" s="646"/>
      <c r="WL83" s="645"/>
      <c r="WM83" s="646"/>
      <c r="WN83" s="645"/>
      <c r="WO83" s="646"/>
      <c r="WP83" s="645"/>
      <c r="WQ83" s="646"/>
      <c r="WR83" s="645"/>
      <c r="WS83" s="646"/>
      <c r="WT83" s="645"/>
      <c r="WU83" s="646"/>
      <c r="WV83" s="645"/>
      <c r="WW83" s="646"/>
      <c r="WX83" s="645"/>
      <c r="WY83" s="646"/>
      <c r="WZ83" s="645"/>
      <c r="XA83" s="646"/>
      <c r="XB83" s="645"/>
      <c r="XC83" s="646"/>
      <c r="XD83" s="645"/>
      <c r="XE83" s="646"/>
      <c r="XF83" s="645"/>
      <c r="XG83" s="646"/>
      <c r="XH83" s="645"/>
      <c r="XI83" s="646"/>
      <c r="XJ83" s="645"/>
      <c r="XK83" s="646"/>
      <c r="XL83" s="645"/>
      <c r="XM83" s="646"/>
      <c r="XN83" s="645"/>
      <c r="XO83" s="646"/>
      <c r="XP83" s="645"/>
      <c r="XQ83" s="646"/>
      <c r="XR83" s="645"/>
      <c r="XS83" s="646"/>
      <c r="XT83" s="645"/>
      <c r="XU83" s="646"/>
      <c r="XV83" s="645"/>
      <c r="XW83" s="646"/>
      <c r="XX83" s="645"/>
      <c r="XY83" s="646"/>
      <c r="XZ83" s="645"/>
      <c r="YA83" s="646"/>
      <c r="YB83" s="645"/>
      <c r="YC83" s="646"/>
      <c r="YD83" s="645"/>
      <c r="YE83" s="646"/>
      <c r="YF83" s="645"/>
      <c r="YG83" s="646"/>
      <c r="YH83" s="645"/>
      <c r="YI83" s="646"/>
      <c r="YJ83" s="645"/>
      <c r="YK83" s="646"/>
      <c r="YL83" s="645"/>
      <c r="YM83" s="646"/>
      <c r="YN83" s="645"/>
      <c r="YO83" s="646"/>
      <c r="YP83" s="645"/>
      <c r="YQ83" s="646"/>
      <c r="YR83" s="645"/>
      <c r="YS83" s="646"/>
      <c r="YT83" s="645"/>
      <c r="YU83" s="646"/>
      <c r="YV83" s="645"/>
      <c r="YW83" s="646"/>
      <c r="YX83" s="645"/>
      <c r="YY83" s="646"/>
      <c r="YZ83" s="645"/>
      <c r="ZA83" s="646"/>
      <c r="ZB83" s="645"/>
      <c r="ZC83" s="646"/>
      <c r="ZD83" s="645"/>
      <c r="ZE83" s="646"/>
      <c r="ZF83" s="645"/>
      <c r="ZG83" s="646"/>
      <c r="ZH83" s="645"/>
      <c r="ZI83" s="646"/>
      <c r="ZJ83" s="645"/>
      <c r="ZK83" s="646"/>
      <c r="ZL83" s="645"/>
      <c r="ZM83" s="646"/>
      <c r="ZN83" s="645"/>
      <c r="ZO83" s="646"/>
      <c r="ZP83" s="645"/>
      <c r="ZQ83" s="646"/>
      <c r="ZR83" s="645"/>
      <c r="ZS83" s="646"/>
      <c r="ZT83" s="645"/>
      <c r="ZU83" s="646"/>
      <c r="ZV83" s="645"/>
      <c r="ZW83" s="646"/>
      <c r="ZX83" s="645"/>
      <c r="ZY83" s="646"/>
      <c r="ZZ83" s="645"/>
      <c r="AAA83" s="646"/>
      <c r="AAB83" s="645"/>
      <c r="AAC83" s="646"/>
      <c r="AAD83" s="645"/>
      <c r="AAE83" s="646"/>
      <c r="AAF83" s="645"/>
      <c r="AAG83" s="646"/>
      <c r="AAH83" s="645"/>
      <c r="AAI83" s="646"/>
      <c r="AAJ83" s="645"/>
      <c r="AAK83" s="646"/>
      <c r="AAL83" s="645"/>
      <c r="AAM83" s="646"/>
      <c r="AAN83" s="645"/>
      <c r="AAO83" s="646"/>
      <c r="AAP83" s="645"/>
      <c r="AAQ83" s="646"/>
      <c r="AAR83" s="645"/>
      <c r="AAS83" s="646"/>
      <c r="AAT83" s="645"/>
      <c r="AAU83" s="646"/>
      <c r="AAV83" s="645"/>
      <c r="AAW83" s="646"/>
      <c r="AAX83" s="645"/>
      <c r="AAY83" s="646"/>
      <c r="AAZ83" s="645"/>
      <c r="ABA83" s="646"/>
      <c r="ABB83" s="645"/>
      <c r="ABC83" s="646"/>
      <c r="ABD83" s="645"/>
      <c r="ABE83" s="646"/>
      <c r="ABF83" s="645"/>
      <c r="ABG83" s="646"/>
      <c r="ABH83" s="645"/>
      <c r="ABI83" s="646"/>
      <c r="ABJ83" s="645"/>
      <c r="ABK83" s="646"/>
      <c r="ABL83" s="645"/>
      <c r="ABM83" s="646"/>
      <c r="ABN83" s="645"/>
      <c r="ABO83" s="646"/>
      <c r="ABP83" s="645"/>
      <c r="ABQ83" s="646"/>
      <c r="ABR83" s="645"/>
      <c r="ABS83" s="646"/>
      <c r="ABT83" s="645"/>
      <c r="ABU83" s="646"/>
      <c r="ABV83" s="645"/>
      <c r="ABW83" s="646"/>
      <c r="ABX83" s="645"/>
      <c r="ABY83" s="646"/>
      <c r="ABZ83" s="645"/>
      <c r="ACA83" s="646"/>
      <c r="ACB83" s="645"/>
      <c r="ACC83" s="646"/>
      <c r="ACD83" s="645"/>
      <c r="ACE83" s="646"/>
      <c r="ACF83" s="645"/>
      <c r="ACG83" s="646"/>
      <c r="ACH83" s="645"/>
      <c r="ACI83" s="646"/>
      <c r="ACJ83" s="645"/>
      <c r="ACK83" s="646"/>
      <c r="ACL83" s="645"/>
      <c r="ACM83" s="646"/>
      <c r="ACN83" s="645"/>
      <c r="ACO83" s="646"/>
      <c r="ACP83" s="645"/>
      <c r="ACQ83" s="646"/>
      <c r="ACR83" s="645"/>
      <c r="ACS83" s="646"/>
      <c r="ACT83" s="645"/>
      <c r="ACU83" s="646"/>
      <c r="ACV83" s="645"/>
      <c r="ACW83" s="646"/>
      <c r="ACX83" s="645"/>
      <c r="ACY83" s="646"/>
      <c r="ACZ83" s="645"/>
      <c r="ADA83" s="646"/>
      <c r="ADB83" s="645"/>
      <c r="ADC83" s="646"/>
      <c r="ADD83" s="645"/>
      <c r="ADE83" s="646"/>
      <c r="ADF83" s="645"/>
      <c r="ADG83" s="646"/>
      <c r="ADH83" s="645"/>
      <c r="ADI83" s="646"/>
      <c r="ADJ83" s="645"/>
      <c r="ADK83" s="646"/>
      <c r="ADL83" s="645"/>
      <c r="ADM83" s="646"/>
      <c r="ADN83" s="645"/>
      <c r="ADO83" s="646"/>
      <c r="ADP83" s="645"/>
      <c r="ADQ83" s="646"/>
      <c r="ADR83" s="645"/>
      <c r="ADS83" s="646"/>
      <c r="ADT83" s="645"/>
      <c r="ADU83" s="646"/>
      <c r="ADV83" s="645"/>
      <c r="ADW83" s="646"/>
      <c r="ADX83" s="645"/>
      <c r="ADY83" s="646"/>
      <c r="ADZ83" s="645"/>
      <c r="AEA83" s="646"/>
      <c r="AEB83" s="645"/>
      <c r="AEC83" s="646"/>
      <c r="AED83" s="645"/>
      <c r="AEE83" s="646"/>
      <c r="AEF83" s="645"/>
      <c r="AEG83" s="646"/>
      <c r="AEH83" s="645"/>
      <c r="AEI83" s="646"/>
      <c r="AEJ83" s="645"/>
      <c r="AEK83" s="646"/>
      <c r="AEL83" s="645"/>
      <c r="AEM83" s="646"/>
      <c r="AEN83" s="645"/>
      <c r="AEO83" s="646"/>
      <c r="AEP83" s="645"/>
      <c r="AEQ83" s="646"/>
      <c r="AER83" s="645"/>
      <c r="AES83" s="646"/>
      <c r="AET83" s="645"/>
      <c r="AEU83" s="646"/>
      <c r="AEV83" s="645"/>
      <c r="AEW83" s="646"/>
      <c r="AEX83" s="645"/>
      <c r="AEY83" s="646"/>
      <c r="AEZ83" s="645"/>
      <c r="AFA83" s="646"/>
      <c r="AFB83" s="645"/>
      <c r="AFC83" s="646"/>
      <c r="AFD83" s="645"/>
      <c r="AFE83" s="646"/>
      <c r="AFF83" s="645"/>
      <c r="AFG83" s="646"/>
      <c r="AFH83" s="645"/>
      <c r="AFI83" s="646"/>
      <c r="AFJ83" s="645"/>
      <c r="AFK83" s="646"/>
      <c r="AFL83" s="645"/>
      <c r="AFM83" s="646"/>
      <c r="AFN83" s="645"/>
      <c r="AFO83" s="646"/>
      <c r="AFP83" s="645"/>
      <c r="AFQ83" s="646"/>
      <c r="AFR83" s="645"/>
      <c r="AFS83" s="646"/>
      <c r="AFT83" s="645"/>
      <c r="AFU83" s="646"/>
      <c r="AFV83" s="645"/>
      <c r="AFW83" s="646"/>
      <c r="AFX83" s="645"/>
      <c r="AFY83" s="646"/>
      <c r="AFZ83" s="645"/>
      <c r="AGA83" s="646"/>
      <c r="AGB83" s="645"/>
      <c r="AGC83" s="646"/>
      <c r="AGD83" s="645"/>
      <c r="AGE83" s="646"/>
      <c r="AGF83" s="645"/>
      <c r="AGG83" s="646"/>
      <c r="AGH83" s="645"/>
      <c r="AGI83" s="646"/>
      <c r="AGJ83" s="645"/>
      <c r="AGK83" s="646"/>
      <c r="AGL83" s="645"/>
      <c r="AGM83" s="646"/>
      <c r="AGN83" s="645"/>
      <c r="AGO83" s="646"/>
      <c r="AGP83" s="645"/>
      <c r="AGQ83" s="646"/>
      <c r="AGR83" s="645"/>
      <c r="AGS83" s="646"/>
      <c r="AGT83" s="645"/>
      <c r="AGU83" s="646"/>
      <c r="AGV83" s="645"/>
      <c r="AGW83" s="646"/>
      <c r="AGX83" s="645"/>
      <c r="AGY83" s="646"/>
      <c r="AGZ83" s="645"/>
      <c r="AHA83" s="646"/>
      <c r="AHB83" s="645"/>
      <c r="AHC83" s="646"/>
      <c r="AHD83" s="645"/>
      <c r="AHE83" s="646"/>
      <c r="AHF83" s="645"/>
      <c r="AHG83" s="646"/>
      <c r="AHH83" s="645"/>
      <c r="AHI83" s="646"/>
      <c r="AHJ83" s="645"/>
      <c r="AHK83" s="646"/>
      <c r="AHL83" s="645"/>
      <c r="AHM83" s="646"/>
      <c r="AHN83" s="645"/>
      <c r="AHO83" s="646"/>
      <c r="AHP83" s="645"/>
      <c r="AHQ83" s="646"/>
      <c r="AHR83" s="645"/>
      <c r="AHS83" s="646"/>
      <c r="AHT83" s="645"/>
      <c r="AHU83" s="646"/>
      <c r="AHV83" s="645"/>
      <c r="AHW83" s="646"/>
      <c r="AHX83" s="645"/>
      <c r="AHY83" s="646"/>
      <c r="AHZ83" s="645"/>
      <c r="AIA83" s="646"/>
      <c r="AIB83" s="645"/>
      <c r="AIC83" s="646"/>
      <c r="AID83" s="645"/>
      <c r="AIE83" s="646"/>
      <c r="AIF83" s="645"/>
      <c r="AIG83" s="646"/>
      <c r="AIH83" s="645"/>
      <c r="AII83" s="646"/>
      <c r="AIJ83" s="645"/>
      <c r="AIK83" s="646"/>
      <c r="AIL83" s="645"/>
      <c r="AIM83" s="646"/>
      <c r="AIN83" s="645"/>
      <c r="AIO83" s="646"/>
      <c r="AIP83" s="645"/>
      <c r="AIQ83" s="645"/>
      <c r="AIR83" s="645"/>
      <c r="AIS83" s="645"/>
      <c r="AIT83" s="645"/>
      <c r="AIU83" s="645"/>
      <c r="AIV83" s="645"/>
      <c r="AIW83" s="645"/>
      <c r="AIX83" s="645"/>
      <c r="AIY83" s="645"/>
      <c r="AIZ83" s="645"/>
      <c r="AJA83" s="645"/>
      <c r="AJB83" s="645"/>
      <c r="AJC83" s="645"/>
      <c r="AJD83" s="645"/>
      <c r="AJE83" s="645"/>
      <c r="AJF83" s="645"/>
      <c r="AJG83" s="645"/>
      <c r="AJH83" s="645"/>
      <c r="AJI83" s="645"/>
      <c r="AJJ83" s="645"/>
      <c r="AJK83" s="645"/>
      <c r="AJL83" s="645"/>
      <c r="AJM83" s="645"/>
      <c r="AJN83" s="645"/>
      <c r="AJO83" s="645"/>
      <c r="AJP83" s="645"/>
      <c r="AJQ83" s="645"/>
      <c r="AJR83" s="645"/>
      <c r="AJS83" s="645"/>
      <c r="AJT83" s="645"/>
      <c r="AJU83" s="645"/>
      <c r="AJV83" s="645"/>
      <c r="AJW83" s="645"/>
      <c r="AJX83" s="645"/>
      <c r="AJY83" s="645"/>
      <c r="AJZ83" s="645"/>
      <c r="AKA83" s="645"/>
      <c r="AKB83" s="645"/>
      <c r="AKC83" s="645"/>
      <c r="AKD83" s="645"/>
      <c r="AKE83" s="645"/>
      <c r="AKF83" s="645"/>
      <c r="AKG83" s="645"/>
      <c r="AKH83" s="645"/>
      <c r="AKI83" s="645"/>
      <c r="AKJ83" s="645"/>
      <c r="AKK83" s="645"/>
      <c r="AKL83" s="645"/>
      <c r="AKM83" s="645"/>
      <c r="AKN83" s="645"/>
      <c r="AKO83" s="645"/>
      <c r="AKP83" s="645"/>
      <c r="AKQ83" s="645"/>
      <c r="AKR83" s="645"/>
      <c r="AKS83" s="645"/>
      <c r="AKT83" s="645"/>
      <c r="AKU83" s="645"/>
      <c r="AKV83" s="645"/>
      <c r="AKW83" s="645"/>
      <c r="AKX83" s="645"/>
      <c r="AKY83" s="645"/>
      <c r="AKZ83" s="645"/>
      <c r="ALA83" s="645"/>
      <c r="ALB83" s="645"/>
      <c r="ALC83" s="645"/>
      <c r="ALD83" s="645"/>
      <c r="ALE83" s="645"/>
      <c r="ALF83" s="645"/>
      <c r="ALG83" s="645"/>
      <c r="ALH83" s="645"/>
      <c r="ALI83" s="645"/>
      <c r="ALJ83" s="645"/>
      <c r="ALK83" s="645"/>
      <c r="ALL83" s="645"/>
      <c r="ALM83" s="645"/>
      <c r="ALN83" s="645"/>
      <c r="ALO83" s="645"/>
      <c r="ALP83" s="645"/>
      <c r="ALQ83" s="645"/>
      <c r="ALR83" s="645"/>
      <c r="ALS83" s="645"/>
      <c r="ALT83" s="645"/>
      <c r="ALU83" s="645"/>
      <c r="ALV83" s="645"/>
      <c r="ALW83" s="645"/>
      <c r="ALX83" s="645"/>
      <c r="ALY83" s="645"/>
      <c r="ALZ83" s="645"/>
      <c r="AMA83" s="645"/>
      <c r="AMB83" s="645"/>
      <c r="AMC83" s="645"/>
      <c r="AMD83" s="645"/>
      <c r="AME83" s="645"/>
      <c r="AMF83" s="645"/>
      <c r="AMG83" s="645"/>
      <c r="AMH83" s="645"/>
      <c r="AMI83" s="645"/>
      <c r="AMJ83" s="645"/>
    </row>
    <row r="84" spans="1:1024" s="37" customFormat="1" ht="15.75" customHeight="1" x14ac:dyDescent="0.35">
      <c r="A84" s="600"/>
      <c r="B84" s="648" t="s">
        <v>320</v>
      </c>
      <c r="C84" s="645"/>
      <c r="D84" s="646"/>
      <c r="E84" s="645"/>
      <c r="F84" s="646"/>
      <c r="G84" s="647" t="s">
        <v>241</v>
      </c>
      <c r="H84" s="643"/>
      <c r="I84" s="645"/>
      <c r="J84" s="38"/>
      <c r="K84" s="38"/>
      <c r="L84" s="39"/>
      <c r="M84" s="38"/>
      <c r="N84" s="39"/>
      <c r="O84" s="38"/>
      <c r="P84" s="39"/>
      <c r="Q84" s="38"/>
      <c r="R84" s="39"/>
      <c r="S84" s="38"/>
      <c r="T84" s="39"/>
      <c r="U84" s="38"/>
      <c r="V84" s="39"/>
      <c r="W84" s="38"/>
      <c r="X84" s="39"/>
      <c r="Y84" s="38"/>
      <c r="Z84" s="39"/>
      <c r="AA84" s="38"/>
      <c r="AB84" s="39"/>
      <c r="AC84" s="38"/>
      <c r="AD84" s="39"/>
      <c r="AE84" s="38"/>
      <c r="AF84" s="39"/>
      <c r="AG84" s="38"/>
      <c r="AH84" s="39"/>
      <c r="AI84" s="38"/>
      <c r="AJ84" s="39"/>
      <c r="AK84" s="40"/>
      <c r="AL84" s="39"/>
      <c r="AM84" s="40"/>
      <c r="AN84" s="39"/>
      <c r="AO84" s="40"/>
      <c r="AP84" s="39"/>
      <c r="AQ84" s="40"/>
      <c r="AR84" s="39"/>
      <c r="AS84" s="40"/>
      <c r="AT84" s="39"/>
      <c r="AU84" s="40"/>
      <c r="AV84" s="39"/>
      <c r="AW84" s="40"/>
      <c r="AX84" s="39"/>
      <c r="AY84" s="40"/>
      <c r="AZ84" s="39"/>
      <c r="BA84" s="40"/>
      <c r="BB84" s="39"/>
      <c r="BC84" s="40"/>
      <c r="BD84" s="39"/>
      <c r="BE84" s="40"/>
      <c r="BF84" s="39"/>
      <c r="BG84" s="40"/>
      <c r="BH84" s="39"/>
      <c r="BI84" s="40"/>
      <c r="BJ84" s="39"/>
      <c r="BK84" s="40"/>
      <c r="BL84" s="39"/>
      <c r="BM84" s="40"/>
      <c r="BN84" s="39"/>
      <c r="BO84" s="40"/>
      <c r="BP84" s="39"/>
      <c r="BQ84" s="40"/>
      <c r="BR84" s="39"/>
      <c r="BS84" s="40"/>
      <c r="BT84" s="39"/>
      <c r="BU84" s="40"/>
      <c r="BV84" s="39"/>
      <c r="BW84" s="40"/>
      <c r="BX84" s="39"/>
      <c r="BY84" s="40"/>
      <c r="BZ84" s="39"/>
      <c r="CA84" s="40"/>
      <c r="CB84" s="39"/>
      <c r="CC84" s="40"/>
      <c r="CD84" s="39"/>
      <c r="CE84" s="40"/>
      <c r="CF84" s="39"/>
      <c r="CG84" s="40"/>
      <c r="CH84" s="39"/>
      <c r="CI84" s="40"/>
      <c r="CJ84" s="39"/>
      <c r="CK84" s="40"/>
      <c r="CL84" s="39"/>
      <c r="CM84" s="40"/>
      <c r="CN84" s="39"/>
      <c r="CO84" s="40"/>
      <c r="CP84" s="39"/>
      <c r="CQ84" s="40"/>
      <c r="CR84" s="39"/>
      <c r="CS84" s="40"/>
      <c r="CT84" s="39"/>
      <c r="CU84" s="40"/>
      <c r="CV84" s="39"/>
      <c r="CW84" s="40"/>
      <c r="CX84" s="39"/>
      <c r="CY84" s="40"/>
      <c r="CZ84" s="39"/>
      <c r="DA84" s="40"/>
      <c r="DB84" s="39"/>
      <c r="DC84" s="40"/>
      <c r="DD84" s="39"/>
      <c r="DE84" s="40"/>
      <c r="DF84" s="39"/>
      <c r="DG84" s="40"/>
      <c r="DH84" s="39"/>
      <c r="DI84" s="40"/>
      <c r="DJ84" s="39"/>
      <c r="DK84" s="40"/>
      <c r="DL84" s="39"/>
      <c r="DM84" s="40"/>
      <c r="DN84" s="39"/>
      <c r="DO84" s="40"/>
      <c r="DP84" s="39"/>
      <c r="DQ84" s="40"/>
      <c r="DR84" s="39"/>
      <c r="DS84" s="40"/>
      <c r="DT84" s="39"/>
      <c r="DU84" s="40"/>
      <c r="DV84" s="39"/>
      <c r="DW84" s="40"/>
      <c r="DX84" s="39"/>
      <c r="DY84" s="40"/>
      <c r="DZ84" s="39"/>
      <c r="EA84" s="40"/>
      <c r="EB84" s="39"/>
      <c r="EC84" s="40"/>
      <c r="ED84" s="39"/>
      <c r="EE84" s="40"/>
      <c r="EF84" s="39"/>
      <c r="EG84" s="40"/>
      <c r="EH84" s="39"/>
      <c r="EI84" s="40"/>
      <c r="EJ84" s="39"/>
      <c r="EK84" s="40"/>
      <c r="EL84" s="39"/>
      <c r="EM84" s="40"/>
      <c r="EN84" s="39"/>
      <c r="EO84" s="40"/>
      <c r="EP84" s="39"/>
      <c r="EQ84" s="40"/>
      <c r="ER84" s="39"/>
      <c r="ES84" s="40"/>
      <c r="ET84" s="39"/>
      <c r="EU84" s="40"/>
      <c r="EV84" s="39"/>
      <c r="EW84" s="40"/>
      <c r="EX84" s="39"/>
      <c r="EY84" s="40"/>
      <c r="EZ84" s="39"/>
      <c r="FA84" s="40"/>
      <c r="FB84" s="39"/>
      <c r="FC84" s="40"/>
      <c r="FD84" s="39"/>
      <c r="FE84" s="40"/>
      <c r="FF84" s="39"/>
      <c r="FG84" s="40"/>
      <c r="FH84" s="39"/>
      <c r="FI84" s="40"/>
      <c r="FJ84" s="39"/>
      <c r="FK84" s="40"/>
      <c r="FL84" s="39"/>
      <c r="FM84" s="40"/>
      <c r="FN84" s="39"/>
      <c r="FO84" s="40"/>
      <c r="FP84" s="39"/>
      <c r="FQ84" s="40"/>
      <c r="FR84" s="39"/>
      <c r="FS84" s="40"/>
      <c r="FT84" s="39"/>
      <c r="FU84" s="40"/>
      <c r="FV84" s="39"/>
      <c r="FW84" s="40"/>
      <c r="FX84" s="39"/>
      <c r="FY84" s="40"/>
      <c r="FZ84" s="39"/>
      <c r="GA84" s="40"/>
      <c r="GB84" s="39"/>
      <c r="GC84" s="40"/>
      <c r="GD84" s="39"/>
      <c r="GE84" s="40"/>
      <c r="GF84" s="39"/>
      <c r="GG84" s="40"/>
      <c r="GH84" s="39"/>
      <c r="GI84" s="40"/>
      <c r="GJ84" s="39"/>
      <c r="GK84" s="40"/>
      <c r="GL84" s="39"/>
      <c r="GM84" s="40"/>
      <c r="GN84" s="39"/>
      <c r="GO84" s="40"/>
      <c r="GP84" s="39"/>
      <c r="GQ84" s="40"/>
      <c r="GR84" s="39"/>
      <c r="GS84" s="40"/>
      <c r="GT84" s="39"/>
      <c r="GU84" s="40"/>
      <c r="GV84" s="39"/>
      <c r="GW84" s="40"/>
      <c r="GX84" s="39"/>
      <c r="GY84" s="40"/>
      <c r="GZ84" s="39"/>
      <c r="HA84" s="40"/>
      <c r="HB84" s="39"/>
      <c r="HC84" s="40"/>
      <c r="HD84" s="39"/>
      <c r="HE84" s="40"/>
      <c r="HF84" s="39"/>
      <c r="HG84" s="40"/>
      <c r="HH84" s="39"/>
      <c r="HI84" s="40"/>
      <c r="HJ84" s="39"/>
      <c r="HK84" s="40"/>
      <c r="HL84" s="39"/>
      <c r="HM84" s="40"/>
      <c r="HN84" s="39"/>
      <c r="HO84" s="40"/>
      <c r="HP84" s="39"/>
      <c r="HQ84" s="40"/>
      <c r="HR84" s="39"/>
      <c r="HS84" s="40"/>
      <c r="HT84" s="39"/>
      <c r="HU84" s="40"/>
      <c r="HV84" s="39"/>
      <c r="HW84" s="40"/>
      <c r="HX84" s="39"/>
      <c r="HY84" s="40"/>
      <c r="HZ84" s="39"/>
      <c r="IA84" s="40"/>
      <c r="IB84" s="39"/>
      <c r="IC84" s="1068"/>
      <c r="ID84" s="645"/>
      <c r="IE84" s="646"/>
      <c r="IF84" s="645"/>
      <c r="IG84" s="646"/>
      <c r="IH84" s="645"/>
      <c r="II84" s="646"/>
      <c r="IJ84" s="645"/>
      <c r="IK84" s="646"/>
      <c r="IL84" s="645"/>
      <c r="IM84" s="646"/>
      <c r="IN84" s="645"/>
      <c r="IO84" s="646"/>
      <c r="IP84" s="645"/>
      <c r="IQ84" s="646"/>
      <c r="IR84" s="645"/>
      <c r="IS84" s="646"/>
      <c r="IT84" s="645"/>
      <c r="IU84" s="646"/>
      <c r="IV84" s="645"/>
      <c r="IW84" s="646"/>
      <c r="IX84" s="645"/>
      <c r="IY84" s="646"/>
      <c r="IZ84" s="645"/>
      <c r="JA84" s="646"/>
      <c r="JB84" s="645"/>
      <c r="JC84" s="646"/>
      <c r="JD84" s="645"/>
      <c r="JE84" s="646"/>
      <c r="JF84" s="645"/>
      <c r="JG84" s="646"/>
      <c r="JH84" s="645"/>
      <c r="JI84" s="646"/>
      <c r="JJ84" s="645"/>
      <c r="JK84" s="646"/>
      <c r="JL84" s="645"/>
      <c r="JM84" s="646"/>
      <c r="JN84" s="645"/>
      <c r="JO84" s="646"/>
      <c r="JP84" s="645"/>
      <c r="JQ84" s="646"/>
      <c r="JR84" s="645"/>
      <c r="JS84" s="646"/>
      <c r="JT84" s="645"/>
      <c r="JU84" s="646"/>
      <c r="JV84" s="645"/>
      <c r="JW84" s="646"/>
      <c r="JX84" s="645"/>
      <c r="JY84" s="646"/>
      <c r="JZ84" s="645"/>
      <c r="KA84" s="646"/>
      <c r="KB84" s="645"/>
      <c r="KC84" s="646"/>
      <c r="KD84" s="645"/>
      <c r="KE84" s="646"/>
      <c r="KF84" s="645"/>
      <c r="KG84" s="646"/>
      <c r="KH84" s="645"/>
      <c r="KI84" s="646"/>
      <c r="KJ84" s="645"/>
      <c r="KK84" s="646"/>
      <c r="KL84" s="645"/>
      <c r="KM84" s="646"/>
      <c r="KN84" s="645"/>
      <c r="KO84" s="646"/>
      <c r="KP84" s="645"/>
      <c r="KQ84" s="646"/>
      <c r="KR84" s="645"/>
      <c r="KS84" s="646"/>
      <c r="KT84" s="645"/>
      <c r="KU84" s="646"/>
      <c r="KV84" s="645"/>
      <c r="KW84" s="646"/>
      <c r="KX84" s="645"/>
      <c r="KY84" s="646"/>
      <c r="KZ84" s="645"/>
      <c r="LA84" s="646"/>
      <c r="LB84" s="645"/>
      <c r="LC84" s="646"/>
      <c r="LD84" s="645"/>
      <c r="LE84" s="646"/>
      <c r="LF84" s="645"/>
      <c r="LG84" s="646"/>
      <c r="LH84" s="645"/>
      <c r="LI84" s="646"/>
      <c r="LJ84" s="645"/>
      <c r="LK84" s="646"/>
      <c r="LL84" s="645"/>
      <c r="LM84" s="646"/>
      <c r="LN84" s="645"/>
      <c r="LO84" s="646"/>
      <c r="LP84" s="645"/>
      <c r="LQ84" s="646"/>
      <c r="LR84" s="645"/>
      <c r="LS84" s="646"/>
      <c r="LT84" s="645"/>
      <c r="LU84" s="646"/>
      <c r="LV84" s="645"/>
      <c r="LW84" s="646"/>
      <c r="LX84" s="645"/>
      <c r="LY84" s="646"/>
      <c r="LZ84" s="645"/>
      <c r="MA84" s="646"/>
      <c r="MB84" s="645"/>
      <c r="MC84" s="646"/>
      <c r="MD84" s="645"/>
      <c r="ME84" s="646"/>
      <c r="MF84" s="645"/>
      <c r="MG84" s="646"/>
      <c r="MH84" s="645"/>
      <c r="MI84" s="646"/>
      <c r="MJ84" s="645"/>
      <c r="MK84" s="646"/>
      <c r="ML84" s="645"/>
      <c r="MM84" s="646"/>
      <c r="MN84" s="645"/>
      <c r="MO84" s="646"/>
      <c r="MP84" s="645"/>
      <c r="MQ84" s="646"/>
      <c r="MR84" s="645"/>
      <c r="MS84" s="646"/>
      <c r="MT84" s="645"/>
      <c r="MU84" s="646"/>
      <c r="MV84" s="645"/>
      <c r="MW84" s="646"/>
      <c r="MX84" s="645"/>
      <c r="MY84" s="646"/>
      <c r="MZ84" s="645"/>
      <c r="NA84" s="646"/>
      <c r="NB84" s="645"/>
      <c r="NC84" s="646"/>
      <c r="ND84" s="645"/>
      <c r="NE84" s="646"/>
      <c r="NF84" s="645"/>
      <c r="NG84" s="646"/>
      <c r="NH84" s="645"/>
      <c r="NI84" s="646"/>
      <c r="NJ84" s="645"/>
      <c r="NK84" s="646"/>
      <c r="NL84" s="645"/>
      <c r="NM84" s="646"/>
      <c r="NN84" s="645"/>
      <c r="NO84" s="646"/>
      <c r="NP84" s="645"/>
      <c r="NQ84" s="646"/>
      <c r="NR84" s="645"/>
      <c r="NS84" s="646"/>
      <c r="NT84" s="645"/>
      <c r="NU84" s="646"/>
      <c r="NV84" s="645"/>
      <c r="NW84" s="646"/>
      <c r="NX84" s="645"/>
      <c r="NY84" s="646"/>
      <c r="NZ84" s="645"/>
      <c r="OA84" s="646"/>
      <c r="OB84" s="645"/>
      <c r="OC84" s="646"/>
      <c r="OD84" s="645"/>
      <c r="OE84" s="646"/>
      <c r="OF84" s="645"/>
      <c r="OG84" s="646"/>
      <c r="OH84" s="645"/>
      <c r="OI84" s="646"/>
      <c r="OJ84" s="645"/>
      <c r="OK84" s="646"/>
      <c r="OL84" s="645"/>
      <c r="OM84" s="646"/>
      <c r="ON84" s="645"/>
      <c r="OO84" s="646"/>
      <c r="OP84" s="645"/>
      <c r="OQ84" s="646"/>
      <c r="OR84" s="645"/>
      <c r="OS84" s="646"/>
      <c r="OT84" s="645"/>
      <c r="OU84" s="646"/>
      <c r="OV84" s="645"/>
      <c r="OW84" s="646"/>
      <c r="OX84" s="645"/>
      <c r="OY84" s="646"/>
      <c r="OZ84" s="645"/>
      <c r="PA84" s="646"/>
      <c r="PB84" s="645"/>
      <c r="PC84" s="646"/>
      <c r="PD84" s="645"/>
      <c r="PE84" s="646"/>
      <c r="PF84" s="645"/>
      <c r="PG84" s="646"/>
      <c r="PH84" s="645"/>
      <c r="PI84" s="646"/>
      <c r="PJ84" s="645"/>
      <c r="PK84" s="646"/>
      <c r="PL84" s="645"/>
      <c r="PM84" s="646"/>
      <c r="PN84" s="645"/>
      <c r="PO84" s="646"/>
      <c r="PP84" s="645"/>
      <c r="PQ84" s="646"/>
      <c r="PR84" s="645"/>
      <c r="PS84" s="646"/>
      <c r="PT84" s="645"/>
      <c r="PU84" s="646"/>
      <c r="PV84" s="645"/>
      <c r="PW84" s="646"/>
      <c r="PX84" s="645"/>
      <c r="PY84" s="646"/>
      <c r="PZ84" s="645"/>
      <c r="QA84" s="646"/>
      <c r="QB84" s="645"/>
      <c r="QC84" s="646"/>
      <c r="QD84" s="645"/>
      <c r="QE84" s="646"/>
      <c r="QF84" s="645"/>
      <c r="QG84" s="646"/>
      <c r="QH84" s="645"/>
      <c r="QI84" s="646"/>
      <c r="QJ84" s="645"/>
      <c r="QK84" s="646"/>
      <c r="QL84" s="645"/>
      <c r="QM84" s="646"/>
      <c r="QN84" s="645"/>
      <c r="QO84" s="646"/>
      <c r="QP84" s="645"/>
      <c r="QQ84" s="646"/>
      <c r="QR84" s="645"/>
      <c r="QS84" s="646"/>
      <c r="QT84" s="645"/>
      <c r="QU84" s="646"/>
      <c r="QV84" s="645"/>
      <c r="QW84" s="646"/>
      <c r="QX84" s="645"/>
      <c r="QY84" s="646"/>
      <c r="QZ84" s="645"/>
      <c r="RA84" s="646"/>
      <c r="RB84" s="645"/>
      <c r="RC84" s="646"/>
      <c r="RD84" s="645"/>
      <c r="RE84" s="646"/>
      <c r="RF84" s="645"/>
      <c r="RG84" s="646"/>
      <c r="RH84" s="645"/>
      <c r="RI84" s="646"/>
      <c r="RJ84" s="645"/>
      <c r="RK84" s="646"/>
      <c r="RL84" s="645"/>
      <c r="RM84" s="646"/>
      <c r="RN84" s="645"/>
      <c r="RO84" s="646"/>
      <c r="RP84" s="645"/>
      <c r="RQ84" s="646"/>
      <c r="RR84" s="645"/>
      <c r="RS84" s="646"/>
      <c r="RT84" s="645"/>
      <c r="RU84" s="646"/>
      <c r="RV84" s="645"/>
      <c r="RW84" s="646"/>
      <c r="RX84" s="645"/>
      <c r="RY84" s="646"/>
      <c r="RZ84" s="645"/>
      <c r="SA84" s="646"/>
      <c r="SB84" s="645"/>
      <c r="SC84" s="646"/>
      <c r="SD84" s="645"/>
      <c r="SE84" s="646"/>
      <c r="SF84" s="645"/>
      <c r="SG84" s="646"/>
      <c r="SH84" s="645"/>
      <c r="SI84" s="646"/>
      <c r="SJ84" s="645"/>
      <c r="SK84" s="646"/>
      <c r="SL84" s="645"/>
      <c r="SM84" s="646"/>
      <c r="SN84" s="645"/>
      <c r="SO84" s="646"/>
      <c r="SP84" s="645"/>
      <c r="SQ84" s="646"/>
      <c r="SR84" s="645"/>
      <c r="SS84" s="646"/>
      <c r="ST84" s="645"/>
      <c r="SU84" s="646"/>
      <c r="SV84" s="645"/>
      <c r="SW84" s="646"/>
      <c r="SX84" s="645"/>
      <c r="SY84" s="646"/>
      <c r="SZ84" s="645"/>
      <c r="TA84" s="646"/>
      <c r="TB84" s="645"/>
      <c r="TC84" s="646"/>
      <c r="TD84" s="645"/>
      <c r="TE84" s="646"/>
      <c r="TF84" s="645"/>
      <c r="TG84" s="646"/>
      <c r="TH84" s="645"/>
      <c r="TI84" s="646"/>
      <c r="TJ84" s="645"/>
      <c r="TK84" s="646"/>
      <c r="TL84" s="645"/>
      <c r="TM84" s="646"/>
      <c r="TN84" s="645"/>
      <c r="TO84" s="646"/>
      <c r="TP84" s="645"/>
      <c r="TQ84" s="646"/>
      <c r="TR84" s="645"/>
      <c r="TS84" s="646"/>
      <c r="TT84" s="645"/>
      <c r="TU84" s="646"/>
      <c r="TV84" s="645"/>
      <c r="TW84" s="646"/>
      <c r="TX84" s="645"/>
      <c r="TY84" s="646"/>
      <c r="TZ84" s="645"/>
      <c r="UA84" s="646"/>
      <c r="UB84" s="645"/>
      <c r="UC84" s="646"/>
      <c r="UD84" s="645"/>
      <c r="UE84" s="646"/>
      <c r="UF84" s="645"/>
      <c r="UG84" s="646"/>
      <c r="UH84" s="645"/>
      <c r="UI84" s="646"/>
      <c r="UJ84" s="645"/>
      <c r="UK84" s="646"/>
      <c r="UL84" s="645"/>
      <c r="UM84" s="646"/>
      <c r="UN84" s="645"/>
      <c r="UO84" s="646"/>
      <c r="UP84" s="645"/>
      <c r="UQ84" s="646"/>
      <c r="UR84" s="645"/>
      <c r="US84" s="646"/>
      <c r="UT84" s="645"/>
      <c r="UU84" s="646"/>
      <c r="UV84" s="645"/>
      <c r="UW84" s="646"/>
      <c r="UX84" s="645"/>
      <c r="UY84" s="646"/>
      <c r="UZ84" s="645"/>
      <c r="VA84" s="646"/>
      <c r="VB84" s="645"/>
      <c r="VC84" s="646"/>
      <c r="VD84" s="645"/>
      <c r="VE84" s="646"/>
      <c r="VF84" s="645"/>
      <c r="VG84" s="646"/>
      <c r="VH84" s="645"/>
      <c r="VI84" s="646"/>
      <c r="VJ84" s="645"/>
      <c r="VK84" s="646"/>
      <c r="VL84" s="645"/>
      <c r="VM84" s="646"/>
      <c r="VN84" s="645"/>
      <c r="VO84" s="646"/>
      <c r="VP84" s="645"/>
      <c r="VQ84" s="646"/>
      <c r="VR84" s="645"/>
      <c r="VS84" s="646"/>
      <c r="VT84" s="645"/>
      <c r="VU84" s="646"/>
      <c r="VV84" s="645"/>
      <c r="VW84" s="646"/>
      <c r="VX84" s="645"/>
      <c r="VY84" s="646"/>
      <c r="VZ84" s="645"/>
      <c r="WA84" s="646"/>
      <c r="WB84" s="645"/>
      <c r="WC84" s="646"/>
      <c r="WD84" s="645"/>
      <c r="WE84" s="646"/>
      <c r="WF84" s="645"/>
      <c r="WG84" s="646"/>
      <c r="WH84" s="645"/>
      <c r="WI84" s="646"/>
      <c r="WJ84" s="645"/>
      <c r="WK84" s="646"/>
      <c r="WL84" s="645"/>
      <c r="WM84" s="646"/>
      <c r="WN84" s="645"/>
      <c r="WO84" s="646"/>
      <c r="WP84" s="645"/>
      <c r="WQ84" s="646"/>
      <c r="WR84" s="645"/>
      <c r="WS84" s="646"/>
      <c r="WT84" s="645"/>
      <c r="WU84" s="646"/>
      <c r="WV84" s="645"/>
      <c r="WW84" s="646"/>
      <c r="WX84" s="645"/>
      <c r="WY84" s="646"/>
      <c r="WZ84" s="645"/>
      <c r="XA84" s="646"/>
      <c r="XB84" s="645"/>
      <c r="XC84" s="646"/>
      <c r="XD84" s="645"/>
      <c r="XE84" s="646"/>
      <c r="XF84" s="645"/>
      <c r="XG84" s="646"/>
      <c r="XH84" s="645"/>
      <c r="XI84" s="646"/>
      <c r="XJ84" s="645"/>
      <c r="XK84" s="646"/>
      <c r="XL84" s="645"/>
      <c r="XM84" s="646"/>
      <c r="XN84" s="645"/>
      <c r="XO84" s="646"/>
      <c r="XP84" s="645"/>
      <c r="XQ84" s="646"/>
      <c r="XR84" s="645"/>
      <c r="XS84" s="646"/>
      <c r="XT84" s="645"/>
      <c r="XU84" s="646"/>
      <c r="XV84" s="645"/>
      <c r="XW84" s="646"/>
      <c r="XX84" s="645"/>
      <c r="XY84" s="646"/>
      <c r="XZ84" s="645"/>
      <c r="YA84" s="646"/>
      <c r="YB84" s="645"/>
      <c r="YC84" s="646"/>
      <c r="YD84" s="645"/>
      <c r="YE84" s="646"/>
      <c r="YF84" s="645"/>
      <c r="YG84" s="646"/>
      <c r="YH84" s="645"/>
      <c r="YI84" s="646"/>
      <c r="YJ84" s="645"/>
      <c r="YK84" s="646"/>
      <c r="YL84" s="645"/>
      <c r="YM84" s="646"/>
      <c r="YN84" s="645"/>
      <c r="YO84" s="646"/>
      <c r="YP84" s="645"/>
      <c r="YQ84" s="646"/>
      <c r="YR84" s="645"/>
      <c r="YS84" s="646"/>
      <c r="YT84" s="645"/>
      <c r="YU84" s="646"/>
      <c r="YV84" s="645"/>
      <c r="YW84" s="646"/>
      <c r="YX84" s="645"/>
      <c r="YY84" s="646"/>
      <c r="YZ84" s="645"/>
      <c r="ZA84" s="646"/>
      <c r="ZB84" s="645"/>
      <c r="ZC84" s="646"/>
      <c r="ZD84" s="645"/>
      <c r="ZE84" s="646"/>
      <c r="ZF84" s="645"/>
      <c r="ZG84" s="646"/>
      <c r="ZH84" s="645"/>
      <c r="ZI84" s="646"/>
      <c r="ZJ84" s="645"/>
      <c r="ZK84" s="646"/>
      <c r="ZL84" s="645"/>
      <c r="ZM84" s="646"/>
      <c r="ZN84" s="645"/>
      <c r="ZO84" s="646"/>
      <c r="ZP84" s="645"/>
      <c r="ZQ84" s="646"/>
      <c r="ZR84" s="645"/>
      <c r="ZS84" s="646"/>
      <c r="ZT84" s="645"/>
      <c r="ZU84" s="646"/>
      <c r="ZV84" s="645"/>
      <c r="ZW84" s="646"/>
      <c r="ZX84" s="645"/>
      <c r="ZY84" s="646"/>
      <c r="ZZ84" s="645"/>
      <c r="AAA84" s="646"/>
      <c r="AAB84" s="645"/>
      <c r="AAC84" s="646"/>
      <c r="AAD84" s="645"/>
      <c r="AAE84" s="646"/>
      <c r="AAF84" s="645"/>
      <c r="AAG84" s="646"/>
      <c r="AAH84" s="645"/>
      <c r="AAI84" s="646"/>
      <c r="AAJ84" s="645"/>
      <c r="AAK84" s="646"/>
      <c r="AAL84" s="645"/>
      <c r="AAM84" s="646"/>
      <c r="AAN84" s="645"/>
      <c r="AAO84" s="646"/>
      <c r="AAP84" s="645"/>
      <c r="AAQ84" s="646"/>
      <c r="AAR84" s="645"/>
      <c r="AAS84" s="646"/>
      <c r="AAT84" s="645"/>
      <c r="AAU84" s="646"/>
      <c r="AAV84" s="645"/>
      <c r="AAW84" s="646"/>
      <c r="AAX84" s="645"/>
      <c r="AAY84" s="646"/>
      <c r="AAZ84" s="645"/>
      <c r="ABA84" s="646"/>
      <c r="ABB84" s="645"/>
      <c r="ABC84" s="646"/>
      <c r="ABD84" s="645"/>
      <c r="ABE84" s="646"/>
      <c r="ABF84" s="645"/>
      <c r="ABG84" s="646"/>
      <c r="ABH84" s="645"/>
      <c r="ABI84" s="646"/>
      <c r="ABJ84" s="645"/>
      <c r="ABK84" s="646"/>
      <c r="ABL84" s="645"/>
      <c r="ABM84" s="646"/>
      <c r="ABN84" s="645"/>
      <c r="ABO84" s="646"/>
      <c r="ABP84" s="645"/>
      <c r="ABQ84" s="646"/>
      <c r="ABR84" s="645"/>
      <c r="ABS84" s="646"/>
      <c r="ABT84" s="645"/>
      <c r="ABU84" s="646"/>
      <c r="ABV84" s="645"/>
      <c r="ABW84" s="646"/>
      <c r="ABX84" s="645"/>
      <c r="ABY84" s="646"/>
      <c r="ABZ84" s="645"/>
      <c r="ACA84" s="646"/>
      <c r="ACB84" s="645"/>
      <c r="ACC84" s="646"/>
      <c r="ACD84" s="645"/>
      <c r="ACE84" s="646"/>
      <c r="ACF84" s="645"/>
      <c r="ACG84" s="646"/>
      <c r="ACH84" s="645"/>
      <c r="ACI84" s="646"/>
      <c r="ACJ84" s="645"/>
      <c r="ACK84" s="646"/>
      <c r="ACL84" s="645"/>
      <c r="ACM84" s="646"/>
      <c r="ACN84" s="645"/>
      <c r="ACO84" s="646"/>
      <c r="ACP84" s="645"/>
      <c r="ACQ84" s="646"/>
      <c r="ACR84" s="645"/>
      <c r="ACS84" s="646"/>
      <c r="ACT84" s="645"/>
      <c r="ACU84" s="646"/>
      <c r="ACV84" s="645"/>
      <c r="ACW84" s="646"/>
      <c r="ACX84" s="645"/>
      <c r="ACY84" s="646"/>
      <c r="ACZ84" s="645"/>
      <c r="ADA84" s="646"/>
      <c r="ADB84" s="645"/>
      <c r="ADC84" s="646"/>
      <c r="ADD84" s="645"/>
      <c r="ADE84" s="646"/>
      <c r="ADF84" s="645"/>
      <c r="ADG84" s="646"/>
      <c r="ADH84" s="645"/>
      <c r="ADI84" s="646"/>
      <c r="ADJ84" s="645"/>
      <c r="ADK84" s="646"/>
      <c r="ADL84" s="645"/>
      <c r="ADM84" s="646"/>
      <c r="ADN84" s="645"/>
      <c r="ADO84" s="646"/>
      <c r="ADP84" s="645"/>
      <c r="ADQ84" s="646"/>
      <c r="ADR84" s="645"/>
      <c r="ADS84" s="646"/>
      <c r="ADT84" s="645"/>
      <c r="ADU84" s="646"/>
      <c r="ADV84" s="645"/>
      <c r="ADW84" s="646"/>
      <c r="ADX84" s="645"/>
      <c r="ADY84" s="646"/>
      <c r="ADZ84" s="645"/>
      <c r="AEA84" s="646"/>
      <c r="AEB84" s="645"/>
      <c r="AEC84" s="646"/>
      <c r="AED84" s="645"/>
      <c r="AEE84" s="646"/>
      <c r="AEF84" s="645"/>
      <c r="AEG84" s="646"/>
      <c r="AEH84" s="645"/>
      <c r="AEI84" s="646"/>
      <c r="AEJ84" s="645"/>
      <c r="AEK84" s="646"/>
      <c r="AEL84" s="645"/>
      <c r="AEM84" s="646"/>
      <c r="AEN84" s="645"/>
      <c r="AEO84" s="646"/>
      <c r="AEP84" s="645"/>
      <c r="AEQ84" s="646"/>
      <c r="AER84" s="645"/>
      <c r="AES84" s="646"/>
      <c r="AET84" s="645"/>
      <c r="AEU84" s="646"/>
      <c r="AEV84" s="645"/>
      <c r="AEW84" s="646"/>
      <c r="AEX84" s="645"/>
      <c r="AEY84" s="646"/>
      <c r="AEZ84" s="645"/>
      <c r="AFA84" s="646"/>
      <c r="AFB84" s="645"/>
      <c r="AFC84" s="646"/>
      <c r="AFD84" s="645"/>
      <c r="AFE84" s="646"/>
      <c r="AFF84" s="645"/>
      <c r="AFG84" s="646"/>
      <c r="AFH84" s="645"/>
      <c r="AFI84" s="646"/>
      <c r="AFJ84" s="645"/>
      <c r="AFK84" s="646"/>
      <c r="AFL84" s="645"/>
      <c r="AFM84" s="646"/>
      <c r="AFN84" s="645"/>
      <c r="AFO84" s="646"/>
      <c r="AFP84" s="645"/>
      <c r="AFQ84" s="646"/>
      <c r="AFR84" s="645"/>
      <c r="AFS84" s="646"/>
      <c r="AFT84" s="645"/>
      <c r="AFU84" s="646"/>
      <c r="AFV84" s="645"/>
      <c r="AFW84" s="646"/>
      <c r="AFX84" s="645"/>
      <c r="AFY84" s="646"/>
      <c r="AFZ84" s="645"/>
      <c r="AGA84" s="646"/>
      <c r="AGB84" s="645"/>
      <c r="AGC84" s="646"/>
      <c r="AGD84" s="645"/>
      <c r="AGE84" s="646"/>
      <c r="AGF84" s="645"/>
      <c r="AGG84" s="646"/>
      <c r="AGH84" s="645"/>
      <c r="AGI84" s="646"/>
      <c r="AGJ84" s="645"/>
      <c r="AGK84" s="646"/>
      <c r="AGL84" s="645"/>
      <c r="AGM84" s="646"/>
      <c r="AGN84" s="645"/>
      <c r="AGO84" s="646"/>
      <c r="AGP84" s="645"/>
      <c r="AGQ84" s="646"/>
      <c r="AGR84" s="645"/>
      <c r="AGS84" s="646"/>
      <c r="AGT84" s="645"/>
      <c r="AGU84" s="646"/>
      <c r="AGV84" s="645"/>
      <c r="AGW84" s="646"/>
      <c r="AGX84" s="645"/>
      <c r="AGY84" s="646"/>
      <c r="AGZ84" s="645"/>
      <c r="AHA84" s="646"/>
      <c r="AHB84" s="645"/>
      <c r="AHC84" s="646"/>
      <c r="AHD84" s="645"/>
      <c r="AHE84" s="646"/>
      <c r="AHF84" s="645"/>
      <c r="AHG84" s="646"/>
      <c r="AHH84" s="645"/>
      <c r="AHI84" s="646"/>
      <c r="AHJ84" s="645"/>
      <c r="AHK84" s="646"/>
      <c r="AHL84" s="645"/>
      <c r="AHM84" s="646"/>
      <c r="AHN84" s="645"/>
      <c r="AHO84" s="646"/>
      <c r="AHP84" s="645"/>
      <c r="AHQ84" s="646"/>
      <c r="AHR84" s="645"/>
      <c r="AHS84" s="646"/>
      <c r="AHT84" s="645"/>
      <c r="AHU84" s="646"/>
      <c r="AHV84" s="645"/>
      <c r="AHW84" s="646"/>
      <c r="AHX84" s="645"/>
      <c r="AHY84" s="646"/>
      <c r="AHZ84" s="645"/>
      <c r="AIA84" s="646"/>
      <c r="AIB84" s="645"/>
      <c r="AIC84" s="646"/>
      <c r="AID84" s="645"/>
      <c r="AIE84" s="646"/>
      <c r="AIF84" s="645"/>
      <c r="AIG84" s="646"/>
      <c r="AIH84" s="645"/>
      <c r="AII84" s="646"/>
      <c r="AIJ84" s="645"/>
      <c r="AIK84" s="646"/>
      <c r="AIL84" s="645"/>
      <c r="AIM84" s="646"/>
      <c r="AIN84" s="645"/>
      <c r="AIO84" s="646"/>
      <c r="AIP84" s="645"/>
      <c r="AIQ84" s="645"/>
      <c r="AIR84" s="645"/>
      <c r="AIS84" s="645"/>
      <c r="AIT84" s="645"/>
      <c r="AIU84" s="645"/>
      <c r="AIV84" s="645"/>
      <c r="AIW84" s="645"/>
      <c r="AIX84" s="645"/>
      <c r="AIY84" s="645"/>
      <c r="AIZ84" s="645"/>
      <c r="AJA84" s="645"/>
      <c r="AJB84" s="645"/>
      <c r="AJC84" s="645"/>
      <c r="AJD84" s="645"/>
      <c r="AJE84" s="645"/>
      <c r="AJF84" s="645"/>
      <c r="AJG84" s="645"/>
      <c r="AJH84" s="645"/>
      <c r="AJI84" s="645"/>
      <c r="AJJ84" s="645"/>
      <c r="AJK84" s="645"/>
      <c r="AJL84" s="645"/>
      <c r="AJM84" s="645"/>
      <c r="AJN84" s="645"/>
      <c r="AJO84" s="645"/>
      <c r="AJP84" s="645"/>
      <c r="AJQ84" s="645"/>
      <c r="AJR84" s="645"/>
      <c r="AJS84" s="645"/>
      <c r="AJT84" s="645"/>
      <c r="AJU84" s="645"/>
      <c r="AJV84" s="645"/>
      <c r="AJW84" s="645"/>
      <c r="AJX84" s="645"/>
      <c r="AJY84" s="645"/>
      <c r="AJZ84" s="645"/>
      <c r="AKA84" s="645"/>
      <c r="AKB84" s="645"/>
      <c r="AKC84" s="645"/>
      <c r="AKD84" s="645"/>
      <c r="AKE84" s="645"/>
      <c r="AKF84" s="645"/>
      <c r="AKG84" s="645"/>
      <c r="AKH84" s="645"/>
      <c r="AKI84" s="645"/>
      <c r="AKJ84" s="645"/>
      <c r="AKK84" s="645"/>
      <c r="AKL84" s="645"/>
      <c r="AKM84" s="645"/>
      <c r="AKN84" s="645"/>
      <c r="AKO84" s="645"/>
      <c r="AKP84" s="645"/>
      <c r="AKQ84" s="645"/>
      <c r="AKR84" s="645"/>
      <c r="AKS84" s="645"/>
      <c r="AKT84" s="645"/>
      <c r="AKU84" s="645"/>
      <c r="AKV84" s="645"/>
      <c r="AKW84" s="645"/>
      <c r="AKX84" s="645"/>
      <c r="AKY84" s="645"/>
      <c r="AKZ84" s="645"/>
      <c r="ALA84" s="645"/>
      <c r="ALB84" s="645"/>
      <c r="ALC84" s="645"/>
      <c r="ALD84" s="645"/>
      <c r="ALE84" s="645"/>
      <c r="ALF84" s="645"/>
      <c r="ALG84" s="645"/>
      <c r="ALH84" s="645"/>
      <c r="ALI84" s="645"/>
      <c r="ALJ84" s="645"/>
      <c r="ALK84" s="645"/>
      <c r="ALL84" s="645"/>
      <c r="ALM84" s="645"/>
      <c r="ALN84" s="645"/>
      <c r="ALO84" s="645"/>
      <c r="ALP84" s="645"/>
      <c r="ALQ84" s="645"/>
      <c r="ALR84" s="645"/>
      <c r="ALS84" s="645"/>
      <c r="ALT84" s="645"/>
      <c r="ALU84" s="645"/>
      <c r="ALV84" s="645"/>
      <c r="ALW84" s="645"/>
      <c r="ALX84" s="645"/>
      <c r="ALY84" s="645"/>
      <c r="ALZ84" s="645"/>
      <c r="AMA84" s="645"/>
      <c r="AMB84" s="645"/>
      <c r="AMC84" s="645"/>
      <c r="AMD84" s="645"/>
      <c r="AME84" s="645"/>
      <c r="AMF84" s="645"/>
      <c r="AMG84" s="645"/>
      <c r="AMH84" s="645"/>
      <c r="AMI84" s="645"/>
      <c r="AMJ84" s="645"/>
    </row>
    <row r="85" spans="1:1024" s="37" customFormat="1" ht="15.75" customHeight="1" x14ac:dyDescent="0.35">
      <c r="A85" s="600"/>
      <c r="B85" s="649" t="s">
        <v>339</v>
      </c>
      <c r="C85" s="645"/>
      <c r="D85" s="646"/>
      <c r="E85" s="645"/>
      <c r="F85" s="646"/>
      <c r="G85" s="647" t="s">
        <v>243</v>
      </c>
      <c r="H85" s="643"/>
      <c r="I85" s="645"/>
      <c r="J85" s="38"/>
      <c r="K85" s="38"/>
      <c r="L85" s="39"/>
      <c r="M85" s="38"/>
      <c r="N85" s="39"/>
      <c r="O85" s="38"/>
      <c r="P85" s="39"/>
      <c r="Q85" s="38"/>
      <c r="R85" s="39"/>
      <c r="S85" s="38"/>
      <c r="T85" s="39"/>
      <c r="U85" s="38"/>
      <c r="V85" s="39"/>
      <c r="W85" s="38"/>
      <c r="X85" s="39"/>
      <c r="Y85" s="38"/>
      <c r="Z85" s="39"/>
      <c r="AA85" s="38"/>
      <c r="AB85" s="39"/>
      <c r="AC85" s="38"/>
      <c r="AD85" s="39"/>
      <c r="AE85" s="38"/>
      <c r="AF85" s="39"/>
      <c r="AG85" s="38"/>
      <c r="AH85" s="39"/>
      <c r="AI85" s="38"/>
      <c r="AJ85" s="39"/>
      <c r="AK85" s="40"/>
      <c r="AL85" s="39"/>
      <c r="AM85" s="40"/>
      <c r="AN85" s="39"/>
      <c r="AO85" s="40"/>
      <c r="AP85" s="39"/>
      <c r="AQ85" s="40"/>
      <c r="AR85" s="39"/>
      <c r="AS85" s="40"/>
      <c r="AT85" s="39"/>
      <c r="AU85" s="40"/>
      <c r="AV85" s="39"/>
      <c r="AW85" s="40"/>
      <c r="AX85" s="39"/>
      <c r="AY85" s="40"/>
      <c r="AZ85" s="39"/>
      <c r="BA85" s="40"/>
      <c r="BB85" s="39"/>
      <c r="BC85" s="40"/>
      <c r="BD85" s="39"/>
      <c r="BE85" s="40"/>
      <c r="BF85" s="39"/>
      <c r="BG85" s="40"/>
      <c r="BH85" s="39"/>
      <c r="BI85" s="40"/>
      <c r="BJ85" s="39"/>
      <c r="BK85" s="40"/>
      <c r="BL85" s="39"/>
      <c r="BM85" s="40"/>
      <c r="BN85" s="39"/>
      <c r="BO85" s="40"/>
      <c r="BP85" s="39"/>
      <c r="BQ85" s="40"/>
      <c r="BR85" s="39"/>
      <c r="BS85" s="40"/>
      <c r="BT85" s="39"/>
      <c r="BU85" s="40"/>
      <c r="BV85" s="39"/>
      <c r="BW85" s="40"/>
      <c r="BX85" s="39"/>
      <c r="BY85" s="40"/>
      <c r="BZ85" s="39"/>
      <c r="CA85" s="40"/>
      <c r="CB85" s="39"/>
      <c r="CC85" s="40"/>
      <c r="CD85" s="39"/>
      <c r="CE85" s="40"/>
      <c r="CF85" s="39"/>
      <c r="CG85" s="40"/>
      <c r="CH85" s="39"/>
      <c r="CI85" s="40"/>
      <c r="CJ85" s="39"/>
      <c r="CK85" s="40"/>
      <c r="CL85" s="39"/>
      <c r="CM85" s="40"/>
      <c r="CN85" s="39"/>
      <c r="CO85" s="40"/>
      <c r="CP85" s="39"/>
      <c r="CQ85" s="40"/>
      <c r="CR85" s="39"/>
      <c r="CS85" s="40"/>
      <c r="CT85" s="39"/>
      <c r="CU85" s="40"/>
      <c r="CV85" s="39"/>
      <c r="CW85" s="40"/>
      <c r="CX85" s="39"/>
      <c r="CY85" s="40"/>
      <c r="CZ85" s="39"/>
      <c r="DA85" s="40"/>
      <c r="DB85" s="39"/>
      <c r="DC85" s="40"/>
      <c r="DD85" s="39"/>
      <c r="DE85" s="40"/>
      <c r="DF85" s="39"/>
      <c r="DG85" s="40"/>
      <c r="DH85" s="39"/>
      <c r="DI85" s="40"/>
      <c r="DJ85" s="39"/>
      <c r="DK85" s="40"/>
      <c r="DL85" s="39"/>
      <c r="DM85" s="40"/>
      <c r="DN85" s="39"/>
      <c r="DO85" s="40"/>
      <c r="DP85" s="39"/>
      <c r="DQ85" s="40"/>
      <c r="DR85" s="39"/>
      <c r="DS85" s="40"/>
      <c r="DT85" s="39"/>
      <c r="DU85" s="40"/>
      <c r="DV85" s="39"/>
      <c r="DW85" s="40"/>
      <c r="DX85" s="39"/>
      <c r="DY85" s="40"/>
      <c r="DZ85" s="39"/>
      <c r="EA85" s="40"/>
      <c r="EB85" s="39"/>
      <c r="EC85" s="40"/>
      <c r="ED85" s="39"/>
      <c r="EE85" s="40"/>
      <c r="EF85" s="39"/>
      <c r="EG85" s="40"/>
      <c r="EH85" s="39"/>
      <c r="EI85" s="40"/>
      <c r="EJ85" s="39"/>
      <c r="EK85" s="40"/>
      <c r="EL85" s="39"/>
      <c r="EM85" s="40"/>
      <c r="EN85" s="39"/>
      <c r="EO85" s="40"/>
      <c r="EP85" s="39"/>
      <c r="EQ85" s="40"/>
      <c r="ER85" s="39"/>
      <c r="ES85" s="40"/>
      <c r="ET85" s="39"/>
      <c r="EU85" s="40"/>
      <c r="EV85" s="39"/>
      <c r="EW85" s="40"/>
      <c r="EX85" s="39"/>
      <c r="EY85" s="40"/>
      <c r="EZ85" s="39"/>
      <c r="FA85" s="40"/>
      <c r="FB85" s="39"/>
      <c r="FC85" s="40"/>
      <c r="FD85" s="39"/>
      <c r="FE85" s="40"/>
      <c r="FF85" s="39"/>
      <c r="FG85" s="40"/>
      <c r="FH85" s="39"/>
      <c r="FI85" s="40"/>
      <c r="FJ85" s="39"/>
      <c r="FK85" s="40"/>
      <c r="FL85" s="39"/>
      <c r="FM85" s="40"/>
      <c r="FN85" s="39"/>
      <c r="FO85" s="40"/>
      <c r="FP85" s="39"/>
      <c r="FQ85" s="40"/>
      <c r="FR85" s="39"/>
      <c r="FS85" s="40"/>
      <c r="FT85" s="39"/>
      <c r="FU85" s="40"/>
      <c r="FV85" s="39"/>
      <c r="FW85" s="40"/>
      <c r="FX85" s="39"/>
      <c r="FY85" s="40"/>
      <c r="FZ85" s="39"/>
      <c r="GA85" s="40"/>
      <c r="GB85" s="39"/>
      <c r="GC85" s="40"/>
      <c r="GD85" s="39"/>
      <c r="GE85" s="40"/>
      <c r="GF85" s="39"/>
      <c r="GG85" s="40"/>
      <c r="GH85" s="39"/>
      <c r="GI85" s="40"/>
      <c r="GJ85" s="39"/>
      <c r="GK85" s="40"/>
      <c r="GL85" s="39"/>
      <c r="GM85" s="40"/>
      <c r="GN85" s="39"/>
      <c r="GO85" s="40"/>
      <c r="GP85" s="39"/>
      <c r="GQ85" s="40"/>
      <c r="GR85" s="39"/>
      <c r="GS85" s="40"/>
      <c r="GT85" s="39"/>
      <c r="GU85" s="40"/>
      <c r="GV85" s="39"/>
      <c r="GW85" s="40"/>
      <c r="GX85" s="39"/>
      <c r="GY85" s="40"/>
      <c r="GZ85" s="39"/>
      <c r="HA85" s="40"/>
      <c r="HB85" s="39"/>
      <c r="HC85" s="40"/>
      <c r="HD85" s="39"/>
      <c r="HE85" s="40"/>
      <c r="HF85" s="39"/>
      <c r="HG85" s="40"/>
      <c r="HH85" s="39"/>
      <c r="HI85" s="40"/>
      <c r="HJ85" s="39"/>
      <c r="HK85" s="40"/>
      <c r="HL85" s="39"/>
      <c r="HM85" s="40"/>
      <c r="HN85" s="39"/>
      <c r="HO85" s="40"/>
      <c r="HP85" s="39"/>
      <c r="HQ85" s="40"/>
      <c r="HR85" s="39"/>
      <c r="HS85" s="40"/>
      <c r="HT85" s="39"/>
      <c r="HU85" s="40"/>
      <c r="HV85" s="39"/>
      <c r="HW85" s="40"/>
      <c r="HX85" s="39"/>
      <c r="HY85" s="40"/>
      <c r="HZ85" s="39"/>
      <c r="IA85" s="40"/>
      <c r="IB85" s="39"/>
      <c r="IC85" s="1068"/>
      <c r="ID85" s="645"/>
      <c r="IE85" s="646"/>
      <c r="IF85" s="645"/>
      <c r="IG85" s="646"/>
      <c r="IH85" s="645"/>
      <c r="II85" s="646"/>
      <c r="IJ85" s="645"/>
      <c r="IK85" s="646"/>
      <c r="IL85" s="645"/>
      <c r="IM85" s="646"/>
      <c r="IN85" s="645"/>
      <c r="IO85" s="646"/>
      <c r="IP85" s="645"/>
      <c r="IQ85" s="646"/>
      <c r="IR85" s="645"/>
      <c r="IS85" s="646"/>
      <c r="IT85" s="645"/>
      <c r="IU85" s="646"/>
      <c r="IV85" s="645"/>
      <c r="IW85" s="646"/>
      <c r="IX85" s="645"/>
      <c r="IY85" s="646"/>
      <c r="IZ85" s="645"/>
      <c r="JA85" s="646"/>
      <c r="JB85" s="645"/>
      <c r="JC85" s="646"/>
      <c r="JD85" s="645"/>
      <c r="JE85" s="646"/>
      <c r="JF85" s="645"/>
      <c r="JG85" s="646"/>
      <c r="JH85" s="645"/>
      <c r="JI85" s="646"/>
      <c r="JJ85" s="645"/>
      <c r="JK85" s="646"/>
      <c r="JL85" s="645"/>
      <c r="JM85" s="646"/>
      <c r="JN85" s="645"/>
      <c r="JO85" s="646"/>
      <c r="JP85" s="645"/>
      <c r="JQ85" s="646"/>
      <c r="JR85" s="645"/>
      <c r="JS85" s="646"/>
      <c r="JT85" s="645"/>
      <c r="JU85" s="646"/>
      <c r="JV85" s="645"/>
      <c r="JW85" s="646"/>
      <c r="JX85" s="645"/>
      <c r="JY85" s="646"/>
      <c r="JZ85" s="645"/>
      <c r="KA85" s="646"/>
      <c r="KB85" s="645"/>
      <c r="KC85" s="646"/>
      <c r="KD85" s="645"/>
      <c r="KE85" s="646"/>
      <c r="KF85" s="645"/>
      <c r="KG85" s="646"/>
      <c r="KH85" s="645"/>
      <c r="KI85" s="646"/>
      <c r="KJ85" s="645"/>
      <c r="KK85" s="646"/>
      <c r="KL85" s="645"/>
      <c r="KM85" s="646"/>
      <c r="KN85" s="645"/>
      <c r="KO85" s="646"/>
      <c r="KP85" s="645"/>
      <c r="KQ85" s="646"/>
      <c r="KR85" s="645"/>
      <c r="KS85" s="646"/>
      <c r="KT85" s="645"/>
      <c r="KU85" s="646"/>
      <c r="KV85" s="645"/>
      <c r="KW85" s="646"/>
      <c r="KX85" s="645"/>
      <c r="KY85" s="646"/>
      <c r="KZ85" s="645"/>
      <c r="LA85" s="646"/>
      <c r="LB85" s="645"/>
      <c r="LC85" s="646"/>
      <c r="LD85" s="645"/>
      <c r="LE85" s="646"/>
      <c r="LF85" s="645"/>
      <c r="LG85" s="646"/>
      <c r="LH85" s="645"/>
      <c r="LI85" s="646"/>
      <c r="LJ85" s="645"/>
      <c r="LK85" s="646"/>
      <c r="LL85" s="645"/>
      <c r="LM85" s="646"/>
      <c r="LN85" s="645"/>
      <c r="LO85" s="646"/>
      <c r="LP85" s="645"/>
      <c r="LQ85" s="646"/>
      <c r="LR85" s="645"/>
      <c r="LS85" s="646"/>
      <c r="LT85" s="645"/>
      <c r="LU85" s="646"/>
      <c r="LV85" s="645"/>
      <c r="LW85" s="646"/>
      <c r="LX85" s="645"/>
      <c r="LY85" s="646"/>
      <c r="LZ85" s="645"/>
      <c r="MA85" s="646"/>
      <c r="MB85" s="645"/>
      <c r="MC85" s="646"/>
      <c r="MD85" s="645"/>
      <c r="ME85" s="646"/>
      <c r="MF85" s="645"/>
      <c r="MG85" s="646"/>
      <c r="MH85" s="645"/>
      <c r="MI85" s="646"/>
      <c r="MJ85" s="645"/>
      <c r="MK85" s="646"/>
      <c r="ML85" s="645"/>
      <c r="MM85" s="646"/>
      <c r="MN85" s="645"/>
      <c r="MO85" s="646"/>
      <c r="MP85" s="645"/>
      <c r="MQ85" s="646"/>
      <c r="MR85" s="645"/>
      <c r="MS85" s="646"/>
      <c r="MT85" s="645"/>
      <c r="MU85" s="646"/>
      <c r="MV85" s="645"/>
      <c r="MW85" s="646"/>
      <c r="MX85" s="645"/>
      <c r="MY85" s="646"/>
      <c r="MZ85" s="645"/>
      <c r="NA85" s="646"/>
      <c r="NB85" s="645"/>
      <c r="NC85" s="646"/>
      <c r="ND85" s="645"/>
      <c r="NE85" s="646"/>
      <c r="NF85" s="645"/>
      <c r="NG85" s="646"/>
      <c r="NH85" s="645"/>
      <c r="NI85" s="646"/>
      <c r="NJ85" s="645"/>
      <c r="NK85" s="646"/>
      <c r="NL85" s="645"/>
      <c r="NM85" s="646"/>
      <c r="NN85" s="645"/>
      <c r="NO85" s="646"/>
      <c r="NP85" s="645"/>
      <c r="NQ85" s="646"/>
      <c r="NR85" s="645"/>
      <c r="NS85" s="646"/>
      <c r="NT85" s="645"/>
      <c r="NU85" s="646"/>
      <c r="NV85" s="645"/>
      <c r="NW85" s="646"/>
      <c r="NX85" s="645"/>
      <c r="NY85" s="646"/>
      <c r="NZ85" s="645"/>
      <c r="OA85" s="646"/>
      <c r="OB85" s="645"/>
      <c r="OC85" s="646"/>
      <c r="OD85" s="645"/>
      <c r="OE85" s="646"/>
      <c r="OF85" s="645"/>
      <c r="OG85" s="646"/>
      <c r="OH85" s="645"/>
      <c r="OI85" s="646"/>
      <c r="OJ85" s="645"/>
      <c r="OK85" s="646"/>
      <c r="OL85" s="645"/>
      <c r="OM85" s="646"/>
      <c r="ON85" s="645"/>
      <c r="OO85" s="646"/>
      <c r="OP85" s="645"/>
      <c r="OQ85" s="646"/>
      <c r="OR85" s="645"/>
      <c r="OS85" s="646"/>
      <c r="OT85" s="645"/>
      <c r="OU85" s="646"/>
      <c r="OV85" s="645"/>
      <c r="OW85" s="646"/>
      <c r="OX85" s="645"/>
      <c r="OY85" s="646"/>
      <c r="OZ85" s="645"/>
      <c r="PA85" s="646"/>
      <c r="PB85" s="645"/>
      <c r="PC85" s="646"/>
      <c r="PD85" s="645"/>
      <c r="PE85" s="646"/>
      <c r="PF85" s="645"/>
      <c r="PG85" s="646"/>
      <c r="PH85" s="645"/>
      <c r="PI85" s="646"/>
      <c r="PJ85" s="645"/>
      <c r="PK85" s="646"/>
      <c r="PL85" s="645"/>
      <c r="PM85" s="646"/>
      <c r="PN85" s="645"/>
      <c r="PO85" s="646"/>
      <c r="PP85" s="645"/>
      <c r="PQ85" s="646"/>
      <c r="PR85" s="645"/>
      <c r="PS85" s="646"/>
      <c r="PT85" s="645"/>
      <c r="PU85" s="646"/>
      <c r="PV85" s="645"/>
      <c r="PW85" s="646"/>
      <c r="PX85" s="645"/>
      <c r="PY85" s="646"/>
      <c r="PZ85" s="645"/>
      <c r="QA85" s="646"/>
      <c r="QB85" s="645"/>
      <c r="QC85" s="646"/>
      <c r="QD85" s="645"/>
      <c r="QE85" s="646"/>
      <c r="QF85" s="645"/>
      <c r="QG85" s="646"/>
      <c r="QH85" s="645"/>
      <c r="QI85" s="646"/>
      <c r="QJ85" s="645"/>
      <c r="QK85" s="646"/>
      <c r="QL85" s="645"/>
      <c r="QM85" s="646"/>
      <c r="QN85" s="645"/>
      <c r="QO85" s="646"/>
      <c r="QP85" s="645"/>
      <c r="QQ85" s="646"/>
      <c r="QR85" s="645"/>
      <c r="QS85" s="646"/>
      <c r="QT85" s="645"/>
      <c r="QU85" s="646"/>
      <c r="QV85" s="645"/>
      <c r="QW85" s="646"/>
      <c r="QX85" s="645"/>
      <c r="QY85" s="646"/>
      <c r="QZ85" s="645"/>
      <c r="RA85" s="646"/>
      <c r="RB85" s="645"/>
      <c r="RC85" s="646"/>
      <c r="RD85" s="645"/>
      <c r="RE85" s="646"/>
      <c r="RF85" s="645"/>
      <c r="RG85" s="646"/>
      <c r="RH85" s="645"/>
      <c r="RI85" s="646"/>
      <c r="RJ85" s="645"/>
      <c r="RK85" s="646"/>
      <c r="RL85" s="645"/>
      <c r="RM85" s="646"/>
      <c r="RN85" s="645"/>
      <c r="RO85" s="646"/>
      <c r="RP85" s="645"/>
      <c r="RQ85" s="646"/>
      <c r="RR85" s="645"/>
      <c r="RS85" s="646"/>
      <c r="RT85" s="645"/>
      <c r="RU85" s="646"/>
      <c r="RV85" s="645"/>
      <c r="RW85" s="646"/>
      <c r="RX85" s="645"/>
      <c r="RY85" s="646"/>
      <c r="RZ85" s="645"/>
      <c r="SA85" s="646"/>
      <c r="SB85" s="645"/>
      <c r="SC85" s="646"/>
      <c r="SD85" s="645"/>
      <c r="SE85" s="646"/>
      <c r="SF85" s="645"/>
      <c r="SG85" s="646"/>
      <c r="SH85" s="645"/>
      <c r="SI85" s="646"/>
      <c r="SJ85" s="645"/>
      <c r="SK85" s="646"/>
      <c r="SL85" s="645"/>
      <c r="SM85" s="646"/>
      <c r="SN85" s="645"/>
      <c r="SO85" s="646"/>
      <c r="SP85" s="645"/>
      <c r="SQ85" s="646"/>
      <c r="SR85" s="645"/>
      <c r="SS85" s="646"/>
      <c r="ST85" s="645"/>
      <c r="SU85" s="646"/>
      <c r="SV85" s="645"/>
      <c r="SW85" s="646"/>
      <c r="SX85" s="645"/>
      <c r="SY85" s="646"/>
      <c r="SZ85" s="645"/>
      <c r="TA85" s="646"/>
      <c r="TB85" s="645"/>
      <c r="TC85" s="646"/>
      <c r="TD85" s="645"/>
      <c r="TE85" s="646"/>
      <c r="TF85" s="645"/>
      <c r="TG85" s="646"/>
      <c r="TH85" s="645"/>
      <c r="TI85" s="646"/>
      <c r="TJ85" s="645"/>
      <c r="TK85" s="646"/>
      <c r="TL85" s="645"/>
      <c r="TM85" s="646"/>
      <c r="TN85" s="645"/>
      <c r="TO85" s="646"/>
      <c r="TP85" s="645"/>
      <c r="TQ85" s="646"/>
      <c r="TR85" s="645"/>
      <c r="TS85" s="646"/>
      <c r="TT85" s="645"/>
      <c r="TU85" s="646"/>
      <c r="TV85" s="645"/>
      <c r="TW85" s="646"/>
      <c r="TX85" s="645"/>
      <c r="TY85" s="646"/>
      <c r="TZ85" s="645"/>
      <c r="UA85" s="646"/>
      <c r="UB85" s="645"/>
      <c r="UC85" s="646"/>
      <c r="UD85" s="645"/>
      <c r="UE85" s="646"/>
      <c r="UF85" s="645"/>
      <c r="UG85" s="646"/>
      <c r="UH85" s="645"/>
      <c r="UI85" s="646"/>
      <c r="UJ85" s="645"/>
      <c r="UK85" s="646"/>
      <c r="UL85" s="645"/>
      <c r="UM85" s="646"/>
      <c r="UN85" s="645"/>
      <c r="UO85" s="646"/>
      <c r="UP85" s="645"/>
      <c r="UQ85" s="646"/>
      <c r="UR85" s="645"/>
      <c r="US85" s="646"/>
      <c r="UT85" s="645"/>
      <c r="UU85" s="646"/>
      <c r="UV85" s="645"/>
      <c r="UW85" s="646"/>
      <c r="UX85" s="645"/>
      <c r="UY85" s="646"/>
      <c r="UZ85" s="645"/>
      <c r="VA85" s="646"/>
      <c r="VB85" s="645"/>
      <c r="VC85" s="646"/>
      <c r="VD85" s="645"/>
      <c r="VE85" s="646"/>
      <c r="VF85" s="645"/>
      <c r="VG85" s="646"/>
      <c r="VH85" s="645"/>
      <c r="VI85" s="646"/>
      <c r="VJ85" s="645"/>
      <c r="VK85" s="646"/>
      <c r="VL85" s="645"/>
      <c r="VM85" s="646"/>
      <c r="VN85" s="645"/>
      <c r="VO85" s="646"/>
      <c r="VP85" s="645"/>
      <c r="VQ85" s="646"/>
      <c r="VR85" s="645"/>
      <c r="VS85" s="646"/>
      <c r="VT85" s="645"/>
      <c r="VU85" s="646"/>
      <c r="VV85" s="645"/>
      <c r="VW85" s="646"/>
      <c r="VX85" s="645"/>
      <c r="VY85" s="646"/>
      <c r="VZ85" s="645"/>
      <c r="WA85" s="646"/>
      <c r="WB85" s="645"/>
      <c r="WC85" s="646"/>
      <c r="WD85" s="645"/>
      <c r="WE85" s="646"/>
      <c r="WF85" s="645"/>
      <c r="WG85" s="646"/>
      <c r="WH85" s="645"/>
      <c r="WI85" s="646"/>
      <c r="WJ85" s="645"/>
      <c r="WK85" s="646"/>
      <c r="WL85" s="645"/>
      <c r="WM85" s="646"/>
      <c r="WN85" s="645"/>
      <c r="WO85" s="646"/>
      <c r="WP85" s="645"/>
      <c r="WQ85" s="646"/>
      <c r="WR85" s="645"/>
      <c r="WS85" s="646"/>
      <c r="WT85" s="645"/>
      <c r="WU85" s="646"/>
      <c r="WV85" s="645"/>
      <c r="WW85" s="646"/>
      <c r="WX85" s="645"/>
      <c r="WY85" s="646"/>
      <c r="WZ85" s="645"/>
      <c r="XA85" s="646"/>
      <c r="XB85" s="645"/>
      <c r="XC85" s="646"/>
      <c r="XD85" s="645"/>
      <c r="XE85" s="646"/>
      <c r="XF85" s="645"/>
      <c r="XG85" s="646"/>
      <c r="XH85" s="645"/>
      <c r="XI85" s="646"/>
      <c r="XJ85" s="645"/>
      <c r="XK85" s="646"/>
      <c r="XL85" s="645"/>
      <c r="XM85" s="646"/>
      <c r="XN85" s="645"/>
      <c r="XO85" s="646"/>
      <c r="XP85" s="645"/>
      <c r="XQ85" s="646"/>
      <c r="XR85" s="645"/>
      <c r="XS85" s="646"/>
      <c r="XT85" s="645"/>
      <c r="XU85" s="646"/>
      <c r="XV85" s="645"/>
      <c r="XW85" s="646"/>
      <c r="XX85" s="645"/>
      <c r="XY85" s="646"/>
      <c r="XZ85" s="645"/>
      <c r="YA85" s="646"/>
      <c r="YB85" s="645"/>
      <c r="YC85" s="646"/>
      <c r="YD85" s="645"/>
      <c r="YE85" s="646"/>
      <c r="YF85" s="645"/>
      <c r="YG85" s="646"/>
      <c r="YH85" s="645"/>
      <c r="YI85" s="646"/>
      <c r="YJ85" s="645"/>
      <c r="YK85" s="646"/>
      <c r="YL85" s="645"/>
      <c r="YM85" s="646"/>
      <c r="YN85" s="645"/>
      <c r="YO85" s="646"/>
      <c r="YP85" s="645"/>
      <c r="YQ85" s="646"/>
      <c r="YR85" s="645"/>
      <c r="YS85" s="646"/>
      <c r="YT85" s="645"/>
      <c r="YU85" s="646"/>
      <c r="YV85" s="645"/>
      <c r="YW85" s="646"/>
      <c r="YX85" s="645"/>
      <c r="YY85" s="646"/>
      <c r="YZ85" s="645"/>
      <c r="ZA85" s="646"/>
      <c r="ZB85" s="645"/>
      <c r="ZC85" s="646"/>
      <c r="ZD85" s="645"/>
      <c r="ZE85" s="646"/>
      <c r="ZF85" s="645"/>
      <c r="ZG85" s="646"/>
      <c r="ZH85" s="645"/>
      <c r="ZI85" s="646"/>
      <c r="ZJ85" s="645"/>
      <c r="ZK85" s="646"/>
      <c r="ZL85" s="645"/>
      <c r="ZM85" s="646"/>
      <c r="ZN85" s="645"/>
      <c r="ZO85" s="646"/>
      <c r="ZP85" s="645"/>
      <c r="ZQ85" s="646"/>
      <c r="ZR85" s="645"/>
      <c r="ZS85" s="646"/>
      <c r="ZT85" s="645"/>
      <c r="ZU85" s="646"/>
      <c r="ZV85" s="645"/>
      <c r="ZW85" s="646"/>
      <c r="ZX85" s="645"/>
      <c r="ZY85" s="646"/>
      <c r="ZZ85" s="645"/>
      <c r="AAA85" s="646"/>
      <c r="AAB85" s="645"/>
      <c r="AAC85" s="646"/>
      <c r="AAD85" s="645"/>
      <c r="AAE85" s="646"/>
      <c r="AAF85" s="645"/>
      <c r="AAG85" s="646"/>
      <c r="AAH85" s="645"/>
      <c r="AAI85" s="646"/>
      <c r="AAJ85" s="645"/>
      <c r="AAK85" s="646"/>
      <c r="AAL85" s="645"/>
      <c r="AAM85" s="646"/>
      <c r="AAN85" s="645"/>
      <c r="AAO85" s="646"/>
      <c r="AAP85" s="645"/>
      <c r="AAQ85" s="646"/>
      <c r="AAR85" s="645"/>
      <c r="AAS85" s="646"/>
      <c r="AAT85" s="645"/>
      <c r="AAU85" s="646"/>
      <c r="AAV85" s="645"/>
      <c r="AAW85" s="646"/>
      <c r="AAX85" s="645"/>
      <c r="AAY85" s="646"/>
      <c r="AAZ85" s="645"/>
      <c r="ABA85" s="646"/>
      <c r="ABB85" s="645"/>
      <c r="ABC85" s="646"/>
      <c r="ABD85" s="645"/>
      <c r="ABE85" s="646"/>
      <c r="ABF85" s="645"/>
      <c r="ABG85" s="646"/>
      <c r="ABH85" s="645"/>
      <c r="ABI85" s="646"/>
      <c r="ABJ85" s="645"/>
      <c r="ABK85" s="646"/>
      <c r="ABL85" s="645"/>
      <c r="ABM85" s="646"/>
      <c r="ABN85" s="645"/>
      <c r="ABO85" s="646"/>
      <c r="ABP85" s="645"/>
      <c r="ABQ85" s="646"/>
      <c r="ABR85" s="645"/>
      <c r="ABS85" s="646"/>
      <c r="ABT85" s="645"/>
      <c r="ABU85" s="646"/>
      <c r="ABV85" s="645"/>
      <c r="ABW85" s="646"/>
      <c r="ABX85" s="645"/>
      <c r="ABY85" s="646"/>
      <c r="ABZ85" s="645"/>
      <c r="ACA85" s="646"/>
      <c r="ACB85" s="645"/>
      <c r="ACC85" s="646"/>
      <c r="ACD85" s="645"/>
      <c r="ACE85" s="646"/>
      <c r="ACF85" s="645"/>
      <c r="ACG85" s="646"/>
      <c r="ACH85" s="645"/>
      <c r="ACI85" s="646"/>
      <c r="ACJ85" s="645"/>
      <c r="ACK85" s="646"/>
      <c r="ACL85" s="645"/>
      <c r="ACM85" s="646"/>
      <c r="ACN85" s="645"/>
      <c r="ACO85" s="646"/>
      <c r="ACP85" s="645"/>
      <c r="ACQ85" s="646"/>
      <c r="ACR85" s="645"/>
      <c r="ACS85" s="646"/>
      <c r="ACT85" s="645"/>
      <c r="ACU85" s="646"/>
      <c r="ACV85" s="645"/>
      <c r="ACW85" s="646"/>
      <c r="ACX85" s="645"/>
      <c r="ACY85" s="646"/>
      <c r="ACZ85" s="645"/>
      <c r="ADA85" s="646"/>
      <c r="ADB85" s="645"/>
      <c r="ADC85" s="646"/>
      <c r="ADD85" s="645"/>
      <c r="ADE85" s="646"/>
      <c r="ADF85" s="645"/>
      <c r="ADG85" s="646"/>
      <c r="ADH85" s="645"/>
      <c r="ADI85" s="646"/>
      <c r="ADJ85" s="645"/>
      <c r="ADK85" s="646"/>
      <c r="ADL85" s="645"/>
      <c r="ADM85" s="646"/>
      <c r="ADN85" s="645"/>
      <c r="ADO85" s="646"/>
      <c r="ADP85" s="645"/>
      <c r="ADQ85" s="646"/>
      <c r="ADR85" s="645"/>
      <c r="ADS85" s="646"/>
      <c r="ADT85" s="645"/>
      <c r="ADU85" s="646"/>
      <c r="ADV85" s="645"/>
      <c r="ADW85" s="646"/>
      <c r="ADX85" s="645"/>
      <c r="ADY85" s="646"/>
      <c r="ADZ85" s="645"/>
      <c r="AEA85" s="646"/>
      <c r="AEB85" s="645"/>
      <c r="AEC85" s="646"/>
      <c r="AED85" s="645"/>
      <c r="AEE85" s="646"/>
      <c r="AEF85" s="645"/>
      <c r="AEG85" s="646"/>
      <c r="AEH85" s="645"/>
      <c r="AEI85" s="646"/>
      <c r="AEJ85" s="645"/>
      <c r="AEK85" s="646"/>
      <c r="AEL85" s="645"/>
      <c r="AEM85" s="646"/>
      <c r="AEN85" s="645"/>
      <c r="AEO85" s="646"/>
      <c r="AEP85" s="645"/>
      <c r="AEQ85" s="646"/>
      <c r="AER85" s="645"/>
      <c r="AES85" s="646"/>
      <c r="AET85" s="645"/>
      <c r="AEU85" s="646"/>
      <c r="AEV85" s="645"/>
      <c r="AEW85" s="646"/>
      <c r="AEX85" s="645"/>
      <c r="AEY85" s="646"/>
      <c r="AEZ85" s="645"/>
      <c r="AFA85" s="646"/>
      <c r="AFB85" s="645"/>
      <c r="AFC85" s="646"/>
      <c r="AFD85" s="645"/>
      <c r="AFE85" s="646"/>
      <c r="AFF85" s="645"/>
      <c r="AFG85" s="646"/>
      <c r="AFH85" s="645"/>
      <c r="AFI85" s="646"/>
      <c r="AFJ85" s="645"/>
      <c r="AFK85" s="646"/>
      <c r="AFL85" s="645"/>
      <c r="AFM85" s="646"/>
      <c r="AFN85" s="645"/>
      <c r="AFO85" s="646"/>
      <c r="AFP85" s="645"/>
      <c r="AFQ85" s="646"/>
      <c r="AFR85" s="645"/>
      <c r="AFS85" s="646"/>
      <c r="AFT85" s="645"/>
      <c r="AFU85" s="646"/>
      <c r="AFV85" s="645"/>
      <c r="AFW85" s="646"/>
      <c r="AFX85" s="645"/>
      <c r="AFY85" s="646"/>
      <c r="AFZ85" s="645"/>
      <c r="AGA85" s="646"/>
      <c r="AGB85" s="645"/>
      <c r="AGC85" s="646"/>
      <c r="AGD85" s="645"/>
      <c r="AGE85" s="646"/>
      <c r="AGF85" s="645"/>
      <c r="AGG85" s="646"/>
      <c r="AGH85" s="645"/>
      <c r="AGI85" s="646"/>
      <c r="AGJ85" s="645"/>
      <c r="AGK85" s="646"/>
      <c r="AGL85" s="645"/>
      <c r="AGM85" s="646"/>
      <c r="AGN85" s="645"/>
      <c r="AGO85" s="646"/>
      <c r="AGP85" s="645"/>
      <c r="AGQ85" s="646"/>
      <c r="AGR85" s="645"/>
      <c r="AGS85" s="646"/>
      <c r="AGT85" s="645"/>
      <c r="AGU85" s="646"/>
      <c r="AGV85" s="645"/>
      <c r="AGW85" s="646"/>
      <c r="AGX85" s="645"/>
      <c r="AGY85" s="646"/>
      <c r="AGZ85" s="645"/>
      <c r="AHA85" s="646"/>
      <c r="AHB85" s="645"/>
      <c r="AHC85" s="646"/>
      <c r="AHD85" s="645"/>
      <c r="AHE85" s="646"/>
      <c r="AHF85" s="645"/>
      <c r="AHG85" s="646"/>
      <c r="AHH85" s="645"/>
      <c r="AHI85" s="646"/>
      <c r="AHJ85" s="645"/>
      <c r="AHK85" s="646"/>
      <c r="AHL85" s="645"/>
      <c r="AHM85" s="646"/>
      <c r="AHN85" s="645"/>
      <c r="AHO85" s="646"/>
      <c r="AHP85" s="645"/>
      <c r="AHQ85" s="646"/>
      <c r="AHR85" s="645"/>
      <c r="AHS85" s="646"/>
      <c r="AHT85" s="645"/>
      <c r="AHU85" s="646"/>
      <c r="AHV85" s="645"/>
      <c r="AHW85" s="646"/>
      <c r="AHX85" s="645"/>
      <c r="AHY85" s="646"/>
      <c r="AHZ85" s="645"/>
      <c r="AIA85" s="646"/>
      <c r="AIB85" s="645"/>
      <c r="AIC85" s="646"/>
      <c r="AID85" s="645"/>
      <c r="AIE85" s="646"/>
      <c r="AIF85" s="645"/>
      <c r="AIG85" s="646"/>
      <c r="AIH85" s="645"/>
      <c r="AII85" s="646"/>
      <c r="AIJ85" s="645"/>
      <c r="AIK85" s="646"/>
      <c r="AIL85" s="645"/>
      <c r="AIM85" s="646"/>
      <c r="AIN85" s="645"/>
      <c r="AIO85" s="646"/>
      <c r="AIP85" s="645"/>
      <c r="AIQ85" s="645"/>
      <c r="AIR85" s="645"/>
      <c r="AIS85" s="645"/>
      <c r="AIT85" s="645"/>
      <c r="AIU85" s="645"/>
      <c r="AIV85" s="645"/>
      <c r="AIW85" s="645"/>
      <c r="AIX85" s="645"/>
      <c r="AIY85" s="645"/>
      <c r="AIZ85" s="645"/>
      <c r="AJA85" s="645"/>
      <c r="AJB85" s="645"/>
      <c r="AJC85" s="645"/>
      <c r="AJD85" s="645"/>
      <c r="AJE85" s="645"/>
      <c r="AJF85" s="645"/>
      <c r="AJG85" s="645"/>
      <c r="AJH85" s="645"/>
      <c r="AJI85" s="645"/>
      <c r="AJJ85" s="645"/>
      <c r="AJK85" s="645"/>
      <c r="AJL85" s="645"/>
      <c r="AJM85" s="645"/>
      <c r="AJN85" s="645"/>
      <c r="AJO85" s="645"/>
      <c r="AJP85" s="645"/>
      <c r="AJQ85" s="645"/>
      <c r="AJR85" s="645"/>
      <c r="AJS85" s="645"/>
      <c r="AJT85" s="645"/>
      <c r="AJU85" s="645"/>
      <c r="AJV85" s="645"/>
      <c r="AJW85" s="645"/>
      <c r="AJX85" s="645"/>
      <c r="AJY85" s="645"/>
      <c r="AJZ85" s="645"/>
      <c r="AKA85" s="645"/>
      <c r="AKB85" s="645"/>
      <c r="AKC85" s="645"/>
      <c r="AKD85" s="645"/>
      <c r="AKE85" s="645"/>
      <c r="AKF85" s="645"/>
      <c r="AKG85" s="645"/>
      <c r="AKH85" s="645"/>
      <c r="AKI85" s="645"/>
      <c r="AKJ85" s="645"/>
      <c r="AKK85" s="645"/>
      <c r="AKL85" s="645"/>
      <c r="AKM85" s="645"/>
      <c r="AKN85" s="645"/>
      <c r="AKO85" s="645"/>
      <c r="AKP85" s="645"/>
      <c r="AKQ85" s="645"/>
      <c r="AKR85" s="645"/>
      <c r="AKS85" s="645"/>
      <c r="AKT85" s="645"/>
      <c r="AKU85" s="645"/>
      <c r="AKV85" s="645"/>
      <c r="AKW85" s="645"/>
      <c r="AKX85" s="645"/>
      <c r="AKY85" s="645"/>
      <c r="AKZ85" s="645"/>
      <c r="ALA85" s="645"/>
      <c r="ALB85" s="645"/>
      <c r="ALC85" s="645"/>
      <c r="ALD85" s="645"/>
      <c r="ALE85" s="645"/>
      <c r="ALF85" s="645"/>
      <c r="ALG85" s="645"/>
      <c r="ALH85" s="645"/>
      <c r="ALI85" s="645"/>
      <c r="ALJ85" s="645"/>
      <c r="ALK85" s="645"/>
      <c r="ALL85" s="645"/>
      <c r="ALM85" s="645"/>
      <c r="ALN85" s="645"/>
      <c r="ALO85" s="645"/>
      <c r="ALP85" s="645"/>
      <c r="ALQ85" s="645"/>
      <c r="ALR85" s="645"/>
      <c r="ALS85" s="645"/>
      <c r="ALT85" s="645"/>
      <c r="ALU85" s="645"/>
      <c r="ALV85" s="645"/>
      <c r="ALW85" s="645"/>
      <c r="ALX85" s="645"/>
      <c r="ALY85" s="645"/>
      <c r="ALZ85" s="645"/>
      <c r="AMA85" s="645"/>
      <c r="AMB85" s="645"/>
      <c r="AMC85" s="645"/>
      <c r="AMD85" s="645"/>
      <c r="AME85" s="645"/>
      <c r="AMF85" s="645"/>
      <c r="AMG85" s="645"/>
      <c r="AMH85" s="645"/>
      <c r="AMI85" s="645"/>
      <c r="AMJ85" s="645"/>
    </row>
    <row r="86" spans="1:1024" s="37" customFormat="1" ht="15.75" customHeight="1" x14ac:dyDescent="0.35">
      <c r="A86" s="600"/>
      <c r="B86" s="649" t="s">
        <v>340</v>
      </c>
      <c r="C86" s="645"/>
      <c r="D86" s="646"/>
      <c r="E86" s="645"/>
      <c r="F86" s="646"/>
      <c r="G86" s="647" t="s">
        <v>243</v>
      </c>
      <c r="H86" s="643"/>
      <c r="I86" s="645"/>
      <c r="J86" s="38"/>
      <c r="K86" s="38"/>
      <c r="L86" s="39"/>
      <c r="M86" s="38"/>
      <c r="N86" s="39"/>
      <c r="O86" s="38"/>
      <c r="P86" s="39"/>
      <c r="Q86" s="38"/>
      <c r="R86" s="39"/>
      <c r="S86" s="38"/>
      <c r="T86" s="39"/>
      <c r="U86" s="38"/>
      <c r="V86" s="39"/>
      <c r="W86" s="38"/>
      <c r="X86" s="39"/>
      <c r="Y86" s="38"/>
      <c r="Z86" s="39"/>
      <c r="AA86" s="38"/>
      <c r="AB86" s="39"/>
      <c r="AC86" s="38"/>
      <c r="AD86" s="39"/>
      <c r="AE86" s="38"/>
      <c r="AF86" s="39"/>
      <c r="AG86" s="38"/>
      <c r="AH86" s="39"/>
      <c r="AI86" s="38"/>
      <c r="AJ86" s="39"/>
      <c r="AK86" s="40"/>
      <c r="AL86" s="39"/>
      <c r="AM86" s="40"/>
      <c r="AN86" s="39"/>
      <c r="AO86" s="40"/>
      <c r="AP86" s="39"/>
      <c r="AQ86" s="40"/>
      <c r="AR86" s="39"/>
      <c r="AS86" s="40"/>
      <c r="AT86" s="39"/>
      <c r="AU86" s="40"/>
      <c r="AV86" s="39"/>
      <c r="AW86" s="40"/>
      <c r="AX86" s="39"/>
      <c r="AY86" s="40"/>
      <c r="AZ86" s="39"/>
      <c r="BA86" s="40"/>
      <c r="BB86" s="39"/>
      <c r="BC86" s="40"/>
      <c r="BD86" s="39"/>
      <c r="BE86" s="40"/>
      <c r="BF86" s="39"/>
      <c r="BG86" s="40"/>
      <c r="BH86" s="39"/>
      <c r="BI86" s="40"/>
      <c r="BJ86" s="39"/>
      <c r="BK86" s="40"/>
      <c r="BL86" s="39"/>
      <c r="BM86" s="40"/>
      <c r="BN86" s="39"/>
      <c r="BO86" s="40"/>
      <c r="BP86" s="39"/>
      <c r="BQ86" s="40"/>
      <c r="BR86" s="39"/>
      <c r="BS86" s="40"/>
      <c r="BT86" s="39"/>
      <c r="BU86" s="40"/>
      <c r="BV86" s="39"/>
      <c r="BW86" s="40"/>
      <c r="BX86" s="39"/>
      <c r="BY86" s="40"/>
      <c r="BZ86" s="39"/>
      <c r="CA86" s="40"/>
      <c r="CB86" s="39"/>
      <c r="CC86" s="40"/>
      <c r="CD86" s="39"/>
      <c r="CE86" s="40"/>
      <c r="CF86" s="39"/>
      <c r="CG86" s="40"/>
      <c r="CH86" s="39"/>
      <c r="CI86" s="40"/>
      <c r="CJ86" s="39"/>
      <c r="CK86" s="40"/>
      <c r="CL86" s="39"/>
      <c r="CM86" s="40"/>
      <c r="CN86" s="39"/>
      <c r="CO86" s="40"/>
      <c r="CP86" s="39"/>
      <c r="CQ86" s="40"/>
      <c r="CR86" s="39"/>
      <c r="CS86" s="40"/>
      <c r="CT86" s="39"/>
      <c r="CU86" s="40"/>
      <c r="CV86" s="39"/>
      <c r="CW86" s="40"/>
      <c r="CX86" s="39"/>
      <c r="CY86" s="40"/>
      <c r="CZ86" s="39"/>
      <c r="DA86" s="40"/>
      <c r="DB86" s="39"/>
      <c r="DC86" s="40"/>
      <c r="DD86" s="39"/>
      <c r="DE86" s="40"/>
      <c r="DF86" s="39"/>
      <c r="DG86" s="40"/>
      <c r="DH86" s="39"/>
      <c r="DI86" s="40"/>
      <c r="DJ86" s="39"/>
      <c r="DK86" s="40"/>
      <c r="DL86" s="39"/>
      <c r="DM86" s="40"/>
      <c r="DN86" s="39"/>
      <c r="DO86" s="40"/>
      <c r="DP86" s="39"/>
      <c r="DQ86" s="40"/>
      <c r="DR86" s="39"/>
      <c r="DS86" s="40"/>
      <c r="DT86" s="39"/>
      <c r="DU86" s="40"/>
      <c r="DV86" s="39"/>
      <c r="DW86" s="40"/>
      <c r="DX86" s="39"/>
      <c r="DY86" s="40"/>
      <c r="DZ86" s="39"/>
      <c r="EA86" s="40"/>
      <c r="EB86" s="39"/>
      <c r="EC86" s="40"/>
      <c r="ED86" s="39"/>
      <c r="EE86" s="40"/>
      <c r="EF86" s="39"/>
      <c r="EG86" s="40"/>
      <c r="EH86" s="39"/>
      <c r="EI86" s="40"/>
      <c r="EJ86" s="39"/>
      <c r="EK86" s="40"/>
      <c r="EL86" s="39"/>
      <c r="EM86" s="40"/>
      <c r="EN86" s="39"/>
      <c r="EO86" s="40"/>
      <c r="EP86" s="39"/>
      <c r="EQ86" s="40"/>
      <c r="ER86" s="39"/>
      <c r="ES86" s="40"/>
      <c r="ET86" s="39"/>
      <c r="EU86" s="40"/>
      <c r="EV86" s="39"/>
      <c r="EW86" s="40"/>
      <c r="EX86" s="39"/>
      <c r="EY86" s="40"/>
      <c r="EZ86" s="39"/>
      <c r="FA86" s="40"/>
      <c r="FB86" s="39"/>
      <c r="FC86" s="40"/>
      <c r="FD86" s="39"/>
      <c r="FE86" s="40"/>
      <c r="FF86" s="39"/>
      <c r="FG86" s="40"/>
      <c r="FH86" s="39"/>
      <c r="FI86" s="40"/>
      <c r="FJ86" s="39"/>
      <c r="FK86" s="40"/>
      <c r="FL86" s="39"/>
      <c r="FM86" s="40"/>
      <c r="FN86" s="39"/>
      <c r="FO86" s="40"/>
      <c r="FP86" s="39"/>
      <c r="FQ86" s="40"/>
      <c r="FR86" s="39"/>
      <c r="FS86" s="40"/>
      <c r="FT86" s="39"/>
      <c r="FU86" s="40"/>
      <c r="FV86" s="39"/>
      <c r="FW86" s="40"/>
      <c r="FX86" s="39"/>
      <c r="FY86" s="40"/>
      <c r="FZ86" s="39"/>
      <c r="GA86" s="40"/>
      <c r="GB86" s="39"/>
      <c r="GC86" s="40"/>
      <c r="GD86" s="39"/>
      <c r="GE86" s="40"/>
      <c r="GF86" s="39"/>
      <c r="GG86" s="40"/>
      <c r="GH86" s="39"/>
      <c r="GI86" s="40"/>
      <c r="GJ86" s="39"/>
      <c r="GK86" s="40"/>
      <c r="GL86" s="39"/>
      <c r="GM86" s="40"/>
      <c r="GN86" s="39"/>
      <c r="GO86" s="40"/>
      <c r="GP86" s="39"/>
      <c r="GQ86" s="40"/>
      <c r="GR86" s="39"/>
      <c r="GS86" s="40"/>
      <c r="GT86" s="39"/>
      <c r="GU86" s="40"/>
      <c r="GV86" s="39"/>
      <c r="GW86" s="40"/>
      <c r="GX86" s="39"/>
      <c r="GY86" s="40"/>
      <c r="GZ86" s="39"/>
      <c r="HA86" s="40"/>
      <c r="HB86" s="39"/>
      <c r="HC86" s="40"/>
      <c r="HD86" s="39"/>
      <c r="HE86" s="40"/>
      <c r="HF86" s="39"/>
      <c r="HG86" s="40"/>
      <c r="HH86" s="39"/>
      <c r="HI86" s="40"/>
      <c r="HJ86" s="39"/>
      <c r="HK86" s="40"/>
      <c r="HL86" s="39"/>
      <c r="HM86" s="40"/>
      <c r="HN86" s="39"/>
      <c r="HO86" s="40"/>
      <c r="HP86" s="39"/>
      <c r="HQ86" s="40"/>
      <c r="HR86" s="39"/>
      <c r="HS86" s="40"/>
      <c r="HT86" s="39"/>
      <c r="HU86" s="40"/>
      <c r="HV86" s="39"/>
      <c r="HW86" s="40"/>
      <c r="HX86" s="39"/>
      <c r="HY86" s="40"/>
      <c r="HZ86" s="39"/>
      <c r="IA86" s="40"/>
      <c r="IB86" s="39"/>
      <c r="IC86" s="1068"/>
      <c r="ID86" s="645"/>
      <c r="IE86" s="646"/>
      <c r="IF86" s="645"/>
      <c r="IG86" s="646"/>
      <c r="IH86" s="645"/>
      <c r="II86" s="646"/>
      <c r="IJ86" s="645"/>
      <c r="IK86" s="646"/>
      <c r="IL86" s="645"/>
      <c r="IM86" s="646"/>
      <c r="IN86" s="645"/>
      <c r="IO86" s="646"/>
      <c r="IP86" s="645"/>
      <c r="IQ86" s="646"/>
      <c r="IR86" s="645"/>
      <c r="IS86" s="646"/>
      <c r="IT86" s="645"/>
      <c r="IU86" s="646"/>
      <c r="IV86" s="645"/>
      <c r="IW86" s="646"/>
      <c r="IX86" s="645"/>
      <c r="IY86" s="646"/>
      <c r="IZ86" s="645"/>
      <c r="JA86" s="646"/>
      <c r="JB86" s="645"/>
      <c r="JC86" s="646"/>
      <c r="JD86" s="645"/>
      <c r="JE86" s="646"/>
      <c r="JF86" s="645"/>
      <c r="JG86" s="646"/>
      <c r="JH86" s="645"/>
      <c r="JI86" s="646"/>
      <c r="JJ86" s="645"/>
      <c r="JK86" s="646"/>
      <c r="JL86" s="645"/>
      <c r="JM86" s="646"/>
      <c r="JN86" s="645"/>
      <c r="JO86" s="646"/>
      <c r="JP86" s="645"/>
      <c r="JQ86" s="646"/>
      <c r="JR86" s="645"/>
      <c r="JS86" s="646"/>
      <c r="JT86" s="645"/>
      <c r="JU86" s="646"/>
      <c r="JV86" s="645"/>
      <c r="JW86" s="646"/>
      <c r="JX86" s="645"/>
      <c r="JY86" s="646"/>
      <c r="JZ86" s="645"/>
      <c r="KA86" s="646"/>
      <c r="KB86" s="645"/>
      <c r="KC86" s="646"/>
      <c r="KD86" s="645"/>
      <c r="KE86" s="646"/>
      <c r="KF86" s="645"/>
      <c r="KG86" s="646"/>
      <c r="KH86" s="645"/>
      <c r="KI86" s="646"/>
      <c r="KJ86" s="645"/>
      <c r="KK86" s="646"/>
      <c r="KL86" s="645"/>
      <c r="KM86" s="646"/>
      <c r="KN86" s="645"/>
      <c r="KO86" s="646"/>
      <c r="KP86" s="645"/>
      <c r="KQ86" s="646"/>
      <c r="KR86" s="645"/>
      <c r="KS86" s="646"/>
      <c r="KT86" s="645"/>
      <c r="KU86" s="646"/>
      <c r="KV86" s="645"/>
      <c r="KW86" s="646"/>
      <c r="KX86" s="645"/>
      <c r="KY86" s="646"/>
      <c r="KZ86" s="645"/>
      <c r="LA86" s="646"/>
      <c r="LB86" s="645"/>
      <c r="LC86" s="646"/>
      <c r="LD86" s="645"/>
      <c r="LE86" s="646"/>
      <c r="LF86" s="645"/>
      <c r="LG86" s="646"/>
      <c r="LH86" s="645"/>
      <c r="LI86" s="646"/>
      <c r="LJ86" s="645"/>
      <c r="LK86" s="646"/>
      <c r="LL86" s="645"/>
      <c r="LM86" s="646"/>
      <c r="LN86" s="645"/>
      <c r="LO86" s="646"/>
      <c r="LP86" s="645"/>
      <c r="LQ86" s="646"/>
      <c r="LR86" s="645"/>
      <c r="LS86" s="646"/>
      <c r="LT86" s="645"/>
      <c r="LU86" s="646"/>
      <c r="LV86" s="645"/>
      <c r="LW86" s="646"/>
      <c r="LX86" s="645"/>
      <c r="LY86" s="646"/>
      <c r="LZ86" s="645"/>
      <c r="MA86" s="646"/>
      <c r="MB86" s="645"/>
      <c r="MC86" s="646"/>
      <c r="MD86" s="645"/>
      <c r="ME86" s="646"/>
      <c r="MF86" s="645"/>
      <c r="MG86" s="646"/>
      <c r="MH86" s="645"/>
      <c r="MI86" s="646"/>
      <c r="MJ86" s="645"/>
      <c r="MK86" s="646"/>
      <c r="ML86" s="645"/>
      <c r="MM86" s="646"/>
      <c r="MN86" s="645"/>
      <c r="MO86" s="646"/>
      <c r="MP86" s="645"/>
      <c r="MQ86" s="646"/>
      <c r="MR86" s="645"/>
      <c r="MS86" s="646"/>
      <c r="MT86" s="645"/>
      <c r="MU86" s="646"/>
      <c r="MV86" s="645"/>
      <c r="MW86" s="646"/>
      <c r="MX86" s="645"/>
      <c r="MY86" s="646"/>
      <c r="MZ86" s="645"/>
      <c r="NA86" s="646"/>
      <c r="NB86" s="645"/>
      <c r="NC86" s="646"/>
      <c r="ND86" s="645"/>
      <c r="NE86" s="646"/>
      <c r="NF86" s="645"/>
      <c r="NG86" s="646"/>
      <c r="NH86" s="645"/>
      <c r="NI86" s="646"/>
      <c r="NJ86" s="645"/>
      <c r="NK86" s="646"/>
      <c r="NL86" s="645"/>
      <c r="NM86" s="646"/>
      <c r="NN86" s="645"/>
      <c r="NO86" s="646"/>
      <c r="NP86" s="645"/>
      <c r="NQ86" s="646"/>
      <c r="NR86" s="645"/>
      <c r="NS86" s="646"/>
      <c r="NT86" s="645"/>
      <c r="NU86" s="646"/>
      <c r="NV86" s="645"/>
      <c r="NW86" s="646"/>
      <c r="NX86" s="645"/>
      <c r="NY86" s="646"/>
      <c r="NZ86" s="645"/>
      <c r="OA86" s="646"/>
      <c r="OB86" s="645"/>
      <c r="OC86" s="646"/>
      <c r="OD86" s="645"/>
      <c r="OE86" s="646"/>
      <c r="OF86" s="645"/>
      <c r="OG86" s="646"/>
      <c r="OH86" s="645"/>
      <c r="OI86" s="646"/>
      <c r="OJ86" s="645"/>
      <c r="OK86" s="646"/>
      <c r="OL86" s="645"/>
      <c r="OM86" s="646"/>
      <c r="ON86" s="645"/>
      <c r="OO86" s="646"/>
      <c r="OP86" s="645"/>
      <c r="OQ86" s="646"/>
      <c r="OR86" s="645"/>
      <c r="OS86" s="646"/>
      <c r="OT86" s="645"/>
      <c r="OU86" s="646"/>
      <c r="OV86" s="645"/>
      <c r="OW86" s="646"/>
      <c r="OX86" s="645"/>
      <c r="OY86" s="646"/>
      <c r="OZ86" s="645"/>
      <c r="PA86" s="646"/>
      <c r="PB86" s="645"/>
      <c r="PC86" s="646"/>
      <c r="PD86" s="645"/>
      <c r="PE86" s="646"/>
      <c r="PF86" s="645"/>
      <c r="PG86" s="646"/>
      <c r="PH86" s="645"/>
      <c r="PI86" s="646"/>
      <c r="PJ86" s="645"/>
      <c r="PK86" s="646"/>
      <c r="PL86" s="645"/>
      <c r="PM86" s="646"/>
      <c r="PN86" s="645"/>
      <c r="PO86" s="646"/>
      <c r="PP86" s="645"/>
      <c r="PQ86" s="646"/>
      <c r="PR86" s="645"/>
      <c r="PS86" s="646"/>
      <c r="PT86" s="645"/>
      <c r="PU86" s="646"/>
      <c r="PV86" s="645"/>
      <c r="PW86" s="646"/>
      <c r="PX86" s="645"/>
      <c r="PY86" s="646"/>
      <c r="PZ86" s="645"/>
      <c r="QA86" s="646"/>
      <c r="QB86" s="645"/>
      <c r="QC86" s="646"/>
      <c r="QD86" s="645"/>
      <c r="QE86" s="646"/>
      <c r="QF86" s="645"/>
      <c r="QG86" s="646"/>
      <c r="QH86" s="645"/>
      <c r="QI86" s="646"/>
      <c r="QJ86" s="645"/>
      <c r="QK86" s="646"/>
      <c r="QL86" s="645"/>
      <c r="QM86" s="646"/>
      <c r="QN86" s="645"/>
      <c r="QO86" s="646"/>
      <c r="QP86" s="645"/>
      <c r="QQ86" s="646"/>
      <c r="QR86" s="645"/>
      <c r="QS86" s="646"/>
      <c r="QT86" s="645"/>
      <c r="QU86" s="646"/>
      <c r="QV86" s="645"/>
      <c r="QW86" s="646"/>
      <c r="QX86" s="645"/>
      <c r="QY86" s="646"/>
      <c r="QZ86" s="645"/>
      <c r="RA86" s="646"/>
      <c r="RB86" s="645"/>
      <c r="RC86" s="646"/>
      <c r="RD86" s="645"/>
      <c r="RE86" s="646"/>
      <c r="RF86" s="645"/>
      <c r="RG86" s="646"/>
      <c r="RH86" s="645"/>
      <c r="RI86" s="646"/>
      <c r="RJ86" s="645"/>
      <c r="RK86" s="646"/>
      <c r="RL86" s="645"/>
      <c r="RM86" s="646"/>
      <c r="RN86" s="645"/>
      <c r="RO86" s="646"/>
      <c r="RP86" s="645"/>
      <c r="RQ86" s="646"/>
      <c r="RR86" s="645"/>
      <c r="RS86" s="646"/>
      <c r="RT86" s="645"/>
      <c r="RU86" s="646"/>
      <c r="RV86" s="645"/>
      <c r="RW86" s="646"/>
      <c r="RX86" s="645"/>
      <c r="RY86" s="646"/>
      <c r="RZ86" s="645"/>
      <c r="SA86" s="646"/>
      <c r="SB86" s="645"/>
      <c r="SC86" s="646"/>
      <c r="SD86" s="645"/>
      <c r="SE86" s="646"/>
      <c r="SF86" s="645"/>
      <c r="SG86" s="646"/>
      <c r="SH86" s="645"/>
      <c r="SI86" s="646"/>
      <c r="SJ86" s="645"/>
      <c r="SK86" s="646"/>
      <c r="SL86" s="645"/>
      <c r="SM86" s="646"/>
      <c r="SN86" s="645"/>
      <c r="SO86" s="646"/>
      <c r="SP86" s="645"/>
      <c r="SQ86" s="646"/>
      <c r="SR86" s="645"/>
      <c r="SS86" s="646"/>
      <c r="ST86" s="645"/>
      <c r="SU86" s="646"/>
      <c r="SV86" s="645"/>
      <c r="SW86" s="646"/>
      <c r="SX86" s="645"/>
      <c r="SY86" s="646"/>
      <c r="SZ86" s="645"/>
      <c r="TA86" s="646"/>
      <c r="TB86" s="645"/>
      <c r="TC86" s="646"/>
      <c r="TD86" s="645"/>
      <c r="TE86" s="646"/>
      <c r="TF86" s="645"/>
      <c r="TG86" s="646"/>
      <c r="TH86" s="645"/>
      <c r="TI86" s="646"/>
      <c r="TJ86" s="645"/>
      <c r="TK86" s="646"/>
      <c r="TL86" s="645"/>
      <c r="TM86" s="646"/>
      <c r="TN86" s="645"/>
      <c r="TO86" s="646"/>
      <c r="TP86" s="645"/>
      <c r="TQ86" s="646"/>
      <c r="TR86" s="645"/>
      <c r="TS86" s="646"/>
      <c r="TT86" s="645"/>
      <c r="TU86" s="646"/>
      <c r="TV86" s="645"/>
      <c r="TW86" s="646"/>
      <c r="TX86" s="645"/>
      <c r="TY86" s="646"/>
      <c r="TZ86" s="645"/>
      <c r="UA86" s="646"/>
      <c r="UB86" s="645"/>
      <c r="UC86" s="646"/>
      <c r="UD86" s="645"/>
      <c r="UE86" s="646"/>
      <c r="UF86" s="645"/>
      <c r="UG86" s="646"/>
      <c r="UH86" s="645"/>
      <c r="UI86" s="646"/>
      <c r="UJ86" s="645"/>
      <c r="UK86" s="646"/>
      <c r="UL86" s="645"/>
      <c r="UM86" s="646"/>
      <c r="UN86" s="645"/>
      <c r="UO86" s="646"/>
      <c r="UP86" s="645"/>
      <c r="UQ86" s="646"/>
      <c r="UR86" s="645"/>
      <c r="US86" s="646"/>
      <c r="UT86" s="645"/>
      <c r="UU86" s="646"/>
      <c r="UV86" s="645"/>
      <c r="UW86" s="646"/>
      <c r="UX86" s="645"/>
      <c r="UY86" s="646"/>
      <c r="UZ86" s="645"/>
      <c r="VA86" s="646"/>
      <c r="VB86" s="645"/>
      <c r="VC86" s="646"/>
      <c r="VD86" s="645"/>
      <c r="VE86" s="646"/>
      <c r="VF86" s="645"/>
      <c r="VG86" s="646"/>
      <c r="VH86" s="645"/>
      <c r="VI86" s="646"/>
      <c r="VJ86" s="645"/>
      <c r="VK86" s="646"/>
      <c r="VL86" s="645"/>
      <c r="VM86" s="646"/>
      <c r="VN86" s="645"/>
      <c r="VO86" s="646"/>
      <c r="VP86" s="645"/>
      <c r="VQ86" s="646"/>
      <c r="VR86" s="645"/>
      <c r="VS86" s="646"/>
      <c r="VT86" s="645"/>
      <c r="VU86" s="646"/>
      <c r="VV86" s="645"/>
      <c r="VW86" s="646"/>
      <c r="VX86" s="645"/>
      <c r="VY86" s="646"/>
      <c r="VZ86" s="645"/>
      <c r="WA86" s="646"/>
      <c r="WB86" s="645"/>
      <c r="WC86" s="646"/>
      <c r="WD86" s="645"/>
      <c r="WE86" s="646"/>
      <c r="WF86" s="645"/>
      <c r="WG86" s="646"/>
      <c r="WH86" s="645"/>
      <c r="WI86" s="646"/>
      <c r="WJ86" s="645"/>
      <c r="WK86" s="646"/>
      <c r="WL86" s="645"/>
      <c r="WM86" s="646"/>
      <c r="WN86" s="645"/>
      <c r="WO86" s="646"/>
      <c r="WP86" s="645"/>
      <c r="WQ86" s="646"/>
      <c r="WR86" s="645"/>
      <c r="WS86" s="646"/>
      <c r="WT86" s="645"/>
      <c r="WU86" s="646"/>
      <c r="WV86" s="645"/>
      <c r="WW86" s="646"/>
      <c r="WX86" s="645"/>
      <c r="WY86" s="646"/>
      <c r="WZ86" s="645"/>
      <c r="XA86" s="646"/>
      <c r="XB86" s="645"/>
      <c r="XC86" s="646"/>
      <c r="XD86" s="645"/>
      <c r="XE86" s="646"/>
      <c r="XF86" s="645"/>
      <c r="XG86" s="646"/>
      <c r="XH86" s="645"/>
      <c r="XI86" s="646"/>
      <c r="XJ86" s="645"/>
      <c r="XK86" s="646"/>
      <c r="XL86" s="645"/>
      <c r="XM86" s="646"/>
      <c r="XN86" s="645"/>
      <c r="XO86" s="646"/>
      <c r="XP86" s="645"/>
      <c r="XQ86" s="646"/>
      <c r="XR86" s="645"/>
      <c r="XS86" s="646"/>
      <c r="XT86" s="645"/>
      <c r="XU86" s="646"/>
      <c r="XV86" s="645"/>
      <c r="XW86" s="646"/>
      <c r="XX86" s="645"/>
      <c r="XY86" s="646"/>
      <c r="XZ86" s="645"/>
      <c r="YA86" s="646"/>
      <c r="YB86" s="645"/>
      <c r="YC86" s="646"/>
      <c r="YD86" s="645"/>
      <c r="YE86" s="646"/>
      <c r="YF86" s="645"/>
      <c r="YG86" s="646"/>
      <c r="YH86" s="645"/>
      <c r="YI86" s="646"/>
      <c r="YJ86" s="645"/>
      <c r="YK86" s="646"/>
      <c r="YL86" s="645"/>
      <c r="YM86" s="646"/>
      <c r="YN86" s="645"/>
      <c r="YO86" s="646"/>
      <c r="YP86" s="645"/>
      <c r="YQ86" s="646"/>
      <c r="YR86" s="645"/>
      <c r="YS86" s="646"/>
      <c r="YT86" s="645"/>
      <c r="YU86" s="646"/>
      <c r="YV86" s="645"/>
      <c r="YW86" s="646"/>
      <c r="YX86" s="645"/>
      <c r="YY86" s="646"/>
      <c r="YZ86" s="645"/>
      <c r="ZA86" s="646"/>
      <c r="ZB86" s="645"/>
      <c r="ZC86" s="646"/>
      <c r="ZD86" s="645"/>
      <c r="ZE86" s="646"/>
      <c r="ZF86" s="645"/>
      <c r="ZG86" s="646"/>
      <c r="ZH86" s="645"/>
      <c r="ZI86" s="646"/>
      <c r="ZJ86" s="645"/>
      <c r="ZK86" s="646"/>
      <c r="ZL86" s="645"/>
      <c r="ZM86" s="646"/>
      <c r="ZN86" s="645"/>
      <c r="ZO86" s="646"/>
      <c r="ZP86" s="645"/>
      <c r="ZQ86" s="646"/>
      <c r="ZR86" s="645"/>
      <c r="ZS86" s="646"/>
      <c r="ZT86" s="645"/>
      <c r="ZU86" s="646"/>
      <c r="ZV86" s="645"/>
      <c r="ZW86" s="646"/>
      <c r="ZX86" s="645"/>
      <c r="ZY86" s="646"/>
      <c r="ZZ86" s="645"/>
      <c r="AAA86" s="646"/>
      <c r="AAB86" s="645"/>
      <c r="AAC86" s="646"/>
      <c r="AAD86" s="645"/>
      <c r="AAE86" s="646"/>
      <c r="AAF86" s="645"/>
      <c r="AAG86" s="646"/>
      <c r="AAH86" s="645"/>
      <c r="AAI86" s="646"/>
      <c r="AAJ86" s="645"/>
      <c r="AAK86" s="646"/>
      <c r="AAL86" s="645"/>
      <c r="AAM86" s="646"/>
      <c r="AAN86" s="645"/>
      <c r="AAO86" s="646"/>
      <c r="AAP86" s="645"/>
      <c r="AAQ86" s="646"/>
      <c r="AAR86" s="645"/>
      <c r="AAS86" s="646"/>
      <c r="AAT86" s="645"/>
      <c r="AAU86" s="646"/>
      <c r="AAV86" s="645"/>
      <c r="AAW86" s="646"/>
      <c r="AAX86" s="645"/>
      <c r="AAY86" s="646"/>
      <c r="AAZ86" s="645"/>
      <c r="ABA86" s="646"/>
      <c r="ABB86" s="645"/>
      <c r="ABC86" s="646"/>
      <c r="ABD86" s="645"/>
      <c r="ABE86" s="646"/>
      <c r="ABF86" s="645"/>
      <c r="ABG86" s="646"/>
      <c r="ABH86" s="645"/>
      <c r="ABI86" s="646"/>
      <c r="ABJ86" s="645"/>
      <c r="ABK86" s="646"/>
      <c r="ABL86" s="645"/>
      <c r="ABM86" s="646"/>
      <c r="ABN86" s="645"/>
      <c r="ABO86" s="646"/>
      <c r="ABP86" s="645"/>
      <c r="ABQ86" s="646"/>
      <c r="ABR86" s="645"/>
      <c r="ABS86" s="646"/>
      <c r="ABT86" s="645"/>
      <c r="ABU86" s="646"/>
      <c r="ABV86" s="645"/>
      <c r="ABW86" s="646"/>
      <c r="ABX86" s="645"/>
      <c r="ABY86" s="646"/>
      <c r="ABZ86" s="645"/>
      <c r="ACA86" s="646"/>
      <c r="ACB86" s="645"/>
      <c r="ACC86" s="646"/>
      <c r="ACD86" s="645"/>
      <c r="ACE86" s="646"/>
      <c r="ACF86" s="645"/>
      <c r="ACG86" s="646"/>
      <c r="ACH86" s="645"/>
      <c r="ACI86" s="646"/>
      <c r="ACJ86" s="645"/>
      <c r="ACK86" s="646"/>
      <c r="ACL86" s="645"/>
      <c r="ACM86" s="646"/>
      <c r="ACN86" s="645"/>
      <c r="ACO86" s="646"/>
      <c r="ACP86" s="645"/>
      <c r="ACQ86" s="646"/>
      <c r="ACR86" s="645"/>
      <c r="ACS86" s="646"/>
      <c r="ACT86" s="645"/>
      <c r="ACU86" s="646"/>
      <c r="ACV86" s="645"/>
      <c r="ACW86" s="646"/>
      <c r="ACX86" s="645"/>
      <c r="ACY86" s="646"/>
      <c r="ACZ86" s="645"/>
      <c r="ADA86" s="646"/>
      <c r="ADB86" s="645"/>
      <c r="ADC86" s="646"/>
      <c r="ADD86" s="645"/>
      <c r="ADE86" s="646"/>
      <c r="ADF86" s="645"/>
      <c r="ADG86" s="646"/>
      <c r="ADH86" s="645"/>
      <c r="ADI86" s="646"/>
      <c r="ADJ86" s="645"/>
      <c r="ADK86" s="646"/>
      <c r="ADL86" s="645"/>
      <c r="ADM86" s="646"/>
      <c r="ADN86" s="645"/>
      <c r="ADO86" s="646"/>
      <c r="ADP86" s="645"/>
      <c r="ADQ86" s="646"/>
      <c r="ADR86" s="645"/>
      <c r="ADS86" s="646"/>
      <c r="ADT86" s="645"/>
      <c r="ADU86" s="646"/>
      <c r="ADV86" s="645"/>
      <c r="ADW86" s="646"/>
      <c r="ADX86" s="645"/>
      <c r="ADY86" s="646"/>
      <c r="ADZ86" s="645"/>
      <c r="AEA86" s="646"/>
      <c r="AEB86" s="645"/>
      <c r="AEC86" s="646"/>
      <c r="AED86" s="645"/>
      <c r="AEE86" s="646"/>
      <c r="AEF86" s="645"/>
      <c r="AEG86" s="646"/>
      <c r="AEH86" s="645"/>
      <c r="AEI86" s="646"/>
      <c r="AEJ86" s="645"/>
      <c r="AEK86" s="646"/>
      <c r="AEL86" s="645"/>
      <c r="AEM86" s="646"/>
      <c r="AEN86" s="645"/>
      <c r="AEO86" s="646"/>
      <c r="AEP86" s="645"/>
      <c r="AEQ86" s="646"/>
      <c r="AER86" s="645"/>
      <c r="AES86" s="646"/>
      <c r="AET86" s="645"/>
      <c r="AEU86" s="646"/>
      <c r="AEV86" s="645"/>
      <c r="AEW86" s="646"/>
      <c r="AEX86" s="645"/>
      <c r="AEY86" s="646"/>
      <c r="AEZ86" s="645"/>
      <c r="AFA86" s="646"/>
      <c r="AFB86" s="645"/>
      <c r="AFC86" s="646"/>
      <c r="AFD86" s="645"/>
      <c r="AFE86" s="646"/>
      <c r="AFF86" s="645"/>
      <c r="AFG86" s="646"/>
      <c r="AFH86" s="645"/>
      <c r="AFI86" s="646"/>
      <c r="AFJ86" s="645"/>
      <c r="AFK86" s="646"/>
      <c r="AFL86" s="645"/>
      <c r="AFM86" s="646"/>
      <c r="AFN86" s="645"/>
      <c r="AFO86" s="646"/>
      <c r="AFP86" s="645"/>
      <c r="AFQ86" s="646"/>
      <c r="AFR86" s="645"/>
      <c r="AFS86" s="646"/>
      <c r="AFT86" s="645"/>
      <c r="AFU86" s="646"/>
      <c r="AFV86" s="645"/>
      <c r="AFW86" s="646"/>
      <c r="AFX86" s="645"/>
      <c r="AFY86" s="646"/>
      <c r="AFZ86" s="645"/>
      <c r="AGA86" s="646"/>
      <c r="AGB86" s="645"/>
      <c r="AGC86" s="646"/>
      <c r="AGD86" s="645"/>
      <c r="AGE86" s="646"/>
      <c r="AGF86" s="645"/>
      <c r="AGG86" s="646"/>
      <c r="AGH86" s="645"/>
      <c r="AGI86" s="646"/>
      <c r="AGJ86" s="645"/>
      <c r="AGK86" s="646"/>
      <c r="AGL86" s="645"/>
      <c r="AGM86" s="646"/>
      <c r="AGN86" s="645"/>
      <c r="AGO86" s="646"/>
      <c r="AGP86" s="645"/>
      <c r="AGQ86" s="646"/>
      <c r="AGR86" s="645"/>
      <c r="AGS86" s="646"/>
      <c r="AGT86" s="645"/>
      <c r="AGU86" s="646"/>
      <c r="AGV86" s="645"/>
      <c r="AGW86" s="646"/>
      <c r="AGX86" s="645"/>
      <c r="AGY86" s="646"/>
      <c r="AGZ86" s="645"/>
      <c r="AHA86" s="646"/>
      <c r="AHB86" s="645"/>
      <c r="AHC86" s="646"/>
      <c r="AHD86" s="645"/>
      <c r="AHE86" s="646"/>
      <c r="AHF86" s="645"/>
      <c r="AHG86" s="646"/>
      <c r="AHH86" s="645"/>
      <c r="AHI86" s="646"/>
      <c r="AHJ86" s="645"/>
      <c r="AHK86" s="646"/>
      <c r="AHL86" s="645"/>
      <c r="AHM86" s="646"/>
      <c r="AHN86" s="645"/>
      <c r="AHO86" s="646"/>
      <c r="AHP86" s="645"/>
      <c r="AHQ86" s="646"/>
      <c r="AHR86" s="645"/>
      <c r="AHS86" s="646"/>
      <c r="AHT86" s="645"/>
      <c r="AHU86" s="646"/>
      <c r="AHV86" s="645"/>
      <c r="AHW86" s="646"/>
      <c r="AHX86" s="645"/>
      <c r="AHY86" s="646"/>
      <c r="AHZ86" s="645"/>
      <c r="AIA86" s="646"/>
      <c r="AIB86" s="645"/>
      <c r="AIC86" s="646"/>
      <c r="AID86" s="645"/>
      <c r="AIE86" s="646"/>
      <c r="AIF86" s="645"/>
      <c r="AIG86" s="646"/>
      <c r="AIH86" s="645"/>
      <c r="AII86" s="646"/>
      <c r="AIJ86" s="645"/>
      <c r="AIK86" s="646"/>
      <c r="AIL86" s="645"/>
      <c r="AIM86" s="646"/>
      <c r="AIN86" s="645"/>
      <c r="AIO86" s="646"/>
      <c r="AIP86" s="645"/>
      <c r="AIQ86" s="645"/>
      <c r="AIR86" s="645"/>
      <c r="AIS86" s="645"/>
      <c r="AIT86" s="645"/>
      <c r="AIU86" s="645"/>
      <c r="AIV86" s="645"/>
      <c r="AIW86" s="645"/>
      <c r="AIX86" s="645"/>
      <c r="AIY86" s="645"/>
      <c r="AIZ86" s="645"/>
      <c r="AJA86" s="645"/>
      <c r="AJB86" s="645"/>
      <c r="AJC86" s="645"/>
      <c r="AJD86" s="645"/>
      <c r="AJE86" s="645"/>
      <c r="AJF86" s="645"/>
      <c r="AJG86" s="645"/>
      <c r="AJH86" s="645"/>
      <c r="AJI86" s="645"/>
      <c r="AJJ86" s="645"/>
      <c r="AJK86" s="645"/>
      <c r="AJL86" s="645"/>
      <c r="AJM86" s="645"/>
      <c r="AJN86" s="645"/>
      <c r="AJO86" s="645"/>
      <c r="AJP86" s="645"/>
      <c r="AJQ86" s="645"/>
      <c r="AJR86" s="645"/>
      <c r="AJS86" s="645"/>
      <c r="AJT86" s="645"/>
      <c r="AJU86" s="645"/>
      <c r="AJV86" s="645"/>
      <c r="AJW86" s="645"/>
      <c r="AJX86" s="645"/>
      <c r="AJY86" s="645"/>
      <c r="AJZ86" s="645"/>
      <c r="AKA86" s="645"/>
      <c r="AKB86" s="645"/>
      <c r="AKC86" s="645"/>
      <c r="AKD86" s="645"/>
      <c r="AKE86" s="645"/>
      <c r="AKF86" s="645"/>
      <c r="AKG86" s="645"/>
      <c r="AKH86" s="645"/>
      <c r="AKI86" s="645"/>
      <c r="AKJ86" s="645"/>
      <c r="AKK86" s="645"/>
      <c r="AKL86" s="645"/>
      <c r="AKM86" s="645"/>
      <c r="AKN86" s="645"/>
      <c r="AKO86" s="645"/>
      <c r="AKP86" s="645"/>
      <c r="AKQ86" s="645"/>
      <c r="AKR86" s="645"/>
      <c r="AKS86" s="645"/>
      <c r="AKT86" s="645"/>
      <c r="AKU86" s="645"/>
      <c r="AKV86" s="645"/>
      <c r="AKW86" s="645"/>
      <c r="AKX86" s="645"/>
      <c r="AKY86" s="645"/>
      <c r="AKZ86" s="645"/>
      <c r="ALA86" s="645"/>
      <c r="ALB86" s="645"/>
      <c r="ALC86" s="645"/>
      <c r="ALD86" s="645"/>
      <c r="ALE86" s="645"/>
      <c r="ALF86" s="645"/>
      <c r="ALG86" s="645"/>
      <c r="ALH86" s="645"/>
      <c r="ALI86" s="645"/>
      <c r="ALJ86" s="645"/>
      <c r="ALK86" s="645"/>
      <c r="ALL86" s="645"/>
      <c r="ALM86" s="645"/>
      <c r="ALN86" s="645"/>
      <c r="ALO86" s="645"/>
      <c r="ALP86" s="645"/>
      <c r="ALQ86" s="645"/>
      <c r="ALR86" s="645"/>
      <c r="ALS86" s="645"/>
      <c r="ALT86" s="645"/>
      <c r="ALU86" s="645"/>
      <c r="ALV86" s="645"/>
      <c r="ALW86" s="645"/>
      <c r="ALX86" s="645"/>
      <c r="ALY86" s="645"/>
      <c r="ALZ86" s="645"/>
      <c r="AMA86" s="645"/>
      <c r="AMB86" s="645"/>
      <c r="AMC86" s="645"/>
      <c r="AMD86" s="645"/>
      <c r="AME86" s="645"/>
      <c r="AMF86" s="645"/>
      <c r="AMG86" s="645"/>
      <c r="AMH86" s="645"/>
      <c r="AMI86" s="645"/>
      <c r="AMJ86" s="645"/>
    </row>
    <row r="87" spans="1:1024" s="37" customFormat="1" ht="15.75" customHeight="1" x14ac:dyDescent="0.35">
      <c r="A87" s="600"/>
      <c r="B87" s="601" t="s">
        <v>341</v>
      </c>
      <c r="C87" s="645"/>
      <c r="D87" s="646"/>
      <c r="E87" s="645"/>
      <c r="F87" s="646"/>
      <c r="G87" s="647" t="s">
        <v>243</v>
      </c>
      <c r="H87" s="643"/>
      <c r="I87" s="645"/>
      <c r="J87" s="38"/>
      <c r="K87" s="38"/>
      <c r="L87" s="39"/>
      <c r="M87" s="38"/>
      <c r="N87" s="39"/>
      <c r="O87" s="38"/>
      <c r="P87" s="39"/>
      <c r="Q87" s="38"/>
      <c r="R87" s="39"/>
      <c r="S87" s="38"/>
      <c r="T87" s="39"/>
      <c r="U87" s="38"/>
      <c r="V87" s="39"/>
      <c r="W87" s="38"/>
      <c r="X87" s="39"/>
      <c r="Y87" s="38"/>
      <c r="Z87" s="39"/>
      <c r="AA87" s="38"/>
      <c r="AB87" s="39"/>
      <c r="AC87" s="38"/>
      <c r="AD87" s="39"/>
      <c r="AE87" s="38"/>
      <c r="AF87" s="39"/>
      <c r="AG87" s="38"/>
      <c r="AH87" s="39"/>
      <c r="AI87" s="38"/>
      <c r="AJ87" s="39"/>
      <c r="AK87" s="40"/>
      <c r="AL87" s="39"/>
      <c r="AM87" s="40"/>
      <c r="AN87" s="39"/>
      <c r="AO87" s="40"/>
      <c r="AP87" s="39"/>
      <c r="AQ87" s="40"/>
      <c r="AR87" s="39"/>
      <c r="AS87" s="40"/>
      <c r="AT87" s="39"/>
      <c r="AU87" s="40"/>
      <c r="AV87" s="39"/>
      <c r="AW87" s="40"/>
      <c r="AX87" s="39"/>
      <c r="AY87" s="40"/>
      <c r="AZ87" s="39"/>
      <c r="BA87" s="40"/>
      <c r="BB87" s="39"/>
      <c r="BC87" s="40"/>
      <c r="BD87" s="39"/>
      <c r="BE87" s="40"/>
      <c r="BF87" s="39"/>
      <c r="BG87" s="40"/>
      <c r="BH87" s="39"/>
      <c r="BI87" s="40"/>
      <c r="BJ87" s="39"/>
      <c r="BK87" s="40"/>
      <c r="BL87" s="39"/>
      <c r="BM87" s="40"/>
      <c r="BN87" s="39"/>
      <c r="BO87" s="40"/>
      <c r="BP87" s="39"/>
      <c r="BQ87" s="40"/>
      <c r="BR87" s="39"/>
      <c r="BS87" s="40"/>
      <c r="BT87" s="39"/>
      <c r="BU87" s="40"/>
      <c r="BV87" s="39"/>
      <c r="BW87" s="40"/>
      <c r="BX87" s="39"/>
      <c r="BY87" s="40"/>
      <c r="BZ87" s="39"/>
      <c r="CA87" s="40"/>
      <c r="CB87" s="39"/>
      <c r="CC87" s="40"/>
      <c r="CD87" s="39"/>
      <c r="CE87" s="40"/>
      <c r="CF87" s="39"/>
      <c r="CG87" s="40"/>
      <c r="CH87" s="39"/>
      <c r="CI87" s="40"/>
      <c r="CJ87" s="39"/>
      <c r="CK87" s="40"/>
      <c r="CL87" s="39"/>
      <c r="CM87" s="40"/>
      <c r="CN87" s="39"/>
      <c r="CO87" s="40"/>
      <c r="CP87" s="39"/>
      <c r="CQ87" s="40"/>
      <c r="CR87" s="39"/>
      <c r="CS87" s="40"/>
      <c r="CT87" s="39"/>
      <c r="CU87" s="40"/>
      <c r="CV87" s="39"/>
      <c r="CW87" s="40"/>
      <c r="CX87" s="39"/>
      <c r="CY87" s="40"/>
      <c r="CZ87" s="39"/>
      <c r="DA87" s="40"/>
      <c r="DB87" s="39"/>
      <c r="DC87" s="40"/>
      <c r="DD87" s="39"/>
      <c r="DE87" s="40"/>
      <c r="DF87" s="39"/>
      <c r="DG87" s="40"/>
      <c r="DH87" s="39"/>
      <c r="DI87" s="40"/>
      <c r="DJ87" s="39"/>
      <c r="DK87" s="40"/>
      <c r="DL87" s="39"/>
      <c r="DM87" s="40"/>
      <c r="DN87" s="39"/>
      <c r="DO87" s="40"/>
      <c r="DP87" s="39"/>
      <c r="DQ87" s="40"/>
      <c r="DR87" s="39"/>
      <c r="DS87" s="40"/>
      <c r="DT87" s="39"/>
      <c r="DU87" s="40"/>
      <c r="DV87" s="39"/>
      <c r="DW87" s="40"/>
      <c r="DX87" s="39"/>
      <c r="DY87" s="40"/>
      <c r="DZ87" s="39"/>
      <c r="EA87" s="40"/>
      <c r="EB87" s="39"/>
      <c r="EC87" s="40"/>
      <c r="ED87" s="39"/>
      <c r="EE87" s="40"/>
      <c r="EF87" s="39"/>
      <c r="EG87" s="40"/>
      <c r="EH87" s="39"/>
      <c r="EI87" s="40"/>
      <c r="EJ87" s="39"/>
      <c r="EK87" s="40"/>
      <c r="EL87" s="39"/>
      <c r="EM87" s="40"/>
      <c r="EN87" s="39"/>
      <c r="EO87" s="40"/>
      <c r="EP87" s="39"/>
      <c r="EQ87" s="40"/>
      <c r="ER87" s="39"/>
      <c r="ES87" s="40"/>
      <c r="ET87" s="39"/>
      <c r="EU87" s="40"/>
      <c r="EV87" s="39"/>
      <c r="EW87" s="40"/>
      <c r="EX87" s="39"/>
      <c r="EY87" s="40"/>
      <c r="EZ87" s="39"/>
      <c r="FA87" s="40"/>
      <c r="FB87" s="39"/>
      <c r="FC87" s="40"/>
      <c r="FD87" s="39"/>
      <c r="FE87" s="40"/>
      <c r="FF87" s="39"/>
      <c r="FG87" s="40"/>
      <c r="FH87" s="39"/>
      <c r="FI87" s="40"/>
      <c r="FJ87" s="39"/>
      <c r="FK87" s="40"/>
      <c r="FL87" s="39"/>
      <c r="FM87" s="40"/>
      <c r="FN87" s="39"/>
      <c r="FO87" s="40"/>
      <c r="FP87" s="39"/>
      <c r="FQ87" s="40"/>
      <c r="FR87" s="39"/>
      <c r="FS87" s="40"/>
      <c r="FT87" s="39"/>
      <c r="FU87" s="40"/>
      <c r="FV87" s="39"/>
      <c r="FW87" s="40"/>
      <c r="FX87" s="39"/>
      <c r="FY87" s="40"/>
      <c r="FZ87" s="39"/>
      <c r="GA87" s="40"/>
      <c r="GB87" s="39"/>
      <c r="GC87" s="40"/>
      <c r="GD87" s="39"/>
      <c r="GE87" s="40"/>
      <c r="GF87" s="39"/>
      <c r="GG87" s="40"/>
      <c r="GH87" s="39"/>
      <c r="GI87" s="40"/>
      <c r="GJ87" s="39"/>
      <c r="GK87" s="40"/>
      <c r="GL87" s="39"/>
      <c r="GM87" s="40"/>
      <c r="GN87" s="39"/>
      <c r="GO87" s="40"/>
      <c r="GP87" s="39"/>
      <c r="GQ87" s="40"/>
      <c r="GR87" s="39"/>
      <c r="GS87" s="40"/>
      <c r="GT87" s="39"/>
      <c r="GU87" s="40"/>
      <c r="GV87" s="39"/>
      <c r="GW87" s="40"/>
      <c r="GX87" s="39"/>
      <c r="GY87" s="40"/>
      <c r="GZ87" s="39"/>
      <c r="HA87" s="40"/>
      <c r="HB87" s="39"/>
      <c r="HC87" s="40"/>
      <c r="HD87" s="39"/>
      <c r="HE87" s="40"/>
      <c r="HF87" s="39"/>
      <c r="HG87" s="40"/>
      <c r="HH87" s="39"/>
      <c r="HI87" s="40"/>
      <c r="HJ87" s="39"/>
      <c r="HK87" s="40"/>
      <c r="HL87" s="39"/>
      <c r="HM87" s="40"/>
      <c r="HN87" s="39"/>
      <c r="HO87" s="40"/>
      <c r="HP87" s="39"/>
      <c r="HQ87" s="40"/>
      <c r="HR87" s="39"/>
      <c r="HS87" s="40"/>
      <c r="HT87" s="39"/>
      <c r="HU87" s="40"/>
      <c r="HV87" s="39"/>
      <c r="HW87" s="40"/>
      <c r="HX87" s="39"/>
      <c r="HY87" s="40"/>
      <c r="HZ87" s="39"/>
      <c r="IA87" s="40"/>
      <c r="IB87" s="39"/>
      <c r="IC87" s="1068"/>
      <c r="ID87" s="645"/>
      <c r="IE87" s="646"/>
      <c r="IF87" s="645"/>
      <c r="IG87" s="646"/>
      <c r="IH87" s="645"/>
      <c r="II87" s="646"/>
      <c r="IJ87" s="645"/>
      <c r="IK87" s="646"/>
      <c r="IL87" s="645"/>
      <c r="IM87" s="646"/>
      <c r="IN87" s="645"/>
      <c r="IO87" s="646"/>
      <c r="IP87" s="645"/>
      <c r="IQ87" s="646"/>
      <c r="IR87" s="645"/>
      <c r="IS87" s="646"/>
      <c r="IT87" s="645"/>
      <c r="IU87" s="646"/>
      <c r="IV87" s="645"/>
      <c r="IW87" s="646"/>
      <c r="IX87" s="645"/>
      <c r="IY87" s="646"/>
      <c r="IZ87" s="645"/>
      <c r="JA87" s="646"/>
      <c r="JB87" s="645"/>
      <c r="JC87" s="646"/>
      <c r="JD87" s="645"/>
      <c r="JE87" s="646"/>
      <c r="JF87" s="645"/>
      <c r="JG87" s="646"/>
      <c r="JH87" s="645"/>
      <c r="JI87" s="646"/>
      <c r="JJ87" s="645"/>
      <c r="JK87" s="646"/>
      <c r="JL87" s="645"/>
      <c r="JM87" s="646"/>
      <c r="JN87" s="645"/>
      <c r="JO87" s="646"/>
      <c r="JP87" s="645"/>
      <c r="JQ87" s="646"/>
      <c r="JR87" s="645"/>
      <c r="JS87" s="646"/>
      <c r="JT87" s="645"/>
      <c r="JU87" s="646"/>
      <c r="JV87" s="645"/>
      <c r="JW87" s="646"/>
      <c r="JX87" s="645"/>
      <c r="JY87" s="646"/>
      <c r="JZ87" s="645"/>
      <c r="KA87" s="646"/>
      <c r="KB87" s="645"/>
      <c r="KC87" s="646"/>
      <c r="KD87" s="645"/>
      <c r="KE87" s="646"/>
      <c r="KF87" s="645"/>
      <c r="KG87" s="646"/>
      <c r="KH87" s="645"/>
      <c r="KI87" s="646"/>
      <c r="KJ87" s="645"/>
      <c r="KK87" s="646"/>
      <c r="KL87" s="645"/>
      <c r="KM87" s="646"/>
      <c r="KN87" s="645"/>
      <c r="KO87" s="646"/>
      <c r="KP87" s="645"/>
      <c r="KQ87" s="646"/>
      <c r="KR87" s="645"/>
      <c r="KS87" s="646"/>
      <c r="KT87" s="645"/>
      <c r="KU87" s="646"/>
      <c r="KV87" s="645"/>
      <c r="KW87" s="646"/>
      <c r="KX87" s="645"/>
      <c r="KY87" s="646"/>
      <c r="KZ87" s="645"/>
      <c r="LA87" s="646"/>
      <c r="LB87" s="645"/>
      <c r="LC87" s="646"/>
      <c r="LD87" s="645"/>
      <c r="LE87" s="646"/>
      <c r="LF87" s="645"/>
      <c r="LG87" s="646"/>
      <c r="LH87" s="645"/>
      <c r="LI87" s="646"/>
      <c r="LJ87" s="645"/>
      <c r="LK87" s="646"/>
      <c r="LL87" s="645"/>
      <c r="LM87" s="646"/>
      <c r="LN87" s="645"/>
      <c r="LO87" s="646"/>
      <c r="LP87" s="645"/>
      <c r="LQ87" s="646"/>
      <c r="LR87" s="645"/>
      <c r="LS87" s="646"/>
      <c r="LT87" s="645"/>
      <c r="LU87" s="646"/>
      <c r="LV87" s="645"/>
      <c r="LW87" s="646"/>
      <c r="LX87" s="645"/>
      <c r="LY87" s="646"/>
      <c r="LZ87" s="645"/>
      <c r="MA87" s="646"/>
      <c r="MB87" s="645"/>
      <c r="MC87" s="646"/>
      <c r="MD87" s="645"/>
      <c r="ME87" s="646"/>
      <c r="MF87" s="645"/>
      <c r="MG87" s="646"/>
      <c r="MH87" s="645"/>
      <c r="MI87" s="646"/>
      <c r="MJ87" s="645"/>
      <c r="MK87" s="646"/>
      <c r="ML87" s="645"/>
      <c r="MM87" s="646"/>
      <c r="MN87" s="645"/>
      <c r="MO87" s="646"/>
      <c r="MP87" s="645"/>
      <c r="MQ87" s="646"/>
      <c r="MR87" s="645"/>
      <c r="MS87" s="646"/>
      <c r="MT87" s="645"/>
      <c r="MU87" s="646"/>
      <c r="MV87" s="645"/>
      <c r="MW87" s="646"/>
      <c r="MX87" s="645"/>
      <c r="MY87" s="646"/>
      <c r="MZ87" s="645"/>
      <c r="NA87" s="646"/>
      <c r="NB87" s="645"/>
      <c r="NC87" s="646"/>
      <c r="ND87" s="645"/>
      <c r="NE87" s="646"/>
      <c r="NF87" s="645"/>
      <c r="NG87" s="646"/>
      <c r="NH87" s="645"/>
      <c r="NI87" s="646"/>
      <c r="NJ87" s="645"/>
      <c r="NK87" s="646"/>
      <c r="NL87" s="645"/>
      <c r="NM87" s="646"/>
      <c r="NN87" s="645"/>
      <c r="NO87" s="646"/>
      <c r="NP87" s="645"/>
      <c r="NQ87" s="646"/>
      <c r="NR87" s="645"/>
      <c r="NS87" s="646"/>
      <c r="NT87" s="645"/>
      <c r="NU87" s="646"/>
      <c r="NV87" s="645"/>
      <c r="NW87" s="646"/>
      <c r="NX87" s="645"/>
      <c r="NY87" s="646"/>
      <c r="NZ87" s="645"/>
      <c r="OA87" s="646"/>
      <c r="OB87" s="645"/>
      <c r="OC87" s="646"/>
      <c r="OD87" s="645"/>
      <c r="OE87" s="646"/>
      <c r="OF87" s="645"/>
      <c r="OG87" s="646"/>
      <c r="OH87" s="645"/>
      <c r="OI87" s="646"/>
      <c r="OJ87" s="645"/>
      <c r="OK87" s="646"/>
      <c r="OL87" s="645"/>
      <c r="OM87" s="646"/>
      <c r="ON87" s="645"/>
      <c r="OO87" s="646"/>
      <c r="OP87" s="645"/>
      <c r="OQ87" s="646"/>
      <c r="OR87" s="645"/>
      <c r="OS87" s="646"/>
      <c r="OT87" s="645"/>
      <c r="OU87" s="646"/>
      <c r="OV87" s="645"/>
      <c r="OW87" s="646"/>
      <c r="OX87" s="645"/>
      <c r="OY87" s="646"/>
      <c r="OZ87" s="645"/>
      <c r="PA87" s="646"/>
      <c r="PB87" s="645"/>
      <c r="PC87" s="646"/>
      <c r="PD87" s="645"/>
      <c r="PE87" s="646"/>
      <c r="PF87" s="645"/>
      <c r="PG87" s="646"/>
      <c r="PH87" s="645"/>
      <c r="PI87" s="646"/>
      <c r="PJ87" s="645"/>
      <c r="PK87" s="646"/>
      <c r="PL87" s="645"/>
      <c r="PM87" s="646"/>
      <c r="PN87" s="645"/>
      <c r="PO87" s="646"/>
      <c r="PP87" s="645"/>
      <c r="PQ87" s="646"/>
      <c r="PR87" s="645"/>
      <c r="PS87" s="646"/>
      <c r="PT87" s="645"/>
      <c r="PU87" s="646"/>
      <c r="PV87" s="645"/>
      <c r="PW87" s="646"/>
      <c r="PX87" s="645"/>
      <c r="PY87" s="646"/>
      <c r="PZ87" s="645"/>
      <c r="QA87" s="646"/>
      <c r="QB87" s="645"/>
      <c r="QC87" s="646"/>
      <c r="QD87" s="645"/>
      <c r="QE87" s="646"/>
      <c r="QF87" s="645"/>
      <c r="QG87" s="646"/>
      <c r="QH87" s="645"/>
      <c r="QI87" s="646"/>
      <c r="QJ87" s="645"/>
      <c r="QK87" s="646"/>
      <c r="QL87" s="645"/>
      <c r="QM87" s="646"/>
      <c r="QN87" s="645"/>
      <c r="QO87" s="646"/>
      <c r="QP87" s="645"/>
      <c r="QQ87" s="646"/>
      <c r="QR87" s="645"/>
      <c r="QS87" s="646"/>
      <c r="QT87" s="645"/>
      <c r="QU87" s="646"/>
      <c r="QV87" s="645"/>
      <c r="QW87" s="646"/>
      <c r="QX87" s="645"/>
      <c r="QY87" s="646"/>
      <c r="QZ87" s="645"/>
      <c r="RA87" s="646"/>
      <c r="RB87" s="645"/>
      <c r="RC87" s="646"/>
      <c r="RD87" s="645"/>
      <c r="RE87" s="646"/>
      <c r="RF87" s="645"/>
      <c r="RG87" s="646"/>
      <c r="RH87" s="645"/>
      <c r="RI87" s="646"/>
      <c r="RJ87" s="645"/>
      <c r="RK87" s="646"/>
      <c r="RL87" s="645"/>
      <c r="RM87" s="646"/>
      <c r="RN87" s="645"/>
      <c r="RO87" s="646"/>
      <c r="RP87" s="645"/>
      <c r="RQ87" s="646"/>
      <c r="RR87" s="645"/>
      <c r="RS87" s="646"/>
      <c r="RT87" s="645"/>
      <c r="RU87" s="646"/>
      <c r="RV87" s="645"/>
      <c r="RW87" s="646"/>
      <c r="RX87" s="645"/>
      <c r="RY87" s="646"/>
      <c r="RZ87" s="645"/>
      <c r="SA87" s="646"/>
      <c r="SB87" s="645"/>
      <c r="SC87" s="646"/>
      <c r="SD87" s="645"/>
      <c r="SE87" s="646"/>
      <c r="SF87" s="645"/>
      <c r="SG87" s="646"/>
      <c r="SH87" s="645"/>
      <c r="SI87" s="646"/>
      <c r="SJ87" s="645"/>
      <c r="SK87" s="646"/>
      <c r="SL87" s="645"/>
      <c r="SM87" s="646"/>
      <c r="SN87" s="645"/>
      <c r="SO87" s="646"/>
      <c r="SP87" s="645"/>
      <c r="SQ87" s="646"/>
      <c r="SR87" s="645"/>
      <c r="SS87" s="646"/>
      <c r="ST87" s="645"/>
      <c r="SU87" s="646"/>
      <c r="SV87" s="645"/>
      <c r="SW87" s="646"/>
      <c r="SX87" s="645"/>
      <c r="SY87" s="646"/>
      <c r="SZ87" s="645"/>
      <c r="TA87" s="646"/>
      <c r="TB87" s="645"/>
      <c r="TC87" s="646"/>
      <c r="TD87" s="645"/>
      <c r="TE87" s="646"/>
      <c r="TF87" s="645"/>
      <c r="TG87" s="646"/>
      <c r="TH87" s="645"/>
      <c r="TI87" s="646"/>
      <c r="TJ87" s="645"/>
      <c r="TK87" s="646"/>
      <c r="TL87" s="645"/>
      <c r="TM87" s="646"/>
      <c r="TN87" s="645"/>
      <c r="TO87" s="646"/>
      <c r="TP87" s="645"/>
      <c r="TQ87" s="646"/>
      <c r="TR87" s="645"/>
      <c r="TS87" s="646"/>
      <c r="TT87" s="645"/>
      <c r="TU87" s="646"/>
      <c r="TV87" s="645"/>
      <c r="TW87" s="646"/>
      <c r="TX87" s="645"/>
      <c r="TY87" s="646"/>
      <c r="TZ87" s="645"/>
      <c r="UA87" s="646"/>
      <c r="UB87" s="645"/>
      <c r="UC87" s="646"/>
      <c r="UD87" s="645"/>
      <c r="UE87" s="646"/>
      <c r="UF87" s="645"/>
      <c r="UG87" s="646"/>
      <c r="UH87" s="645"/>
      <c r="UI87" s="646"/>
      <c r="UJ87" s="645"/>
      <c r="UK87" s="646"/>
      <c r="UL87" s="645"/>
      <c r="UM87" s="646"/>
      <c r="UN87" s="645"/>
      <c r="UO87" s="646"/>
      <c r="UP87" s="645"/>
      <c r="UQ87" s="646"/>
      <c r="UR87" s="645"/>
      <c r="US87" s="646"/>
      <c r="UT87" s="645"/>
      <c r="UU87" s="646"/>
      <c r="UV87" s="645"/>
      <c r="UW87" s="646"/>
      <c r="UX87" s="645"/>
      <c r="UY87" s="646"/>
      <c r="UZ87" s="645"/>
      <c r="VA87" s="646"/>
      <c r="VB87" s="645"/>
      <c r="VC87" s="646"/>
      <c r="VD87" s="645"/>
      <c r="VE87" s="646"/>
      <c r="VF87" s="645"/>
      <c r="VG87" s="646"/>
      <c r="VH87" s="645"/>
      <c r="VI87" s="646"/>
      <c r="VJ87" s="645"/>
      <c r="VK87" s="646"/>
      <c r="VL87" s="645"/>
      <c r="VM87" s="646"/>
      <c r="VN87" s="645"/>
      <c r="VO87" s="646"/>
      <c r="VP87" s="645"/>
      <c r="VQ87" s="646"/>
      <c r="VR87" s="645"/>
      <c r="VS87" s="646"/>
      <c r="VT87" s="645"/>
      <c r="VU87" s="646"/>
      <c r="VV87" s="645"/>
      <c r="VW87" s="646"/>
      <c r="VX87" s="645"/>
      <c r="VY87" s="646"/>
      <c r="VZ87" s="645"/>
      <c r="WA87" s="646"/>
      <c r="WB87" s="645"/>
      <c r="WC87" s="646"/>
      <c r="WD87" s="645"/>
      <c r="WE87" s="646"/>
      <c r="WF87" s="645"/>
      <c r="WG87" s="646"/>
      <c r="WH87" s="645"/>
      <c r="WI87" s="646"/>
      <c r="WJ87" s="645"/>
      <c r="WK87" s="646"/>
      <c r="WL87" s="645"/>
      <c r="WM87" s="646"/>
      <c r="WN87" s="645"/>
      <c r="WO87" s="646"/>
      <c r="WP87" s="645"/>
      <c r="WQ87" s="646"/>
      <c r="WR87" s="645"/>
      <c r="WS87" s="646"/>
      <c r="WT87" s="645"/>
      <c r="WU87" s="646"/>
      <c r="WV87" s="645"/>
      <c r="WW87" s="646"/>
      <c r="WX87" s="645"/>
      <c r="WY87" s="646"/>
      <c r="WZ87" s="645"/>
      <c r="XA87" s="646"/>
      <c r="XB87" s="645"/>
      <c r="XC87" s="646"/>
      <c r="XD87" s="645"/>
      <c r="XE87" s="646"/>
      <c r="XF87" s="645"/>
      <c r="XG87" s="646"/>
      <c r="XH87" s="645"/>
      <c r="XI87" s="646"/>
      <c r="XJ87" s="645"/>
      <c r="XK87" s="646"/>
      <c r="XL87" s="645"/>
      <c r="XM87" s="646"/>
      <c r="XN87" s="645"/>
      <c r="XO87" s="646"/>
      <c r="XP87" s="645"/>
      <c r="XQ87" s="646"/>
      <c r="XR87" s="645"/>
      <c r="XS87" s="646"/>
      <c r="XT87" s="645"/>
      <c r="XU87" s="646"/>
      <c r="XV87" s="645"/>
      <c r="XW87" s="646"/>
      <c r="XX87" s="645"/>
      <c r="XY87" s="646"/>
      <c r="XZ87" s="645"/>
      <c r="YA87" s="646"/>
      <c r="YB87" s="645"/>
      <c r="YC87" s="646"/>
      <c r="YD87" s="645"/>
      <c r="YE87" s="646"/>
      <c r="YF87" s="645"/>
      <c r="YG87" s="646"/>
      <c r="YH87" s="645"/>
      <c r="YI87" s="646"/>
      <c r="YJ87" s="645"/>
      <c r="YK87" s="646"/>
      <c r="YL87" s="645"/>
      <c r="YM87" s="646"/>
      <c r="YN87" s="645"/>
      <c r="YO87" s="646"/>
      <c r="YP87" s="645"/>
      <c r="YQ87" s="646"/>
      <c r="YR87" s="645"/>
      <c r="YS87" s="646"/>
      <c r="YT87" s="645"/>
      <c r="YU87" s="646"/>
      <c r="YV87" s="645"/>
      <c r="YW87" s="646"/>
      <c r="YX87" s="645"/>
      <c r="YY87" s="646"/>
      <c r="YZ87" s="645"/>
      <c r="ZA87" s="646"/>
      <c r="ZB87" s="645"/>
      <c r="ZC87" s="646"/>
      <c r="ZD87" s="645"/>
      <c r="ZE87" s="646"/>
      <c r="ZF87" s="645"/>
      <c r="ZG87" s="646"/>
      <c r="ZH87" s="645"/>
      <c r="ZI87" s="646"/>
      <c r="ZJ87" s="645"/>
      <c r="ZK87" s="646"/>
      <c r="ZL87" s="645"/>
      <c r="ZM87" s="646"/>
      <c r="ZN87" s="645"/>
      <c r="ZO87" s="646"/>
      <c r="ZP87" s="645"/>
      <c r="ZQ87" s="646"/>
      <c r="ZR87" s="645"/>
      <c r="ZS87" s="646"/>
      <c r="ZT87" s="645"/>
      <c r="ZU87" s="646"/>
      <c r="ZV87" s="645"/>
      <c r="ZW87" s="646"/>
      <c r="ZX87" s="645"/>
      <c r="ZY87" s="646"/>
      <c r="ZZ87" s="645"/>
      <c r="AAA87" s="646"/>
      <c r="AAB87" s="645"/>
      <c r="AAC87" s="646"/>
      <c r="AAD87" s="645"/>
      <c r="AAE87" s="646"/>
      <c r="AAF87" s="645"/>
      <c r="AAG87" s="646"/>
      <c r="AAH87" s="645"/>
      <c r="AAI87" s="646"/>
      <c r="AAJ87" s="645"/>
      <c r="AAK87" s="646"/>
      <c r="AAL87" s="645"/>
      <c r="AAM87" s="646"/>
      <c r="AAN87" s="645"/>
      <c r="AAO87" s="646"/>
      <c r="AAP87" s="645"/>
      <c r="AAQ87" s="646"/>
      <c r="AAR87" s="645"/>
      <c r="AAS87" s="646"/>
      <c r="AAT87" s="645"/>
      <c r="AAU87" s="646"/>
      <c r="AAV87" s="645"/>
      <c r="AAW87" s="646"/>
      <c r="AAX87" s="645"/>
      <c r="AAY87" s="646"/>
      <c r="AAZ87" s="645"/>
      <c r="ABA87" s="646"/>
      <c r="ABB87" s="645"/>
      <c r="ABC87" s="646"/>
      <c r="ABD87" s="645"/>
      <c r="ABE87" s="646"/>
      <c r="ABF87" s="645"/>
      <c r="ABG87" s="646"/>
      <c r="ABH87" s="645"/>
      <c r="ABI87" s="646"/>
      <c r="ABJ87" s="645"/>
      <c r="ABK87" s="646"/>
      <c r="ABL87" s="645"/>
      <c r="ABM87" s="646"/>
      <c r="ABN87" s="645"/>
      <c r="ABO87" s="646"/>
      <c r="ABP87" s="645"/>
      <c r="ABQ87" s="646"/>
      <c r="ABR87" s="645"/>
      <c r="ABS87" s="646"/>
      <c r="ABT87" s="645"/>
      <c r="ABU87" s="646"/>
      <c r="ABV87" s="645"/>
      <c r="ABW87" s="646"/>
      <c r="ABX87" s="645"/>
      <c r="ABY87" s="646"/>
      <c r="ABZ87" s="645"/>
      <c r="ACA87" s="646"/>
      <c r="ACB87" s="645"/>
      <c r="ACC87" s="646"/>
      <c r="ACD87" s="645"/>
      <c r="ACE87" s="646"/>
      <c r="ACF87" s="645"/>
      <c r="ACG87" s="646"/>
      <c r="ACH87" s="645"/>
      <c r="ACI87" s="646"/>
      <c r="ACJ87" s="645"/>
      <c r="ACK87" s="646"/>
      <c r="ACL87" s="645"/>
      <c r="ACM87" s="646"/>
      <c r="ACN87" s="645"/>
      <c r="ACO87" s="646"/>
      <c r="ACP87" s="645"/>
      <c r="ACQ87" s="646"/>
      <c r="ACR87" s="645"/>
      <c r="ACS87" s="646"/>
      <c r="ACT87" s="645"/>
      <c r="ACU87" s="646"/>
      <c r="ACV87" s="645"/>
      <c r="ACW87" s="646"/>
      <c r="ACX87" s="645"/>
      <c r="ACY87" s="646"/>
      <c r="ACZ87" s="645"/>
      <c r="ADA87" s="646"/>
      <c r="ADB87" s="645"/>
      <c r="ADC87" s="646"/>
      <c r="ADD87" s="645"/>
      <c r="ADE87" s="646"/>
      <c r="ADF87" s="645"/>
      <c r="ADG87" s="646"/>
      <c r="ADH87" s="645"/>
      <c r="ADI87" s="646"/>
      <c r="ADJ87" s="645"/>
      <c r="ADK87" s="646"/>
      <c r="ADL87" s="645"/>
      <c r="ADM87" s="646"/>
      <c r="ADN87" s="645"/>
      <c r="ADO87" s="646"/>
      <c r="ADP87" s="645"/>
      <c r="ADQ87" s="646"/>
      <c r="ADR87" s="645"/>
      <c r="ADS87" s="646"/>
      <c r="ADT87" s="645"/>
      <c r="ADU87" s="646"/>
      <c r="ADV87" s="645"/>
      <c r="ADW87" s="646"/>
      <c r="ADX87" s="645"/>
      <c r="ADY87" s="646"/>
      <c r="ADZ87" s="645"/>
      <c r="AEA87" s="646"/>
      <c r="AEB87" s="645"/>
      <c r="AEC87" s="646"/>
      <c r="AED87" s="645"/>
      <c r="AEE87" s="646"/>
      <c r="AEF87" s="645"/>
      <c r="AEG87" s="646"/>
      <c r="AEH87" s="645"/>
      <c r="AEI87" s="646"/>
      <c r="AEJ87" s="645"/>
      <c r="AEK87" s="646"/>
      <c r="AEL87" s="645"/>
      <c r="AEM87" s="646"/>
      <c r="AEN87" s="645"/>
      <c r="AEO87" s="646"/>
      <c r="AEP87" s="645"/>
      <c r="AEQ87" s="646"/>
      <c r="AER87" s="645"/>
      <c r="AES87" s="646"/>
      <c r="AET87" s="645"/>
      <c r="AEU87" s="646"/>
      <c r="AEV87" s="645"/>
      <c r="AEW87" s="646"/>
      <c r="AEX87" s="645"/>
      <c r="AEY87" s="646"/>
      <c r="AEZ87" s="645"/>
      <c r="AFA87" s="646"/>
      <c r="AFB87" s="645"/>
      <c r="AFC87" s="646"/>
      <c r="AFD87" s="645"/>
      <c r="AFE87" s="646"/>
      <c r="AFF87" s="645"/>
      <c r="AFG87" s="646"/>
      <c r="AFH87" s="645"/>
      <c r="AFI87" s="646"/>
      <c r="AFJ87" s="645"/>
      <c r="AFK87" s="646"/>
      <c r="AFL87" s="645"/>
      <c r="AFM87" s="646"/>
      <c r="AFN87" s="645"/>
      <c r="AFO87" s="646"/>
      <c r="AFP87" s="645"/>
      <c r="AFQ87" s="646"/>
      <c r="AFR87" s="645"/>
      <c r="AFS87" s="646"/>
      <c r="AFT87" s="645"/>
      <c r="AFU87" s="646"/>
      <c r="AFV87" s="645"/>
      <c r="AFW87" s="646"/>
      <c r="AFX87" s="645"/>
      <c r="AFY87" s="646"/>
      <c r="AFZ87" s="645"/>
      <c r="AGA87" s="646"/>
      <c r="AGB87" s="645"/>
      <c r="AGC87" s="646"/>
      <c r="AGD87" s="645"/>
      <c r="AGE87" s="646"/>
      <c r="AGF87" s="645"/>
      <c r="AGG87" s="646"/>
      <c r="AGH87" s="645"/>
      <c r="AGI87" s="646"/>
      <c r="AGJ87" s="645"/>
      <c r="AGK87" s="646"/>
      <c r="AGL87" s="645"/>
      <c r="AGM87" s="646"/>
      <c r="AGN87" s="645"/>
      <c r="AGO87" s="646"/>
      <c r="AGP87" s="645"/>
      <c r="AGQ87" s="646"/>
      <c r="AGR87" s="645"/>
      <c r="AGS87" s="646"/>
      <c r="AGT87" s="645"/>
      <c r="AGU87" s="646"/>
      <c r="AGV87" s="645"/>
      <c r="AGW87" s="646"/>
      <c r="AGX87" s="645"/>
      <c r="AGY87" s="646"/>
      <c r="AGZ87" s="645"/>
      <c r="AHA87" s="646"/>
      <c r="AHB87" s="645"/>
      <c r="AHC87" s="646"/>
      <c r="AHD87" s="645"/>
      <c r="AHE87" s="646"/>
      <c r="AHF87" s="645"/>
      <c r="AHG87" s="646"/>
      <c r="AHH87" s="645"/>
      <c r="AHI87" s="646"/>
      <c r="AHJ87" s="645"/>
      <c r="AHK87" s="646"/>
      <c r="AHL87" s="645"/>
      <c r="AHM87" s="646"/>
      <c r="AHN87" s="645"/>
      <c r="AHO87" s="646"/>
      <c r="AHP87" s="645"/>
      <c r="AHQ87" s="646"/>
      <c r="AHR87" s="645"/>
      <c r="AHS87" s="646"/>
      <c r="AHT87" s="645"/>
      <c r="AHU87" s="646"/>
      <c r="AHV87" s="645"/>
      <c r="AHW87" s="646"/>
      <c r="AHX87" s="645"/>
      <c r="AHY87" s="646"/>
      <c r="AHZ87" s="645"/>
      <c r="AIA87" s="646"/>
      <c r="AIB87" s="645"/>
      <c r="AIC87" s="646"/>
      <c r="AID87" s="645"/>
      <c r="AIE87" s="646"/>
      <c r="AIF87" s="645"/>
      <c r="AIG87" s="646"/>
      <c r="AIH87" s="645"/>
      <c r="AII87" s="646"/>
      <c r="AIJ87" s="645"/>
      <c r="AIK87" s="646"/>
      <c r="AIL87" s="645"/>
      <c r="AIM87" s="646"/>
      <c r="AIN87" s="645"/>
      <c r="AIO87" s="646"/>
      <c r="AIP87" s="645"/>
      <c r="AIQ87" s="645"/>
      <c r="AIR87" s="645"/>
      <c r="AIS87" s="645"/>
      <c r="AIT87" s="645"/>
      <c r="AIU87" s="645"/>
      <c r="AIV87" s="645"/>
      <c r="AIW87" s="645"/>
      <c r="AIX87" s="645"/>
      <c r="AIY87" s="645"/>
      <c r="AIZ87" s="645"/>
      <c r="AJA87" s="645"/>
      <c r="AJB87" s="645"/>
      <c r="AJC87" s="645"/>
      <c r="AJD87" s="645"/>
      <c r="AJE87" s="645"/>
      <c r="AJF87" s="645"/>
      <c r="AJG87" s="645"/>
      <c r="AJH87" s="645"/>
      <c r="AJI87" s="645"/>
      <c r="AJJ87" s="645"/>
      <c r="AJK87" s="645"/>
      <c r="AJL87" s="645"/>
      <c r="AJM87" s="645"/>
      <c r="AJN87" s="645"/>
      <c r="AJO87" s="645"/>
      <c r="AJP87" s="645"/>
      <c r="AJQ87" s="645"/>
      <c r="AJR87" s="645"/>
      <c r="AJS87" s="645"/>
      <c r="AJT87" s="645"/>
      <c r="AJU87" s="645"/>
      <c r="AJV87" s="645"/>
      <c r="AJW87" s="645"/>
      <c r="AJX87" s="645"/>
      <c r="AJY87" s="645"/>
      <c r="AJZ87" s="645"/>
      <c r="AKA87" s="645"/>
      <c r="AKB87" s="645"/>
      <c r="AKC87" s="645"/>
      <c r="AKD87" s="645"/>
      <c r="AKE87" s="645"/>
      <c r="AKF87" s="645"/>
      <c r="AKG87" s="645"/>
      <c r="AKH87" s="645"/>
      <c r="AKI87" s="645"/>
      <c r="AKJ87" s="645"/>
      <c r="AKK87" s="645"/>
      <c r="AKL87" s="645"/>
      <c r="AKM87" s="645"/>
      <c r="AKN87" s="645"/>
      <c r="AKO87" s="645"/>
      <c r="AKP87" s="645"/>
      <c r="AKQ87" s="645"/>
      <c r="AKR87" s="645"/>
      <c r="AKS87" s="645"/>
      <c r="AKT87" s="645"/>
      <c r="AKU87" s="645"/>
      <c r="AKV87" s="645"/>
      <c r="AKW87" s="645"/>
      <c r="AKX87" s="645"/>
      <c r="AKY87" s="645"/>
      <c r="AKZ87" s="645"/>
      <c r="ALA87" s="645"/>
      <c r="ALB87" s="645"/>
      <c r="ALC87" s="645"/>
      <c r="ALD87" s="645"/>
      <c r="ALE87" s="645"/>
      <c r="ALF87" s="645"/>
      <c r="ALG87" s="645"/>
      <c r="ALH87" s="645"/>
      <c r="ALI87" s="645"/>
      <c r="ALJ87" s="645"/>
      <c r="ALK87" s="645"/>
      <c r="ALL87" s="645"/>
      <c r="ALM87" s="645"/>
      <c r="ALN87" s="645"/>
      <c r="ALO87" s="645"/>
      <c r="ALP87" s="645"/>
      <c r="ALQ87" s="645"/>
      <c r="ALR87" s="645"/>
      <c r="ALS87" s="645"/>
      <c r="ALT87" s="645"/>
      <c r="ALU87" s="645"/>
      <c r="ALV87" s="645"/>
      <c r="ALW87" s="645"/>
      <c r="ALX87" s="645"/>
      <c r="ALY87" s="645"/>
      <c r="ALZ87" s="645"/>
      <c r="AMA87" s="645"/>
      <c r="AMB87" s="645"/>
      <c r="AMC87" s="645"/>
      <c r="AMD87" s="645"/>
      <c r="AME87" s="645"/>
      <c r="AMF87" s="645"/>
      <c r="AMG87" s="645"/>
      <c r="AMH87" s="645"/>
      <c r="AMI87" s="645"/>
      <c r="AMJ87" s="645"/>
    </row>
    <row r="88" spans="1:1024" s="37" customFormat="1" ht="15.75" customHeight="1" x14ac:dyDescent="0.35">
      <c r="A88" s="600"/>
      <c r="B88" s="601" t="s">
        <v>342</v>
      </c>
      <c r="C88" s="645"/>
      <c r="D88" s="646"/>
      <c r="E88" s="645"/>
      <c r="F88" s="646"/>
      <c r="G88" s="647" t="s">
        <v>243</v>
      </c>
      <c r="H88" s="643"/>
      <c r="I88" s="645"/>
      <c r="J88" s="38"/>
      <c r="K88" s="38"/>
      <c r="L88" s="39"/>
      <c r="M88" s="38"/>
      <c r="N88" s="39"/>
      <c r="O88" s="38"/>
      <c r="P88" s="39"/>
      <c r="Q88" s="38"/>
      <c r="R88" s="39"/>
      <c r="S88" s="38"/>
      <c r="T88" s="39"/>
      <c r="U88" s="38"/>
      <c r="V88" s="39"/>
      <c r="W88" s="38"/>
      <c r="X88" s="39"/>
      <c r="Y88" s="38"/>
      <c r="Z88" s="39"/>
      <c r="AA88" s="38"/>
      <c r="AB88" s="39"/>
      <c r="AC88" s="38"/>
      <c r="AD88" s="39"/>
      <c r="AE88" s="38"/>
      <c r="AF88" s="39"/>
      <c r="AG88" s="38"/>
      <c r="AH88" s="39"/>
      <c r="AI88" s="38"/>
      <c r="AJ88" s="39"/>
      <c r="AK88" s="40"/>
      <c r="AL88" s="39"/>
      <c r="AM88" s="40"/>
      <c r="AN88" s="39"/>
      <c r="AO88" s="40"/>
      <c r="AP88" s="39"/>
      <c r="AQ88" s="40"/>
      <c r="AR88" s="39"/>
      <c r="AS88" s="40"/>
      <c r="AT88" s="39"/>
      <c r="AU88" s="40"/>
      <c r="AV88" s="39"/>
      <c r="AW88" s="40"/>
      <c r="AX88" s="39"/>
      <c r="AY88" s="40"/>
      <c r="AZ88" s="39"/>
      <c r="BA88" s="40"/>
      <c r="BB88" s="39"/>
      <c r="BC88" s="40"/>
      <c r="BD88" s="39"/>
      <c r="BE88" s="40"/>
      <c r="BF88" s="39"/>
      <c r="BG88" s="40"/>
      <c r="BH88" s="39"/>
      <c r="BI88" s="40"/>
      <c r="BJ88" s="39"/>
      <c r="BK88" s="40"/>
      <c r="BL88" s="39"/>
      <c r="BM88" s="40"/>
      <c r="BN88" s="39"/>
      <c r="BO88" s="40"/>
      <c r="BP88" s="39"/>
      <c r="BQ88" s="40"/>
      <c r="BR88" s="39"/>
      <c r="BS88" s="40"/>
      <c r="BT88" s="39"/>
      <c r="BU88" s="40"/>
      <c r="BV88" s="39"/>
      <c r="BW88" s="40"/>
      <c r="BX88" s="39"/>
      <c r="BY88" s="40"/>
      <c r="BZ88" s="39"/>
      <c r="CA88" s="40"/>
      <c r="CB88" s="39"/>
      <c r="CC88" s="40"/>
      <c r="CD88" s="39"/>
      <c r="CE88" s="40"/>
      <c r="CF88" s="39"/>
      <c r="CG88" s="40"/>
      <c r="CH88" s="39"/>
      <c r="CI88" s="40"/>
      <c r="CJ88" s="39"/>
      <c r="CK88" s="40"/>
      <c r="CL88" s="39"/>
      <c r="CM88" s="40"/>
      <c r="CN88" s="39"/>
      <c r="CO88" s="40"/>
      <c r="CP88" s="39"/>
      <c r="CQ88" s="40"/>
      <c r="CR88" s="39"/>
      <c r="CS88" s="40"/>
      <c r="CT88" s="39"/>
      <c r="CU88" s="40"/>
      <c r="CV88" s="39"/>
      <c r="CW88" s="40"/>
      <c r="CX88" s="39"/>
      <c r="CY88" s="40"/>
      <c r="CZ88" s="39"/>
      <c r="DA88" s="40"/>
      <c r="DB88" s="39"/>
      <c r="DC88" s="40"/>
      <c r="DD88" s="39"/>
      <c r="DE88" s="40"/>
      <c r="DF88" s="39"/>
      <c r="DG88" s="40"/>
      <c r="DH88" s="39"/>
      <c r="DI88" s="40"/>
      <c r="DJ88" s="39"/>
      <c r="DK88" s="40"/>
      <c r="DL88" s="39"/>
      <c r="DM88" s="40"/>
      <c r="DN88" s="39"/>
      <c r="DO88" s="40"/>
      <c r="DP88" s="39"/>
      <c r="DQ88" s="40"/>
      <c r="DR88" s="39"/>
      <c r="DS88" s="40"/>
      <c r="DT88" s="39"/>
      <c r="DU88" s="40"/>
      <c r="DV88" s="39"/>
      <c r="DW88" s="40"/>
      <c r="DX88" s="39"/>
      <c r="DY88" s="40"/>
      <c r="DZ88" s="39"/>
      <c r="EA88" s="40"/>
      <c r="EB88" s="39"/>
      <c r="EC88" s="40"/>
      <c r="ED88" s="39"/>
      <c r="EE88" s="40"/>
      <c r="EF88" s="39"/>
      <c r="EG88" s="40"/>
      <c r="EH88" s="39"/>
      <c r="EI88" s="40"/>
      <c r="EJ88" s="39"/>
      <c r="EK88" s="40"/>
      <c r="EL88" s="39"/>
      <c r="EM88" s="40"/>
      <c r="EN88" s="39"/>
      <c r="EO88" s="40"/>
      <c r="EP88" s="39"/>
      <c r="EQ88" s="40"/>
      <c r="ER88" s="39"/>
      <c r="ES88" s="40"/>
      <c r="ET88" s="39"/>
      <c r="EU88" s="40"/>
      <c r="EV88" s="39"/>
      <c r="EW88" s="40"/>
      <c r="EX88" s="39"/>
      <c r="EY88" s="40"/>
      <c r="EZ88" s="39"/>
      <c r="FA88" s="40"/>
      <c r="FB88" s="39"/>
      <c r="FC88" s="40"/>
      <c r="FD88" s="39"/>
      <c r="FE88" s="40"/>
      <c r="FF88" s="39"/>
      <c r="FG88" s="40"/>
      <c r="FH88" s="39"/>
      <c r="FI88" s="40"/>
      <c r="FJ88" s="39"/>
      <c r="FK88" s="40"/>
      <c r="FL88" s="39"/>
      <c r="FM88" s="40"/>
      <c r="FN88" s="39"/>
      <c r="FO88" s="40"/>
      <c r="FP88" s="39"/>
      <c r="FQ88" s="40"/>
      <c r="FR88" s="39"/>
      <c r="FS88" s="40"/>
      <c r="FT88" s="39"/>
      <c r="FU88" s="40"/>
      <c r="FV88" s="39"/>
      <c r="FW88" s="40"/>
      <c r="FX88" s="39"/>
      <c r="FY88" s="40"/>
      <c r="FZ88" s="39"/>
      <c r="GA88" s="40"/>
      <c r="GB88" s="39"/>
      <c r="GC88" s="40"/>
      <c r="GD88" s="39"/>
      <c r="GE88" s="40"/>
      <c r="GF88" s="39"/>
      <c r="GG88" s="40"/>
      <c r="GH88" s="39"/>
      <c r="GI88" s="40"/>
      <c r="GJ88" s="39"/>
      <c r="GK88" s="40"/>
      <c r="GL88" s="39"/>
      <c r="GM88" s="40"/>
      <c r="GN88" s="39"/>
      <c r="GO88" s="40"/>
      <c r="GP88" s="39"/>
      <c r="GQ88" s="40"/>
      <c r="GR88" s="39"/>
      <c r="GS88" s="40"/>
      <c r="GT88" s="39"/>
      <c r="GU88" s="40"/>
      <c r="GV88" s="39"/>
      <c r="GW88" s="40"/>
      <c r="GX88" s="39"/>
      <c r="GY88" s="40"/>
      <c r="GZ88" s="39"/>
      <c r="HA88" s="40"/>
      <c r="HB88" s="39"/>
      <c r="HC88" s="40"/>
      <c r="HD88" s="39"/>
      <c r="HE88" s="40"/>
      <c r="HF88" s="39"/>
      <c r="HG88" s="40"/>
      <c r="HH88" s="39"/>
      <c r="HI88" s="40"/>
      <c r="HJ88" s="39"/>
      <c r="HK88" s="40"/>
      <c r="HL88" s="39"/>
      <c r="HM88" s="40"/>
      <c r="HN88" s="39"/>
      <c r="HO88" s="40"/>
      <c r="HP88" s="39"/>
      <c r="HQ88" s="40"/>
      <c r="HR88" s="39"/>
      <c r="HS88" s="40"/>
      <c r="HT88" s="39"/>
      <c r="HU88" s="40"/>
      <c r="HV88" s="39"/>
      <c r="HW88" s="40"/>
      <c r="HX88" s="39"/>
      <c r="HY88" s="40"/>
      <c r="HZ88" s="39"/>
      <c r="IA88" s="40"/>
      <c r="IB88" s="39"/>
      <c r="IC88" s="1068"/>
      <c r="ID88" s="645"/>
      <c r="IE88" s="646"/>
      <c r="IF88" s="645"/>
      <c r="IG88" s="646"/>
      <c r="IH88" s="645"/>
      <c r="II88" s="646"/>
      <c r="IJ88" s="645"/>
      <c r="IK88" s="646"/>
      <c r="IL88" s="645"/>
      <c r="IM88" s="646"/>
      <c r="IN88" s="645"/>
      <c r="IO88" s="646"/>
      <c r="IP88" s="645"/>
      <c r="IQ88" s="646"/>
      <c r="IR88" s="645"/>
      <c r="IS88" s="646"/>
      <c r="IT88" s="645"/>
      <c r="IU88" s="646"/>
      <c r="IV88" s="645"/>
      <c r="IW88" s="646"/>
      <c r="IX88" s="645"/>
      <c r="IY88" s="646"/>
      <c r="IZ88" s="645"/>
      <c r="JA88" s="646"/>
      <c r="JB88" s="645"/>
      <c r="JC88" s="646"/>
      <c r="JD88" s="645"/>
      <c r="JE88" s="646"/>
      <c r="JF88" s="645"/>
      <c r="JG88" s="646"/>
      <c r="JH88" s="645"/>
      <c r="JI88" s="646"/>
      <c r="JJ88" s="645"/>
      <c r="JK88" s="646"/>
      <c r="JL88" s="645"/>
      <c r="JM88" s="646"/>
      <c r="JN88" s="645"/>
      <c r="JO88" s="646"/>
      <c r="JP88" s="645"/>
      <c r="JQ88" s="646"/>
      <c r="JR88" s="645"/>
      <c r="JS88" s="646"/>
      <c r="JT88" s="645"/>
      <c r="JU88" s="646"/>
      <c r="JV88" s="645"/>
      <c r="JW88" s="646"/>
      <c r="JX88" s="645"/>
      <c r="JY88" s="646"/>
      <c r="JZ88" s="645"/>
      <c r="KA88" s="646"/>
      <c r="KB88" s="645"/>
      <c r="KC88" s="646"/>
      <c r="KD88" s="645"/>
      <c r="KE88" s="646"/>
      <c r="KF88" s="645"/>
      <c r="KG88" s="646"/>
      <c r="KH88" s="645"/>
      <c r="KI88" s="646"/>
      <c r="KJ88" s="645"/>
      <c r="KK88" s="646"/>
      <c r="KL88" s="645"/>
      <c r="KM88" s="646"/>
      <c r="KN88" s="645"/>
      <c r="KO88" s="646"/>
      <c r="KP88" s="645"/>
      <c r="KQ88" s="646"/>
      <c r="KR88" s="645"/>
      <c r="KS88" s="646"/>
      <c r="KT88" s="645"/>
      <c r="KU88" s="646"/>
      <c r="KV88" s="645"/>
      <c r="KW88" s="646"/>
      <c r="KX88" s="645"/>
      <c r="KY88" s="646"/>
      <c r="KZ88" s="645"/>
      <c r="LA88" s="646"/>
      <c r="LB88" s="645"/>
      <c r="LC88" s="646"/>
      <c r="LD88" s="645"/>
      <c r="LE88" s="646"/>
      <c r="LF88" s="645"/>
      <c r="LG88" s="646"/>
      <c r="LH88" s="645"/>
      <c r="LI88" s="646"/>
      <c r="LJ88" s="645"/>
      <c r="LK88" s="646"/>
      <c r="LL88" s="645"/>
      <c r="LM88" s="646"/>
      <c r="LN88" s="645"/>
      <c r="LO88" s="646"/>
      <c r="LP88" s="645"/>
      <c r="LQ88" s="646"/>
      <c r="LR88" s="645"/>
      <c r="LS88" s="646"/>
      <c r="LT88" s="645"/>
      <c r="LU88" s="646"/>
      <c r="LV88" s="645"/>
      <c r="LW88" s="646"/>
      <c r="LX88" s="645"/>
      <c r="LY88" s="646"/>
      <c r="LZ88" s="645"/>
      <c r="MA88" s="646"/>
      <c r="MB88" s="645"/>
      <c r="MC88" s="646"/>
      <c r="MD88" s="645"/>
      <c r="ME88" s="646"/>
      <c r="MF88" s="645"/>
      <c r="MG88" s="646"/>
      <c r="MH88" s="645"/>
      <c r="MI88" s="646"/>
      <c r="MJ88" s="645"/>
      <c r="MK88" s="646"/>
      <c r="ML88" s="645"/>
      <c r="MM88" s="646"/>
      <c r="MN88" s="645"/>
      <c r="MO88" s="646"/>
      <c r="MP88" s="645"/>
      <c r="MQ88" s="646"/>
      <c r="MR88" s="645"/>
      <c r="MS88" s="646"/>
      <c r="MT88" s="645"/>
      <c r="MU88" s="646"/>
      <c r="MV88" s="645"/>
      <c r="MW88" s="646"/>
      <c r="MX88" s="645"/>
      <c r="MY88" s="646"/>
      <c r="MZ88" s="645"/>
      <c r="NA88" s="646"/>
      <c r="NB88" s="645"/>
      <c r="NC88" s="646"/>
      <c r="ND88" s="645"/>
      <c r="NE88" s="646"/>
      <c r="NF88" s="645"/>
      <c r="NG88" s="646"/>
      <c r="NH88" s="645"/>
      <c r="NI88" s="646"/>
      <c r="NJ88" s="645"/>
      <c r="NK88" s="646"/>
      <c r="NL88" s="645"/>
      <c r="NM88" s="646"/>
      <c r="NN88" s="645"/>
      <c r="NO88" s="646"/>
      <c r="NP88" s="645"/>
      <c r="NQ88" s="646"/>
      <c r="NR88" s="645"/>
      <c r="NS88" s="646"/>
      <c r="NT88" s="645"/>
      <c r="NU88" s="646"/>
      <c r="NV88" s="645"/>
      <c r="NW88" s="646"/>
      <c r="NX88" s="645"/>
      <c r="NY88" s="646"/>
      <c r="NZ88" s="645"/>
      <c r="OA88" s="646"/>
      <c r="OB88" s="645"/>
      <c r="OC88" s="646"/>
      <c r="OD88" s="645"/>
      <c r="OE88" s="646"/>
      <c r="OF88" s="645"/>
      <c r="OG88" s="646"/>
      <c r="OH88" s="645"/>
      <c r="OI88" s="646"/>
      <c r="OJ88" s="645"/>
      <c r="OK88" s="646"/>
      <c r="OL88" s="645"/>
      <c r="OM88" s="646"/>
      <c r="ON88" s="645"/>
      <c r="OO88" s="646"/>
      <c r="OP88" s="645"/>
      <c r="OQ88" s="646"/>
      <c r="OR88" s="645"/>
      <c r="OS88" s="646"/>
      <c r="OT88" s="645"/>
      <c r="OU88" s="646"/>
      <c r="OV88" s="645"/>
      <c r="OW88" s="646"/>
      <c r="OX88" s="645"/>
      <c r="OY88" s="646"/>
      <c r="OZ88" s="645"/>
      <c r="PA88" s="646"/>
      <c r="PB88" s="645"/>
      <c r="PC88" s="646"/>
      <c r="PD88" s="645"/>
      <c r="PE88" s="646"/>
      <c r="PF88" s="645"/>
      <c r="PG88" s="646"/>
      <c r="PH88" s="645"/>
      <c r="PI88" s="646"/>
      <c r="PJ88" s="645"/>
      <c r="PK88" s="646"/>
      <c r="PL88" s="645"/>
      <c r="PM88" s="646"/>
      <c r="PN88" s="645"/>
      <c r="PO88" s="646"/>
      <c r="PP88" s="645"/>
      <c r="PQ88" s="646"/>
      <c r="PR88" s="645"/>
      <c r="PS88" s="646"/>
      <c r="PT88" s="645"/>
      <c r="PU88" s="646"/>
      <c r="PV88" s="645"/>
      <c r="PW88" s="646"/>
      <c r="PX88" s="645"/>
      <c r="PY88" s="646"/>
      <c r="PZ88" s="645"/>
      <c r="QA88" s="646"/>
      <c r="QB88" s="645"/>
      <c r="QC88" s="646"/>
      <c r="QD88" s="645"/>
      <c r="QE88" s="646"/>
      <c r="QF88" s="645"/>
      <c r="QG88" s="646"/>
      <c r="QH88" s="645"/>
      <c r="QI88" s="646"/>
      <c r="QJ88" s="645"/>
      <c r="QK88" s="646"/>
      <c r="QL88" s="645"/>
      <c r="QM88" s="646"/>
      <c r="QN88" s="645"/>
      <c r="QO88" s="646"/>
      <c r="QP88" s="645"/>
      <c r="QQ88" s="646"/>
      <c r="QR88" s="645"/>
      <c r="QS88" s="646"/>
      <c r="QT88" s="645"/>
      <c r="QU88" s="646"/>
      <c r="QV88" s="645"/>
      <c r="QW88" s="646"/>
      <c r="QX88" s="645"/>
      <c r="QY88" s="646"/>
      <c r="QZ88" s="645"/>
      <c r="RA88" s="646"/>
      <c r="RB88" s="645"/>
      <c r="RC88" s="646"/>
      <c r="RD88" s="645"/>
      <c r="RE88" s="646"/>
      <c r="RF88" s="645"/>
      <c r="RG88" s="646"/>
      <c r="RH88" s="645"/>
      <c r="RI88" s="646"/>
      <c r="RJ88" s="645"/>
      <c r="RK88" s="646"/>
      <c r="RL88" s="645"/>
      <c r="RM88" s="646"/>
      <c r="RN88" s="645"/>
      <c r="RO88" s="646"/>
      <c r="RP88" s="645"/>
      <c r="RQ88" s="646"/>
      <c r="RR88" s="645"/>
      <c r="RS88" s="646"/>
      <c r="RT88" s="645"/>
      <c r="RU88" s="646"/>
      <c r="RV88" s="645"/>
      <c r="RW88" s="646"/>
      <c r="RX88" s="645"/>
      <c r="RY88" s="646"/>
      <c r="RZ88" s="645"/>
      <c r="SA88" s="646"/>
      <c r="SB88" s="645"/>
      <c r="SC88" s="646"/>
      <c r="SD88" s="645"/>
      <c r="SE88" s="646"/>
      <c r="SF88" s="645"/>
      <c r="SG88" s="646"/>
      <c r="SH88" s="645"/>
      <c r="SI88" s="646"/>
      <c r="SJ88" s="645"/>
      <c r="SK88" s="646"/>
      <c r="SL88" s="645"/>
      <c r="SM88" s="646"/>
      <c r="SN88" s="645"/>
      <c r="SO88" s="646"/>
      <c r="SP88" s="645"/>
      <c r="SQ88" s="646"/>
      <c r="SR88" s="645"/>
      <c r="SS88" s="646"/>
      <c r="ST88" s="645"/>
      <c r="SU88" s="646"/>
      <c r="SV88" s="645"/>
      <c r="SW88" s="646"/>
      <c r="SX88" s="645"/>
      <c r="SY88" s="646"/>
      <c r="SZ88" s="645"/>
      <c r="TA88" s="646"/>
      <c r="TB88" s="645"/>
      <c r="TC88" s="646"/>
      <c r="TD88" s="645"/>
      <c r="TE88" s="646"/>
      <c r="TF88" s="645"/>
      <c r="TG88" s="646"/>
      <c r="TH88" s="645"/>
      <c r="TI88" s="646"/>
      <c r="TJ88" s="645"/>
      <c r="TK88" s="646"/>
      <c r="TL88" s="645"/>
      <c r="TM88" s="646"/>
      <c r="TN88" s="645"/>
      <c r="TO88" s="646"/>
      <c r="TP88" s="645"/>
      <c r="TQ88" s="646"/>
      <c r="TR88" s="645"/>
      <c r="TS88" s="646"/>
      <c r="TT88" s="645"/>
      <c r="TU88" s="646"/>
      <c r="TV88" s="645"/>
      <c r="TW88" s="646"/>
      <c r="TX88" s="645"/>
      <c r="TY88" s="646"/>
      <c r="TZ88" s="645"/>
      <c r="UA88" s="646"/>
      <c r="UB88" s="645"/>
      <c r="UC88" s="646"/>
      <c r="UD88" s="645"/>
      <c r="UE88" s="646"/>
      <c r="UF88" s="645"/>
      <c r="UG88" s="646"/>
      <c r="UH88" s="645"/>
      <c r="UI88" s="646"/>
      <c r="UJ88" s="645"/>
      <c r="UK88" s="646"/>
      <c r="UL88" s="645"/>
      <c r="UM88" s="646"/>
      <c r="UN88" s="645"/>
      <c r="UO88" s="646"/>
      <c r="UP88" s="645"/>
      <c r="UQ88" s="646"/>
      <c r="UR88" s="645"/>
      <c r="US88" s="646"/>
      <c r="UT88" s="645"/>
      <c r="UU88" s="646"/>
      <c r="UV88" s="645"/>
      <c r="UW88" s="646"/>
      <c r="UX88" s="645"/>
      <c r="UY88" s="646"/>
      <c r="UZ88" s="645"/>
      <c r="VA88" s="646"/>
      <c r="VB88" s="645"/>
      <c r="VC88" s="646"/>
      <c r="VD88" s="645"/>
      <c r="VE88" s="646"/>
      <c r="VF88" s="645"/>
      <c r="VG88" s="646"/>
      <c r="VH88" s="645"/>
      <c r="VI88" s="646"/>
      <c r="VJ88" s="645"/>
      <c r="VK88" s="646"/>
      <c r="VL88" s="645"/>
      <c r="VM88" s="646"/>
      <c r="VN88" s="645"/>
      <c r="VO88" s="646"/>
      <c r="VP88" s="645"/>
      <c r="VQ88" s="646"/>
      <c r="VR88" s="645"/>
      <c r="VS88" s="646"/>
      <c r="VT88" s="645"/>
      <c r="VU88" s="646"/>
      <c r="VV88" s="645"/>
      <c r="VW88" s="646"/>
      <c r="VX88" s="645"/>
      <c r="VY88" s="646"/>
      <c r="VZ88" s="645"/>
      <c r="WA88" s="646"/>
      <c r="WB88" s="645"/>
      <c r="WC88" s="646"/>
      <c r="WD88" s="645"/>
      <c r="WE88" s="646"/>
      <c r="WF88" s="645"/>
      <c r="WG88" s="646"/>
      <c r="WH88" s="645"/>
      <c r="WI88" s="646"/>
      <c r="WJ88" s="645"/>
      <c r="WK88" s="646"/>
      <c r="WL88" s="645"/>
      <c r="WM88" s="646"/>
      <c r="WN88" s="645"/>
      <c r="WO88" s="646"/>
      <c r="WP88" s="645"/>
      <c r="WQ88" s="646"/>
      <c r="WR88" s="645"/>
      <c r="WS88" s="646"/>
      <c r="WT88" s="645"/>
      <c r="WU88" s="646"/>
      <c r="WV88" s="645"/>
      <c r="WW88" s="646"/>
      <c r="WX88" s="645"/>
      <c r="WY88" s="646"/>
      <c r="WZ88" s="645"/>
      <c r="XA88" s="646"/>
      <c r="XB88" s="645"/>
      <c r="XC88" s="646"/>
      <c r="XD88" s="645"/>
      <c r="XE88" s="646"/>
      <c r="XF88" s="645"/>
      <c r="XG88" s="646"/>
      <c r="XH88" s="645"/>
      <c r="XI88" s="646"/>
      <c r="XJ88" s="645"/>
      <c r="XK88" s="646"/>
      <c r="XL88" s="645"/>
      <c r="XM88" s="646"/>
      <c r="XN88" s="645"/>
      <c r="XO88" s="646"/>
      <c r="XP88" s="645"/>
      <c r="XQ88" s="646"/>
      <c r="XR88" s="645"/>
      <c r="XS88" s="646"/>
      <c r="XT88" s="645"/>
      <c r="XU88" s="646"/>
      <c r="XV88" s="645"/>
      <c r="XW88" s="646"/>
      <c r="XX88" s="645"/>
      <c r="XY88" s="646"/>
      <c r="XZ88" s="645"/>
      <c r="YA88" s="646"/>
      <c r="YB88" s="645"/>
      <c r="YC88" s="646"/>
      <c r="YD88" s="645"/>
      <c r="YE88" s="646"/>
      <c r="YF88" s="645"/>
      <c r="YG88" s="646"/>
      <c r="YH88" s="645"/>
      <c r="YI88" s="646"/>
      <c r="YJ88" s="645"/>
      <c r="YK88" s="646"/>
      <c r="YL88" s="645"/>
      <c r="YM88" s="646"/>
      <c r="YN88" s="645"/>
      <c r="YO88" s="646"/>
      <c r="YP88" s="645"/>
      <c r="YQ88" s="646"/>
      <c r="YR88" s="645"/>
      <c r="YS88" s="646"/>
      <c r="YT88" s="645"/>
      <c r="YU88" s="646"/>
      <c r="YV88" s="645"/>
      <c r="YW88" s="646"/>
      <c r="YX88" s="645"/>
      <c r="YY88" s="646"/>
      <c r="YZ88" s="645"/>
      <c r="ZA88" s="646"/>
      <c r="ZB88" s="645"/>
      <c r="ZC88" s="646"/>
      <c r="ZD88" s="645"/>
      <c r="ZE88" s="646"/>
      <c r="ZF88" s="645"/>
      <c r="ZG88" s="646"/>
      <c r="ZH88" s="645"/>
      <c r="ZI88" s="646"/>
      <c r="ZJ88" s="645"/>
      <c r="ZK88" s="646"/>
      <c r="ZL88" s="645"/>
      <c r="ZM88" s="646"/>
      <c r="ZN88" s="645"/>
      <c r="ZO88" s="646"/>
      <c r="ZP88" s="645"/>
      <c r="ZQ88" s="646"/>
      <c r="ZR88" s="645"/>
      <c r="ZS88" s="646"/>
      <c r="ZT88" s="645"/>
      <c r="ZU88" s="646"/>
      <c r="ZV88" s="645"/>
      <c r="ZW88" s="646"/>
      <c r="ZX88" s="645"/>
      <c r="ZY88" s="646"/>
      <c r="ZZ88" s="645"/>
      <c r="AAA88" s="646"/>
      <c r="AAB88" s="645"/>
      <c r="AAC88" s="646"/>
      <c r="AAD88" s="645"/>
      <c r="AAE88" s="646"/>
      <c r="AAF88" s="645"/>
      <c r="AAG88" s="646"/>
      <c r="AAH88" s="645"/>
      <c r="AAI88" s="646"/>
      <c r="AAJ88" s="645"/>
      <c r="AAK88" s="646"/>
      <c r="AAL88" s="645"/>
      <c r="AAM88" s="646"/>
      <c r="AAN88" s="645"/>
      <c r="AAO88" s="646"/>
      <c r="AAP88" s="645"/>
      <c r="AAQ88" s="646"/>
      <c r="AAR88" s="645"/>
      <c r="AAS88" s="646"/>
      <c r="AAT88" s="645"/>
      <c r="AAU88" s="646"/>
      <c r="AAV88" s="645"/>
      <c r="AAW88" s="646"/>
      <c r="AAX88" s="645"/>
      <c r="AAY88" s="646"/>
      <c r="AAZ88" s="645"/>
      <c r="ABA88" s="646"/>
      <c r="ABB88" s="645"/>
      <c r="ABC88" s="646"/>
      <c r="ABD88" s="645"/>
      <c r="ABE88" s="646"/>
      <c r="ABF88" s="645"/>
      <c r="ABG88" s="646"/>
      <c r="ABH88" s="645"/>
      <c r="ABI88" s="646"/>
      <c r="ABJ88" s="645"/>
      <c r="ABK88" s="646"/>
      <c r="ABL88" s="645"/>
      <c r="ABM88" s="646"/>
      <c r="ABN88" s="645"/>
      <c r="ABO88" s="646"/>
      <c r="ABP88" s="645"/>
      <c r="ABQ88" s="646"/>
      <c r="ABR88" s="645"/>
      <c r="ABS88" s="646"/>
      <c r="ABT88" s="645"/>
      <c r="ABU88" s="646"/>
      <c r="ABV88" s="645"/>
      <c r="ABW88" s="646"/>
      <c r="ABX88" s="645"/>
      <c r="ABY88" s="646"/>
      <c r="ABZ88" s="645"/>
      <c r="ACA88" s="646"/>
      <c r="ACB88" s="645"/>
      <c r="ACC88" s="646"/>
      <c r="ACD88" s="645"/>
      <c r="ACE88" s="646"/>
      <c r="ACF88" s="645"/>
      <c r="ACG88" s="646"/>
      <c r="ACH88" s="645"/>
      <c r="ACI88" s="646"/>
      <c r="ACJ88" s="645"/>
      <c r="ACK88" s="646"/>
      <c r="ACL88" s="645"/>
      <c r="ACM88" s="646"/>
      <c r="ACN88" s="645"/>
      <c r="ACO88" s="646"/>
      <c r="ACP88" s="645"/>
      <c r="ACQ88" s="646"/>
      <c r="ACR88" s="645"/>
      <c r="ACS88" s="646"/>
      <c r="ACT88" s="645"/>
      <c r="ACU88" s="646"/>
      <c r="ACV88" s="645"/>
      <c r="ACW88" s="646"/>
      <c r="ACX88" s="645"/>
      <c r="ACY88" s="646"/>
      <c r="ACZ88" s="645"/>
      <c r="ADA88" s="646"/>
      <c r="ADB88" s="645"/>
      <c r="ADC88" s="646"/>
      <c r="ADD88" s="645"/>
      <c r="ADE88" s="646"/>
      <c r="ADF88" s="645"/>
      <c r="ADG88" s="646"/>
      <c r="ADH88" s="645"/>
      <c r="ADI88" s="646"/>
      <c r="ADJ88" s="645"/>
      <c r="ADK88" s="646"/>
      <c r="ADL88" s="645"/>
      <c r="ADM88" s="646"/>
      <c r="ADN88" s="645"/>
      <c r="ADO88" s="646"/>
      <c r="ADP88" s="645"/>
      <c r="ADQ88" s="646"/>
      <c r="ADR88" s="645"/>
      <c r="ADS88" s="646"/>
      <c r="ADT88" s="645"/>
      <c r="ADU88" s="646"/>
      <c r="ADV88" s="645"/>
      <c r="ADW88" s="646"/>
      <c r="ADX88" s="645"/>
      <c r="ADY88" s="646"/>
      <c r="ADZ88" s="645"/>
      <c r="AEA88" s="646"/>
      <c r="AEB88" s="645"/>
      <c r="AEC88" s="646"/>
      <c r="AED88" s="645"/>
      <c r="AEE88" s="646"/>
      <c r="AEF88" s="645"/>
      <c r="AEG88" s="646"/>
      <c r="AEH88" s="645"/>
      <c r="AEI88" s="646"/>
      <c r="AEJ88" s="645"/>
      <c r="AEK88" s="646"/>
      <c r="AEL88" s="645"/>
      <c r="AEM88" s="646"/>
      <c r="AEN88" s="645"/>
      <c r="AEO88" s="646"/>
      <c r="AEP88" s="645"/>
      <c r="AEQ88" s="646"/>
      <c r="AER88" s="645"/>
      <c r="AES88" s="646"/>
      <c r="AET88" s="645"/>
      <c r="AEU88" s="646"/>
      <c r="AEV88" s="645"/>
      <c r="AEW88" s="646"/>
      <c r="AEX88" s="645"/>
      <c r="AEY88" s="646"/>
      <c r="AEZ88" s="645"/>
      <c r="AFA88" s="646"/>
      <c r="AFB88" s="645"/>
      <c r="AFC88" s="646"/>
      <c r="AFD88" s="645"/>
      <c r="AFE88" s="646"/>
      <c r="AFF88" s="645"/>
      <c r="AFG88" s="646"/>
      <c r="AFH88" s="645"/>
      <c r="AFI88" s="646"/>
      <c r="AFJ88" s="645"/>
      <c r="AFK88" s="646"/>
      <c r="AFL88" s="645"/>
      <c r="AFM88" s="646"/>
      <c r="AFN88" s="645"/>
      <c r="AFO88" s="646"/>
      <c r="AFP88" s="645"/>
      <c r="AFQ88" s="646"/>
      <c r="AFR88" s="645"/>
      <c r="AFS88" s="646"/>
      <c r="AFT88" s="645"/>
      <c r="AFU88" s="646"/>
      <c r="AFV88" s="645"/>
      <c r="AFW88" s="646"/>
      <c r="AFX88" s="645"/>
      <c r="AFY88" s="646"/>
      <c r="AFZ88" s="645"/>
      <c r="AGA88" s="646"/>
      <c r="AGB88" s="645"/>
      <c r="AGC88" s="646"/>
      <c r="AGD88" s="645"/>
      <c r="AGE88" s="646"/>
      <c r="AGF88" s="645"/>
      <c r="AGG88" s="646"/>
      <c r="AGH88" s="645"/>
      <c r="AGI88" s="646"/>
      <c r="AGJ88" s="645"/>
      <c r="AGK88" s="646"/>
      <c r="AGL88" s="645"/>
      <c r="AGM88" s="646"/>
      <c r="AGN88" s="645"/>
      <c r="AGO88" s="646"/>
      <c r="AGP88" s="645"/>
      <c r="AGQ88" s="646"/>
      <c r="AGR88" s="645"/>
      <c r="AGS88" s="646"/>
      <c r="AGT88" s="645"/>
      <c r="AGU88" s="646"/>
      <c r="AGV88" s="645"/>
      <c r="AGW88" s="646"/>
      <c r="AGX88" s="645"/>
      <c r="AGY88" s="646"/>
      <c r="AGZ88" s="645"/>
      <c r="AHA88" s="646"/>
      <c r="AHB88" s="645"/>
      <c r="AHC88" s="646"/>
      <c r="AHD88" s="645"/>
      <c r="AHE88" s="646"/>
      <c r="AHF88" s="645"/>
      <c r="AHG88" s="646"/>
      <c r="AHH88" s="645"/>
      <c r="AHI88" s="646"/>
      <c r="AHJ88" s="645"/>
      <c r="AHK88" s="646"/>
      <c r="AHL88" s="645"/>
      <c r="AHM88" s="646"/>
      <c r="AHN88" s="645"/>
      <c r="AHO88" s="646"/>
      <c r="AHP88" s="645"/>
      <c r="AHQ88" s="646"/>
      <c r="AHR88" s="645"/>
      <c r="AHS88" s="646"/>
      <c r="AHT88" s="645"/>
      <c r="AHU88" s="646"/>
      <c r="AHV88" s="645"/>
      <c r="AHW88" s="646"/>
      <c r="AHX88" s="645"/>
      <c r="AHY88" s="646"/>
      <c r="AHZ88" s="645"/>
      <c r="AIA88" s="646"/>
      <c r="AIB88" s="645"/>
      <c r="AIC88" s="646"/>
      <c r="AID88" s="645"/>
      <c r="AIE88" s="646"/>
      <c r="AIF88" s="645"/>
      <c r="AIG88" s="646"/>
      <c r="AIH88" s="645"/>
      <c r="AII88" s="646"/>
      <c r="AIJ88" s="645"/>
      <c r="AIK88" s="646"/>
      <c r="AIL88" s="645"/>
      <c r="AIM88" s="646"/>
      <c r="AIN88" s="645"/>
      <c r="AIO88" s="646"/>
      <c r="AIP88" s="645"/>
      <c r="AIQ88" s="645"/>
      <c r="AIR88" s="645"/>
      <c r="AIS88" s="645"/>
      <c r="AIT88" s="645"/>
      <c r="AIU88" s="645"/>
      <c r="AIV88" s="645"/>
      <c r="AIW88" s="645"/>
      <c r="AIX88" s="645"/>
      <c r="AIY88" s="645"/>
      <c r="AIZ88" s="645"/>
      <c r="AJA88" s="645"/>
      <c r="AJB88" s="645"/>
      <c r="AJC88" s="645"/>
      <c r="AJD88" s="645"/>
      <c r="AJE88" s="645"/>
      <c r="AJF88" s="645"/>
      <c r="AJG88" s="645"/>
      <c r="AJH88" s="645"/>
      <c r="AJI88" s="645"/>
      <c r="AJJ88" s="645"/>
      <c r="AJK88" s="645"/>
      <c r="AJL88" s="645"/>
      <c r="AJM88" s="645"/>
      <c r="AJN88" s="645"/>
      <c r="AJO88" s="645"/>
      <c r="AJP88" s="645"/>
      <c r="AJQ88" s="645"/>
      <c r="AJR88" s="645"/>
      <c r="AJS88" s="645"/>
      <c r="AJT88" s="645"/>
      <c r="AJU88" s="645"/>
      <c r="AJV88" s="645"/>
      <c r="AJW88" s="645"/>
      <c r="AJX88" s="645"/>
      <c r="AJY88" s="645"/>
      <c r="AJZ88" s="645"/>
      <c r="AKA88" s="645"/>
      <c r="AKB88" s="645"/>
      <c r="AKC88" s="645"/>
      <c r="AKD88" s="645"/>
      <c r="AKE88" s="645"/>
      <c r="AKF88" s="645"/>
      <c r="AKG88" s="645"/>
      <c r="AKH88" s="645"/>
      <c r="AKI88" s="645"/>
      <c r="AKJ88" s="645"/>
      <c r="AKK88" s="645"/>
      <c r="AKL88" s="645"/>
      <c r="AKM88" s="645"/>
      <c r="AKN88" s="645"/>
      <c r="AKO88" s="645"/>
      <c r="AKP88" s="645"/>
      <c r="AKQ88" s="645"/>
      <c r="AKR88" s="645"/>
      <c r="AKS88" s="645"/>
      <c r="AKT88" s="645"/>
      <c r="AKU88" s="645"/>
      <c r="AKV88" s="645"/>
      <c r="AKW88" s="645"/>
      <c r="AKX88" s="645"/>
      <c r="AKY88" s="645"/>
      <c r="AKZ88" s="645"/>
      <c r="ALA88" s="645"/>
      <c r="ALB88" s="645"/>
      <c r="ALC88" s="645"/>
      <c r="ALD88" s="645"/>
      <c r="ALE88" s="645"/>
      <c r="ALF88" s="645"/>
      <c r="ALG88" s="645"/>
      <c r="ALH88" s="645"/>
      <c r="ALI88" s="645"/>
      <c r="ALJ88" s="645"/>
      <c r="ALK88" s="645"/>
      <c r="ALL88" s="645"/>
      <c r="ALM88" s="645"/>
      <c r="ALN88" s="645"/>
      <c r="ALO88" s="645"/>
      <c r="ALP88" s="645"/>
      <c r="ALQ88" s="645"/>
      <c r="ALR88" s="645"/>
      <c r="ALS88" s="645"/>
      <c r="ALT88" s="645"/>
      <c r="ALU88" s="645"/>
      <c r="ALV88" s="645"/>
      <c r="ALW88" s="645"/>
      <c r="ALX88" s="645"/>
      <c r="ALY88" s="645"/>
      <c r="ALZ88" s="645"/>
      <c r="AMA88" s="645"/>
      <c r="AMB88" s="645"/>
      <c r="AMC88" s="645"/>
      <c r="AMD88" s="645"/>
      <c r="AME88" s="645"/>
      <c r="AMF88" s="645"/>
      <c r="AMG88" s="645"/>
      <c r="AMH88" s="645"/>
      <c r="AMI88" s="645"/>
      <c r="AMJ88" s="645"/>
    </row>
    <row r="89" spans="1:1024" s="37" customFormat="1" ht="15.75" customHeight="1" x14ac:dyDescent="0.35">
      <c r="A89" s="600"/>
      <c r="B89" s="601" t="s">
        <v>343</v>
      </c>
      <c r="C89" s="645"/>
      <c r="D89" s="646"/>
      <c r="E89" s="645"/>
      <c r="F89" s="646"/>
      <c r="G89" s="647" t="s">
        <v>243</v>
      </c>
      <c r="H89" s="643"/>
      <c r="I89" s="645"/>
      <c r="J89" s="38"/>
      <c r="K89" s="38"/>
      <c r="L89" s="39"/>
      <c r="M89" s="38"/>
      <c r="N89" s="39"/>
      <c r="O89" s="38"/>
      <c r="P89" s="39"/>
      <c r="Q89" s="38"/>
      <c r="R89" s="39"/>
      <c r="S89" s="38"/>
      <c r="T89" s="39"/>
      <c r="U89" s="38"/>
      <c r="V89" s="39"/>
      <c r="W89" s="38"/>
      <c r="X89" s="39"/>
      <c r="Y89" s="38"/>
      <c r="Z89" s="39"/>
      <c r="AA89" s="38"/>
      <c r="AB89" s="39"/>
      <c r="AC89" s="38"/>
      <c r="AD89" s="39"/>
      <c r="AE89" s="38"/>
      <c r="AF89" s="39"/>
      <c r="AG89" s="38"/>
      <c r="AH89" s="39"/>
      <c r="AI89" s="38"/>
      <c r="AJ89" s="39"/>
      <c r="AK89" s="40"/>
      <c r="AL89" s="39"/>
      <c r="AM89" s="40"/>
      <c r="AN89" s="39"/>
      <c r="AO89" s="40"/>
      <c r="AP89" s="39"/>
      <c r="AQ89" s="40"/>
      <c r="AR89" s="39"/>
      <c r="AS89" s="40"/>
      <c r="AT89" s="39"/>
      <c r="AU89" s="40"/>
      <c r="AV89" s="39"/>
      <c r="AW89" s="40"/>
      <c r="AX89" s="39"/>
      <c r="AY89" s="40"/>
      <c r="AZ89" s="39"/>
      <c r="BA89" s="40"/>
      <c r="BB89" s="39"/>
      <c r="BC89" s="40"/>
      <c r="BD89" s="39"/>
      <c r="BE89" s="40"/>
      <c r="BF89" s="39"/>
      <c r="BG89" s="40"/>
      <c r="BH89" s="39"/>
      <c r="BI89" s="40"/>
      <c r="BJ89" s="39"/>
      <c r="BK89" s="40"/>
      <c r="BL89" s="39"/>
      <c r="BM89" s="40"/>
      <c r="BN89" s="39"/>
      <c r="BO89" s="40"/>
      <c r="BP89" s="39"/>
      <c r="BQ89" s="40"/>
      <c r="BR89" s="39"/>
      <c r="BS89" s="40"/>
      <c r="BT89" s="39"/>
      <c r="BU89" s="40"/>
      <c r="BV89" s="39"/>
      <c r="BW89" s="40"/>
      <c r="BX89" s="39"/>
      <c r="BY89" s="40"/>
      <c r="BZ89" s="39"/>
      <c r="CA89" s="40"/>
      <c r="CB89" s="39"/>
      <c r="CC89" s="40"/>
      <c r="CD89" s="39"/>
      <c r="CE89" s="40"/>
      <c r="CF89" s="39"/>
      <c r="CG89" s="40"/>
      <c r="CH89" s="39"/>
      <c r="CI89" s="40"/>
      <c r="CJ89" s="39"/>
      <c r="CK89" s="40"/>
      <c r="CL89" s="39"/>
      <c r="CM89" s="40"/>
      <c r="CN89" s="39"/>
      <c r="CO89" s="40"/>
      <c r="CP89" s="39"/>
      <c r="CQ89" s="40"/>
      <c r="CR89" s="39"/>
      <c r="CS89" s="40"/>
      <c r="CT89" s="39"/>
      <c r="CU89" s="40"/>
      <c r="CV89" s="39"/>
      <c r="CW89" s="40"/>
      <c r="CX89" s="39"/>
      <c r="CY89" s="40"/>
      <c r="CZ89" s="39"/>
      <c r="DA89" s="40"/>
      <c r="DB89" s="39"/>
      <c r="DC89" s="40"/>
      <c r="DD89" s="39"/>
      <c r="DE89" s="40"/>
      <c r="DF89" s="39"/>
      <c r="DG89" s="40"/>
      <c r="DH89" s="39"/>
      <c r="DI89" s="40"/>
      <c r="DJ89" s="39"/>
      <c r="DK89" s="40"/>
      <c r="DL89" s="39"/>
      <c r="DM89" s="40"/>
      <c r="DN89" s="39"/>
      <c r="DO89" s="40"/>
      <c r="DP89" s="39"/>
      <c r="DQ89" s="40"/>
      <c r="DR89" s="39"/>
      <c r="DS89" s="40"/>
      <c r="DT89" s="39"/>
      <c r="DU89" s="40"/>
      <c r="DV89" s="39"/>
      <c r="DW89" s="40"/>
      <c r="DX89" s="39"/>
      <c r="DY89" s="40"/>
      <c r="DZ89" s="39"/>
      <c r="EA89" s="40"/>
      <c r="EB89" s="39"/>
      <c r="EC89" s="40"/>
      <c r="ED89" s="39"/>
      <c r="EE89" s="40"/>
      <c r="EF89" s="39"/>
      <c r="EG89" s="40"/>
      <c r="EH89" s="39"/>
      <c r="EI89" s="40"/>
      <c r="EJ89" s="39"/>
      <c r="EK89" s="40"/>
      <c r="EL89" s="39"/>
      <c r="EM89" s="40"/>
      <c r="EN89" s="39"/>
      <c r="EO89" s="40"/>
      <c r="EP89" s="39"/>
      <c r="EQ89" s="40"/>
      <c r="ER89" s="39"/>
      <c r="ES89" s="40"/>
      <c r="ET89" s="39"/>
      <c r="EU89" s="40"/>
      <c r="EV89" s="39"/>
      <c r="EW89" s="40"/>
      <c r="EX89" s="39"/>
      <c r="EY89" s="40"/>
      <c r="EZ89" s="39"/>
      <c r="FA89" s="40"/>
      <c r="FB89" s="39"/>
      <c r="FC89" s="40"/>
      <c r="FD89" s="39"/>
      <c r="FE89" s="40"/>
      <c r="FF89" s="39"/>
      <c r="FG89" s="40"/>
      <c r="FH89" s="39"/>
      <c r="FI89" s="40"/>
      <c r="FJ89" s="39"/>
      <c r="FK89" s="40"/>
      <c r="FL89" s="39"/>
      <c r="FM89" s="40"/>
      <c r="FN89" s="39"/>
      <c r="FO89" s="40"/>
      <c r="FP89" s="39"/>
      <c r="FQ89" s="40"/>
      <c r="FR89" s="39"/>
      <c r="FS89" s="40"/>
      <c r="FT89" s="39"/>
      <c r="FU89" s="40"/>
      <c r="FV89" s="39"/>
      <c r="FW89" s="40"/>
      <c r="FX89" s="39"/>
      <c r="FY89" s="40"/>
      <c r="FZ89" s="39"/>
      <c r="GA89" s="40"/>
      <c r="GB89" s="39"/>
      <c r="GC89" s="40"/>
      <c r="GD89" s="39"/>
      <c r="GE89" s="40"/>
      <c r="GF89" s="39"/>
      <c r="GG89" s="40"/>
      <c r="GH89" s="39"/>
      <c r="GI89" s="40"/>
      <c r="GJ89" s="39"/>
      <c r="GK89" s="40"/>
      <c r="GL89" s="39"/>
      <c r="GM89" s="40"/>
      <c r="GN89" s="39"/>
      <c r="GO89" s="40"/>
      <c r="GP89" s="39"/>
      <c r="GQ89" s="40"/>
      <c r="GR89" s="39"/>
      <c r="GS89" s="40"/>
      <c r="GT89" s="39"/>
      <c r="GU89" s="40"/>
      <c r="GV89" s="39"/>
      <c r="GW89" s="40"/>
      <c r="GX89" s="39"/>
      <c r="GY89" s="40"/>
      <c r="GZ89" s="39"/>
      <c r="HA89" s="40"/>
      <c r="HB89" s="39"/>
      <c r="HC89" s="40"/>
      <c r="HD89" s="39"/>
      <c r="HE89" s="40"/>
      <c r="HF89" s="39"/>
      <c r="HG89" s="40"/>
      <c r="HH89" s="39"/>
      <c r="HI89" s="40"/>
      <c r="HJ89" s="39"/>
      <c r="HK89" s="40"/>
      <c r="HL89" s="39"/>
      <c r="HM89" s="40"/>
      <c r="HN89" s="39"/>
      <c r="HO89" s="40"/>
      <c r="HP89" s="39"/>
      <c r="HQ89" s="40"/>
      <c r="HR89" s="39"/>
      <c r="HS89" s="40"/>
      <c r="HT89" s="39"/>
      <c r="HU89" s="40"/>
      <c r="HV89" s="39"/>
      <c r="HW89" s="40"/>
      <c r="HX89" s="39"/>
      <c r="HY89" s="40"/>
      <c r="HZ89" s="39"/>
      <c r="IA89" s="40"/>
      <c r="IB89" s="39"/>
      <c r="IC89" s="1068"/>
      <c r="ID89" s="645"/>
      <c r="IE89" s="646"/>
      <c r="IF89" s="645"/>
      <c r="IG89" s="646"/>
      <c r="IH89" s="645"/>
      <c r="II89" s="646"/>
      <c r="IJ89" s="645"/>
      <c r="IK89" s="646"/>
      <c r="IL89" s="645"/>
      <c r="IM89" s="646"/>
      <c r="IN89" s="645"/>
      <c r="IO89" s="646"/>
      <c r="IP89" s="645"/>
      <c r="IQ89" s="646"/>
      <c r="IR89" s="645"/>
      <c r="IS89" s="646"/>
      <c r="IT89" s="645"/>
      <c r="IU89" s="646"/>
      <c r="IV89" s="645"/>
      <c r="IW89" s="646"/>
      <c r="IX89" s="645"/>
      <c r="IY89" s="646"/>
      <c r="IZ89" s="645"/>
      <c r="JA89" s="646"/>
      <c r="JB89" s="645"/>
      <c r="JC89" s="646"/>
      <c r="JD89" s="645"/>
      <c r="JE89" s="646"/>
      <c r="JF89" s="645"/>
      <c r="JG89" s="646"/>
      <c r="JH89" s="645"/>
      <c r="JI89" s="646"/>
      <c r="JJ89" s="645"/>
      <c r="JK89" s="646"/>
      <c r="JL89" s="645"/>
      <c r="JM89" s="646"/>
      <c r="JN89" s="645"/>
      <c r="JO89" s="646"/>
      <c r="JP89" s="645"/>
      <c r="JQ89" s="646"/>
      <c r="JR89" s="645"/>
      <c r="JS89" s="646"/>
      <c r="JT89" s="645"/>
      <c r="JU89" s="646"/>
      <c r="JV89" s="645"/>
      <c r="JW89" s="646"/>
      <c r="JX89" s="645"/>
      <c r="JY89" s="646"/>
      <c r="JZ89" s="645"/>
      <c r="KA89" s="646"/>
      <c r="KB89" s="645"/>
      <c r="KC89" s="646"/>
      <c r="KD89" s="645"/>
      <c r="KE89" s="646"/>
      <c r="KF89" s="645"/>
      <c r="KG89" s="646"/>
      <c r="KH89" s="645"/>
      <c r="KI89" s="646"/>
      <c r="KJ89" s="645"/>
      <c r="KK89" s="646"/>
      <c r="KL89" s="645"/>
      <c r="KM89" s="646"/>
      <c r="KN89" s="645"/>
      <c r="KO89" s="646"/>
      <c r="KP89" s="645"/>
      <c r="KQ89" s="646"/>
      <c r="KR89" s="645"/>
      <c r="KS89" s="646"/>
      <c r="KT89" s="645"/>
      <c r="KU89" s="646"/>
      <c r="KV89" s="645"/>
      <c r="KW89" s="646"/>
      <c r="KX89" s="645"/>
      <c r="KY89" s="646"/>
      <c r="KZ89" s="645"/>
      <c r="LA89" s="646"/>
      <c r="LB89" s="645"/>
      <c r="LC89" s="646"/>
      <c r="LD89" s="645"/>
      <c r="LE89" s="646"/>
      <c r="LF89" s="645"/>
      <c r="LG89" s="646"/>
      <c r="LH89" s="645"/>
      <c r="LI89" s="646"/>
      <c r="LJ89" s="645"/>
      <c r="LK89" s="646"/>
      <c r="LL89" s="645"/>
      <c r="LM89" s="646"/>
      <c r="LN89" s="645"/>
      <c r="LO89" s="646"/>
      <c r="LP89" s="645"/>
      <c r="LQ89" s="646"/>
      <c r="LR89" s="645"/>
      <c r="LS89" s="646"/>
      <c r="LT89" s="645"/>
      <c r="LU89" s="646"/>
      <c r="LV89" s="645"/>
      <c r="LW89" s="646"/>
      <c r="LX89" s="645"/>
      <c r="LY89" s="646"/>
      <c r="LZ89" s="645"/>
      <c r="MA89" s="646"/>
      <c r="MB89" s="645"/>
      <c r="MC89" s="646"/>
      <c r="MD89" s="645"/>
      <c r="ME89" s="646"/>
      <c r="MF89" s="645"/>
      <c r="MG89" s="646"/>
      <c r="MH89" s="645"/>
      <c r="MI89" s="646"/>
      <c r="MJ89" s="645"/>
      <c r="MK89" s="646"/>
      <c r="ML89" s="645"/>
      <c r="MM89" s="646"/>
      <c r="MN89" s="645"/>
      <c r="MO89" s="646"/>
      <c r="MP89" s="645"/>
      <c r="MQ89" s="646"/>
      <c r="MR89" s="645"/>
      <c r="MS89" s="646"/>
      <c r="MT89" s="645"/>
      <c r="MU89" s="646"/>
      <c r="MV89" s="645"/>
      <c r="MW89" s="646"/>
      <c r="MX89" s="645"/>
      <c r="MY89" s="646"/>
      <c r="MZ89" s="645"/>
      <c r="NA89" s="646"/>
      <c r="NB89" s="645"/>
      <c r="NC89" s="646"/>
      <c r="ND89" s="645"/>
      <c r="NE89" s="646"/>
      <c r="NF89" s="645"/>
      <c r="NG89" s="646"/>
      <c r="NH89" s="645"/>
      <c r="NI89" s="646"/>
      <c r="NJ89" s="645"/>
      <c r="NK89" s="646"/>
      <c r="NL89" s="645"/>
      <c r="NM89" s="646"/>
      <c r="NN89" s="645"/>
      <c r="NO89" s="646"/>
      <c r="NP89" s="645"/>
      <c r="NQ89" s="646"/>
      <c r="NR89" s="645"/>
      <c r="NS89" s="646"/>
      <c r="NT89" s="645"/>
      <c r="NU89" s="646"/>
      <c r="NV89" s="645"/>
      <c r="NW89" s="646"/>
      <c r="NX89" s="645"/>
      <c r="NY89" s="646"/>
      <c r="NZ89" s="645"/>
      <c r="OA89" s="646"/>
      <c r="OB89" s="645"/>
      <c r="OC89" s="646"/>
      <c r="OD89" s="645"/>
      <c r="OE89" s="646"/>
      <c r="OF89" s="645"/>
      <c r="OG89" s="646"/>
      <c r="OH89" s="645"/>
      <c r="OI89" s="646"/>
      <c r="OJ89" s="645"/>
      <c r="OK89" s="646"/>
      <c r="OL89" s="645"/>
      <c r="OM89" s="646"/>
      <c r="ON89" s="645"/>
      <c r="OO89" s="646"/>
      <c r="OP89" s="645"/>
      <c r="OQ89" s="646"/>
      <c r="OR89" s="645"/>
      <c r="OS89" s="646"/>
      <c r="OT89" s="645"/>
      <c r="OU89" s="646"/>
      <c r="OV89" s="645"/>
      <c r="OW89" s="646"/>
      <c r="OX89" s="645"/>
      <c r="OY89" s="646"/>
      <c r="OZ89" s="645"/>
      <c r="PA89" s="646"/>
      <c r="PB89" s="645"/>
      <c r="PC89" s="646"/>
      <c r="PD89" s="645"/>
      <c r="PE89" s="646"/>
      <c r="PF89" s="645"/>
      <c r="PG89" s="646"/>
      <c r="PH89" s="645"/>
      <c r="PI89" s="646"/>
      <c r="PJ89" s="645"/>
      <c r="PK89" s="646"/>
      <c r="PL89" s="645"/>
      <c r="PM89" s="646"/>
      <c r="PN89" s="645"/>
      <c r="PO89" s="646"/>
      <c r="PP89" s="645"/>
      <c r="PQ89" s="646"/>
      <c r="PR89" s="645"/>
      <c r="PS89" s="646"/>
      <c r="PT89" s="645"/>
      <c r="PU89" s="646"/>
      <c r="PV89" s="645"/>
      <c r="PW89" s="646"/>
      <c r="PX89" s="645"/>
      <c r="PY89" s="646"/>
      <c r="PZ89" s="645"/>
      <c r="QA89" s="646"/>
      <c r="QB89" s="645"/>
      <c r="QC89" s="646"/>
      <c r="QD89" s="645"/>
      <c r="QE89" s="646"/>
      <c r="QF89" s="645"/>
      <c r="QG89" s="646"/>
      <c r="QH89" s="645"/>
      <c r="QI89" s="646"/>
      <c r="QJ89" s="645"/>
      <c r="QK89" s="646"/>
      <c r="QL89" s="645"/>
      <c r="QM89" s="646"/>
      <c r="QN89" s="645"/>
      <c r="QO89" s="646"/>
      <c r="QP89" s="645"/>
      <c r="QQ89" s="646"/>
      <c r="QR89" s="645"/>
      <c r="QS89" s="646"/>
      <c r="QT89" s="645"/>
      <c r="QU89" s="646"/>
      <c r="QV89" s="645"/>
      <c r="QW89" s="646"/>
      <c r="QX89" s="645"/>
      <c r="QY89" s="646"/>
      <c r="QZ89" s="645"/>
      <c r="RA89" s="646"/>
      <c r="RB89" s="645"/>
      <c r="RC89" s="646"/>
      <c r="RD89" s="645"/>
      <c r="RE89" s="646"/>
      <c r="RF89" s="645"/>
      <c r="RG89" s="646"/>
      <c r="RH89" s="645"/>
      <c r="RI89" s="646"/>
      <c r="RJ89" s="645"/>
      <c r="RK89" s="646"/>
      <c r="RL89" s="645"/>
      <c r="RM89" s="646"/>
      <c r="RN89" s="645"/>
      <c r="RO89" s="646"/>
      <c r="RP89" s="645"/>
      <c r="RQ89" s="646"/>
      <c r="RR89" s="645"/>
      <c r="RS89" s="646"/>
      <c r="RT89" s="645"/>
      <c r="RU89" s="646"/>
      <c r="RV89" s="645"/>
      <c r="RW89" s="646"/>
      <c r="RX89" s="645"/>
      <c r="RY89" s="646"/>
      <c r="RZ89" s="645"/>
      <c r="SA89" s="646"/>
      <c r="SB89" s="645"/>
      <c r="SC89" s="646"/>
      <c r="SD89" s="645"/>
      <c r="SE89" s="646"/>
      <c r="SF89" s="645"/>
      <c r="SG89" s="646"/>
      <c r="SH89" s="645"/>
      <c r="SI89" s="646"/>
      <c r="SJ89" s="645"/>
      <c r="SK89" s="646"/>
      <c r="SL89" s="645"/>
      <c r="SM89" s="646"/>
      <c r="SN89" s="645"/>
      <c r="SO89" s="646"/>
      <c r="SP89" s="645"/>
      <c r="SQ89" s="646"/>
      <c r="SR89" s="645"/>
      <c r="SS89" s="646"/>
      <c r="ST89" s="645"/>
      <c r="SU89" s="646"/>
      <c r="SV89" s="645"/>
      <c r="SW89" s="646"/>
      <c r="SX89" s="645"/>
      <c r="SY89" s="646"/>
      <c r="SZ89" s="645"/>
      <c r="TA89" s="646"/>
      <c r="TB89" s="645"/>
      <c r="TC89" s="646"/>
      <c r="TD89" s="645"/>
      <c r="TE89" s="646"/>
      <c r="TF89" s="645"/>
      <c r="TG89" s="646"/>
      <c r="TH89" s="645"/>
      <c r="TI89" s="646"/>
      <c r="TJ89" s="645"/>
      <c r="TK89" s="646"/>
      <c r="TL89" s="645"/>
      <c r="TM89" s="646"/>
      <c r="TN89" s="645"/>
      <c r="TO89" s="646"/>
      <c r="TP89" s="645"/>
      <c r="TQ89" s="646"/>
      <c r="TR89" s="645"/>
      <c r="TS89" s="646"/>
      <c r="TT89" s="645"/>
      <c r="TU89" s="646"/>
      <c r="TV89" s="645"/>
      <c r="TW89" s="646"/>
      <c r="TX89" s="645"/>
      <c r="TY89" s="646"/>
      <c r="TZ89" s="645"/>
      <c r="UA89" s="646"/>
      <c r="UB89" s="645"/>
      <c r="UC89" s="646"/>
      <c r="UD89" s="645"/>
      <c r="UE89" s="646"/>
      <c r="UF89" s="645"/>
      <c r="UG89" s="646"/>
      <c r="UH89" s="645"/>
      <c r="UI89" s="646"/>
      <c r="UJ89" s="645"/>
      <c r="UK89" s="646"/>
      <c r="UL89" s="645"/>
      <c r="UM89" s="646"/>
      <c r="UN89" s="645"/>
      <c r="UO89" s="646"/>
      <c r="UP89" s="645"/>
      <c r="UQ89" s="646"/>
      <c r="UR89" s="645"/>
      <c r="US89" s="646"/>
      <c r="UT89" s="645"/>
      <c r="UU89" s="646"/>
      <c r="UV89" s="645"/>
      <c r="UW89" s="646"/>
      <c r="UX89" s="645"/>
      <c r="UY89" s="646"/>
      <c r="UZ89" s="645"/>
      <c r="VA89" s="646"/>
      <c r="VB89" s="645"/>
      <c r="VC89" s="646"/>
      <c r="VD89" s="645"/>
      <c r="VE89" s="646"/>
      <c r="VF89" s="645"/>
      <c r="VG89" s="646"/>
      <c r="VH89" s="645"/>
      <c r="VI89" s="646"/>
      <c r="VJ89" s="645"/>
      <c r="VK89" s="646"/>
      <c r="VL89" s="645"/>
      <c r="VM89" s="646"/>
      <c r="VN89" s="645"/>
      <c r="VO89" s="646"/>
      <c r="VP89" s="645"/>
      <c r="VQ89" s="646"/>
      <c r="VR89" s="645"/>
      <c r="VS89" s="646"/>
      <c r="VT89" s="645"/>
      <c r="VU89" s="646"/>
      <c r="VV89" s="645"/>
      <c r="VW89" s="646"/>
      <c r="VX89" s="645"/>
      <c r="VY89" s="646"/>
      <c r="VZ89" s="645"/>
      <c r="WA89" s="646"/>
      <c r="WB89" s="645"/>
      <c r="WC89" s="646"/>
      <c r="WD89" s="645"/>
      <c r="WE89" s="646"/>
      <c r="WF89" s="645"/>
      <c r="WG89" s="646"/>
      <c r="WH89" s="645"/>
      <c r="WI89" s="646"/>
      <c r="WJ89" s="645"/>
      <c r="WK89" s="646"/>
      <c r="WL89" s="645"/>
      <c r="WM89" s="646"/>
      <c r="WN89" s="645"/>
      <c r="WO89" s="646"/>
      <c r="WP89" s="645"/>
      <c r="WQ89" s="646"/>
      <c r="WR89" s="645"/>
      <c r="WS89" s="646"/>
      <c r="WT89" s="645"/>
      <c r="WU89" s="646"/>
      <c r="WV89" s="645"/>
      <c r="WW89" s="646"/>
      <c r="WX89" s="645"/>
      <c r="WY89" s="646"/>
      <c r="WZ89" s="645"/>
      <c r="XA89" s="646"/>
      <c r="XB89" s="645"/>
      <c r="XC89" s="646"/>
      <c r="XD89" s="645"/>
      <c r="XE89" s="646"/>
      <c r="XF89" s="645"/>
      <c r="XG89" s="646"/>
      <c r="XH89" s="645"/>
      <c r="XI89" s="646"/>
      <c r="XJ89" s="645"/>
      <c r="XK89" s="646"/>
      <c r="XL89" s="645"/>
      <c r="XM89" s="646"/>
      <c r="XN89" s="645"/>
      <c r="XO89" s="646"/>
      <c r="XP89" s="645"/>
      <c r="XQ89" s="646"/>
      <c r="XR89" s="645"/>
      <c r="XS89" s="646"/>
      <c r="XT89" s="645"/>
      <c r="XU89" s="646"/>
      <c r="XV89" s="645"/>
      <c r="XW89" s="646"/>
      <c r="XX89" s="645"/>
      <c r="XY89" s="646"/>
      <c r="XZ89" s="645"/>
      <c r="YA89" s="646"/>
      <c r="YB89" s="645"/>
      <c r="YC89" s="646"/>
      <c r="YD89" s="645"/>
      <c r="YE89" s="646"/>
      <c r="YF89" s="645"/>
      <c r="YG89" s="646"/>
      <c r="YH89" s="645"/>
      <c r="YI89" s="646"/>
      <c r="YJ89" s="645"/>
      <c r="YK89" s="646"/>
      <c r="YL89" s="645"/>
      <c r="YM89" s="646"/>
      <c r="YN89" s="645"/>
      <c r="YO89" s="646"/>
      <c r="YP89" s="645"/>
      <c r="YQ89" s="646"/>
      <c r="YR89" s="645"/>
      <c r="YS89" s="646"/>
      <c r="YT89" s="645"/>
      <c r="YU89" s="646"/>
      <c r="YV89" s="645"/>
      <c r="YW89" s="646"/>
      <c r="YX89" s="645"/>
      <c r="YY89" s="646"/>
      <c r="YZ89" s="645"/>
      <c r="ZA89" s="646"/>
      <c r="ZB89" s="645"/>
      <c r="ZC89" s="646"/>
      <c r="ZD89" s="645"/>
      <c r="ZE89" s="646"/>
      <c r="ZF89" s="645"/>
      <c r="ZG89" s="646"/>
      <c r="ZH89" s="645"/>
      <c r="ZI89" s="646"/>
      <c r="ZJ89" s="645"/>
      <c r="ZK89" s="646"/>
      <c r="ZL89" s="645"/>
      <c r="ZM89" s="646"/>
      <c r="ZN89" s="645"/>
      <c r="ZO89" s="646"/>
      <c r="ZP89" s="645"/>
      <c r="ZQ89" s="646"/>
      <c r="ZR89" s="645"/>
      <c r="ZS89" s="646"/>
      <c r="ZT89" s="645"/>
      <c r="ZU89" s="646"/>
      <c r="ZV89" s="645"/>
      <c r="ZW89" s="646"/>
      <c r="ZX89" s="645"/>
      <c r="ZY89" s="646"/>
      <c r="ZZ89" s="645"/>
      <c r="AAA89" s="646"/>
      <c r="AAB89" s="645"/>
      <c r="AAC89" s="646"/>
      <c r="AAD89" s="645"/>
      <c r="AAE89" s="646"/>
      <c r="AAF89" s="645"/>
      <c r="AAG89" s="646"/>
      <c r="AAH89" s="645"/>
      <c r="AAI89" s="646"/>
      <c r="AAJ89" s="645"/>
      <c r="AAK89" s="646"/>
      <c r="AAL89" s="645"/>
      <c r="AAM89" s="646"/>
      <c r="AAN89" s="645"/>
      <c r="AAO89" s="646"/>
      <c r="AAP89" s="645"/>
      <c r="AAQ89" s="646"/>
      <c r="AAR89" s="645"/>
      <c r="AAS89" s="646"/>
      <c r="AAT89" s="645"/>
      <c r="AAU89" s="646"/>
      <c r="AAV89" s="645"/>
      <c r="AAW89" s="646"/>
      <c r="AAX89" s="645"/>
      <c r="AAY89" s="646"/>
      <c r="AAZ89" s="645"/>
      <c r="ABA89" s="646"/>
      <c r="ABB89" s="645"/>
      <c r="ABC89" s="646"/>
      <c r="ABD89" s="645"/>
      <c r="ABE89" s="646"/>
      <c r="ABF89" s="645"/>
      <c r="ABG89" s="646"/>
      <c r="ABH89" s="645"/>
      <c r="ABI89" s="646"/>
      <c r="ABJ89" s="645"/>
      <c r="ABK89" s="646"/>
      <c r="ABL89" s="645"/>
      <c r="ABM89" s="646"/>
      <c r="ABN89" s="645"/>
      <c r="ABO89" s="646"/>
      <c r="ABP89" s="645"/>
      <c r="ABQ89" s="646"/>
      <c r="ABR89" s="645"/>
      <c r="ABS89" s="646"/>
      <c r="ABT89" s="645"/>
      <c r="ABU89" s="646"/>
      <c r="ABV89" s="645"/>
      <c r="ABW89" s="646"/>
      <c r="ABX89" s="645"/>
      <c r="ABY89" s="646"/>
      <c r="ABZ89" s="645"/>
      <c r="ACA89" s="646"/>
      <c r="ACB89" s="645"/>
      <c r="ACC89" s="646"/>
      <c r="ACD89" s="645"/>
      <c r="ACE89" s="646"/>
      <c r="ACF89" s="645"/>
      <c r="ACG89" s="646"/>
      <c r="ACH89" s="645"/>
      <c r="ACI89" s="646"/>
      <c r="ACJ89" s="645"/>
      <c r="ACK89" s="646"/>
      <c r="ACL89" s="645"/>
      <c r="ACM89" s="646"/>
      <c r="ACN89" s="645"/>
      <c r="ACO89" s="646"/>
      <c r="ACP89" s="645"/>
      <c r="ACQ89" s="646"/>
      <c r="ACR89" s="645"/>
      <c r="ACS89" s="646"/>
      <c r="ACT89" s="645"/>
      <c r="ACU89" s="646"/>
      <c r="ACV89" s="645"/>
      <c r="ACW89" s="646"/>
      <c r="ACX89" s="645"/>
      <c r="ACY89" s="646"/>
      <c r="ACZ89" s="645"/>
      <c r="ADA89" s="646"/>
      <c r="ADB89" s="645"/>
      <c r="ADC89" s="646"/>
      <c r="ADD89" s="645"/>
      <c r="ADE89" s="646"/>
      <c r="ADF89" s="645"/>
      <c r="ADG89" s="646"/>
      <c r="ADH89" s="645"/>
      <c r="ADI89" s="646"/>
      <c r="ADJ89" s="645"/>
      <c r="ADK89" s="646"/>
      <c r="ADL89" s="645"/>
      <c r="ADM89" s="646"/>
      <c r="ADN89" s="645"/>
      <c r="ADO89" s="646"/>
      <c r="ADP89" s="645"/>
      <c r="ADQ89" s="646"/>
      <c r="ADR89" s="645"/>
      <c r="ADS89" s="646"/>
      <c r="ADT89" s="645"/>
      <c r="ADU89" s="646"/>
      <c r="ADV89" s="645"/>
      <c r="ADW89" s="646"/>
      <c r="ADX89" s="645"/>
      <c r="ADY89" s="646"/>
      <c r="ADZ89" s="645"/>
      <c r="AEA89" s="646"/>
      <c r="AEB89" s="645"/>
      <c r="AEC89" s="646"/>
      <c r="AED89" s="645"/>
      <c r="AEE89" s="646"/>
      <c r="AEF89" s="645"/>
      <c r="AEG89" s="646"/>
      <c r="AEH89" s="645"/>
      <c r="AEI89" s="646"/>
      <c r="AEJ89" s="645"/>
      <c r="AEK89" s="646"/>
      <c r="AEL89" s="645"/>
      <c r="AEM89" s="646"/>
      <c r="AEN89" s="645"/>
      <c r="AEO89" s="646"/>
      <c r="AEP89" s="645"/>
      <c r="AEQ89" s="646"/>
      <c r="AER89" s="645"/>
      <c r="AES89" s="646"/>
      <c r="AET89" s="645"/>
      <c r="AEU89" s="646"/>
      <c r="AEV89" s="645"/>
      <c r="AEW89" s="646"/>
      <c r="AEX89" s="645"/>
      <c r="AEY89" s="646"/>
      <c r="AEZ89" s="645"/>
      <c r="AFA89" s="646"/>
      <c r="AFB89" s="645"/>
      <c r="AFC89" s="646"/>
      <c r="AFD89" s="645"/>
      <c r="AFE89" s="646"/>
      <c r="AFF89" s="645"/>
      <c r="AFG89" s="646"/>
      <c r="AFH89" s="645"/>
      <c r="AFI89" s="646"/>
      <c r="AFJ89" s="645"/>
      <c r="AFK89" s="646"/>
      <c r="AFL89" s="645"/>
      <c r="AFM89" s="646"/>
      <c r="AFN89" s="645"/>
      <c r="AFO89" s="646"/>
      <c r="AFP89" s="645"/>
      <c r="AFQ89" s="646"/>
      <c r="AFR89" s="645"/>
      <c r="AFS89" s="646"/>
      <c r="AFT89" s="645"/>
      <c r="AFU89" s="646"/>
      <c r="AFV89" s="645"/>
      <c r="AFW89" s="646"/>
      <c r="AFX89" s="645"/>
      <c r="AFY89" s="646"/>
      <c r="AFZ89" s="645"/>
      <c r="AGA89" s="646"/>
      <c r="AGB89" s="645"/>
      <c r="AGC89" s="646"/>
      <c r="AGD89" s="645"/>
      <c r="AGE89" s="646"/>
      <c r="AGF89" s="645"/>
      <c r="AGG89" s="646"/>
      <c r="AGH89" s="645"/>
      <c r="AGI89" s="646"/>
      <c r="AGJ89" s="645"/>
      <c r="AGK89" s="646"/>
      <c r="AGL89" s="645"/>
      <c r="AGM89" s="646"/>
      <c r="AGN89" s="645"/>
      <c r="AGO89" s="646"/>
      <c r="AGP89" s="645"/>
      <c r="AGQ89" s="646"/>
      <c r="AGR89" s="645"/>
      <c r="AGS89" s="646"/>
      <c r="AGT89" s="645"/>
      <c r="AGU89" s="646"/>
      <c r="AGV89" s="645"/>
      <c r="AGW89" s="646"/>
      <c r="AGX89" s="645"/>
      <c r="AGY89" s="646"/>
      <c r="AGZ89" s="645"/>
      <c r="AHA89" s="646"/>
      <c r="AHB89" s="645"/>
      <c r="AHC89" s="646"/>
      <c r="AHD89" s="645"/>
      <c r="AHE89" s="646"/>
      <c r="AHF89" s="645"/>
      <c r="AHG89" s="646"/>
      <c r="AHH89" s="645"/>
      <c r="AHI89" s="646"/>
      <c r="AHJ89" s="645"/>
      <c r="AHK89" s="646"/>
      <c r="AHL89" s="645"/>
      <c r="AHM89" s="646"/>
      <c r="AHN89" s="645"/>
      <c r="AHO89" s="646"/>
      <c r="AHP89" s="645"/>
      <c r="AHQ89" s="646"/>
      <c r="AHR89" s="645"/>
      <c r="AHS89" s="646"/>
      <c r="AHT89" s="645"/>
      <c r="AHU89" s="646"/>
      <c r="AHV89" s="645"/>
      <c r="AHW89" s="646"/>
      <c r="AHX89" s="645"/>
      <c r="AHY89" s="646"/>
      <c r="AHZ89" s="645"/>
      <c r="AIA89" s="646"/>
      <c r="AIB89" s="645"/>
      <c r="AIC89" s="646"/>
      <c r="AID89" s="645"/>
      <c r="AIE89" s="646"/>
      <c r="AIF89" s="645"/>
      <c r="AIG89" s="646"/>
      <c r="AIH89" s="645"/>
      <c r="AII89" s="646"/>
      <c r="AIJ89" s="645"/>
      <c r="AIK89" s="646"/>
      <c r="AIL89" s="645"/>
      <c r="AIM89" s="646"/>
      <c r="AIN89" s="645"/>
      <c r="AIO89" s="646"/>
      <c r="AIP89" s="645"/>
      <c r="AIQ89" s="645"/>
      <c r="AIR89" s="645"/>
      <c r="AIS89" s="645"/>
      <c r="AIT89" s="645"/>
      <c r="AIU89" s="645"/>
      <c r="AIV89" s="645"/>
      <c r="AIW89" s="645"/>
      <c r="AIX89" s="645"/>
      <c r="AIY89" s="645"/>
      <c r="AIZ89" s="645"/>
      <c r="AJA89" s="645"/>
      <c r="AJB89" s="645"/>
      <c r="AJC89" s="645"/>
      <c r="AJD89" s="645"/>
      <c r="AJE89" s="645"/>
      <c r="AJF89" s="645"/>
      <c r="AJG89" s="645"/>
      <c r="AJH89" s="645"/>
      <c r="AJI89" s="645"/>
      <c r="AJJ89" s="645"/>
      <c r="AJK89" s="645"/>
      <c r="AJL89" s="645"/>
      <c r="AJM89" s="645"/>
      <c r="AJN89" s="645"/>
      <c r="AJO89" s="645"/>
      <c r="AJP89" s="645"/>
      <c r="AJQ89" s="645"/>
      <c r="AJR89" s="645"/>
      <c r="AJS89" s="645"/>
      <c r="AJT89" s="645"/>
      <c r="AJU89" s="645"/>
      <c r="AJV89" s="645"/>
      <c r="AJW89" s="645"/>
      <c r="AJX89" s="645"/>
      <c r="AJY89" s="645"/>
      <c r="AJZ89" s="645"/>
      <c r="AKA89" s="645"/>
      <c r="AKB89" s="645"/>
      <c r="AKC89" s="645"/>
      <c r="AKD89" s="645"/>
      <c r="AKE89" s="645"/>
      <c r="AKF89" s="645"/>
      <c r="AKG89" s="645"/>
      <c r="AKH89" s="645"/>
      <c r="AKI89" s="645"/>
      <c r="AKJ89" s="645"/>
      <c r="AKK89" s="645"/>
      <c r="AKL89" s="645"/>
      <c r="AKM89" s="645"/>
      <c r="AKN89" s="645"/>
      <c r="AKO89" s="645"/>
      <c r="AKP89" s="645"/>
      <c r="AKQ89" s="645"/>
      <c r="AKR89" s="645"/>
      <c r="AKS89" s="645"/>
      <c r="AKT89" s="645"/>
      <c r="AKU89" s="645"/>
      <c r="AKV89" s="645"/>
      <c r="AKW89" s="645"/>
      <c r="AKX89" s="645"/>
      <c r="AKY89" s="645"/>
      <c r="AKZ89" s="645"/>
      <c r="ALA89" s="645"/>
      <c r="ALB89" s="645"/>
      <c r="ALC89" s="645"/>
      <c r="ALD89" s="645"/>
      <c r="ALE89" s="645"/>
      <c r="ALF89" s="645"/>
      <c r="ALG89" s="645"/>
      <c r="ALH89" s="645"/>
      <c r="ALI89" s="645"/>
      <c r="ALJ89" s="645"/>
      <c r="ALK89" s="645"/>
      <c r="ALL89" s="645"/>
      <c r="ALM89" s="645"/>
      <c r="ALN89" s="645"/>
      <c r="ALO89" s="645"/>
      <c r="ALP89" s="645"/>
      <c r="ALQ89" s="645"/>
      <c r="ALR89" s="645"/>
      <c r="ALS89" s="645"/>
      <c r="ALT89" s="645"/>
      <c r="ALU89" s="645"/>
      <c r="ALV89" s="645"/>
      <c r="ALW89" s="645"/>
      <c r="ALX89" s="645"/>
      <c r="ALY89" s="645"/>
      <c r="ALZ89" s="645"/>
      <c r="AMA89" s="645"/>
      <c r="AMB89" s="645"/>
      <c r="AMC89" s="645"/>
      <c r="AMD89" s="645"/>
      <c r="AME89" s="645"/>
      <c r="AMF89" s="645"/>
      <c r="AMG89" s="645"/>
      <c r="AMH89" s="645"/>
      <c r="AMI89" s="645"/>
      <c r="AMJ89" s="645"/>
    </row>
    <row r="90" spans="1:1024" s="37" customFormat="1" ht="15.75" customHeight="1" x14ac:dyDescent="0.35">
      <c r="A90" s="600"/>
      <c r="B90" s="601" t="s">
        <v>344</v>
      </c>
      <c r="C90" s="645"/>
      <c r="D90" s="646"/>
      <c r="E90" s="645"/>
      <c r="F90" s="646"/>
      <c r="G90" s="647" t="s">
        <v>243</v>
      </c>
      <c r="H90" s="643"/>
      <c r="I90" s="645"/>
      <c r="J90" s="38"/>
      <c r="K90" s="38"/>
      <c r="L90" s="39"/>
      <c r="M90" s="38"/>
      <c r="N90" s="39"/>
      <c r="O90" s="38"/>
      <c r="P90" s="39"/>
      <c r="Q90" s="38"/>
      <c r="R90" s="39"/>
      <c r="S90" s="38"/>
      <c r="T90" s="39"/>
      <c r="U90" s="38"/>
      <c r="V90" s="39"/>
      <c r="W90" s="38"/>
      <c r="X90" s="39"/>
      <c r="Y90" s="38"/>
      <c r="Z90" s="39"/>
      <c r="AA90" s="38"/>
      <c r="AB90" s="39"/>
      <c r="AC90" s="38"/>
      <c r="AD90" s="39"/>
      <c r="AE90" s="38"/>
      <c r="AF90" s="39"/>
      <c r="AG90" s="38"/>
      <c r="AH90" s="39"/>
      <c r="AI90" s="38"/>
      <c r="AJ90" s="39"/>
      <c r="AK90" s="40"/>
      <c r="AL90" s="39"/>
      <c r="AM90" s="40"/>
      <c r="AN90" s="39"/>
      <c r="AO90" s="40"/>
      <c r="AP90" s="39"/>
      <c r="AQ90" s="40"/>
      <c r="AR90" s="39"/>
      <c r="AS90" s="40"/>
      <c r="AT90" s="39"/>
      <c r="AU90" s="40"/>
      <c r="AV90" s="39"/>
      <c r="AW90" s="40"/>
      <c r="AX90" s="39"/>
      <c r="AY90" s="40"/>
      <c r="AZ90" s="39"/>
      <c r="BA90" s="40"/>
      <c r="BB90" s="39"/>
      <c r="BC90" s="40"/>
      <c r="BD90" s="39"/>
      <c r="BE90" s="40"/>
      <c r="BF90" s="39"/>
      <c r="BG90" s="40"/>
      <c r="BH90" s="39"/>
      <c r="BI90" s="40"/>
      <c r="BJ90" s="39"/>
      <c r="BK90" s="40"/>
      <c r="BL90" s="39"/>
      <c r="BM90" s="40"/>
      <c r="BN90" s="39"/>
      <c r="BO90" s="40"/>
      <c r="BP90" s="39"/>
      <c r="BQ90" s="40"/>
      <c r="BR90" s="39"/>
      <c r="BS90" s="40"/>
      <c r="BT90" s="39"/>
      <c r="BU90" s="40"/>
      <c r="BV90" s="39"/>
      <c r="BW90" s="40"/>
      <c r="BX90" s="39"/>
      <c r="BY90" s="40"/>
      <c r="BZ90" s="39"/>
      <c r="CA90" s="40"/>
      <c r="CB90" s="39"/>
      <c r="CC90" s="40"/>
      <c r="CD90" s="39"/>
      <c r="CE90" s="40"/>
      <c r="CF90" s="39"/>
      <c r="CG90" s="40"/>
      <c r="CH90" s="39"/>
      <c r="CI90" s="40"/>
      <c r="CJ90" s="39"/>
      <c r="CK90" s="40"/>
      <c r="CL90" s="39"/>
      <c r="CM90" s="40"/>
      <c r="CN90" s="39"/>
      <c r="CO90" s="40"/>
      <c r="CP90" s="39"/>
      <c r="CQ90" s="40"/>
      <c r="CR90" s="39"/>
      <c r="CS90" s="40"/>
      <c r="CT90" s="39"/>
      <c r="CU90" s="40"/>
      <c r="CV90" s="39"/>
      <c r="CW90" s="40"/>
      <c r="CX90" s="39"/>
      <c r="CY90" s="40"/>
      <c r="CZ90" s="39"/>
      <c r="DA90" s="40"/>
      <c r="DB90" s="39"/>
      <c r="DC90" s="40"/>
      <c r="DD90" s="39"/>
      <c r="DE90" s="40"/>
      <c r="DF90" s="39"/>
      <c r="DG90" s="40"/>
      <c r="DH90" s="39"/>
      <c r="DI90" s="40"/>
      <c r="DJ90" s="39"/>
      <c r="DK90" s="40"/>
      <c r="DL90" s="39"/>
      <c r="DM90" s="40"/>
      <c r="DN90" s="39"/>
      <c r="DO90" s="40"/>
      <c r="DP90" s="39"/>
      <c r="DQ90" s="40"/>
      <c r="DR90" s="39"/>
      <c r="DS90" s="40"/>
      <c r="DT90" s="39"/>
      <c r="DU90" s="40"/>
      <c r="DV90" s="39"/>
      <c r="DW90" s="40"/>
      <c r="DX90" s="39"/>
      <c r="DY90" s="40"/>
      <c r="DZ90" s="39"/>
      <c r="EA90" s="40"/>
      <c r="EB90" s="39"/>
      <c r="EC90" s="40"/>
      <c r="ED90" s="39"/>
      <c r="EE90" s="40"/>
      <c r="EF90" s="39"/>
      <c r="EG90" s="40"/>
      <c r="EH90" s="39"/>
      <c r="EI90" s="40"/>
      <c r="EJ90" s="39"/>
      <c r="EK90" s="40"/>
      <c r="EL90" s="39"/>
      <c r="EM90" s="40"/>
      <c r="EN90" s="39"/>
      <c r="EO90" s="40"/>
      <c r="EP90" s="39"/>
      <c r="EQ90" s="40"/>
      <c r="ER90" s="39"/>
      <c r="ES90" s="40"/>
      <c r="ET90" s="39"/>
      <c r="EU90" s="40"/>
      <c r="EV90" s="39"/>
      <c r="EW90" s="40"/>
      <c r="EX90" s="39"/>
      <c r="EY90" s="40"/>
      <c r="EZ90" s="39"/>
      <c r="FA90" s="40"/>
      <c r="FB90" s="39"/>
      <c r="FC90" s="40"/>
      <c r="FD90" s="39"/>
      <c r="FE90" s="40"/>
      <c r="FF90" s="39"/>
      <c r="FG90" s="40"/>
      <c r="FH90" s="39"/>
      <c r="FI90" s="40"/>
      <c r="FJ90" s="39"/>
      <c r="FK90" s="40"/>
      <c r="FL90" s="39"/>
      <c r="FM90" s="40"/>
      <c r="FN90" s="39"/>
      <c r="FO90" s="40"/>
      <c r="FP90" s="39"/>
      <c r="FQ90" s="40"/>
      <c r="FR90" s="39"/>
      <c r="FS90" s="40"/>
      <c r="FT90" s="39"/>
      <c r="FU90" s="40"/>
      <c r="FV90" s="39"/>
      <c r="FW90" s="40"/>
      <c r="FX90" s="39"/>
      <c r="FY90" s="40"/>
      <c r="FZ90" s="39"/>
      <c r="GA90" s="40"/>
      <c r="GB90" s="39"/>
      <c r="GC90" s="40"/>
      <c r="GD90" s="39"/>
      <c r="GE90" s="40"/>
      <c r="GF90" s="39"/>
      <c r="GG90" s="40"/>
      <c r="GH90" s="39"/>
      <c r="GI90" s="40"/>
      <c r="GJ90" s="39"/>
      <c r="GK90" s="40"/>
      <c r="GL90" s="39"/>
      <c r="GM90" s="40"/>
      <c r="GN90" s="39"/>
      <c r="GO90" s="40"/>
      <c r="GP90" s="39"/>
      <c r="GQ90" s="40"/>
      <c r="GR90" s="39"/>
      <c r="GS90" s="40"/>
      <c r="GT90" s="39"/>
      <c r="GU90" s="40"/>
      <c r="GV90" s="39"/>
      <c r="GW90" s="40"/>
      <c r="GX90" s="39"/>
      <c r="GY90" s="40"/>
      <c r="GZ90" s="39"/>
      <c r="HA90" s="40"/>
      <c r="HB90" s="39"/>
      <c r="HC90" s="40"/>
      <c r="HD90" s="39"/>
      <c r="HE90" s="40"/>
      <c r="HF90" s="39"/>
      <c r="HG90" s="40"/>
      <c r="HH90" s="39"/>
      <c r="HI90" s="40"/>
      <c r="HJ90" s="39"/>
      <c r="HK90" s="40"/>
      <c r="HL90" s="39"/>
      <c r="HM90" s="40"/>
      <c r="HN90" s="39"/>
      <c r="HO90" s="40"/>
      <c r="HP90" s="39"/>
      <c r="HQ90" s="40"/>
      <c r="HR90" s="39"/>
      <c r="HS90" s="40"/>
      <c r="HT90" s="39"/>
      <c r="HU90" s="40"/>
      <c r="HV90" s="39"/>
      <c r="HW90" s="40"/>
      <c r="HX90" s="39"/>
      <c r="HY90" s="40"/>
      <c r="HZ90" s="39"/>
      <c r="IA90" s="40"/>
      <c r="IB90" s="39"/>
      <c r="IC90" s="1068"/>
      <c r="ID90" s="645"/>
      <c r="IE90" s="646"/>
      <c r="IF90" s="645"/>
      <c r="IG90" s="646"/>
      <c r="IH90" s="645"/>
      <c r="II90" s="646"/>
      <c r="IJ90" s="645"/>
      <c r="IK90" s="646"/>
      <c r="IL90" s="645"/>
      <c r="IM90" s="646"/>
      <c r="IN90" s="645"/>
      <c r="IO90" s="646"/>
      <c r="IP90" s="645"/>
      <c r="IQ90" s="646"/>
      <c r="IR90" s="645"/>
      <c r="IS90" s="646"/>
      <c r="IT90" s="645"/>
      <c r="IU90" s="646"/>
      <c r="IV90" s="645"/>
      <c r="IW90" s="646"/>
      <c r="IX90" s="645"/>
      <c r="IY90" s="646"/>
      <c r="IZ90" s="645"/>
      <c r="JA90" s="646"/>
      <c r="JB90" s="645"/>
      <c r="JC90" s="646"/>
      <c r="JD90" s="645"/>
      <c r="JE90" s="646"/>
      <c r="JF90" s="645"/>
      <c r="JG90" s="646"/>
      <c r="JH90" s="645"/>
      <c r="JI90" s="646"/>
      <c r="JJ90" s="645"/>
      <c r="JK90" s="646"/>
      <c r="JL90" s="645"/>
      <c r="JM90" s="646"/>
      <c r="JN90" s="645"/>
      <c r="JO90" s="646"/>
      <c r="JP90" s="645"/>
      <c r="JQ90" s="646"/>
      <c r="JR90" s="645"/>
      <c r="JS90" s="646"/>
      <c r="JT90" s="645"/>
      <c r="JU90" s="646"/>
      <c r="JV90" s="645"/>
      <c r="JW90" s="646"/>
      <c r="JX90" s="645"/>
      <c r="JY90" s="646"/>
      <c r="JZ90" s="645"/>
      <c r="KA90" s="646"/>
      <c r="KB90" s="645"/>
      <c r="KC90" s="646"/>
      <c r="KD90" s="645"/>
      <c r="KE90" s="646"/>
      <c r="KF90" s="645"/>
      <c r="KG90" s="646"/>
      <c r="KH90" s="645"/>
      <c r="KI90" s="646"/>
      <c r="KJ90" s="645"/>
      <c r="KK90" s="646"/>
      <c r="KL90" s="645"/>
      <c r="KM90" s="646"/>
      <c r="KN90" s="645"/>
      <c r="KO90" s="646"/>
      <c r="KP90" s="645"/>
      <c r="KQ90" s="646"/>
      <c r="KR90" s="645"/>
      <c r="KS90" s="646"/>
      <c r="KT90" s="645"/>
      <c r="KU90" s="646"/>
      <c r="KV90" s="645"/>
      <c r="KW90" s="646"/>
      <c r="KX90" s="645"/>
      <c r="KY90" s="646"/>
      <c r="KZ90" s="645"/>
      <c r="LA90" s="646"/>
      <c r="LB90" s="645"/>
      <c r="LC90" s="646"/>
      <c r="LD90" s="645"/>
      <c r="LE90" s="646"/>
      <c r="LF90" s="645"/>
      <c r="LG90" s="646"/>
      <c r="LH90" s="645"/>
      <c r="LI90" s="646"/>
      <c r="LJ90" s="645"/>
      <c r="LK90" s="646"/>
      <c r="LL90" s="645"/>
      <c r="LM90" s="646"/>
      <c r="LN90" s="645"/>
      <c r="LO90" s="646"/>
      <c r="LP90" s="645"/>
      <c r="LQ90" s="646"/>
      <c r="LR90" s="645"/>
      <c r="LS90" s="646"/>
      <c r="LT90" s="645"/>
      <c r="LU90" s="646"/>
      <c r="LV90" s="645"/>
      <c r="LW90" s="646"/>
      <c r="LX90" s="645"/>
      <c r="LY90" s="646"/>
      <c r="LZ90" s="645"/>
      <c r="MA90" s="646"/>
      <c r="MB90" s="645"/>
      <c r="MC90" s="646"/>
      <c r="MD90" s="645"/>
      <c r="ME90" s="646"/>
      <c r="MF90" s="645"/>
      <c r="MG90" s="646"/>
      <c r="MH90" s="645"/>
      <c r="MI90" s="646"/>
      <c r="MJ90" s="645"/>
      <c r="MK90" s="646"/>
      <c r="ML90" s="645"/>
      <c r="MM90" s="646"/>
      <c r="MN90" s="645"/>
      <c r="MO90" s="646"/>
      <c r="MP90" s="645"/>
      <c r="MQ90" s="646"/>
      <c r="MR90" s="645"/>
      <c r="MS90" s="646"/>
      <c r="MT90" s="645"/>
      <c r="MU90" s="646"/>
      <c r="MV90" s="645"/>
      <c r="MW90" s="646"/>
      <c r="MX90" s="645"/>
      <c r="MY90" s="646"/>
      <c r="MZ90" s="645"/>
      <c r="NA90" s="646"/>
      <c r="NB90" s="645"/>
      <c r="NC90" s="646"/>
      <c r="ND90" s="645"/>
      <c r="NE90" s="646"/>
      <c r="NF90" s="645"/>
      <c r="NG90" s="646"/>
      <c r="NH90" s="645"/>
      <c r="NI90" s="646"/>
      <c r="NJ90" s="645"/>
      <c r="NK90" s="646"/>
      <c r="NL90" s="645"/>
      <c r="NM90" s="646"/>
      <c r="NN90" s="645"/>
      <c r="NO90" s="646"/>
      <c r="NP90" s="645"/>
      <c r="NQ90" s="646"/>
      <c r="NR90" s="645"/>
      <c r="NS90" s="646"/>
      <c r="NT90" s="645"/>
      <c r="NU90" s="646"/>
      <c r="NV90" s="645"/>
      <c r="NW90" s="646"/>
      <c r="NX90" s="645"/>
      <c r="NY90" s="646"/>
      <c r="NZ90" s="645"/>
      <c r="OA90" s="646"/>
      <c r="OB90" s="645"/>
      <c r="OC90" s="646"/>
      <c r="OD90" s="645"/>
      <c r="OE90" s="646"/>
      <c r="OF90" s="645"/>
      <c r="OG90" s="646"/>
      <c r="OH90" s="645"/>
      <c r="OI90" s="646"/>
      <c r="OJ90" s="645"/>
      <c r="OK90" s="646"/>
      <c r="OL90" s="645"/>
      <c r="OM90" s="646"/>
      <c r="ON90" s="645"/>
      <c r="OO90" s="646"/>
      <c r="OP90" s="645"/>
      <c r="OQ90" s="646"/>
      <c r="OR90" s="645"/>
      <c r="OS90" s="646"/>
      <c r="OT90" s="645"/>
      <c r="OU90" s="646"/>
      <c r="OV90" s="645"/>
      <c r="OW90" s="646"/>
      <c r="OX90" s="645"/>
      <c r="OY90" s="646"/>
      <c r="OZ90" s="645"/>
      <c r="PA90" s="646"/>
      <c r="PB90" s="645"/>
      <c r="PC90" s="646"/>
      <c r="PD90" s="645"/>
      <c r="PE90" s="646"/>
      <c r="PF90" s="645"/>
      <c r="PG90" s="646"/>
      <c r="PH90" s="645"/>
      <c r="PI90" s="646"/>
      <c r="PJ90" s="645"/>
      <c r="PK90" s="646"/>
      <c r="PL90" s="645"/>
      <c r="PM90" s="646"/>
      <c r="PN90" s="645"/>
      <c r="PO90" s="646"/>
      <c r="PP90" s="645"/>
      <c r="PQ90" s="646"/>
      <c r="PR90" s="645"/>
      <c r="PS90" s="646"/>
      <c r="PT90" s="645"/>
      <c r="PU90" s="646"/>
      <c r="PV90" s="645"/>
      <c r="PW90" s="646"/>
      <c r="PX90" s="645"/>
      <c r="PY90" s="646"/>
      <c r="PZ90" s="645"/>
      <c r="QA90" s="646"/>
      <c r="QB90" s="645"/>
      <c r="QC90" s="646"/>
      <c r="QD90" s="645"/>
      <c r="QE90" s="646"/>
      <c r="QF90" s="645"/>
      <c r="QG90" s="646"/>
      <c r="QH90" s="645"/>
      <c r="QI90" s="646"/>
      <c r="QJ90" s="645"/>
      <c r="QK90" s="646"/>
      <c r="QL90" s="645"/>
      <c r="QM90" s="646"/>
      <c r="QN90" s="645"/>
      <c r="QO90" s="646"/>
      <c r="QP90" s="645"/>
      <c r="QQ90" s="646"/>
      <c r="QR90" s="645"/>
      <c r="QS90" s="646"/>
      <c r="QT90" s="645"/>
      <c r="QU90" s="646"/>
      <c r="QV90" s="645"/>
      <c r="QW90" s="646"/>
      <c r="QX90" s="645"/>
      <c r="QY90" s="646"/>
      <c r="QZ90" s="645"/>
      <c r="RA90" s="646"/>
      <c r="RB90" s="645"/>
      <c r="RC90" s="646"/>
      <c r="RD90" s="645"/>
      <c r="RE90" s="646"/>
      <c r="RF90" s="645"/>
      <c r="RG90" s="646"/>
      <c r="RH90" s="645"/>
      <c r="RI90" s="646"/>
      <c r="RJ90" s="645"/>
      <c r="RK90" s="646"/>
      <c r="RL90" s="645"/>
      <c r="RM90" s="646"/>
      <c r="RN90" s="645"/>
      <c r="RO90" s="646"/>
      <c r="RP90" s="645"/>
      <c r="RQ90" s="646"/>
      <c r="RR90" s="645"/>
      <c r="RS90" s="646"/>
      <c r="RT90" s="645"/>
      <c r="RU90" s="646"/>
      <c r="RV90" s="645"/>
      <c r="RW90" s="646"/>
      <c r="RX90" s="645"/>
      <c r="RY90" s="646"/>
      <c r="RZ90" s="645"/>
      <c r="SA90" s="646"/>
      <c r="SB90" s="645"/>
      <c r="SC90" s="646"/>
      <c r="SD90" s="645"/>
      <c r="SE90" s="646"/>
      <c r="SF90" s="645"/>
      <c r="SG90" s="646"/>
      <c r="SH90" s="645"/>
      <c r="SI90" s="646"/>
      <c r="SJ90" s="645"/>
      <c r="SK90" s="646"/>
      <c r="SL90" s="645"/>
      <c r="SM90" s="646"/>
      <c r="SN90" s="645"/>
      <c r="SO90" s="646"/>
      <c r="SP90" s="645"/>
      <c r="SQ90" s="646"/>
      <c r="SR90" s="645"/>
      <c r="SS90" s="646"/>
      <c r="ST90" s="645"/>
      <c r="SU90" s="646"/>
      <c r="SV90" s="645"/>
      <c r="SW90" s="646"/>
      <c r="SX90" s="645"/>
      <c r="SY90" s="646"/>
      <c r="SZ90" s="645"/>
      <c r="TA90" s="646"/>
      <c r="TB90" s="645"/>
      <c r="TC90" s="646"/>
      <c r="TD90" s="645"/>
      <c r="TE90" s="646"/>
      <c r="TF90" s="645"/>
      <c r="TG90" s="646"/>
      <c r="TH90" s="645"/>
      <c r="TI90" s="646"/>
      <c r="TJ90" s="645"/>
      <c r="TK90" s="646"/>
      <c r="TL90" s="645"/>
      <c r="TM90" s="646"/>
      <c r="TN90" s="645"/>
      <c r="TO90" s="646"/>
      <c r="TP90" s="645"/>
      <c r="TQ90" s="646"/>
      <c r="TR90" s="645"/>
      <c r="TS90" s="646"/>
      <c r="TT90" s="645"/>
      <c r="TU90" s="646"/>
      <c r="TV90" s="645"/>
      <c r="TW90" s="646"/>
      <c r="TX90" s="645"/>
      <c r="TY90" s="646"/>
      <c r="TZ90" s="645"/>
      <c r="UA90" s="646"/>
      <c r="UB90" s="645"/>
      <c r="UC90" s="646"/>
      <c r="UD90" s="645"/>
      <c r="UE90" s="646"/>
      <c r="UF90" s="645"/>
      <c r="UG90" s="646"/>
      <c r="UH90" s="645"/>
      <c r="UI90" s="646"/>
      <c r="UJ90" s="645"/>
      <c r="UK90" s="646"/>
      <c r="UL90" s="645"/>
      <c r="UM90" s="646"/>
      <c r="UN90" s="645"/>
      <c r="UO90" s="646"/>
      <c r="UP90" s="645"/>
      <c r="UQ90" s="646"/>
      <c r="UR90" s="645"/>
      <c r="US90" s="646"/>
      <c r="UT90" s="645"/>
      <c r="UU90" s="646"/>
      <c r="UV90" s="645"/>
      <c r="UW90" s="646"/>
      <c r="UX90" s="645"/>
      <c r="UY90" s="646"/>
      <c r="UZ90" s="645"/>
      <c r="VA90" s="646"/>
      <c r="VB90" s="645"/>
      <c r="VC90" s="646"/>
      <c r="VD90" s="645"/>
      <c r="VE90" s="646"/>
      <c r="VF90" s="645"/>
      <c r="VG90" s="646"/>
      <c r="VH90" s="645"/>
      <c r="VI90" s="646"/>
      <c r="VJ90" s="645"/>
      <c r="VK90" s="646"/>
      <c r="VL90" s="645"/>
      <c r="VM90" s="646"/>
      <c r="VN90" s="645"/>
      <c r="VO90" s="646"/>
      <c r="VP90" s="645"/>
      <c r="VQ90" s="646"/>
      <c r="VR90" s="645"/>
      <c r="VS90" s="646"/>
      <c r="VT90" s="645"/>
      <c r="VU90" s="646"/>
      <c r="VV90" s="645"/>
      <c r="VW90" s="646"/>
      <c r="VX90" s="645"/>
      <c r="VY90" s="646"/>
      <c r="VZ90" s="645"/>
      <c r="WA90" s="646"/>
      <c r="WB90" s="645"/>
      <c r="WC90" s="646"/>
      <c r="WD90" s="645"/>
      <c r="WE90" s="646"/>
      <c r="WF90" s="645"/>
      <c r="WG90" s="646"/>
      <c r="WH90" s="645"/>
      <c r="WI90" s="646"/>
      <c r="WJ90" s="645"/>
      <c r="WK90" s="646"/>
      <c r="WL90" s="645"/>
      <c r="WM90" s="646"/>
      <c r="WN90" s="645"/>
      <c r="WO90" s="646"/>
      <c r="WP90" s="645"/>
      <c r="WQ90" s="646"/>
      <c r="WR90" s="645"/>
      <c r="WS90" s="646"/>
      <c r="WT90" s="645"/>
      <c r="WU90" s="646"/>
      <c r="WV90" s="645"/>
      <c r="WW90" s="646"/>
      <c r="WX90" s="645"/>
      <c r="WY90" s="646"/>
      <c r="WZ90" s="645"/>
      <c r="XA90" s="646"/>
      <c r="XB90" s="645"/>
      <c r="XC90" s="646"/>
      <c r="XD90" s="645"/>
      <c r="XE90" s="646"/>
      <c r="XF90" s="645"/>
      <c r="XG90" s="646"/>
      <c r="XH90" s="645"/>
      <c r="XI90" s="646"/>
      <c r="XJ90" s="645"/>
      <c r="XK90" s="646"/>
      <c r="XL90" s="645"/>
      <c r="XM90" s="646"/>
      <c r="XN90" s="645"/>
      <c r="XO90" s="646"/>
      <c r="XP90" s="645"/>
      <c r="XQ90" s="646"/>
      <c r="XR90" s="645"/>
      <c r="XS90" s="646"/>
      <c r="XT90" s="645"/>
      <c r="XU90" s="646"/>
      <c r="XV90" s="645"/>
      <c r="XW90" s="646"/>
      <c r="XX90" s="645"/>
      <c r="XY90" s="646"/>
      <c r="XZ90" s="645"/>
      <c r="YA90" s="646"/>
      <c r="YB90" s="645"/>
      <c r="YC90" s="646"/>
      <c r="YD90" s="645"/>
      <c r="YE90" s="646"/>
      <c r="YF90" s="645"/>
      <c r="YG90" s="646"/>
      <c r="YH90" s="645"/>
      <c r="YI90" s="646"/>
      <c r="YJ90" s="645"/>
      <c r="YK90" s="646"/>
      <c r="YL90" s="645"/>
      <c r="YM90" s="646"/>
      <c r="YN90" s="645"/>
      <c r="YO90" s="646"/>
      <c r="YP90" s="645"/>
      <c r="YQ90" s="646"/>
      <c r="YR90" s="645"/>
      <c r="YS90" s="646"/>
      <c r="YT90" s="645"/>
      <c r="YU90" s="646"/>
      <c r="YV90" s="645"/>
      <c r="YW90" s="646"/>
      <c r="YX90" s="645"/>
      <c r="YY90" s="646"/>
      <c r="YZ90" s="645"/>
      <c r="ZA90" s="646"/>
      <c r="ZB90" s="645"/>
      <c r="ZC90" s="646"/>
      <c r="ZD90" s="645"/>
      <c r="ZE90" s="646"/>
      <c r="ZF90" s="645"/>
      <c r="ZG90" s="646"/>
      <c r="ZH90" s="645"/>
      <c r="ZI90" s="646"/>
      <c r="ZJ90" s="645"/>
      <c r="ZK90" s="646"/>
      <c r="ZL90" s="645"/>
      <c r="ZM90" s="646"/>
      <c r="ZN90" s="645"/>
      <c r="ZO90" s="646"/>
      <c r="ZP90" s="645"/>
      <c r="ZQ90" s="646"/>
      <c r="ZR90" s="645"/>
      <c r="ZS90" s="646"/>
      <c r="ZT90" s="645"/>
      <c r="ZU90" s="646"/>
      <c r="ZV90" s="645"/>
      <c r="ZW90" s="646"/>
      <c r="ZX90" s="645"/>
      <c r="ZY90" s="646"/>
      <c r="ZZ90" s="645"/>
      <c r="AAA90" s="646"/>
      <c r="AAB90" s="645"/>
      <c r="AAC90" s="646"/>
      <c r="AAD90" s="645"/>
      <c r="AAE90" s="646"/>
      <c r="AAF90" s="645"/>
      <c r="AAG90" s="646"/>
      <c r="AAH90" s="645"/>
      <c r="AAI90" s="646"/>
      <c r="AAJ90" s="645"/>
      <c r="AAK90" s="646"/>
      <c r="AAL90" s="645"/>
      <c r="AAM90" s="646"/>
      <c r="AAN90" s="645"/>
      <c r="AAO90" s="646"/>
      <c r="AAP90" s="645"/>
      <c r="AAQ90" s="646"/>
      <c r="AAR90" s="645"/>
      <c r="AAS90" s="646"/>
      <c r="AAT90" s="645"/>
      <c r="AAU90" s="646"/>
      <c r="AAV90" s="645"/>
      <c r="AAW90" s="646"/>
      <c r="AAX90" s="645"/>
      <c r="AAY90" s="646"/>
      <c r="AAZ90" s="645"/>
      <c r="ABA90" s="646"/>
      <c r="ABB90" s="645"/>
      <c r="ABC90" s="646"/>
      <c r="ABD90" s="645"/>
      <c r="ABE90" s="646"/>
      <c r="ABF90" s="645"/>
      <c r="ABG90" s="646"/>
      <c r="ABH90" s="645"/>
      <c r="ABI90" s="646"/>
      <c r="ABJ90" s="645"/>
      <c r="ABK90" s="646"/>
      <c r="ABL90" s="645"/>
      <c r="ABM90" s="646"/>
      <c r="ABN90" s="645"/>
      <c r="ABO90" s="646"/>
      <c r="ABP90" s="645"/>
      <c r="ABQ90" s="646"/>
      <c r="ABR90" s="645"/>
      <c r="ABS90" s="646"/>
      <c r="ABT90" s="645"/>
      <c r="ABU90" s="646"/>
      <c r="ABV90" s="645"/>
      <c r="ABW90" s="646"/>
      <c r="ABX90" s="645"/>
      <c r="ABY90" s="646"/>
      <c r="ABZ90" s="645"/>
      <c r="ACA90" s="646"/>
      <c r="ACB90" s="645"/>
      <c r="ACC90" s="646"/>
      <c r="ACD90" s="645"/>
      <c r="ACE90" s="646"/>
      <c r="ACF90" s="645"/>
      <c r="ACG90" s="646"/>
      <c r="ACH90" s="645"/>
      <c r="ACI90" s="646"/>
      <c r="ACJ90" s="645"/>
      <c r="ACK90" s="646"/>
      <c r="ACL90" s="645"/>
      <c r="ACM90" s="646"/>
      <c r="ACN90" s="645"/>
      <c r="ACO90" s="646"/>
      <c r="ACP90" s="645"/>
      <c r="ACQ90" s="646"/>
      <c r="ACR90" s="645"/>
      <c r="ACS90" s="646"/>
      <c r="ACT90" s="645"/>
      <c r="ACU90" s="646"/>
      <c r="ACV90" s="645"/>
      <c r="ACW90" s="646"/>
      <c r="ACX90" s="645"/>
      <c r="ACY90" s="646"/>
      <c r="ACZ90" s="645"/>
      <c r="ADA90" s="646"/>
      <c r="ADB90" s="645"/>
      <c r="ADC90" s="646"/>
      <c r="ADD90" s="645"/>
      <c r="ADE90" s="646"/>
      <c r="ADF90" s="645"/>
      <c r="ADG90" s="646"/>
      <c r="ADH90" s="645"/>
      <c r="ADI90" s="646"/>
      <c r="ADJ90" s="645"/>
      <c r="ADK90" s="646"/>
      <c r="ADL90" s="645"/>
      <c r="ADM90" s="646"/>
      <c r="ADN90" s="645"/>
      <c r="ADO90" s="646"/>
      <c r="ADP90" s="645"/>
      <c r="ADQ90" s="646"/>
      <c r="ADR90" s="645"/>
      <c r="ADS90" s="646"/>
      <c r="ADT90" s="645"/>
      <c r="ADU90" s="646"/>
      <c r="ADV90" s="645"/>
      <c r="ADW90" s="646"/>
      <c r="ADX90" s="645"/>
      <c r="ADY90" s="646"/>
      <c r="ADZ90" s="645"/>
      <c r="AEA90" s="646"/>
      <c r="AEB90" s="645"/>
      <c r="AEC90" s="646"/>
      <c r="AED90" s="645"/>
      <c r="AEE90" s="646"/>
      <c r="AEF90" s="645"/>
      <c r="AEG90" s="646"/>
      <c r="AEH90" s="645"/>
      <c r="AEI90" s="646"/>
      <c r="AEJ90" s="645"/>
      <c r="AEK90" s="646"/>
      <c r="AEL90" s="645"/>
      <c r="AEM90" s="646"/>
      <c r="AEN90" s="645"/>
      <c r="AEO90" s="646"/>
      <c r="AEP90" s="645"/>
      <c r="AEQ90" s="646"/>
      <c r="AER90" s="645"/>
      <c r="AES90" s="646"/>
      <c r="AET90" s="645"/>
      <c r="AEU90" s="646"/>
      <c r="AEV90" s="645"/>
      <c r="AEW90" s="646"/>
      <c r="AEX90" s="645"/>
      <c r="AEY90" s="646"/>
      <c r="AEZ90" s="645"/>
      <c r="AFA90" s="646"/>
      <c r="AFB90" s="645"/>
      <c r="AFC90" s="646"/>
      <c r="AFD90" s="645"/>
      <c r="AFE90" s="646"/>
      <c r="AFF90" s="645"/>
      <c r="AFG90" s="646"/>
      <c r="AFH90" s="645"/>
      <c r="AFI90" s="646"/>
      <c r="AFJ90" s="645"/>
      <c r="AFK90" s="646"/>
      <c r="AFL90" s="645"/>
      <c r="AFM90" s="646"/>
      <c r="AFN90" s="645"/>
      <c r="AFO90" s="646"/>
      <c r="AFP90" s="645"/>
      <c r="AFQ90" s="646"/>
      <c r="AFR90" s="645"/>
      <c r="AFS90" s="646"/>
      <c r="AFT90" s="645"/>
      <c r="AFU90" s="646"/>
      <c r="AFV90" s="645"/>
      <c r="AFW90" s="646"/>
      <c r="AFX90" s="645"/>
      <c r="AFY90" s="646"/>
      <c r="AFZ90" s="645"/>
      <c r="AGA90" s="646"/>
      <c r="AGB90" s="645"/>
      <c r="AGC90" s="646"/>
      <c r="AGD90" s="645"/>
      <c r="AGE90" s="646"/>
      <c r="AGF90" s="645"/>
      <c r="AGG90" s="646"/>
      <c r="AGH90" s="645"/>
      <c r="AGI90" s="646"/>
      <c r="AGJ90" s="645"/>
      <c r="AGK90" s="646"/>
      <c r="AGL90" s="645"/>
      <c r="AGM90" s="646"/>
      <c r="AGN90" s="645"/>
      <c r="AGO90" s="646"/>
      <c r="AGP90" s="645"/>
      <c r="AGQ90" s="646"/>
      <c r="AGR90" s="645"/>
      <c r="AGS90" s="646"/>
      <c r="AGT90" s="645"/>
      <c r="AGU90" s="646"/>
      <c r="AGV90" s="645"/>
      <c r="AGW90" s="646"/>
      <c r="AGX90" s="645"/>
      <c r="AGY90" s="646"/>
      <c r="AGZ90" s="645"/>
      <c r="AHA90" s="646"/>
      <c r="AHB90" s="645"/>
      <c r="AHC90" s="646"/>
      <c r="AHD90" s="645"/>
      <c r="AHE90" s="646"/>
      <c r="AHF90" s="645"/>
      <c r="AHG90" s="646"/>
      <c r="AHH90" s="645"/>
      <c r="AHI90" s="646"/>
      <c r="AHJ90" s="645"/>
      <c r="AHK90" s="646"/>
      <c r="AHL90" s="645"/>
      <c r="AHM90" s="646"/>
      <c r="AHN90" s="645"/>
      <c r="AHO90" s="646"/>
      <c r="AHP90" s="645"/>
      <c r="AHQ90" s="646"/>
      <c r="AHR90" s="645"/>
      <c r="AHS90" s="646"/>
      <c r="AHT90" s="645"/>
      <c r="AHU90" s="646"/>
      <c r="AHV90" s="645"/>
      <c r="AHW90" s="646"/>
      <c r="AHX90" s="645"/>
      <c r="AHY90" s="646"/>
      <c r="AHZ90" s="645"/>
      <c r="AIA90" s="646"/>
      <c r="AIB90" s="645"/>
      <c r="AIC90" s="646"/>
      <c r="AID90" s="645"/>
      <c r="AIE90" s="646"/>
      <c r="AIF90" s="645"/>
      <c r="AIG90" s="646"/>
      <c r="AIH90" s="645"/>
      <c r="AII90" s="646"/>
      <c r="AIJ90" s="645"/>
      <c r="AIK90" s="646"/>
      <c r="AIL90" s="645"/>
      <c r="AIM90" s="646"/>
      <c r="AIN90" s="645"/>
      <c r="AIO90" s="646"/>
      <c r="AIP90" s="645"/>
      <c r="AIQ90" s="645"/>
      <c r="AIR90" s="645"/>
      <c r="AIS90" s="645"/>
      <c r="AIT90" s="645"/>
      <c r="AIU90" s="645"/>
      <c r="AIV90" s="645"/>
      <c r="AIW90" s="645"/>
      <c r="AIX90" s="645"/>
      <c r="AIY90" s="645"/>
      <c r="AIZ90" s="645"/>
      <c r="AJA90" s="645"/>
      <c r="AJB90" s="645"/>
      <c r="AJC90" s="645"/>
      <c r="AJD90" s="645"/>
      <c r="AJE90" s="645"/>
      <c r="AJF90" s="645"/>
      <c r="AJG90" s="645"/>
      <c r="AJH90" s="645"/>
      <c r="AJI90" s="645"/>
      <c r="AJJ90" s="645"/>
      <c r="AJK90" s="645"/>
      <c r="AJL90" s="645"/>
      <c r="AJM90" s="645"/>
      <c r="AJN90" s="645"/>
      <c r="AJO90" s="645"/>
      <c r="AJP90" s="645"/>
      <c r="AJQ90" s="645"/>
      <c r="AJR90" s="645"/>
      <c r="AJS90" s="645"/>
      <c r="AJT90" s="645"/>
      <c r="AJU90" s="645"/>
      <c r="AJV90" s="645"/>
      <c r="AJW90" s="645"/>
      <c r="AJX90" s="645"/>
      <c r="AJY90" s="645"/>
      <c r="AJZ90" s="645"/>
      <c r="AKA90" s="645"/>
      <c r="AKB90" s="645"/>
      <c r="AKC90" s="645"/>
      <c r="AKD90" s="645"/>
      <c r="AKE90" s="645"/>
      <c r="AKF90" s="645"/>
      <c r="AKG90" s="645"/>
      <c r="AKH90" s="645"/>
      <c r="AKI90" s="645"/>
      <c r="AKJ90" s="645"/>
      <c r="AKK90" s="645"/>
      <c r="AKL90" s="645"/>
      <c r="AKM90" s="645"/>
      <c r="AKN90" s="645"/>
      <c r="AKO90" s="645"/>
      <c r="AKP90" s="645"/>
      <c r="AKQ90" s="645"/>
      <c r="AKR90" s="645"/>
      <c r="AKS90" s="645"/>
      <c r="AKT90" s="645"/>
      <c r="AKU90" s="645"/>
      <c r="AKV90" s="645"/>
      <c r="AKW90" s="645"/>
      <c r="AKX90" s="645"/>
      <c r="AKY90" s="645"/>
      <c r="AKZ90" s="645"/>
      <c r="ALA90" s="645"/>
      <c r="ALB90" s="645"/>
      <c r="ALC90" s="645"/>
      <c r="ALD90" s="645"/>
      <c r="ALE90" s="645"/>
      <c r="ALF90" s="645"/>
      <c r="ALG90" s="645"/>
      <c r="ALH90" s="645"/>
      <c r="ALI90" s="645"/>
      <c r="ALJ90" s="645"/>
      <c r="ALK90" s="645"/>
      <c r="ALL90" s="645"/>
      <c r="ALM90" s="645"/>
      <c r="ALN90" s="645"/>
      <c r="ALO90" s="645"/>
      <c r="ALP90" s="645"/>
      <c r="ALQ90" s="645"/>
      <c r="ALR90" s="645"/>
      <c r="ALS90" s="645"/>
      <c r="ALT90" s="645"/>
      <c r="ALU90" s="645"/>
      <c r="ALV90" s="645"/>
      <c r="ALW90" s="645"/>
      <c r="ALX90" s="645"/>
      <c r="ALY90" s="645"/>
      <c r="ALZ90" s="645"/>
      <c r="AMA90" s="645"/>
      <c r="AMB90" s="645"/>
      <c r="AMC90" s="645"/>
      <c r="AMD90" s="645"/>
      <c r="AME90" s="645"/>
      <c r="AMF90" s="645"/>
      <c r="AMG90" s="645"/>
      <c r="AMH90" s="645"/>
      <c r="AMI90" s="645"/>
      <c r="AMJ90" s="645"/>
    </row>
    <row r="91" spans="1:1024" s="37" customFormat="1" ht="15.75" customHeight="1" x14ac:dyDescent="0.35">
      <c r="A91" s="600"/>
      <c r="B91" s="601" t="s">
        <v>345</v>
      </c>
      <c r="C91" s="645"/>
      <c r="D91" s="646"/>
      <c r="E91" s="645"/>
      <c r="F91" s="646"/>
      <c r="G91" s="647" t="s">
        <v>243</v>
      </c>
      <c r="H91" s="643"/>
      <c r="I91" s="645"/>
      <c r="J91" s="38"/>
      <c r="K91" s="38"/>
      <c r="L91" s="39"/>
      <c r="M91" s="38"/>
      <c r="N91" s="39"/>
      <c r="O91" s="38"/>
      <c r="P91" s="39"/>
      <c r="Q91" s="38"/>
      <c r="R91" s="39"/>
      <c r="S91" s="38"/>
      <c r="T91" s="39"/>
      <c r="U91" s="38"/>
      <c r="V91" s="39"/>
      <c r="W91" s="38"/>
      <c r="X91" s="39"/>
      <c r="Y91" s="38"/>
      <c r="Z91" s="39"/>
      <c r="AA91" s="38"/>
      <c r="AB91" s="39"/>
      <c r="AC91" s="38"/>
      <c r="AD91" s="39"/>
      <c r="AE91" s="38"/>
      <c r="AF91" s="39"/>
      <c r="AG91" s="38"/>
      <c r="AH91" s="39"/>
      <c r="AI91" s="38"/>
      <c r="AJ91" s="39"/>
      <c r="AK91" s="40"/>
      <c r="AL91" s="39"/>
      <c r="AM91" s="40"/>
      <c r="AN91" s="39"/>
      <c r="AO91" s="40"/>
      <c r="AP91" s="39"/>
      <c r="AQ91" s="40"/>
      <c r="AR91" s="39"/>
      <c r="AS91" s="40"/>
      <c r="AT91" s="39"/>
      <c r="AU91" s="40"/>
      <c r="AV91" s="39"/>
      <c r="AW91" s="40"/>
      <c r="AX91" s="39"/>
      <c r="AY91" s="40"/>
      <c r="AZ91" s="39"/>
      <c r="BA91" s="40"/>
      <c r="BB91" s="39"/>
      <c r="BC91" s="40"/>
      <c r="BD91" s="39"/>
      <c r="BE91" s="40"/>
      <c r="BF91" s="39"/>
      <c r="BG91" s="40"/>
      <c r="BH91" s="39"/>
      <c r="BI91" s="40"/>
      <c r="BJ91" s="39"/>
      <c r="BK91" s="40"/>
      <c r="BL91" s="39"/>
      <c r="BM91" s="40"/>
      <c r="BN91" s="39"/>
      <c r="BO91" s="40"/>
      <c r="BP91" s="39"/>
      <c r="BQ91" s="40"/>
      <c r="BR91" s="39"/>
      <c r="BS91" s="40"/>
      <c r="BT91" s="39"/>
      <c r="BU91" s="40"/>
      <c r="BV91" s="39"/>
      <c r="BW91" s="40"/>
      <c r="BX91" s="39"/>
      <c r="BY91" s="40"/>
      <c r="BZ91" s="39"/>
      <c r="CA91" s="40"/>
      <c r="CB91" s="39"/>
      <c r="CC91" s="40"/>
      <c r="CD91" s="39"/>
      <c r="CE91" s="40"/>
      <c r="CF91" s="39"/>
      <c r="CG91" s="40"/>
      <c r="CH91" s="39"/>
      <c r="CI91" s="40"/>
      <c r="CJ91" s="39"/>
      <c r="CK91" s="40"/>
      <c r="CL91" s="39"/>
      <c r="CM91" s="40"/>
      <c r="CN91" s="39"/>
      <c r="CO91" s="40"/>
      <c r="CP91" s="39"/>
      <c r="CQ91" s="40"/>
      <c r="CR91" s="39"/>
      <c r="CS91" s="40"/>
      <c r="CT91" s="39"/>
      <c r="CU91" s="40"/>
      <c r="CV91" s="39"/>
      <c r="CW91" s="40"/>
      <c r="CX91" s="39"/>
      <c r="CY91" s="40"/>
      <c r="CZ91" s="39"/>
      <c r="DA91" s="40"/>
      <c r="DB91" s="39"/>
      <c r="DC91" s="40"/>
      <c r="DD91" s="39"/>
      <c r="DE91" s="40"/>
      <c r="DF91" s="39"/>
      <c r="DG91" s="40"/>
      <c r="DH91" s="39"/>
      <c r="DI91" s="40"/>
      <c r="DJ91" s="39"/>
      <c r="DK91" s="40"/>
      <c r="DL91" s="39"/>
      <c r="DM91" s="40"/>
      <c r="DN91" s="39"/>
      <c r="DO91" s="40"/>
      <c r="DP91" s="39"/>
      <c r="DQ91" s="40"/>
      <c r="DR91" s="39"/>
      <c r="DS91" s="40"/>
      <c r="DT91" s="39"/>
      <c r="DU91" s="40"/>
      <c r="DV91" s="39"/>
      <c r="DW91" s="40"/>
      <c r="DX91" s="39"/>
      <c r="DY91" s="40"/>
      <c r="DZ91" s="39"/>
      <c r="EA91" s="40"/>
      <c r="EB91" s="39"/>
      <c r="EC91" s="40"/>
      <c r="ED91" s="39"/>
      <c r="EE91" s="40"/>
      <c r="EF91" s="39"/>
      <c r="EG91" s="40"/>
      <c r="EH91" s="39"/>
      <c r="EI91" s="40"/>
      <c r="EJ91" s="39"/>
      <c r="EK91" s="40"/>
      <c r="EL91" s="39"/>
      <c r="EM91" s="40"/>
      <c r="EN91" s="39"/>
      <c r="EO91" s="40"/>
      <c r="EP91" s="39"/>
      <c r="EQ91" s="40"/>
      <c r="ER91" s="39"/>
      <c r="ES91" s="40"/>
      <c r="ET91" s="39"/>
      <c r="EU91" s="40"/>
      <c r="EV91" s="39"/>
      <c r="EW91" s="40"/>
      <c r="EX91" s="39"/>
      <c r="EY91" s="40"/>
      <c r="EZ91" s="39"/>
      <c r="FA91" s="40"/>
      <c r="FB91" s="39"/>
      <c r="FC91" s="40"/>
      <c r="FD91" s="39"/>
      <c r="FE91" s="40"/>
      <c r="FF91" s="39"/>
      <c r="FG91" s="40"/>
      <c r="FH91" s="39"/>
      <c r="FI91" s="40"/>
      <c r="FJ91" s="39"/>
      <c r="FK91" s="40"/>
      <c r="FL91" s="39"/>
      <c r="FM91" s="40"/>
      <c r="FN91" s="39"/>
      <c r="FO91" s="40"/>
      <c r="FP91" s="39"/>
      <c r="FQ91" s="40"/>
      <c r="FR91" s="39"/>
      <c r="FS91" s="40"/>
      <c r="FT91" s="39"/>
      <c r="FU91" s="40"/>
      <c r="FV91" s="39"/>
      <c r="FW91" s="40"/>
      <c r="FX91" s="39"/>
      <c r="FY91" s="40"/>
      <c r="FZ91" s="39"/>
      <c r="GA91" s="40"/>
      <c r="GB91" s="39"/>
      <c r="GC91" s="40"/>
      <c r="GD91" s="39"/>
      <c r="GE91" s="40"/>
      <c r="GF91" s="39"/>
      <c r="GG91" s="40"/>
      <c r="GH91" s="39"/>
      <c r="GI91" s="40"/>
      <c r="GJ91" s="39"/>
      <c r="GK91" s="40"/>
      <c r="GL91" s="39"/>
      <c r="GM91" s="40"/>
      <c r="GN91" s="39"/>
      <c r="GO91" s="40"/>
      <c r="GP91" s="39"/>
      <c r="GQ91" s="40"/>
      <c r="GR91" s="39"/>
      <c r="GS91" s="40"/>
      <c r="GT91" s="39"/>
      <c r="GU91" s="40"/>
      <c r="GV91" s="39"/>
      <c r="GW91" s="40"/>
      <c r="GX91" s="39"/>
      <c r="GY91" s="40"/>
      <c r="GZ91" s="39"/>
      <c r="HA91" s="40"/>
      <c r="HB91" s="39"/>
      <c r="HC91" s="40"/>
      <c r="HD91" s="39"/>
      <c r="HE91" s="40"/>
      <c r="HF91" s="39"/>
      <c r="HG91" s="40"/>
      <c r="HH91" s="39"/>
      <c r="HI91" s="40"/>
      <c r="HJ91" s="39"/>
      <c r="HK91" s="40"/>
      <c r="HL91" s="39"/>
      <c r="HM91" s="40"/>
      <c r="HN91" s="39"/>
      <c r="HO91" s="40"/>
      <c r="HP91" s="39"/>
      <c r="HQ91" s="40"/>
      <c r="HR91" s="39"/>
      <c r="HS91" s="40"/>
      <c r="HT91" s="39"/>
      <c r="HU91" s="40"/>
      <c r="HV91" s="39"/>
      <c r="HW91" s="40"/>
      <c r="HX91" s="39"/>
      <c r="HY91" s="40"/>
      <c r="HZ91" s="39"/>
      <c r="IA91" s="40"/>
      <c r="IB91" s="39"/>
      <c r="IC91" s="1068"/>
      <c r="ID91" s="645"/>
      <c r="IE91" s="646"/>
      <c r="IF91" s="645"/>
      <c r="IG91" s="646"/>
      <c r="IH91" s="645"/>
      <c r="II91" s="646"/>
      <c r="IJ91" s="645"/>
      <c r="IK91" s="646"/>
      <c r="IL91" s="645"/>
      <c r="IM91" s="646"/>
      <c r="IN91" s="645"/>
      <c r="IO91" s="646"/>
      <c r="IP91" s="645"/>
      <c r="IQ91" s="646"/>
      <c r="IR91" s="645"/>
      <c r="IS91" s="646"/>
      <c r="IT91" s="645"/>
      <c r="IU91" s="646"/>
      <c r="IV91" s="645"/>
      <c r="IW91" s="646"/>
      <c r="IX91" s="645"/>
      <c r="IY91" s="646"/>
      <c r="IZ91" s="645"/>
      <c r="JA91" s="646"/>
      <c r="JB91" s="645"/>
      <c r="JC91" s="646"/>
      <c r="JD91" s="645"/>
      <c r="JE91" s="646"/>
      <c r="JF91" s="645"/>
      <c r="JG91" s="646"/>
      <c r="JH91" s="645"/>
      <c r="JI91" s="646"/>
      <c r="JJ91" s="645"/>
      <c r="JK91" s="646"/>
      <c r="JL91" s="645"/>
      <c r="JM91" s="646"/>
      <c r="JN91" s="645"/>
      <c r="JO91" s="646"/>
      <c r="JP91" s="645"/>
      <c r="JQ91" s="646"/>
      <c r="JR91" s="645"/>
      <c r="JS91" s="646"/>
      <c r="JT91" s="645"/>
      <c r="JU91" s="646"/>
      <c r="JV91" s="645"/>
      <c r="JW91" s="646"/>
      <c r="JX91" s="645"/>
      <c r="JY91" s="646"/>
      <c r="JZ91" s="645"/>
      <c r="KA91" s="646"/>
      <c r="KB91" s="645"/>
      <c r="KC91" s="646"/>
      <c r="KD91" s="645"/>
      <c r="KE91" s="646"/>
      <c r="KF91" s="645"/>
      <c r="KG91" s="646"/>
      <c r="KH91" s="645"/>
      <c r="KI91" s="646"/>
      <c r="KJ91" s="645"/>
      <c r="KK91" s="646"/>
      <c r="KL91" s="645"/>
      <c r="KM91" s="646"/>
      <c r="KN91" s="645"/>
      <c r="KO91" s="646"/>
      <c r="KP91" s="645"/>
      <c r="KQ91" s="646"/>
      <c r="KR91" s="645"/>
      <c r="KS91" s="646"/>
      <c r="KT91" s="645"/>
      <c r="KU91" s="646"/>
      <c r="KV91" s="645"/>
      <c r="KW91" s="646"/>
      <c r="KX91" s="645"/>
      <c r="KY91" s="646"/>
      <c r="KZ91" s="645"/>
      <c r="LA91" s="646"/>
      <c r="LB91" s="645"/>
      <c r="LC91" s="646"/>
      <c r="LD91" s="645"/>
      <c r="LE91" s="646"/>
      <c r="LF91" s="645"/>
      <c r="LG91" s="646"/>
      <c r="LH91" s="645"/>
      <c r="LI91" s="646"/>
      <c r="LJ91" s="645"/>
      <c r="LK91" s="646"/>
      <c r="LL91" s="645"/>
      <c r="LM91" s="646"/>
      <c r="LN91" s="645"/>
      <c r="LO91" s="646"/>
      <c r="LP91" s="645"/>
      <c r="LQ91" s="646"/>
      <c r="LR91" s="645"/>
      <c r="LS91" s="646"/>
      <c r="LT91" s="645"/>
      <c r="LU91" s="646"/>
      <c r="LV91" s="645"/>
      <c r="LW91" s="646"/>
      <c r="LX91" s="645"/>
      <c r="LY91" s="646"/>
      <c r="LZ91" s="645"/>
      <c r="MA91" s="646"/>
      <c r="MB91" s="645"/>
      <c r="MC91" s="646"/>
      <c r="MD91" s="645"/>
      <c r="ME91" s="646"/>
      <c r="MF91" s="645"/>
      <c r="MG91" s="646"/>
      <c r="MH91" s="645"/>
      <c r="MI91" s="646"/>
      <c r="MJ91" s="645"/>
      <c r="MK91" s="646"/>
      <c r="ML91" s="645"/>
      <c r="MM91" s="646"/>
      <c r="MN91" s="645"/>
      <c r="MO91" s="646"/>
      <c r="MP91" s="645"/>
      <c r="MQ91" s="646"/>
      <c r="MR91" s="645"/>
      <c r="MS91" s="646"/>
      <c r="MT91" s="645"/>
      <c r="MU91" s="646"/>
      <c r="MV91" s="645"/>
      <c r="MW91" s="646"/>
      <c r="MX91" s="645"/>
      <c r="MY91" s="646"/>
      <c r="MZ91" s="645"/>
      <c r="NA91" s="646"/>
      <c r="NB91" s="645"/>
      <c r="NC91" s="646"/>
      <c r="ND91" s="645"/>
      <c r="NE91" s="646"/>
      <c r="NF91" s="645"/>
      <c r="NG91" s="646"/>
      <c r="NH91" s="645"/>
      <c r="NI91" s="646"/>
      <c r="NJ91" s="645"/>
      <c r="NK91" s="646"/>
      <c r="NL91" s="645"/>
      <c r="NM91" s="646"/>
      <c r="NN91" s="645"/>
      <c r="NO91" s="646"/>
      <c r="NP91" s="645"/>
      <c r="NQ91" s="646"/>
      <c r="NR91" s="645"/>
      <c r="NS91" s="646"/>
      <c r="NT91" s="645"/>
      <c r="NU91" s="646"/>
      <c r="NV91" s="645"/>
      <c r="NW91" s="646"/>
      <c r="NX91" s="645"/>
      <c r="NY91" s="646"/>
      <c r="NZ91" s="645"/>
      <c r="OA91" s="646"/>
      <c r="OB91" s="645"/>
      <c r="OC91" s="646"/>
      <c r="OD91" s="645"/>
      <c r="OE91" s="646"/>
      <c r="OF91" s="645"/>
      <c r="OG91" s="646"/>
      <c r="OH91" s="645"/>
      <c r="OI91" s="646"/>
      <c r="OJ91" s="645"/>
      <c r="OK91" s="646"/>
      <c r="OL91" s="645"/>
      <c r="OM91" s="646"/>
      <c r="ON91" s="645"/>
      <c r="OO91" s="646"/>
      <c r="OP91" s="645"/>
      <c r="OQ91" s="646"/>
      <c r="OR91" s="645"/>
      <c r="OS91" s="646"/>
      <c r="OT91" s="645"/>
      <c r="OU91" s="646"/>
      <c r="OV91" s="645"/>
      <c r="OW91" s="646"/>
      <c r="OX91" s="645"/>
      <c r="OY91" s="646"/>
      <c r="OZ91" s="645"/>
      <c r="PA91" s="646"/>
      <c r="PB91" s="645"/>
      <c r="PC91" s="646"/>
      <c r="PD91" s="645"/>
      <c r="PE91" s="646"/>
      <c r="PF91" s="645"/>
      <c r="PG91" s="646"/>
      <c r="PH91" s="645"/>
      <c r="PI91" s="646"/>
      <c r="PJ91" s="645"/>
      <c r="PK91" s="646"/>
      <c r="PL91" s="645"/>
      <c r="PM91" s="646"/>
      <c r="PN91" s="645"/>
      <c r="PO91" s="646"/>
      <c r="PP91" s="645"/>
      <c r="PQ91" s="646"/>
      <c r="PR91" s="645"/>
      <c r="PS91" s="646"/>
      <c r="PT91" s="645"/>
      <c r="PU91" s="646"/>
      <c r="PV91" s="645"/>
      <c r="PW91" s="646"/>
      <c r="PX91" s="645"/>
      <c r="PY91" s="646"/>
      <c r="PZ91" s="645"/>
      <c r="QA91" s="646"/>
      <c r="QB91" s="645"/>
      <c r="QC91" s="646"/>
      <c r="QD91" s="645"/>
      <c r="QE91" s="646"/>
      <c r="QF91" s="645"/>
      <c r="QG91" s="646"/>
      <c r="QH91" s="645"/>
      <c r="QI91" s="646"/>
      <c r="QJ91" s="645"/>
      <c r="QK91" s="646"/>
      <c r="QL91" s="645"/>
      <c r="QM91" s="646"/>
      <c r="QN91" s="645"/>
      <c r="QO91" s="646"/>
      <c r="QP91" s="645"/>
      <c r="QQ91" s="646"/>
      <c r="QR91" s="645"/>
      <c r="QS91" s="646"/>
      <c r="QT91" s="645"/>
      <c r="QU91" s="646"/>
      <c r="QV91" s="645"/>
      <c r="QW91" s="646"/>
      <c r="QX91" s="645"/>
      <c r="QY91" s="646"/>
      <c r="QZ91" s="645"/>
      <c r="RA91" s="646"/>
      <c r="RB91" s="645"/>
      <c r="RC91" s="646"/>
      <c r="RD91" s="645"/>
      <c r="RE91" s="646"/>
      <c r="RF91" s="645"/>
      <c r="RG91" s="646"/>
      <c r="RH91" s="645"/>
      <c r="RI91" s="646"/>
      <c r="RJ91" s="645"/>
      <c r="RK91" s="646"/>
      <c r="RL91" s="645"/>
      <c r="RM91" s="646"/>
      <c r="RN91" s="645"/>
      <c r="RO91" s="646"/>
      <c r="RP91" s="645"/>
      <c r="RQ91" s="646"/>
      <c r="RR91" s="645"/>
      <c r="RS91" s="646"/>
      <c r="RT91" s="645"/>
      <c r="RU91" s="646"/>
      <c r="RV91" s="645"/>
      <c r="RW91" s="646"/>
      <c r="RX91" s="645"/>
      <c r="RY91" s="646"/>
      <c r="RZ91" s="645"/>
      <c r="SA91" s="646"/>
      <c r="SB91" s="645"/>
      <c r="SC91" s="646"/>
      <c r="SD91" s="645"/>
      <c r="SE91" s="646"/>
      <c r="SF91" s="645"/>
      <c r="SG91" s="646"/>
      <c r="SH91" s="645"/>
      <c r="SI91" s="646"/>
      <c r="SJ91" s="645"/>
      <c r="SK91" s="646"/>
      <c r="SL91" s="645"/>
      <c r="SM91" s="646"/>
      <c r="SN91" s="645"/>
      <c r="SO91" s="646"/>
      <c r="SP91" s="645"/>
      <c r="SQ91" s="646"/>
      <c r="SR91" s="645"/>
      <c r="SS91" s="646"/>
      <c r="ST91" s="645"/>
      <c r="SU91" s="646"/>
      <c r="SV91" s="645"/>
      <c r="SW91" s="646"/>
      <c r="SX91" s="645"/>
      <c r="SY91" s="646"/>
      <c r="SZ91" s="645"/>
      <c r="TA91" s="646"/>
      <c r="TB91" s="645"/>
      <c r="TC91" s="646"/>
      <c r="TD91" s="645"/>
      <c r="TE91" s="646"/>
      <c r="TF91" s="645"/>
      <c r="TG91" s="646"/>
      <c r="TH91" s="645"/>
      <c r="TI91" s="646"/>
      <c r="TJ91" s="645"/>
      <c r="TK91" s="646"/>
      <c r="TL91" s="645"/>
      <c r="TM91" s="646"/>
      <c r="TN91" s="645"/>
      <c r="TO91" s="646"/>
      <c r="TP91" s="645"/>
      <c r="TQ91" s="646"/>
      <c r="TR91" s="645"/>
      <c r="TS91" s="646"/>
      <c r="TT91" s="645"/>
      <c r="TU91" s="646"/>
      <c r="TV91" s="645"/>
      <c r="TW91" s="646"/>
      <c r="TX91" s="645"/>
      <c r="TY91" s="646"/>
      <c r="TZ91" s="645"/>
      <c r="UA91" s="646"/>
      <c r="UB91" s="645"/>
      <c r="UC91" s="646"/>
      <c r="UD91" s="645"/>
      <c r="UE91" s="646"/>
      <c r="UF91" s="645"/>
      <c r="UG91" s="646"/>
      <c r="UH91" s="645"/>
      <c r="UI91" s="646"/>
      <c r="UJ91" s="645"/>
      <c r="UK91" s="646"/>
      <c r="UL91" s="645"/>
      <c r="UM91" s="646"/>
      <c r="UN91" s="645"/>
      <c r="UO91" s="646"/>
      <c r="UP91" s="645"/>
      <c r="UQ91" s="646"/>
      <c r="UR91" s="645"/>
      <c r="US91" s="646"/>
      <c r="UT91" s="645"/>
      <c r="UU91" s="646"/>
      <c r="UV91" s="645"/>
      <c r="UW91" s="646"/>
      <c r="UX91" s="645"/>
      <c r="UY91" s="646"/>
      <c r="UZ91" s="645"/>
      <c r="VA91" s="646"/>
      <c r="VB91" s="645"/>
      <c r="VC91" s="646"/>
      <c r="VD91" s="645"/>
      <c r="VE91" s="646"/>
      <c r="VF91" s="645"/>
      <c r="VG91" s="646"/>
      <c r="VH91" s="645"/>
      <c r="VI91" s="646"/>
      <c r="VJ91" s="645"/>
      <c r="VK91" s="646"/>
      <c r="VL91" s="645"/>
      <c r="VM91" s="646"/>
      <c r="VN91" s="645"/>
      <c r="VO91" s="646"/>
      <c r="VP91" s="645"/>
      <c r="VQ91" s="646"/>
      <c r="VR91" s="645"/>
      <c r="VS91" s="646"/>
      <c r="VT91" s="645"/>
      <c r="VU91" s="646"/>
      <c r="VV91" s="645"/>
      <c r="VW91" s="646"/>
      <c r="VX91" s="645"/>
      <c r="VY91" s="646"/>
      <c r="VZ91" s="645"/>
      <c r="WA91" s="646"/>
      <c r="WB91" s="645"/>
      <c r="WC91" s="646"/>
      <c r="WD91" s="645"/>
      <c r="WE91" s="646"/>
      <c r="WF91" s="645"/>
      <c r="WG91" s="646"/>
      <c r="WH91" s="645"/>
      <c r="WI91" s="646"/>
      <c r="WJ91" s="645"/>
      <c r="WK91" s="646"/>
      <c r="WL91" s="645"/>
      <c r="WM91" s="646"/>
      <c r="WN91" s="645"/>
      <c r="WO91" s="646"/>
      <c r="WP91" s="645"/>
      <c r="WQ91" s="646"/>
      <c r="WR91" s="645"/>
      <c r="WS91" s="646"/>
      <c r="WT91" s="645"/>
      <c r="WU91" s="646"/>
      <c r="WV91" s="645"/>
      <c r="WW91" s="646"/>
      <c r="WX91" s="645"/>
      <c r="WY91" s="646"/>
      <c r="WZ91" s="645"/>
      <c r="XA91" s="646"/>
      <c r="XB91" s="645"/>
      <c r="XC91" s="646"/>
      <c r="XD91" s="645"/>
      <c r="XE91" s="646"/>
      <c r="XF91" s="645"/>
      <c r="XG91" s="646"/>
      <c r="XH91" s="645"/>
      <c r="XI91" s="646"/>
      <c r="XJ91" s="645"/>
      <c r="XK91" s="646"/>
      <c r="XL91" s="645"/>
      <c r="XM91" s="646"/>
      <c r="XN91" s="645"/>
      <c r="XO91" s="646"/>
      <c r="XP91" s="645"/>
      <c r="XQ91" s="646"/>
      <c r="XR91" s="645"/>
      <c r="XS91" s="646"/>
      <c r="XT91" s="645"/>
      <c r="XU91" s="646"/>
      <c r="XV91" s="645"/>
      <c r="XW91" s="646"/>
      <c r="XX91" s="645"/>
      <c r="XY91" s="646"/>
      <c r="XZ91" s="645"/>
      <c r="YA91" s="646"/>
      <c r="YB91" s="645"/>
      <c r="YC91" s="646"/>
      <c r="YD91" s="645"/>
      <c r="YE91" s="646"/>
      <c r="YF91" s="645"/>
      <c r="YG91" s="646"/>
      <c r="YH91" s="645"/>
      <c r="YI91" s="646"/>
      <c r="YJ91" s="645"/>
      <c r="YK91" s="646"/>
      <c r="YL91" s="645"/>
      <c r="YM91" s="646"/>
      <c r="YN91" s="645"/>
      <c r="YO91" s="646"/>
      <c r="YP91" s="645"/>
      <c r="YQ91" s="646"/>
      <c r="YR91" s="645"/>
      <c r="YS91" s="646"/>
      <c r="YT91" s="645"/>
      <c r="YU91" s="646"/>
      <c r="YV91" s="645"/>
      <c r="YW91" s="646"/>
      <c r="YX91" s="645"/>
      <c r="YY91" s="646"/>
      <c r="YZ91" s="645"/>
      <c r="ZA91" s="646"/>
      <c r="ZB91" s="645"/>
      <c r="ZC91" s="646"/>
      <c r="ZD91" s="645"/>
      <c r="ZE91" s="646"/>
      <c r="ZF91" s="645"/>
      <c r="ZG91" s="646"/>
      <c r="ZH91" s="645"/>
      <c r="ZI91" s="646"/>
      <c r="ZJ91" s="645"/>
      <c r="ZK91" s="646"/>
      <c r="ZL91" s="645"/>
      <c r="ZM91" s="646"/>
      <c r="ZN91" s="645"/>
      <c r="ZO91" s="646"/>
      <c r="ZP91" s="645"/>
      <c r="ZQ91" s="646"/>
      <c r="ZR91" s="645"/>
      <c r="ZS91" s="646"/>
      <c r="ZT91" s="645"/>
      <c r="ZU91" s="646"/>
      <c r="ZV91" s="645"/>
      <c r="ZW91" s="646"/>
      <c r="ZX91" s="645"/>
      <c r="ZY91" s="646"/>
      <c r="ZZ91" s="645"/>
      <c r="AAA91" s="646"/>
      <c r="AAB91" s="645"/>
      <c r="AAC91" s="646"/>
      <c r="AAD91" s="645"/>
      <c r="AAE91" s="646"/>
      <c r="AAF91" s="645"/>
      <c r="AAG91" s="646"/>
      <c r="AAH91" s="645"/>
      <c r="AAI91" s="646"/>
      <c r="AAJ91" s="645"/>
      <c r="AAK91" s="646"/>
      <c r="AAL91" s="645"/>
      <c r="AAM91" s="646"/>
      <c r="AAN91" s="645"/>
      <c r="AAO91" s="646"/>
      <c r="AAP91" s="645"/>
      <c r="AAQ91" s="646"/>
      <c r="AAR91" s="645"/>
      <c r="AAS91" s="646"/>
      <c r="AAT91" s="645"/>
      <c r="AAU91" s="646"/>
      <c r="AAV91" s="645"/>
      <c r="AAW91" s="646"/>
      <c r="AAX91" s="645"/>
      <c r="AAY91" s="646"/>
      <c r="AAZ91" s="645"/>
      <c r="ABA91" s="646"/>
      <c r="ABB91" s="645"/>
      <c r="ABC91" s="646"/>
      <c r="ABD91" s="645"/>
      <c r="ABE91" s="646"/>
      <c r="ABF91" s="645"/>
      <c r="ABG91" s="646"/>
      <c r="ABH91" s="645"/>
      <c r="ABI91" s="646"/>
      <c r="ABJ91" s="645"/>
      <c r="ABK91" s="646"/>
      <c r="ABL91" s="645"/>
      <c r="ABM91" s="646"/>
      <c r="ABN91" s="645"/>
      <c r="ABO91" s="646"/>
      <c r="ABP91" s="645"/>
      <c r="ABQ91" s="646"/>
      <c r="ABR91" s="645"/>
      <c r="ABS91" s="646"/>
      <c r="ABT91" s="645"/>
      <c r="ABU91" s="646"/>
      <c r="ABV91" s="645"/>
      <c r="ABW91" s="646"/>
      <c r="ABX91" s="645"/>
      <c r="ABY91" s="646"/>
      <c r="ABZ91" s="645"/>
      <c r="ACA91" s="646"/>
      <c r="ACB91" s="645"/>
      <c r="ACC91" s="646"/>
      <c r="ACD91" s="645"/>
      <c r="ACE91" s="646"/>
      <c r="ACF91" s="645"/>
      <c r="ACG91" s="646"/>
      <c r="ACH91" s="645"/>
      <c r="ACI91" s="646"/>
      <c r="ACJ91" s="645"/>
      <c r="ACK91" s="646"/>
      <c r="ACL91" s="645"/>
      <c r="ACM91" s="646"/>
      <c r="ACN91" s="645"/>
      <c r="ACO91" s="646"/>
      <c r="ACP91" s="645"/>
      <c r="ACQ91" s="646"/>
      <c r="ACR91" s="645"/>
      <c r="ACS91" s="646"/>
      <c r="ACT91" s="645"/>
      <c r="ACU91" s="646"/>
      <c r="ACV91" s="645"/>
      <c r="ACW91" s="646"/>
      <c r="ACX91" s="645"/>
      <c r="ACY91" s="646"/>
      <c r="ACZ91" s="645"/>
      <c r="ADA91" s="646"/>
      <c r="ADB91" s="645"/>
      <c r="ADC91" s="646"/>
      <c r="ADD91" s="645"/>
      <c r="ADE91" s="646"/>
      <c r="ADF91" s="645"/>
      <c r="ADG91" s="646"/>
      <c r="ADH91" s="645"/>
      <c r="ADI91" s="646"/>
      <c r="ADJ91" s="645"/>
      <c r="ADK91" s="646"/>
      <c r="ADL91" s="645"/>
      <c r="ADM91" s="646"/>
      <c r="ADN91" s="645"/>
      <c r="ADO91" s="646"/>
      <c r="ADP91" s="645"/>
      <c r="ADQ91" s="646"/>
      <c r="ADR91" s="645"/>
      <c r="ADS91" s="646"/>
      <c r="ADT91" s="645"/>
      <c r="ADU91" s="646"/>
      <c r="ADV91" s="645"/>
      <c r="ADW91" s="646"/>
      <c r="ADX91" s="645"/>
      <c r="ADY91" s="646"/>
      <c r="ADZ91" s="645"/>
      <c r="AEA91" s="646"/>
      <c r="AEB91" s="645"/>
      <c r="AEC91" s="646"/>
      <c r="AED91" s="645"/>
      <c r="AEE91" s="646"/>
      <c r="AEF91" s="645"/>
      <c r="AEG91" s="646"/>
      <c r="AEH91" s="645"/>
      <c r="AEI91" s="646"/>
      <c r="AEJ91" s="645"/>
      <c r="AEK91" s="646"/>
      <c r="AEL91" s="645"/>
      <c r="AEM91" s="646"/>
      <c r="AEN91" s="645"/>
      <c r="AEO91" s="646"/>
      <c r="AEP91" s="645"/>
      <c r="AEQ91" s="646"/>
      <c r="AER91" s="645"/>
      <c r="AES91" s="646"/>
      <c r="AET91" s="645"/>
      <c r="AEU91" s="646"/>
      <c r="AEV91" s="645"/>
      <c r="AEW91" s="646"/>
      <c r="AEX91" s="645"/>
      <c r="AEY91" s="646"/>
      <c r="AEZ91" s="645"/>
      <c r="AFA91" s="646"/>
      <c r="AFB91" s="645"/>
      <c r="AFC91" s="646"/>
      <c r="AFD91" s="645"/>
      <c r="AFE91" s="646"/>
      <c r="AFF91" s="645"/>
      <c r="AFG91" s="646"/>
      <c r="AFH91" s="645"/>
      <c r="AFI91" s="646"/>
      <c r="AFJ91" s="645"/>
      <c r="AFK91" s="646"/>
      <c r="AFL91" s="645"/>
      <c r="AFM91" s="646"/>
      <c r="AFN91" s="645"/>
      <c r="AFO91" s="646"/>
      <c r="AFP91" s="645"/>
      <c r="AFQ91" s="646"/>
      <c r="AFR91" s="645"/>
      <c r="AFS91" s="646"/>
      <c r="AFT91" s="645"/>
      <c r="AFU91" s="646"/>
      <c r="AFV91" s="645"/>
      <c r="AFW91" s="646"/>
      <c r="AFX91" s="645"/>
      <c r="AFY91" s="646"/>
      <c r="AFZ91" s="645"/>
      <c r="AGA91" s="646"/>
      <c r="AGB91" s="645"/>
      <c r="AGC91" s="646"/>
      <c r="AGD91" s="645"/>
      <c r="AGE91" s="646"/>
      <c r="AGF91" s="645"/>
      <c r="AGG91" s="646"/>
      <c r="AGH91" s="645"/>
      <c r="AGI91" s="646"/>
      <c r="AGJ91" s="645"/>
      <c r="AGK91" s="646"/>
      <c r="AGL91" s="645"/>
      <c r="AGM91" s="646"/>
      <c r="AGN91" s="645"/>
      <c r="AGO91" s="646"/>
      <c r="AGP91" s="645"/>
      <c r="AGQ91" s="646"/>
      <c r="AGR91" s="645"/>
      <c r="AGS91" s="646"/>
      <c r="AGT91" s="645"/>
      <c r="AGU91" s="646"/>
      <c r="AGV91" s="645"/>
      <c r="AGW91" s="646"/>
      <c r="AGX91" s="645"/>
      <c r="AGY91" s="646"/>
      <c r="AGZ91" s="645"/>
      <c r="AHA91" s="646"/>
      <c r="AHB91" s="645"/>
      <c r="AHC91" s="646"/>
      <c r="AHD91" s="645"/>
      <c r="AHE91" s="646"/>
      <c r="AHF91" s="645"/>
      <c r="AHG91" s="646"/>
      <c r="AHH91" s="645"/>
      <c r="AHI91" s="646"/>
      <c r="AHJ91" s="645"/>
      <c r="AHK91" s="646"/>
      <c r="AHL91" s="645"/>
      <c r="AHM91" s="646"/>
      <c r="AHN91" s="645"/>
      <c r="AHO91" s="646"/>
      <c r="AHP91" s="645"/>
      <c r="AHQ91" s="646"/>
      <c r="AHR91" s="645"/>
      <c r="AHS91" s="646"/>
      <c r="AHT91" s="645"/>
      <c r="AHU91" s="646"/>
      <c r="AHV91" s="645"/>
      <c r="AHW91" s="646"/>
      <c r="AHX91" s="645"/>
      <c r="AHY91" s="646"/>
      <c r="AHZ91" s="645"/>
      <c r="AIA91" s="646"/>
      <c r="AIB91" s="645"/>
      <c r="AIC91" s="646"/>
      <c r="AID91" s="645"/>
      <c r="AIE91" s="646"/>
      <c r="AIF91" s="645"/>
      <c r="AIG91" s="646"/>
      <c r="AIH91" s="645"/>
      <c r="AII91" s="646"/>
      <c r="AIJ91" s="645"/>
      <c r="AIK91" s="646"/>
      <c r="AIL91" s="645"/>
      <c r="AIM91" s="646"/>
      <c r="AIN91" s="645"/>
      <c r="AIO91" s="646"/>
      <c r="AIP91" s="645"/>
      <c r="AIQ91" s="645"/>
      <c r="AIR91" s="645"/>
      <c r="AIS91" s="645"/>
      <c r="AIT91" s="645"/>
      <c r="AIU91" s="645"/>
      <c r="AIV91" s="645"/>
      <c r="AIW91" s="645"/>
      <c r="AIX91" s="645"/>
      <c r="AIY91" s="645"/>
      <c r="AIZ91" s="645"/>
      <c r="AJA91" s="645"/>
      <c r="AJB91" s="645"/>
      <c r="AJC91" s="645"/>
      <c r="AJD91" s="645"/>
      <c r="AJE91" s="645"/>
      <c r="AJF91" s="645"/>
      <c r="AJG91" s="645"/>
      <c r="AJH91" s="645"/>
      <c r="AJI91" s="645"/>
      <c r="AJJ91" s="645"/>
      <c r="AJK91" s="645"/>
      <c r="AJL91" s="645"/>
      <c r="AJM91" s="645"/>
      <c r="AJN91" s="645"/>
      <c r="AJO91" s="645"/>
      <c r="AJP91" s="645"/>
      <c r="AJQ91" s="645"/>
      <c r="AJR91" s="645"/>
      <c r="AJS91" s="645"/>
      <c r="AJT91" s="645"/>
      <c r="AJU91" s="645"/>
      <c r="AJV91" s="645"/>
      <c r="AJW91" s="645"/>
      <c r="AJX91" s="645"/>
      <c r="AJY91" s="645"/>
      <c r="AJZ91" s="645"/>
      <c r="AKA91" s="645"/>
      <c r="AKB91" s="645"/>
      <c r="AKC91" s="645"/>
      <c r="AKD91" s="645"/>
      <c r="AKE91" s="645"/>
      <c r="AKF91" s="645"/>
      <c r="AKG91" s="645"/>
      <c r="AKH91" s="645"/>
      <c r="AKI91" s="645"/>
      <c r="AKJ91" s="645"/>
      <c r="AKK91" s="645"/>
      <c r="AKL91" s="645"/>
      <c r="AKM91" s="645"/>
      <c r="AKN91" s="645"/>
      <c r="AKO91" s="645"/>
      <c r="AKP91" s="645"/>
      <c r="AKQ91" s="645"/>
      <c r="AKR91" s="645"/>
      <c r="AKS91" s="645"/>
      <c r="AKT91" s="645"/>
      <c r="AKU91" s="645"/>
      <c r="AKV91" s="645"/>
      <c r="AKW91" s="645"/>
      <c r="AKX91" s="645"/>
      <c r="AKY91" s="645"/>
      <c r="AKZ91" s="645"/>
      <c r="ALA91" s="645"/>
      <c r="ALB91" s="645"/>
      <c r="ALC91" s="645"/>
      <c r="ALD91" s="645"/>
      <c r="ALE91" s="645"/>
      <c r="ALF91" s="645"/>
      <c r="ALG91" s="645"/>
      <c r="ALH91" s="645"/>
      <c r="ALI91" s="645"/>
      <c r="ALJ91" s="645"/>
      <c r="ALK91" s="645"/>
      <c r="ALL91" s="645"/>
      <c r="ALM91" s="645"/>
      <c r="ALN91" s="645"/>
      <c r="ALO91" s="645"/>
      <c r="ALP91" s="645"/>
      <c r="ALQ91" s="645"/>
      <c r="ALR91" s="645"/>
      <c r="ALS91" s="645"/>
      <c r="ALT91" s="645"/>
      <c r="ALU91" s="645"/>
      <c r="ALV91" s="645"/>
      <c r="ALW91" s="645"/>
      <c r="ALX91" s="645"/>
      <c r="ALY91" s="645"/>
      <c r="ALZ91" s="645"/>
      <c r="AMA91" s="645"/>
      <c r="AMB91" s="645"/>
      <c r="AMC91" s="645"/>
      <c r="AMD91" s="645"/>
      <c r="AME91" s="645"/>
      <c r="AMF91" s="645"/>
      <c r="AMG91" s="645"/>
      <c r="AMH91" s="645"/>
      <c r="AMI91" s="645"/>
      <c r="AMJ91" s="645"/>
    </row>
    <row r="92" spans="1:1024" s="37" customFormat="1" ht="15.75" customHeight="1" x14ac:dyDescent="0.35">
      <c r="A92" s="600"/>
      <c r="B92" s="601" t="s">
        <v>346</v>
      </c>
      <c r="C92" s="645"/>
      <c r="D92" s="646"/>
      <c r="E92" s="645"/>
      <c r="F92" s="646"/>
      <c r="G92" s="647" t="s">
        <v>243</v>
      </c>
      <c r="H92" s="643"/>
      <c r="I92" s="645"/>
      <c r="J92" s="38"/>
      <c r="K92" s="38"/>
      <c r="L92" s="39"/>
      <c r="M92" s="38"/>
      <c r="N92" s="39"/>
      <c r="O92" s="38"/>
      <c r="P92" s="39"/>
      <c r="Q92" s="38"/>
      <c r="R92" s="39"/>
      <c r="S92" s="38"/>
      <c r="T92" s="39"/>
      <c r="U92" s="38"/>
      <c r="V92" s="39"/>
      <c r="W92" s="38"/>
      <c r="X92" s="39"/>
      <c r="Y92" s="38"/>
      <c r="Z92" s="39"/>
      <c r="AA92" s="38"/>
      <c r="AB92" s="39"/>
      <c r="AC92" s="38"/>
      <c r="AD92" s="39"/>
      <c r="AE92" s="38"/>
      <c r="AF92" s="39"/>
      <c r="AG92" s="38"/>
      <c r="AH92" s="39"/>
      <c r="AI92" s="38"/>
      <c r="AJ92" s="39"/>
      <c r="AK92" s="40"/>
      <c r="AL92" s="39"/>
      <c r="AM92" s="40"/>
      <c r="AN92" s="39"/>
      <c r="AO92" s="40"/>
      <c r="AP92" s="39"/>
      <c r="AQ92" s="40"/>
      <c r="AR92" s="39"/>
      <c r="AS92" s="40"/>
      <c r="AT92" s="39"/>
      <c r="AU92" s="40"/>
      <c r="AV92" s="39"/>
      <c r="AW92" s="40"/>
      <c r="AX92" s="39"/>
      <c r="AY92" s="40"/>
      <c r="AZ92" s="39"/>
      <c r="BA92" s="40"/>
      <c r="BB92" s="39"/>
      <c r="BC92" s="40"/>
      <c r="BD92" s="39"/>
      <c r="BE92" s="40"/>
      <c r="BF92" s="39"/>
      <c r="BG92" s="40"/>
      <c r="BH92" s="39"/>
      <c r="BI92" s="40"/>
      <c r="BJ92" s="39"/>
      <c r="BK92" s="40"/>
      <c r="BL92" s="39"/>
      <c r="BM92" s="40"/>
      <c r="BN92" s="39"/>
      <c r="BO92" s="40"/>
      <c r="BP92" s="39"/>
      <c r="BQ92" s="40"/>
      <c r="BR92" s="39"/>
      <c r="BS92" s="40"/>
      <c r="BT92" s="39"/>
      <c r="BU92" s="40"/>
      <c r="BV92" s="39"/>
      <c r="BW92" s="40"/>
      <c r="BX92" s="39"/>
      <c r="BY92" s="40"/>
      <c r="BZ92" s="39"/>
      <c r="CA92" s="40"/>
      <c r="CB92" s="39"/>
      <c r="CC92" s="40"/>
      <c r="CD92" s="39"/>
      <c r="CE92" s="40"/>
      <c r="CF92" s="39"/>
      <c r="CG92" s="40"/>
      <c r="CH92" s="39"/>
      <c r="CI92" s="40"/>
      <c r="CJ92" s="39"/>
      <c r="CK92" s="40"/>
      <c r="CL92" s="39"/>
      <c r="CM92" s="40"/>
      <c r="CN92" s="39"/>
      <c r="CO92" s="40"/>
      <c r="CP92" s="39"/>
      <c r="CQ92" s="40"/>
      <c r="CR92" s="39"/>
      <c r="CS92" s="40"/>
      <c r="CT92" s="39"/>
      <c r="CU92" s="40"/>
      <c r="CV92" s="39"/>
      <c r="CW92" s="40"/>
      <c r="CX92" s="39"/>
      <c r="CY92" s="40"/>
      <c r="CZ92" s="39"/>
      <c r="DA92" s="40"/>
      <c r="DB92" s="39"/>
      <c r="DC92" s="40"/>
      <c r="DD92" s="39"/>
      <c r="DE92" s="40"/>
      <c r="DF92" s="39"/>
      <c r="DG92" s="40"/>
      <c r="DH92" s="39"/>
      <c r="DI92" s="40"/>
      <c r="DJ92" s="39"/>
      <c r="DK92" s="40"/>
      <c r="DL92" s="39"/>
      <c r="DM92" s="40"/>
      <c r="DN92" s="39"/>
      <c r="DO92" s="40"/>
      <c r="DP92" s="39"/>
      <c r="DQ92" s="40"/>
      <c r="DR92" s="39"/>
      <c r="DS92" s="40"/>
      <c r="DT92" s="39"/>
      <c r="DU92" s="40"/>
      <c r="DV92" s="39"/>
      <c r="DW92" s="40"/>
      <c r="DX92" s="39"/>
      <c r="DY92" s="40"/>
      <c r="DZ92" s="39"/>
      <c r="EA92" s="40"/>
      <c r="EB92" s="39"/>
      <c r="EC92" s="40"/>
      <c r="ED92" s="39"/>
      <c r="EE92" s="40"/>
      <c r="EF92" s="39"/>
      <c r="EG92" s="40"/>
      <c r="EH92" s="39"/>
      <c r="EI92" s="40"/>
      <c r="EJ92" s="39"/>
      <c r="EK92" s="40"/>
      <c r="EL92" s="39"/>
      <c r="EM92" s="40"/>
      <c r="EN92" s="39"/>
      <c r="EO92" s="40"/>
      <c r="EP92" s="39"/>
      <c r="EQ92" s="40"/>
      <c r="ER92" s="39"/>
      <c r="ES92" s="40"/>
      <c r="ET92" s="39"/>
      <c r="EU92" s="40"/>
      <c r="EV92" s="39"/>
      <c r="EW92" s="40"/>
      <c r="EX92" s="39"/>
      <c r="EY92" s="40"/>
      <c r="EZ92" s="39"/>
      <c r="FA92" s="40"/>
      <c r="FB92" s="39"/>
      <c r="FC92" s="40"/>
      <c r="FD92" s="39"/>
      <c r="FE92" s="40"/>
      <c r="FF92" s="39"/>
      <c r="FG92" s="40"/>
      <c r="FH92" s="39"/>
      <c r="FI92" s="40"/>
      <c r="FJ92" s="39"/>
      <c r="FK92" s="40"/>
      <c r="FL92" s="39"/>
      <c r="FM92" s="40"/>
      <c r="FN92" s="39"/>
      <c r="FO92" s="40"/>
      <c r="FP92" s="39"/>
      <c r="FQ92" s="40"/>
      <c r="FR92" s="39"/>
      <c r="FS92" s="40"/>
      <c r="FT92" s="39"/>
      <c r="FU92" s="40"/>
      <c r="FV92" s="39"/>
      <c r="FW92" s="40"/>
      <c r="FX92" s="39"/>
      <c r="FY92" s="40"/>
      <c r="FZ92" s="39"/>
      <c r="GA92" s="40"/>
      <c r="GB92" s="39"/>
      <c r="GC92" s="40"/>
      <c r="GD92" s="39"/>
      <c r="GE92" s="40"/>
      <c r="GF92" s="39"/>
      <c r="GG92" s="40"/>
      <c r="GH92" s="39"/>
      <c r="GI92" s="40"/>
      <c r="GJ92" s="39"/>
      <c r="GK92" s="40"/>
      <c r="GL92" s="39"/>
      <c r="GM92" s="40"/>
      <c r="GN92" s="39"/>
      <c r="GO92" s="40"/>
      <c r="GP92" s="39"/>
      <c r="GQ92" s="40"/>
      <c r="GR92" s="39"/>
      <c r="GS92" s="40"/>
      <c r="GT92" s="39"/>
      <c r="GU92" s="40"/>
      <c r="GV92" s="39"/>
      <c r="GW92" s="40"/>
      <c r="GX92" s="39"/>
      <c r="GY92" s="40"/>
      <c r="GZ92" s="39"/>
      <c r="HA92" s="40"/>
      <c r="HB92" s="39"/>
      <c r="HC92" s="40"/>
      <c r="HD92" s="39"/>
      <c r="HE92" s="40"/>
      <c r="HF92" s="39"/>
      <c r="HG92" s="40"/>
      <c r="HH92" s="39"/>
      <c r="HI92" s="40"/>
      <c r="HJ92" s="39"/>
      <c r="HK92" s="40"/>
      <c r="HL92" s="39"/>
      <c r="HM92" s="40"/>
      <c r="HN92" s="39"/>
      <c r="HO92" s="40"/>
      <c r="HP92" s="39"/>
      <c r="HQ92" s="40"/>
      <c r="HR92" s="39"/>
      <c r="HS92" s="40"/>
      <c r="HT92" s="39"/>
      <c r="HU92" s="40"/>
      <c r="HV92" s="39"/>
      <c r="HW92" s="40"/>
      <c r="HX92" s="39"/>
      <c r="HY92" s="40"/>
      <c r="HZ92" s="39"/>
      <c r="IA92" s="40"/>
      <c r="IB92" s="39"/>
      <c r="IC92" s="1068"/>
      <c r="ID92" s="645"/>
      <c r="IE92" s="646"/>
      <c r="IF92" s="645"/>
      <c r="IG92" s="646"/>
      <c r="IH92" s="645"/>
      <c r="II92" s="646"/>
      <c r="IJ92" s="645"/>
      <c r="IK92" s="646"/>
      <c r="IL92" s="645"/>
      <c r="IM92" s="646"/>
      <c r="IN92" s="645"/>
      <c r="IO92" s="646"/>
      <c r="IP92" s="645"/>
      <c r="IQ92" s="646"/>
      <c r="IR92" s="645"/>
      <c r="IS92" s="646"/>
      <c r="IT92" s="645"/>
      <c r="IU92" s="646"/>
      <c r="IV92" s="645"/>
      <c r="IW92" s="646"/>
      <c r="IX92" s="645"/>
      <c r="IY92" s="646"/>
      <c r="IZ92" s="645"/>
      <c r="JA92" s="646"/>
      <c r="JB92" s="645"/>
      <c r="JC92" s="646"/>
      <c r="JD92" s="645"/>
      <c r="JE92" s="646"/>
      <c r="JF92" s="645"/>
      <c r="JG92" s="646"/>
      <c r="JH92" s="645"/>
      <c r="JI92" s="646"/>
      <c r="JJ92" s="645"/>
      <c r="JK92" s="646"/>
      <c r="JL92" s="645"/>
      <c r="JM92" s="646"/>
      <c r="JN92" s="645"/>
      <c r="JO92" s="646"/>
      <c r="JP92" s="645"/>
      <c r="JQ92" s="646"/>
      <c r="JR92" s="645"/>
      <c r="JS92" s="646"/>
      <c r="JT92" s="645"/>
      <c r="JU92" s="646"/>
      <c r="JV92" s="645"/>
      <c r="JW92" s="646"/>
      <c r="JX92" s="645"/>
      <c r="JY92" s="646"/>
      <c r="JZ92" s="645"/>
      <c r="KA92" s="646"/>
      <c r="KB92" s="645"/>
      <c r="KC92" s="646"/>
      <c r="KD92" s="645"/>
      <c r="KE92" s="646"/>
      <c r="KF92" s="645"/>
      <c r="KG92" s="646"/>
      <c r="KH92" s="645"/>
      <c r="KI92" s="646"/>
      <c r="KJ92" s="645"/>
      <c r="KK92" s="646"/>
      <c r="KL92" s="645"/>
      <c r="KM92" s="646"/>
      <c r="KN92" s="645"/>
      <c r="KO92" s="646"/>
      <c r="KP92" s="645"/>
      <c r="KQ92" s="646"/>
      <c r="KR92" s="645"/>
      <c r="KS92" s="646"/>
      <c r="KT92" s="645"/>
      <c r="KU92" s="646"/>
      <c r="KV92" s="645"/>
      <c r="KW92" s="646"/>
      <c r="KX92" s="645"/>
      <c r="KY92" s="646"/>
      <c r="KZ92" s="645"/>
      <c r="LA92" s="646"/>
      <c r="LB92" s="645"/>
      <c r="LC92" s="646"/>
      <c r="LD92" s="645"/>
      <c r="LE92" s="646"/>
      <c r="LF92" s="645"/>
      <c r="LG92" s="646"/>
      <c r="LH92" s="645"/>
      <c r="LI92" s="646"/>
      <c r="LJ92" s="645"/>
      <c r="LK92" s="646"/>
      <c r="LL92" s="645"/>
      <c r="LM92" s="646"/>
      <c r="LN92" s="645"/>
      <c r="LO92" s="646"/>
      <c r="LP92" s="645"/>
      <c r="LQ92" s="646"/>
      <c r="LR92" s="645"/>
      <c r="LS92" s="646"/>
      <c r="LT92" s="645"/>
      <c r="LU92" s="646"/>
      <c r="LV92" s="645"/>
      <c r="LW92" s="646"/>
      <c r="LX92" s="645"/>
      <c r="LY92" s="646"/>
      <c r="LZ92" s="645"/>
      <c r="MA92" s="646"/>
      <c r="MB92" s="645"/>
      <c r="MC92" s="646"/>
      <c r="MD92" s="645"/>
      <c r="ME92" s="646"/>
      <c r="MF92" s="645"/>
      <c r="MG92" s="646"/>
      <c r="MH92" s="645"/>
      <c r="MI92" s="646"/>
      <c r="MJ92" s="645"/>
      <c r="MK92" s="646"/>
      <c r="ML92" s="645"/>
      <c r="MM92" s="646"/>
      <c r="MN92" s="645"/>
      <c r="MO92" s="646"/>
      <c r="MP92" s="645"/>
      <c r="MQ92" s="646"/>
      <c r="MR92" s="645"/>
      <c r="MS92" s="646"/>
      <c r="MT92" s="645"/>
      <c r="MU92" s="646"/>
      <c r="MV92" s="645"/>
      <c r="MW92" s="646"/>
      <c r="MX92" s="645"/>
      <c r="MY92" s="646"/>
      <c r="MZ92" s="645"/>
      <c r="NA92" s="646"/>
      <c r="NB92" s="645"/>
      <c r="NC92" s="646"/>
      <c r="ND92" s="645"/>
      <c r="NE92" s="646"/>
      <c r="NF92" s="645"/>
      <c r="NG92" s="646"/>
      <c r="NH92" s="645"/>
      <c r="NI92" s="646"/>
      <c r="NJ92" s="645"/>
      <c r="NK92" s="646"/>
      <c r="NL92" s="645"/>
      <c r="NM92" s="646"/>
      <c r="NN92" s="645"/>
      <c r="NO92" s="646"/>
      <c r="NP92" s="645"/>
      <c r="NQ92" s="646"/>
      <c r="NR92" s="645"/>
      <c r="NS92" s="646"/>
      <c r="NT92" s="645"/>
      <c r="NU92" s="646"/>
      <c r="NV92" s="645"/>
      <c r="NW92" s="646"/>
      <c r="NX92" s="645"/>
      <c r="NY92" s="646"/>
      <c r="NZ92" s="645"/>
      <c r="OA92" s="646"/>
      <c r="OB92" s="645"/>
      <c r="OC92" s="646"/>
      <c r="OD92" s="645"/>
      <c r="OE92" s="646"/>
      <c r="OF92" s="645"/>
      <c r="OG92" s="646"/>
      <c r="OH92" s="645"/>
      <c r="OI92" s="646"/>
      <c r="OJ92" s="645"/>
      <c r="OK92" s="646"/>
      <c r="OL92" s="645"/>
      <c r="OM92" s="646"/>
      <c r="ON92" s="645"/>
      <c r="OO92" s="646"/>
      <c r="OP92" s="645"/>
      <c r="OQ92" s="646"/>
      <c r="OR92" s="645"/>
      <c r="OS92" s="646"/>
      <c r="OT92" s="645"/>
      <c r="OU92" s="646"/>
      <c r="OV92" s="645"/>
      <c r="OW92" s="646"/>
      <c r="OX92" s="645"/>
      <c r="OY92" s="646"/>
      <c r="OZ92" s="645"/>
      <c r="PA92" s="646"/>
      <c r="PB92" s="645"/>
      <c r="PC92" s="646"/>
      <c r="PD92" s="645"/>
      <c r="PE92" s="646"/>
      <c r="PF92" s="645"/>
      <c r="PG92" s="646"/>
      <c r="PH92" s="645"/>
      <c r="PI92" s="646"/>
      <c r="PJ92" s="645"/>
      <c r="PK92" s="646"/>
      <c r="PL92" s="645"/>
      <c r="PM92" s="646"/>
      <c r="PN92" s="645"/>
      <c r="PO92" s="646"/>
      <c r="PP92" s="645"/>
      <c r="PQ92" s="646"/>
      <c r="PR92" s="645"/>
      <c r="PS92" s="646"/>
      <c r="PT92" s="645"/>
      <c r="PU92" s="646"/>
      <c r="PV92" s="645"/>
      <c r="PW92" s="646"/>
      <c r="PX92" s="645"/>
      <c r="PY92" s="646"/>
      <c r="PZ92" s="645"/>
      <c r="QA92" s="646"/>
      <c r="QB92" s="645"/>
      <c r="QC92" s="646"/>
      <c r="QD92" s="645"/>
      <c r="QE92" s="646"/>
      <c r="QF92" s="645"/>
      <c r="QG92" s="646"/>
      <c r="QH92" s="645"/>
      <c r="QI92" s="646"/>
      <c r="QJ92" s="645"/>
      <c r="QK92" s="646"/>
      <c r="QL92" s="645"/>
      <c r="QM92" s="646"/>
      <c r="QN92" s="645"/>
      <c r="QO92" s="646"/>
      <c r="QP92" s="645"/>
      <c r="QQ92" s="646"/>
      <c r="QR92" s="645"/>
      <c r="QS92" s="646"/>
      <c r="QT92" s="645"/>
      <c r="QU92" s="646"/>
      <c r="QV92" s="645"/>
      <c r="QW92" s="646"/>
      <c r="QX92" s="645"/>
      <c r="QY92" s="646"/>
      <c r="QZ92" s="645"/>
      <c r="RA92" s="646"/>
      <c r="RB92" s="645"/>
      <c r="RC92" s="646"/>
      <c r="RD92" s="645"/>
      <c r="RE92" s="646"/>
      <c r="RF92" s="645"/>
      <c r="RG92" s="646"/>
      <c r="RH92" s="645"/>
      <c r="RI92" s="646"/>
      <c r="RJ92" s="645"/>
      <c r="RK92" s="646"/>
      <c r="RL92" s="645"/>
      <c r="RM92" s="646"/>
      <c r="RN92" s="645"/>
      <c r="RO92" s="646"/>
      <c r="RP92" s="645"/>
      <c r="RQ92" s="646"/>
      <c r="RR92" s="645"/>
      <c r="RS92" s="646"/>
      <c r="RT92" s="645"/>
      <c r="RU92" s="646"/>
      <c r="RV92" s="645"/>
      <c r="RW92" s="646"/>
      <c r="RX92" s="645"/>
      <c r="RY92" s="646"/>
      <c r="RZ92" s="645"/>
      <c r="SA92" s="646"/>
      <c r="SB92" s="645"/>
      <c r="SC92" s="646"/>
      <c r="SD92" s="645"/>
      <c r="SE92" s="646"/>
      <c r="SF92" s="645"/>
      <c r="SG92" s="646"/>
      <c r="SH92" s="645"/>
      <c r="SI92" s="646"/>
      <c r="SJ92" s="645"/>
      <c r="SK92" s="646"/>
      <c r="SL92" s="645"/>
      <c r="SM92" s="646"/>
      <c r="SN92" s="645"/>
      <c r="SO92" s="646"/>
      <c r="SP92" s="645"/>
      <c r="SQ92" s="646"/>
      <c r="SR92" s="645"/>
      <c r="SS92" s="646"/>
      <c r="ST92" s="645"/>
      <c r="SU92" s="646"/>
      <c r="SV92" s="645"/>
      <c r="SW92" s="646"/>
      <c r="SX92" s="645"/>
      <c r="SY92" s="646"/>
      <c r="SZ92" s="645"/>
      <c r="TA92" s="646"/>
      <c r="TB92" s="645"/>
      <c r="TC92" s="646"/>
      <c r="TD92" s="645"/>
      <c r="TE92" s="646"/>
      <c r="TF92" s="645"/>
      <c r="TG92" s="646"/>
      <c r="TH92" s="645"/>
      <c r="TI92" s="646"/>
      <c r="TJ92" s="645"/>
      <c r="TK92" s="646"/>
      <c r="TL92" s="645"/>
      <c r="TM92" s="646"/>
      <c r="TN92" s="645"/>
      <c r="TO92" s="646"/>
      <c r="TP92" s="645"/>
      <c r="TQ92" s="646"/>
      <c r="TR92" s="645"/>
      <c r="TS92" s="646"/>
      <c r="TT92" s="645"/>
      <c r="TU92" s="646"/>
      <c r="TV92" s="645"/>
      <c r="TW92" s="646"/>
      <c r="TX92" s="645"/>
      <c r="TY92" s="646"/>
      <c r="TZ92" s="645"/>
      <c r="UA92" s="646"/>
      <c r="UB92" s="645"/>
      <c r="UC92" s="646"/>
      <c r="UD92" s="645"/>
      <c r="UE92" s="646"/>
      <c r="UF92" s="645"/>
      <c r="UG92" s="646"/>
      <c r="UH92" s="645"/>
      <c r="UI92" s="646"/>
      <c r="UJ92" s="645"/>
      <c r="UK92" s="646"/>
      <c r="UL92" s="645"/>
      <c r="UM92" s="646"/>
      <c r="UN92" s="645"/>
      <c r="UO92" s="646"/>
      <c r="UP92" s="645"/>
      <c r="UQ92" s="646"/>
      <c r="UR92" s="645"/>
      <c r="US92" s="646"/>
      <c r="UT92" s="645"/>
      <c r="UU92" s="646"/>
      <c r="UV92" s="645"/>
      <c r="UW92" s="646"/>
      <c r="UX92" s="645"/>
      <c r="UY92" s="646"/>
      <c r="UZ92" s="645"/>
      <c r="VA92" s="646"/>
      <c r="VB92" s="645"/>
      <c r="VC92" s="646"/>
      <c r="VD92" s="645"/>
      <c r="VE92" s="646"/>
      <c r="VF92" s="645"/>
      <c r="VG92" s="646"/>
      <c r="VH92" s="645"/>
      <c r="VI92" s="646"/>
      <c r="VJ92" s="645"/>
      <c r="VK92" s="646"/>
      <c r="VL92" s="645"/>
      <c r="VM92" s="646"/>
      <c r="VN92" s="645"/>
      <c r="VO92" s="646"/>
      <c r="VP92" s="645"/>
      <c r="VQ92" s="646"/>
      <c r="VR92" s="645"/>
      <c r="VS92" s="646"/>
      <c r="VT92" s="645"/>
      <c r="VU92" s="646"/>
      <c r="VV92" s="645"/>
      <c r="VW92" s="646"/>
      <c r="VX92" s="645"/>
      <c r="VY92" s="646"/>
      <c r="VZ92" s="645"/>
      <c r="WA92" s="646"/>
      <c r="WB92" s="645"/>
      <c r="WC92" s="646"/>
      <c r="WD92" s="645"/>
      <c r="WE92" s="646"/>
      <c r="WF92" s="645"/>
      <c r="WG92" s="646"/>
      <c r="WH92" s="645"/>
      <c r="WI92" s="646"/>
      <c r="WJ92" s="645"/>
      <c r="WK92" s="646"/>
      <c r="WL92" s="645"/>
      <c r="WM92" s="646"/>
      <c r="WN92" s="645"/>
      <c r="WO92" s="646"/>
      <c r="WP92" s="645"/>
      <c r="WQ92" s="646"/>
      <c r="WR92" s="645"/>
      <c r="WS92" s="646"/>
      <c r="WT92" s="645"/>
      <c r="WU92" s="646"/>
      <c r="WV92" s="645"/>
      <c r="WW92" s="646"/>
      <c r="WX92" s="645"/>
      <c r="WY92" s="646"/>
      <c r="WZ92" s="645"/>
      <c r="XA92" s="646"/>
      <c r="XB92" s="645"/>
      <c r="XC92" s="646"/>
      <c r="XD92" s="645"/>
      <c r="XE92" s="646"/>
      <c r="XF92" s="645"/>
      <c r="XG92" s="646"/>
      <c r="XH92" s="645"/>
      <c r="XI92" s="646"/>
      <c r="XJ92" s="645"/>
      <c r="XK92" s="646"/>
      <c r="XL92" s="645"/>
      <c r="XM92" s="646"/>
      <c r="XN92" s="645"/>
      <c r="XO92" s="646"/>
      <c r="XP92" s="645"/>
      <c r="XQ92" s="646"/>
      <c r="XR92" s="645"/>
      <c r="XS92" s="646"/>
      <c r="XT92" s="645"/>
      <c r="XU92" s="646"/>
      <c r="XV92" s="645"/>
      <c r="XW92" s="646"/>
      <c r="XX92" s="645"/>
      <c r="XY92" s="646"/>
      <c r="XZ92" s="645"/>
      <c r="YA92" s="646"/>
      <c r="YB92" s="645"/>
      <c r="YC92" s="646"/>
      <c r="YD92" s="645"/>
      <c r="YE92" s="646"/>
      <c r="YF92" s="645"/>
      <c r="YG92" s="646"/>
      <c r="YH92" s="645"/>
      <c r="YI92" s="646"/>
      <c r="YJ92" s="645"/>
      <c r="YK92" s="646"/>
      <c r="YL92" s="645"/>
      <c r="YM92" s="646"/>
      <c r="YN92" s="645"/>
      <c r="YO92" s="646"/>
      <c r="YP92" s="645"/>
      <c r="YQ92" s="646"/>
      <c r="YR92" s="645"/>
      <c r="YS92" s="646"/>
      <c r="YT92" s="645"/>
      <c r="YU92" s="646"/>
      <c r="YV92" s="645"/>
      <c r="YW92" s="646"/>
      <c r="YX92" s="645"/>
      <c r="YY92" s="646"/>
      <c r="YZ92" s="645"/>
      <c r="ZA92" s="646"/>
      <c r="ZB92" s="645"/>
      <c r="ZC92" s="646"/>
      <c r="ZD92" s="645"/>
      <c r="ZE92" s="646"/>
      <c r="ZF92" s="645"/>
      <c r="ZG92" s="646"/>
      <c r="ZH92" s="645"/>
      <c r="ZI92" s="646"/>
      <c r="ZJ92" s="645"/>
      <c r="ZK92" s="646"/>
      <c r="ZL92" s="645"/>
      <c r="ZM92" s="646"/>
      <c r="ZN92" s="645"/>
      <c r="ZO92" s="646"/>
      <c r="ZP92" s="645"/>
      <c r="ZQ92" s="646"/>
      <c r="ZR92" s="645"/>
      <c r="ZS92" s="646"/>
      <c r="ZT92" s="645"/>
      <c r="ZU92" s="646"/>
      <c r="ZV92" s="645"/>
      <c r="ZW92" s="646"/>
      <c r="ZX92" s="645"/>
      <c r="ZY92" s="646"/>
      <c r="ZZ92" s="645"/>
      <c r="AAA92" s="646"/>
      <c r="AAB92" s="645"/>
      <c r="AAC92" s="646"/>
      <c r="AAD92" s="645"/>
      <c r="AAE92" s="646"/>
      <c r="AAF92" s="645"/>
      <c r="AAG92" s="646"/>
      <c r="AAH92" s="645"/>
      <c r="AAI92" s="646"/>
      <c r="AAJ92" s="645"/>
      <c r="AAK92" s="646"/>
      <c r="AAL92" s="645"/>
      <c r="AAM92" s="646"/>
      <c r="AAN92" s="645"/>
      <c r="AAO92" s="646"/>
      <c r="AAP92" s="645"/>
      <c r="AAQ92" s="646"/>
      <c r="AAR92" s="645"/>
      <c r="AAS92" s="646"/>
      <c r="AAT92" s="645"/>
      <c r="AAU92" s="646"/>
      <c r="AAV92" s="645"/>
      <c r="AAW92" s="646"/>
      <c r="AAX92" s="645"/>
      <c r="AAY92" s="646"/>
      <c r="AAZ92" s="645"/>
      <c r="ABA92" s="646"/>
      <c r="ABB92" s="645"/>
      <c r="ABC92" s="646"/>
      <c r="ABD92" s="645"/>
      <c r="ABE92" s="646"/>
      <c r="ABF92" s="645"/>
      <c r="ABG92" s="646"/>
      <c r="ABH92" s="645"/>
      <c r="ABI92" s="646"/>
      <c r="ABJ92" s="645"/>
      <c r="ABK92" s="646"/>
      <c r="ABL92" s="645"/>
      <c r="ABM92" s="646"/>
      <c r="ABN92" s="645"/>
      <c r="ABO92" s="646"/>
      <c r="ABP92" s="645"/>
      <c r="ABQ92" s="646"/>
      <c r="ABR92" s="645"/>
      <c r="ABS92" s="646"/>
      <c r="ABT92" s="645"/>
      <c r="ABU92" s="646"/>
      <c r="ABV92" s="645"/>
      <c r="ABW92" s="646"/>
      <c r="ABX92" s="645"/>
      <c r="ABY92" s="646"/>
      <c r="ABZ92" s="645"/>
      <c r="ACA92" s="646"/>
      <c r="ACB92" s="645"/>
      <c r="ACC92" s="646"/>
      <c r="ACD92" s="645"/>
      <c r="ACE92" s="646"/>
      <c r="ACF92" s="645"/>
      <c r="ACG92" s="646"/>
      <c r="ACH92" s="645"/>
      <c r="ACI92" s="646"/>
      <c r="ACJ92" s="645"/>
      <c r="ACK92" s="646"/>
      <c r="ACL92" s="645"/>
      <c r="ACM92" s="646"/>
      <c r="ACN92" s="645"/>
      <c r="ACO92" s="646"/>
      <c r="ACP92" s="645"/>
      <c r="ACQ92" s="646"/>
      <c r="ACR92" s="645"/>
      <c r="ACS92" s="646"/>
      <c r="ACT92" s="645"/>
      <c r="ACU92" s="646"/>
      <c r="ACV92" s="645"/>
      <c r="ACW92" s="646"/>
      <c r="ACX92" s="645"/>
      <c r="ACY92" s="646"/>
      <c r="ACZ92" s="645"/>
      <c r="ADA92" s="646"/>
      <c r="ADB92" s="645"/>
      <c r="ADC92" s="646"/>
      <c r="ADD92" s="645"/>
      <c r="ADE92" s="646"/>
      <c r="ADF92" s="645"/>
      <c r="ADG92" s="646"/>
      <c r="ADH92" s="645"/>
      <c r="ADI92" s="646"/>
      <c r="ADJ92" s="645"/>
      <c r="ADK92" s="646"/>
      <c r="ADL92" s="645"/>
      <c r="ADM92" s="646"/>
      <c r="ADN92" s="645"/>
      <c r="ADO92" s="646"/>
      <c r="ADP92" s="645"/>
      <c r="ADQ92" s="646"/>
      <c r="ADR92" s="645"/>
      <c r="ADS92" s="646"/>
      <c r="ADT92" s="645"/>
      <c r="ADU92" s="646"/>
      <c r="ADV92" s="645"/>
      <c r="ADW92" s="646"/>
      <c r="ADX92" s="645"/>
      <c r="ADY92" s="646"/>
      <c r="ADZ92" s="645"/>
      <c r="AEA92" s="646"/>
      <c r="AEB92" s="645"/>
      <c r="AEC92" s="646"/>
      <c r="AED92" s="645"/>
      <c r="AEE92" s="646"/>
      <c r="AEF92" s="645"/>
      <c r="AEG92" s="646"/>
      <c r="AEH92" s="645"/>
      <c r="AEI92" s="646"/>
      <c r="AEJ92" s="645"/>
      <c r="AEK92" s="646"/>
      <c r="AEL92" s="645"/>
      <c r="AEM92" s="646"/>
      <c r="AEN92" s="645"/>
      <c r="AEO92" s="646"/>
      <c r="AEP92" s="645"/>
      <c r="AEQ92" s="646"/>
      <c r="AER92" s="645"/>
      <c r="AES92" s="646"/>
      <c r="AET92" s="645"/>
      <c r="AEU92" s="646"/>
      <c r="AEV92" s="645"/>
      <c r="AEW92" s="646"/>
      <c r="AEX92" s="645"/>
      <c r="AEY92" s="646"/>
      <c r="AEZ92" s="645"/>
      <c r="AFA92" s="646"/>
      <c r="AFB92" s="645"/>
      <c r="AFC92" s="646"/>
      <c r="AFD92" s="645"/>
      <c r="AFE92" s="646"/>
      <c r="AFF92" s="645"/>
      <c r="AFG92" s="646"/>
      <c r="AFH92" s="645"/>
      <c r="AFI92" s="646"/>
      <c r="AFJ92" s="645"/>
      <c r="AFK92" s="646"/>
      <c r="AFL92" s="645"/>
      <c r="AFM92" s="646"/>
      <c r="AFN92" s="645"/>
      <c r="AFO92" s="646"/>
      <c r="AFP92" s="645"/>
      <c r="AFQ92" s="646"/>
      <c r="AFR92" s="645"/>
      <c r="AFS92" s="646"/>
      <c r="AFT92" s="645"/>
      <c r="AFU92" s="646"/>
      <c r="AFV92" s="645"/>
      <c r="AFW92" s="646"/>
      <c r="AFX92" s="645"/>
      <c r="AFY92" s="646"/>
      <c r="AFZ92" s="645"/>
      <c r="AGA92" s="646"/>
      <c r="AGB92" s="645"/>
      <c r="AGC92" s="646"/>
      <c r="AGD92" s="645"/>
      <c r="AGE92" s="646"/>
      <c r="AGF92" s="645"/>
      <c r="AGG92" s="646"/>
      <c r="AGH92" s="645"/>
      <c r="AGI92" s="646"/>
      <c r="AGJ92" s="645"/>
      <c r="AGK92" s="646"/>
      <c r="AGL92" s="645"/>
      <c r="AGM92" s="646"/>
      <c r="AGN92" s="645"/>
      <c r="AGO92" s="646"/>
      <c r="AGP92" s="645"/>
      <c r="AGQ92" s="646"/>
      <c r="AGR92" s="645"/>
      <c r="AGS92" s="646"/>
      <c r="AGT92" s="645"/>
      <c r="AGU92" s="646"/>
      <c r="AGV92" s="645"/>
      <c r="AGW92" s="646"/>
      <c r="AGX92" s="645"/>
      <c r="AGY92" s="646"/>
      <c r="AGZ92" s="645"/>
      <c r="AHA92" s="646"/>
      <c r="AHB92" s="645"/>
      <c r="AHC92" s="646"/>
      <c r="AHD92" s="645"/>
      <c r="AHE92" s="646"/>
      <c r="AHF92" s="645"/>
      <c r="AHG92" s="646"/>
      <c r="AHH92" s="645"/>
      <c r="AHI92" s="646"/>
      <c r="AHJ92" s="645"/>
      <c r="AHK92" s="646"/>
      <c r="AHL92" s="645"/>
      <c r="AHM92" s="646"/>
      <c r="AHN92" s="645"/>
      <c r="AHO92" s="646"/>
      <c r="AHP92" s="645"/>
      <c r="AHQ92" s="646"/>
      <c r="AHR92" s="645"/>
      <c r="AHS92" s="646"/>
      <c r="AHT92" s="645"/>
      <c r="AHU92" s="646"/>
      <c r="AHV92" s="645"/>
      <c r="AHW92" s="646"/>
      <c r="AHX92" s="645"/>
      <c r="AHY92" s="646"/>
      <c r="AHZ92" s="645"/>
      <c r="AIA92" s="646"/>
      <c r="AIB92" s="645"/>
      <c r="AIC92" s="646"/>
      <c r="AID92" s="645"/>
      <c r="AIE92" s="646"/>
      <c r="AIF92" s="645"/>
      <c r="AIG92" s="646"/>
      <c r="AIH92" s="645"/>
      <c r="AII92" s="646"/>
      <c r="AIJ92" s="645"/>
      <c r="AIK92" s="646"/>
      <c r="AIL92" s="645"/>
      <c r="AIM92" s="646"/>
      <c r="AIN92" s="645"/>
      <c r="AIO92" s="646"/>
      <c r="AIP92" s="645"/>
      <c r="AIQ92" s="645"/>
      <c r="AIR92" s="645"/>
      <c r="AIS92" s="645"/>
      <c r="AIT92" s="645"/>
      <c r="AIU92" s="645"/>
      <c r="AIV92" s="645"/>
      <c r="AIW92" s="645"/>
      <c r="AIX92" s="645"/>
      <c r="AIY92" s="645"/>
      <c r="AIZ92" s="645"/>
      <c r="AJA92" s="645"/>
      <c r="AJB92" s="645"/>
      <c r="AJC92" s="645"/>
      <c r="AJD92" s="645"/>
      <c r="AJE92" s="645"/>
      <c r="AJF92" s="645"/>
      <c r="AJG92" s="645"/>
      <c r="AJH92" s="645"/>
      <c r="AJI92" s="645"/>
      <c r="AJJ92" s="645"/>
      <c r="AJK92" s="645"/>
      <c r="AJL92" s="645"/>
      <c r="AJM92" s="645"/>
      <c r="AJN92" s="645"/>
      <c r="AJO92" s="645"/>
      <c r="AJP92" s="645"/>
      <c r="AJQ92" s="645"/>
      <c r="AJR92" s="645"/>
      <c r="AJS92" s="645"/>
      <c r="AJT92" s="645"/>
      <c r="AJU92" s="645"/>
      <c r="AJV92" s="645"/>
      <c r="AJW92" s="645"/>
      <c r="AJX92" s="645"/>
      <c r="AJY92" s="645"/>
      <c r="AJZ92" s="645"/>
      <c r="AKA92" s="645"/>
      <c r="AKB92" s="645"/>
      <c r="AKC92" s="645"/>
      <c r="AKD92" s="645"/>
      <c r="AKE92" s="645"/>
      <c r="AKF92" s="645"/>
      <c r="AKG92" s="645"/>
      <c r="AKH92" s="645"/>
      <c r="AKI92" s="645"/>
      <c r="AKJ92" s="645"/>
      <c r="AKK92" s="645"/>
      <c r="AKL92" s="645"/>
      <c r="AKM92" s="645"/>
      <c r="AKN92" s="645"/>
      <c r="AKO92" s="645"/>
      <c r="AKP92" s="645"/>
      <c r="AKQ92" s="645"/>
      <c r="AKR92" s="645"/>
      <c r="AKS92" s="645"/>
      <c r="AKT92" s="645"/>
      <c r="AKU92" s="645"/>
      <c r="AKV92" s="645"/>
      <c r="AKW92" s="645"/>
      <c r="AKX92" s="645"/>
      <c r="AKY92" s="645"/>
      <c r="AKZ92" s="645"/>
      <c r="ALA92" s="645"/>
      <c r="ALB92" s="645"/>
      <c r="ALC92" s="645"/>
      <c r="ALD92" s="645"/>
      <c r="ALE92" s="645"/>
      <c r="ALF92" s="645"/>
      <c r="ALG92" s="645"/>
      <c r="ALH92" s="645"/>
      <c r="ALI92" s="645"/>
      <c r="ALJ92" s="645"/>
      <c r="ALK92" s="645"/>
      <c r="ALL92" s="645"/>
      <c r="ALM92" s="645"/>
      <c r="ALN92" s="645"/>
      <c r="ALO92" s="645"/>
      <c r="ALP92" s="645"/>
      <c r="ALQ92" s="645"/>
      <c r="ALR92" s="645"/>
      <c r="ALS92" s="645"/>
      <c r="ALT92" s="645"/>
      <c r="ALU92" s="645"/>
      <c r="ALV92" s="645"/>
      <c r="ALW92" s="645"/>
      <c r="ALX92" s="645"/>
      <c r="ALY92" s="645"/>
      <c r="ALZ92" s="645"/>
      <c r="AMA92" s="645"/>
      <c r="AMB92" s="645"/>
      <c r="AMC92" s="645"/>
      <c r="AMD92" s="645"/>
      <c r="AME92" s="645"/>
      <c r="AMF92" s="645"/>
      <c r="AMG92" s="645"/>
      <c r="AMH92" s="645"/>
      <c r="AMI92" s="645"/>
      <c r="AMJ92" s="645"/>
    </row>
    <row r="93" spans="1:1024" s="37" customFormat="1" ht="15.75" customHeight="1" x14ac:dyDescent="0.35">
      <c r="A93" s="600"/>
      <c r="B93" s="644" t="s">
        <v>347</v>
      </c>
      <c r="C93" s="645"/>
      <c r="D93" s="646"/>
      <c r="E93" s="645"/>
      <c r="F93" s="646"/>
      <c r="G93" s="647" t="s">
        <v>243</v>
      </c>
      <c r="H93" s="643"/>
      <c r="I93" s="645"/>
      <c r="J93" s="38"/>
      <c r="K93" s="38"/>
      <c r="L93" s="39"/>
      <c r="M93" s="38"/>
      <c r="N93" s="39"/>
      <c r="O93" s="38"/>
      <c r="P93" s="39"/>
      <c r="Q93" s="38"/>
      <c r="R93" s="39"/>
      <c r="S93" s="38"/>
      <c r="T93" s="39"/>
      <c r="U93" s="38"/>
      <c r="V93" s="39"/>
      <c r="W93" s="38"/>
      <c r="X93" s="39"/>
      <c r="Y93" s="38"/>
      <c r="Z93" s="39"/>
      <c r="AA93" s="38"/>
      <c r="AB93" s="39"/>
      <c r="AC93" s="38"/>
      <c r="AD93" s="39"/>
      <c r="AE93" s="38"/>
      <c r="AF93" s="39"/>
      <c r="AG93" s="38"/>
      <c r="AH93" s="39"/>
      <c r="AI93" s="38"/>
      <c r="AJ93" s="39"/>
      <c r="AK93" s="40"/>
      <c r="AL93" s="39"/>
      <c r="AM93" s="40"/>
      <c r="AN93" s="39"/>
      <c r="AO93" s="40"/>
      <c r="AP93" s="39"/>
      <c r="AQ93" s="40"/>
      <c r="AR93" s="39"/>
      <c r="AS93" s="40"/>
      <c r="AT93" s="39"/>
      <c r="AU93" s="40"/>
      <c r="AV93" s="39"/>
      <c r="AW93" s="40"/>
      <c r="AX93" s="39"/>
      <c r="AY93" s="40"/>
      <c r="AZ93" s="39"/>
      <c r="BA93" s="40"/>
      <c r="BB93" s="39"/>
      <c r="BC93" s="40"/>
      <c r="BD93" s="39"/>
      <c r="BE93" s="40"/>
      <c r="BF93" s="39"/>
      <c r="BG93" s="40"/>
      <c r="BH93" s="39"/>
      <c r="BI93" s="40"/>
      <c r="BJ93" s="39"/>
      <c r="BK93" s="40"/>
      <c r="BL93" s="39"/>
      <c r="BM93" s="40"/>
      <c r="BN93" s="39"/>
      <c r="BO93" s="40"/>
      <c r="BP93" s="39"/>
      <c r="BQ93" s="40"/>
      <c r="BR93" s="39"/>
      <c r="BS93" s="40"/>
      <c r="BT93" s="39"/>
      <c r="BU93" s="40"/>
      <c r="BV93" s="39"/>
      <c r="BW93" s="40"/>
      <c r="BX93" s="39"/>
      <c r="BY93" s="40"/>
      <c r="BZ93" s="39"/>
      <c r="CA93" s="40"/>
      <c r="CB93" s="39"/>
      <c r="CC93" s="40"/>
      <c r="CD93" s="39"/>
      <c r="CE93" s="40"/>
      <c r="CF93" s="39"/>
      <c r="CG93" s="40"/>
      <c r="CH93" s="39"/>
      <c r="CI93" s="40"/>
      <c r="CJ93" s="39"/>
      <c r="CK93" s="40"/>
      <c r="CL93" s="39"/>
      <c r="CM93" s="40"/>
      <c r="CN93" s="39"/>
      <c r="CO93" s="40"/>
      <c r="CP93" s="39"/>
      <c r="CQ93" s="40"/>
      <c r="CR93" s="39"/>
      <c r="CS93" s="40"/>
      <c r="CT93" s="39"/>
      <c r="CU93" s="40"/>
      <c r="CV93" s="39"/>
      <c r="CW93" s="40"/>
      <c r="CX93" s="39"/>
      <c r="CY93" s="40"/>
      <c r="CZ93" s="39"/>
      <c r="DA93" s="40"/>
      <c r="DB93" s="39"/>
      <c r="DC93" s="40"/>
      <c r="DD93" s="39"/>
      <c r="DE93" s="40"/>
      <c r="DF93" s="39"/>
      <c r="DG93" s="40"/>
      <c r="DH93" s="39"/>
      <c r="DI93" s="40"/>
      <c r="DJ93" s="39"/>
      <c r="DK93" s="40"/>
      <c r="DL93" s="39"/>
      <c r="DM93" s="40"/>
      <c r="DN93" s="39"/>
      <c r="DO93" s="40"/>
      <c r="DP93" s="39"/>
      <c r="DQ93" s="40"/>
      <c r="DR93" s="39"/>
      <c r="DS93" s="40"/>
      <c r="DT93" s="39"/>
      <c r="DU93" s="40"/>
      <c r="DV93" s="39"/>
      <c r="DW93" s="40"/>
      <c r="DX93" s="39"/>
      <c r="DY93" s="40"/>
      <c r="DZ93" s="39"/>
      <c r="EA93" s="40"/>
      <c r="EB93" s="39"/>
      <c r="EC93" s="40"/>
      <c r="ED93" s="39"/>
      <c r="EE93" s="40"/>
      <c r="EF93" s="39"/>
      <c r="EG93" s="40"/>
      <c r="EH93" s="39"/>
      <c r="EI93" s="40"/>
      <c r="EJ93" s="39"/>
      <c r="EK93" s="40"/>
      <c r="EL93" s="39"/>
      <c r="EM93" s="40"/>
      <c r="EN93" s="39"/>
      <c r="EO93" s="40"/>
      <c r="EP93" s="39"/>
      <c r="EQ93" s="40"/>
      <c r="ER93" s="39"/>
      <c r="ES93" s="40"/>
      <c r="ET93" s="39"/>
      <c r="EU93" s="40"/>
      <c r="EV93" s="39"/>
      <c r="EW93" s="40"/>
      <c r="EX93" s="39"/>
      <c r="EY93" s="40"/>
      <c r="EZ93" s="39"/>
      <c r="FA93" s="40"/>
      <c r="FB93" s="39"/>
      <c r="FC93" s="40"/>
      <c r="FD93" s="39"/>
      <c r="FE93" s="40"/>
      <c r="FF93" s="39"/>
      <c r="FG93" s="40"/>
      <c r="FH93" s="39"/>
      <c r="FI93" s="40"/>
      <c r="FJ93" s="39"/>
      <c r="FK93" s="40"/>
      <c r="FL93" s="39"/>
      <c r="FM93" s="40"/>
      <c r="FN93" s="39"/>
      <c r="FO93" s="40"/>
      <c r="FP93" s="39"/>
      <c r="FQ93" s="40"/>
      <c r="FR93" s="39"/>
      <c r="FS93" s="40"/>
      <c r="FT93" s="39"/>
      <c r="FU93" s="40"/>
      <c r="FV93" s="39"/>
      <c r="FW93" s="40"/>
      <c r="FX93" s="39"/>
      <c r="FY93" s="40"/>
      <c r="FZ93" s="39"/>
      <c r="GA93" s="40"/>
      <c r="GB93" s="39"/>
      <c r="GC93" s="40"/>
      <c r="GD93" s="39"/>
      <c r="GE93" s="40"/>
      <c r="GF93" s="39"/>
      <c r="GG93" s="40"/>
      <c r="GH93" s="39"/>
      <c r="GI93" s="40"/>
      <c r="GJ93" s="39"/>
      <c r="GK93" s="40"/>
      <c r="GL93" s="39"/>
      <c r="GM93" s="40"/>
      <c r="GN93" s="39"/>
      <c r="GO93" s="40"/>
      <c r="GP93" s="39"/>
      <c r="GQ93" s="40"/>
      <c r="GR93" s="39"/>
      <c r="GS93" s="40"/>
      <c r="GT93" s="39"/>
      <c r="GU93" s="40"/>
      <c r="GV93" s="39"/>
      <c r="GW93" s="40"/>
      <c r="GX93" s="39"/>
      <c r="GY93" s="40"/>
      <c r="GZ93" s="39"/>
      <c r="HA93" s="40"/>
      <c r="HB93" s="39"/>
      <c r="HC93" s="40"/>
      <c r="HD93" s="39"/>
      <c r="HE93" s="40"/>
      <c r="HF93" s="39"/>
      <c r="HG93" s="40"/>
      <c r="HH93" s="39"/>
      <c r="HI93" s="40"/>
      <c r="HJ93" s="39"/>
      <c r="HK93" s="40"/>
      <c r="HL93" s="39"/>
      <c r="HM93" s="40"/>
      <c r="HN93" s="39"/>
      <c r="HO93" s="40"/>
      <c r="HP93" s="39"/>
      <c r="HQ93" s="40"/>
      <c r="HR93" s="39"/>
      <c r="HS93" s="40"/>
      <c r="HT93" s="39"/>
      <c r="HU93" s="40"/>
      <c r="HV93" s="39"/>
      <c r="HW93" s="40"/>
      <c r="HX93" s="39"/>
      <c r="HY93" s="40"/>
      <c r="HZ93" s="39"/>
      <c r="IA93" s="40"/>
      <c r="IB93" s="39"/>
      <c r="IC93" s="1068"/>
      <c r="ID93" s="645"/>
      <c r="IE93" s="646"/>
      <c r="IF93" s="645"/>
      <c r="IG93" s="646"/>
      <c r="IH93" s="645"/>
      <c r="II93" s="646"/>
      <c r="IJ93" s="645"/>
      <c r="IK93" s="646"/>
      <c r="IL93" s="645"/>
      <c r="IM93" s="646"/>
      <c r="IN93" s="645"/>
      <c r="IO93" s="646"/>
      <c r="IP93" s="645"/>
      <c r="IQ93" s="646"/>
      <c r="IR93" s="645"/>
      <c r="IS93" s="646"/>
      <c r="IT93" s="645"/>
      <c r="IU93" s="646"/>
      <c r="IV93" s="645"/>
      <c r="IW93" s="646"/>
      <c r="IX93" s="645"/>
      <c r="IY93" s="646"/>
      <c r="IZ93" s="645"/>
      <c r="JA93" s="646"/>
      <c r="JB93" s="645"/>
      <c r="JC93" s="646"/>
      <c r="JD93" s="645"/>
      <c r="JE93" s="646"/>
      <c r="JF93" s="645"/>
      <c r="JG93" s="646"/>
      <c r="JH93" s="645"/>
      <c r="JI93" s="646"/>
      <c r="JJ93" s="645"/>
      <c r="JK93" s="646"/>
      <c r="JL93" s="645"/>
      <c r="JM93" s="646"/>
      <c r="JN93" s="645"/>
      <c r="JO93" s="646"/>
      <c r="JP93" s="645"/>
      <c r="JQ93" s="646"/>
      <c r="JR93" s="645"/>
      <c r="JS93" s="646"/>
      <c r="JT93" s="645"/>
      <c r="JU93" s="646"/>
      <c r="JV93" s="645"/>
      <c r="JW93" s="646"/>
      <c r="JX93" s="645"/>
      <c r="JY93" s="646"/>
      <c r="JZ93" s="645"/>
      <c r="KA93" s="646"/>
      <c r="KB93" s="645"/>
      <c r="KC93" s="646"/>
      <c r="KD93" s="645"/>
      <c r="KE93" s="646"/>
      <c r="KF93" s="645"/>
      <c r="KG93" s="646"/>
      <c r="KH93" s="645"/>
      <c r="KI93" s="646"/>
      <c r="KJ93" s="645"/>
      <c r="KK93" s="646"/>
      <c r="KL93" s="645"/>
      <c r="KM93" s="646"/>
      <c r="KN93" s="645"/>
      <c r="KO93" s="646"/>
      <c r="KP93" s="645"/>
      <c r="KQ93" s="646"/>
      <c r="KR93" s="645"/>
      <c r="KS93" s="646"/>
      <c r="KT93" s="645"/>
      <c r="KU93" s="646"/>
      <c r="KV93" s="645"/>
      <c r="KW93" s="646"/>
      <c r="KX93" s="645"/>
      <c r="KY93" s="646"/>
      <c r="KZ93" s="645"/>
      <c r="LA93" s="646"/>
      <c r="LB93" s="645"/>
      <c r="LC93" s="646"/>
      <c r="LD93" s="645"/>
      <c r="LE93" s="646"/>
      <c r="LF93" s="645"/>
      <c r="LG93" s="646"/>
      <c r="LH93" s="645"/>
      <c r="LI93" s="646"/>
      <c r="LJ93" s="645"/>
      <c r="LK93" s="646"/>
      <c r="LL93" s="645"/>
      <c r="LM93" s="646"/>
      <c r="LN93" s="645"/>
      <c r="LO93" s="646"/>
      <c r="LP93" s="645"/>
      <c r="LQ93" s="646"/>
      <c r="LR93" s="645"/>
      <c r="LS93" s="646"/>
      <c r="LT93" s="645"/>
      <c r="LU93" s="646"/>
      <c r="LV93" s="645"/>
      <c r="LW93" s="646"/>
      <c r="LX93" s="645"/>
      <c r="LY93" s="646"/>
      <c r="LZ93" s="645"/>
      <c r="MA93" s="646"/>
      <c r="MB93" s="645"/>
      <c r="MC93" s="646"/>
      <c r="MD93" s="645"/>
      <c r="ME93" s="646"/>
      <c r="MF93" s="645"/>
      <c r="MG93" s="646"/>
      <c r="MH93" s="645"/>
      <c r="MI93" s="646"/>
      <c r="MJ93" s="645"/>
      <c r="MK93" s="646"/>
      <c r="ML93" s="645"/>
      <c r="MM93" s="646"/>
      <c r="MN93" s="645"/>
      <c r="MO93" s="646"/>
      <c r="MP93" s="645"/>
      <c r="MQ93" s="646"/>
      <c r="MR93" s="645"/>
      <c r="MS93" s="646"/>
      <c r="MT93" s="645"/>
      <c r="MU93" s="646"/>
      <c r="MV93" s="645"/>
      <c r="MW93" s="646"/>
      <c r="MX93" s="645"/>
      <c r="MY93" s="646"/>
      <c r="MZ93" s="645"/>
      <c r="NA93" s="646"/>
      <c r="NB93" s="645"/>
      <c r="NC93" s="646"/>
      <c r="ND93" s="645"/>
      <c r="NE93" s="646"/>
      <c r="NF93" s="645"/>
      <c r="NG93" s="646"/>
      <c r="NH93" s="645"/>
      <c r="NI93" s="646"/>
      <c r="NJ93" s="645"/>
      <c r="NK93" s="646"/>
      <c r="NL93" s="645"/>
      <c r="NM93" s="646"/>
      <c r="NN93" s="645"/>
      <c r="NO93" s="646"/>
      <c r="NP93" s="645"/>
      <c r="NQ93" s="646"/>
      <c r="NR93" s="645"/>
      <c r="NS93" s="646"/>
      <c r="NT93" s="645"/>
      <c r="NU93" s="646"/>
      <c r="NV93" s="645"/>
      <c r="NW93" s="646"/>
      <c r="NX93" s="645"/>
      <c r="NY93" s="646"/>
      <c r="NZ93" s="645"/>
      <c r="OA93" s="646"/>
      <c r="OB93" s="645"/>
      <c r="OC93" s="646"/>
      <c r="OD93" s="645"/>
      <c r="OE93" s="646"/>
      <c r="OF93" s="645"/>
      <c r="OG93" s="646"/>
      <c r="OH93" s="645"/>
      <c r="OI93" s="646"/>
      <c r="OJ93" s="645"/>
      <c r="OK93" s="646"/>
      <c r="OL93" s="645"/>
      <c r="OM93" s="646"/>
      <c r="ON93" s="645"/>
      <c r="OO93" s="646"/>
      <c r="OP93" s="645"/>
      <c r="OQ93" s="646"/>
      <c r="OR93" s="645"/>
      <c r="OS93" s="646"/>
      <c r="OT93" s="645"/>
      <c r="OU93" s="646"/>
      <c r="OV93" s="645"/>
      <c r="OW93" s="646"/>
      <c r="OX93" s="645"/>
      <c r="OY93" s="646"/>
      <c r="OZ93" s="645"/>
      <c r="PA93" s="646"/>
      <c r="PB93" s="645"/>
      <c r="PC93" s="646"/>
      <c r="PD93" s="645"/>
      <c r="PE93" s="646"/>
      <c r="PF93" s="645"/>
      <c r="PG93" s="646"/>
      <c r="PH93" s="645"/>
      <c r="PI93" s="646"/>
      <c r="PJ93" s="645"/>
      <c r="PK93" s="646"/>
      <c r="PL93" s="645"/>
      <c r="PM93" s="646"/>
      <c r="PN93" s="645"/>
      <c r="PO93" s="646"/>
      <c r="PP93" s="645"/>
      <c r="PQ93" s="646"/>
      <c r="PR93" s="645"/>
      <c r="PS93" s="646"/>
      <c r="PT93" s="645"/>
      <c r="PU93" s="646"/>
      <c r="PV93" s="645"/>
      <c r="PW93" s="646"/>
      <c r="PX93" s="645"/>
      <c r="PY93" s="646"/>
      <c r="PZ93" s="645"/>
      <c r="QA93" s="646"/>
      <c r="QB93" s="645"/>
      <c r="QC93" s="646"/>
      <c r="QD93" s="645"/>
      <c r="QE93" s="646"/>
      <c r="QF93" s="645"/>
      <c r="QG93" s="646"/>
      <c r="QH93" s="645"/>
      <c r="QI93" s="646"/>
      <c r="QJ93" s="645"/>
      <c r="QK93" s="646"/>
      <c r="QL93" s="645"/>
      <c r="QM93" s="646"/>
      <c r="QN93" s="645"/>
      <c r="QO93" s="646"/>
      <c r="QP93" s="645"/>
      <c r="QQ93" s="646"/>
      <c r="QR93" s="645"/>
      <c r="QS93" s="646"/>
      <c r="QT93" s="645"/>
      <c r="QU93" s="646"/>
      <c r="QV93" s="645"/>
      <c r="QW93" s="646"/>
      <c r="QX93" s="645"/>
      <c r="QY93" s="646"/>
      <c r="QZ93" s="645"/>
      <c r="RA93" s="646"/>
      <c r="RB93" s="645"/>
      <c r="RC93" s="646"/>
      <c r="RD93" s="645"/>
      <c r="RE93" s="646"/>
      <c r="RF93" s="645"/>
      <c r="RG93" s="646"/>
      <c r="RH93" s="645"/>
      <c r="RI93" s="646"/>
      <c r="RJ93" s="645"/>
      <c r="RK93" s="646"/>
      <c r="RL93" s="645"/>
      <c r="RM93" s="646"/>
      <c r="RN93" s="645"/>
      <c r="RO93" s="646"/>
      <c r="RP93" s="645"/>
      <c r="RQ93" s="646"/>
      <c r="RR93" s="645"/>
      <c r="RS93" s="646"/>
      <c r="RT93" s="645"/>
      <c r="RU93" s="646"/>
      <c r="RV93" s="645"/>
      <c r="RW93" s="646"/>
      <c r="RX93" s="645"/>
      <c r="RY93" s="646"/>
      <c r="RZ93" s="645"/>
      <c r="SA93" s="646"/>
      <c r="SB93" s="645"/>
      <c r="SC93" s="646"/>
      <c r="SD93" s="645"/>
      <c r="SE93" s="646"/>
      <c r="SF93" s="645"/>
      <c r="SG93" s="646"/>
      <c r="SH93" s="645"/>
      <c r="SI93" s="646"/>
      <c r="SJ93" s="645"/>
      <c r="SK93" s="646"/>
      <c r="SL93" s="645"/>
      <c r="SM93" s="646"/>
      <c r="SN93" s="645"/>
      <c r="SO93" s="646"/>
      <c r="SP93" s="645"/>
      <c r="SQ93" s="646"/>
      <c r="SR93" s="645"/>
      <c r="SS93" s="646"/>
      <c r="ST93" s="645"/>
      <c r="SU93" s="646"/>
      <c r="SV93" s="645"/>
      <c r="SW93" s="646"/>
      <c r="SX93" s="645"/>
      <c r="SY93" s="646"/>
      <c r="SZ93" s="645"/>
      <c r="TA93" s="646"/>
      <c r="TB93" s="645"/>
      <c r="TC93" s="646"/>
      <c r="TD93" s="645"/>
      <c r="TE93" s="646"/>
      <c r="TF93" s="645"/>
      <c r="TG93" s="646"/>
      <c r="TH93" s="645"/>
      <c r="TI93" s="646"/>
      <c r="TJ93" s="645"/>
      <c r="TK93" s="646"/>
      <c r="TL93" s="645"/>
      <c r="TM93" s="646"/>
      <c r="TN93" s="645"/>
      <c r="TO93" s="646"/>
      <c r="TP93" s="645"/>
      <c r="TQ93" s="646"/>
      <c r="TR93" s="645"/>
      <c r="TS93" s="646"/>
      <c r="TT93" s="645"/>
      <c r="TU93" s="646"/>
      <c r="TV93" s="645"/>
      <c r="TW93" s="646"/>
      <c r="TX93" s="645"/>
      <c r="TY93" s="646"/>
      <c r="TZ93" s="645"/>
      <c r="UA93" s="646"/>
      <c r="UB93" s="645"/>
      <c r="UC93" s="646"/>
      <c r="UD93" s="645"/>
      <c r="UE93" s="646"/>
      <c r="UF93" s="645"/>
      <c r="UG93" s="646"/>
      <c r="UH93" s="645"/>
      <c r="UI93" s="646"/>
      <c r="UJ93" s="645"/>
      <c r="UK93" s="646"/>
      <c r="UL93" s="645"/>
      <c r="UM93" s="646"/>
      <c r="UN93" s="645"/>
      <c r="UO93" s="646"/>
      <c r="UP93" s="645"/>
      <c r="UQ93" s="646"/>
      <c r="UR93" s="645"/>
      <c r="US93" s="646"/>
      <c r="UT93" s="645"/>
      <c r="UU93" s="646"/>
      <c r="UV93" s="645"/>
      <c r="UW93" s="646"/>
      <c r="UX93" s="645"/>
      <c r="UY93" s="646"/>
      <c r="UZ93" s="645"/>
      <c r="VA93" s="646"/>
      <c r="VB93" s="645"/>
      <c r="VC93" s="646"/>
      <c r="VD93" s="645"/>
      <c r="VE93" s="646"/>
      <c r="VF93" s="645"/>
      <c r="VG93" s="646"/>
      <c r="VH93" s="645"/>
      <c r="VI93" s="646"/>
      <c r="VJ93" s="645"/>
      <c r="VK93" s="646"/>
      <c r="VL93" s="645"/>
      <c r="VM93" s="646"/>
      <c r="VN93" s="645"/>
      <c r="VO93" s="646"/>
      <c r="VP93" s="645"/>
      <c r="VQ93" s="646"/>
      <c r="VR93" s="645"/>
      <c r="VS93" s="646"/>
      <c r="VT93" s="645"/>
      <c r="VU93" s="646"/>
      <c r="VV93" s="645"/>
      <c r="VW93" s="646"/>
      <c r="VX93" s="645"/>
      <c r="VY93" s="646"/>
      <c r="VZ93" s="645"/>
      <c r="WA93" s="646"/>
      <c r="WB93" s="645"/>
      <c r="WC93" s="646"/>
      <c r="WD93" s="645"/>
      <c r="WE93" s="646"/>
      <c r="WF93" s="645"/>
      <c r="WG93" s="646"/>
      <c r="WH93" s="645"/>
      <c r="WI93" s="646"/>
      <c r="WJ93" s="645"/>
      <c r="WK93" s="646"/>
      <c r="WL93" s="645"/>
      <c r="WM93" s="646"/>
      <c r="WN93" s="645"/>
      <c r="WO93" s="646"/>
      <c r="WP93" s="645"/>
      <c r="WQ93" s="646"/>
      <c r="WR93" s="645"/>
      <c r="WS93" s="646"/>
      <c r="WT93" s="645"/>
      <c r="WU93" s="646"/>
      <c r="WV93" s="645"/>
      <c r="WW93" s="646"/>
      <c r="WX93" s="645"/>
      <c r="WY93" s="646"/>
      <c r="WZ93" s="645"/>
      <c r="XA93" s="646"/>
      <c r="XB93" s="645"/>
      <c r="XC93" s="646"/>
      <c r="XD93" s="645"/>
      <c r="XE93" s="646"/>
      <c r="XF93" s="645"/>
      <c r="XG93" s="646"/>
      <c r="XH93" s="645"/>
      <c r="XI93" s="646"/>
      <c r="XJ93" s="645"/>
      <c r="XK93" s="646"/>
      <c r="XL93" s="645"/>
      <c r="XM93" s="646"/>
      <c r="XN93" s="645"/>
      <c r="XO93" s="646"/>
      <c r="XP93" s="645"/>
      <c r="XQ93" s="646"/>
      <c r="XR93" s="645"/>
      <c r="XS93" s="646"/>
      <c r="XT93" s="645"/>
      <c r="XU93" s="646"/>
      <c r="XV93" s="645"/>
      <c r="XW93" s="646"/>
      <c r="XX93" s="645"/>
      <c r="XY93" s="646"/>
      <c r="XZ93" s="645"/>
      <c r="YA93" s="646"/>
      <c r="YB93" s="645"/>
      <c r="YC93" s="646"/>
      <c r="YD93" s="645"/>
      <c r="YE93" s="646"/>
      <c r="YF93" s="645"/>
      <c r="YG93" s="646"/>
      <c r="YH93" s="645"/>
      <c r="YI93" s="646"/>
      <c r="YJ93" s="645"/>
      <c r="YK93" s="646"/>
      <c r="YL93" s="645"/>
      <c r="YM93" s="646"/>
      <c r="YN93" s="645"/>
      <c r="YO93" s="646"/>
      <c r="YP93" s="645"/>
      <c r="YQ93" s="646"/>
      <c r="YR93" s="645"/>
      <c r="YS93" s="646"/>
      <c r="YT93" s="645"/>
      <c r="YU93" s="646"/>
      <c r="YV93" s="645"/>
      <c r="YW93" s="646"/>
      <c r="YX93" s="645"/>
      <c r="YY93" s="646"/>
      <c r="YZ93" s="645"/>
      <c r="ZA93" s="646"/>
      <c r="ZB93" s="645"/>
      <c r="ZC93" s="646"/>
      <c r="ZD93" s="645"/>
      <c r="ZE93" s="646"/>
      <c r="ZF93" s="645"/>
      <c r="ZG93" s="646"/>
      <c r="ZH93" s="645"/>
      <c r="ZI93" s="646"/>
      <c r="ZJ93" s="645"/>
      <c r="ZK93" s="646"/>
      <c r="ZL93" s="645"/>
      <c r="ZM93" s="646"/>
      <c r="ZN93" s="645"/>
      <c r="ZO93" s="646"/>
      <c r="ZP93" s="645"/>
      <c r="ZQ93" s="646"/>
      <c r="ZR93" s="645"/>
      <c r="ZS93" s="646"/>
      <c r="ZT93" s="645"/>
      <c r="ZU93" s="646"/>
      <c r="ZV93" s="645"/>
      <c r="ZW93" s="646"/>
      <c r="ZX93" s="645"/>
      <c r="ZY93" s="646"/>
      <c r="ZZ93" s="645"/>
      <c r="AAA93" s="646"/>
      <c r="AAB93" s="645"/>
      <c r="AAC93" s="646"/>
      <c r="AAD93" s="645"/>
      <c r="AAE93" s="646"/>
      <c r="AAF93" s="645"/>
      <c r="AAG93" s="646"/>
      <c r="AAH93" s="645"/>
      <c r="AAI93" s="646"/>
      <c r="AAJ93" s="645"/>
      <c r="AAK93" s="646"/>
      <c r="AAL93" s="645"/>
      <c r="AAM93" s="646"/>
      <c r="AAN93" s="645"/>
      <c r="AAO93" s="646"/>
      <c r="AAP93" s="645"/>
      <c r="AAQ93" s="646"/>
      <c r="AAR93" s="645"/>
      <c r="AAS93" s="646"/>
      <c r="AAT93" s="645"/>
      <c r="AAU93" s="646"/>
      <c r="AAV93" s="645"/>
      <c r="AAW93" s="646"/>
      <c r="AAX93" s="645"/>
      <c r="AAY93" s="646"/>
      <c r="AAZ93" s="645"/>
      <c r="ABA93" s="646"/>
      <c r="ABB93" s="645"/>
      <c r="ABC93" s="646"/>
      <c r="ABD93" s="645"/>
      <c r="ABE93" s="646"/>
      <c r="ABF93" s="645"/>
      <c r="ABG93" s="646"/>
      <c r="ABH93" s="645"/>
      <c r="ABI93" s="646"/>
      <c r="ABJ93" s="645"/>
      <c r="ABK93" s="646"/>
      <c r="ABL93" s="645"/>
      <c r="ABM93" s="646"/>
      <c r="ABN93" s="645"/>
      <c r="ABO93" s="646"/>
      <c r="ABP93" s="645"/>
      <c r="ABQ93" s="646"/>
      <c r="ABR93" s="645"/>
      <c r="ABS93" s="646"/>
      <c r="ABT93" s="645"/>
      <c r="ABU93" s="646"/>
      <c r="ABV93" s="645"/>
      <c r="ABW93" s="646"/>
      <c r="ABX93" s="645"/>
      <c r="ABY93" s="646"/>
      <c r="ABZ93" s="645"/>
      <c r="ACA93" s="646"/>
      <c r="ACB93" s="645"/>
      <c r="ACC93" s="646"/>
      <c r="ACD93" s="645"/>
      <c r="ACE93" s="646"/>
      <c r="ACF93" s="645"/>
      <c r="ACG93" s="646"/>
      <c r="ACH93" s="645"/>
      <c r="ACI93" s="646"/>
      <c r="ACJ93" s="645"/>
      <c r="ACK93" s="646"/>
      <c r="ACL93" s="645"/>
      <c r="ACM93" s="646"/>
      <c r="ACN93" s="645"/>
      <c r="ACO93" s="646"/>
      <c r="ACP93" s="645"/>
      <c r="ACQ93" s="646"/>
      <c r="ACR93" s="645"/>
      <c r="ACS93" s="646"/>
      <c r="ACT93" s="645"/>
      <c r="ACU93" s="646"/>
      <c r="ACV93" s="645"/>
      <c r="ACW93" s="646"/>
      <c r="ACX93" s="645"/>
      <c r="ACY93" s="646"/>
      <c r="ACZ93" s="645"/>
      <c r="ADA93" s="646"/>
      <c r="ADB93" s="645"/>
      <c r="ADC93" s="646"/>
      <c r="ADD93" s="645"/>
      <c r="ADE93" s="646"/>
      <c r="ADF93" s="645"/>
      <c r="ADG93" s="646"/>
      <c r="ADH93" s="645"/>
      <c r="ADI93" s="646"/>
      <c r="ADJ93" s="645"/>
      <c r="ADK93" s="646"/>
      <c r="ADL93" s="645"/>
      <c r="ADM93" s="646"/>
      <c r="ADN93" s="645"/>
      <c r="ADO93" s="646"/>
      <c r="ADP93" s="645"/>
      <c r="ADQ93" s="646"/>
      <c r="ADR93" s="645"/>
      <c r="ADS93" s="646"/>
      <c r="ADT93" s="645"/>
      <c r="ADU93" s="646"/>
      <c r="ADV93" s="645"/>
      <c r="ADW93" s="646"/>
      <c r="ADX93" s="645"/>
      <c r="ADY93" s="646"/>
      <c r="ADZ93" s="645"/>
      <c r="AEA93" s="646"/>
      <c r="AEB93" s="645"/>
      <c r="AEC93" s="646"/>
      <c r="AED93" s="645"/>
      <c r="AEE93" s="646"/>
      <c r="AEF93" s="645"/>
      <c r="AEG93" s="646"/>
      <c r="AEH93" s="645"/>
      <c r="AEI93" s="646"/>
      <c r="AEJ93" s="645"/>
      <c r="AEK93" s="646"/>
      <c r="AEL93" s="645"/>
      <c r="AEM93" s="646"/>
      <c r="AEN93" s="645"/>
      <c r="AEO93" s="646"/>
      <c r="AEP93" s="645"/>
      <c r="AEQ93" s="646"/>
      <c r="AER93" s="645"/>
      <c r="AES93" s="646"/>
      <c r="AET93" s="645"/>
      <c r="AEU93" s="646"/>
      <c r="AEV93" s="645"/>
      <c r="AEW93" s="646"/>
      <c r="AEX93" s="645"/>
      <c r="AEY93" s="646"/>
      <c r="AEZ93" s="645"/>
      <c r="AFA93" s="646"/>
      <c r="AFB93" s="645"/>
      <c r="AFC93" s="646"/>
      <c r="AFD93" s="645"/>
      <c r="AFE93" s="646"/>
      <c r="AFF93" s="645"/>
      <c r="AFG93" s="646"/>
      <c r="AFH93" s="645"/>
      <c r="AFI93" s="646"/>
      <c r="AFJ93" s="645"/>
      <c r="AFK93" s="646"/>
      <c r="AFL93" s="645"/>
      <c r="AFM93" s="646"/>
      <c r="AFN93" s="645"/>
      <c r="AFO93" s="646"/>
      <c r="AFP93" s="645"/>
      <c r="AFQ93" s="646"/>
      <c r="AFR93" s="645"/>
      <c r="AFS93" s="646"/>
      <c r="AFT93" s="645"/>
      <c r="AFU93" s="646"/>
      <c r="AFV93" s="645"/>
      <c r="AFW93" s="646"/>
      <c r="AFX93" s="645"/>
      <c r="AFY93" s="646"/>
      <c r="AFZ93" s="645"/>
      <c r="AGA93" s="646"/>
      <c r="AGB93" s="645"/>
      <c r="AGC93" s="646"/>
      <c r="AGD93" s="645"/>
      <c r="AGE93" s="646"/>
      <c r="AGF93" s="645"/>
      <c r="AGG93" s="646"/>
      <c r="AGH93" s="645"/>
      <c r="AGI93" s="646"/>
      <c r="AGJ93" s="645"/>
      <c r="AGK93" s="646"/>
      <c r="AGL93" s="645"/>
      <c r="AGM93" s="646"/>
      <c r="AGN93" s="645"/>
      <c r="AGO93" s="646"/>
      <c r="AGP93" s="645"/>
      <c r="AGQ93" s="646"/>
      <c r="AGR93" s="645"/>
      <c r="AGS93" s="646"/>
      <c r="AGT93" s="645"/>
      <c r="AGU93" s="646"/>
      <c r="AGV93" s="645"/>
      <c r="AGW93" s="646"/>
      <c r="AGX93" s="645"/>
      <c r="AGY93" s="646"/>
      <c r="AGZ93" s="645"/>
      <c r="AHA93" s="646"/>
      <c r="AHB93" s="645"/>
      <c r="AHC93" s="646"/>
      <c r="AHD93" s="645"/>
      <c r="AHE93" s="646"/>
      <c r="AHF93" s="645"/>
      <c r="AHG93" s="646"/>
      <c r="AHH93" s="645"/>
      <c r="AHI93" s="646"/>
      <c r="AHJ93" s="645"/>
      <c r="AHK93" s="646"/>
      <c r="AHL93" s="645"/>
      <c r="AHM93" s="646"/>
      <c r="AHN93" s="645"/>
      <c r="AHO93" s="646"/>
      <c r="AHP93" s="645"/>
      <c r="AHQ93" s="646"/>
      <c r="AHR93" s="645"/>
      <c r="AHS93" s="646"/>
      <c r="AHT93" s="645"/>
      <c r="AHU93" s="646"/>
      <c r="AHV93" s="645"/>
      <c r="AHW93" s="646"/>
      <c r="AHX93" s="645"/>
      <c r="AHY93" s="646"/>
      <c r="AHZ93" s="645"/>
      <c r="AIA93" s="646"/>
      <c r="AIB93" s="645"/>
      <c r="AIC93" s="646"/>
      <c r="AID93" s="645"/>
      <c r="AIE93" s="646"/>
      <c r="AIF93" s="645"/>
      <c r="AIG93" s="646"/>
      <c r="AIH93" s="645"/>
      <c r="AII93" s="646"/>
      <c r="AIJ93" s="645"/>
      <c r="AIK93" s="646"/>
      <c r="AIL93" s="645"/>
      <c r="AIM93" s="646"/>
      <c r="AIN93" s="645"/>
      <c r="AIO93" s="646"/>
      <c r="AIP93" s="645"/>
      <c r="AIQ93" s="645"/>
      <c r="AIR93" s="645"/>
      <c r="AIS93" s="645"/>
      <c r="AIT93" s="645"/>
      <c r="AIU93" s="645"/>
      <c r="AIV93" s="645"/>
      <c r="AIW93" s="645"/>
      <c r="AIX93" s="645"/>
      <c r="AIY93" s="645"/>
      <c r="AIZ93" s="645"/>
      <c r="AJA93" s="645"/>
      <c r="AJB93" s="645"/>
      <c r="AJC93" s="645"/>
      <c r="AJD93" s="645"/>
      <c r="AJE93" s="645"/>
      <c r="AJF93" s="645"/>
      <c r="AJG93" s="645"/>
      <c r="AJH93" s="645"/>
      <c r="AJI93" s="645"/>
      <c r="AJJ93" s="645"/>
      <c r="AJK93" s="645"/>
      <c r="AJL93" s="645"/>
      <c r="AJM93" s="645"/>
      <c r="AJN93" s="645"/>
      <c r="AJO93" s="645"/>
      <c r="AJP93" s="645"/>
      <c r="AJQ93" s="645"/>
      <c r="AJR93" s="645"/>
      <c r="AJS93" s="645"/>
      <c r="AJT93" s="645"/>
      <c r="AJU93" s="645"/>
      <c r="AJV93" s="645"/>
      <c r="AJW93" s="645"/>
      <c r="AJX93" s="645"/>
      <c r="AJY93" s="645"/>
      <c r="AJZ93" s="645"/>
      <c r="AKA93" s="645"/>
      <c r="AKB93" s="645"/>
      <c r="AKC93" s="645"/>
      <c r="AKD93" s="645"/>
      <c r="AKE93" s="645"/>
      <c r="AKF93" s="645"/>
      <c r="AKG93" s="645"/>
      <c r="AKH93" s="645"/>
      <c r="AKI93" s="645"/>
      <c r="AKJ93" s="645"/>
      <c r="AKK93" s="645"/>
      <c r="AKL93" s="645"/>
      <c r="AKM93" s="645"/>
      <c r="AKN93" s="645"/>
      <c r="AKO93" s="645"/>
      <c r="AKP93" s="645"/>
      <c r="AKQ93" s="645"/>
      <c r="AKR93" s="645"/>
      <c r="AKS93" s="645"/>
      <c r="AKT93" s="645"/>
      <c r="AKU93" s="645"/>
      <c r="AKV93" s="645"/>
      <c r="AKW93" s="645"/>
      <c r="AKX93" s="645"/>
      <c r="AKY93" s="645"/>
      <c r="AKZ93" s="645"/>
      <c r="ALA93" s="645"/>
      <c r="ALB93" s="645"/>
      <c r="ALC93" s="645"/>
      <c r="ALD93" s="645"/>
      <c r="ALE93" s="645"/>
      <c r="ALF93" s="645"/>
      <c r="ALG93" s="645"/>
      <c r="ALH93" s="645"/>
      <c r="ALI93" s="645"/>
      <c r="ALJ93" s="645"/>
      <c r="ALK93" s="645"/>
      <c r="ALL93" s="645"/>
      <c r="ALM93" s="645"/>
      <c r="ALN93" s="645"/>
      <c r="ALO93" s="645"/>
      <c r="ALP93" s="645"/>
      <c r="ALQ93" s="645"/>
      <c r="ALR93" s="645"/>
      <c r="ALS93" s="645"/>
      <c r="ALT93" s="645"/>
      <c r="ALU93" s="645"/>
      <c r="ALV93" s="645"/>
      <c r="ALW93" s="645"/>
      <c r="ALX93" s="645"/>
      <c r="ALY93" s="645"/>
      <c r="ALZ93" s="645"/>
      <c r="AMA93" s="645"/>
      <c r="AMB93" s="645"/>
      <c r="AMC93" s="645"/>
      <c r="AMD93" s="645"/>
      <c r="AME93" s="645"/>
      <c r="AMF93" s="645"/>
      <c r="AMG93" s="645"/>
      <c r="AMH93" s="645"/>
      <c r="AMI93" s="645"/>
      <c r="AMJ93" s="645"/>
    </row>
    <row r="94" spans="1:1024" s="37" customFormat="1" ht="15.75" customHeight="1" x14ac:dyDescent="0.35">
      <c r="A94" s="600"/>
      <c r="B94" s="644" t="s">
        <v>348</v>
      </c>
      <c r="C94" s="645"/>
      <c r="D94" s="646"/>
      <c r="E94" s="645"/>
      <c r="F94" s="646"/>
      <c r="G94" s="647" t="s">
        <v>243</v>
      </c>
      <c r="H94" s="643"/>
      <c r="I94" s="645"/>
      <c r="J94" s="38"/>
      <c r="K94" s="38"/>
      <c r="L94" s="39"/>
      <c r="M94" s="38"/>
      <c r="N94" s="39"/>
      <c r="O94" s="38"/>
      <c r="P94" s="39"/>
      <c r="Q94" s="38"/>
      <c r="R94" s="39"/>
      <c r="S94" s="38"/>
      <c r="T94" s="39"/>
      <c r="U94" s="38"/>
      <c r="V94" s="39"/>
      <c r="W94" s="38"/>
      <c r="X94" s="39"/>
      <c r="Y94" s="38"/>
      <c r="Z94" s="39"/>
      <c r="AA94" s="38"/>
      <c r="AB94" s="39"/>
      <c r="AC94" s="38"/>
      <c r="AD94" s="39"/>
      <c r="AE94" s="38"/>
      <c r="AF94" s="39"/>
      <c r="AG94" s="38"/>
      <c r="AH94" s="39"/>
      <c r="AI94" s="38"/>
      <c r="AJ94" s="39"/>
      <c r="AK94" s="40"/>
      <c r="AL94" s="39"/>
      <c r="AM94" s="40"/>
      <c r="AN94" s="39"/>
      <c r="AO94" s="40"/>
      <c r="AP94" s="39"/>
      <c r="AQ94" s="40"/>
      <c r="AR94" s="39"/>
      <c r="AS94" s="40"/>
      <c r="AT94" s="39"/>
      <c r="AU94" s="40"/>
      <c r="AV94" s="39"/>
      <c r="AW94" s="40"/>
      <c r="AX94" s="39"/>
      <c r="AY94" s="40"/>
      <c r="AZ94" s="39"/>
      <c r="BA94" s="40"/>
      <c r="BB94" s="39"/>
      <c r="BC94" s="40"/>
      <c r="BD94" s="39"/>
      <c r="BE94" s="40"/>
      <c r="BF94" s="39"/>
      <c r="BG94" s="40"/>
      <c r="BH94" s="39"/>
      <c r="BI94" s="40"/>
      <c r="BJ94" s="39"/>
      <c r="BK94" s="40"/>
      <c r="BL94" s="39"/>
      <c r="BM94" s="40"/>
      <c r="BN94" s="39"/>
      <c r="BO94" s="40"/>
      <c r="BP94" s="39"/>
      <c r="BQ94" s="40"/>
      <c r="BR94" s="39"/>
      <c r="BS94" s="40"/>
      <c r="BT94" s="39"/>
      <c r="BU94" s="40"/>
      <c r="BV94" s="39"/>
      <c r="BW94" s="40"/>
      <c r="BX94" s="39"/>
      <c r="BY94" s="40"/>
      <c r="BZ94" s="39"/>
      <c r="CA94" s="40"/>
      <c r="CB94" s="39"/>
      <c r="CC94" s="40"/>
      <c r="CD94" s="39"/>
      <c r="CE94" s="40"/>
      <c r="CF94" s="39"/>
      <c r="CG94" s="40"/>
      <c r="CH94" s="39"/>
      <c r="CI94" s="40"/>
      <c r="CJ94" s="39"/>
      <c r="CK94" s="40"/>
      <c r="CL94" s="39"/>
      <c r="CM94" s="40"/>
      <c r="CN94" s="39"/>
      <c r="CO94" s="40"/>
      <c r="CP94" s="39"/>
      <c r="CQ94" s="40"/>
      <c r="CR94" s="39"/>
      <c r="CS94" s="40"/>
      <c r="CT94" s="39"/>
      <c r="CU94" s="40"/>
      <c r="CV94" s="39"/>
      <c r="CW94" s="40"/>
      <c r="CX94" s="39"/>
      <c r="CY94" s="40"/>
      <c r="CZ94" s="39"/>
      <c r="DA94" s="40"/>
      <c r="DB94" s="39"/>
      <c r="DC94" s="40"/>
      <c r="DD94" s="39"/>
      <c r="DE94" s="40"/>
      <c r="DF94" s="39"/>
      <c r="DG94" s="40"/>
      <c r="DH94" s="39"/>
      <c r="DI94" s="40"/>
      <c r="DJ94" s="39"/>
      <c r="DK94" s="40"/>
      <c r="DL94" s="39"/>
      <c r="DM94" s="40"/>
      <c r="DN94" s="39"/>
      <c r="DO94" s="40"/>
      <c r="DP94" s="39"/>
      <c r="DQ94" s="40"/>
      <c r="DR94" s="39"/>
      <c r="DS94" s="40"/>
      <c r="DT94" s="39"/>
      <c r="DU94" s="40"/>
      <c r="DV94" s="39"/>
      <c r="DW94" s="40"/>
      <c r="DX94" s="39"/>
      <c r="DY94" s="40"/>
      <c r="DZ94" s="39"/>
      <c r="EA94" s="40"/>
      <c r="EB94" s="39"/>
      <c r="EC94" s="40"/>
      <c r="ED94" s="39"/>
      <c r="EE94" s="40"/>
      <c r="EF94" s="39"/>
      <c r="EG94" s="40"/>
      <c r="EH94" s="39"/>
      <c r="EI94" s="40"/>
      <c r="EJ94" s="39"/>
      <c r="EK94" s="40"/>
      <c r="EL94" s="39"/>
      <c r="EM94" s="40"/>
      <c r="EN94" s="39"/>
      <c r="EO94" s="40"/>
      <c r="EP94" s="39"/>
      <c r="EQ94" s="40"/>
      <c r="ER94" s="39"/>
      <c r="ES94" s="40"/>
      <c r="ET94" s="39"/>
      <c r="EU94" s="40"/>
      <c r="EV94" s="39"/>
      <c r="EW94" s="40"/>
      <c r="EX94" s="39"/>
      <c r="EY94" s="40"/>
      <c r="EZ94" s="39"/>
      <c r="FA94" s="40"/>
      <c r="FB94" s="39"/>
      <c r="FC94" s="40"/>
      <c r="FD94" s="39"/>
      <c r="FE94" s="40"/>
      <c r="FF94" s="39"/>
      <c r="FG94" s="40"/>
      <c r="FH94" s="39"/>
      <c r="FI94" s="40"/>
      <c r="FJ94" s="39"/>
      <c r="FK94" s="40"/>
      <c r="FL94" s="39"/>
      <c r="FM94" s="40"/>
      <c r="FN94" s="39"/>
      <c r="FO94" s="40"/>
      <c r="FP94" s="39"/>
      <c r="FQ94" s="40"/>
      <c r="FR94" s="39"/>
      <c r="FS94" s="40"/>
      <c r="FT94" s="39"/>
      <c r="FU94" s="40"/>
      <c r="FV94" s="39"/>
      <c r="FW94" s="40"/>
      <c r="FX94" s="39"/>
      <c r="FY94" s="40"/>
      <c r="FZ94" s="39"/>
      <c r="GA94" s="40"/>
      <c r="GB94" s="39"/>
      <c r="GC94" s="40"/>
      <c r="GD94" s="39"/>
      <c r="GE94" s="40"/>
      <c r="GF94" s="39"/>
      <c r="GG94" s="40"/>
      <c r="GH94" s="39"/>
      <c r="GI94" s="40"/>
      <c r="GJ94" s="39"/>
      <c r="GK94" s="40"/>
      <c r="GL94" s="39"/>
      <c r="GM94" s="40"/>
      <c r="GN94" s="39"/>
      <c r="GO94" s="40"/>
      <c r="GP94" s="39"/>
      <c r="GQ94" s="40"/>
      <c r="GR94" s="39"/>
      <c r="GS94" s="40"/>
      <c r="GT94" s="39"/>
      <c r="GU94" s="40"/>
      <c r="GV94" s="39"/>
      <c r="GW94" s="40"/>
      <c r="GX94" s="39"/>
      <c r="GY94" s="40"/>
      <c r="GZ94" s="39"/>
      <c r="HA94" s="40"/>
      <c r="HB94" s="39"/>
      <c r="HC94" s="40"/>
      <c r="HD94" s="39"/>
      <c r="HE94" s="40"/>
      <c r="HF94" s="39"/>
      <c r="HG94" s="40"/>
      <c r="HH94" s="39"/>
      <c r="HI94" s="40"/>
      <c r="HJ94" s="39"/>
      <c r="HK94" s="40"/>
      <c r="HL94" s="39"/>
      <c r="HM94" s="40"/>
      <c r="HN94" s="39"/>
      <c r="HO94" s="40"/>
      <c r="HP94" s="39"/>
      <c r="HQ94" s="40"/>
      <c r="HR94" s="39"/>
      <c r="HS94" s="40"/>
      <c r="HT94" s="39"/>
      <c r="HU94" s="40"/>
      <c r="HV94" s="39"/>
      <c r="HW94" s="40"/>
      <c r="HX94" s="39"/>
      <c r="HY94" s="40"/>
      <c r="HZ94" s="39"/>
      <c r="IA94" s="40"/>
      <c r="IB94" s="39"/>
      <c r="IC94" s="1068"/>
      <c r="ID94" s="645"/>
      <c r="IE94" s="646"/>
      <c r="IF94" s="645"/>
      <c r="IG94" s="646"/>
      <c r="IH94" s="645"/>
      <c r="II94" s="646"/>
      <c r="IJ94" s="645"/>
      <c r="IK94" s="646"/>
      <c r="IL94" s="645"/>
      <c r="IM94" s="646"/>
      <c r="IN94" s="645"/>
      <c r="IO94" s="646"/>
      <c r="IP94" s="645"/>
      <c r="IQ94" s="646"/>
      <c r="IR94" s="645"/>
      <c r="IS94" s="646"/>
      <c r="IT94" s="645"/>
      <c r="IU94" s="646"/>
      <c r="IV94" s="645"/>
      <c r="IW94" s="646"/>
      <c r="IX94" s="645"/>
      <c r="IY94" s="646"/>
      <c r="IZ94" s="645"/>
      <c r="JA94" s="646"/>
      <c r="JB94" s="645"/>
      <c r="JC94" s="646"/>
      <c r="JD94" s="645"/>
      <c r="JE94" s="646"/>
      <c r="JF94" s="645"/>
      <c r="JG94" s="646"/>
      <c r="JH94" s="645"/>
      <c r="JI94" s="646"/>
      <c r="JJ94" s="645"/>
      <c r="JK94" s="646"/>
      <c r="JL94" s="645"/>
      <c r="JM94" s="646"/>
      <c r="JN94" s="645"/>
      <c r="JO94" s="646"/>
      <c r="JP94" s="645"/>
      <c r="JQ94" s="646"/>
      <c r="JR94" s="645"/>
      <c r="JS94" s="646"/>
      <c r="JT94" s="645"/>
      <c r="JU94" s="646"/>
      <c r="JV94" s="645"/>
      <c r="JW94" s="646"/>
      <c r="JX94" s="645"/>
      <c r="JY94" s="646"/>
      <c r="JZ94" s="645"/>
      <c r="KA94" s="646"/>
      <c r="KB94" s="645"/>
      <c r="KC94" s="646"/>
      <c r="KD94" s="645"/>
      <c r="KE94" s="646"/>
      <c r="KF94" s="645"/>
      <c r="KG94" s="646"/>
      <c r="KH94" s="645"/>
      <c r="KI94" s="646"/>
      <c r="KJ94" s="645"/>
      <c r="KK94" s="646"/>
      <c r="KL94" s="645"/>
      <c r="KM94" s="646"/>
      <c r="KN94" s="645"/>
      <c r="KO94" s="646"/>
      <c r="KP94" s="645"/>
      <c r="KQ94" s="646"/>
      <c r="KR94" s="645"/>
      <c r="KS94" s="646"/>
      <c r="KT94" s="645"/>
      <c r="KU94" s="646"/>
      <c r="KV94" s="645"/>
      <c r="KW94" s="646"/>
      <c r="KX94" s="645"/>
      <c r="KY94" s="646"/>
      <c r="KZ94" s="645"/>
      <c r="LA94" s="646"/>
      <c r="LB94" s="645"/>
      <c r="LC94" s="646"/>
      <c r="LD94" s="645"/>
      <c r="LE94" s="646"/>
      <c r="LF94" s="645"/>
      <c r="LG94" s="646"/>
      <c r="LH94" s="645"/>
      <c r="LI94" s="646"/>
      <c r="LJ94" s="645"/>
      <c r="LK94" s="646"/>
      <c r="LL94" s="645"/>
      <c r="LM94" s="646"/>
      <c r="LN94" s="645"/>
      <c r="LO94" s="646"/>
      <c r="LP94" s="645"/>
      <c r="LQ94" s="646"/>
      <c r="LR94" s="645"/>
      <c r="LS94" s="646"/>
      <c r="LT94" s="645"/>
      <c r="LU94" s="646"/>
      <c r="LV94" s="645"/>
      <c r="LW94" s="646"/>
      <c r="LX94" s="645"/>
      <c r="LY94" s="646"/>
      <c r="LZ94" s="645"/>
      <c r="MA94" s="646"/>
      <c r="MB94" s="645"/>
      <c r="MC94" s="646"/>
      <c r="MD94" s="645"/>
      <c r="ME94" s="646"/>
      <c r="MF94" s="645"/>
      <c r="MG94" s="646"/>
      <c r="MH94" s="645"/>
      <c r="MI94" s="646"/>
      <c r="MJ94" s="645"/>
      <c r="MK94" s="646"/>
      <c r="ML94" s="645"/>
      <c r="MM94" s="646"/>
      <c r="MN94" s="645"/>
      <c r="MO94" s="646"/>
      <c r="MP94" s="645"/>
      <c r="MQ94" s="646"/>
      <c r="MR94" s="645"/>
      <c r="MS94" s="646"/>
      <c r="MT94" s="645"/>
      <c r="MU94" s="646"/>
      <c r="MV94" s="645"/>
      <c r="MW94" s="646"/>
      <c r="MX94" s="645"/>
      <c r="MY94" s="646"/>
      <c r="MZ94" s="645"/>
      <c r="NA94" s="646"/>
      <c r="NB94" s="645"/>
      <c r="NC94" s="646"/>
      <c r="ND94" s="645"/>
      <c r="NE94" s="646"/>
      <c r="NF94" s="645"/>
      <c r="NG94" s="646"/>
      <c r="NH94" s="645"/>
      <c r="NI94" s="646"/>
      <c r="NJ94" s="645"/>
      <c r="NK94" s="646"/>
      <c r="NL94" s="645"/>
      <c r="NM94" s="646"/>
      <c r="NN94" s="645"/>
      <c r="NO94" s="646"/>
      <c r="NP94" s="645"/>
      <c r="NQ94" s="646"/>
      <c r="NR94" s="645"/>
      <c r="NS94" s="646"/>
      <c r="NT94" s="645"/>
      <c r="NU94" s="646"/>
      <c r="NV94" s="645"/>
      <c r="NW94" s="646"/>
      <c r="NX94" s="645"/>
      <c r="NY94" s="646"/>
      <c r="NZ94" s="645"/>
      <c r="OA94" s="646"/>
      <c r="OB94" s="645"/>
      <c r="OC94" s="646"/>
      <c r="OD94" s="645"/>
      <c r="OE94" s="646"/>
      <c r="OF94" s="645"/>
      <c r="OG94" s="646"/>
      <c r="OH94" s="645"/>
      <c r="OI94" s="646"/>
      <c r="OJ94" s="645"/>
      <c r="OK94" s="646"/>
      <c r="OL94" s="645"/>
      <c r="OM94" s="646"/>
      <c r="ON94" s="645"/>
      <c r="OO94" s="646"/>
      <c r="OP94" s="645"/>
      <c r="OQ94" s="646"/>
      <c r="OR94" s="645"/>
      <c r="OS94" s="646"/>
      <c r="OT94" s="645"/>
      <c r="OU94" s="646"/>
      <c r="OV94" s="645"/>
      <c r="OW94" s="646"/>
      <c r="OX94" s="645"/>
      <c r="OY94" s="646"/>
      <c r="OZ94" s="645"/>
      <c r="PA94" s="646"/>
      <c r="PB94" s="645"/>
      <c r="PC94" s="646"/>
      <c r="PD94" s="645"/>
      <c r="PE94" s="646"/>
      <c r="PF94" s="645"/>
      <c r="PG94" s="646"/>
      <c r="PH94" s="645"/>
      <c r="PI94" s="646"/>
      <c r="PJ94" s="645"/>
      <c r="PK94" s="646"/>
      <c r="PL94" s="645"/>
      <c r="PM94" s="646"/>
      <c r="PN94" s="645"/>
      <c r="PO94" s="646"/>
      <c r="PP94" s="645"/>
      <c r="PQ94" s="646"/>
      <c r="PR94" s="645"/>
      <c r="PS94" s="646"/>
      <c r="PT94" s="645"/>
      <c r="PU94" s="646"/>
      <c r="PV94" s="645"/>
      <c r="PW94" s="646"/>
      <c r="PX94" s="645"/>
      <c r="PY94" s="646"/>
      <c r="PZ94" s="645"/>
      <c r="QA94" s="646"/>
      <c r="QB94" s="645"/>
      <c r="QC94" s="646"/>
      <c r="QD94" s="645"/>
      <c r="QE94" s="646"/>
      <c r="QF94" s="645"/>
      <c r="QG94" s="646"/>
      <c r="QH94" s="645"/>
      <c r="QI94" s="646"/>
      <c r="QJ94" s="645"/>
      <c r="QK94" s="646"/>
      <c r="QL94" s="645"/>
      <c r="QM94" s="646"/>
      <c r="QN94" s="645"/>
      <c r="QO94" s="646"/>
      <c r="QP94" s="645"/>
      <c r="QQ94" s="646"/>
      <c r="QR94" s="645"/>
      <c r="QS94" s="646"/>
      <c r="QT94" s="645"/>
      <c r="QU94" s="646"/>
      <c r="QV94" s="645"/>
      <c r="QW94" s="646"/>
      <c r="QX94" s="645"/>
      <c r="QY94" s="646"/>
      <c r="QZ94" s="645"/>
      <c r="RA94" s="646"/>
      <c r="RB94" s="645"/>
      <c r="RC94" s="646"/>
      <c r="RD94" s="645"/>
      <c r="RE94" s="646"/>
      <c r="RF94" s="645"/>
      <c r="RG94" s="646"/>
      <c r="RH94" s="645"/>
      <c r="RI94" s="646"/>
      <c r="RJ94" s="645"/>
      <c r="RK94" s="646"/>
      <c r="RL94" s="645"/>
      <c r="RM94" s="646"/>
      <c r="RN94" s="645"/>
      <c r="RO94" s="646"/>
      <c r="RP94" s="645"/>
      <c r="RQ94" s="646"/>
      <c r="RR94" s="645"/>
      <c r="RS94" s="646"/>
      <c r="RT94" s="645"/>
      <c r="RU94" s="646"/>
      <c r="RV94" s="645"/>
      <c r="RW94" s="646"/>
      <c r="RX94" s="645"/>
      <c r="RY94" s="646"/>
      <c r="RZ94" s="645"/>
      <c r="SA94" s="646"/>
      <c r="SB94" s="645"/>
      <c r="SC94" s="646"/>
      <c r="SD94" s="645"/>
      <c r="SE94" s="646"/>
      <c r="SF94" s="645"/>
      <c r="SG94" s="646"/>
      <c r="SH94" s="645"/>
      <c r="SI94" s="646"/>
      <c r="SJ94" s="645"/>
      <c r="SK94" s="646"/>
      <c r="SL94" s="645"/>
      <c r="SM94" s="646"/>
      <c r="SN94" s="645"/>
      <c r="SO94" s="646"/>
      <c r="SP94" s="645"/>
      <c r="SQ94" s="646"/>
      <c r="SR94" s="645"/>
      <c r="SS94" s="646"/>
      <c r="ST94" s="645"/>
      <c r="SU94" s="646"/>
      <c r="SV94" s="645"/>
      <c r="SW94" s="646"/>
      <c r="SX94" s="645"/>
      <c r="SY94" s="646"/>
      <c r="SZ94" s="645"/>
      <c r="TA94" s="646"/>
      <c r="TB94" s="645"/>
      <c r="TC94" s="646"/>
      <c r="TD94" s="645"/>
      <c r="TE94" s="646"/>
      <c r="TF94" s="645"/>
      <c r="TG94" s="646"/>
      <c r="TH94" s="645"/>
      <c r="TI94" s="646"/>
      <c r="TJ94" s="645"/>
      <c r="TK94" s="646"/>
      <c r="TL94" s="645"/>
      <c r="TM94" s="646"/>
      <c r="TN94" s="645"/>
      <c r="TO94" s="646"/>
      <c r="TP94" s="645"/>
      <c r="TQ94" s="646"/>
      <c r="TR94" s="645"/>
      <c r="TS94" s="646"/>
      <c r="TT94" s="645"/>
      <c r="TU94" s="646"/>
      <c r="TV94" s="645"/>
      <c r="TW94" s="646"/>
      <c r="TX94" s="645"/>
      <c r="TY94" s="646"/>
      <c r="TZ94" s="645"/>
      <c r="UA94" s="646"/>
      <c r="UB94" s="645"/>
      <c r="UC94" s="646"/>
      <c r="UD94" s="645"/>
      <c r="UE94" s="646"/>
      <c r="UF94" s="645"/>
      <c r="UG94" s="646"/>
      <c r="UH94" s="645"/>
      <c r="UI94" s="646"/>
      <c r="UJ94" s="645"/>
      <c r="UK94" s="646"/>
      <c r="UL94" s="645"/>
      <c r="UM94" s="646"/>
      <c r="UN94" s="645"/>
      <c r="UO94" s="646"/>
      <c r="UP94" s="645"/>
      <c r="UQ94" s="646"/>
      <c r="UR94" s="645"/>
      <c r="US94" s="646"/>
      <c r="UT94" s="645"/>
      <c r="UU94" s="646"/>
      <c r="UV94" s="645"/>
      <c r="UW94" s="646"/>
      <c r="UX94" s="645"/>
      <c r="UY94" s="646"/>
      <c r="UZ94" s="645"/>
      <c r="VA94" s="646"/>
      <c r="VB94" s="645"/>
      <c r="VC94" s="646"/>
      <c r="VD94" s="645"/>
      <c r="VE94" s="646"/>
      <c r="VF94" s="645"/>
      <c r="VG94" s="646"/>
      <c r="VH94" s="645"/>
      <c r="VI94" s="646"/>
      <c r="VJ94" s="645"/>
      <c r="VK94" s="646"/>
      <c r="VL94" s="645"/>
      <c r="VM94" s="646"/>
      <c r="VN94" s="645"/>
      <c r="VO94" s="646"/>
      <c r="VP94" s="645"/>
      <c r="VQ94" s="646"/>
      <c r="VR94" s="645"/>
      <c r="VS94" s="646"/>
      <c r="VT94" s="645"/>
      <c r="VU94" s="646"/>
      <c r="VV94" s="645"/>
      <c r="VW94" s="646"/>
      <c r="VX94" s="645"/>
      <c r="VY94" s="646"/>
      <c r="VZ94" s="645"/>
      <c r="WA94" s="646"/>
      <c r="WB94" s="645"/>
      <c r="WC94" s="646"/>
      <c r="WD94" s="645"/>
      <c r="WE94" s="646"/>
      <c r="WF94" s="645"/>
      <c r="WG94" s="646"/>
      <c r="WH94" s="645"/>
      <c r="WI94" s="646"/>
      <c r="WJ94" s="645"/>
      <c r="WK94" s="646"/>
      <c r="WL94" s="645"/>
      <c r="WM94" s="646"/>
      <c r="WN94" s="645"/>
      <c r="WO94" s="646"/>
      <c r="WP94" s="645"/>
      <c r="WQ94" s="646"/>
      <c r="WR94" s="645"/>
      <c r="WS94" s="646"/>
      <c r="WT94" s="645"/>
      <c r="WU94" s="646"/>
      <c r="WV94" s="645"/>
      <c r="WW94" s="646"/>
      <c r="WX94" s="645"/>
      <c r="WY94" s="646"/>
      <c r="WZ94" s="645"/>
      <c r="XA94" s="646"/>
      <c r="XB94" s="645"/>
      <c r="XC94" s="646"/>
      <c r="XD94" s="645"/>
      <c r="XE94" s="646"/>
      <c r="XF94" s="645"/>
      <c r="XG94" s="646"/>
      <c r="XH94" s="645"/>
      <c r="XI94" s="646"/>
      <c r="XJ94" s="645"/>
      <c r="XK94" s="646"/>
      <c r="XL94" s="645"/>
      <c r="XM94" s="646"/>
      <c r="XN94" s="645"/>
      <c r="XO94" s="646"/>
      <c r="XP94" s="645"/>
      <c r="XQ94" s="646"/>
      <c r="XR94" s="645"/>
      <c r="XS94" s="646"/>
      <c r="XT94" s="645"/>
      <c r="XU94" s="646"/>
      <c r="XV94" s="645"/>
      <c r="XW94" s="646"/>
      <c r="XX94" s="645"/>
      <c r="XY94" s="646"/>
      <c r="XZ94" s="645"/>
      <c r="YA94" s="646"/>
      <c r="YB94" s="645"/>
      <c r="YC94" s="646"/>
      <c r="YD94" s="645"/>
      <c r="YE94" s="646"/>
      <c r="YF94" s="645"/>
      <c r="YG94" s="646"/>
      <c r="YH94" s="645"/>
      <c r="YI94" s="646"/>
      <c r="YJ94" s="645"/>
      <c r="YK94" s="646"/>
      <c r="YL94" s="645"/>
      <c r="YM94" s="646"/>
      <c r="YN94" s="645"/>
      <c r="YO94" s="646"/>
      <c r="YP94" s="645"/>
      <c r="YQ94" s="646"/>
      <c r="YR94" s="645"/>
      <c r="YS94" s="646"/>
      <c r="YT94" s="645"/>
      <c r="YU94" s="646"/>
      <c r="YV94" s="645"/>
      <c r="YW94" s="646"/>
      <c r="YX94" s="645"/>
      <c r="YY94" s="646"/>
      <c r="YZ94" s="645"/>
      <c r="ZA94" s="646"/>
      <c r="ZB94" s="645"/>
      <c r="ZC94" s="646"/>
      <c r="ZD94" s="645"/>
      <c r="ZE94" s="646"/>
      <c r="ZF94" s="645"/>
      <c r="ZG94" s="646"/>
      <c r="ZH94" s="645"/>
      <c r="ZI94" s="646"/>
      <c r="ZJ94" s="645"/>
      <c r="ZK94" s="646"/>
      <c r="ZL94" s="645"/>
      <c r="ZM94" s="646"/>
      <c r="ZN94" s="645"/>
      <c r="ZO94" s="646"/>
      <c r="ZP94" s="645"/>
      <c r="ZQ94" s="646"/>
      <c r="ZR94" s="645"/>
      <c r="ZS94" s="646"/>
      <c r="ZT94" s="645"/>
      <c r="ZU94" s="646"/>
      <c r="ZV94" s="645"/>
      <c r="ZW94" s="646"/>
      <c r="ZX94" s="645"/>
      <c r="ZY94" s="646"/>
      <c r="ZZ94" s="645"/>
      <c r="AAA94" s="646"/>
      <c r="AAB94" s="645"/>
      <c r="AAC94" s="646"/>
      <c r="AAD94" s="645"/>
      <c r="AAE94" s="646"/>
      <c r="AAF94" s="645"/>
      <c r="AAG94" s="646"/>
      <c r="AAH94" s="645"/>
      <c r="AAI94" s="646"/>
      <c r="AAJ94" s="645"/>
      <c r="AAK94" s="646"/>
      <c r="AAL94" s="645"/>
      <c r="AAM94" s="646"/>
      <c r="AAN94" s="645"/>
      <c r="AAO94" s="646"/>
      <c r="AAP94" s="645"/>
      <c r="AAQ94" s="646"/>
      <c r="AAR94" s="645"/>
      <c r="AAS94" s="646"/>
      <c r="AAT94" s="645"/>
      <c r="AAU94" s="646"/>
      <c r="AAV94" s="645"/>
      <c r="AAW94" s="646"/>
      <c r="AAX94" s="645"/>
      <c r="AAY94" s="646"/>
      <c r="AAZ94" s="645"/>
      <c r="ABA94" s="646"/>
      <c r="ABB94" s="645"/>
      <c r="ABC94" s="646"/>
      <c r="ABD94" s="645"/>
      <c r="ABE94" s="646"/>
      <c r="ABF94" s="645"/>
      <c r="ABG94" s="646"/>
      <c r="ABH94" s="645"/>
      <c r="ABI94" s="646"/>
      <c r="ABJ94" s="645"/>
      <c r="ABK94" s="646"/>
      <c r="ABL94" s="645"/>
      <c r="ABM94" s="646"/>
      <c r="ABN94" s="645"/>
      <c r="ABO94" s="646"/>
      <c r="ABP94" s="645"/>
      <c r="ABQ94" s="646"/>
      <c r="ABR94" s="645"/>
      <c r="ABS94" s="646"/>
      <c r="ABT94" s="645"/>
      <c r="ABU94" s="646"/>
      <c r="ABV94" s="645"/>
      <c r="ABW94" s="646"/>
      <c r="ABX94" s="645"/>
      <c r="ABY94" s="646"/>
      <c r="ABZ94" s="645"/>
      <c r="ACA94" s="646"/>
      <c r="ACB94" s="645"/>
      <c r="ACC94" s="646"/>
      <c r="ACD94" s="645"/>
      <c r="ACE94" s="646"/>
      <c r="ACF94" s="645"/>
      <c r="ACG94" s="646"/>
      <c r="ACH94" s="645"/>
      <c r="ACI94" s="646"/>
      <c r="ACJ94" s="645"/>
      <c r="ACK94" s="646"/>
      <c r="ACL94" s="645"/>
      <c r="ACM94" s="646"/>
      <c r="ACN94" s="645"/>
      <c r="ACO94" s="646"/>
      <c r="ACP94" s="645"/>
      <c r="ACQ94" s="646"/>
      <c r="ACR94" s="645"/>
      <c r="ACS94" s="646"/>
      <c r="ACT94" s="645"/>
      <c r="ACU94" s="646"/>
      <c r="ACV94" s="645"/>
      <c r="ACW94" s="646"/>
      <c r="ACX94" s="645"/>
      <c r="ACY94" s="646"/>
      <c r="ACZ94" s="645"/>
      <c r="ADA94" s="646"/>
      <c r="ADB94" s="645"/>
      <c r="ADC94" s="646"/>
      <c r="ADD94" s="645"/>
      <c r="ADE94" s="646"/>
      <c r="ADF94" s="645"/>
      <c r="ADG94" s="646"/>
      <c r="ADH94" s="645"/>
      <c r="ADI94" s="646"/>
      <c r="ADJ94" s="645"/>
      <c r="ADK94" s="646"/>
      <c r="ADL94" s="645"/>
      <c r="ADM94" s="646"/>
      <c r="ADN94" s="645"/>
      <c r="ADO94" s="646"/>
      <c r="ADP94" s="645"/>
      <c r="ADQ94" s="646"/>
      <c r="ADR94" s="645"/>
      <c r="ADS94" s="646"/>
      <c r="ADT94" s="645"/>
      <c r="ADU94" s="646"/>
      <c r="ADV94" s="645"/>
      <c r="ADW94" s="646"/>
      <c r="ADX94" s="645"/>
      <c r="ADY94" s="646"/>
      <c r="ADZ94" s="645"/>
      <c r="AEA94" s="646"/>
      <c r="AEB94" s="645"/>
      <c r="AEC94" s="646"/>
      <c r="AED94" s="645"/>
      <c r="AEE94" s="646"/>
      <c r="AEF94" s="645"/>
      <c r="AEG94" s="646"/>
      <c r="AEH94" s="645"/>
      <c r="AEI94" s="646"/>
      <c r="AEJ94" s="645"/>
      <c r="AEK94" s="646"/>
      <c r="AEL94" s="645"/>
      <c r="AEM94" s="646"/>
      <c r="AEN94" s="645"/>
      <c r="AEO94" s="646"/>
      <c r="AEP94" s="645"/>
      <c r="AEQ94" s="646"/>
      <c r="AER94" s="645"/>
      <c r="AES94" s="646"/>
      <c r="AET94" s="645"/>
      <c r="AEU94" s="646"/>
      <c r="AEV94" s="645"/>
      <c r="AEW94" s="646"/>
      <c r="AEX94" s="645"/>
      <c r="AEY94" s="646"/>
      <c r="AEZ94" s="645"/>
      <c r="AFA94" s="646"/>
      <c r="AFB94" s="645"/>
      <c r="AFC94" s="646"/>
      <c r="AFD94" s="645"/>
      <c r="AFE94" s="646"/>
      <c r="AFF94" s="645"/>
      <c r="AFG94" s="646"/>
      <c r="AFH94" s="645"/>
      <c r="AFI94" s="646"/>
      <c r="AFJ94" s="645"/>
      <c r="AFK94" s="646"/>
      <c r="AFL94" s="645"/>
      <c r="AFM94" s="646"/>
      <c r="AFN94" s="645"/>
      <c r="AFO94" s="646"/>
      <c r="AFP94" s="645"/>
      <c r="AFQ94" s="646"/>
      <c r="AFR94" s="645"/>
      <c r="AFS94" s="646"/>
      <c r="AFT94" s="645"/>
      <c r="AFU94" s="646"/>
      <c r="AFV94" s="645"/>
      <c r="AFW94" s="646"/>
      <c r="AFX94" s="645"/>
      <c r="AFY94" s="646"/>
      <c r="AFZ94" s="645"/>
      <c r="AGA94" s="646"/>
      <c r="AGB94" s="645"/>
      <c r="AGC94" s="646"/>
      <c r="AGD94" s="645"/>
      <c r="AGE94" s="646"/>
      <c r="AGF94" s="645"/>
      <c r="AGG94" s="646"/>
      <c r="AGH94" s="645"/>
      <c r="AGI94" s="646"/>
      <c r="AGJ94" s="645"/>
      <c r="AGK94" s="646"/>
      <c r="AGL94" s="645"/>
      <c r="AGM94" s="646"/>
      <c r="AGN94" s="645"/>
      <c r="AGO94" s="646"/>
      <c r="AGP94" s="645"/>
      <c r="AGQ94" s="646"/>
      <c r="AGR94" s="645"/>
      <c r="AGS94" s="646"/>
      <c r="AGT94" s="645"/>
      <c r="AGU94" s="646"/>
      <c r="AGV94" s="645"/>
      <c r="AGW94" s="646"/>
      <c r="AGX94" s="645"/>
      <c r="AGY94" s="646"/>
      <c r="AGZ94" s="645"/>
      <c r="AHA94" s="646"/>
      <c r="AHB94" s="645"/>
      <c r="AHC94" s="646"/>
      <c r="AHD94" s="645"/>
      <c r="AHE94" s="646"/>
      <c r="AHF94" s="645"/>
      <c r="AHG94" s="646"/>
      <c r="AHH94" s="645"/>
      <c r="AHI94" s="646"/>
      <c r="AHJ94" s="645"/>
      <c r="AHK94" s="646"/>
      <c r="AHL94" s="645"/>
      <c r="AHM94" s="646"/>
      <c r="AHN94" s="645"/>
      <c r="AHO94" s="646"/>
      <c r="AHP94" s="645"/>
      <c r="AHQ94" s="646"/>
      <c r="AHR94" s="645"/>
      <c r="AHS94" s="646"/>
      <c r="AHT94" s="645"/>
      <c r="AHU94" s="646"/>
      <c r="AHV94" s="645"/>
      <c r="AHW94" s="646"/>
      <c r="AHX94" s="645"/>
      <c r="AHY94" s="646"/>
      <c r="AHZ94" s="645"/>
      <c r="AIA94" s="646"/>
      <c r="AIB94" s="645"/>
      <c r="AIC94" s="646"/>
      <c r="AID94" s="645"/>
      <c r="AIE94" s="646"/>
      <c r="AIF94" s="645"/>
      <c r="AIG94" s="646"/>
      <c r="AIH94" s="645"/>
      <c r="AII94" s="646"/>
      <c r="AIJ94" s="645"/>
      <c r="AIK94" s="646"/>
      <c r="AIL94" s="645"/>
      <c r="AIM94" s="646"/>
      <c r="AIN94" s="645"/>
      <c r="AIO94" s="646"/>
      <c r="AIP94" s="645"/>
      <c r="AIQ94" s="645"/>
      <c r="AIR94" s="645"/>
      <c r="AIS94" s="645"/>
      <c r="AIT94" s="645"/>
      <c r="AIU94" s="645"/>
      <c r="AIV94" s="645"/>
      <c r="AIW94" s="645"/>
      <c r="AIX94" s="645"/>
      <c r="AIY94" s="645"/>
      <c r="AIZ94" s="645"/>
      <c r="AJA94" s="645"/>
      <c r="AJB94" s="645"/>
      <c r="AJC94" s="645"/>
      <c r="AJD94" s="645"/>
      <c r="AJE94" s="645"/>
      <c r="AJF94" s="645"/>
      <c r="AJG94" s="645"/>
      <c r="AJH94" s="645"/>
      <c r="AJI94" s="645"/>
      <c r="AJJ94" s="645"/>
      <c r="AJK94" s="645"/>
      <c r="AJL94" s="645"/>
      <c r="AJM94" s="645"/>
      <c r="AJN94" s="645"/>
      <c r="AJO94" s="645"/>
      <c r="AJP94" s="645"/>
      <c r="AJQ94" s="645"/>
      <c r="AJR94" s="645"/>
      <c r="AJS94" s="645"/>
      <c r="AJT94" s="645"/>
      <c r="AJU94" s="645"/>
      <c r="AJV94" s="645"/>
      <c r="AJW94" s="645"/>
      <c r="AJX94" s="645"/>
      <c r="AJY94" s="645"/>
      <c r="AJZ94" s="645"/>
      <c r="AKA94" s="645"/>
      <c r="AKB94" s="645"/>
      <c r="AKC94" s="645"/>
      <c r="AKD94" s="645"/>
      <c r="AKE94" s="645"/>
      <c r="AKF94" s="645"/>
      <c r="AKG94" s="645"/>
      <c r="AKH94" s="645"/>
      <c r="AKI94" s="645"/>
      <c r="AKJ94" s="645"/>
      <c r="AKK94" s="645"/>
      <c r="AKL94" s="645"/>
      <c r="AKM94" s="645"/>
      <c r="AKN94" s="645"/>
      <c r="AKO94" s="645"/>
      <c r="AKP94" s="645"/>
      <c r="AKQ94" s="645"/>
      <c r="AKR94" s="645"/>
      <c r="AKS94" s="645"/>
      <c r="AKT94" s="645"/>
      <c r="AKU94" s="645"/>
      <c r="AKV94" s="645"/>
      <c r="AKW94" s="645"/>
      <c r="AKX94" s="645"/>
      <c r="AKY94" s="645"/>
      <c r="AKZ94" s="645"/>
      <c r="ALA94" s="645"/>
      <c r="ALB94" s="645"/>
      <c r="ALC94" s="645"/>
      <c r="ALD94" s="645"/>
      <c r="ALE94" s="645"/>
      <c r="ALF94" s="645"/>
      <c r="ALG94" s="645"/>
      <c r="ALH94" s="645"/>
      <c r="ALI94" s="645"/>
      <c r="ALJ94" s="645"/>
      <c r="ALK94" s="645"/>
      <c r="ALL94" s="645"/>
      <c r="ALM94" s="645"/>
      <c r="ALN94" s="645"/>
      <c r="ALO94" s="645"/>
      <c r="ALP94" s="645"/>
      <c r="ALQ94" s="645"/>
      <c r="ALR94" s="645"/>
      <c r="ALS94" s="645"/>
      <c r="ALT94" s="645"/>
      <c r="ALU94" s="645"/>
      <c r="ALV94" s="645"/>
      <c r="ALW94" s="645"/>
      <c r="ALX94" s="645"/>
      <c r="ALY94" s="645"/>
      <c r="ALZ94" s="645"/>
      <c r="AMA94" s="645"/>
      <c r="AMB94" s="645"/>
      <c r="AMC94" s="645"/>
      <c r="AMD94" s="645"/>
      <c r="AME94" s="645"/>
      <c r="AMF94" s="645"/>
      <c r="AMG94" s="645"/>
      <c r="AMH94" s="645"/>
      <c r="AMI94" s="645"/>
      <c r="AMJ94" s="645"/>
    </row>
    <row r="95" spans="1:1024" s="37" customFormat="1" ht="15.75" customHeight="1" x14ac:dyDescent="0.35">
      <c r="A95" s="600"/>
      <c r="B95" s="644" t="s">
        <v>349</v>
      </c>
      <c r="C95" s="645"/>
      <c r="D95" s="646"/>
      <c r="E95" s="645"/>
      <c r="F95" s="646"/>
      <c r="G95" s="647" t="s">
        <v>243</v>
      </c>
      <c r="H95" s="643"/>
      <c r="I95" s="645"/>
      <c r="J95" s="38"/>
      <c r="K95" s="38"/>
      <c r="L95" s="39"/>
      <c r="M95" s="38"/>
      <c r="N95" s="39"/>
      <c r="O95" s="38"/>
      <c r="P95" s="39"/>
      <c r="Q95" s="38"/>
      <c r="R95" s="39"/>
      <c r="S95" s="38"/>
      <c r="T95" s="39"/>
      <c r="U95" s="38"/>
      <c r="V95" s="39"/>
      <c r="W95" s="38"/>
      <c r="X95" s="39"/>
      <c r="Y95" s="38"/>
      <c r="Z95" s="39"/>
      <c r="AA95" s="38"/>
      <c r="AB95" s="39"/>
      <c r="AC95" s="38"/>
      <c r="AD95" s="39"/>
      <c r="AE95" s="38"/>
      <c r="AF95" s="39"/>
      <c r="AG95" s="38"/>
      <c r="AH95" s="39"/>
      <c r="AI95" s="38"/>
      <c r="AJ95" s="39"/>
      <c r="AK95" s="40"/>
      <c r="AL95" s="39"/>
      <c r="AM95" s="40"/>
      <c r="AN95" s="39"/>
      <c r="AO95" s="40"/>
      <c r="AP95" s="39"/>
      <c r="AQ95" s="40"/>
      <c r="AR95" s="39"/>
      <c r="AS95" s="40"/>
      <c r="AT95" s="39"/>
      <c r="AU95" s="40"/>
      <c r="AV95" s="39"/>
      <c r="AW95" s="40"/>
      <c r="AX95" s="39"/>
      <c r="AY95" s="40"/>
      <c r="AZ95" s="39"/>
      <c r="BA95" s="40"/>
      <c r="BB95" s="39"/>
      <c r="BC95" s="40"/>
      <c r="BD95" s="39"/>
      <c r="BE95" s="40"/>
      <c r="BF95" s="39"/>
      <c r="BG95" s="40"/>
      <c r="BH95" s="39"/>
      <c r="BI95" s="40"/>
      <c r="BJ95" s="39"/>
      <c r="BK95" s="40"/>
      <c r="BL95" s="39"/>
      <c r="BM95" s="40"/>
      <c r="BN95" s="39"/>
      <c r="BO95" s="40"/>
      <c r="BP95" s="39"/>
      <c r="BQ95" s="40"/>
      <c r="BR95" s="39"/>
      <c r="BS95" s="40"/>
      <c r="BT95" s="39"/>
      <c r="BU95" s="40"/>
      <c r="BV95" s="39"/>
      <c r="BW95" s="40"/>
      <c r="BX95" s="39"/>
      <c r="BY95" s="40"/>
      <c r="BZ95" s="39"/>
      <c r="CA95" s="40"/>
      <c r="CB95" s="39"/>
      <c r="CC95" s="40"/>
      <c r="CD95" s="39"/>
      <c r="CE95" s="40"/>
      <c r="CF95" s="39"/>
      <c r="CG95" s="40"/>
      <c r="CH95" s="39"/>
      <c r="CI95" s="40"/>
      <c r="CJ95" s="39"/>
      <c r="CK95" s="40"/>
      <c r="CL95" s="39"/>
      <c r="CM95" s="40"/>
      <c r="CN95" s="39"/>
      <c r="CO95" s="40"/>
      <c r="CP95" s="39"/>
      <c r="CQ95" s="40"/>
      <c r="CR95" s="39"/>
      <c r="CS95" s="40"/>
      <c r="CT95" s="39"/>
      <c r="CU95" s="40"/>
      <c r="CV95" s="39"/>
      <c r="CW95" s="40"/>
      <c r="CX95" s="39"/>
      <c r="CY95" s="40"/>
      <c r="CZ95" s="39"/>
      <c r="DA95" s="40"/>
      <c r="DB95" s="39"/>
      <c r="DC95" s="40"/>
      <c r="DD95" s="39"/>
      <c r="DE95" s="40"/>
      <c r="DF95" s="39"/>
      <c r="DG95" s="40"/>
      <c r="DH95" s="39"/>
      <c r="DI95" s="40"/>
      <c r="DJ95" s="39"/>
      <c r="DK95" s="40"/>
      <c r="DL95" s="39"/>
      <c r="DM95" s="40"/>
      <c r="DN95" s="39"/>
      <c r="DO95" s="40"/>
      <c r="DP95" s="39"/>
      <c r="DQ95" s="40"/>
      <c r="DR95" s="39"/>
      <c r="DS95" s="40"/>
      <c r="DT95" s="39"/>
      <c r="DU95" s="40"/>
      <c r="DV95" s="39"/>
      <c r="DW95" s="40"/>
      <c r="DX95" s="39"/>
      <c r="DY95" s="40"/>
      <c r="DZ95" s="39"/>
      <c r="EA95" s="40"/>
      <c r="EB95" s="39"/>
      <c r="EC95" s="40"/>
      <c r="ED95" s="39"/>
      <c r="EE95" s="40"/>
      <c r="EF95" s="39"/>
      <c r="EG95" s="40"/>
      <c r="EH95" s="39"/>
      <c r="EI95" s="40"/>
      <c r="EJ95" s="39"/>
      <c r="EK95" s="40"/>
      <c r="EL95" s="39"/>
      <c r="EM95" s="40"/>
      <c r="EN95" s="39"/>
      <c r="EO95" s="40"/>
      <c r="EP95" s="39"/>
      <c r="EQ95" s="40"/>
      <c r="ER95" s="39"/>
      <c r="ES95" s="40"/>
      <c r="ET95" s="39"/>
      <c r="EU95" s="40"/>
      <c r="EV95" s="39"/>
      <c r="EW95" s="40"/>
      <c r="EX95" s="39"/>
      <c r="EY95" s="40"/>
      <c r="EZ95" s="39"/>
      <c r="FA95" s="40"/>
      <c r="FB95" s="39"/>
      <c r="FC95" s="40"/>
      <c r="FD95" s="39"/>
      <c r="FE95" s="40"/>
      <c r="FF95" s="39"/>
      <c r="FG95" s="40"/>
      <c r="FH95" s="39"/>
      <c r="FI95" s="40"/>
      <c r="FJ95" s="39"/>
      <c r="FK95" s="40"/>
      <c r="FL95" s="39"/>
      <c r="FM95" s="40"/>
      <c r="FN95" s="39"/>
      <c r="FO95" s="40"/>
      <c r="FP95" s="39"/>
      <c r="FQ95" s="40"/>
      <c r="FR95" s="39"/>
      <c r="FS95" s="40"/>
      <c r="FT95" s="39"/>
      <c r="FU95" s="40"/>
      <c r="FV95" s="39"/>
      <c r="FW95" s="40"/>
      <c r="FX95" s="39"/>
      <c r="FY95" s="40"/>
      <c r="FZ95" s="39"/>
      <c r="GA95" s="40"/>
      <c r="GB95" s="39"/>
      <c r="GC95" s="40"/>
      <c r="GD95" s="39"/>
      <c r="GE95" s="40"/>
      <c r="GF95" s="39"/>
      <c r="GG95" s="40"/>
      <c r="GH95" s="39"/>
      <c r="GI95" s="40"/>
      <c r="GJ95" s="39"/>
      <c r="GK95" s="40"/>
      <c r="GL95" s="39"/>
      <c r="GM95" s="40"/>
      <c r="GN95" s="39"/>
      <c r="GO95" s="40"/>
      <c r="GP95" s="39"/>
      <c r="GQ95" s="40"/>
      <c r="GR95" s="39"/>
      <c r="GS95" s="40"/>
      <c r="GT95" s="39"/>
      <c r="GU95" s="40"/>
      <c r="GV95" s="39"/>
      <c r="GW95" s="40"/>
      <c r="GX95" s="39"/>
      <c r="GY95" s="40"/>
      <c r="GZ95" s="39"/>
      <c r="HA95" s="40"/>
      <c r="HB95" s="39"/>
      <c r="HC95" s="40"/>
      <c r="HD95" s="39"/>
      <c r="HE95" s="40"/>
      <c r="HF95" s="39"/>
      <c r="HG95" s="40"/>
      <c r="HH95" s="39"/>
      <c r="HI95" s="40"/>
      <c r="HJ95" s="39"/>
      <c r="HK95" s="40"/>
      <c r="HL95" s="39"/>
      <c r="HM95" s="40"/>
      <c r="HN95" s="39"/>
      <c r="HO95" s="40"/>
      <c r="HP95" s="39"/>
      <c r="HQ95" s="40"/>
      <c r="HR95" s="39"/>
      <c r="HS95" s="40"/>
      <c r="HT95" s="39"/>
      <c r="HU95" s="40"/>
      <c r="HV95" s="39"/>
      <c r="HW95" s="40"/>
      <c r="HX95" s="39"/>
      <c r="HY95" s="40"/>
      <c r="HZ95" s="39"/>
      <c r="IA95" s="40"/>
      <c r="IB95" s="39"/>
      <c r="IC95" s="1068"/>
      <c r="ID95" s="645"/>
      <c r="IE95" s="646"/>
      <c r="IF95" s="645"/>
      <c r="IG95" s="646"/>
      <c r="IH95" s="645"/>
      <c r="II95" s="646"/>
      <c r="IJ95" s="645"/>
      <c r="IK95" s="646"/>
      <c r="IL95" s="645"/>
      <c r="IM95" s="646"/>
      <c r="IN95" s="645"/>
      <c r="IO95" s="646"/>
      <c r="IP95" s="645"/>
      <c r="IQ95" s="646"/>
      <c r="IR95" s="645"/>
      <c r="IS95" s="646"/>
      <c r="IT95" s="645"/>
      <c r="IU95" s="646"/>
      <c r="IV95" s="645"/>
      <c r="IW95" s="646"/>
      <c r="IX95" s="645"/>
      <c r="IY95" s="646"/>
      <c r="IZ95" s="645"/>
      <c r="JA95" s="646"/>
      <c r="JB95" s="645"/>
      <c r="JC95" s="646"/>
      <c r="JD95" s="645"/>
      <c r="JE95" s="646"/>
      <c r="JF95" s="645"/>
      <c r="JG95" s="646"/>
      <c r="JH95" s="645"/>
      <c r="JI95" s="646"/>
      <c r="JJ95" s="645"/>
      <c r="JK95" s="646"/>
      <c r="JL95" s="645"/>
      <c r="JM95" s="646"/>
      <c r="JN95" s="645"/>
      <c r="JO95" s="646"/>
      <c r="JP95" s="645"/>
      <c r="JQ95" s="646"/>
      <c r="JR95" s="645"/>
      <c r="JS95" s="646"/>
      <c r="JT95" s="645"/>
      <c r="JU95" s="646"/>
      <c r="JV95" s="645"/>
      <c r="JW95" s="646"/>
      <c r="JX95" s="645"/>
      <c r="JY95" s="646"/>
      <c r="JZ95" s="645"/>
      <c r="KA95" s="646"/>
      <c r="KB95" s="645"/>
      <c r="KC95" s="646"/>
      <c r="KD95" s="645"/>
      <c r="KE95" s="646"/>
      <c r="KF95" s="645"/>
      <c r="KG95" s="646"/>
      <c r="KH95" s="645"/>
      <c r="KI95" s="646"/>
      <c r="KJ95" s="645"/>
      <c r="KK95" s="646"/>
      <c r="KL95" s="645"/>
      <c r="KM95" s="646"/>
      <c r="KN95" s="645"/>
      <c r="KO95" s="646"/>
      <c r="KP95" s="645"/>
      <c r="KQ95" s="646"/>
      <c r="KR95" s="645"/>
      <c r="KS95" s="646"/>
      <c r="KT95" s="645"/>
      <c r="KU95" s="646"/>
      <c r="KV95" s="645"/>
      <c r="KW95" s="646"/>
      <c r="KX95" s="645"/>
      <c r="KY95" s="646"/>
      <c r="KZ95" s="645"/>
      <c r="LA95" s="646"/>
      <c r="LB95" s="645"/>
      <c r="LC95" s="646"/>
      <c r="LD95" s="645"/>
      <c r="LE95" s="646"/>
      <c r="LF95" s="645"/>
      <c r="LG95" s="646"/>
      <c r="LH95" s="645"/>
      <c r="LI95" s="646"/>
      <c r="LJ95" s="645"/>
      <c r="LK95" s="646"/>
      <c r="LL95" s="645"/>
      <c r="LM95" s="646"/>
      <c r="LN95" s="645"/>
      <c r="LO95" s="646"/>
      <c r="LP95" s="645"/>
      <c r="LQ95" s="646"/>
      <c r="LR95" s="645"/>
      <c r="LS95" s="646"/>
      <c r="LT95" s="645"/>
      <c r="LU95" s="646"/>
      <c r="LV95" s="645"/>
      <c r="LW95" s="646"/>
      <c r="LX95" s="645"/>
      <c r="LY95" s="646"/>
      <c r="LZ95" s="645"/>
      <c r="MA95" s="646"/>
      <c r="MB95" s="645"/>
      <c r="MC95" s="646"/>
      <c r="MD95" s="645"/>
      <c r="ME95" s="646"/>
      <c r="MF95" s="645"/>
      <c r="MG95" s="646"/>
      <c r="MH95" s="645"/>
      <c r="MI95" s="646"/>
      <c r="MJ95" s="645"/>
      <c r="MK95" s="646"/>
      <c r="ML95" s="645"/>
      <c r="MM95" s="646"/>
      <c r="MN95" s="645"/>
      <c r="MO95" s="646"/>
      <c r="MP95" s="645"/>
      <c r="MQ95" s="646"/>
      <c r="MR95" s="645"/>
      <c r="MS95" s="646"/>
      <c r="MT95" s="645"/>
      <c r="MU95" s="646"/>
      <c r="MV95" s="645"/>
      <c r="MW95" s="646"/>
      <c r="MX95" s="645"/>
      <c r="MY95" s="646"/>
      <c r="MZ95" s="645"/>
      <c r="NA95" s="646"/>
      <c r="NB95" s="645"/>
      <c r="NC95" s="646"/>
      <c r="ND95" s="645"/>
      <c r="NE95" s="646"/>
      <c r="NF95" s="645"/>
      <c r="NG95" s="646"/>
      <c r="NH95" s="645"/>
      <c r="NI95" s="646"/>
      <c r="NJ95" s="645"/>
      <c r="NK95" s="646"/>
      <c r="NL95" s="645"/>
      <c r="NM95" s="646"/>
      <c r="NN95" s="645"/>
      <c r="NO95" s="646"/>
      <c r="NP95" s="645"/>
      <c r="NQ95" s="646"/>
      <c r="NR95" s="645"/>
      <c r="NS95" s="646"/>
      <c r="NT95" s="645"/>
      <c r="NU95" s="646"/>
      <c r="NV95" s="645"/>
      <c r="NW95" s="646"/>
      <c r="NX95" s="645"/>
      <c r="NY95" s="646"/>
      <c r="NZ95" s="645"/>
      <c r="OA95" s="646"/>
      <c r="OB95" s="645"/>
      <c r="OC95" s="646"/>
      <c r="OD95" s="645"/>
      <c r="OE95" s="646"/>
      <c r="OF95" s="645"/>
      <c r="OG95" s="646"/>
      <c r="OH95" s="645"/>
      <c r="OI95" s="646"/>
      <c r="OJ95" s="645"/>
      <c r="OK95" s="646"/>
      <c r="OL95" s="645"/>
      <c r="OM95" s="646"/>
      <c r="ON95" s="645"/>
      <c r="OO95" s="646"/>
      <c r="OP95" s="645"/>
      <c r="OQ95" s="646"/>
      <c r="OR95" s="645"/>
      <c r="OS95" s="646"/>
      <c r="OT95" s="645"/>
      <c r="OU95" s="646"/>
      <c r="OV95" s="645"/>
      <c r="OW95" s="646"/>
      <c r="OX95" s="645"/>
      <c r="OY95" s="646"/>
      <c r="OZ95" s="645"/>
      <c r="PA95" s="646"/>
      <c r="PB95" s="645"/>
      <c r="PC95" s="646"/>
      <c r="PD95" s="645"/>
      <c r="PE95" s="646"/>
      <c r="PF95" s="645"/>
      <c r="PG95" s="646"/>
      <c r="PH95" s="645"/>
      <c r="PI95" s="646"/>
      <c r="PJ95" s="645"/>
      <c r="PK95" s="646"/>
      <c r="PL95" s="645"/>
      <c r="PM95" s="646"/>
      <c r="PN95" s="645"/>
      <c r="PO95" s="646"/>
      <c r="PP95" s="645"/>
      <c r="PQ95" s="646"/>
      <c r="PR95" s="645"/>
      <c r="PS95" s="646"/>
      <c r="PT95" s="645"/>
      <c r="PU95" s="646"/>
      <c r="PV95" s="645"/>
      <c r="PW95" s="646"/>
      <c r="PX95" s="645"/>
      <c r="PY95" s="646"/>
      <c r="PZ95" s="645"/>
      <c r="QA95" s="646"/>
      <c r="QB95" s="645"/>
      <c r="QC95" s="646"/>
      <c r="QD95" s="645"/>
      <c r="QE95" s="646"/>
      <c r="QF95" s="645"/>
      <c r="QG95" s="646"/>
      <c r="QH95" s="645"/>
      <c r="QI95" s="646"/>
      <c r="QJ95" s="645"/>
      <c r="QK95" s="646"/>
      <c r="QL95" s="645"/>
      <c r="QM95" s="646"/>
      <c r="QN95" s="645"/>
      <c r="QO95" s="646"/>
      <c r="QP95" s="645"/>
      <c r="QQ95" s="646"/>
      <c r="QR95" s="645"/>
      <c r="QS95" s="646"/>
      <c r="QT95" s="645"/>
      <c r="QU95" s="646"/>
      <c r="QV95" s="645"/>
      <c r="QW95" s="646"/>
      <c r="QX95" s="645"/>
      <c r="QY95" s="646"/>
      <c r="QZ95" s="645"/>
      <c r="RA95" s="646"/>
      <c r="RB95" s="645"/>
      <c r="RC95" s="646"/>
      <c r="RD95" s="645"/>
      <c r="RE95" s="646"/>
      <c r="RF95" s="645"/>
      <c r="RG95" s="646"/>
      <c r="RH95" s="645"/>
      <c r="RI95" s="646"/>
      <c r="RJ95" s="645"/>
      <c r="RK95" s="646"/>
      <c r="RL95" s="645"/>
      <c r="RM95" s="646"/>
      <c r="RN95" s="645"/>
      <c r="RO95" s="646"/>
      <c r="RP95" s="645"/>
      <c r="RQ95" s="646"/>
      <c r="RR95" s="645"/>
      <c r="RS95" s="646"/>
      <c r="RT95" s="645"/>
      <c r="RU95" s="646"/>
      <c r="RV95" s="645"/>
      <c r="RW95" s="646"/>
      <c r="RX95" s="645"/>
      <c r="RY95" s="646"/>
      <c r="RZ95" s="645"/>
      <c r="SA95" s="646"/>
      <c r="SB95" s="645"/>
      <c r="SC95" s="646"/>
      <c r="SD95" s="645"/>
      <c r="SE95" s="646"/>
      <c r="SF95" s="645"/>
      <c r="SG95" s="646"/>
      <c r="SH95" s="645"/>
      <c r="SI95" s="646"/>
      <c r="SJ95" s="645"/>
      <c r="SK95" s="646"/>
      <c r="SL95" s="645"/>
      <c r="SM95" s="646"/>
      <c r="SN95" s="645"/>
      <c r="SO95" s="646"/>
      <c r="SP95" s="645"/>
      <c r="SQ95" s="646"/>
      <c r="SR95" s="645"/>
      <c r="SS95" s="646"/>
      <c r="ST95" s="645"/>
      <c r="SU95" s="646"/>
      <c r="SV95" s="645"/>
      <c r="SW95" s="646"/>
      <c r="SX95" s="645"/>
      <c r="SY95" s="646"/>
      <c r="SZ95" s="645"/>
      <c r="TA95" s="646"/>
      <c r="TB95" s="645"/>
      <c r="TC95" s="646"/>
      <c r="TD95" s="645"/>
      <c r="TE95" s="646"/>
      <c r="TF95" s="645"/>
      <c r="TG95" s="646"/>
      <c r="TH95" s="645"/>
      <c r="TI95" s="646"/>
      <c r="TJ95" s="645"/>
      <c r="TK95" s="646"/>
      <c r="TL95" s="645"/>
      <c r="TM95" s="646"/>
      <c r="TN95" s="645"/>
      <c r="TO95" s="646"/>
      <c r="TP95" s="645"/>
      <c r="TQ95" s="646"/>
      <c r="TR95" s="645"/>
      <c r="TS95" s="646"/>
      <c r="TT95" s="645"/>
      <c r="TU95" s="646"/>
      <c r="TV95" s="645"/>
      <c r="TW95" s="646"/>
      <c r="TX95" s="645"/>
      <c r="TY95" s="646"/>
      <c r="TZ95" s="645"/>
      <c r="UA95" s="646"/>
      <c r="UB95" s="645"/>
      <c r="UC95" s="646"/>
      <c r="UD95" s="645"/>
      <c r="UE95" s="646"/>
      <c r="UF95" s="645"/>
      <c r="UG95" s="646"/>
      <c r="UH95" s="645"/>
      <c r="UI95" s="646"/>
      <c r="UJ95" s="645"/>
      <c r="UK95" s="646"/>
      <c r="UL95" s="645"/>
      <c r="UM95" s="646"/>
      <c r="UN95" s="645"/>
      <c r="UO95" s="646"/>
      <c r="UP95" s="645"/>
      <c r="UQ95" s="646"/>
      <c r="UR95" s="645"/>
      <c r="US95" s="646"/>
      <c r="UT95" s="645"/>
      <c r="UU95" s="646"/>
      <c r="UV95" s="645"/>
      <c r="UW95" s="646"/>
      <c r="UX95" s="645"/>
      <c r="UY95" s="646"/>
      <c r="UZ95" s="645"/>
      <c r="VA95" s="646"/>
      <c r="VB95" s="645"/>
      <c r="VC95" s="646"/>
      <c r="VD95" s="645"/>
      <c r="VE95" s="646"/>
      <c r="VF95" s="645"/>
      <c r="VG95" s="646"/>
      <c r="VH95" s="645"/>
      <c r="VI95" s="646"/>
      <c r="VJ95" s="645"/>
      <c r="VK95" s="646"/>
      <c r="VL95" s="645"/>
      <c r="VM95" s="646"/>
      <c r="VN95" s="645"/>
      <c r="VO95" s="646"/>
      <c r="VP95" s="645"/>
      <c r="VQ95" s="646"/>
      <c r="VR95" s="645"/>
      <c r="VS95" s="646"/>
      <c r="VT95" s="645"/>
      <c r="VU95" s="646"/>
      <c r="VV95" s="645"/>
      <c r="VW95" s="646"/>
      <c r="VX95" s="645"/>
      <c r="VY95" s="646"/>
      <c r="VZ95" s="645"/>
      <c r="WA95" s="646"/>
      <c r="WB95" s="645"/>
      <c r="WC95" s="646"/>
      <c r="WD95" s="645"/>
      <c r="WE95" s="646"/>
      <c r="WF95" s="645"/>
      <c r="WG95" s="646"/>
      <c r="WH95" s="645"/>
      <c r="WI95" s="646"/>
      <c r="WJ95" s="645"/>
      <c r="WK95" s="646"/>
      <c r="WL95" s="645"/>
      <c r="WM95" s="646"/>
      <c r="WN95" s="645"/>
      <c r="WO95" s="646"/>
      <c r="WP95" s="645"/>
      <c r="WQ95" s="646"/>
      <c r="WR95" s="645"/>
      <c r="WS95" s="646"/>
      <c r="WT95" s="645"/>
      <c r="WU95" s="646"/>
      <c r="WV95" s="645"/>
      <c r="WW95" s="646"/>
      <c r="WX95" s="645"/>
      <c r="WY95" s="646"/>
      <c r="WZ95" s="645"/>
      <c r="XA95" s="646"/>
      <c r="XB95" s="645"/>
      <c r="XC95" s="646"/>
      <c r="XD95" s="645"/>
      <c r="XE95" s="646"/>
      <c r="XF95" s="645"/>
      <c r="XG95" s="646"/>
      <c r="XH95" s="645"/>
      <c r="XI95" s="646"/>
      <c r="XJ95" s="645"/>
      <c r="XK95" s="646"/>
      <c r="XL95" s="645"/>
      <c r="XM95" s="646"/>
      <c r="XN95" s="645"/>
      <c r="XO95" s="646"/>
      <c r="XP95" s="645"/>
      <c r="XQ95" s="646"/>
      <c r="XR95" s="645"/>
      <c r="XS95" s="646"/>
      <c r="XT95" s="645"/>
      <c r="XU95" s="646"/>
      <c r="XV95" s="645"/>
      <c r="XW95" s="646"/>
      <c r="XX95" s="645"/>
      <c r="XY95" s="646"/>
      <c r="XZ95" s="645"/>
      <c r="YA95" s="646"/>
      <c r="YB95" s="645"/>
      <c r="YC95" s="646"/>
      <c r="YD95" s="645"/>
      <c r="YE95" s="646"/>
      <c r="YF95" s="645"/>
      <c r="YG95" s="646"/>
      <c r="YH95" s="645"/>
      <c r="YI95" s="646"/>
      <c r="YJ95" s="645"/>
      <c r="YK95" s="646"/>
      <c r="YL95" s="645"/>
      <c r="YM95" s="646"/>
      <c r="YN95" s="645"/>
      <c r="YO95" s="646"/>
      <c r="YP95" s="645"/>
      <c r="YQ95" s="646"/>
      <c r="YR95" s="645"/>
      <c r="YS95" s="646"/>
      <c r="YT95" s="645"/>
      <c r="YU95" s="646"/>
      <c r="YV95" s="645"/>
      <c r="YW95" s="646"/>
      <c r="YX95" s="645"/>
      <c r="YY95" s="646"/>
      <c r="YZ95" s="645"/>
      <c r="ZA95" s="646"/>
      <c r="ZB95" s="645"/>
      <c r="ZC95" s="646"/>
      <c r="ZD95" s="645"/>
      <c r="ZE95" s="646"/>
      <c r="ZF95" s="645"/>
      <c r="ZG95" s="646"/>
      <c r="ZH95" s="645"/>
      <c r="ZI95" s="646"/>
      <c r="ZJ95" s="645"/>
      <c r="ZK95" s="646"/>
      <c r="ZL95" s="645"/>
      <c r="ZM95" s="646"/>
      <c r="ZN95" s="645"/>
      <c r="ZO95" s="646"/>
      <c r="ZP95" s="645"/>
      <c r="ZQ95" s="646"/>
      <c r="ZR95" s="645"/>
      <c r="ZS95" s="646"/>
      <c r="ZT95" s="645"/>
      <c r="ZU95" s="646"/>
      <c r="ZV95" s="645"/>
      <c r="ZW95" s="646"/>
      <c r="ZX95" s="645"/>
      <c r="ZY95" s="646"/>
      <c r="ZZ95" s="645"/>
      <c r="AAA95" s="646"/>
      <c r="AAB95" s="645"/>
      <c r="AAC95" s="646"/>
      <c r="AAD95" s="645"/>
      <c r="AAE95" s="646"/>
      <c r="AAF95" s="645"/>
      <c r="AAG95" s="646"/>
      <c r="AAH95" s="645"/>
      <c r="AAI95" s="646"/>
      <c r="AAJ95" s="645"/>
      <c r="AAK95" s="646"/>
      <c r="AAL95" s="645"/>
      <c r="AAM95" s="646"/>
      <c r="AAN95" s="645"/>
      <c r="AAO95" s="646"/>
      <c r="AAP95" s="645"/>
      <c r="AAQ95" s="646"/>
      <c r="AAR95" s="645"/>
      <c r="AAS95" s="646"/>
      <c r="AAT95" s="645"/>
      <c r="AAU95" s="646"/>
      <c r="AAV95" s="645"/>
      <c r="AAW95" s="646"/>
      <c r="AAX95" s="645"/>
      <c r="AAY95" s="646"/>
      <c r="AAZ95" s="645"/>
      <c r="ABA95" s="646"/>
      <c r="ABB95" s="645"/>
      <c r="ABC95" s="646"/>
      <c r="ABD95" s="645"/>
      <c r="ABE95" s="646"/>
      <c r="ABF95" s="645"/>
      <c r="ABG95" s="646"/>
      <c r="ABH95" s="645"/>
      <c r="ABI95" s="646"/>
      <c r="ABJ95" s="645"/>
      <c r="ABK95" s="646"/>
      <c r="ABL95" s="645"/>
      <c r="ABM95" s="646"/>
      <c r="ABN95" s="645"/>
      <c r="ABO95" s="646"/>
      <c r="ABP95" s="645"/>
      <c r="ABQ95" s="646"/>
      <c r="ABR95" s="645"/>
      <c r="ABS95" s="646"/>
      <c r="ABT95" s="645"/>
      <c r="ABU95" s="646"/>
      <c r="ABV95" s="645"/>
      <c r="ABW95" s="646"/>
      <c r="ABX95" s="645"/>
      <c r="ABY95" s="646"/>
      <c r="ABZ95" s="645"/>
      <c r="ACA95" s="646"/>
      <c r="ACB95" s="645"/>
      <c r="ACC95" s="646"/>
      <c r="ACD95" s="645"/>
      <c r="ACE95" s="646"/>
      <c r="ACF95" s="645"/>
      <c r="ACG95" s="646"/>
      <c r="ACH95" s="645"/>
      <c r="ACI95" s="646"/>
      <c r="ACJ95" s="645"/>
      <c r="ACK95" s="646"/>
      <c r="ACL95" s="645"/>
      <c r="ACM95" s="646"/>
      <c r="ACN95" s="645"/>
      <c r="ACO95" s="646"/>
      <c r="ACP95" s="645"/>
      <c r="ACQ95" s="646"/>
      <c r="ACR95" s="645"/>
      <c r="ACS95" s="646"/>
      <c r="ACT95" s="645"/>
      <c r="ACU95" s="646"/>
      <c r="ACV95" s="645"/>
      <c r="ACW95" s="646"/>
      <c r="ACX95" s="645"/>
      <c r="ACY95" s="646"/>
      <c r="ACZ95" s="645"/>
      <c r="ADA95" s="646"/>
      <c r="ADB95" s="645"/>
      <c r="ADC95" s="646"/>
      <c r="ADD95" s="645"/>
      <c r="ADE95" s="646"/>
      <c r="ADF95" s="645"/>
      <c r="ADG95" s="646"/>
      <c r="ADH95" s="645"/>
      <c r="ADI95" s="646"/>
      <c r="ADJ95" s="645"/>
      <c r="ADK95" s="646"/>
      <c r="ADL95" s="645"/>
      <c r="ADM95" s="646"/>
      <c r="ADN95" s="645"/>
      <c r="ADO95" s="646"/>
      <c r="ADP95" s="645"/>
      <c r="ADQ95" s="646"/>
      <c r="ADR95" s="645"/>
      <c r="ADS95" s="646"/>
      <c r="ADT95" s="645"/>
      <c r="ADU95" s="646"/>
      <c r="ADV95" s="645"/>
      <c r="ADW95" s="646"/>
      <c r="ADX95" s="645"/>
      <c r="ADY95" s="646"/>
      <c r="ADZ95" s="645"/>
      <c r="AEA95" s="646"/>
      <c r="AEB95" s="645"/>
      <c r="AEC95" s="646"/>
      <c r="AED95" s="645"/>
      <c r="AEE95" s="646"/>
      <c r="AEF95" s="645"/>
      <c r="AEG95" s="646"/>
      <c r="AEH95" s="645"/>
      <c r="AEI95" s="646"/>
      <c r="AEJ95" s="645"/>
      <c r="AEK95" s="646"/>
      <c r="AEL95" s="645"/>
      <c r="AEM95" s="646"/>
      <c r="AEN95" s="645"/>
      <c r="AEO95" s="646"/>
      <c r="AEP95" s="645"/>
      <c r="AEQ95" s="646"/>
      <c r="AER95" s="645"/>
      <c r="AES95" s="646"/>
      <c r="AET95" s="645"/>
      <c r="AEU95" s="646"/>
      <c r="AEV95" s="645"/>
      <c r="AEW95" s="646"/>
      <c r="AEX95" s="645"/>
      <c r="AEY95" s="646"/>
      <c r="AEZ95" s="645"/>
      <c r="AFA95" s="646"/>
      <c r="AFB95" s="645"/>
      <c r="AFC95" s="646"/>
      <c r="AFD95" s="645"/>
      <c r="AFE95" s="646"/>
      <c r="AFF95" s="645"/>
      <c r="AFG95" s="646"/>
      <c r="AFH95" s="645"/>
      <c r="AFI95" s="646"/>
      <c r="AFJ95" s="645"/>
      <c r="AFK95" s="646"/>
      <c r="AFL95" s="645"/>
      <c r="AFM95" s="646"/>
      <c r="AFN95" s="645"/>
      <c r="AFO95" s="646"/>
      <c r="AFP95" s="645"/>
      <c r="AFQ95" s="646"/>
      <c r="AFR95" s="645"/>
      <c r="AFS95" s="646"/>
      <c r="AFT95" s="645"/>
      <c r="AFU95" s="646"/>
      <c r="AFV95" s="645"/>
      <c r="AFW95" s="646"/>
      <c r="AFX95" s="645"/>
      <c r="AFY95" s="646"/>
      <c r="AFZ95" s="645"/>
      <c r="AGA95" s="646"/>
      <c r="AGB95" s="645"/>
      <c r="AGC95" s="646"/>
      <c r="AGD95" s="645"/>
      <c r="AGE95" s="646"/>
      <c r="AGF95" s="645"/>
      <c r="AGG95" s="646"/>
      <c r="AGH95" s="645"/>
      <c r="AGI95" s="646"/>
      <c r="AGJ95" s="645"/>
      <c r="AGK95" s="646"/>
      <c r="AGL95" s="645"/>
      <c r="AGM95" s="646"/>
      <c r="AGN95" s="645"/>
      <c r="AGO95" s="646"/>
      <c r="AGP95" s="645"/>
      <c r="AGQ95" s="646"/>
      <c r="AGR95" s="645"/>
      <c r="AGS95" s="646"/>
      <c r="AGT95" s="645"/>
      <c r="AGU95" s="646"/>
      <c r="AGV95" s="645"/>
      <c r="AGW95" s="646"/>
      <c r="AGX95" s="645"/>
      <c r="AGY95" s="646"/>
      <c r="AGZ95" s="645"/>
      <c r="AHA95" s="646"/>
      <c r="AHB95" s="645"/>
      <c r="AHC95" s="646"/>
      <c r="AHD95" s="645"/>
      <c r="AHE95" s="646"/>
      <c r="AHF95" s="645"/>
      <c r="AHG95" s="646"/>
      <c r="AHH95" s="645"/>
      <c r="AHI95" s="646"/>
      <c r="AHJ95" s="645"/>
      <c r="AHK95" s="646"/>
      <c r="AHL95" s="645"/>
      <c r="AHM95" s="646"/>
      <c r="AHN95" s="645"/>
      <c r="AHO95" s="646"/>
      <c r="AHP95" s="645"/>
      <c r="AHQ95" s="646"/>
      <c r="AHR95" s="645"/>
      <c r="AHS95" s="646"/>
      <c r="AHT95" s="645"/>
      <c r="AHU95" s="646"/>
      <c r="AHV95" s="645"/>
      <c r="AHW95" s="646"/>
      <c r="AHX95" s="645"/>
      <c r="AHY95" s="646"/>
      <c r="AHZ95" s="645"/>
      <c r="AIA95" s="646"/>
      <c r="AIB95" s="645"/>
      <c r="AIC95" s="646"/>
      <c r="AID95" s="645"/>
      <c r="AIE95" s="646"/>
      <c r="AIF95" s="645"/>
      <c r="AIG95" s="646"/>
      <c r="AIH95" s="645"/>
      <c r="AII95" s="646"/>
      <c r="AIJ95" s="645"/>
      <c r="AIK95" s="646"/>
      <c r="AIL95" s="645"/>
      <c r="AIM95" s="646"/>
      <c r="AIN95" s="645"/>
      <c r="AIO95" s="646"/>
      <c r="AIP95" s="645"/>
      <c r="AIQ95" s="645"/>
      <c r="AIR95" s="645"/>
      <c r="AIS95" s="645"/>
      <c r="AIT95" s="645"/>
      <c r="AIU95" s="645"/>
      <c r="AIV95" s="645"/>
      <c r="AIW95" s="645"/>
      <c r="AIX95" s="645"/>
      <c r="AIY95" s="645"/>
      <c r="AIZ95" s="645"/>
      <c r="AJA95" s="645"/>
      <c r="AJB95" s="645"/>
      <c r="AJC95" s="645"/>
      <c r="AJD95" s="645"/>
      <c r="AJE95" s="645"/>
      <c r="AJF95" s="645"/>
      <c r="AJG95" s="645"/>
      <c r="AJH95" s="645"/>
      <c r="AJI95" s="645"/>
      <c r="AJJ95" s="645"/>
      <c r="AJK95" s="645"/>
      <c r="AJL95" s="645"/>
      <c r="AJM95" s="645"/>
      <c r="AJN95" s="645"/>
      <c r="AJO95" s="645"/>
      <c r="AJP95" s="645"/>
      <c r="AJQ95" s="645"/>
      <c r="AJR95" s="645"/>
      <c r="AJS95" s="645"/>
      <c r="AJT95" s="645"/>
      <c r="AJU95" s="645"/>
      <c r="AJV95" s="645"/>
      <c r="AJW95" s="645"/>
      <c r="AJX95" s="645"/>
      <c r="AJY95" s="645"/>
      <c r="AJZ95" s="645"/>
      <c r="AKA95" s="645"/>
      <c r="AKB95" s="645"/>
      <c r="AKC95" s="645"/>
      <c r="AKD95" s="645"/>
      <c r="AKE95" s="645"/>
      <c r="AKF95" s="645"/>
      <c r="AKG95" s="645"/>
      <c r="AKH95" s="645"/>
      <c r="AKI95" s="645"/>
      <c r="AKJ95" s="645"/>
      <c r="AKK95" s="645"/>
      <c r="AKL95" s="645"/>
      <c r="AKM95" s="645"/>
      <c r="AKN95" s="645"/>
      <c r="AKO95" s="645"/>
      <c r="AKP95" s="645"/>
      <c r="AKQ95" s="645"/>
      <c r="AKR95" s="645"/>
      <c r="AKS95" s="645"/>
      <c r="AKT95" s="645"/>
      <c r="AKU95" s="645"/>
      <c r="AKV95" s="645"/>
      <c r="AKW95" s="645"/>
      <c r="AKX95" s="645"/>
      <c r="AKY95" s="645"/>
      <c r="AKZ95" s="645"/>
      <c r="ALA95" s="645"/>
      <c r="ALB95" s="645"/>
      <c r="ALC95" s="645"/>
      <c r="ALD95" s="645"/>
      <c r="ALE95" s="645"/>
      <c r="ALF95" s="645"/>
      <c r="ALG95" s="645"/>
      <c r="ALH95" s="645"/>
      <c r="ALI95" s="645"/>
      <c r="ALJ95" s="645"/>
      <c r="ALK95" s="645"/>
      <c r="ALL95" s="645"/>
      <c r="ALM95" s="645"/>
      <c r="ALN95" s="645"/>
      <c r="ALO95" s="645"/>
      <c r="ALP95" s="645"/>
      <c r="ALQ95" s="645"/>
      <c r="ALR95" s="645"/>
      <c r="ALS95" s="645"/>
      <c r="ALT95" s="645"/>
      <c r="ALU95" s="645"/>
      <c r="ALV95" s="645"/>
      <c r="ALW95" s="645"/>
      <c r="ALX95" s="645"/>
      <c r="ALY95" s="645"/>
      <c r="ALZ95" s="645"/>
      <c r="AMA95" s="645"/>
      <c r="AMB95" s="645"/>
      <c r="AMC95" s="645"/>
      <c r="AMD95" s="645"/>
      <c r="AME95" s="645"/>
      <c r="AMF95" s="645"/>
      <c r="AMG95" s="645"/>
      <c r="AMH95" s="645"/>
      <c r="AMI95" s="645"/>
      <c r="AMJ95" s="645"/>
    </row>
    <row r="96" spans="1:1024" s="37" customFormat="1" ht="15.75" customHeight="1" x14ac:dyDescent="0.35">
      <c r="A96" s="600"/>
      <c r="B96" s="644" t="s">
        <v>350</v>
      </c>
      <c r="C96" s="645"/>
      <c r="D96" s="646"/>
      <c r="E96" s="645"/>
      <c r="F96" s="646"/>
      <c r="G96" s="647" t="s">
        <v>243</v>
      </c>
      <c r="H96" s="643"/>
      <c r="I96" s="645"/>
      <c r="J96" s="38"/>
      <c r="K96" s="38"/>
      <c r="L96" s="39"/>
      <c r="M96" s="38"/>
      <c r="N96" s="39"/>
      <c r="O96" s="38"/>
      <c r="P96" s="39"/>
      <c r="Q96" s="38"/>
      <c r="R96" s="39"/>
      <c r="S96" s="38"/>
      <c r="T96" s="39"/>
      <c r="U96" s="38"/>
      <c r="V96" s="39"/>
      <c r="W96" s="38"/>
      <c r="X96" s="39"/>
      <c r="Y96" s="38"/>
      <c r="Z96" s="39"/>
      <c r="AA96" s="38"/>
      <c r="AB96" s="39"/>
      <c r="AC96" s="38"/>
      <c r="AD96" s="39"/>
      <c r="AE96" s="38"/>
      <c r="AF96" s="39"/>
      <c r="AG96" s="38"/>
      <c r="AH96" s="39"/>
      <c r="AI96" s="38"/>
      <c r="AJ96" s="39"/>
      <c r="AK96" s="40"/>
      <c r="AL96" s="39"/>
      <c r="AM96" s="40"/>
      <c r="AN96" s="39"/>
      <c r="AO96" s="40"/>
      <c r="AP96" s="39"/>
      <c r="AQ96" s="40"/>
      <c r="AR96" s="39"/>
      <c r="AS96" s="40"/>
      <c r="AT96" s="39"/>
      <c r="AU96" s="40"/>
      <c r="AV96" s="39"/>
      <c r="AW96" s="40"/>
      <c r="AX96" s="39"/>
      <c r="AY96" s="40"/>
      <c r="AZ96" s="39"/>
      <c r="BA96" s="40"/>
      <c r="BB96" s="39"/>
      <c r="BC96" s="40"/>
      <c r="BD96" s="39"/>
      <c r="BE96" s="40"/>
      <c r="BF96" s="39"/>
      <c r="BG96" s="40"/>
      <c r="BH96" s="39"/>
      <c r="BI96" s="40"/>
      <c r="BJ96" s="39"/>
      <c r="BK96" s="40"/>
      <c r="BL96" s="39"/>
      <c r="BM96" s="40"/>
      <c r="BN96" s="39"/>
      <c r="BO96" s="40"/>
      <c r="BP96" s="39"/>
      <c r="BQ96" s="40"/>
      <c r="BR96" s="39"/>
      <c r="BS96" s="40"/>
      <c r="BT96" s="39"/>
      <c r="BU96" s="40"/>
      <c r="BV96" s="39"/>
      <c r="BW96" s="40"/>
      <c r="BX96" s="39"/>
      <c r="BY96" s="40"/>
      <c r="BZ96" s="39"/>
      <c r="CA96" s="40"/>
      <c r="CB96" s="39"/>
      <c r="CC96" s="40"/>
      <c r="CD96" s="39"/>
      <c r="CE96" s="40"/>
      <c r="CF96" s="39"/>
      <c r="CG96" s="40"/>
      <c r="CH96" s="39"/>
      <c r="CI96" s="40"/>
      <c r="CJ96" s="39"/>
      <c r="CK96" s="40"/>
      <c r="CL96" s="39"/>
      <c r="CM96" s="40"/>
      <c r="CN96" s="39"/>
      <c r="CO96" s="40"/>
      <c r="CP96" s="39"/>
      <c r="CQ96" s="40"/>
      <c r="CR96" s="39"/>
      <c r="CS96" s="40"/>
      <c r="CT96" s="39"/>
      <c r="CU96" s="40"/>
      <c r="CV96" s="39"/>
      <c r="CW96" s="40"/>
      <c r="CX96" s="39"/>
      <c r="CY96" s="40"/>
      <c r="CZ96" s="39"/>
      <c r="DA96" s="40"/>
      <c r="DB96" s="39"/>
      <c r="DC96" s="40"/>
      <c r="DD96" s="39"/>
      <c r="DE96" s="40"/>
      <c r="DF96" s="39"/>
      <c r="DG96" s="40"/>
      <c r="DH96" s="39"/>
      <c r="DI96" s="40"/>
      <c r="DJ96" s="39"/>
      <c r="DK96" s="40"/>
      <c r="DL96" s="39"/>
      <c r="DM96" s="40"/>
      <c r="DN96" s="39"/>
      <c r="DO96" s="40"/>
      <c r="DP96" s="39"/>
      <c r="DQ96" s="40"/>
      <c r="DR96" s="39"/>
      <c r="DS96" s="40"/>
      <c r="DT96" s="39"/>
      <c r="DU96" s="40"/>
      <c r="DV96" s="39"/>
      <c r="DW96" s="40"/>
      <c r="DX96" s="39"/>
      <c r="DY96" s="40"/>
      <c r="DZ96" s="39"/>
      <c r="EA96" s="40"/>
      <c r="EB96" s="39"/>
      <c r="EC96" s="40"/>
      <c r="ED96" s="39"/>
      <c r="EE96" s="40"/>
      <c r="EF96" s="39"/>
      <c r="EG96" s="40"/>
      <c r="EH96" s="39"/>
      <c r="EI96" s="40"/>
      <c r="EJ96" s="39"/>
      <c r="EK96" s="40"/>
      <c r="EL96" s="39"/>
      <c r="EM96" s="40"/>
      <c r="EN96" s="39"/>
      <c r="EO96" s="40"/>
      <c r="EP96" s="39"/>
      <c r="EQ96" s="40"/>
      <c r="ER96" s="39"/>
      <c r="ES96" s="40"/>
      <c r="ET96" s="39"/>
      <c r="EU96" s="40"/>
      <c r="EV96" s="39"/>
      <c r="EW96" s="40"/>
      <c r="EX96" s="39"/>
      <c r="EY96" s="40"/>
      <c r="EZ96" s="39"/>
      <c r="FA96" s="40"/>
      <c r="FB96" s="39"/>
      <c r="FC96" s="40"/>
      <c r="FD96" s="39"/>
      <c r="FE96" s="40"/>
      <c r="FF96" s="39"/>
      <c r="FG96" s="40"/>
      <c r="FH96" s="39"/>
      <c r="FI96" s="40"/>
      <c r="FJ96" s="39"/>
      <c r="FK96" s="40"/>
      <c r="FL96" s="39"/>
      <c r="FM96" s="40"/>
      <c r="FN96" s="39"/>
      <c r="FO96" s="40"/>
      <c r="FP96" s="39"/>
      <c r="FQ96" s="40"/>
      <c r="FR96" s="39"/>
      <c r="FS96" s="40"/>
      <c r="FT96" s="39"/>
      <c r="FU96" s="40"/>
      <c r="FV96" s="39"/>
      <c r="FW96" s="40"/>
      <c r="FX96" s="39"/>
      <c r="FY96" s="40"/>
      <c r="FZ96" s="39"/>
      <c r="GA96" s="40"/>
      <c r="GB96" s="39"/>
      <c r="GC96" s="40"/>
      <c r="GD96" s="39"/>
      <c r="GE96" s="40"/>
      <c r="GF96" s="39"/>
      <c r="GG96" s="40"/>
      <c r="GH96" s="39"/>
      <c r="GI96" s="40"/>
      <c r="GJ96" s="39"/>
      <c r="GK96" s="40"/>
      <c r="GL96" s="39"/>
      <c r="GM96" s="40"/>
      <c r="GN96" s="39"/>
      <c r="GO96" s="40"/>
      <c r="GP96" s="39"/>
      <c r="GQ96" s="40"/>
      <c r="GR96" s="39"/>
      <c r="GS96" s="40"/>
      <c r="GT96" s="39"/>
      <c r="GU96" s="40"/>
      <c r="GV96" s="39"/>
      <c r="GW96" s="40"/>
      <c r="GX96" s="39"/>
      <c r="GY96" s="40"/>
      <c r="GZ96" s="39"/>
      <c r="HA96" s="40"/>
      <c r="HB96" s="39"/>
      <c r="HC96" s="40"/>
      <c r="HD96" s="39"/>
      <c r="HE96" s="40"/>
      <c r="HF96" s="39"/>
      <c r="HG96" s="40"/>
      <c r="HH96" s="39"/>
      <c r="HI96" s="40"/>
      <c r="HJ96" s="39"/>
      <c r="HK96" s="40"/>
      <c r="HL96" s="39"/>
      <c r="HM96" s="40"/>
      <c r="HN96" s="39"/>
      <c r="HO96" s="40"/>
      <c r="HP96" s="39"/>
      <c r="HQ96" s="40"/>
      <c r="HR96" s="39"/>
      <c r="HS96" s="40"/>
      <c r="HT96" s="39"/>
      <c r="HU96" s="40"/>
      <c r="HV96" s="39"/>
      <c r="HW96" s="40"/>
      <c r="HX96" s="39"/>
      <c r="HY96" s="40"/>
      <c r="HZ96" s="39"/>
      <c r="IA96" s="40"/>
      <c r="IB96" s="39"/>
      <c r="IC96" s="1068"/>
      <c r="ID96" s="645"/>
      <c r="IE96" s="646"/>
      <c r="IF96" s="645"/>
      <c r="IG96" s="646"/>
      <c r="IH96" s="645"/>
      <c r="II96" s="646"/>
      <c r="IJ96" s="645"/>
      <c r="IK96" s="646"/>
      <c r="IL96" s="645"/>
      <c r="IM96" s="646"/>
      <c r="IN96" s="645"/>
      <c r="IO96" s="646"/>
      <c r="IP96" s="645"/>
      <c r="IQ96" s="646"/>
      <c r="IR96" s="645"/>
      <c r="IS96" s="646"/>
      <c r="IT96" s="645"/>
      <c r="IU96" s="646"/>
      <c r="IV96" s="645"/>
      <c r="IW96" s="646"/>
      <c r="IX96" s="645"/>
      <c r="IY96" s="646"/>
      <c r="IZ96" s="645"/>
      <c r="JA96" s="646"/>
      <c r="JB96" s="645"/>
      <c r="JC96" s="646"/>
      <c r="JD96" s="645"/>
      <c r="JE96" s="646"/>
      <c r="JF96" s="645"/>
      <c r="JG96" s="646"/>
      <c r="JH96" s="645"/>
      <c r="JI96" s="646"/>
      <c r="JJ96" s="645"/>
      <c r="JK96" s="646"/>
      <c r="JL96" s="645"/>
      <c r="JM96" s="646"/>
      <c r="JN96" s="645"/>
      <c r="JO96" s="646"/>
      <c r="JP96" s="645"/>
      <c r="JQ96" s="646"/>
      <c r="JR96" s="645"/>
      <c r="JS96" s="646"/>
      <c r="JT96" s="645"/>
      <c r="JU96" s="646"/>
      <c r="JV96" s="645"/>
      <c r="JW96" s="646"/>
      <c r="JX96" s="645"/>
      <c r="JY96" s="646"/>
      <c r="JZ96" s="645"/>
      <c r="KA96" s="646"/>
      <c r="KB96" s="645"/>
      <c r="KC96" s="646"/>
      <c r="KD96" s="645"/>
      <c r="KE96" s="646"/>
      <c r="KF96" s="645"/>
      <c r="KG96" s="646"/>
      <c r="KH96" s="645"/>
      <c r="KI96" s="646"/>
      <c r="KJ96" s="645"/>
      <c r="KK96" s="646"/>
      <c r="KL96" s="645"/>
      <c r="KM96" s="646"/>
      <c r="KN96" s="645"/>
      <c r="KO96" s="646"/>
      <c r="KP96" s="645"/>
      <c r="KQ96" s="646"/>
      <c r="KR96" s="645"/>
      <c r="KS96" s="646"/>
      <c r="KT96" s="645"/>
      <c r="KU96" s="646"/>
      <c r="KV96" s="645"/>
      <c r="KW96" s="646"/>
      <c r="KX96" s="645"/>
      <c r="KY96" s="646"/>
      <c r="KZ96" s="645"/>
      <c r="LA96" s="646"/>
      <c r="LB96" s="645"/>
      <c r="LC96" s="646"/>
      <c r="LD96" s="645"/>
      <c r="LE96" s="646"/>
      <c r="LF96" s="645"/>
      <c r="LG96" s="646"/>
      <c r="LH96" s="645"/>
      <c r="LI96" s="646"/>
      <c r="LJ96" s="645"/>
      <c r="LK96" s="646"/>
      <c r="LL96" s="645"/>
      <c r="LM96" s="646"/>
      <c r="LN96" s="645"/>
      <c r="LO96" s="646"/>
      <c r="LP96" s="645"/>
      <c r="LQ96" s="646"/>
      <c r="LR96" s="645"/>
      <c r="LS96" s="646"/>
      <c r="LT96" s="645"/>
      <c r="LU96" s="646"/>
      <c r="LV96" s="645"/>
      <c r="LW96" s="646"/>
      <c r="LX96" s="645"/>
      <c r="LY96" s="646"/>
      <c r="LZ96" s="645"/>
      <c r="MA96" s="646"/>
      <c r="MB96" s="645"/>
      <c r="MC96" s="646"/>
      <c r="MD96" s="645"/>
      <c r="ME96" s="646"/>
      <c r="MF96" s="645"/>
      <c r="MG96" s="646"/>
      <c r="MH96" s="645"/>
      <c r="MI96" s="646"/>
      <c r="MJ96" s="645"/>
      <c r="MK96" s="646"/>
      <c r="ML96" s="645"/>
      <c r="MM96" s="646"/>
      <c r="MN96" s="645"/>
      <c r="MO96" s="646"/>
      <c r="MP96" s="645"/>
      <c r="MQ96" s="646"/>
      <c r="MR96" s="645"/>
      <c r="MS96" s="646"/>
      <c r="MT96" s="645"/>
      <c r="MU96" s="646"/>
      <c r="MV96" s="645"/>
      <c r="MW96" s="646"/>
      <c r="MX96" s="645"/>
      <c r="MY96" s="646"/>
      <c r="MZ96" s="645"/>
      <c r="NA96" s="646"/>
      <c r="NB96" s="645"/>
      <c r="NC96" s="646"/>
      <c r="ND96" s="645"/>
      <c r="NE96" s="646"/>
      <c r="NF96" s="645"/>
      <c r="NG96" s="646"/>
      <c r="NH96" s="645"/>
      <c r="NI96" s="646"/>
      <c r="NJ96" s="645"/>
      <c r="NK96" s="646"/>
      <c r="NL96" s="645"/>
      <c r="NM96" s="646"/>
      <c r="NN96" s="645"/>
      <c r="NO96" s="646"/>
      <c r="NP96" s="645"/>
      <c r="NQ96" s="646"/>
      <c r="NR96" s="645"/>
      <c r="NS96" s="646"/>
      <c r="NT96" s="645"/>
      <c r="NU96" s="646"/>
      <c r="NV96" s="645"/>
      <c r="NW96" s="646"/>
      <c r="NX96" s="645"/>
      <c r="NY96" s="646"/>
      <c r="NZ96" s="645"/>
      <c r="OA96" s="646"/>
      <c r="OB96" s="645"/>
      <c r="OC96" s="646"/>
      <c r="OD96" s="645"/>
      <c r="OE96" s="646"/>
      <c r="OF96" s="645"/>
      <c r="OG96" s="646"/>
      <c r="OH96" s="645"/>
      <c r="OI96" s="646"/>
      <c r="OJ96" s="645"/>
      <c r="OK96" s="646"/>
      <c r="OL96" s="645"/>
      <c r="OM96" s="646"/>
      <c r="ON96" s="645"/>
      <c r="OO96" s="646"/>
      <c r="OP96" s="645"/>
      <c r="OQ96" s="646"/>
      <c r="OR96" s="645"/>
      <c r="OS96" s="646"/>
      <c r="OT96" s="645"/>
      <c r="OU96" s="646"/>
      <c r="OV96" s="645"/>
      <c r="OW96" s="646"/>
      <c r="OX96" s="645"/>
      <c r="OY96" s="646"/>
      <c r="OZ96" s="645"/>
      <c r="PA96" s="646"/>
      <c r="PB96" s="645"/>
      <c r="PC96" s="646"/>
      <c r="PD96" s="645"/>
      <c r="PE96" s="646"/>
      <c r="PF96" s="645"/>
      <c r="PG96" s="646"/>
      <c r="PH96" s="645"/>
      <c r="PI96" s="646"/>
      <c r="PJ96" s="645"/>
      <c r="PK96" s="646"/>
      <c r="PL96" s="645"/>
      <c r="PM96" s="646"/>
      <c r="PN96" s="645"/>
      <c r="PO96" s="646"/>
      <c r="PP96" s="645"/>
      <c r="PQ96" s="646"/>
      <c r="PR96" s="645"/>
      <c r="PS96" s="646"/>
      <c r="PT96" s="645"/>
      <c r="PU96" s="646"/>
      <c r="PV96" s="645"/>
      <c r="PW96" s="646"/>
      <c r="PX96" s="645"/>
      <c r="PY96" s="646"/>
      <c r="PZ96" s="645"/>
      <c r="QA96" s="646"/>
      <c r="QB96" s="645"/>
      <c r="QC96" s="646"/>
      <c r="QD96" s="645"/>
      <c r="QE96" s="646"/>
      <c r="QF96" s="645"/>
      <c r="QG96" s="646"/>
      <c r="QH96" s="645"/>
      <c r="QI96" s="646"/>
      <c r="QJ96" s="645"/>
      <c r="QK96" s="646"/>
      <c r="QL96" s="645"/>
      <c r="QM96" s="646"/>
      <c r="QN96" s="645"/>
      <c r="QO96" s="646"/>
      <c r="QP96" s="645"/>
      <c r="QQ96" s="646"/>
      <c r="QR96" s="645"/>
      <c r="QS96" s="646"/>
      <c r="QT96" s="645"/>
      <c r="QU96" s="646"/>
      <c r="QV96" s="645"/>
      <c r="QW96" s="646"/>
      <c r="QX96" s="645"/>
      <c r="QY96" s="646"/>
      <c r="QZ96" s="645"/>
      <c r="RA96" s="646"/>
      <c r="RB96" s="645"/>
      <c r="RC96" s="646"/>
      <c r="RD96" s="645"/>
      <c r="RE96" s="646"/>
      <c r="RF96" s="645"/>
      <c r="RG96" s="646"/>
      <c r="RH96" s="645"/>
      <c r="RI96" s="646"/>
      <c r="RJ96" s="645"/>
      <c r="RK96" s="646"/>
      <c r="RL96" s="645"/>
      <c r="RM96" s="646"/>
      <c r="RN96" s="645"/>
      <c r="RO96" s="646"/>
      <c r="RP96" s="645"/>
      <c r="RQ96" s="646"/>
      <c r="RR96" s="645"/>
      <c r="RS96" s="646"/>
      <c r="RT96" s="645"/>
      <c r="RU96" s="646"/>
      <c r="RV96" s="645"/>
      <c r="RW96" s="646"/>
      <c r="RX96" s="645"/>
      <c r="RY96" s="646"/>
      <c r="RZ96" s="645"/>
      <c r="SA96" s="646"/>
      <c r="SB96" s="645"/>
      <c r="SC96" s="646"/>
      <c r="SD96" s="645"/>
      <c r="SE96" s="646"/>
      <c r="SF96" s="645"/>
      <c r="SG96" s="646"/>
      <c r="SH96" s="645"/>
      <c r="SI96" s="646"/>
      <c r="SJ96" s="645"/>
      <c r="SK96" s="646"/>
      <c r="SL96" s="645"/>
      <c r="SM96" s="646"/>
      <c r="SN96" s="645"/>
      <c r="SO96" s="646"/>
      <c r="SP96" s="645"/>
      <c r="SQ96" s="646"/>
      <c r="SR96" s="645"/>
      <c r="SS96" s="646"/>
      <c r="ST96" s="645"/>
      <c r="SU96" s="646"/>
      <c r="SV96" s="645"/>
      <c r="SW96" s="646"/>
      <c r="SX96" s="645"/>
      <c r="SY96" s="646"/>
      <c r="SZ96" s="645"/>
      <c r="TA96" s="646"/>
      <c r="TB96" s="645"/>
      <c r="TC96" s="646"/>
      <c r="TD96" s="645"/>
      <c r="TE96" s="646"/>
      <c r="TF96" s="645"/>
      <c r="TG96" s="646"/>
      <c r="TH96" s="645"/>
      <c r="TI96" s="646"/>
      <c r="TJ96" s="645"/>
      <c r="TK96" s="646"/>
      <c r="TL96" s="645"/>
      <c r="TM96" s="646"/>
      <c r="TN96" s="645"/>
      <c r="TO96" s="646"/>
      <c r="TP96" s="645"/>
      <c r="TQ96" s="646"/>
      <c r="TR96" s="645"/>
      <c r="TS96" s="646"/>
      <c r="TT96" s="645"/>
      <c r="TU96" s="646"/>
      <c r="TV96" s="645"/>
      <c r="TW96" s="646"/>
      <c r="TX96" s="645"/>
      <c r="TY96" s="646"/>
      <c r="TZ96" s="645"/>
      <c r="UA96" s="646"/>
      <c r="UB96" s="645"/>
      <c r="UC96" s="646"/>
      <c r="UD96" s="645"/>
      <c r="UE96" s="646"/>
      <c r="UF96" s="645"/>
      <c r="UG96" s="646"/>
      <c r="UH96" s="645"/>
      <c r="UI96" s="646"/>
      <c r="UJ96" s="645"/>
      <c r="UK96" s="646"/>
      <c r="UL96" s="645"/>
      <c r="UM96" s="646"/>
      <c r="UN96" s="645"/>
      <c r="UO96" s="646"/>
      <c r="UP96" s="645"/>
      <c r="UQ96" s="646"/>
      <c r="UR96" s="645"/>
      <c r="US96" s="646"/>
      <c r="UT96" s="645"/>
      <c r="UU96" s="646"/>
      <c r="UV96" s="645"/>
      <c r="UW96" s="646"/>
      <c r="UX96" s="645"/>
      <c r="UY96" s="646"/>
      <c r="UZ96" s="645"/>
      <c r="VA96" s="646"/>
      <c r="VB96" s="645"/>
      <c r="VC96" s="646"/>
      <c r="VD96" s="645"/>
      <c r="VE96" s="646"/>
      <c r="VF96" s="645"/>
      <c r="VG96" s="646"/>
      <c r="VH96" s="645"/>
      <c r="VI96" s="646"/>
      <c r="VJ96" s="645"/>
      <c r="VK96" s="646"/>
      <c r="VL96" s="645"/>
      <c r="VM96" s="646"/>
      <c r="VN96" s="645"/>
      <c r="VO96" s="646"/>
      <c r="VP96" s="645"/>
      <c r="VQ96" s="646"/>
      <c r="VR96" s="645"/>
      <c r="VS96" s="646"/>
      <c r="VT96" s="645"/>
      <c r="VU96" s="646"/>
      <c r="VV96" s="645"/>
      <c r="VW96" s="646"/>
      <c r="VX96" s="645"/>
      <c r="VY96" s="646"/>
      <c r="VZ96" s="645"/>
      <c r="WA96" s="646"/>
      <c r="WB96" s="645"/>
      <c r="WC96" s="646"/>
      <c r="WD96" s="645"/>
      <c r="WE96" s="646"/>
      <c r="WF96" s="645"/>
      <c r="WG96" s="646"/>
      <c r="WH96" s="645"/>
      <c r="WI96" s="646"/>
      <c r="WJ96" s="645"/>
      <c r="WK96" s="646"/>
      <c r="WL96" s="645"/>
      <c r="WM96" s="646"/>
      <c r="WN96" s="645"/>
      <c r="WO96" s="646"/>
      <c r="WP96" s="645"/>
      <c r="WQ96" s="646"/>
      <c r="WR96" s="645"/>
      <c r="WS96" s="646"/>
      <c r="WT96" s="645"/>
      <c r="WU96" s="646"/>
      <c r="WV96" s="645"/>
      <c r="WW96" s="646"/>
      <c r="WX96" s="645"/>
      <c r="WY96" s="646"/>
      <c r="WZ96" s="645"/>
      <c r="XA96" s="646"/>
      <c r="XB96" s="645"/>
      <c r="XC96" s="646"/>
      <c r="XD96" s="645"/>
      <c r="XE96" s="646"/>
      <c r="XF96" s="645"/>
      <c r="XG96" s="646"/>
      <c r="XH96" s="645"/>
      <c r="XI96" s="646"/>
      <c r="XJ96" s="645"/>
      <c r="XK96" s="646"/>
      <c r="XL96" s="645"/>
      <c r="XM96" s="646"/>
      <c r="XN96" s="645"/>
      <c r="XO96" s="646"/>
      <c r="XP96" s="645"/>
      <c r="XQ96" s="646"/>
      <c r="XR96" s="645"/>
      <c r="XS96" s="646"/>
      <c r="XT96" s="645"/>
      <c r="XU96" s="646"/>
      <c r="XV96" s="645"/>
      <c r="XW96" s="646"/>
      <c r="XX96" s="645"/>
      <c r="XY96" s="646"/>
      <c r="XZ96" s="645"/>
      <c r="YA96" s="646"/>
      <c r="YB96" s="645"/>
      <c r="YC96" s="646"/>
      <c r="YD96" s="645"/>
      <c r="YE96" s="646"/>
      <c r="YF96" s="645"/>
      <c r="YG96" s="646"/>
      <c r="YH96" s="645"/>
      <c r="YI96" s="646"/>
      <c r="YJ96" s="645"/>
      <c r="YK96" s="646"/>
      <c r="YL96" s="645"/>
      <c r="YM96" s="646"/>
      <c r="YN96" s="645"/>
      <c r="YO96" s="646"/>
      <c r="YP96" s="645"/>
      <c r="YQ96" s="646"/>
      <c r="YR96" s="645"/>
      <c r="YS96" s="646"/>
      <c r="YT96" s="645"/>
      <c r="YU96" s="646"/>
      <c r="YV96" s="645"/>
      <c r="YW96" s="646"/>
      <c r="YX96" s="645"/>
      <c r="YY96" s="646"/>
      <c r="YZ96" s="645"/>
      <c r="ZA96" s="646"/>
      <c r="ZB96" s="645"/>
      <c r="ZC96" s="646"/>
      <c r="ZD96" s="645"/>
      <c r="ZE96" s="646"/>
      <c r="ZF96" s="645"/>
      <c r="ZG96" s="646"/>
      <c r="ZH96" s="645"/>
      <c r="ZI96" s="646"/>
      <c r="ZJ96" s="645"/>
      <c r="ZK96" s="646"/>
      <c r="ZL96" s="645"/>
      <c r="ZM96" s="646"/>
      <c r="ZN96" s="645"/>
      <c r="ZO96" s="646"/>
      <c r="ZP96" s="645"/>
      <c r="ZQ96" s="646"/>
      <c r="ZR96" s="645"/>
      <c r="ZS96" s="646"/>
      <c r="ZT96" s="645"/>
      <c r="ZU96" s="646"/>
      <c r="ZV96" s="645"/>
      <c r="ZW96" s="646"/>
      <c r="ZX96" s="645"/>
      <c r="ZY96" s="646"/>
      <c r="ZZ96" s="645"/>
      <c r="AAA96" s="646"/>
      <c r="AAB96" s="645"/>
      <c r="AAC96" s="646"/>
      <c r="AAD96" s="645"/>
      <c r="AAE96" s="646"/>
      <c r="AAF96" s="645"/>
      <c r="AAG96" s="646"/>
      <c r="AAH96" s="645"/>
      <c r="AAI96" s="646"/>
      <c r="AAJ96" s="645"/>
      <c r="AAK96" s="646"/>
      <c r="AAL96" s="645"/>
      <c r="AAM96" s="646"/>
      <c r="AAN96" s="645"/>
      <c r="AAO96" s="646"/>
      <c r="AAP96" s="645"/>
      <c r="AAQ96" s="646"/>
      <c r="AAR96" s="645"/>
      <c r="AAS96" s="646"/>
      <c r="AAT96" s="645"/>
      <c r="AAU96" s="646"/>
      <c r="AAV96" s="645"/>
      <c r="AAW96" s="646"/>
      <c r="AAX96" s="645"/>
      <c r="AAY96" s="646"/>
      <c r="AAZ96" s="645"/>
      <c r="ABA96" s="646"/>
      <c r="ABB96" s="645"/>
      <c r="ABC96" s="646"/>
      <c r="ABD96" s="645"/>
      <c r="ABE96" s="646"/>
      <c r="ABF96" s="645"/>
      <c r="ABG96" s="646"/>
      <c r="ABH96" s="645"/>
      <c r="ABI96" s="646"/>
      <c r="ABJ96" s="645"/>
      <c r="ABK96" s="646"/>
      <c r="ABL96" s="645"/>
      <c r="ABM96" s="646"/>
      <c r="ABN96" s="645"/>
      <c r="ABO96" s="646"/>
      <c r="ABP96" s="645"/>
      <c r="ABQ96" s="646"/>
      <c r="ABR96" s="645"/>
      <c r="ABS96" s="646"/>
      <c r="ABT96" s="645"/>
      <c r="ABU96" s="646"/>
      <c r="ABV96" s="645"/>
      <c r="ABW96" s="646"/>
      <c r="ABX96" s="645"/>
      <c r="ABY96" s="646"/>
      <c r="ABZ96" s="645"/>
      <c r="ACA96" s="646"/>
      <c r="ACB96" s="645"/>
      <c r="ACC96" s="646"/>
      <c r="ACD96" s="645"/>
      <c r="ACE96" s="646"/>
      <c r="ACF96" s="645"/>
      <c r="ACG96" s="646"/>
      <c r="ACH96" s="645"/>
      <c r="ACI96" s="646"/>
      <c r="ACJ96" s="645"/>
      <c r="ACK96" s="646"/>
      <c r="ACL96" s="645"/>
      <c r="ACM96" s="646"/>
      <c r="ACN96" s="645"/>
      <c r="ACO96" s="646"/>
      <c r="ACP96" s="645"/>
      <c r="ACQ96" s="646"/>
      <c r="ACR96" s="645"/>
      <c r="ACS96" s="646"/>
      <c r="ACT96" s="645"/>
      <c r="ACU96" s="646"/>
      <c r="ACV96" s="645"/>
      <c r="ACW96" s="646"/>
      <c r="ACX96" s="645"/>
      <c r="ACY96" s="646"/>
      <c r="ACZ96" s="645"/>
      <c r="ADA96" s="646"/>
      <c r="ADB96" s="645"/>
      <c r="ADC96" s="646"/>
      <c r="ADD96" s="645"/>
      <c r="ADE96" s="646"/>
      <c r="ADF96" s="645"/>
      <c r="ADG96" s="646"/>
      <c r="ADH96" s="645"/>
      <c r="ADI96" s="646"/>
      <c r="ADJ96" s="645"/>
      <c r="ADK96" s="646"/>
      <c r="ADL96" s="645"/>
      <c r="ADM96" s="646"/>
      <c r="ADN96" s="645"/>
      <c r="ADO96" s="646"/>
      <c r="ADP96" s="645"/>
      <c r="ADQ96" s="646"/>
      <c r="ADR96" s="645"/>
      <c r="ADS96" s="646"/>
      <c r="ADT96" s="645"/>
      <c r="ADU96" s="646"/>
      <c r="ADV96" s="645"/>
      <c r="ADW96" s="646"/>
      <c r="ADX96" s="645"/>
      <c r="ADY96" s="646"/>
      <c r="ADZ96" s="645"/>
      <c r="AEA96" s="646"/>
      <c r="AEB96" s="645"/>
      <c r="AEC96" s="646"/>
      <c r="AED96" s="645"/>
      <c r="AEE96" s="646"/>
      <c r="AEF96" s="645"/>
      <c r="AEG96" s="646"/>
      <c r="AEH96" s="645"/>
      <c r="AEI96" s="646"/>
      <c r="AEJ96" s="645"/>
      <c r="AEK96" s="646"/>
      <c r="AEL96" s="645"/>
      <c r="AEM96" s="646"/>
      <c r="AEN96" s="645"/>
      <c r="AEO96" s="646"/>
      <c r="AEP96" s="645"/>
      <c r="AEQ96" s="646"/>
      <c r="AER96" s="645"/>
      <c r="AES96" s="646"/>
      <c r="AET96" s="645"/>
      <c r="AEU96" s="646"/>
      <c r="AEV96" s="645"/>
      <c r="AEW96" s="646"/>
      <c r="AEX96" s="645"/>
      <c r="AEY96" s="646"/>
      <c r="AEZ96" s="645"/>
      <c r="AFA96" s="646"/>
      <c r="AFB96" s="645"/>
      <c r="AFC96" s="646"/>
      <c r="AFD96" s="645"/>
      <c r="AFE96" s="646"/>
      <c r="AFF96" s="645"/>
      <c r="AFG96" s="646"/>
      <c r="AFH96" s="645"/>
      <c r="AFI96" s="646"/>
      <c r="AFJ96" s="645"/>
      <c r="AFK96" s="646"/>
      <c r="AFL96" s="645"/>
      <c r="AFM96" s="646"/>
      <c r="AFN96" s="645"/>
      <c r="AFO96" s="646"/>
      <c r="AFP96" s="645"/>
      <c r="AFQ96" s="646"/>
      <c r="AFR96" s="645"/>
      <c r="AFS96" s="646"/>
      <c r="AFT96" s="645"/>
      <c r="AFU96" s="646"/>
      <c r="AFV96" s="645"/>
      <c r="AFW96" s="646"/>
      <c r="AFX96" s="645"/>
      <c r="AFY96" s="646"/>
      <c r="AFZ96" s="645"/>
      <c r="AGA96" s="646"/>
      <c r="AGB96" s="645"/>
      <c r="AGC96" s="646"/>
      <c r="AGD96" s="645"/>
      <c r="AGE96" s="646"/>
      <c r="AGF96" s="645"/>
      <c r="AGG96" s="646"/>
      <c r="AGH96" s="645"/>
      <c r="AGI96" s="646"/>
      <c r="AGJ96" s="645"/>
      <c r="AGK96" s="646"/>
      <c r="AGL96" s="645"/>
      <c r="AGM96" s="646"/>
      <c r="AGN96" s="645"/>
      <c r="AGO96" s="646"/>
      <c r="AGP96" s="645"/>
      <c r="AGQ96" s="646"/>
      <c r="AGR96" s="645"/>
      <c r="AGS96" s="646"/>
      <c r="AGT96" s="645"/>
      <c r="AGU96" s="646"/>
      <c r="AGV96" s="645"/>
      <c r="AGW96" s="646"/>
      <c r="AGX96" s="645"/>
      <c r="AGY96" s="646"/>
      <c r="AGZ96" s="645"/>
      <c r="AHA96" s="646"/>
      <c r="AHB96" s="645"/>
      <c r="AHC96" s="646"/>
      <c r="AHD96" s="645"/>
      <c r="AHE96" s="646"/>
      <c r="AHF96" s="645"/>
      <c r="AHG96" s="646"/>
      <c r="AHH96" s="645"/>
      <c r="AHI96" s="646"/>
      <c r="AHJ96" s="645"/>
      <c r="AHK96" s="646"/>
      <c r="AHL96" s="645"/>
      <c r="AHM96" s="646"/>
      <c r="AHN96" s="645"/>
      <c r="AHO96" s="646"/>
      <c r="AHP96" s="645"/>
      <c r="AHQ96" s="646"/>
      <c r="AHR96" s="645"/>
      <c r="AHS96" s="646"/>
      <c r="AHT96" s="645"/>
      <c r="AHU96" s="646"/>
      <c r="AHV96" s="645"/>
      <c r="AHW96" s="646"/>
      <c r="AHX96" s="645"/>
      <c r="AHY96" s="646"/>
      <c r="AHZ96" s="645"/>
      <c r="AIA96" s="646"/>
      <c r="AIB96" s="645"/>
      <c r="AIC96" s="646"/>
      <c r="AID96" s="645"/>
      <c r="AIE96" s="646"/>
      <c r="AIF96" s="645"/>
      <c r="AIG96" s="646"/>
      <c r="AIH96" s="645"/>
      <c r="AII96" s="646"/>
      <c r="AIJ96" s="645"/>
      <c r="AIK96" s="646"/>
      <c r="AIL96" s="645"/>
      <c r="AIM96" s="646"/>
      <c r="AIN96" s="645"/>
      <c r="AIO96" s="646"/>
      <c r="AIP96" s="645"/>
      <c r="AIQ96" s="645"/>
      <c r="AIR96" s="645"/>
      <c r="AIS96" s="645"/>
      <c r="AIT96" s="645"/>
      <c r="AIU96" s="645"/>
      <c r="AIV96" s="645"/>
      <c r="AIW96" s="645"/>
      <c r="AIX96" s="645"/>
      <c r="AIY96" s="645"/>
      <c r="AIZ96" s="645"/>
      <c r="AJA96" s="645"/>
      <c r="AJB96" s="645"/>
      <c r="AJC96" s="645"/>
      <c r="AJD96" s="645"/>
      <c r="AJE96" s="645"/>
      <c r="AJF96" s="645"/>
      <c r="AJG96" s="645"/>
      <c r="AJH96" s="645"/>
      <c r="AJI96" s="645"/>
      <c r="AJJ96" s="645"/>
      <c r="AJK96" s="645"/>
      <c r="AJL96" s="645"/>
      <c r="AJM96" s="645"/>
      <c r="AJN96" s="645"/>
      <c r="AJO96" s="645"/>
      <c r="AJP96" s="645"/>
      <c r="AJQ96" s="645"/>
      <c r="AJR96" s="645"/>
      <c r="AJS96" s="645"/>
      <c r="AJT96" s="645"/>
      <c r="AJU96" s="645"/>
      <c r="AJV96" s="645"/>
      <c r="AJW96" s="645"/>
      <c r="AJX96" s="645"/>
      <c r="AJY96" s="645"/>
      <c r="AJZ96" s="645"/>
      <c r="AKA96" s="645"/>
      <c r="AKB96" s="645"/>
      <c r="AKC96" s="645"/>
      <c r="AKD96" s="645"/>
      <c r="AKE96" s="645"/>
      <c r="AKF96" s="645"/>
      <c r="AKG96" s="645"/>
      <c r="AKH96" s="645"/>
      <c r="AKI96" s="645"/>
      <c r="AKJ96" s="645"/>
      <c r="AKK96" s="645"/>
      <c r="AKL96" s="645"/>
      <c r="AKM96" s="645"/>
      <c r="AKN96" s="645"/>
      <c r="AKO96" s="645"/>
      <c r="AKP96" s="645"/>
      <c r="AKQ96" s="645"/>
      <c r="AKR96" s="645"/>
      <c r="AKS96" s="645"/>
      <c r="AKT96" s="645"/>
      <c r="AKU96" s="645"/>
      <c r="AKV96" s="645"/>
      <c r="AKW96" s="645"/>
      <c r="AKX96" s="645"/>
      <c r="AKY96" s="645"/>
      <c r="AKZ96" s="645"/>
      <c r="ALA96" s="645"/>
      <c r="ALB96" s="645"/>
      <c r="ALC96" s="645"/>
      <c r="ALD96" s="645"/>
      <c r="ALE96" s="645"/>
      <c r="ALF96" s="645"/>
      <c r="ALG96" s="645"/>
      <c r="ALH96" s="645"/>
      <c r="ALI96" s="645"/>
      <c r="ALJ96" s="645"/>
      <c r="ALK96" s="645"/>
      <c r="ALL96" s="645"/>
      <c r="ALM96" s="645"/>
      <c r="ALN96" s="645"/>
      <c r="ALO96" s="645"/>
      <c r="ALP96" s="645"/>
      <c r="ALQ96" s="645"/>
      <c r="ALR96" s="645"/>
      <c r="ALS96" s="645"/>
      <c r="ALT96" s="645"/>
      <c r="ALU96" s="645"/>
      <c r="ALV96" s="645"/>
      <c r="ALW96" s="645"/>
      <c r="ALX96" s="645"/>
      <c r="ALY96" s="645"/>
      <c r="ALZ96" s="645"/>
      <c r="AMA96" s="645"/>
      <c r="AMB96" s="645"/>
      <c r="AMC96" s="645"/>
      <c r="AMD96" s="645"/>
      <c r="AME96" s="645"/>
      <c r="AMF96" s="645"/>
      <c r="AMG96" s="645"/>
      <c r="AMH96" s="645"/>
      <c r="AMI96" s="645"/>
      <c r="AMJ96" s="645"/>
    </row>
    <row r="97" spans="1:1024" s="37" customFormat="1" ht="15.75" customHeight="1" x14ac:dyDescent="0.35">
      <c r="A97" s="600"/>
      <c r="B97" s="644" t="s">
        <v>351</v>
      </c>
      <c r="C97" s="645"/>
      <c r="D97" s="646"/>
      <c r="E97" s="645"/>
      <c r="F97" s="646"/>
      <c r="G97" s="647" t="s">
        <v>243</v>
      </c>
      <c r="H97" s="643"/>
      <c r="I97" s="645"/>
      <c r="J97" s="38"/>
      <c r="K97" s="38"/>
      <c r="L97" s="39"/>
      <c r="M97" s="38"/>
      <c r="N97" s="39"/>
      <c r="O97" s="38"/>
      <c r="P97" s="39"/>
      <c r="Q97" s="38"/>
      <c r="R97" s="39"/>
      <c r="S97" s="38"/>
      <c r="T97" s="39"/>
      <c r="U97" s="38"/>
      <c r="V97" s="39"/>
      <c r="W97" s="38"/>
      <c r="X97" s="39"/>
      <c r="Y97" s="38"/>
      <c r="Z97" s="39"/>
      <c r="AA97" s="38"/>
      <c r="AB97" s="39"/>
      <c r="AC97" s="38"/>
      <c r="AD97" s="39"/>
      <c r="AE97" s="38"/>
      <c r="AF97" s="39"/>
      <c r="AG97" s="38"/>
      <c r="AH97" s="39"/>
      <c r="AI97" s="38"/>
      <c r="AJ97" s="39"/>
      <c r="AK97" s="40"/>
      <c r="AL97" s="39"/>
      <c r="AM97" s="40"/>
      <c r="AN97" s="39"/>
      <c r="AO97" s="40"/>
      <c r="AP97" s="39"/>
      <c r="AQ97" s="40"/>
      <c r="AR97" s="39"/>
      <c r="AS97" s="40"/>
      <c r="AT97" s="39"/>
      <c r="AU97" s="40"/>
      <c r="AV97" s="39"/>
      <c r="AW97" s="40"/>
      <c r="AX97" s="39"/>
      <c r="AY97" s="40"/>
      <c r="AZ97" s="39"/>
      <c r="BA97" s="40"/>
      <c r="BB97" s="39"/>
      <c r="BC97" s="40"/>
      <c r="BD97" s="39"/>
      <c r="BE97" s="40"/>
      <c r="BF97" s="39"/>
      <c r="BG97" s="40"/>
      <c r="BH97" s="39"/>
      <c r="BI97" s="40"/>
      <c r="BJ97" s="39"/>
      <c r="BK97" s="40"/>
      <c r="BL97" s="39"/>
      <c r="BM97" s="40"/>
      <c r="BN97" s="39"/>
      <c r="BO97" s="40"/>
      <c r="BP97" s="39"/>
      <c r="BQ97" s="40"/>
      <c r="BR97" s="39"/>
      <c r="BS97" s="40"/>
      <c r="BT97" s="39"/>
      <c r="BU97" s="40"/>
      <c r="BV97" s="39"/>
      <c r="BW97" s="40"/>
      <c r="BX97" s="39"/>
      <c r="BY97" s="40"/>
      <c r="BZ97" s="39"/>
      <c r="CA97" s="40"/>
      <c r="CB97" s="39"/>
      <c r="CC97" s="40"/>
      <c r="CD97" s="39"/>
      <c r="CE97" s="40"/>
      <c r="CF97" s="39"/>
      <c r="CG97" s="40"/>
      <c r="CH97" s="39"/>
      <c r="CI97" s="40"/>
      <c r="CJ97" s="39"/>
      <c r="CK97" s="40"/>
      <c r="CL97" s="39"/>
      <c r="CM97" s="40"/>
      <c r="CN97" s="39"/>
      <c r="CO97" s="40"/>
      <c r="CP97" s="39"/>
      <c r="CQ97" s="40"/>
      <c r="CR97" s="39"/>
      <c r="CS97" s="40"/>
      <c r="CT97" s="39"/>
      <c r="CU97" s="40"/>
      <c r="CV97" s="39"/>
      <c r="CW97" s="40"/>
      <c r="CX97" s="39"/>
      <c r="CY97" s="40"/>
      <c r="CZ97" s="39"/>
      <c r="DA97" s="40"/>
      <c r="DB97" s="39"/>
      <c r="DC97" s="40"/>
      <c r="DD97" s="39"/>
      <c r="DE97" s="40"/>
      <c r="DF97" s="39"/>
      <c r="DG97" s="40"/>
      <c r="DH97" s="39"/>
      <c r="DI97" s="40"/>
      <c r="DJ97" s="39"/>
      <c r="DK97" s="40"/>
      <c r="DL97" s="39"/>
      <c r="DM97" s="40"/>
      <c r="DN97" s="39"/>
      <c r="DO97" s="40"/>
      <c r="DP97" s="39"/>
      <c r="DQ97" s="40"/>
      <c r="DR97" s="39"/>
      <c r="DS97" s="40"/>
      <c r="DT97" s="39"/>
      <c r="DU97" s="40"/>
      <c r="DV97" s="39"/>
      <c r="DW97" s="40"/>
      <c r="DX97" s="39"/>
      <c r="DY97" s="40"/>
      <c r="DZ97" s="39"/>
      <c r="EA97" s="40"/>
      <c r="EB97" s="39"/>
      <c r="EC97" s="40"/>
      <c r="ED97" s="39"/>
      <c r="EE97" s="40"/>
      <c r="EF97" s="39"/>
      <c r="EG97" s="40"/>
      <c r="EH97" s="39"/>
      <c r="EI97" s="40"/>
      <c r="EJ97" s="39"/>
      <c r="EK97" s="40"/>
      <c r="EL97" s="39"/>
      <c r="EM97" s="40"/>
      <c r="EN97" s="39"/>
      <c r="EO97" s="40"/>
      <c r="EP97" s="39"/>
      <c r="EQ97" s="40"/>
      <c r="ER97" s="39"/>
      <c r="ES97" s="40"/>
      <c r="ET97" s="39"/>
      <c r="EU97" s="40"/>
      <c r="EV97" s="39"/>
      <c r="EW97" s="40"/>
      <c r="EX97" s="39"/>
      <c r="EY97" s="40"/>
      <c r="EZ97" s="39"/>
      <c r="FA97" s="40"/>
      <c r="FB97" s="39"/>
      <c r="FC97" s="40"/>
      <c r="FD97" s="39"/>
      <c r="FE97" s="40"/>
      <c r="FF97" s="39"/>
      <c r="FG97" s="40"/>
      <c r="FH97" s="39"/>
      <c r="FI97" s="40"/>
      <c r="FJ97" s="39"/>
      <c r="FK97" s="40"/>
      <c r="FL97" s="39"/>
      <c r="FM97" s="40"/>
      <c r="FN97" s="39"/>
      <c r="FO97" s="40"/>
      <c r="FP97" s="39"/>
      <c r="FQ97" s="40"/>
      <c r="FR97" s="39"/>
      <c r="FS97" s="40"/>
      <c r="FT97" s="39"/>
      <c r="FU97" s="40"/>
      <c r="FV97" s="39"/>
      <c r="FW97" s="40"/>
      <c r="FX97" s="39"/>
      <c r="FY97" s="40"/>
      <c r="FZ97" s="39"/>
      <c r="GA97" s="40"/>
      <c r="GB97" s="39"/>
      <c r="GC97" s="40"/>
      <c r="GD97" s="39"/>
      <c r="GE97" s="40"/>
      <c r="GF97" s="39"/>
      <c r="GG97" s="40"/>
      <c r="GH97" s="39"/>
      <c r="GI97" s="40"/>
      <c r="GJ97" s="39"/>
      <c r="GK97" s="40"/>
      <c r="GL97" s="39"/>
      <c r="GM97" s="40"/>
      <c r="GN97" s="39"/>
      <c r="GO97" s="40"/>
      <c r="GP97" s="39"/>
      <c r="GQ97" s="40"/>
      <c r="GR97" s="39"/>
      <c r="GS97" s="40"/>
      <c r="GT97" s="39"/>
      <c r="GU97" s="40"/>
      <c r="GV97" s="39"/>
      <c r="GW97" s="40"/>
      <c r="GX97" s="39"/>
      <c r="GY97" s="40"/>
      <c r="GZ97" s="39"/>
      <c r="HA97" s="40"/>
      <c r="HB97" s="39"/>
      <c r="HC97" s="40"/>
      <c r="HD97" s="39"/>
      <c r="HE97" s="40"/>
      <c r="HF97" s="39"/>
      <c r="HG97" s="40"/>
      <c r="HH97" s="39"/>
      <c r="HI97" s="40"/>
      <c r="HJ97" s="39"/>
      <c r="HK97" s="40"/>
      <c r="HL97" s="39"/>
      <c r="HM97" s="40"/>
      <c r="HN97" s="39"/>
      <c r="HO97" s="40"/>
      <c r="HP97" s="39"/>
      <c r="HQ97" s="40"/>
      <c r="HR97" s="39"/>
      <c r="HS97" s="40"/>
      <c r="HT97" s="39"/>
      <c r="HU97" s="40"/>
      <c r="HV97" s="39"/>
      <c r="HW97" s="40"/>
      <c r="HX97" s="39"/>
      <c r="HY97" s="40"/>
      <c r="HZ97" s="39"/>
      <c r="IA97" s="40"/>
      <c r="IB97" s="39"/>
      <c r="IC97" s="1068"/>
      <c r="ID97" s="645"/>
      <c r="IE97" s="646"/>
      <c r="IF97" s="645"/>
      <c r="IG97" s="646"/>
      <c r="IH97" s="645"/>
      <c r="II97" s="646"/>
      <c r="IJ97" s="645"/>
      <c r="IK97" s="646"/>
      <c r="IL97" s="645"/>
      <c r="IM97" s="646"/>
      <c r="IN97" s="645"/>
      <c r="IO97" s="646"/>
      <c r="IP97" s="645"/>
      <c r="IQ97" s="646"/>
      <c r="IR97" s="645"/>
      <c r="IS97" s="646"/>
      <c r="IT97" s="645"/>
      <c r="IU97" s="646"/>
      <c r="IV97" s="645"/>
      <c r="IW97" s="646"/>
      <c r="IX97" s="645"/>
      <c r="IY97" s="646"/>
      <c r="IZ97" s="645"/>
      <c r="JA97" s="646"/>
      <c r="JB97" s="645"/>
      <c r="JC97" s="646"/>
      <c r="JD97" s="645"/>
      <c r="JE97" s="646"/>
      <c r="JF97" s="645"/>
      <c r="JG97" s="646"/>
      <c r="JH97" s="645"/>
      <c r="JI97" s="646"/>
      <c r="JJ97" s="645"/>
      <c r="JK97" s="646"/>
      <c r="JL97" s="645"/>
      <c r="JM97" s="646"/>
      <c r="JN97" s="645"/>
      <c r="JO97" s="646"/>
      <c r="JP97" s="645"/>
      <c r="JQ97" s="646"/>
      <c r="JR97" s="645"/>
      <c r="JS97" s="646"/>
      <c r="JT97" s="645"/>
      <c r="JU97" s="646"/>
      <c r="JV97" s="645"/>
      <c r="JW97" s="646"/>
      <c r="JX97" s="645"/>
      <c r="JY97" s="646"/>
      <c r="JZ97" s="645"/>
      <c r="KA97" s="646"/>
      <c r="KB97" s="645"/>
      <c r="KC97" s="646"/>
      <c r="KD97" s="645"/>
      <c r="KE97" s="646"/>
      <c r="KF97" s="645"/>
      <c r="KG97" s="646"/>
      <c r="KH97" s="645"/>
      <c r="KI97" s="646"/>
      <c r="KJ97" s="645"/>
      <c r="KK97" s="646"/>
      <c r="KL97" s="645"/>
      <c r="KM97" s="646"/>
      <c r="KN97" s="645"/>
      <c r="KO97" s="646"/>
      <c r="KP97" s="645"/>
      <c r="KQ97" s="646"/>
      <c r="KR97" s="645"/>
      <c r="KS97" s="646"/>
      <c r="KT97" s="645"/>
      <c r="KU97" s="646"/>
      <c r="KV97" s="645"/>
      <c r="KW97" s="646"/>
      <c r="KX97" s="645"/>
      <c r="KY97" s="646"/>
      <c r="KZ97" s="645"/>
      <c r="LA97" s="646"/>
      <c r="LB97" s="645"/>
      <c r="LC97" s="646"/>
      <c r="LD97" s="645"/>
      <c r="LE97" s="646"/>
      <c r="LF97" s="645"/>
      <c r="LG97" s="646"/>
      <c r="LH97" s="645"/>
      <c r="LI97" s="646"/>
      <c r="LJ97" s="645"/>
      <c r="LK97" s="646"/>
      <c r="LL97" s="645"/>
      <c r="LM97" s="646"/>
      <c r="LN97" s="645"/>
      <c r="LO97" s="646"/>
      <c r="LP97" s="645"/>
      <c r="LQ97" s="646"/>
      <c r="LR97" s="645"/>
      <c r="LS97" s="646"/>
      <c r="LT97" s="645"/>
      <c r="LU97" s="646"/>
      <c r="LV97" s="645"/>
      <c r="LW97" s="646"/>
      <c r="LX97" s="645"/>
      <c r="LY97" s="646"/>
      <c r="LZ97" s="645"/>
      <c r="MA97" s="646"/>
      <c r="MB97" s="645"/>
      <c r="MC97" s="646"/>
      <c r="MD97" s="645"/>
      <c r="ME97" s="646"/>
      <c r="MF97" s="645"/>
      <c r="MG97" s="646"/>
      <c r="MH97" s="645"/>
      <c r="MI97" s="646"/>
      <c r="MJ97" s="645"/>
      <c r="MK97" s="646"/>
      <c r="ML97" s="645"/>
      <c r="MM97" s="646"/>
      <c r="MN97" s="645"/>
      <c r="MO97" s="646"/>
      <c r="MP97" s="645"/>
      <c r="MQ97" s="646"/>
      <c r="MR97" s="645"/>
      <c r="MS97" s="646"/>
      <c r="MT97" s="645"/>
      <c r="MU97" s="646"/>
      <c r="MV97" s="645"/>
      <c r="MW97" s="646"/>
      <c r="MX97" s="645"/>
      <c r="MY97" s="646"/>
      <c r="MZ97" s="645"/>
      <c r="NA97" s="646"/>
      <c r="NB97" s="645"/>
      <c r="NC97" s="646"/>
      <c r="ND97" s="645"/>
      <c r="NE97" s="646"/>
      <c r="NF97" s="645"/>
      <c r="NG97" s="646"/>
      <c r="NH97" s="645"/>
      <c r="NI97" s="646"/>
      <c r="NJ97" s="645"/>
      <c r="NK97" s="646"/>
      <c r="NL97" s="645"/>
      <c r="NM97" s="646"/>
      <c r="NN97" s="645"/>
      <c r="NO97" s="646"/>
      <c r="NP97" s="645"/>
      <c r="NQ97" s="646"/>
      <c r="NR97" s="645"/>
      <c r="NS97" s="646"/>
      <c r="NT97" s="645"/>
      <c r="NU97" s="646"/>
      <c r="NV97" s="645"/>
      <c r="NW97" s="646"/>
      <c r="NX97" s="645"/>
      <c r="NY97" s="646"/>
      <c r="NZ97" s="645"/>
      <c r="OA97" s="646"/>
      <c r="OB97" s="645"/>
      <c r="OC97" s="646"/>
      <c r="OD97" s="645"/>
      <c r="OE97" s="646"/>
      <c r="OF97" s="645"/>
      <c r="OG97" s="646"/>
      <c r="OH97" s="645"/>
      <c r="OI97" s="646"/>
      <c r="OJ97" s="645"/>
      <c r="OK97" s="646"/>
      <c r="OL97" s="645"/>
      <c r="OM97" s="646"/>
      <c r="ON97" s="645"/>
      <c r="OO97" s="646"/>
      <c r="OP97" s="645"/>
      <c r="OQ97" s="646"/>
      <c r="OR97" s="645"/>
      <c r="OS97" s="646"/>
      <c r="OT97" s="645"/>
      <c r="OU97" s="646"/>
      <c r="OV97" s="645"/>
      <c r="OW97" s="646"/>
      <c r="OX97" s="645"/>
      <c r="OY97" s="646"/>
      <c r="OZ97" s="645"/>
      <c r="PA97" s="646"/>
      <c r="PB97" s="645"/>
      <c r="PC97" s="646"/>
      <c r="PD97" s="645"/>
      <c r="PE97" s="646"/>
      <c r="PF97" s="645"/>
      <c r="PG97" s="646"/>
      <c r="PH97" s="645"/>
      <c r="PI97" s="646"/>
      <c r="PJ97" s="645"/>
      <c r="PK97" s="646"/>
      <c r="PL97" s="645"/>
      <c r="PM97" s="646"/>
      <c r="PN97" s="645"/>
      <c r="PO97" s="646"/>
      <c r="PP97" s="645"/>
      <c r="PQ97" s="646"/>
      <c r="PR97" s="645"/>
      <c r="PS97" s="646"/>
      <c r="PT97" s="645"/>
      <c r="PU97" s="646"/>
      <c r="PV97" s="645"/>
      <c r="PW97" s="646"/>
      <c r="PX97" s="645"/>
      <c r="PY97" s="646"/>
      <c r="PZ97" s="645"/>
      <c r="QA97" s="646"/>
      <c r="QB97" s="645"/>
      <c r="QC97" s="646"/>
      <c r="QD97" s="645"/>
      <c r="QE97" s="646"/>
      <c r="QF97" s="645"/>
      <c r="QG97" s="646"/>
      <c r="QH97" s="645"/>
      <c r="QI97" s="646"/>
      <c r="QJ97" s="645"/>
      <c r="QK97" s="646"/>
      <c r="QL97" s="645"/>
      <c r="QM97" s="646"/>
      <c r="QN97" s="645"/>
      <c r="QO97" s="646"/>
      <c r="QP97" s="645"/>
      <c r="QQ97" s="646"/>
      <c r="QR97" s="645"/>
      <c r="QS97" s="646"/>
      <c r="QT97" s="645"/>
      <c r="QU97" s="646"/>
      <c r="QV97" s="645"/>
      <c r="QW97" s="646"/>
      <c r="QX97" s="645"/>
      <c r="QY97" s="646"/>
      <c r="QZ97" s="645"/>
      <c r="RA97" s="646"/>
      <c r="RB97" s="645"/>
      <c r="RC97" s="646"/>
      <c r="RD97" s="645"/>
      <c r="RE97" s="646"/>
      <c r="RF97" s="645"/>
      <c r="RG97" s="646"/>
      <c r="RH97" s="645"/>
      <c r="RI97" s="646"/>
      <c r="RJ97" s="645"/>
      <c r="RK97" s="646"/>
      <c r="RL97" s="645"/>
      <c r="RM97" s="646"/>
      <c r="RN97" s="645"/>
      <c r="RO97" s="646"/>
      <c r="RP97" s="645"/>
      <c r="RQ97" s="646"/>
      <c r="RR97" s="645"/>
      <c r="RS97" s="646"/>
      <c r="RT97" s="645"/>
      <c r="RU97" s="646"/>
      <c r="RV97" s="645"/>
      <c r="RW97" s="646"/>
      <c r="RX97" s="645"/>
      <c r="RY97" s="646"/>
      <c r="RZ97" s="645"/>
      <c r="SA97" s="646"/>
      <c r="SB97" s="645"/>
      <c r="SC97" s="646"/>
      <c r="SD97" s="645"/>
      <c r="SE97" s="646"/>
      <c r="SF97" s="645"/>
      <c r="SG97" s="646"/>
      <c r="SH97" s="645"/>
      <c r="SI97" s="646"/>
      <c r="SJ97" s="645"/>
      <c r="SK97" s="646"/>
      <c r="SL97" s="645"/>
      <c r="SM97" s="646"/>
      <c r="SN97" s="645"/>
      <c r="SO97" s="646"/>
      <c r="SP97" s="645"/>
      <c r="SQ97" s="646"/>
      <c r="SR97" s="645"/>
      <c r="SS97" s="646"/>
      <c r="ST97" s="645"/>
      <c r="SU97" s="646"/>
      <c r="SV97" s="645"/>
      <c r="SW97" s="646"/>
      <c r="SX97" s="645"/>
      <c r="SY97" s="646"/>
      <c r="SZ97" s="645"/>
      <c r="TA97" s="646"/>
      <c r="TB97" s="645"/>
      <c r="TC97" s="646"/>
      <c r="TD97" s="645"/>
      <c r="TE97" s="646"/>
      <c r="TF97" s="645"/>
      <c r="TG97" s="646"/>
      <c r="TH97" s="645"/>
      <c r="TI97" s="646"/>
      <c r="TJ97" s="645"/>
      <c r="TK97" s="646"/>
      <c r="TL97" s="645"/>
      <c r="TM97" s="646"/>
      <c r="TN97" s="645"/>
      <c r="TO97" s="646"/>
      <c r="TP97" s="645"/>
      <c r="TQ97" s="646"/>
      <c r="TR97" s="645"/>
      <c r="TS97" s="646"/>
      <c r="TT97" s="645"/>
      <c r="TU97" s="646"/>
      <c r="TV97" s="645"/>
      <c r="TW97" s="646"/>
      <c r="TX97" s="645"/>
      <c r="TY97" s="646"/>
      <c r="TZ97" s="645"/>
      <c r="UA97" s="646"/>
      <c r="UB97" s="645"/>
      <c r="UC97" s="646"/>
      <c r="UD97" s="645"/>
      <c r="UE97" s="646"/>
      <c r="UF97" s="645"/>
      <c r="UG97" s="646"/>
      <c r="UH97" s="645"/>
      <c r="UI97" s="646"/>
      <c r="UJ97" s="645"/>
      <c r="UK97" s="646"/>
      <c r="UL97" s="645"/>
      <c r="UM97" s="646"/>
      <c r="UN97" s="645"/>
      <c r="UO97" s="646"/>
      <c r="UP97" s="645"/>
      <c r="UQ97" s="646"/>
      <c r="UR97" s="645"/>
      <c r="US97" s="646"/>
      <c r="UT97" s="645"/>
      <c r="UU97" s="646"/>
      <c r="UV97" s="645"/>
      <c r="UW97" s="646"/>
      <c r="UX97" s="645"/>
      <c r="UY97" s="646"/>
      <c r="UZ97" s="645"/>
      <c r="VA97" s="646"/>
      <c r="VB97" s="645"/>
      <c r="VC97" s="646"/>
      <c r="VD97" s="645"/>
      <c r="VE97" s="646"/>
      <c r="VF97" s="645"/>
      <c r="VG97" s="646"/>
      <c r="VH97" s="645"/>
      <c r="VI97" s="646"/>
      <c r="VJ97" s="645"/>
      <c r="VK97" s="646"/>
      <c r="VL97" s="645"/>
      <c r="VM97" s="646"/>
      <c r="VN97" s="645"/>
      <c r="VO97" s="646"/>
      <c r="VP97" s="645"/>
      <c r="VQ97" s="646"/>
      <c r="VR97" s="645"/>
      <c r="VS97" s="646"/>
      <c r="VT97" s="645"/>
      <c r="VU97" s="646"/>
      <c r="VV97" s="645"/>
      <c r="VW97" s="646"/>
      <c r="VX97" s="645"/>
      <c r="VY97" s="646"/>
      <c r="VZ97" s="645"/>
      <c r="WA97" s="646"/>
      <c r="WB97" s="645"/>
      <c r="WC97" s="646"/>
      <c r="WD97" s="645"/>
      <c r="WE97" s="646"/>
      <c r="WF97" s="645"/>
      <c r="WG97" s="646"/>
      <c r="WH97" s="645"/>
      <c r="WI97" s="646"/>
      <c r="WJ97" s="645"/>
      <c r="WK97" s="646"/>
      <c r="WL97" s="645"/>
      <c r="WM97" s="646"/>
      <c r="WN97" s="645"/>
      <c r="WO97" s="646"/>
      <c r="WP97" s="645"/>
      <c r="WQ97" s="646"/>
      <c r="WR97" s="645"/>
      <c r="WS97" s="646"/>
      <c r="WT97" s="645"/>
      <c r="WU97" s="646"/>
      <c r="WV97" s="645"/>
      <c r="WW97" s="646"/>
      <c r="WX97" s="645"/>
      <c r="WY97" s="646"/>
      <c r="WZ97" s="645"/>
      <c r="XA97" s="646"/>
      <c r="XB97" s="645"/>
      <c r="XC97" s="646"/>
      <c r="XD97" s="645"/>
      <c r="XE97" s="646"/>
      <c r="XF97" s="645"/>
      <c r="XG97" s="646"/>
      <c r="XH97" s="645"/>
      <c r="XI97" s="646"/>
      <c r="XJ97" s="645"/>
      <c r="XK97" s="646"/>
      <c r="XL97" s="645"/>
      <c r="XM97" s="646"/>
      <c r="XN97" s="645"/>
      <c r="XO97" s="646"/>
      <c r="XP97" s="645"/>
      <c r="XQ97" s="646"/>
      <c r="XR97" s="645"/>
      <c r="XS97" s="646"/>
      <c r="XT97" s="645"/>
      <c r="XU97" s="646"/>
      <c r="XV97" s="645"/>
      <c r="XW97" s="646"/>
      <c r="XX97" s="645"/>
      <c r="XY97" s="646"/>
      <c r="XZ97" s="645"/>
      <c r="YA97" s="646"/>
      <c r="YB97" s="645"/>
      <c r="YC97" s="646"/>
      <c r="YD97" s="645"/>
      <c r="YE97" s="646"/>
      <c r="YF97" s="645"/>
      <c r="YG97" s="646"/>
      <c r="YH97" s="645"/>
      <c r="YI97" s="646"/>
      <c r="YJ97" s="645"/>
      <c r="YK97" s="646"/>
      <c r="YL97" s="645"/>
      <c r="YM97" s="646"/>
      <c r="YN97" s="645"/>
      <c r="YO97" s="646"/>
      <c r="YP97" s="645"/>
      <c r="YQ97" s="646"/>
      <c r="YR97" s="645"/>
      <c r="YS97" s="646"/>
      <c r="YT97" s="645"/>
      <c r="YU97" s="646"/>
      <c r="YV97" s="645"/>
      <c r="YW97" s="646"/>
      <c r="YX97" s="645"/>
      <c r="YY97" s="646"/>
      <c r="YZ97" s="645"/>
      <c r="ZA97" s="646"/>
      <c r="ZB97" s="645"/>
      <c r="ZC97" s="646"/>
      <c r="ZD97" s="645"/>
      <c r="ZE97" s="646"/>
      <c r="ZF97" s="645"/>
      <c r="ZG97" s="646"/>
      <c r="ZH97" s="645"/>
      <c r="ZI97" s="646"/>
      <c r="ZJ97" s="645"/>
      <c r="ZK97" s="646"/>
      <c r="ZL97" s="645"/>
      <c r="ZM97" s="646"/>
      <c r="ZN97" s="645"/>
      <c r="ZO97" s="646"/>
      <c r="ZP97" s="645"/>
      <c r="ZQ97" s="646"/>
      <c r="ZR97" s="645"/>
      <c r="ZS97" s="646"/>
      <c r="ZT97" s="645"/>
      <c r="ZU97" s="646"/>
      <c r="ZV97" s="645"/>
      <c r="ZW97" s="646"/>
      <c r="ZX97" s="645"/>
      <c r="ZY97" s="646"/>
      <c r="ZZ97" s="645"/>
      <c r="AAA97" s="646"/>
      <c r="AAB97" s="645"/>
      <c r="AAC97" s="646"/>
      <c r="AAD97" s="645"/>
      <c r="AAE97" s="646"/>
      <c r="AAF97" s="645"/>
      <c r="AAG97" s="646"/>
      <c r="AAH97" s="645"/>
      <c r="AAI97" s="646"/>
      <c r="AAJ97" s="645"/>
      <c r="AAK97" s="646"/>
      <c r="AAL97" s="645"/>
      <c r="AAM97" s="646"/>
      <c r="AAN97" s="645"/>
      <c r="AAO97" s="646"/>
      <c r="AAP97" s="645"/>
      <c r="AAQ97" s="646"/>
      <c r="AAR97" s="645"/>
      <c r="AAS97" s="646"/>
      <c r="AAT97" s="645"/>
      <c r="AAU97" s="646"/>
      <c r="AAV97" s="645"/>
      <c r="AAW97" s="646"/>
      <c r="AAX97" s="645"/>
      <c r="AAY97" s="646"/>
      <c r="AAZ97" s="645"/>
      <c r="ABA97" s="646"/>
      <c r="ABB97" s="645"/>
      <c r="ABC97" s="646"/>
      <c r="ABD97" s="645"/>
      <c r="ABE97" s="646"/>
      <c r="ABF97" s="645"/>
      <c r="ABG97" s="646"/>
      <c r="ABH97" s="645"/>
      <c r="ABI97" s="646"/>
      <c r="ABJ97" s="645"/>
      <c r="ABK97" s="646"/>
      <c r="ABL97" s="645"/>
      <c r="ABM97" s="646"/>
      <c r="ABN97" s="645"/>
      <c r="ABO97" s="646"/>
      <c r="ABP97" s="645"/>
      <c r="ABQ97" s="646"/>
      <c r="ABR97" s="645"/>
      <c r="ABS97" s="646"/>
      <c r="ABT97" s="645"/>
      <c r="ABU97" s="646"/>
      <c r="ABV97" s="645"/>
      <c r="ABW97" s="646"/>
      <c r="ABX97" s="645"/>
      <c r="ABY97" s="646"/>
      <c r="ABZ97" s="645"/>
      <c r="ACA97" s="646"/>
      <c r="ACB97" s="645"/>
      <c r="ACC97" s="646"/>
      <c r="ACD97" s="645"/>
      <c r="ACE97" s="646"/>
      <c r="ACF97" s="645"/>
      <c r="ACG97" s="646"/>
      <c r="ACH97" s="645"/>
      <c r="ACI97" s="646"/>
      <c r="ACJ97" s="645"/>
      <c r="ACK97" s="646"/>
      <c r="ACL97" s="645"/>
      <c r="ACM97" s="646"/>
      <c r="ACN97" s="645"/>
      <c r="ACO97" s="646"/>
      <c r="ACP97" s="645"/>
      <c r="ACQ97" s="646"/>
      <c r="ACR97" s="645"/>
      <c r="ACS97" s="646"/>
      <c r="ACT97" s="645"/>
      <c r="ACU97" s="646"/>
      <c r="ACV97" s="645"/>
      <c r="ACW97" s="646"/>
      <c r="ACX97" s="645"/>
      <c r="ACY97" s="646"/>
      <c r="ACZ97" s="645"/>
      <c r="ADA97" s="646"/>
      <c r="ADB97" s="645"/>
      <c r="ADC97" s="646"/>
      <c r="ADD97" s="645"/>
      <c r="ADE97" s="646"/>
      <c r="ADF97" s="645"/>
      <c r="ADG97" s="646"/>
      <c r="ADH97" s="645"/>
      <c r="ADI97" s="646"/>
      <c r="ADJ97" s="645"/>
      <c r="ADK97" s="646"/>
      <c r="ADL97" s="645"/>
      <c r="ADM97" s="646"/>
      <c r="ADN97" s="645"/>
      <c r="ADO97" s="646"/>
      <c r="ADP97" s="645"/>
      <c r="ADQ97" s="646"/>
      <c r="ADR97" s="645"/>
      <c r="ADS97" s="646"/>
      <c r="ADT97" s="645"/>
      <c r="ADU97" s="646"/>
      <c r="ADV97" s="645"/>
      <c r="ADW97" s="646"/>
      <c r="ADX97" s="645"/>
      <c r="ADY97" s="646"/>
      <c r="ADZ97" s="645"/>
      <c r="AEA97" s="646"/>
      <c r="AEB97" s="645"/>
      <c r="AEC97" s="646"/>
      <c r="AED97" s="645"/>
      <c r="AEE97" s="646"/>
      <c r="AEF97" s="645"/>
      <c r="AEG97" s="646"/>
      <c r="AEH97" s="645"/>
      <c r="AEI97" s="646"/>
      <c r="AEJ97" s="645"/>
      <c r="AEK97" s="646"/>
      <c r="AEL97" s="645"/>
      <c r="AEM97" s="646"/>
      <c r="AEN97" s="645"/>
      <c r="AEO97" s="646"/>
      <c r="AEP97" s="645"/>
      <c r="AEQ97" s="646"/>
      <c r="AER97" s="645"/>
      <c r="AES97" s="646"/>
      <c r="AET97" s="645"/>
      <c r="AEU97" s="646"/>
      <c r="AEV97" s="645"/>
      <c r="AEW97" s="646"/>
      <c r="AEX97" s="645"/>
      <c r="AEY97" s="646"/>
      <c r="AEZ97" s="645"/>
      <c r="AFA97" s="646"/>
      <c r="AFB97" s="645"/>
      <c r="AFC97" s="646"/>
      <c r="AFD97" s="645"/>
      <c r="AFE97" s="646"/>
      <c r="AFF97" s="645"/>
      <c r="AFG97" s="646"/>
      <c r="AFH97" s="645"/>
      <c r="AFI97" s="646"/>
      <c r="AFJ97" s="645"/>
      <c r="AFK97" s="646"/>
      <c r="AFL97" s="645"/>
      <c r="AFM97" s="646"/>
      <c r="AFN97" s="645"/>
      <c r="AFO97" s="646"/>
      <c r="AFP97" s="645"/>
      <c r="AFQ97" s="646"/>
      <c r="AFR97" s="645"/>
      <c r="AFS97" s="646"/>
      <c r="AFT97" s="645"/>
      <c r="AFU97" s="646"/>
      <c r="AFV97" s="645"/>
      <c r="AFW97" s="646"/>
      <c r="AFX97" s="645"/>
      <c r="AFY97" s="646"/>
      <c r="AFZ97" s="645"/>
      <c r="AGA97" s="646"/>
      <c r="AGB97" s="645"/>
      <c r="AGC97" s="646"/>
      <c r="AGD97" s="645"/>
      <c r="AGE97" s="646"/>
      <c r="AGF97" s="645"/>
      <c r="AGG97" s="646"/>
      <c r="AGH97" s="645"/>
      <c r="AGI97" s="646"/>
      <c r="AGJ97" s="645"/>
      <c r="AGK97" s="646"/>
      <c r="AGL97" s="645"/>
      <c r="AGM97" s="646"/>
      <c r="AGN97" s="645"/>
      <c r="AGO97" s="646"/>
      <c r="AGP97" s="645"/>
      <c r="AGQ97" s="646"/>
      <c r="AGR97" s="645"/>
      <c r="AGS97" s="646"/>
      <c r="AGT97" s="645"/>
      <c r="AGU97" s="646"/>
      <c r="AGV97" s="645"/>
      <c r="AGW97" s="646"/>
      <c r="AGX97" s="645"/>
      <c r="AGY97" s="646"/>
      <c r="AGZ97" s="645"/>
      <c r="AHA97" s="646"/>
      <c r="AHB97" s="645"/>
      <c r="AHC97" s="646"/>
      <c r="AHD97" s="645"/>
      <c r="AHE97" s="646"/>
      <c r="AHF97" s="645"/>
      <c r="AHG97" s="646"/>
      <c r="AHH97" s="645"/>
      <c r="AHI97" s="646"/>
      <c r="AHJ97" s="645"/>
      <c r="AHK97" s="646"/>
      <c r="AHL97" s="645"/>
      <c r="AHM97" s="646"/>
      <c r="AHN97" s="645"/>
      <c r="AHO97" s="646"/>
      <c r="AHP97" s="645"/>
      <c r="AHQ97" s="646"/>
      <c r="AHR97" s="645"/>
      <c r="AHS97" s="646"/>
      <c r="AHT97" s="645"/>
      <c r="AHU97" s="646"/>
      <c r="AHV97" s="645"/>
      <c r="AHW97" s="646"/>
      <c r="AHX97" s="645"/>
      <c r="AHY97" s="646"/>
      <c r="AHZ97" s="645"/>
      <c r="AIA97" s="646"/>
      <c r="AIB97" s="645"/>
      <c r="AIC97" s="646"/>
      <c r="AID97" s="645"/>
      <c r="AIE97" s="646"/>
      <c r="AIF97" s="645"/>
      <c r="AIG97" s="646"/>
      <c r="AIH97" s="645"/>
      <c r="AII97" s="646"/>
      <c r="AIJ97" s="645"/>
      <c r="AIK97" s="646"/>
      <c r="AIL97" s="645"/>
      <c r="AIM97" s="646"/>
      <c r="AIN97" s="645"/>
      <c r="AIO97" s="646"/>
      <c r="AIP97" s="645"/>
      <c r="AIQ97" s="645"/>
      <c r="AIR97" s="645"/>
      <c r="AIS97" s="645"/>
      <c r="AIT97" s="645"/>
      <c r="AIU97" s="645"/>
      <c r="AIV97" s="645"/>
      <c r="AIW97" s="645"/>
      <c r="AIX97" s="645"/>
      <c r="AIY97" s="645"/>
      <c r="AIZ97" s="645"/>
      <c r="AJA97" s="645"/>
      <c r="AJB97" s="645"/>
      <c r="AJC97" s="645"/>
      <c r="AJD97" s="645"/>
      <c r="AJE97" s="645"/>
      <c r="AJF97" s="645"/>
      <c r="AJG97" s="645"/>
      <c r="AJH97" s="645"/>
      <c r="AJI97" s="645"/>
      <c r="AJJ97" s="645"/>
      <c r="AJK97" s="645"/>
      <c r="AJL97" s="645"/>
      <c r="AJM97" s="645"/>
      <c r="AJN97" s="645"/>
      <c r="AJO97" s="645"/>
      <c r="AJP97" s="645"/>
      <c r="AJQ97" s="645"/>
      <c r="AJR97" s="645"/>
      <c r="AJS97" s="645"/>
      <c r="AJT97" s="645"/>
      <c r="AJU97" s="645"/>
      <c r="AJV97" s="645"/>
      <c r="AJW97" s="645"/>
      <c r="AJX97" s="645"/>
      <c r="AJY97" s="645"/>
      <c r="AJZ97" s="645"/>
      <c r="AKA97" s="645"/>
      <c r="AKB97" s="645"/>
      <c r="AKC97" s="645"/>
      <c r="AKD97" s="645"/>
      <c r="AKE97" s="645"/>
      <c r="AKF97" s="645"/>
      <c r="AKG97" s="645"/>
      <c r="AKH97" s="645"/>
      <c r="AKI97" s="645"/>
      <c r="AKJ97" s="645"/>
      <c r="AKK97" s="645"/>
      <c r="AKL97" s="645"/>
      <c r="AKM97" s="645"/>
      <c r="AKN97" s="645"/>
      <c r="AKO97" s="645"/>
      <c r="AKP97" s="645"/>
      <c r="AKQ97" s="645"/>
      <c r="AKR97" s="645"/>
      <c r="AKS97" s="645"/>
      <c r="AKT97" s="645"/>
      <c r="AKU97" s="645"/>
      <c r="AKV97" s="645"/>
      <c r="AKW97" s="645"/>
      <c r="AKX97" s="645"/>
      <c r="AKY97" s="645"/>
      <c r="AKZ97" s="645"/>
      <c r="ALA97" s="645"/>
      <c r="ALB97" s="645"/>
      <c r="ALC97" s="645"/>
      <c r="ALD97" s="645"/>
      <c r="ALE97" s="645"/>
      <c r="ALF97" s="645"/>
      <c r="ALG97" s="645"/>
      <c r="ALH97" s="645"/>
      <c r="ALI97" s="645"/>
      <c r="ALJ97" s="645"/>
      <c r="ALK97" s="645"/>
      <c r="ALL97" s="645"/>
      <c r="ALM97" s="645"/>
      <c r="ALN97" s="645"/>
      <c r="ALO97" s="645"/>
      <c r="ALP97" s="645"/>
      <c r="ALQ97" s="645"/>
      <c r="ALR97" s="645"/>
      <c r="ALS97" s="645"/>
      <c r="ALT97" s="645"/>
      <c r="ALU97" s="645"/>
      <c r="ALV97" s="645"/>
      <c r="ALW97" s="645"/>
      <c r="ALX97" s="645"/>
      <c r="ALY97" s="645"/>
      <c r="ALZ97" s="645"/>
      <c r="AMA97" s="645"/>
      <c r="AMB97" s="645"/>
      <c r="AMC97" s="645"/>
      <c r="AMD97" s="645"/>
      <c r="AME97" s="645"/>
      <c r="AMF97" s="645"/>
      <c r="AMG97" s="645"/>
      <c r="AMH97" s="645"/>
      <c r="AMI97" s="645"/>
      <c r="AMJ97" s="645"/>
    </row>
    <row r="98" spans="1:1024" s="37" customFormat="1" ht="15.75" customHeight="1" x14ac:dyDescent="0.35">
      <c r="A98" s="600"/>
      <c r="B98" s="644" t="s">
        <v>352</v>
      </c>
      <c r="C98" s="645"/>
      <c r="D98" s="646"/>
      <c r="E98" s="645"/>
      <c r="F98" s="646"/>
      <c r="G98" s="647" t="s">
        <v>243</v>
      </c>
      <c r="H98" s="643"/>
      <c r="I98" s="645"/>
      <c r="J98" s="38"/>
      <c r="K98" s="38"/>
      <c r="L98" s="39"/>
      <c r="M98" s="38"/>
      <c r="N98" s="39"/>
      <c r="O98" s="38"/>
      <c r="P98" s="39"/>
      <c r="Q98" s="38"/>
      <c r="R98" s="39"/>
      <c r="S98" s="38"/>
      <c r="T98" s="39"/>
      <c r="U98" s="38"/>
      <c r="V98" s="39"/>
      <c r="W98" s="38"/>
      <c r="X98" s="39"/>
      <c r="Y98" s="38"/>
      <c r="Z98" s="39"/>
      <c r="AA98" s="38"/>
      <c r="AB98" s="39"/>
      <c r="AC98" s="38"/>
      <c r="AD98" s="39"/>
      <c r="AE98" s="38"/>
      <c r="AF98" s="39"/>
      <c r="AG98" s="38"/>
      <c r="AH98" s="39"/>
      <c r="AI98" s="38"/>
      <c r="AJ98" s="39"/>
      <c r="AK98" s="40"/>
      <c r="AL98" s="39"/>
      <c r="AM98" s="40"/>
      <c r="AN98" s="39"/>
      <c r="AO98" s="40"/>
      <c r="AP98" s="39"/>
      <c r="AQ98" s="40"/>
      <c r="AR98" s="39"/>
      <c r="AS98" s="40"/>
      <c r="AT98" s="39"/>
      <c r="AU98" s="40"/>
      <c r="AV98" s="39"/>
      <c r="AW98" s="40"/>
      <c r="AX98" s="39"/>
      <c r="AY98" s="40"/>
      <c r="AZ98" s="39"/>
      <c r="BA98" s="40"/>
      <c r="BB98" s="39"/>
      <c r="BC98" s="40"/>
      <c r="BD98" s="39"/>
      <c r="BE98" s="40"/>
      <c r="BF98" s="39"/>
      <c r="BG98" s="40"/>
      <c r="BH98" s="39"/>
      <c r="BI98" s="40"/>
      <c r="BJ98" s="39"/>
      <c r="BK98" s="40"/>
      <c r="BL98" s="39"/>
      <c r="BM98" s="40"/>
      <c r="BN98" s="39"/>
      <c r="BO98" s="40"/>
      <c r="BP98" s="39"/>
      <c r="BQ98" s="40"/>
      <c r="BR98" s="39"/>
      <c r="BS98" s="40"/>
      <c r="BT98" s="39"/>
      <c r="BU98" s="40"/>
      <c r="BV98" s="39"/>
      <c r="BW98" s="40"/>
      <c r="BX98" s="39"/>
      <c r="BY98" s="40"/>
      <c r="BZ98" s="39"/>
      <c r="CA98" s="40"/>
      <c r="CB98" s="39"/>
      <c r="CC98" s="40"/>
      <c r="CD98" s="39"/>
      <c r="CE98" s="40"/>
      <c r="CF98" s="39"/>
      <c r="CG98" s="40"/>
      <c r="CH98" s="39"/>
      <c r="CI98" s="40"/>
      <c r="CJ98" s="39"/>
      <c r="CK98" s="40"/>
      <c r="CL98" s="39"/>
      <c r="CM98" s="40"/>
      <c r="CN98" s="39"/>
      <c r="CO98" s="40"/>
      <c r="CP98" s="39"/>
      <c r="CQ98" s="40"/>
      <c r="CR98" s="39"/>
      <c r="CS98" s="40"/>
      <c r="CT98" s="39"/>
      <c r="CU98" s="40"/>
      <c r="CV98" s="39"/>
      <c r="CW98" s="40"/>
      <c r="CX98" s="39"/>
      <c r="CY98" s="40"/>
      <c r="CZ98" s="39"/>
      <c r="DA98" s="40"/>
      <c r="DB98" s="39"/>
      <c r="DC98" s="40"/>
      <c r="DD98" s="39"/>
      <c r="DE98" s="40"/>
      <c r="DF98" s="39"/>
      <c r="DG98" s="40"/>
      <c r="DH98" s="39"/>
      <c r="DI98" s="40"/>
      <c r="DJ98" s="39"/>
      <c r="DK98" s="40"/>
      <c r="DL98" s="39"/>
      <c r="DM98" s="40"/>
      <c r="DN98" s="39"/>
      <c r="DO98" s="40"/>
      <c r="DP98" s="39"/>
      <c r="DQ98" s="40"/>
      <c r="DR98" s="39"/>
      <c r="DS98" s="40"/>
      <c r="DT98" s="39"/>
      <c r="DU98" s="40"/>
      <c r="DV98" s="39"/>
      <c r="DW98" s="40"/>
      <c r="DX98" s="39"/>
      <c r="DY98" s="40"/>
      <c r="DZ98" s="39"/>
      <c r="EA98" s="40"/>
      <c r="EB98" s="39"/>
      <c r="EC98" s="40"/>
      <c r="ED98" s="39"/>
      <c r="EE98" s="40"/>
      <c r="EF98" s="39"/>
      <c r="EG98" s="40"/>
      <c r="EH98" s="39"/>
      <c r="EI98" s="40"/>
      <c r="EJ98" s="39"/>
      <c r="EK98" s="40"/>
      <c r="EL98" s="39"/>
      <c r="EM98" s="40"/>
      <c r="EN98" s="39"/>
      <c r="EO98" s="40"/>
      <c r="EP98" s="39"/>
      <c r="EQ98" s="40"/>
      <c r="ER98" s="39"/>
      <c r="ES98" s="40"/>
      <c r="ET98" s="39"/>
      <c r="EU98" s="40"/>
      <c r="EV98" s="39"/>
      <c r="EW98" s="40"/>
      <c r="EX98" s="39"/>
      <c r="EY98" s="40"/>
      <c r="EZ98" s="39"/>
      <c r="FA98" s="40"/>
      <c r="FB98" s="39"/>
      <c r="FC98" s="40"/>
      <c r="FD98" s="39"/>
      <c r="FE98" s="40"/>
      <c r="FF98" s="39"/>
      <c r="FG98" s="40"/>
      <c r="FH98" s="39"/>
      <c r="FI98" s="40"/>
      <c r="FJ98" s="39"/>
      <c r="FK98" s="40"/>
      <c r="FL98" s="39"/>
      <c r="FM98" s="40"/>
      <c r="FN98" s="39"/>
      <c r="FO98" s="40"/>
      <c r="FP98" s="39"/>
      <c r="FQ98" s="40"/>
      <c r="FR98" s="39"/>
      <c r="FS98" s="40"/>
      <c r="FT98" s="39"/>
      <c r="FU98" s="40"/>
      <c r="FV98" s="39"/>
      <c r="FW98" s="40"/>
      <c r="FX98" s="39"/>
      <c r="FY98" s="40"/>
      <c r="FZ98" s="39"/>
      <c r="GA98" s="40"/>
      <c r="GB98" s="39"/>
      <c r="GC98" s="40"/>
      <c r="GD98" s="39"/>
      <c r="GE98" s="40"/>
      <c r="GF98" s="39"/>
      <c r="GG98" s="40"/>
      <c r="GH98" s="39"/>
      <c r="GI98" s="40"/>
      <c r="GJ98" s="39"/>
      <c r="GK98" s="40"/>
      <c r="GL98" s="39"/>
      <c r="GM98" s="40"/>
      <c r="GN98" s="39"/>
      <c r="GO98" s="40"/>
      <c r="GP98" s="39"/>
      <c r="GQ98" s="40"/>
      <c r="GR98" s="39"/>
      <c r="GS98" s="40"/>
      <c r="GT98" s="39"/>
      <c r="GU98" s="40"/>
      <c r="GV98" s="39"/>
      <c r="GW98" s="40"/>
      <c r="GX98" s="39"/>
      <c r="GY98" s="40"/>
      <c r="GZ98" s="39"/>
      <c r="HA98" s="40"/>
      <c r="HB98" s="39"/>
      <c r="HC98" s="40"/>
      <c r="HD98" s="39"/>
      <c r="HE98" s="40"/>
      <c r="HF98" s="39"/>
      <c r="HG98" s="40"/>
      <c r="HH98" s="39"/>
      <c r="HI98" s="40"/>
      <c r="HJ98" s="39"/>
      <c r="HK98" s="40"/>
      <c r="HL98" s="39"/>
      <c r="HM98" s="40"/>
      <c r="HN98" s="39"/>
      <c r="HO98" s="40"/>
      <c r="HP98" s="39"/>
      <c r="HQ98" s="40"/>
      <c r="HR98" s="39"/>
      <c r="HS98" s="40"/>
      <c r="HT98" s="39"/>
      <c r="HU98" s="40"/>
      <c r="HV98" s="39"/>
      <c r="HW98" s="40"/>
      <c r="HX98" s="39"/>
      <c r="HY98" s="40"/>
      <c r="HZ98" s="39"/>
      <c r="IA98" s="40"/>
      <c r="IB98" s="39"/>
      <c r="IC98" s="1068"/>
      <c r="ID98" s="645"/>
      <c r="IE98" s="646"/>
      <c r="IF98" s="645"/>
      <c r="IG98" s="646"/>
      <c r="IH98" s="645"/>
      <c r="II98" s="646"/>
      <c r="IJ98" s="645"/>
      <c r="IK98" s="646"/>
      <c r="IL98" s="645"/>
      <c r="IM98" s="646"/>
      <c r="IN98" s="645"/>
      <c r="IO98" s="646"/>
      <c r="IP98" s="645"/>
      <c r="IQ98" s="646"/>
      <c r="IR98" s="645"/>
      <c r="IS98" s="646"/>
      <c r="IT98" s="645"/>
      <c r="IU98" s="646"/>
      <c r="IV98" s="645"/>
      <c r="IW98" s="646"/>
      <c r="IX98" s="645"/>
      <c r="IY98" s="646"/>
      <c r="IZ98" s="645"/>
      <c r="JA98" s="646"/>
      <c r="JB98" s="645"/>
      <c r="JC98" s="646"/>
      <c r="JD98" s="645"/>
      <c r="JE98" s="646"/>
      <c r="JF98" s="645"/>
      <c r="JG98" s="646"/>
      <c r="JH98" s="645"/>
      <c r="JI98" s="646"/>
      <c r="JJ98" s="645"/>
      <c r="JK98" s="646"/>
      <c r="JL98" s="645"/>
      <c r="JM98" s="646"/>
      <c r="JN98" s="645"/>
      <c r="JO98" s="646"/>
      <c r="JP98" s="645"/>
      <c r="JQ98" s="646"/>
      <c r="JR98" s="645"/>
      <c r="JS98" s="646"/>
      <c r="JT98" s="645"/>
      <c r="JU98" s="646"/>
      <c r="JV98" s="645"/>
      <c r="JW98" s="646"/>
      <c r="JX98" s="645"/>
      <c r="JY98" s="646"/>
      <c r="JZ98" s="645"/>
      <c r="KA98" s="646"/>
      <c r="KB98" s="645"/>
      <c r="KC98" s="646"/>
      <c r="KD98" s="645"/>
      <c r="KE98" s="646"/>
      <c r="KF98" s="645"/>
      <c r="KG98" s="646"/>
      <c r="KH98" s="645"/>
      <c r="KI98" s="646"/>
      <c r="KJ98" s="645"/>
      <c r="KK98" s="646"/>
      <c r="KL98" s="645"/>
      <c r="KM98" s="646"/>
      <c r="KN98" s="645"/>
      <c r="KO98" s="646"/>
      <c r="KP98" s="645"/>
      <c r="KQ98" s="646"/>
      <c r="KR98" s="645"/>
      <c r="KS98" s="646"/>
      <c r="KT98" s="645"/>
      <c r="KU98" s="646"/>
      <c r="KV98" s="645"/>
      <c r="KW98" s="646"/>
      <c r="KX98" s="645"/>
      <c r="KY98" s="646"/>
      <c r="KZ98" s="645"/>
      <c r="LA98" s="646"/>
      <c r="LB98" s="645"/>
      <c r="LC98" s="646"/>
      <c r="LD98" s="645"/>
      <c r="LE98" s="646"/>
      <c r="LF98" s="645"/>
      <c r="LG98" s="646"/>
      <c r="LH98" s="645"/>
      <c r="LI98" s="646"/>
      <c r="LJ98" s="645"/>
      <c r="LK98" s="646"/>
      <c r="LL98" s="645"/>
      <c r="LM98" s="646"/>
      <c r="LN98" s="645"/>
      <c r="LO98" s="646"/>
      <c r="LP98" s="645"/>
      <c r="LQ98" s="646"/>
      <c r="LR98" s="645"/>
      <c r="LS98" s="646"/>
      <c r="LT98" s="645"/>
      <c r="LU98" s="646"/>
      <c r="LV98" s="645"/>
      <c r="LW98" s="646"/>
      <c r="LX98" s="645"/>
      <c r="LY98" s="646"/>
      <c r="LZ98" s="645"/>
      <c r="MA98" s="646"/>
      <c r="MB98" s="645"/>
      <c r="MC98" s="646"/>
      <c r="MD98" s="645"/>
      <c r="ME98" s="646"/>
      <c r="MF98" s="645"/>
      <c r="MG98" s="646"/>
      <c r="MH98" s="645"/>
      <c r="MI98" s="646"/>
      <c r="MJ98" s="645"/>
      <c r="MK98" s="646"/>
      <c r="ML98" s="645"/>
      <c r="MM98" s="646"/>
      <c r="MN98" s="645"/>
      <c r="MO98" s="646"/>
      <c r="MP98" s="645"/>
      <c r="MQ98" s="646"/>
      <c r="MR98" s="645"/>
      <c r="MS98" s="646"/>
      <c r="MT98" s="645"/>
      <c r="MU98" s="646"/>
      <c r="MV98" s="645"/>
      <c r="MW98" s="646"/>
      <c r="MX98" s="645"/>
      <c r="MY98" s="646"/>
      <c r="MZ98" s="645"/>
      <c r="NA98" s="646"/>
      <c r="NB98" s="645"/>
      <c r="NC98" s="646"/>
      <c r="ND98" s="645"/>
      <c r="NE98" s="646"/>
      <c r="NF98" s="645"/>
      <c r="NG98" s="646"/>
      <c r="NH98" s="645"/>
      <c r="NI98" s="646"/>
      <c r="NJ98" s="645"/>
      <c r="NK98" s="646"/>
      <c r="NL98" s="645"/>
      <c r="NM98" s="646"/>
      <c r="NN98" s="645"/>
      <c r="NO98" s="646"/>
      <c r="NP98" s="645"/>
      <c r="NQ98" s="646"/>
      <c r="NR98" s="645"/>
      <c r="NS98" s="646"/>
      <c r="NT98" s="645"/>
      <c r="NU98" s="646"/>
      <c r="NV98" s="645"/>
      <c r="NW98" s="646"/>
      <c r="NX98" s="645"/>
      <c r="NY98" s="646"/>
      <c r="NZ98" s="645"/>
      <c r="OA98" s="646"/>
      <c r="OB98" s="645"/>
      <c r="OC98" s="646"/>
      <c r="OD98" s="645"/>
      <c r="OE98" s="646"/>
      <c r="OF98" s="645"/>
      <c r="OG98" s="646"/>
      <c r="OH98" s="645"/>
      <c r="OI98" s="646"/>
      <c r="OJ98" s="645"/>
      <c r="OK98" s="646"/>
      <c r="OL98" s="645"/>
      <c r="OM98" s="646"/>
      <c r="ON98" s="645"/>
      <c r="OO98" s="646"/>
      <c r="OP98" s="645"/>
      <c r="OQ98" s="646"/>
      <c r="OR98" s="645"/>
      <c r="OS98" s="646"/>
      <c r="OT98" s="645"/>
      <c r="OU98" s="646"/>
      <c r="OV98" s="645"/>
      <c r="OW98" s="646"/>
      <c r="OX98" s="645"/>
      <c r="OY98" s="646"/>
      <c r="OZ98" s="645"/>
      <c r="PA98" s="646"/>
      <c r="PB98" s="645"/>
      <c r="PC98" s="646"/>
      <c r="PD98" s="645"/>
      <c r="PE98" s="646"/>
      <c r="PF98" s="645"/>
      <c r="PG98" s="646"/>
      <c r="PH98" s="645"/>
      <c r="PI98" s="646"/>
      <c r="PJ98" s="645"/>
      <c r="PK98" s="646"/>
      <c r="PL98" s="645"/>
      <c r="PM98" s="646"/>
      <c r="PN98" s="645"/>
      <c r="PO98" s="646"/>
      <c r="PP98" s="645"/>
      <c r="PQ98" s="646"/>
      <c r="PR98" s="645"/>
      <c r="PS98" s="646"/>
      <c r="PT98" s="645"/>
      <c r="PU98" s="646"/>
      <c r="PV98" s="645"/>
      <c r="PW98" s="646"/>
      <c r="PX98" s="645"/>
      <c r="PY98" s="646"/>
      <c r="PZ98" s="645"/>
      <c r="QA98" s="646"/>
      <c r="QB98" s="645"/>
      <c r="QC98" s="646"/>
      <c r="QD98" s="645"/>
      <c r="QE98" s="646"/>
      <c r="QF98" s="645"/>
      <c r="QG98" s="646"/>
      <c r="QH98" s="645"/>
      <c r="QI98" s="646"/>
      <c r="QJ98" s="645"/>
      <c r="QK98" s="646"/>
      <c r="QL98" s="645"/>
      <c r="QM98" s="646"/>
      <c r="QN98" s="645"/>
      <c r="QO98" s="646"/>
      <c r="QP98" s="645"/>
      <c r="QQ98" s="646"/>
      <c r="QR98" s="645"/>
      <c r="QS98" s="646"/>
      <c r="QT98" s="645"/>
      <c r="QU98" s="646"/>
      <c r="QV98" s="645"/>
      <c r="QW98" s="646"/>
      <c r="QX98" s="645"/>
      <c r="QY98" s="646"/>
      <c r="QZ98" s="645"/>
      <c r="RA98" s="646"/>
      <c r="RB98" s="645"/>
      <c r="RC98" s="646"/>
      <c r="RD98" s="645"/>
      <c r="RE98" s="646"/>
      <c r="RF98" s="645"/>
      <c r="RG98" s="646"/>
      <c r="RH98" s="645"/>
      <c r="RI98" s="646"/>
      <c r="RJ98" s="645"/>
      <c r="RK98" s="646"/>
      <c r="RL98" s="645"/>
      <c r="RM98" s="646"/>
      <c r="RN98" s="645"/>
      <c r="RO98" s="646"/>
      <c r="RP98" s="645"/>
      <c r="RQ98" s="646"/>
      <c r="RR98" s="645"/>
      <c r="RS98" s="646"/>
      <c r="RT98" s="645"/>
      <c r="RU98" s="646"/>
      <c r="RV98" s="645"/>
      <c r="RW98" s="646"/>
      <c r="RX98" s="645"/>
      <c r="RY98" s="646"/>
      <c r="RZ98" s="645"/>
      <c r="SA98" s="646"/>
      <c r="SB98" s="645"/>
      <c r="SC98" s="646"/>
      <c r="SD98" s="645"/>
      <c r="SE98" s="646"/>
      <c r="SF98" s="645"/>
      <c r="SG98" s="646"/>
      <c r="SH98" s="645"/>
      <c r="SI98" s="646"/>
      <c r="SJ98" s="645"/>
      <c r="SK98" s="646"/>
      <c r="SL98" s="645"/>
      <c r="SM98" s="646"/>
      <c r="SN98" s="645"/>
      <c r="SO98" s="646"/>
      <c r="SP98" s="645"/>
      <c r="SQ98" s="646"/>
      <c r="SR98" s="645"/>
      <c r="SS98" s="646"/>
      <c r="ST98" s="645"/>
      <c r="SU98" s="646"/>
      <c r="SV98" s="645"/>
      <c r="SW98" s="646"/>
      <c r="SX98" s="645"/>
      <c r="SY98" s="646"/>
      <c r="SZ98" s="645"/>
      <c r="TA98" s="646"/>
      <c r="TB98" s="645"/>
      <c r="TC98" s="646"/>
      <c r="TD98" s="645"/>
      <c r="TE98" s="646"/>
      <c r="TF98" s="645"/>
      <c r="TG98" s="646"/>
      <c r="TH98" s="645"/>
      <c r="TI98" s="646"/>
      <c r="TJ98" s="645"/>
      <c r="TK98" s="646"/>
      <c r="TL98" s="645"/>
      <c r="TM98" s="646"/>
      <c r="TN98" s="645"/>
      <c r="TO98" s="646"/>
      <c r="TP98" s="645"/>
      <c r="TQ98" s="646"/>
      <c r="TR98" s="645"/>
      <c r="TS98" s="646"/>
      <c r="TT98" s="645"/>
      <c r="TU98" s="646"/>
      <c r="TV98" s="645"/>
      <c r="TW98" s="646"/>
      <c r="TX98" s="645"/>
      <c r="TY98" s="646"/>
      <c r="TZ98" s="645"/>
      <c r="UA98" s="646"/>
      <c r="UB98" s="645"/>
      <c r="UC98" s="646"/>
      <c r="UD98" s="645"/>
      <c r="UE98" s="646"/>
      <c r="UF98" s="645"/>
      <c r="UG98" s="646"/>
      <c r="UH98" s="645"/>
      <c r="UI98" s="646"/>
      <c r="UJ98" s="645"/>
      <c r="UK98" s="646"/>
      <c r="UL98" s="645"/>
      <c r="UM98" s="646"/>
      <c r="UN98" s="645"/>
      <c r="UO98" s="646"/>
      <c r="UP98" s="645"/>
      <c r="UQ98" s="646"/>
      <c r="UR98" s="645"/>
      <c r="US98" s="646"/>
      <c r="UT98" s="645"/>
      <c r="UU98" s="646"/>
      <c r="UV98" s="645"/>
      <c r="UW98" s="646"/>
      <c r="UX98" s="645"/>
      <c r="UY98" s="646"/>
      <c r="UZ98" s="645"/>
      <c r="VA98" s="646"/>
      <c r="VB98" s="645"/>
      <c r="VC98" s="646"/>
      <c r="VD98" s="645"/>
      <c r="VE98" s="646"/>
      <c r="VF98" s="645"/>
      <c r="VG98" s="646"/>
      <c r="VH98" s="645"/>
      <c r="VI98" s="646"/>
      <c r="VJ98" s="645"/>
      <c r="VK98" s="646"/>
      <c r="VL98" s="645"/>
      <c r="VM98" s="646"/>
      <c r="VN98" s="645"/>
      <c r="VO98" s="646"/>
      <c r="VP98" s="645"/>
      <c r="VQ98" s="646"/>
      <c r="VR98" s="645"/>
      <c r="VS98" s="646"/>
      <c r="VT98" s="645"/>
      <c r="VU98" s="646"/>
      <c r="VV98" s="645"/>
      <c r="VW98" s="646"/>
      <c r="VX98" s="645"/>
      <c r="VY98" s="646"/>
      <c r="VZ98" s="645"/>
      <c r="WA98" s="646"/>
      <c r="WB98" s="645"/>
      <c r="WC98" s="646"/>
      <c r="WD98" s="645"/>
      <c r="WE98" s="646"/>
      <c r="WF98" s="645"/>
      <c r="WG98" s="646"/>
      <c r="WH98" s="645"/>
      <c r="WI98" s="646"/>
      <c r="WJ98" s="645"/>
      <c r="WK98" s="646"/>
      <c r="WL98" s="645"/>
      <c r="WM98" s="646"/>
      <c r="WN98" s="645"/>
      <c r="WO98" s="646"/>
      <c r="WP98" s="645"/>
      <c r="WQ98" s="646"/>
      <c r="WR98" s="645"/>
      <c r="WS98" s="646"/>
      <c r="WT98" s="645"/>
      <c r="WU98" s="646"/>
      <c r="WV98" s="645"/>
      <c r="WW98" s="646"/>
      <c r="WX98" s="645"/>
      <c r="WY98" s="646"/>
      <c r="WZ98" s="645"/>
      <c r="XA98" s="646"/>
      <c r="XB98" s="645"/>
      <c r="XC98" s="646"/>
      <c r="XD98" s="645"/>
      <c r="XE98" s="646"/>
      <c r="XF98" s="645"/>
      <c r="XG98" s="646"/>
      <c r="XH98" s="645"/>
      <c r="XI98" s="646"/>
      <c r="XJ98" s="645"/>
      <c r="XK98" s="646"/>
      <c r="XL98" s="645"/>
      <c r="XM98" s="646"/>
      <c r="XN98" s="645"/>
      <c r="XO98" s="646"/>
      <c r="XP98" s="645"/>
      <c r="XQ98" s="646"/>
      <c r="XR98" s="645"/>
      <c r="XS98" s="646"/>
      <c r="XT98" s="645"/>
      <c r="XU98" s="646"/>
      <c r="XV98" s="645"/>
      <c r="XW98" s="646"/>
      <c r="XX98" s="645"/>
      <c r="XY98" s="646"/>
      <c r="XZ98" s="645"/>
      <c r="YA98" s="646"/>
      <c r="YB98" s="645"/>
      <c r="YC98" s="646"/>
      <c r="YD98" s="645"/>
      <c r="YE98" s="646"/>
      <c r="YF98" s="645"/>
      <c r="YG98" s="646"/>
      <c r="YH98" s="645"/>
      <c r="YI98" s="646"/>
      <c r="YJ98" s="645"/>
      <c r="YK98" s="646"/>
      <c r="YL98" s="645"/>
      <c r="YM98" s="646"/>
      <c r="YN98" s="645"/>
      <c r="YO98" s="646"/>
      <c r="YP98" s="645"/>
      <c r="YQ98" s="646"/>
      <c r="YR98" s="645"/>
      <c r="YS98" s="646"/>
      <c r="YT98" s="645"/>
      <c r="YU98" s="646"/>
      <c r="YV98" s="645"/>
      <c r="YW98" s="646"/>
      <c r="YX98" s="645"/>
      <c r="YY98" s="646"/>
      <c r="YZ98" s="645"/>
      <c r="ZA98" s="646"/>
      <c r="ZB98" s="645"/>
      <c r="ZC98" s="646"/>
      <c r="ZD98" s="645"/>
      <c r="ZE98" s="646"/>
      <c r="ZF98" s="645"/>
      <c r="ZG98" s="646"/>
      <c r="ZH98" s="645"/>
      <c r="ZI98" s="646"/>
      <c r="ZJ98" s="645"/>
      <c r="ZK98" s="646"/>
      <c r="ZL98" s="645"/>
      <c r="ZM98" s="646"/>
      <c r="ZN98" s="645"/>
      <c r="ZO98" s="646"/>
      <c r="ZP98" s="645"/>
      <c r="ZQ98" s="646"/>
      <c r="ZR98" s="645"/>
      <c r="ZS98" s="646"/>
      <c r="ZT98" s="645"/>
      <c r="ZU98" s="646"/>
      <c r="ZV98" s="645"/>
      <c r="ZW98" s="646"/>
      <c r="ZX98" s="645"/>
      <c r="ZY98" s="646"/>
      <c r="ZZ98" s="645"/>
      <c r="AAA98" s="646"/>
      <c r="AAB98" s="645"/>
      <c r="AAC98" s="646"/>
      <c r="AAD98" s="645"/>
      <c r="AAE98" s="646"/>
      <c r="AAF98" s="645"/>
      <c r="AAG98" s="646"/>
      <c r="AAH98" s="645"/>
      <c r="AAI98" s="646"/>
      <c r="AAJ98" s="645"/>
      <c r="AAK98" s="646"/>
      <c r="AAL98" s="645"/>
      <c r="AAM98" s="646"/>
      <c r="AAN98" s="645"/>
      <c r="AAO98" s="646"/>
      <c r="AAP98" s="645"/>
      <c r="AAQ98" s="646"/>
      <c r="AAR98" s="645"/>
      <c r="AAS98" s="646"/>
      <c r="AAT98" s="645"/>
      <c r="AAU98" s="646"/>
      <c r="AAV98" s="645"/>
      <c r="AAW98" s="646"/>
      <c r="AAX98" s="645"/>
      <c r="AAY98" s="646"/>
      <c r="AAZ98" s="645"/>
      <c r="ABA98" s="646"/>
      <c r="ABB98" s="645"/>
      <c r="ABC98" s="646"/>
      <c r="ABD98" s="645"/>
      <c r="ABE98" s="646"/>
      <c r="ABF98" s="645"/>
      <c r="ABG98" s="646"/>
      <c r="ABH98" s="645"/>
      <c r="ABI98" s="646"/>
      <c r="ABJ98" s="645"/>
      <c r="ABK98" s="646"/>
      <c r="ABL98" s="645"/>
      <c r="ABM98" s="646"/>
      <c r="ABN98" s="645"/>
      <c r="ABO98" s="646"/>
      <c r="ABP98" s="645"/>
      <c r="ABQ98" s="646"/>
      <c r="ABR98" s="645"/>
      <c r="ABS98" s="646"/>
      <c r="ABT98" s="645"/>
      <c r="ABU98" s="646"/>
      <c r="ABV98" s="645"/>
      <c r="ABW98" s="646"/>
      <c r="ABX98" s="645"/>
      <c r="ABY98" s="646"/>
      <c r="ABZ98" s="645"/>
      <c r="ACA98" s="646"/>
      <c r="ACB98" s="645"/>
      <c r="ACC98" s="646"/>
      <c r="ACD98" s="645"/>
      <c r="ACE98" s="646"/>
      <c r="ACF98" s="645"/>
      <c r="ACG98" s="646"/>
      <c r="ACH98" s="645"/>
      <c r="ACI98" s="646"/>
      <c r="ACJ98" s="645"/>
      <c r="ACK98" s="646"/>
      <c r="ACL98" s="645"/>
      <c r="ACM98" s="646"/>
      <c r="ACN98" s="645"/>
      <c r="ACO98" s="646"/>
      <c r="ACP98" s="645"/>
      <c r="ACQ98" s="646"/>
      <c r="ACR98" s="645"/>
      <c r="ACS98" s="646"/>
      <c r="ACT98" s="645"/>
      <c r="ACU98" s="646"/>
      <c r="ACV98" s="645"/>
      <c r="ACW98" s="646"/>
      <c r="ACX98" s="645"/>
      <c r="ACY98" s="646"/>
      <c r="ACZ98" s="645"/>
      <c r="ADA98" s="646"/>
      <c r="ADB98" s="645"/>
      <c r="ADC98" s="646"/>
      <c r="ADD98" s="645"/>
      <c r="ADE98" s="646"/>
      <c r="ADF98" s="645"/>
      <c r="ADG98" s="646"/>
      <c r="ADH98" s="645"/>
      <c r="ADI98" s="646"/>
      <c r="ADJ98" s="645"/>
      <c r="ADK98" s="646"/>
      <c r="ADL98" s="645"/>
      <c r="ADM98" s="646"/>
      <c r="ADN98" s="645"/>
      <c r="ADO98" s="646"/>
      <c r="ADP98" s="645"/>
      <c r="ADQ98" s="646"/>
      <c r="ADR98" s="645"/>
      <c r="ADS98" s="646"/>
      <c r="ADT98" s="645"/>
      <c r="ADU98" s="646"/>
      <c r="ADV98" s="645"/>
      <c r="ADW98" s="646"/>
      <c r="ADX98" s="645"/>
      <c r="ADY98" s="646"/>
      <c r="ADZ98" s="645"/>
      <c r="AEA98" s="646"/>
      <c r="AEB98" s="645"/>
      <c r="AEC98" s="646"/>
      <c r="AED98" s="645"/>
      <c r="AEE98" s="646"/>
      <c r="AEF98" s="645"/>
      <c r="AEG98" s="646"/>
      <c r="AEH98" s="645"/>
      <c r="AEI98" s="646"/>
      <c r="AEJ98" s="645"/>
      <c r="AEK98" s="646"/>
      <c r="AEL98" s="645"/>
      <c r="AEM98" s="646"/>
      <c r="AEN98" s="645"/>
      <c r="AEO98" s="646"/>
      <c r="AEP98" s="645"/>
      <c r="AEQ98" s="646"/>
      <c r="AER98" s="645"/>
      <c r="AES98" s="646"/>
      <c r="AET98" s="645"/>
      <c r="AEU98" s="646"/>
      <c r="AEV98" s="645"/>
      <c r="AEW98" s="646"/>
      <c r="AEX98" s="645"/>
      <c r="AEY98" s="646"/>
      <c r="AEZ98" s="645"/>
      <c r="AFA98" s="646"/>
      <c r="AFB98" s="645"/>
      <c r="AFC98" s="646"/>
      <c r="AFD98" s="645"/>
      <c r="AFE98" s="646"/>
      <c r="AFF98" s="645"/>
      <c r="AFG98" s="646"/>
      <c r="AFH98" s="645"/>
      <c r="AFI98" s="646"/>
      <c r="AFJ98" s="645"/>
      <c r="AFK98" s="646"/>
      <c r="AFL98" s="645"/>
      <c r="AFM98" s="646"/>
      <c r="AFN98" s="645"/>
      <c r="AFO98" s="646"/>
      <c r="AFP98" s="645"/>
      <c r="AFQ98" s="646"/>
      <c r="AFR98" s="645"/>
      <c r="AFS98" s="646"/>
      <c r="AFT98" s="645"/>
      <c r="AFU98" s="646"/>
      <c r="AFV98" s="645"/>
      <c r="AFW98" s="646"/>
      <c r="AFX98" s="645"/>
      <c r="AFY98" s="646"/>
      <c r="AFZ98" s="645"/>
      <c r="AGA98" s="646"/>
      <c r="AGB98" s="645"/>
      <c r="AGC98" s="646"/>
      <c r="AGD98" s="645"/>
      <c r="AGE98" s="646"/>
      <c r="AGF98" s="645"/>
      <c r="AGG98" s="646"/>
      <c r="AGH98" s="645"/>
      <c r="AGI98" s="646"/>
      <c r="AGJ98" s="645"/>
      <c r="AGK98" s="646"/>
      <c r="AGL98" s="645"/>
      <c r="AGM98" s="646"/>
      <c r="AGN98" s="645"/>
      <c r="AGO98" s="646"/>
      <c r="AGP98" s="645"/>
      <c r="AGQ98" s="646"/>
      <c r="AGR98" s="645"/>
      <c r="AGS98" s="646"/>
      <c r="AGT98" s="645"/>
      <c r="AGU98" s="646"/>
      <c r="AGV98" s="645"/>
      <c r="AGW98" s="646"/>
      <c r="AGX98" s="645"/>
      <c r="AGY98" s="646"/>
      <c r="AGZ98" s="645"/>
      <c r="AHA98" s="646"/>
      <c r="AHB98" s="645"/>
      <c r="AHC98" s="646"/>
      <c r="AHD98" s="645"/>
      <c r="AHE98" s="646"/>
      <c r="AHF98" s="645"/>
      <c r="AHG98" s="646"/>
      <c r="AHH98" s="645"/>
      <c r="AHI98" s="646"/>
      <c r="AHJ98" s="645"/>
      <c r="AHK98" s="646"/>
      <c r="AHL98" s="645"/>
      <c r="AHM98" s="646"/>
      <c r="AHN98" s="645"/>
      <c r="AHO98" s="646"/>
      <c r="AHP98" s="645"/>
      <c r="AHQ98" s="646"/>
      <c r="AHR98" s="645"/>
      <c r="AHS98" s="646"/>
      <c r="AHT98" s="645"/>
      <c r="AHU98" s="646"/>
      <c r="AHV98" s="645"/>
      <c r="AHW98" s="646"/>
      <c r="AHX98" s="645"/>
      <c r="AHY98" s="646"/>
      <c r="AHZ98" s="645"/>
      <c r="AIA98" s="646"/>
      <c r="AIB98" s="645"/>
      <c r="AIC98" s="646"/>
      <c r="AID98" s="645"/>
      <c r="AIE98" s="646"/>
      <c r="AIF98" s="645"/>
      <c r="AIG98" s="646"/>
      <c r="AIH98" s="645"/>
      <c r="AII98" s="646"/>
      <c r="AIJ98" s="645"/>
      <c r="AIK98" s="646"/>
      <c r="AIL98" s="645"/>
      <c r="AIM98" s="646"/>
      <c r="AIN98" s="645"/>
      <c r="AIO98" s="646"/>
      <c r="AIP98" s="645"/>
      <c r="AIQ98" s="645"/>
      <c r="AIR98" s="645"/>
      <c r="AIS98" s="645"/>
      <c r="AIT98" s="645"/>
      <c r="AIU98" s="645"/>
      <c r="AIV98" s="645"/>
      <c r="AIW98" s="645"/>
      <c r="AIX98" s="645"/>
      <c r="AIY98" s="645"/>
      <c r="AIZ98" s="645"/>
      <c r="AJA98" s="645"/>
      <c r="AJB98" s="645"/>
      <c r="AJC98" s="645"/>
      <c r="AJD98" s="645"/>
      <c r="AJE98" s="645"/>
      <c r="AJF98" s="645"/>
      <c r="AJG98" s="645"/>
      <c r="AJH98" s="645"/>
      <c r="AJI98" s="645"/>
      <c r="AJJ98" s="645"/>
      <c r="AJK98" s="645"/>
      <c r="AJL98" s="645"/>
      <c r="AJM98" s="645"/>
      <c r="AJN98" s="645"/>
      <c r="AJO98" s="645"/>
      <c r="AJP98" s="645"/>
      <c r="AJQ98" s="645"/>
      <c r="AJR98" s="645"/>
      <c r="AJS98" s="645"/>
      <c r="AJT98" s="645"/>
      <c r="AJU98" s="645"/>
      <c r="AJV98" s="645"/>
      <c r="AJW98" s="645"/>
      <c r="AJX98" s="645"/>
      <c r="AJY98" s="645"/>
      <c r="AJZ98" s="645"/>
      <c r="AKA98" s="645"/>
      <c r="AKB98" s="645"/>
      <c r="AKC98" s="645"/>
      <c r="AKD98" s="645"/>
      <c r="AKE98" s="645"/>
      <c r="AKF98" s="645"/>
      <c r="AKG98" s="645"/>
      <c r="AKH98" s="645"/>
      <c r="AKI98" s="645"/>
      <c r="AKJ98" s="645"/>
      <c r="AKK98" s="645"/>
      <c r="AKL98" s="645"/>
      <c r="AKM98" s="645"/>
      <c r="AKN98" s="645"/>
      <c r="AKO98" s="645"/>
      <c r="AKP98" s="645"/>
      <c r="AKQ98" s="645"/>
      <c r="AKR98" s="645"/>
      <c r="AKS98" s="645"/>
      <c r="AKT98" s="645"/>
      <c r="AKU98" s="645"/>
      <c r="AKV98" s="645"/>
      <c r="AKW98" s="645"/>
      <c r="AKX98" s="645"/>
      <c r="AKY98" s="645"/>
      <c r="AKZ98" s="645"/>
      <c r="ALA98" s="645"/>
      <c r="ALB98" s="645"/>
      <c r="ALC98" s="645"/>
      <c r="ALD98" s="645"/>
      <c r="ALE98" s="645"/>
      <c r="ALF98" s="645"/>
      <c r="ALG98" s="645"/>
      <c r="ALH98" s="645"/>
      <c r="ALI98" s="645"/>
      <c r="ALJ98" s="645"/>
      <c r="ALK98" s="645"/>
      <c r="ALL98" s="645"/>
      <c r="ALM98" s="645"/>
      <c r="ALN98" s="645"/>
      <c r="ALO98" s="645"/>
      <c r="ALP98" s="645"/>
      <c r="ALQ98" s="645"/>
      <c r="ALR98" s="645"/>
      <c r="ALS98" s="645"/>
      <c r="ALT98" s="645"/>
      <c r="ALU98" s="645"/>
      <c r="ALV98" s="645"/>
      <c r="ALW98" s="645"/>
      <c r="ALX98" s="645"/>
      <c r="ALY98" s="645"/>
      <c r="ALZ98" s="645"/>
      <c r="AMA98" s="645"/>
      <c r="AMB98" s="645"/>
      <c r="AMC98" s="645"/>
      <c r="AMD98" s="645"/>
      <c r="AME98" s="645"/>
      <c r="AMF98" s="645"/>
      <c r="AMG98" s="645"/>
      <c r="AMH98" s="645"/>
      <c r="AMI98" s="645"/>
      <c r="AMJ98" s="645"/>
    </row>
    <row r="99" spans="1:1024" s="37" customFormat="1" ht="15.75" customHeight="1" x14ac:dyDescent="0.35">
      <c r="A99" s="600"/>
      <c r="B99" s="644" t="s">
        <v>353</v>
      </c>
      <c r="C99" s="645"/>
      <c r="D99" s="646"/>
      <c r="E99" s="645"/>
      <c r="F99" s="646"/>
      <c r="G99" s="647" t="s">
        <v>243</v>
      </c>
      <c r="H99" s="643"/>
      <c r="I99" s="645"/>
      <c r="J99" s="38"/>
      <c r="K99" s="38"/>
      <c r="L99" s="39"/>
      <c r="M99" s="38"/>
      <c r="N99" s="39"/>
      <c r="O99" s="38"/>
      <c r="P99" s="39"/>
      <c r="Q99" s="38"/>
      <c r="R99" s="39"/>
      <c r="S99" s="38"/>
      <c r="T99" s="39"/>
      <c r="U99" s="38"/>
      <c r="V99" s="39"/>
      <c r="W99" s="38"/>
      <c r="X99" s="39"/>
      <c r="Y99" s="38"/>
      <c r="Z99" s="39"/>
      <c r="AA99" s="38"/>
      <c r="AB99" s="39"/>
      <c r="AC99" s="38"/>
      <c r="AD99" s="39"/>
      <c r="AE99" s="38"/>
      <c r="AF99" s="39"/>
      <c r="AG99" s="38"/>
      <c r="AH99" s="39"/>
      <c r="AI99" s="38"/>
      <c r="AJ99" s="39"/>
      <c r="AK99" s="40"/>
      <c r="AL99" s="39"/>
      <c r="AM99" s="40"/>
      <c r="AN99" s="39"/>
      <c r="AO99" s="40"/>
      <c r="AP99" s="39"/>
      <c r="AQ99" s="40"/>
      <c r="AR99" s="39"/>
      <c r="AS99" s="40"/>
      <c r="AT99" s="39"/>
      <c r="AU99" s="40"/>
      <c r="AV99" s="39"/>
      <c r="AW99" s="40"/>
      <c r="AX99" s="39"/>
      <c r="AY99" s="40"/>
      <c r="AZ99" s="39"/>
      <c r="BA99" s="40"/>
      <c r="BB99" s="39"/>
      <c r="BC99" s="40"/>
      <c r="BD99" s="39"/>
      <c r="BE99" s="40"/>
      <c r="BF99" s="39"/>
      <c r="BG99" s="40"/>
      <c r="BH99" s="39"/>
      <c r="BI99" s="40"/>
      <c r="BJ99" s="39"/>
      <c r="BK99" s="40"/>
      <c r="BL99" s="39"/>
      <c r="BM99" s="40"/>
      <c r="BN99" s="39"/>
      <c r="BO99" s="40"/>
      <c r="BP99" s="39"/>
      <c r="BQ99" s="40"/>
      <c r="BR99" s="39"/>
      <c r="BS99" s="40"/>
      <c r="BT99" s="39"/>
      <c r="BU99" s="40"/>
      <c r="BV99" s="39"/>
      <c r="BW99" s="40"/>
      <c r="BX99" s="39"/>
      <c r="BY99" s="40"/>
      <c r="BZ99" s="39"/>
      <c r="CA99" s="40"/>
      <c r="CB99" s="39"/>
      <c r="CC99" s="40"/>
      <c r="CD99" s="39"/>
      <c r="CE99" s="40"/>
      <c r="CF99" s="39"/>
      <c r="CG99" s="40"/>
      <c r="CH99" s="39"/>
      <c r="CI99" s="40"/>
      <c r="CJ99" s="39"/>
      <c r="CK99" s="40"/>
      <c r="CL99" s="39"/>
      <c r="CM99" s="40"/>
      <c r="CN99" s="39"/>
      <c r="CO99" s="40"/>
      <c r="CP99" s="39"/>
      <c r="CQ99" s="40"/>
      <c r="CR99" s="39"/>
      <c r="CS99" s="40"/>
      <c r="CT99" s="39"/>
      <c r="CU99" s="40"/>
      <c r="CV99" s="39"/>
      <c r="CW99" s="40"/>
      <c r="CX99" s="39"/>
      <c r="CY99" s="40"/>
      <c r="CZ99" s="39"/>
      <c r="DA99" s="40"/>
      <c r="DB99" s="39"/>
      <c r="DC99" s="40"/>
      <c r="DD99" s="39"/>
      <c r="DE99" s="40"/>
      <c r="DF99" s="39"/>
      <c r="DG99" s="40"/>
      <c r="DH99" s="39"/>
      <c r="DI99" s="40"/>
      <c r="DJ99" s="39"/>
      <c r="DK99" s="40"/>
      <c r="DL99" s="39"/>
      <c r="DM99" s="40"/>
      <c r="DN99" s="39"/>
      <c r="DO99" s="40"/>
      <c r="DP99" s="39"/>
      <c r="DQ99" s="40"/>
      <c r="DR99" s="39"/>
      <c r="DS99" s="40"/>
      <c r="DT99" s="39"/>
      <c r="DU99" s="40"/>
      <c r="DV99" s="39"/>
      <c r="DW99" s="40"/>
      <c r="DX99" s="39"/>
      <c r="DY99" s="40"/>
      <c r="DZ99" s="39"/>
      <c r="EA99" s="40"/>
      <c r="EB99" s="39"/>
      <c r="EC99" s="40"/>
      <c r="ED99" s="39"/>
      <c r="EE99" s="40"/>
      <c r="EF99" s="39"/>
      <c r="EG99" s="40"/>
      <c r="EH99" s="39"/>
      <c r="EI99" s="40"/>
      <c r="EJ99" s="39"/>
      <c r="EK99" s="40"/>
      <c r="EL99" s="39"/>
      <c r="EM99" s="40"/>
      <c r="EN99" s="39"/>
      <c r="EO99" s="40"/>
      <c r="EP99" s="39"/>
      <c r="EQ99" s="40"/>
      <c r="ER99" s="39"/>
      <c r="ES99" s="40"/>
      <c r="ET99" s="39"/>
      <c r="EU99" s="40"/>
      <c r="EV99" s="39"/>
      <c r="EW99" s="40"/>
      <c r="EX99" s="39"/>
      <c r="EY99" s="40"/>
      <c r="EZ99" s="39"/>
      <c r="FA99" s="40"/>
      <c r="FB99" s="39"/>
      <c r="FC99" s="40"/>
      <c r="FD99" s="39"/>
      <c r="FE99" s="40"/>
      <c r="FF99" s="39"/>
      <c r="FG99" s="40"/>
      <c r="FH99" s="39"/>
      <c r="FI99" s="40"/>
      <c r="FJ99" s="39"/>
      <c r="FK99" s="40"/>
      <c r="FL99" s="39"/>
      <c r="FM99" s="40"/>
      <c r="FN99" s="39"/>
      <c r="FO99" s="40"/>
      <c r="FP99" s="39"/>
      <c r="FQ99" s="40"/>
      <c r="FR99" s="39"/>
      <c r="FS99" s="40"/>
      <c r="FT99" s="39"/>
      <c r="FU99" s="40"/>
      <c r="FV99" s="39"/>
      <c r="FW99" s="40"/>
      <c r="FX99" s="39"/>
      <c r="FY99" s="40"/>
      <c r="FZ99" s="39"/>
      <c r="GA99" s="40"/>
      <c r="GB99" s="39"/>
      <c r="GC99" s="40"/>
      <c r="GD99" s="39"/>
      <c r="GE99" s="40"/>
      <c r="GF99" s="39"/>
      <c r="GG99" s="40"/>
      <c r="GH99" s="39"/>
      <c r="GI99" s="40"/>
      <c r="GJ99" s="39"/>
      <c r="GK99" s="40"/>
      <c r="GL99" s="39"/>
      <c r="GM99" s="40"/>
      <c r="GN99" s="39"/>
      <c r="GO99" s="40"/>
      <c r="GP99" s="39"/>
      <c r="GQ99" s="40"/>
      <c r="GR99" s="39"/>
      <c r="GS99" s="40"/>
      <c r="GT99" s="39"/>
      <c r="GU99" s="40"/>
      <c r="GV99" s="39"/>
      <c r="GW99" s="40"/>
      <c r="GX99" s="39"/>
      <c r="GY99" s="40"/>
      <c r="GZ99" s="39"/>
      <c r="HA99" s="40"/>
      <c r="HB99" s="39"/>
      <c r="HC99" s="40"/>
      <c r="HD99" s="39"/>
      <c r="HE99" s="40"/>
      <c r="HF99" s="39"/>
      <c r="HG99" s="40"/>
      <c r="HH99" s="39"/>
      <c r="HI99" s="40"/>
      <c r="HJ99" s="39"/>
      <c r="HK99" s="40"/>
      <c r="HL99" s="39"/>
      <c r="HM99" s="40"/>
      <c r="HN99" s="39"/>
      <c r="HO99" s="40"/>
      <c r="HP99" s="39"/>
      <c r="HQ99" s="40"/>
      <c r="HR99" s="39"/>
      <c r="HS99" s="40"/>
      <c r="HT99" s="39"/>
      <c r="HU99" s="40"/>
      <c r="HV99" s="39"/>
      <c r="HW99" s="40"/>
      <c r="HX99" s="39"/>
      <c r="HY99" s="40"/>
      <c r="HZ99" s="39"/>
      <c r="IA99" s="40"/>
      <c r="IB99" s="39"/>
      <c r="IC99" s="1068"/>
      <c r="ID99" s="645"/>
      <c r="IE99" s="646"/>
      <c r="IF99" s="645"/>
      <c r="IG99" s="646"/>
      <c r="IH99" s="645"/>
      <c r="II99" s="646"/>
      <c r="IJ99" s="645"/>
      <c r="IK99" s="646"/>
      <c r="IL99" s="645"/>
      <c r="IM99" s="646"/>
      <c r="IN99" s="645"/>
      <c r="IO99" s="646"/>
      <c r="IP99" s="645"/>
      <c r="IQ99" s="646"/>
      <c r="IR99" s="645"/>
      <c r="IS99" s="646"/>
      <c r="IT99" s="645"/>
      <c r="IU99" s="646"/>
      <c r="IV99" s="645"/>
      <c r="IW99" s="646"/>
      <c r="IX99" s="645"/>
      <c r="IY99" s="646"/>
      <c r="IZ99" s="645"/>
      <c r="JA99" s="646"/>
      <c r="JB99" s="645"/>
      <c r="JC99" s="646"/>
      <c r="JD99" s="645"/>
      <c r="JE99" s="646"/>
      <c r="JF99" s="645"/>
      <c r="JG99" s="646"/>
      <c r="JH99" s="645"/>
      <c r="JI99" s="646"/>
      <c r="JJ99" s="645"/>
      <c r="JK99" s="646"/>
      <c r="JL99" s="645"/>
      <c r="JM99" s="646"/>
      <c r="JN99" s="645"/>
      <c r="JO99" s="646"/>
      <c r="JP99" s="645"/>
      <c r="JQ99" s="646"/>
      <c r="JR99" s="645"/>
      <c r="JS99" s="646"/>
      <c r="JT99" s="645"/>
      <c r="JU99" s="646"/>
      <c r="JV99" s="645"/>
      <c r="JW99" s="646"/>
      <c r="JX99" s="645"/>
      <c r="JY99" s="646"/>
      <c r="JZ99" s="645"/>
      <c r="KA99" s="646"/>
      <c r="KB99" s="645"/>
      <c r="KC99" s="646"/>
      <c r="KD99" s="645"/>
      <c r="KE99" s="646"/>
      <c r="KF99" s="645"/>
      <c r="KG99" s="646"/>
      <c r="KH99" s="645"/>
      <c r="KI99" s="646"/>
      <c r="KJ99" s="645"/>
      <c r="KK99" s="646"/>
      <c r="KL99" s="645"/>
      <c r="KM99" s="646"/>
      <c r="KN99" s="645"/>
      <c r="KO99" s="646"/>
      <c r="KP99" s="645"/>
      <c r="KQ99" s="646"/>
      <c r="KR99" s="645"/>
      <c r="KS99" s="646"/>
      <c r="KT99" s="645"/>
      <c r="KU99" s="646"/>
      <c r="KV99" s="645"/>
      <c r="KW99" s="646"/>
      <c r="KX99" s="645"/>
      <c r="KY99" s="646"/>
      <c r="KZ99" s="645"/>
      <c r="LA99" s="646"/>
      <c r="LB99" s="645"/>
      <c r="LC99" s="646"/>
      <c r="LD99" s="645"/>
      <c r="LE99" s="646"/>
      <c r="LF99" s="645"/>
      <c r="LG99" s="646"/>
      <c r="LH99" s="645"/>
      <c r="LI99" s="646"/>
      <c r="LJ99" s="645"/>
      <c r="LK99" s="646"/>
      <c r="LL99" s="645"/>
      <c r="LM99" s="646"/>
      <c r="LN99" s="645"/>
      <c r="LO99" s="646"/>
      <c r="LP99" s="645"/>
      <c r="LQ99" s="646"/>
      <c r="LR99" s="645"/>
      <c r="LS99" s="646"/>
      <c r="LT99" s="645"/>
      <c r="LU99" s="646"/>
      <c r="LV99" s="645"/>
      <c r="LW99" s="646"/>
      <c r="LX99" s="645"/>
      <c r="LY99" s="646"/>
      <c r="LZ99" s="645"/>
      <c r="MA99" s="646"/>
      <c r="MB99" s="645"/>
      <c r="MC99" s="646"/>
      <c r="MD99" s="645"/>
      <c r="ME99" s="646"/>
      <c r="MF99" s="645"/>
      <c r="MG99" s="646"/>
      <c r="MH99" s="645"/>
      <c r="MI99" s="646"/>
      <c r="MJ99" s="645"/>
      <c r="MK99" s="646"/>
      <c r="ML99" s="645"/>
      <c r="MM99" s="646"/>
      <c r="MN99" s="645"/>
      <c r="MO99" s="646"/>
      <c r="MP99" s="645"/>
      <c r="MQ99" s="646"/>
      <c r="MR99" s="645"/>
      <c r="MS99" s="646"/>
      <c r="MT99" s="645"/>
      <c r="MU99" s="646"/>
      <c r="MV99" s="645"/>
      <c r="MW99" s="646"/>
      <c r="MX99" s="645"/>
      <c r="MY99" s="646"/>
      <c r="MZ99" s="645"/>
      <c r="NA99" s="646"/>
      <c r="NB99" s="645"/>
      <c r="NC99" s="646"/>
      <c r="ND99" s="645"/>
      <c r="NE99" s="646"/>
      <c r="NF99" s="645"/>
      <c r="NG99" s="646"/>
      <c r="NH99" s="645"/>
      <c r="NI99" s="646"/>
      <c r="NJ99" s="645"/>
      <c r="NK99" s="646"/>
      <c r="NL99" s="645"/>
      <c r="NM99" s="646"/>
      <c r="NN99" s="645"/>
      <c r="NO99" s="646"/>
      <c r="NP99" s="645"/>
      <c r="NQ99" s="646"/>
      <c r="NR99" s="645"/>
      <c r="NS99" s="646"/>
      <c r="NT99" s="645"/>
      <c r="NU99" s="646"/>
      <c r="NV99" s="645"/>
      <c r="NW99" s="646"/>
      <c r="NX99" s="645"/>
      <c r="NY99" s="646"/>
      <c r="NZ99" s="645"/>
      <c r="OA99" s="646"/>
      <c r="OB99" s="645"/>
      <c r="OC99" s="646"/>
      <c r="OD99" s="645"/>
      <c r="OE99" s="646"/>
      <c r="OF99" s="645"/>
      <c r="OG99" s="646"/>
      <c r="OH99" s="645"/>
      <c r="OI99" s="646"/>
      <c r="OJ99" s="645"/>
      <c r="OK99" s="646"/>
      <c r="OL99" s="645"/>
      <c r="OM99" s="646"/>
      <c r="ON99" s="645"/>
      <c r="OO99" s="646"/>
      <c r="OP99" s="645"/>
      <c r="OQ99" s="646"/>
      <c r="OR99" s="645"/>
      <c r="OS99" s="646"/>
      <c r="OT99" s="645"/>
      <c r="OU99" s="646"/>
      <c r="OV99" s="645"/>
      <c r="OW99" s="646"/>
      <c r="OX99" s="645"/>
      <c r="OY99" s="646"/>
      <c r="OZ99" s="645"/>
      <c r="PA99" s="646"/>
      <c r="PB99" s="645"/>
      <c r="PC99" s="646"/>
      <c r="PD99" s="645"/>
      <c r="PE99" s="646"/>
      <c r="PF99" s="645"/>
      <c r="PG99" s="646"/>
      <c r="PH99" s="645"/>
      <c r="PI99" s="646"/>
      <c r="PJ99" s="645"/>
      <c r="PK99" s="646"/>
      <c r="PL99" s="645"/>
      <c r="PM99" s="646"/>
      <c r="PN99" s="645"/>
      <c r="PO99" s="646"/>
      <c r="PP99" s="645"/>
      <c r="PQ99" s="646"/>
      <c r="PR99" s="645"/>
      <c r="PS99" s="646"/>
      <c r="PT99" s="645"/>
      <c r="PU99" s="646"/>
      <c r="PV99" s="645"/>
      <c r="PW99" s="646"/>
      <c r="PX99" s="645"/>
      <c r="PY99" s="646"/>
      <c r="PZ99" s="645"/>
      <c r="QA99" s="646"/>
      <c r="QB99" s="645"/>
      <c r="QC99" s="646"/>
      <c r="QD99" s="645"/>
      <c r="QE99" s="646"/>
      <c r="QF99" s="645"/>
      <c r="QG99" s="646"/>
      <c r="QH99" s="645"/>
      <c r="QI99" s="646"/>
      <c r="QJ99" s="645"/>
      <c r="QK99" s="646"/>
      <c r="QL99" s="645"/>
      <c r="QM99" s="646"/>
      <c r="QN99" s="645"/>
      <c r="QO99" s="646"/>
      <c r="QP99" s="645"/>
      <c r="QQ99" s="646"/>
      <c r="QR99" s="645"/>
      <c r="QS99" s="646"/>
      <c r="QT99" s="645"/>
      <c r="QU99" s="646"/>
      <c r="QV99" s="645"/>
      <c r="QW99" s="646"/>
      <c r="QX99" s="645"/>
      <c r="QY99" s="646"/>
      <c r="QZ99" s="645"/>
      <c r="RA99" s="646"/>
      <c r="RB99" s="645"/>
      <c r="RC99" s="646"/>
      <c r="RD99" s="645"/>
      <c r="RE99" s="646"/>
      <c r="RF99" s="645"/>
      <c r="RG99" s="646"/>
      <c r="RH99" s="645"/>
      <c r="RI99" s="646"/>
      <c r="RJ99" s="645"/>
      <c r="RK99" s="646"/>
      <c r="RL99" s="645"/>
      <c r="RM99" s="646"/>
      <c r="RN99" s="645"/>
      <c r="RO99" s="646"/>
      <c r="RP99" s="645"/>
      <c r="RQ99" s="646"/>
      <c r="RR99" s="645"/>
      <c r="RS99" s="646"/>
      <c r="RT99" s="645"/>
      <c r="RU99" s="646"/>
      <c r="RV99" s="645"/>
      <c r="RW99" s="646"/>
      <c r="RX99" s="645"/>
      <c r="RY99" s="646"/>
      <c r="RZ99" s="645"/>
      <c r="SA99" s="646"/>
      <c r="SB99" s="645"/>
      <c r="SC99" s="646"/>
      <c r="SD99" s="645"/>
      <c r="SE99" s="646"/>
      <c r="SF99" s="645"/>
      <c r="SG99" s="646"/>
      <c r="SH99" s="645"/>
      <c r="SI99" s="646"/>
      <c r="SJ99" s="645"/>
      <c r="SK99" s="646"/>
      <c r="SL99" s="645"/>
      <c r="SM99" s="646"/>
      <c r="SN99" s="645"/>
      <c r="SO99" s="646"/>
      <c r="SP99" s="645"/>
      <c r="SQ99" s="646"/>
      <c r="SR99" s="645"/>
      <c r="SS99" s="646"/>
      <c r="ST99" s="645"/>
      <c r="SU99" s="646"/>
      <c r="SV99" s="645"/>
      <c r="SW99" s="646"/>
      <c r="SX99" s="645"/>
      <c r="SY99" s="646"/>
      <c r="SZ99" s="645"/>
      <c r="TA99" s="646"/>
      <c r="TB99" s="645"/>
      <c r="TC99" s="646"/>
      <c r="TD99" s="645"/>
      <c r="TE99" s="646"/>
      <c r="TF99" s="645"/>
      <c r="TG99" s="646"/>
      <c r="TH99" s="645"/>
      <c r="TI99" s="646"/>
      <c r="TJ99" s="645"/>
      <c r="TK99" s="646"/>
      <c r="TL99" s="645"/>
      <c r="TM99" s="646"/>
      <c r="TN99" s="645"/>
      <c r="TO99" s="646"/>
      <c r="TP99" s="645"/>
      <c r="TQ99" s="646"/>
      <c r="TR99" s="645"/>
      <c r="TS99" s="646"/>
      <c r="TT99" s="645"/>
      <c r="TU99" s="646"/>
      <c r="TV99" s="645"/>
      <c r="TW99" s="646"/>
      <c r="TX99" s="645"/>
      <c r="TY99" s="646"/>
      <c r="TZ99" s="645"/>
      <c r="UA99" s="646"/>
      <c r="UB99" s="645"/>
      <c r="UC99" s="646"/>
      <c r="UD99" s="645"/>
      <c r="UE99" s="646"/>
      <c r="UF99" s="645"/>
      <c r="UG99" s="646"/>
      <c r="UH99" s="645"/>
      <c r="UI99" s="646"/>
      <c r="UJ99" s="645"/>
      <c r="UK99" s="646"/>
      <c r="UL99" s="645"/>
      <c r="UM99" s="646"/>
      <c r="UN99" s="645"/>
      <c r="UO99" s="646"/>
      <c r="UP99" s="645"/>
      <c r="UQ99" s="646"/>
      <c r="UR99" s="645"/>
      <c r="US99" s="646"/>
      <c r="UT99" s="645"/>
      <c r="UU99" s="646"/>
      <c r="UV99" s="645"/>
      <c r="UW99" s="646"/>
      <c r="UX99" s="645"/>
      <c r="UY99" s="646"/>
      <c r="UZ99" s="645"/>
      <c r="VA99" s="646"/>
      <c r="VB99" s="645"/>
      <c r="VC99" s="646"/>
      <c r="VD99" s="645"/>
      <c r="VE99" s="646"/>
      <c r="VF99" s="645"/>
      <c r="VG99" s="646"/>
      <c r="VH99" s="645"/>
      <c r="VI99" s="646"/>
      <c r="VJ99" s="645"/>
      <c r="VK99" s="646"/>
      <c r="VL99" s="645"/>
      <c r="VM99" s="646"/>
      <c r="VN99" s="645"/>
      <c r="VO99" s="646"/>
      <c r="VP99" s="645"/>
      <c r="VQ99" s="646"/>
      <c r="VR99" s="645"/>
      <c r="VS99" s="646"/>
      <c r="VT99" s="645"/>
      <c r="VU99" s="646"/>
      <c r="VV99" s="645"/>
      <c r="VW99" s="646"/>
      <c r="VX99" s="645"/>
      <c r="VY99" s="646"/>
      <c r="VZ99" s="645"/>
      <c r="WA99" s="646"/>
      <c r="WB99" s="645"/>
      <c r="WC99" s="646"/>
      <c r="WD99" s="645"/>
      <c r="WE99" s="646"/>
      <c r="WF99" s="645"/>
      <c r="WG99" s="646"/>
      <c r="WH99" s="645"/>
      <c r="WI99" s="646"/>
      <c r="WJ99" s="645"/>
      <c r="WK99" s="646"/>
      <c r="WL99" s="645"/>
      <c r="WM99" s="646"/>
      <c r="WN99" s="645"/>
      <c r="WO99" s="646"/>
      <c r="WP99" s="645"/>
      <c r="WQ99" s="646"/>
      <c r="WR99" s="645"/>
      <c r="WS99" s="646"/>
      <c r="WT99" s="645"/>
      <c r="WU99" s="646"/>
      <c r="WV99" s="645"/>
      <c r="WW99" s="646"/>
      <c r="WX99" s="645"/>
      <c r="WY99" s="646"/>
      <c r="WZ99" s="645"/>
      <c r="XA99" s="646"/>
      <c r="XB99" s="645"/>
      <c r="XC99" s="646"/>
      <c r="XD99" s="645"/>
      <c r="XE99" s="646"/>
      <c r="XF99" s="645"/>
      <c r="XG99" s="646"/>
      <c r="XH99" s="645"/>
      <c r="XI99" s="646"/>
      <c r="XJ99" s="645"/>
      <c r="XK99" s="646"/>
      <c r="XL99" s="645"/>
      <c r="XM99" s="646"/>
      <c r="XN99" s="645"/>
      <c r="XO99" s="646"/>
      <c r="XP99" s="645"/>
      <c r="XQ99" s="646"/>
      <c r="XR99" s="645"/>
      <c r="XS99" s="646"/>
      <c r="XT99" s="645"/>
      <c r="XU99" s="646"/>
      <c r="XV99" s="645"/>
      <c r="XW99" s="646"/>
      <c r="XX99" s="645"/>
      <c r="XY99" s="646"/>
      <c r="XZ99" s="645"/>
      <c r="YA99" s="646"/>
      <c r="YB99" s="645"/>
      <c r="YC99" s="646"/>
      <c r="YD99" s="645"/>
      <c r="YE99" s="646"/>
      <c r="YF99" s="645"/>
      <c r="YG99" s="646"/>
      <c r="YH99" s="645"/>
      <c r="YI99" s="646"/>
      <c r="YJ99" s="645"/>
      <c r="YK99" s="646"/>
      <c r="YL99" s="645"/>
      <c r="YM99" s="646"/>
      <c r="YN99" s="645"/>
      <c r="YO99" s="646"/>
      <c r="YP99" s="645"/>
      <c r="YQ99" s="646"/>
      <c r="YR99" s="645"/>
      <c r="YS99" s="646"/>
      <c r="YT99" s="645"/>
      <c r="YU99" s="646"/>
      <c r="YV99" s="645"/>
      <c r="YW99" s="646"/>
      <c r="YX99" s="645"/>
      <c r="YY99" s="646"/>
      <c r="YZ99" s="645"/>
      <c r="ZA99" s="646"/>
      <c r="ZB99" s="645"/>
      <c r="ZC99" s="646"/>
      <c r="ZD99" s="645"/>
      <c r="ZE99" s="646"/>
      <c r="ZF99" s="645"/>
      <c r="ZG99" s="646"/>
      <c r="ZH99" s="645"/>
      <c r="ZI99" s="646"/>
      <c r="ZJ99" s="645"/>
      <c r="ZK99" s="646"/>
      <c r="ZL99" s="645"/>
      <c r="ZM99" s="646"/>
      <c r="ZN99" s="645"/>
      <c r="ZO99" s="646"/>
      <c r="ZP99" s="645"/>
      <c r="ZQ99" s="646"/>
      <c r="ZR99" s="645"/>
      <c r="ZS99" s="646"/>
      <c r="ZT99" s="645"/>
      <c r="ZU99" s="646"/>
      <c r="ZV99" s="645"/>
      <c r="ZW99" s="646"/>
      <c r="ZX99" s="645"/>
      <c r="ZY99" s="646"/>
      <c r="ZZ99" s="645"/>
      <c r="AAA99" s="646"/>
      <c r="AAB99" s="645"/>
      <c r="AAC99" s="646"/>
      <c r="AAD99" s="645"/>
      <c r="AAE99" s="646"/>
      <c r="AAF99" s="645"/>
      <c r="AAG99" s="646"/>
      <c r="AAH99" s="645"/>
      <c r="AAI99" s="646"/>
      <c r="AAJ99" s="645"/>
      <c r="AAK99" s="646"/>
      <c r="AAL99" s="645"/>
      <c r="AAM99" s="646"/>
      <c r="AAN99" s="645"/>
      <c r="AAO99" s="646"/>
      <c r="AAP99" s="645"/>
      <c r="AAQ99" s="646"/>
      <c r="AAR99" s="645"/>
      <c r="AAS99" s="646"/>
      <c r="AAT99" s="645"/>
      <c r="AAU99" s="646"/>
      <c r="AAV99" s="645"/>
      <c r="AAW99" s="646"/>
      <c r="AAX99" s="645"/>
      <c r="AAY99" s="646"/>
      <c r="AAZ99" s="645"/>
      <c r="ABA99" s="646"/>
      <c r="ABB99" s="645"/>
      <c r="ABC99" s="646"/>
      <c r="ABD99" s="645"/>
      <c r="ABE99" s="646"/>
      <c r="ABF99" s="645"/>
      <c r="ABG99" s="646"/>
      <c r="ABH99" s="645"/>
      <c r="ABI99" s="646"/>
      <c r="ABJ99" s="645"/>
      <c r="ABK99" s="646"/>
      <c r="ABL99" s="645"/>
      <c r="ABM99" s="646"/>
      <c r="ABN99" s="645"/>
      <c r="ABO99" s="646"/>
      <c r="ABP99" s="645"/>
      <c r="ABQ99" s="646"/>
      <c r="ABR99" s="645"/>
      <c r="ABS99" s="646"/>
      <c r="ABT99" s="645"/>
      <c r="ABU99" s="646"/>
      <c r="ABV99" s="645"/>
      <c r="ABW99" s="646"/>
      <c r="ABX99" s="645"/>
      <c r="ABY99" s="646"/>
      <c r="ABZ99" s="645"/>
      <c r="ACA99" s="646"/>
      <c r="ACB99" s="645"/>
      <c r="ACC99" s="646"/>
      <c r="ACD99" s="645"/>
      <c r="ACE99" s="646"/>
      <c r="ACF99" s="645"/>
      <c r="ACG99" s="646"/>
      <c r="ACH99" s="645"/>
      <c r="ACI99" s="646"/>
      <c r="ACJ99" s="645"/>
      <c r="ACK99" s="646"/>
      <c r="ACL99" s="645"/>
      <c r="ACM99" s="646"/>
      <c r="ACN99" s="645"/>
      <c r="ACO99" s="646"/>
      <c r="ACP99" s="645"/>
      <c r="ACQ99" s="646"/>
      <c r="ACR99" s="645"/>
      <c r="ACS99" s="646"/>
      <c r="ACT99" s="645"/>
      <c r="ACU99" s="646"/>
      <c r="ACV99" s="645"/>
      <c r="ACW99" s="646"/>
      <c r="ACX99" s="645"/>
      <c r="ACY99" s="646"/>
      <c r="ACZ99" s="645"/>
      <c r="ADA99" s="646"/>
      <c r="ADB99" s="645"/>
      <c r="ADC99" s="646"/>
      <c r="ADD99" s="645"/>
      <c r="ADE99" s="646"/>
      <c r="ADF99" s="645"/>
      <c r="ADG99" s="646"/>
      <c r="ADH99" s="645"/>
      <c r="ADI99" s="646"/>
      <c r="ADJ99" s="645"/>
      <c r="ADK99" s="646"/>
      <c r="ADL99" s="645"/>
      <c r="ADM99" s="646"/>
      <c r="ADN99" s="645"/>
      <c r="ADO99" s="646"/>
      <c r="ADP99" s="645"/>
      <c r="ADQ99" s="646"/>
      <c r="ADR99" s="645"/>
      <c r="ADS99" s="646"/>
      <c r="ADT99" s="645"/>
      <c r="ADU99" s="646"/>
      <c r="ADV99" s="645"/>
      <c r="ADW99" s="646"/>
      <c r="ADX99" s="645"/>
      <c r="ADY99" s="646"/>
      <c r="ADZ99" s="645"/>
      <c r="AEA99" s="646"/>
      <c r="AEB99" s="645"/>
      <c r="AEC99" s="646"/>
      <c r="AED99" s="645"/>
      <c r="AEE99" s="646"/>
      <c r="AEF99" s="645"/>
      <c r="AEG99" s="646"/>
      <c r="AEH99" s="645"/>
      <c r="AEI99" s="646"/>
      <c r="AEJ99" s="645"/>
      <c r="AEK99" s="646"/>
      <c r="AEL99" s="645"/>
      <c r="AEM99" s="646"/>
      <c r="AEN99" s="645"/>
      <c r="AEO99" s="646"/>
      <c r="AEP99" s="645"/>
      <c r="AEQ99" s="646"/>
      <c r="AER99" s="645"/>
      <c r="AES99" s="646"/>
      <c r="AET99" s="645"/>
      <c r="AEU99" s="646"/>
      <c r="AEV99" s="645"/>
      <c r="AEW99" s="646"/>
      <c r="AEX99" s="645"/>
      <c r="AEY99" s="646"/>
      <c r="AEZ99" s="645"/>
      <c r="AFA99" s="646"/>
      <c r="AFB99" s="645"/>
      <c r="AFC99" s="646"/>
      <c r="AFD99" s="645"/>
      <c r="AFE99" s="646"/>
      <c r="AFF99" s="645"/>
      <c r="AFG99" s="646"/>
      <c r="AFH99" s="645"/>
      <c r="AFI99" s="646"/>
      <c r="AFJ99" s="645"/>
      <c r="AFK99" s="646"/>
      <c r="AFL99" s="645"/>
      <c r="AFM99" s="646"/>
      <c r="AFN99" s="645"/>
      <c r="AFO99" s="646"/>
      <c r="AFP99" s="645"/>
      <c r="AFQ99" s="646"/>
      <c r="AFR99" s="645"/>
      <c r="AFS99" s="646"/>
      <c r="AFT99" s="645"/>
      <c r="AFU99" s="646"/>
      <c r="AFV99" s="645"/>
      <c r="AFW99" s="646"/>
      <c r="AFX99" s="645"/>
      <c r="AFY99" s="646"/>
      <c r="AFZ99" s="645"/>
      <c r="AGA99" s="646"/>
      <c r="AGB99" s="645"/>
      <c r="AGC99" s="646"/>
      <c r="AGD99" s="645"/>
      <c r="AGE99" s="646"/>
      <c r="AGF99" s="645"/>
      <c r="AGG99" s="646"/>
      <c r="AGH99" s="645"/>
      <c r="AGI99" s="646"/>
      <c r="AGJ99" s="645"/>
      <c r="AGK99" s="646"/>
      <c r="AGL99" s="645"/>
      <c r="AGM99" s="646"/>
      <c r="AGN99" s="645"/>
      <c r="AGO99" s="646"/>
      <c r="AGP99" s="645"/>
      <c r="AGQ99" s="646"/>
      <c r="AGR99" s="645"/>
      <c r="AGS99" s="646"/>
      <c r="AGT99" s="645"/>
      <c r="AGU99" s="646"/>
      <c r="AGV99" s="645"/>
      <c r="AGW99" s="646"/>
      <c r="AGX99" s="645"/>
      <c r="AGY99" s="646"/>
      <c r="AGZ99" s="645"/>
      <c r="AHA99" s="646"/>
      <c r="AHB99" s="645"/>
      <c r="AHC99" s="646"/>
      <c r="AHD99" s="645"/>
      <c r="AHE99" s="646"/>
      <c r="AHF99" s="645"/>
      <c r="AHG99" s="646"/>
      <c r="AHH99" s="645"/>
      <c r="AHI99" s="646"/>
      <c r="AHJ99" s="645"/>
      <c r="AHK99" s="646"/>
      <c r="AHL99" s="645"/>
      <c r="AHM99" s="646"/>
      <c r="AHN99" s="645"/>
      <c r="AHO99" s="646"/>
      <c r="AHP99" s="645"/>
      <c r="AHQ99" s="646"/>
      <c r="AHR99" s="645"/>
      <c r="AHS99" s="646"/>
      <c r="AHT99" s="645"/>
      <c r="AHU99" s="646"/>
      <c r="AHV99" s="645"/>
      <c r="AHW99" s="646"/>
      <c r="AHX99" s="645"/>
      <c r="AHY99" s="646"/>
      <c r="AHZ99" s="645"/>
      <c r="AIA99" s="646"/>
      <c r="AIB99" s="645"/>
      <c r="AIC99" s="646"/>
      <c r="AID99" s="645"/>
      <c r="AIE99" s="646"/>
      <c r="AIF99" s="645"/>
      <c r="AIG99" s="646"/>
      <c r="AIH99" s="645"/>
      <c r="AII99" s="646"/>
      <c r="AIJ99" s="645"/>
      <c r="AIK99" s="646"/>
      <c r="AIL99" s="645"/>
      <c r="AIM99" s="646"/>
      <c r="AIN99" s="645"/>
      <c r="AIO99" s="646"/>
      <c r="AIP99" s="645"/>
      <c r="AIQ99" s="645"/>
      <c r="AIR99" s="645"/>
      <c r="AIS99" s="645"/>
      <c r="AIT99" s="645"/>
      <c r="AIU99" s="645"/>
      <c r="AIV99" s="645"/>
      <c r="AIW99" s="645"/>
      <c r="AIX99" s="645"/>
      <c r="AIY99" s="645"/>
      <c r="AIZ99" s="645"/>
      <c r="AJA99" s="645"/>
      <c r="AJB99" s="645"/>
      <c r="AJC99" s="645"/>
      <c r="AJD99" s="645"/>
      <c r="AJE99" s="645"/>
      <c r="AJF99" s="645"/>
      <c r="AJG99" s="645"/>
      <c r="AJH99" s="645"/>
      <c r="AJI99" s="645"/>
      <c r="AJJ99" s="645"/>
      <c r="AJK99" s="645"/>
      <c r="AJL99" s="645"/>
      <c r="AJM99" s="645"/>
      <c r="AJN99" s="645"/>
      <c r="AJO99" s="645"/>
      <c r="AJP99" s="645"/>
      <c r="AJQ99" s="645"/>
      <c r="AJR99" s="645"/>
      <c r="AJS99" s="645"/>
      <c r="AJT99" s="645"/>
      <c r="AJU99" s="645"/>
      <c r="AJV99" s="645"/>
      <c r="AJW99" s="645"/>
      <c r="AJX99" s="645"/>
      <c r="AJY99" s="645"/>
      <c r="AJZ99" s="645"/>
      <c r="AKA99" s="645"/>
      <c r="AKB99" s="645"/>
      <c r="AKC99" s="645"/>
      <c r="AKD99" s="645"/>
      <c r="AKE99" s="645"/>
      <c r="AKF99" s="645"/>
      <c r="AKG99" s="645"/>
      <c r="AKH99" s="645"/>
      <c r="AKI99" s="645"/>
      <c r="AKJ99" s="645"/>
      <c r="AKK99" s="645"/>
      <c r="AKL99" s="645"/>
      <c r="AKM99" s="645"/>
      <c r="AKN99" s="645"/>
      <c r="AKO99" s="645"/>
      <c r="AKP99" s="645"/>
      <c r="AKQ99" s="645"/>
      <c r="AKR99" s="645"/>
      <c r="AKS99" s="645"/>
      <c r="AKT99" s="645"/>
      <c r="AKU99" s="645"/>
      <c r="AKV99" s="645"/>
      <c r="AKW99" s="645"/>
      <c r="AKX99" s="645"/>
      <c r="AKY99" s="645"/>
      <c r="AKZ99" s="645"/>
      <c r="ALA99" s="645"/>
      <c r="ALB99" s="645"/>
      <c r="ALC99" s="645"/>
      <c r="ALD99" s="645"/>
      <c r="ALE99" s="645"/>
      <c r="ALF99" s="645"/>
      <c r="ALG99" s="645"/>
      <c r="ALH99" s="645"/>
      <c r="ALI99" s="645"/>
      <c r="ALJ99" s="645"/>
      <c r="ALK99" s="645"/>
      <c r="ALL99" s="645"/>
      <c r="ALM99" s="645"/>
      <c r="ALN99" s="645"/>
      <c r="ALO99" s="645"/>
      <c r="ALP99" s="645"/>
      <c r="ALQ99" s="645"/>
      <c r="ALR99" s="645"/>
      <c r="ALS99" s="645"/>
      <c r="ALT99" s="645"/>
      <c r="ALU99" s="645"/>
      <c r="ALV99" s="645"/>
      <c r="ALW99" s="645"/>
      <c r="ALX99" s="645"/>
      <c r="ALY99" s="645"/>
      <c r="ALZ99" s="645"/>
      <c r="AMA99" s="645"/>
      <c r="AMB99" s="645"/>
      <c r="AMC99" s="645"/>
      <c r="AMD99" s="645"/>
      <c r="AME99" s="645"/>
      <c r="AMF99" s="645"/>
      <c r="AMG99" s="645"/>
      <c r="AMH99" s="645"/>
      <c r="AMI99" s="645"/>
      <c r="AMJ99" s="645"/>
    </row>
    <row r="100" spans="1:1024" s="37" customFormat="1" ht="15.75" customHeight="1" x14ac:dyDescent="0.35">
      <c r="A100" s="600"/>
      <c r="B100" s="644" t="s">
        <v>354</v>
      </c>
      <c r="C100" s="645"/>
      <c r="D100" s="646"/>
      <c r="E100" s="645"/>
      <c r="F100" s="646"/>
      <c r="G100" s="647" t="s">
        <v>243</v>
      </c>
      <c r="H100" s="643"/>
      <c r="I100" s="645"/>
      <c r="J100" s="38"/>
      <c r="K100" s="38"/>
      <c r="L100" s="39"/>
      <c r="M100" s="38"/>
      <c r="N100" s="39"/>
      <c r="O100" s="38"/>
      <c r="P100" s="39"/>
      <c r="Q100" s="38"/>
      <c r="R100" s="39"/>
      <c r="S100" s="38"/>
      <c r="T100" s="39"/>
      <c r="U100" s="38"/>
      <c r="V100" s="39"/>
      <c r="W100" s="38"/>
      <c r="X100" s="39"/>
      <c r="Y100" s="38"/>
      <c r="Z100" s="39"/>
      <c r="AA100" s="38"/>
      <c r="AB100" s="39"/>
      <c r="AC100" s="38"/>
      <c r="AD100" s="39"/>
      <c r="AE100" s="38"/>
      <c r="AF100" s="39"/>
      <c r="AG100" s="38"/>
      <c r="AH100" s="39"/>
      <c r="AI100" s="38"/>
      <c r="AJ100" s="39"/>
      <c r="AK100" s="40"/>
      <c r="AL100" s="39"/>
      <c r="AM100" s="40"/>
      <c r="AN100" s="39"/>
      <c r="AO100" s="40"/>
      <c r="AP100" s="39"/>
      <c r="AQ100" s="40"/>
      <c r="AR100" s="39"/>
      <c r="AS100" s="40"/>
      <c r="AT100" s="39"/>
      <c r="AU100" s="40"/>
      <c r="AV100" s="39"/>
      <c r="AW100" s="40"/>
      <c r="AX100" s="39"/>
      <c r="AY100" s="40"/>
      <c r="AZ100" s="39"/>
      <c r="BA100" s="40"/>
      <c r="BB100" s="39"/>
      <c r="BC100" s="40"/>
      <c r="BD100" s="39"/>
      <c r="BE100" s="40"/>
      <c r="BF100" s="39"/>
      <c r="BG100" s="40"/>
      <c r="BH100" s="39"/>
      <c r="BI100" s="40"/>
      <c r="BJ100" s="39"/>
      <c r="BK100" s="40"/>
      <c r="BL100" s="39"/>
      <c r="BM100" s="40"/>
      <c r="BN100" s="39"/>
      <c r="BO100" s="40"/>
      <c r="BP100" s="39"/>
      <c r="BQ100" s="40"/>
      <c r="BR100" s="39"/>
      <c r="BS100" s="40"/>
      <c r="BT100" s="39"/>
      <c r="BU100" s="40"/>
      <c r="BV100" s="39"/>
      <c r="BW100" s="40"/>
      <c r="BX100" s="39"/>
      <c r="BY100" s="40"/>
      <c r="BZ100" s="39"/>
      <c r="CA100" s="40"/>
      <c r="CB100" s="39"/>
      <c r="CC100" s="40"/>
      <c r="CD100" s="39"/>
      <c r="CE100" s="40"/>
      <c r="CF100" s="39"/>
      <c r="CG100" s="40"/>
      <c r="CH100" s="39"/>
      <c r="CI100" s="40"/>
      <c r="CJ100" s="39"/>
      <c r="CK100" s="40"/>
      <c r="CL100" s="39"/>
      <c r="CM100" s="40"/>
      <c r="CN100" s="39"/>
      <c r="CO100" s="40"/>
      <c r="CP100" s="39"/>
      <c r="CQ100" s="40"/>
      <c r="CR100" s="39"/>
      <c r="CS100" s="40"/>
      <c r="CT100" s="39"/>
      <c r="CU100" s="40"/>
      <c r="CV100" s="39"/>
      <c r="CW100" s="40"/>
      <c r="CX100" s="39"/>
      <c r="CY100" s="40"/>
      <c r="CZ100" s="39"/>
      <c r="DA100" s="40"/>
      <c r="DB100" s="39"/>
      <c r="DC100" s="40"/>
      <c r="DD100" s="39"/>
      <c r="DE100" s="40"/>
      <c r="DF100" s="39"/>
      <c r="DG100" s="40"/>
      <c r="DH100" s="39"/>
      <c r="DI100" s="40"/>
      <c r="DJ100" s="39"/>
      <c r="DK100" s="40"/>
      <c r="DL100" s="39"/>
      <c r="DM100" s="40"/>
      <c r="DN100" s="39"/>
      <c r="DO100" s="40"/>
      <c r="DP100" s="39"/>
      <c r="DQ100" s="40"/>
      <c r="DR100" s="39"/>
      <c r="DS100" s="40"/>
      <c r="DT100" s="39"/>
      <c r="DU100" s="40"/>
      <c r="DV100" s="39"/>
      <c r="DW100" s="40"/>
      <c r="DX100" s="39"/>
      <c r="DY100" s="40"/>
      <c r="DZ100" s="39"/>
      <c r="EA100" s="40"/>
      <c r="EB100" s="39"/>
      <c r="EC100" s="40"/>
      <c r="ED100" s="39"/>
      <c r="EE100" s="40"/>
      <c r="EF100" s="39"/>
      <c r="EG100" s="40"/>
      <c r="EH100" s="39"/>
      <c r="EI100" s="40"/>
      <c r="EJ100" s="39"/>
      <c r="EK100" s="40"/>
      <c r="EL100" s="39"/>
      <c r="EM100" s="40"/>
      <c r="EN100" s="39"/>
      <c r="EO100" s="40"/>
      <c r="EP100" s="39"/>
      <c r="EQ100" s="40"/>
      <c r="ER100" s="39"/>
      <c r="ES100" s="40"/>
      <c r="ET100" s="39"/>
      <c r="EU100" s="40"/>
      <c r="EV100" s="39"/>
      <c r="EW100" s="40"/>
      <c r="EX100" s="39"/>
      <c r="EY100" s="40"/>
      <c r="EZ100" s="39"/>
      <c r="FA100" s="40"/>
      <c r="FB100" s="39"/>
      <c r="FC100" s="40"/>
      <c r="FD100" s="39"/>
      <c r="FE100" s="40"/>
      <c r="FF100" s="39"/>
      <c r="FG100" s="40"/>
      <c r="FH100" s="39"/>
      <c r="FI100" s="40"/>
      <c r="FJ100" s="39"/>
      <c r="FK100" s="40"/>
      <c r="FL100" s="39"/>
      <c r="FM100" s="40"/>
      <c r="FN100" s="39"/>
      <c r="FO100" s="40"/>
      <c r="FP100" s="39"/>
      <c r="FQ100" s="40"/>
      <c r="FR100" s="39"/>
      <c r="FS100" s="40"/>
      <c r="FT100" s="39"/>
      <c r="FU100" s="40"/>
      <c r="FV100" s="39"/>
      <c r="FW100" s="40"/>
      <c r="FX100" s="39"/>
      <c r="FY100" s="40"/>
      <c r="FZ100" s="39"/>
      <c r="GA100" s="40"/>
      <c r="GB100" s="39"/>
      <c r="GC100" s="40"/>
      <c r="GD100" s="39"/>
      <c r="GE100" s="40"/>
      <c r="GF100" s="39"/>
      <c r="GG100" s="40"/>
      <c r="GH100" s="39"/>
      <c r="GI100" s="40"/>
      <c r="GJ100" s="39"/>
      <c r="GK100" s="40"/>
      <c r="GL100" s="39"/>
      <c r="GM100" s="40"/>
      <c r="GN100" s="39"/>
      <c r="GO100" s="40"/>
      <c r="GP100" s="39"/>
      <c r="GQ100" s="40"/>
      <c r="GR100" s="39"/>
      <c r="GS100" s="40"/>
      <c r="GT100" s="39"/>
      <c r="GU100" s="40"/>
      <c r="GV100" s="39"/>
      <c r="GW100" s="40"/>
      <c r="GX100" s="39"/>
      <c r="GY100" s="40"/>
      <c r="GZ100" s="39"/>
      <c r="HA100" s="40"/>
      <c r="HB100" s="39"/>
      <c r="HC100" s="40"/>
      <c r="HD100" s="39"/>
      <c r="HE100" s="40"/>
      <c r="HF100" s="39"/>
      <c r="HG100" s="40"/>
      <c r="HH100" s="39"/>
      <c r="HI100" s="40"/>
      <c r="HJ100" s="39"/>
      <c r="HK100" s="40"/>
      <c r="HL100" s="39"/>
      <c r="HM100" s="40"/>
      <c r="HN100" s="39"/>
      <c r="HO100" s="40"/>
      <c r="HP100" s="39"/>
      <c r="HQ100" s="40"/>
      <c r="HR100" s="39"/>
      <c r="HS100" s="40"/>
      <c r="HT100" s="39"/>
      <c r="HU100" s="40"/>
      <c r="HV100" s="39"/>
      <c r="HW100" s="40"/>
      <c r="HX100" s="39"/>
      <c r="HY100" s="40"/>
      <c r="HZ100" s="39"/>
      <c r="IA100" s="40"/>
      <c r="IB100" s="39"/>
      <c r="IC100" s="1068"/>
      <c r="ID100" s="645"/>
      <c r="IE100" s="646"/>
      <c r="IF100" s="645"/>
      <c r="IG100" s="646"/>
      <c r="IH100" s="645"/>
      <c r="II100" s="646"/>
      <c r="IJ100" s="645"/>
      <c r="IK100" s="646"/>
      <c r="IL100" s="645"/>
      <c r="IM100" s="646"/>
      <c r="IN100" s="645"/>
      <c r="IO100" s="646"/>
      <c r="IP100" s="645"/>
      <c r="IQ100" s="646"/>
      <c r="IR100" s="645"/>
      <c r="IS100" s="646"/>
      <c r="IT100" s="645"/>
      <c r="IU100" s="646"/>
      <c r="IV100" s="645"/>
      <c r="IW100" s="646"/>
      <c r="IX100" s="645"/>
      <c r="IY100" s="646"/>
      <c r="IZ100" s="645"/>
      <c r="JA100" s="646"/>
      <c r="JB100" s="645"/>
      <c r="JC100" s="646"/>
      <c r="JD100" s="645"/>
      <c r="JE100" s="646"/>
      <c r="JF100" s="645"/>
      <c r="JG100" s="646"/>
      <c r="JH100" s="645"/>
      <c r="JI100" s="646"/>
      <c r="JJ100" s="645"/>
      <c r="JK100" s="646"/>
      <c r="JL100" s="645"/>
      <c r="JM100" s="646"/>
      <c r="JN100" s="645"/>
      <c r="JO100" s="646"/>
      <c r="JP100" s="645"/>
      <c r="JQ100" s="646"/>
      <c r="JR100" s="645"/>
      <c r="JS100" s="646"/>
      <c r="JT100" s="645"/>
      <c r="JU100" s="646"/>
      <c r="JV100" s="645"/>
      <c r="JW100" s="646"/>
      <c r="JX100" s="645"/>
      <c r="JY100" s="646"/>
      <c r="JZ100" s="645"/>
      <c r="KA100" s="646"/>
      <c r="KB100" s="645"/>
      <c r="KC100" s="646"/>
      <c r="KD100" s="645"/>
      <c r="KE100" s="646"/>
      <c r="KF100" s="645"/>
      <c r="KG100" s="646"/>
      <c r="KH100" s="645"/>
      <c r="KI100" s="646"/>
      <c r="KJ100" s="645"/>
      <c r="KK100" s="646"/>
      <c r="KL100" s="645"/>
      <c r="KM100" s="646"/>
      <c r="KN100" s="645"/>
      <c r="KO100" s="646"/>
      <c r="KP100" s="645"/>
      <c r="KQ100" s="646"/>
      <c r="KR100" s="645"/>
      <c r="KS100" s="646"/>
      <c r="KT100" s="645"/>
      <c r="KU100" s="646"/>
      <c r="KV100" s="645"/>
      <c r="KW100" s="646"/>
      <c r="KX100" s="645"/>
      <c r="KY100" s="646"/>
      <c r="KZ100" s="645"/>
      <c r="LA100" s="646"/>
      <c r="LB100" s="645"/>
      <c r="LC100" s="646"/>
      <c r="LD100" s="645"/>
      <c r="LE100" s="646"/>
      <c r="LF100" s="645"/>
      <c r="LG100" s="646"/>
      <c r="LH100" s="645"/>
      <c r="LI100" s="646"/>
      <c r="LJ100" s="645"/>
      <c r="LK100" s="646"/>
      <c r="LL100" s="645"/>
      <c r="LM100" s="646"/>
      <c r="LN100" s="645"/>
      <c r="LO100" s="646"/>
      <c r="LP100" s="645"/>
      <c r="LQ100" s="646"/>
      <c r="LR100" s="645"/>
      <c r="LS100" s="646"/>
      <c r="LT100" s="645"/>
      <c r="LU100" s="646"/>
      <c r="LV100" s="645"/>
      <c r="LW100" s="646"/>
      <c r="LX100" s="645"/>
      <c r="LY100" s="646"/>
      <c r="LZ100" s="645"/>
      <c r="MA100" s="646"/>
      <c r="MB100" s="645"/>
      <c r="MC100" s="646"/>
      <c r="MD100" s="645"/>
      <c r="ME100" s="646"/>
      <c r="MF100" s="645"/>
      <c r="MG100" s="646"/>
      <c r="MH100" s="645"/>
      <c r="MI100" s="646"/>
      <c r="MJ100" s="645"/>
      <c r="MK100" s="646"/>
      <c r="ML100" s="645"/>
      <c r="MM100" s="646"/>
      <c r="MN100" s="645"/>
      <c r="MO100" s="646"/>
      <c r="MP100" s="645"/>
      <c r="MQ100" s="646"/>
      <c r="MR100" s="645"/>
      <c r="MS100" s="646"/>
      <c r="MT100" s="645"/>
      <c r="MU100" s="646"/>
      <c r="MV100" s="645"/>
      <c r="MW100" s="646"/>
      <c r="MX100" s="645"/>
      <c r="MY100" s="646"/>
      <c r="MZ100" s="645"/>
      <c r="NA100" s="646"/>
      <c r="NB100" s="645"/>
      <c r="NC100" s="646"/>
      <c r="ND100" s="645"/>
      <c r="NE100" s="646"/>
      <c r="NF100" s="645"/>
      <c r="NG100" s="646"/>
      <c r="NH100" s="645"/>
      <c r="NI100" s="646"/>
      <c r="NJ100" s="645"/>
      <c r="NK100" s="646"/>
      <c r="NL100" s="645"/>
      <c r="NM100" s="646"/>
      <c r="NN100" s="645"/>
      <c r="NO100" s="646"/>
      <c r="NP100" s="645"/>
      <c r="NQ100" s="646"/>
      <c r="NR100" s="645"/>
      <c r="NS100" s="646"/>
      <c r="NT100" s="645"/>
      <c r="NU100" s="646"/>
      <c r="NV100" s="645"/>
      <c r="NW100" s="646"/>
      <c r="NX100" s="645"/>
      <c r="NY100" s="646"/>
      <c r="NZ100" s="645"/>
      <c r="OA100" s="646"/>
      <c r="OB100" s="645"/>
      <c r="OC100" s="646"/>
      <c r="OD100" s="645"/>
      <c r="OE100" s="646"/>
      <c r="OF100" s="645"/>
      <c r="OG100" s="646"/>
      <c r="OH100" s="645"/>
      <c r="OI100" s="646"/>
      <c r="OJ100" s="645"/>
      <c r="OK100" s="646"/>
      <c r="OL100" s="645"/>
      <c r="OM100" s="646"/>
      <c r="ON100" s="645"/>
      <c r="OO100" s="646"/>
      <c r="OP100" s="645"/>
      <c r="OQ100" s="646"/>
      <c r="OR100" s="645"/>
      <c r="OS100" s="646"/>
      <c r="OT100" s="645"/>
      <c r="OU100" s="646"/>
      <c r="OV100" s="645"/>
      <c r="OW100" s="646"/>
      <c r="OX100" s="645"/>
      <c r="OY100" s="646"/>
      <c r="OZ100" s="645"/>
      <c r="PA100" s="646"/>
      <c r="PB100" s="645"/>
      <c r="PC100" s="646"/>
      <c r="PD100" s="645"/>
      <c r="PE100" s="646"/>
      <c r="PF100" s="645"/>
      <c r="PG100" s="646"/>
      <c r="PH100" s="645"/>
      <c r="PI100" s="646"/>
      <c r="PJ100" s="645"/>
      <c r="PK100" s="646"/>
      <c r="PL100" s="645"/>
      <c r="PM100" s="646"/>
      <c r="PN100" s="645"/>
      <c r="PO100" s="646"/>
      <c r="PP100" s="645"/>
      <c r="PQ100" s="646"/>
      <c r="PR100" s="645"/>
      <c r="PS100" s="646"/>
      <c r="PT100" s="645"/>
      <c r="PU100" s="646"/>
      <c r="PV100" s="645"/>
      <c r="PW100" s="646"/>
      <c r="PX100" s="645"/>
      <c r="PY100" s="646"/>
      <c r="PZ100" s="645"/>
      <c r="QA100" s="646"/>
      <c r="QB100" s="645"/>
      <c r="QC100" s="646"/>
      <c r="QD100" s="645"/>
      <c r="QE100" s="646"/>
      <c r="QF100" s="645"/>
      <c r="QG100" s="646"/>
      <c r="QH100" s="645"/>
      <c r="QI100" s="646"/>
      <c r="QJ100" s="645"/>
      <c r="QK100" s="646"/>
      <c r="QL100" s="645"/>
      <c r="QM100" s="646"/>
      <c r="QN100" s="645"/>
      <c r="QO100" s="646"/>
      <c r="QP100" s="645"/>
      <c r="QQ100" s="646"/>
      <c r="QR100" s="645"/>
      <c r="QS100" s="646"/>
      <c r="QT100" s="645"/>
      <c r="QU100" s="646"/>
      <c r="QV100" s="645"/>
      <c r="QW100" s="646"/>
      <c r="QX100" s="645"/>
      <c r="QY100" s="646"/>
      <c r="QZ100" s="645"/>
      <c r="RA100" s="646"/>
      <c r="RB100" s="645"/>
      <c r="RC100" s="646"/>
      <c r="RD100" s="645"/>
      <c r="RE100" s="646"/>
      <c r="RF100" s="645"/>
      <c r="RG100" s="646"/>
      <c r="RH100" s="645"/>
      <c r="RI100" s="646"/>
      <c r="RJ100" s="645"/>
      <c r="RK100" s="646"/>
      <c r="RL100" s="645"/>
      <c r="RM100" s="646"/>
      <c r="RN100" s="645"/>
      <c r="RO100" s="646"/>
      <c r="RP100" s="645"/>
      <c r="RQ100" s="646"/>
      <c r="RR100" s="645"/>
      <c r="RS100" s="646"/>
      <c r="RT100" s="645"/>
      <c r="RU100" s="646"/>
      <c r="RV100" s="645"/>
      <c r="RW100" s="646"/>
      <c r="RX100" s="645"/>
      <c r="RY100" s="646"/>
      <c r="RZ100" s="645"/>
      <c r="SA100" s="646"/>
      <c r="SB100" s="645"/>
      <c r="SC100" s="646"/>
      <c r="SD100" s="645"/>
      <c r="SE100" s="646"/>
      <c r="SF100" s="645"/>
      <c r="SG100" s="646"/>
      <c r="SH100" s="645"/>
      <c r="SI100" s="646"/>
      <c r="SJ100" s="645"/>
      <c r="SK100" s="646"/>
      <c r="SL100" s="645"/>
      <c r="SM100" s="646"/>
      <c r="SN100" s="645"/>
      <c r="SO100" s="646"/>
      <c r="SP100" s="645"/>
      <c r="SQ100" s="646"/>
      <c r="SR100" s="645"/>
      <c r="SS100" s="646"/>
      <c r="ST100" s="645"/>
      <c r="SU100" s="646"/>
      <c r="SV100" s="645"/>
      <c r="SW100" s="646"/>
      <c r="SX100" s="645"/>
      <c r="SY100" s="646"/>
      <c r="SZ100" s="645"/>
      <c r="TA100" s="646"/>
      <c r="TB100" s="645"/>
      <c r="TC100" s="646"/>
      <c r="TD100" s="645"/>
      <c r="TE100" s="646"/>
      <c r="TF100" s="645"/>
      <c r="TG100" s="646"/>
      <c r="TH100" s="645"/>
      <c r="TI100" s="646"/>
      <c r="TJ100" s="645"/>
      <c r="TK100" s="646"/>
      <c r="TL100" s="645"/>
      <c r="TM100" s="646"/>
      <c r="TN100" s="645"/>
      <c r="TO100" s="646"/>
      <c r="TP100" s="645"/>
      <c r="TQ100" s="646"/>
      <c r="TR100" s="645"/>
      <c r="TS100" s="646"/>
      <c r="TT100" s="645"/>
      <c r="TU100" s="646"/>
      <c r="TV100" s="645"/>
      <c r="TW100" s="646"/>
      <c r="TX100" s="645"/>
      <c r="TY100" s="646"/>
      <c r="TZ100" s="645"/>
      <c r="UA100" s="646"/>
      <c r="UB100" s="645"/>
      <c r="UC100" s="646"/>
      <c r="UD100" s="645"/>
      <c r="UE100" s="646"/>
      <c r="UF100" s="645"/>
      <c r="UG100" s="646"/>
      <c r="UH100" s="645"/>
      <c r="UI100" s="646"/>
      <c r="UJ100" s="645"/>
      <c r="UK100" s="646"/>
      <c r="UL100" s="645"/>
      <c r="UM100" s="646"/>
      <c r="UN100" s="645"/>
      <c r="UO100" s="646"/>
      <c r="UP100" s="645"/>
      <c r="UQ100" s="646"/>
      <c r="UR100" s="645"/>
      <c r="US100" s="646"/>
      <c r="UT100" s="645"/>
      <c r="UU100" s="646"/>
      <c r="UV100" s="645"/>
      <c r="UW100" s="646"/>
      <c r="UX100" s="645"/>
      <c r="UY100" s="646"/>
      <c r="UZ100" s="645"/>
      <c r="VA100" s="646"/>
      <c r="VB100" s="645"/>
      <c r="VC100" s="646"/>
      <c r="VD100" s="645"/>
      <c r="VE100" s="646"/>
      <c r="VF100" s="645"/>
      <c r="VG100" s="646"/>
      <c r="VH100" s="645"/>
      <c r="VI100" s="646"/>
      <c r="VJ100" s="645"/>
      <c r="VK100" s="646"/>
      <c r="VL100" s="645"/>
      <c r="VM100" s="646"/>
      <c r="VN100" s="645"/>
      <c r="VO100" s="646"/>
      <c r="VP100" s="645"/>
      <c r="VQ100" s="646"/>
      <c r="VR100" s="645"/>
      <c r="VS100" s="646"/>
      <c r="VT100" s="645"/>
      <c r="VU100" s="646"/>
      <c r="VV100" s="645"/>
      <c r="VW100" s="646"/>
      <c r="VX100" s="645"/>
      <c r="VY100" s="646"/>
      <c r="VZ100" s="645"/>
      <c r="WA100" s="646"/>
      <c r="WB100" s="645"/>
      <c r="WC100" s="646"/>
      <c r="WD100" s="645"/>
      <c r="WE100" s="646"/>
      <c r="WF100" s="645"/>
      <c r="WG100" s="646"/>
      <c r="WH100" s="645"/>
      <c r="WI100" s="646"/>
      <c r="WJ100" s="645"/>
      <c r="WK100" s="646"/>
      <c r="WL100" s="645"/>
      <c r="WM100" s="646"/>
      <c r="WN100" s="645"/>
      <c r="WO100" s="646"/>
      <c r="WP100" s="645"/>
      <c r="WQ100" s="646"/>
      <c r="WR100" s="645"/>
      <c r="WS100" s="646"/>
      <c r="WT100" s="645"/>
      <c r="WU100" s="646"/>
      <c r="WV100" s="645"/>
      <c r="WW100" s="646"/>
      <c r="WX100" s="645"/>
      <c r="WY100" s="646"/>
      <c r="WZ100" s="645"/>
      <c r="XA100" s="646"/>
      <c r="XB100" s="645"/>
      <c r="XC100" s="646"/>
      <c r="XD100" s="645"/>
      <c r="XE100" s="646"/>
      <c r="XF100" s="645"/>
      <c r="XG100" s="646"/>
      <c r="XH100" s="645"/>
      <c r="XI100" s="646"/>
      <c r="XJ100" s="645"/>
      <c r="XK100" s="646"/>
      <c r="XL100" s="645"/>
      <c r="XM100" s="646"/>
      <c r="XN100" s="645"/>
      <c r="XO100" s="646"/>
      <c r="XP100" s="645"/>
      <c r="XQ100" s="646"/>
      <c r="XR100" s="645"/>
      <c r="XS100" s="646"/>
      <c r="XT100" s="645"/>
      <c r="XU100" s="646"/>
      <c r="XV100" s="645"/>
      <c r="XW100" s="646"/>
      <c r="XX100" s="645"/>
      <c r="XY100" s="646"/>
      <c r="XZ100" s="645"/>
      <c r="YA100" s="646"/>
      <c r="YB100" s="645"/>
      <c r="YC100" s="646"/>
      <c r="YD100" s="645"/>
      <c r="YE100" s="646"/>
      <c r="YF100" s="645"/>
      <c r="YG100" s="646"/>
      <c r="YH100" s="645"/>
      <c r="YI100" s="646"/>
      <c r="YJ100" s="645"/>
      <c r="YK100" s="646"/>
      <c r="YL100" s="645"/>
      <c r="YM100" s="646"/>
      <c r="YN100" s="645"/>
      <c r="YO100" s="646"/>
      <c r="YP100" s="645"/>
      <c r="YQ100" s="646"/>
      <c r="YR100" s="645"/>
      <c r="YS100" s="646"/>
      <c r="YT100" s="645"/>
      <c r="YU100" s="646"/>
      <c r="YV100" s="645"/>
      <c r="YW100" s="646"/>
      <c r="YX100" s="645"/>
      <c r="YY100" s="646"/>
      <c r="YZ100" s="645"/>
      <c r="ZA100" s="646"/>
      <c r="ZB100" s="645"/>
      <c r="ZC100" s="646"/>
      <c r="ZD100" s="645"/>
      <c r="ZE100" s="646"/>
      <c r="ZF100" s="645"/>
      <c r="ZG100" s="646"/>
      <c r="ZH100" s="645"/>
      <c r="ZI100" s="646"/>
      <c r="ZJ100" s="645"/>
      <c r="ZK100" s="646"/>
      <c r="ZL100" s="645"/>
      <c r="ZM100" s="646"/>
      <c r="ZN100" s="645"/>
      <c r="ZO100" s="646"/>
      <c r="ZP100" s="645"/>
      <c r="ZQ100" s="646"/>
      <c r="ZR100" s="645"/>
      <c r="ZS100" s="646"/>
      <c r="ZT100" s="645"/>
      <c r="ZU100" s="646"/>
      <c r="ZV100" s="645"/>
      <c r="ZW100" s="646"/>
      <c r="ZX100" s="645"/>
      <c r="ZY100" s="646"/>
      <c r="ZZ100" s="645"/>
      <c r="AAA100" s="646"/>
      <c r="AAB100" s="645"/>
      <c r="AAC100" s="646"/>
      <c r="AAD100" s="645"/>
      <c r="AAE100" s="646"/>
      <c r="AAF100" s="645"/>
      <c r="AAG100" s="646"/>
      <c r="AAH100" s="645"/>
      <c r="AAI100" s="646"/>
      <c r="AAJ100" s="645"/>
      <c r="AAK100" s="646"/>
      <c r="AAL100" s="645"/>
      <c r="AAM100" s="646"/>
      <c r="AAN100" s="645"/>
      <c r="AAO100" s="646"/>
      <c r="AAP100" s="645"/>
      <c r="AAQ100" s="646"/>
      <c r="AAR100" s="645"/>
      <c r="AAS100" s="646"/>
      <c r="AAT100" s="645"/>
      <c r="AAU100" s="646"/>
      <c r="AAV100" s="645"/>
      <c r="AAW100" s="646"/>
      <c r="AAX100" s="645"/>
      <c r="AAY100" s="646"/>
      <c r="AAZ100" s="645"/>
      <c r="ABA100" s="646"/>
      <c r="ABB100" s="645"/>
      <c r="ABC100" s="646"/>
      <c r="ABD100" s="645"/>
      <c r="ABE100" s="646"/>
      <c r="ABF100" s="645"/>
      <c r="ABG100" s="646"/>
      <c r="ABH100" s="645"/>
      <c r="ABI100" s="646"/>
      <c r="ABJ100" s="645"/>
      <c r="ABK100" s="646"/>
      <c r="ABL100" s="645"/>
      <c r="ABM100" s="646"/>
      <c r="ABN100" s="645"/>
      <c r="ABO100" s="646"/>
      <c r="ABP100" s="645"/>
      <c r="ABQ100" s="646"/>
      <c r="ABR100" s="645"/>
      <c r="ABS100" s="646"/>
      <c r="ABT100" s="645"/>
      <c r="ABU100" s="646"/>
      <c r="ABV100" s="645"/>
      <c r="ABW100" s="646"/>
      <c r="ABX100" s="645"/>
      <c r="ABY100" s="646"/>
      <c r="ABZ100" s="645"/>
      <c r="ACA100" s="646"/>
      <c r="ACB100" s="645"/>
      <c r="ACC100" s="646"/>
      <c r="ACD100" s="645"/>
      <c r="ACE100" s="646"/>
      <c r="ACF100" s="645"/>
      <c r="ACG100" s="646"/>
      <c r="ACH100" s="645"/>
      <c r="ACI100" s="646"/>
      <c r="ACJ100" s="645"/>
      <c r="ACK100" s="646"/>
      <c r="ACL100" s="645"/>
      <c r="ACM100" s="646"/>
      <c r="ACN100" s="645"/>
      <c r="ACO100" s="646"/>
      <c r="ACP100" s="645"/>
      <c r="ACQ100" s="646"/>
      <c r="ACR100" s="645"/>
      <c r="ACS100" s="646"/>
      <c r="ACT100" s="645"/>
      <c r="ACU100" s="646"/>
      <c r="ACV100" s="645"/>
      <c r="ACW100" s="646"/>
      <c r="ACX100" s="645"/>
      <c r="ACY100" s="646"/>
      <c r="ACZ100" s="645"/>
      <c r="ADA100" s="646"/>
      <c r="ADB100" s="645"/>
      <c r="ADC100" s="646"/>
      <c r="ADD100" s="645"/>
      <c r="ADE100" s="646"/>
      <c r="ADF100" s="645"/>
      <c r="ADG100" s="646"/>
      <c r="ADH100" s="645"/>
      <c r="ADI100" s="646"/>
      <c r="ADJ100" s="645"/>
      <c r="ADK100" s="646"/>
      <c r="ADL100" s="645"/>
      <c r="ADM100" s="646"/>
      <c r="ADN100" s="645"/>
      <c r="ADO100" s="646"/>
      <c r="ADP100" s="645"/>
      <c r="ADQ100" s="646"/>
      <c r="ADR100" s="645"/>
      <c r="ADS100" s="646"/>
      <c r="ADT100" s="645"/>
      <c r="ADU100" s="646"/>
      <c r="ADV100" s="645"/>
      <c r="ADW100" s="646"/>
      <c r="ADX100" s="645"/>
      <c r="ADY100" s="646"/>
      <c r="ADZ100" s="645"/>
      <c r="AEA100" s="646"/>
      <c r="AEB100" s="645"/>
      <c r="AEC100" s="646"/>
      <c r="AED100" s="645"/>
      <c r="AEE100" s="646"/>
      <c r="AEF100" s="645"/>
      <c r="AEG100" s="646"/>
      <c r="AEH100" s="645"/>
      <c r="AEI100" s="646"/>
      <c r="AEJ100" s="645"/>
      <c r="AEK100" s="646"/>
      <c r="AEL100" s="645"/>
      <c r="AEM100" s="646"/>
      <c r="AEN100" s="645"/>
      <c r="AEO100" s="646"/>
      <c r="AEP100" s="645"/>
      <c r="AEQ100" s="646"/>
      <c r="AER100" s="645"/>
      <c r="AES100" s="646"/>
      <c r="AET100" s="645"/>
      <c r="AEU100" s="646"/>
      <c r="AEV100" s="645"/>
      <c r="AEW100" s="646"/>
      <c r="AEX100" s="645"/>
      <c r="AEY100" s="646"/>
      <c r="AEZ100" s="645"/>
      <c r="AFA100" s="646"/>
      <c r="AFB100" s="645"/>
      <c r="AFC100" s="646"/>
      <c r="AFD100" s="645"/>
      <c r="AFE100" s="646"/>
      <c r="AFF100" s="645"/>
      <c r="AFG100" s="646"/>
      <c r="AFH100" s="645"/>
      <c r="AFI100" s="646"/>
      <c r="AFJ100" s="645"/>
      <c r="AFK100" s="646"/>
      <c r="AFL100" s="645"/>
      <c r="AFM100" s="646"/>
      <c r="AFN100" s="645"/>
      <c r="AFO100" s="646"/>
      <c r="AFP100" s="645"/>
      <c r="AFQ100" s="646"/>
      <c r="AFR100" s="645"/>
      <c r="AFS100" s="646"/>
      <c r="AFT100" s="645"/>
      <c r="AFU100" s="646"/>
      <c r="AFV100" s="645"/>
      <c r="AFW100" s="646"/>
      <c r="AFX100" s="645"/>
      <c r="AFY100" s="646"/>
      <c r="AFZ100" s="645"/>
      <c r="AGA100" s="646"/>
      <c r="AGB100" s="645"/>
      <c r="AGC100" s="646"/>
      <c r="AGD100" s="645"/>
      <c r="AGE100" s="646"/>
      <c r="AGF100" s="645"/>
      <c r="AGG100" s="646"/>
      <c r="AGH100" s="645"/>
      <c r="AGI100" s="646"/>
      <c r="AGJ100" s="645"/>
      <c r="AGK100" s="646"/>
      <c r="AGL100" s="645"/>
      <c r="AGM100" s="646"/>
      <c r="AGN100" s="645"/>
      <c r="AGO100" s="646"/>
      <c r="AGP100" s="645"/>
      <c r="AGQ100" s="646"/>
      <c r="AGR100" s="645"/>
      <c r="AGS100" s="646"/>
      <c r="AGT100" s="645"/>
      <c r="AGU100" s="646"/>
      <c r="AGV100" s="645"/>
      <c r="AGW100" s="646"/>
      <c r="AGX100" s="645"/>
      <c r="AGY100" s="646"/>
      <c r="AGZ100" s="645"/>
      <c r="AHA100" s="646"/>
      <c r="AHB100" s="645"/>
      <c r="AHC100" s="646"/>
      <c r="AHD100" s="645"/>
      <c r="AHE100" s="646"/>
      <c r="AHF100" s="645"/>
      <c r="AHG100" s="646"/>
      <c r="AHH100" s="645"/>
      <c r="AHI100" s="646"/>
      <c r="AHJ100" s="645"/>
      <c r="AHK100" s="646"/>
      <c r="AHL100" s="645"/>
      <c r="AHM100" s="646"/>
      <c r="AHN100" s="645"/>
      <c r="AHO100" s="646"/>
      <c r="AHP100" s="645"/>
      <c r="AHQ100" s="646"/>
      <c r="AHR100" s="645"/>
      <c r="AHS100" s="646"/>
      <c r="AHT100" s="645"/>
      <c r="AHU100" s="646"/>
      <c r="AHV100" s="645"/>
      <c r="AHW100" s="646"/>
      <c r="AHX100" s="645"/>
      <c r="AHY100" s="646"/>
      <c r="AHZ100" s="645"/>
      <c r="AIA100" s="646"/>
      <c r="AIB100" s="645"/>
      <c r="AIC100" s="646"/>
      <c r="AID100" s="645"/>
      <c r="AIE100" s="646"/>
      <c r="AIF100" s="645"/>
      <c r="AIG100" s="646"/>
      <c r="AIH100" s="645"/>
      <c r="AII100" s="646"/>
      <c r="AIJ100" s="645"/>
      <c r="AIK100" s="646"/>
      <c r="AIL100" s="645"/>
      <c r="AIM100" s="646"/>
      <c r="AIN100" s="645"/>
      <c r="AIO100" s="646"/>
      <c r="AIP100" s="645"/>
      <c r="AIQ100" s="645"/>
      <c r="AIR100" s="645"/>
      <c r="AIS100" s="645"/>
      <c r="AIT100" s="645"/>
      <c r="AIU100" s="645"/>
      <c r="AIV100" s="645"/>
      <c r="AIW100" s="645"/>
      <c r="AIX100" s="645"/>
      <c r="AIY100" s="645"/>
      <c r="AIZ100" s="645"/>
      <c r="AJA100" s="645"/>
      <c r="AJB100" s="645"/>
      <c r="AJC100" s="645"/>
      <c r="AJD100" s="645"/>
      <c r="AJE100" s="645"/>
      <c r="AJF100" s="645"/>
      <c r="AJG100" s="645"/>
      <c r="AJH100" s="645"/>
      <c r="AJI100" s="645"/>
      <c r="AJJ100" s="645"/>
      <c r="AJK100" s="645"/>
      <c r="AJL100" s="645"/>
      <c r="AJM100" s="645"/>
      <c r="AJN100" s="645"/>
      <c r="AJO100" s="645"/>
      <c r="AJP100" s="645"/>
      <c r="AJQ100" s="645"/>
      <c r="AJR100" s="645"/>
      <c r="AJS100" s="645"/>
      <c r="AJT100" s="645"/>
      <c r="AJU100" s="645"/>
      <c r="AJV100" s="645"/>
      <c r="AJW100" s="645"/>
      <c r="AJX100" s="645"/>
      <c r="AJY100" s="645"/>
      <c r="AJZ100" s="645"/>
      <c r="AKA100" s="645"/>
      <c r="AKB100" s="645"/>
      <c r="AKC100" s="645"/>
      <c r="AKD100" s="645"/>
      <c r="AKE100" s="645"/>
      <c r="AKF100" s="645"/>
      <c r="AKG100" s="645"/>
      <c r="AKH100" s="645"/>
      <c r="AKI100" s="645"/>
      <c r="AKJ100" s="645"/>
      <c r="AKK100" s="645"/>
      <c r="AKL100" s="645"/>
      <c r="AKM100" s="645"/>
      <c r="AKN100" s="645"/>
      <c r="AKO100" s="645"/>
      <c r="AKP100" s="645"/>
      <c r="AKQ100" s="645"/>
      <c r="AKR100" s="645"/>
      <c r="AKS100" s="645"/>
      <c r="AKT100" s="645"/>
      <c r="AKU100" s="645"/>
      <c r="AKV100" s="645"/>
      <c r="AKW100" s="645"/>
      <c r="AKX100" s="645"/>
      <c r="AKY100" s="645"/>
      <c r="AKZ100" s="645"/>
      <c r="ALA100" s="645"/>
      <c r="ALB100" s="645"/>
      <c r="ALC100" s="645"/>
      <c r="ALD100" s="645"/>
      <c r="ALE100" s="645"/>
      <c r="ALF100" s="645"/>
      <c r="ALG100" s="645"/>
      <c r="ALH100" s="645"/>
      <c r="ALI100" s="645"/>
      <c r="ALJ100" s="645"/>
      <c r="ALK100" s="645"/>
      <c r="ALL100" s="645"/>
      <c r="ALM100" s="645"/>
      <c r="ALN100" s="645"/>
      <c r="ALO100" s="645"/>
      <c r="ALP100" s="645"/>
      <c r="ALQ100" s="645"/>
      <c r="ALR100" s="645"/>
      <c r="ALS100" s="645"/>
      <c r="ALT100" s="645"/>
      <c r="ALU100" s="645"/>
      <c r="ALV100" s="645"/>
      <c r="ALW100" s="645"/>
      <c r="ALX100" s="645"/>
      <c r="ALY100" s="645"/>
      <c r="ALZ100" s="645"/>
      <c r="AMA100" s="645"/>
      <c r="AMB100" s="645"/>
      <c r="AMC100" s="645"/>
      <c r="AMD100" s="645"/>
      <c r="AME100" s="645"/>
      <c r="AMF100" s="645"/>
      <c r="AMG100" s="645"/>
      <c r="AMH100" s="645"/>
      <c r="AMI100" s="645"/>
      <c r="AMJ100" s="645"/>
    </row>
    <row r="101" spans="1:1024" s="37" customFormat="1" ht="15.75" customHeight="1" x14ac:dyDescent="0.35">
      <c r="A101" s="600"/>
      <c r="B101" s="644" t="s">
        <v>355</v>
      </c>
      <c r="C101" s="645"/>
      <c r="D101" s="646"/>
      <c r="E101" s="645"/>
      <c r="F101" s="646"/>
      <c r="G101" s="647" t="s">
        <v>243</v>
      </c>
      <c r="H101" s="643"/>
      <c r="I101" s="645"/>
      <c r="J101" s="38"/>
      <c r="K101" s="38"/>
      <c r="L101" s="39"/>
      <c r="M101" s="38"/>
      <c r="N101" s="39"/>
      <c r="O101" s="38"/>
      <c r="P101" s="39"/>
      <c r="Q101" s="38"/>
      <c r="R101" s="39"/>
      <c r="S101" s="38"/>
      <c r="T101" s="39"/>
      <c r="U101" s="38"/>
      <c r="V101" s="39"/>
      <c r="W101" s="38"/>
      <c r="X101" s="39"/>
      <c r="Y101" s="38"/>
      <c r="Z101" s="39"/>
      <c r="AA101" s="38"/>
      <c r="AB101" s="39"/>
      <c r="AC101" s="38"/>
      <c r="AD101" s="39"/>
      <c r="AE101" s="38"/>
      <c r="AF101" s="39"/>
      <c r="AG101" s="38"/>
      <c r="AH101" s="39"/>
      <c r="AI101" s="38"/>
      <c r="AJ101" s="39"/>
      <c r="AK101" s="40"/>
      <c r="AL101" s="39"/>
      <c r="AM101" s="40"/>
      <c r="AN101" s="39"/>
      <c r="AO101" s="40"/>
      <c r="AP101" s="39"/>
      <c r="AQ101" s="40"/>
      <c r="AR101" s="39"/>
      <c r="AS101" s="40"/>
      <c r="AT101" s="39"/>
      <c r="AU101" s="40"/>
      <c r="AV101" s="39"/>
      <c r="AW101" s="40"/>
      <c r="AX101" s="39"/>
      <c r="AY101" s="40"/>
      <c r="AZ101" s="39"/>
      <c r="BA101" s="40"/>
      <c r="BB101" s="39"/>
      <c r="BC101" s="40"/>
      <c r="BD101" s="39"/>
      <c r="BE101" s="40"/>
      <c r="BF101" s="39"/>
      <c r="BG101" s="40"/>
      <c r="BH101" s="39"/>
      <c r="BI101" s="40"/>
      <c r="BJ101" s="39"/>
      <c r="BK101" s="40"/>
      <c r="BL101" s="39"/>
      <c r="BM101" s="40"/>
      <c r="BN101" s="39"/>
      <c r="BO101" s="40"/>
      <c r="BP101" s="39"/>
      <c r="BQ101" s="40"/>
      <c r="BR101" s="39"/>
      <c r="BS101" s="40"/>
      <c r="BT101" s="39"/>
      <c r="BU101" s="40"/>
      <c r="BV101" s="39"/>
      <c r="BW101" s="40"/>
      <c r="BX101" s="39"/>
      <c r="BY101" s="40"/>
      <c r="BZ101" s="39"/>
      <c r="CA101" s="40"/>
      <c r="CB101" s="39"/>
      <c r="CC101" s="40"/>
      <c r="CD101" s="39"/>
      <c r="CE101" s="40"/>
      <c r="CF101" s="39"/>
      <c r="CG101" s="40"/>
      <c r="CH101" s="39"/>
      <c r="CI101" s="40"/>
      <c r="CJ101" s="39"/>
      <c r="CK101" s="40"/>
      <c r="CL101" s="39"/>
      <c r="CM101" s="40"/>
      <c r="CN101" s="39"/>
      <c r="CO101" s="40"/>
      <c r="CP101" s="39"/>
      <c r="CQ101" s="40"/>
      <c r="CR101" s="39"/>
      <c r="CS101" s="40"/>
      <c r="CT101" s="39"/>
      <c r="CU101" s="40"/>
      <c r="CV101" s="39"/>
      <c r="CW101" s="40"/>
      <c r="CX101" s="39"/>
      <c r="CY101" s="40"/>
      <c r="CZ101" s="39"/>
      <c r="DA101" s="40"/>
      <c r="DB101" s="39"/>
      <c r="DC101" s="40"/>
      <c r="DD101" s="39"/>
      <c r="DE101" s="40"/>
      <c r="DF101" s="39"/>
      <c r="DG101" s="40"/>
      <c r="DH101" s="39"/>
      <c r="DI101" s="40"/>
      <c r="DJ101" s="39"/>
      <c r="DK101" s="40"/>
      <c r="DL101" s="39"/>
      <c r="DM101" s="40"/>
      <c r="DN101" s="39"/>
      <c r="DO101" s="40"/>
      <c r="DP101" s="39"/>
      <c r="DQ101" s="40"/>
      <c r="DR101" s="39"/>
      <c r="DS101" s="40"/>
      <c r="DT101" s="39"/>
      <c r="DU101" s="40"/>
      <c r="DV101" s="39"/>
      <c r="DW101" s="40"/>
      <c r="DX101" s="39"/>
      <c r="DY101" s="40"/>
      <c r="DZ101" s="39"/>
      <c r="EA101" s="40"/>
      <c r="EB101" s="39"/>
      <c r="EC101" s="40"/>
      <c r="ED101" s="39"/>
      <c r="EE101" s="40"/>
      <c r="EF101" s="39"/>
      <c r="EG101" s="40"/>
      <c r="EH101" s="39"/>
      <c r="EI101" s="40"/>
      <c r="EJ101" s="39"/>
      <c r="EK101" s="40"/>
      <c r="EL101" s="39"/>
      <c r="EM101" s="40"/>
      <c r="EN101" s="39"/>
      <c r="EO101" s="40"/>
      <c r="EP101" s="39"/>
      <c r="EQ101" s="40"/>
      <c r="ER101" s="39"/>
      <c r="ES101" s="40"/>
      <c r="ET101" s="39"/>
      <c r="EU101" s="40"/>
      <c r="EV101" s="39"/>
      <c r="EW101" s="40"/>
      <c r="EX101" s="39"/>
      <c r="EY101" s="40"/>
      <c r="EZ101" s="39"/>
      <c r="FA101" s="40"/>
      <c r="FB101" s="39"/>
      <c r="FC101" s="40"/>
      <c r="FD101" s="39"/>
      <c r="FE101" s="40"/>
      <c r="FF101" s="39"/>
      <c r="FG101" s="40"/>
      <c r="FH101" s="39"/>
      <c r="FI101" s="40"/>
      <c r="FJ101" s="39"/>
      <c r="FK101" s="40"/>
      <c r="FL101" s="39"/>
      <c r="FM101" s="40"/>
      <c r="FN101" s="39"/>
      <c r="FO101" s="40"/>
      <c r="FP101" s="39"/>
      <c r="FQ101" s="40"/>
      <c r="FR101" s="39"/>
      <c r="FS101" s="40"/>
      <c r="FT101" s="39"/>
      <c r="FU101" s="40"/>
      <c r="FV101" s="39"/>
      <c r="FW101" s="40"/>
      <c r="FX101" s="39"/>
      <c r="FY101" s="40"/>
      <c r="FZ101" s="39"/>
      <c r="GA101" s="40"/>
      <c r="GB101" s="39"/>
      <c r="GC101" s="40"/>
      <c r="GD101" s="39"/>
      <c r="GE101" s="40"/>
      <c r="GF101" s="39"/>
      <c r="GG101" s="40"/>
      <c r="GH101" s="39"/>
      <c r="GI101" s="40"/>
      <c r="GJ101" s="39"/>
      <c r="GK101" s="40"/>
      <c r="GL101" s="39"/>
      <c r="GM101" s="40"/>
      <c r="GN101" s="39"/>
      <c r="GO101" s="40"/>
      <c r="GP101" s="39"/>
      <c r="GQ101" s="40"/>
      <c r="GR101" s="39"/>
      <c r="GS101" s="40"/>
      <c r="GT101" s="39"/>
      <c r="GU101" s="40"/>
      <c r="GV101" s="39"/>
      <c r="GW101" s="40"/>
      <c r="GX101" s="39"/>
      <c r="GY101" s="40"/>
      <c r="GZ101" s="39"/>
      <c r="HA101" s="40"/>
      <c r="HB101" s="39"/>
      <c r="HC101" s="40"/>
      <c r="HD101" s="39"/>
      <c r="HE101" s="40"/>
      <c r="HF101" s="39"/>
      <c r="HG101" s="40"/>
      <c r="HH101" s="39"/>
      <c r="HI101" s="40"/>
      <c r="HJ101" s="39"/>
      <c r="HK101" s="40"/>
      <c r="HL101" s="39"/>
      <c r="HM101" s="40"/>
      <c r="HN101" s="39"/>
      <c r="HO101" s="40"/>
      <c r="HP101" s="39"/>
      <c r="HQ101" s="40"/>
      <c r="HR101" s="39"/>
      <c r="HS101" s="40"/>
      <c r="HT101" s="39"/>
      <c r="HU101" s="40"/>
      <c r="HV101" s="39"/>
      <c r="HW101" s="40"/>
      <c r="HX101" s="39"/>
      <c r="HY101" s="40"/>
      <c r="HZ101" s="39"/>
      <c r="IA101" s="40"/>
      <c r="IB101" s="39"/>
      <c r="IC101" s="1068"/>
      <c r="ID101" s="645"/>
      <c r="IE101" s="646"/>
      <c r="IF101" s="645"/>
      <c r="IG101" s="646"/>
      <c r="IH101" s="645"/>
      <c r="II101" s="646"/>
      <c r="IJ101" s="645"/>
      <c r="IK101" s="646"/>
      <c r="IL101" s="645"/>
      <c r="IM101" s="646"/>
      <c r="IN101" s="645"/>
      <c r="IO101" s="646"/>
      <c r="IP101" s="645"/>
      <c r="IQ101" s="646"/>
      <c r="IR101" s="645"/>
      <c r="IS101" s="646"/>
      <c r="IT101" s="645"/>
      <c r="IU101" s="646"/>
      <c r="IV101" s="645"/>
      <c r="IW101" s="646"/>
      <c r="IX101" s="645"/>
      <c r="IY101" s="646"/>
      <c r="IZ101" s="645"/>
      <c r="JA101" s="646"/>
      <c r="JB101" s="645"/>
      <c r="JC101" s="646"/>
      <c r="JD101" s="645"/>
      <c r="JE101" s="646"/>
      <c r="JF101" s="645"/>
      <c r="JG101" s="646"/>
      <c r="JH101" s="645"/>
      <c r="JI101" s="646"/>
      <c r="JJ101" s="645"/>
      <c r="JK101" s="646"/>
      <c r="JL101" s="645"/>
      <c r="JM101" s="646"/>
      <c r="JN101" s="645"/>
      <c r="JO101" s="646"/>
      <c r="JP101" s="645"/>
      <c r="JQ101" s="646"/>
      <c r="JR101" s="645"/>
      <c r="JS101" s="646"/>
      <c r="JT101" s="645"/>
      <c r="JU101" s="646"/>
      <c r="JV101" s="645"/>
      <c r="JW101" s="646"/>
      <c r="JX101" s="645"/>
      <c r="JY101" s="646"/>
      <c r="JZ101" s="645"/>
      <c r="KA101" s="646"/>
      <c r="KB101" s="645"/>
      <c r="KC101" s="646"/>
      <c r="KD101" s="645"/>
      <c r="KE101" s="646"/>
      <c r="KF101" s="645"/>
      <c r="KG101" s="646"/>
      <c r="KH101" s="645"/>
      <c r="KI101" s="646"/>
      <c r="KJ101" s="645"/>
      <c r="KK101" s="646"/>
      <c r="KL101" s="645"/>
      <c r="KM101" s="646"/>
      <c r="KN101" s="645"/>
      <c r="KO101" s="646"/>
      <c r="KP101" s="645"/>
      <c r="KQ101" s="646"/>
      <c r="KR101" s="645"/>
      <c r="KS101" s="646"/>
      <c r="KT101" s="645"/>
      <c r="KU101" s="646"/>
      <c r="KV101" s="645"/>
      <c r="KW101" s="646"/>
      <c r="KX101" s="645"/>
      <c r="KY101" s="646"/>
      <c r="KZ101" s="645"/>
      <c r="LA101" s="646"/>
      <c r="LB101" s="645"/>
      <c r="LC101" s="646"/>
      <c r="LD101" s="645"/>
      <c r="LE101" s="646"/>
      <c r="LF101" s="645"/>
      <c r="LG101" s="646"/>
      <c r="LH101" s="645"/>
      <c r="LI101" s="646"/>
      <c r="LJ101" s="645"/>
      <c r="LK101" s="646"/>
      <c r="LL101" s="645"/>
      <c r="LM101" s="646"/>
      <c r="LN101" s="645"/>
      <c r="LO101" s="646"/>
      <c r="LP101" s="645"/>
      <c r="LQ101" s="646"/>
      <c r="LR101" s="645"/>
      <c r="LS101" s="646"/>
      <c r="LT101" s="645"/>
      <c r="LU101" s="646"/>
      <c r="LV101" s="645"/>
      <c r="LW101" s="646"/>
      <c r="LX101" s="645"/>
      <c r="LY101" s="646"/>
      <c r="LZ101" s="645"/>
      <c r="MA101" s="646"/>
      <c r="MB101" s="645"/>
      <c r="MC101" s="646"/>
      <c r="MD101" s="645"/>
      <c r="ME101" s="646"/>
      <c r="MF101" s="645"/>
      <c r="MG101" s="646"/>
      <c r="MH101" s="645"/>
      <c r="MI101" s="646"/>
      <c r="MJ101" s="645"/>
      <c r="MK101" s="646"/>
      <c r="ML101" s="645"/>
      <c r="MM101" s="646"/>
      <c r="MN101" s="645"/>
      <c r="MO101" s="646"/>
      <c r="MP101" s="645"/>
      <c r="MQ101" s="646"/>
      <c r="MR101" s="645"/>
      <c r="MS101" s="646"/>
      <c r="MT101" s="645"/>
      <c r="MU101" s="646"/>
      <c r="MV101" s="645"/>
      <c r="MW101" s="646"/>
      <c r="MX101" s="645"/>
      <c r="MY101" s="646"/>
      <c r="MZ101" s="645"/>
      <c r="NA101" s="646"/>
      <c r="NB101" s="645"/>
      <c r="NC101" s="646"/>
      <c r="ND101" s="645"/>
      <c r="NE101" s="646"/>
      <c r="NF101" s="645"/>
      <c r="NG101" s="646"/>
      <c r="NH101" s="645"/>
      <c r="NI101" s="646"/>
      <c r="NJ101" s="645"/>
      <c r="NK101" s="646"/>
      <c r="NL101" s="645"/>
      <c r="NM101" s="646"/>
      <c r="NN101" s="645"/>
      <c r="NO101" s="646"/>
      <c r="NP101" s="645"/>
      <c r="NQ101" s="646"/>
      <c r="NR101" s="645"/>
      <c r="NS101" s="646"/>
      <c r="NT101" s="645"/>
      <c r="NU101" s="646"/>
      <c r="NV101" s="645"/>
      <c r="NW101" s="646"/>
      <c r="NX101" s="645"/>
      <c r="NY101" s="646"/>
      <c r="NZ101" s="645"/>
      <c r="OA101" s="646"/>
      <c r="OB101" s="645"/>
      <c r="OC101" s="646"/>
      <c r="OD101" s="645"/>
      <c r="OE101" s="646"/>
      <c r="OF101" s="645"/>
      <c r="OG101" s="646"/>
      <c r="OH101" s="645"/>
      <c r="OI101" s="646"/>
      <c r="OJ101" s="645"/>
      <c r="OK101" s="646"/>
      <c r="OL101" s="645"/>
      <c r="OM101" s="646"/>
      <c r="ON101" s="645"/>
      <c r="OO101" s="646"/>
      <c r="OP101" s="645"/>
      <c r="OQ101" s="646"/>
      <c r="OR101" s="645"/>
      <c r="OS101" s="646"/>
      <c r="OT101" s="645"/>
      <c r="OU101" s="646"/>
      <c r="OV101" s="645"/>
      <c r="OW101" s="646"/>
      <c r="OX101" s="645"/>
      <c r="OY101" s="646"/>
      <c r="OZ101" s="645"/>
      <c r="PA101" s="646"/>
      <c r="PB101" s="645"/>
      <c r="PC101" s="646"/>
      <c r="PD101" s="645"/>
      <c r="PE101" s="646"/>
      <c r="PF101" s="645"/>
      <c r="PG101" s="646"/>
      <c r="PH101" s="645"/>
      <c r="PI101" s="646"/>
      <c r="PJ101" s="645"/>
      <c r="PK101" s="646"/>
      <c r="PL101" s="645"/>
      <c r="PM101" s="646"/>
      <c r="PN101" s="645"/>
      <c r="PO101" s="646"/>
      <c r="PP101" s="645"/>
      <c r="PQ101" s="646"/>
      <c r="PR101" s="645"/>
      <c r="PS101" s="646"/>
      <c r="PT101" s="645"/>
      <c r="PU101" s="646"/>
      <c r="PV101" s="645"/>
      <c r="PW101" s="646"/>
      <c r="PX101" s="645"/>
      <c r="PY101" s="646"/>
      <c r="PZ101" s="645"/>
      <c r="QA101" s="646"/>
      <c r="QB101" s="645"/>
      <c r="QC101" s="646"/>
      <c r="QD101" s="645"/>
      <c r="QE101" s="646"/>
      <c r="QF101" s="645"/>
      <c r="QG101" s="646"/>
      <c r="QH101" s="645"/>
      <c r="QI101" s="646"/>
      <c r="QJ101" s="645"/>
      <c r="QK101" s="646"/>
      <c r="QL101" s="645"/>
      <c r="QM101" s="646"/>
      <c r="QN101" s="645"/>
      <c r="QO101" s="646"/>
      <c r="QP101" s="645"/>
      <c r="QQ101" s="646"/>
      <c r="QR101" s="645"/>
      <c r="QS101" s="646"/>
      <c r="QT101" s="645"/>
      <c r="QU101" s="646"/>
      <c r="QV101" s="645"/>
      <c r="QW101" s="646"/>
      <c r="QX101" s="645"/>
      <c r="QY101" s="646"/>
      <c r="QZ101" s="645"/>
      <c r="RA101" s="646"/>
      <c r="RB101" s="645"/>
      <c r="RC101" s="646"/>
      <c r="RD101" s="645"/>
      <c r="RE101" s="646"/>
      <c r="RF101" s="645"/>
      <c r="RG101" s="646"/>
      <c r="RH101" s="645"/>
      <c r="RI101" s="646"/>
      <c r="RJ101" s="645"/>
      <c r="RK101" s="646"/>
      <c r="RL101" s="645"/>
      <c r="RM101" s="646"/>
      <c r="RN101" s="645"/>
      <c r="RO101" s="646"/>
      <c r="RP101" s="645"/>
      <c r="RQ101" s="646"/>
      <c r="RR101" s="645"/>
      <c r="RS101" s="646"/>
      <c r="RT101" s="645"/>
      <c r="RU101" s="646"/>
      <c r="RV101" s="645"/>
      <c r="RW101" s="646"/>
      <c r="RX101" s="645"/>
      <c r="RY101" s="646"/>
      <c r="RZ101" s="645"/>
      <c r="SA101" s="646"/>
      <c r="SB101" s="645"/>
      <c r="SC101" s="646"/>
      <c r="SD101" s="645"/>
      <c r="SE101" s="646"/>
      <c r="SF101" s="645"/>
      <c r="SG101" s="646"/>
      <c r="SH101" s="645"/>
      <c r="SI101" s="646"/>
      <c r="SJ101" s="645"/>
      <c r="SK101" s="646"/>
      <c r="SL101" s="645"/>
      <c r="SM101" s="646"/>
      <c r="SN101" s="645"/>
      <c r="SO101" s="646"/>
      <c r="SP101" s="645"/>
      <c r="SQ101" s="646"/>
      <c r="SR101" s="645"/>
      <c r="SS101" s="646"/>
      <c r="ST101" s="645"/>
      <c r="SU101" s="646"/>
      <c r="SV101" s="645"/>
      <c r="SW101" s="646"/>
      <c r="SX101" s="645"/>
      <c r="SY101" s="646"/>
      <c r="SZ101" s="645"/>
      <c r="TA101" s="646"/>
      <c r="TB101" s="645"/>
      <c r="TC101" s="646"/>
      <c r="TD101" s="645"/>
      <c r="TE101" s="646"/>
      <c r="TF101" s="645"/>
      <c r="TG101" s="646"/>
      <c r="TH101" s="645"/>
      <c r="TI101" s="646"/>
      <c r="TJ101" s="645"/>
      <c r="TK101" s="646"/>
      <c r="TL101" s="645"/>
      <c r="TM101" s="646"/>
      <c r="TN101" s="645"/>
      <c r="TO101" s="646"/>
      <c r="TP101" s="645"/>
      <c r="TQ101" s="646"/>
      <c r="TR101" s="645"/>
      <c r="TS101" s="646"/>
      <c r="TT101" s="645"/>
      <c r="TU101" s="646"/>
      <c r="TV101" s="645"/>
      <c r="TW101" s="646"/>
      <c r="TX101" s="645"/>
      <c r="TY101" s="646"/>
      <c r="TZ101" s="645"/>
      <c r="UA101" s="646"/>
      <c r="UB101" s="645"/>
      <c r="UC101" s="646"/>
      <c r="UD101" s="645"/>
      <c r="UE101" s="646"/>
      <c r="UF101" s="645"/>
      <c r="UG101" s="646"/>
      <c r="UH101" s="645"/>
      <c r="UI101" s="646"/>
      <c r="UJ101" s="645"/>
      <c r="UK101" s="646"/>
      <c r="UL101" s="645"/>
      <c r="UM101" s="646"/>
      <c r="UN101" s="645"/>
      <c r="UO101" s="646"/>
      <c r="UP101" s="645"/>
      <c r="UQ101" s="646"/>
      <c r="UR101" s="645"/>
      <c r="US101" s="646"/>
      <c r="UT101" s="645"/>
      <c r="UU101" s="646"/>
      <c r="UV101" s="645"/>
      <c r="UW101" s="646"/>
      <c r="UX101" s="645"/>
      <c r="UY101" s="646"/>
      <c r="UZ101" s="645"/>
      <c r="VA101" s="646"/>
      <c r="VB101" s="645"/>
      <c r="VC101" s="646"/>
      <c r="VD101" s="645"/>
      <c r="VE101" s="646"/>
      <c r="VF101" s="645"/>
      <c r="VG101" s="646"/>
      <c r="VH101" s="645"/>
      <c r="VI101" s="646"/>
      <c r="VJ101" s="645"/>
      <c r="VK101" s="646"/>
      <c r="VL101" s="645"/>
      <c r="VM101" s="646"/>
      <c r="VN101" s="645"/>
      <c r="VO101" s="646"/>
      <c r="VP101" s="645"/>
      <c r="VQ101" s="646"/>
      <c r="VR101" s="645"/>
      <c r="VS101" s="646"/>
      <c r="VT101" s="645"/>
      <c r="VU101" s="646"/>
      <c r="VV101" s="645"/>
      <c r="VW101" s="646"/>
      <c r="VX101" s="645"/>
      <c r="VY101" s="646"/>
      <c r="VZ101" s="645"/>
      <c r="WA101" s="646"/>
      <c r="WB101" s="645"/>
      <c r="WC101" s="646"/>
      <c r="WD101" s="645"/>
      <c r="WE101" s="646"/>
      <c r="WF101" s="645"/>
      <c r="WG101" s="646"/>
      <c r="WH101" s="645"/>
      <c r="WI101" s="646"/>
      <c r="WJ101" s="645"/>
      <c r="WK101" s="646"/>
      <c r="WL101" s="645"/>
      <c r="WM101" s="646"/>
      <c r="WN101" s="645"/>
      <c r="WO101" s="646"/>
      <c r="WP101" s="645"/>
      <c r="WQ101" s="646"/>
      <c r="WR101" s="645"/>
      <c r="WS101" s="646"/>
      <c r="WT101" s="645"/>
      <c r="WU101" s="646"/>
      <c r="WV101" s="645"/>
      <c r="WW101" s="646"/>
      <c r="WX101" s="645"/>
      <c r="WY101" s="646"/>
      <c r="WZ101" s="645"/>
      <c r="XA101" s="646"/>
      <c r="XB101" s="645"/>
      <c r="XC101" s="646"/>
      <c r="XD101" s="645"/>
      <c r="XE101" s="646"/>
      <c r="XF101" s="645"/>
      <c r="XG101" s="646"/>
      <c r="XH101" s="645"/>
      <c r="XI101" s="646"/>
      <c r="XJ101" s="645"/>
      <c r="XK101" s="646"/>
      <c r="XL101" s="645"/>
      <c r="XM101" s="646"/>
      <c r="XN101" s="645"/>
      <c r="XO101" s="646"/>
      <c r="XP101" s="645"/>
      <c r="XQ101" s="646"/>
      <c r="XR101" s="645"/>
      <c r="XS101" s="646"/>
      <c r="XT101" s="645"/>
      <c r="XU101" s="646"/>
      <c r="XV101" s="645"/>
      <c r="XW101" s="646"/>
      <c r="XX101" s="645"/>
      <c r="XY101" s="646"/>
      <c r="XZ101" s="645"/>
      <c r="YA101" s="646"/>
      <c r="YB101" s="645"/>
      <c r="YC101" s="646"/>
      <c r="YD101" s="645"/>
      <c r="YE101" s="646"/>
      <c r="YF101" s="645"/>
      <c r="YG101" s="646"/>
      <c r="YH101" s="645"/>
      <c r="YI101" s="646"/>
      <c r="YJ101" s="645"/>
      <c r="YK101" s="646"/>
      <c r="YL101" s="645"/>
      <c r="YM101" s="646"/>
      <c r="YN101" s="645"/>
      <c r="YO101" s="646"/>
      <c r="YP101" s="645"/>
      <c r="YQ101" s="646"/>
      <c r="YR101" s="645"/>
      <c r="YS101" s="646"/>
      <c r="YT101" s="645"/>
      <c r="YU101" s="646"/>
      <c r="YV101" s="645"/>
      <c r="YW101" s="646"/>
      <c r="YX101" s="645"/>
      <c r="YY101" s="646"/>
      <c r="YZ101" s="645"/>
      <c r="ZA101" s="646"/>
      <c r="ZB101" s="645"/>
      <c r="ZC101" s="646"/>
      <c r="ZD101" s="645"/>
      <c r="ZE101" s="646"/>
      <c r="ZF101" s="645"/>
      <c r="ZG101" s="646"/>
      <c r="ZH101" s="645"/>
      <c r="ZI101" s="646"/>
      <c r="ZJ101" s="645"/>
      <c r="ZK101" s="646"/>
      <c r="ZL101" s="645"/>
      <c r="ZM101" s="646"/>
      <c r="ZN101" s="645"/>
      <c r="ZO101" s="646"/>
      <c r="ZP101" s="645"/>
      <c r="ZQ101" s="646"/>
      <c r="ZR101" s="645"/>
      <c r="ZS101" s="646"/>
      <c r="ZT101" s="645"/>
      <c r="ZU101" s="646"/>
      <c r="ZV101" s="645"/>
      <c r="ZW101" s="646"/>
      <c r="ZX101" s="645"/>
      <c r="ZY101" s="646"/>
      <c r="ZZ101" s="645"/>
      <c r="AAA101" s="646"/>
      <c r="AAB101" s="645"/>
      <c r="AAC101" s="646"/>
      <c r="AAD101" s="645"/>
      <c r="AAE101" s="646"/>
      <c r="AAF101" s="645"/>
      <c r="AAG101" s="646"/>
      <c r="AAH101" s="645"/>
      <c r="AAI101" s="646"/>
      <c r="AAJ101" s="645"/>
      <c r="AAK101" s="646"/>
      <c r="AAL101" s="645"/>
      <c r="AAM101" s="646"/>
      <c r="AAN101" s="645"/>
      <c r="AAO101" s="646"/>
      <c r="AAP101" s="645"/>
      <c r="AAQ101" s="646"/>
      <c r="AAR101" s="645"/>
      <c r="AAS101" s="646"/>
      <c r="AAT101" s="645"/>
      <c r="AAU101" s="646"/>
      <c r="AAV101" s="645"/>
      <c r="AAW101" s="646"/>
      <c r="AAX101" s="645"/>
      <c r="AAY101" s="646"/>
      <c r="AAZ101" s="645"/>
      <c r="ABA101" s="646"/>
      <c r="ABB101" s="645"/>
      <c r="ABC101" s="646"/>
      <c r="ABD101" s="645"/>
      <c r="ABE101" s="646"/>
      <c r="ABF101" s="645"/>
      <c r="ABG101" s="646"/>
      <c r="ABH101" s="645"/>
      <c r="ABI101" s="646"/>
      <c r="ABJ101" s="645"/>
      <c r="ABK101" s="646"/>
      <c r="ABL101" s="645"/>
      <c r="ABM101" s="646"/>
      <c r="ABN101" s="645"/>
      <c r="ABO101" s="646"/>
      <c r="ABP101" s="645"/>
      <c r="ABQ101" s="646"/>
      <c r="ABR101" s="645"/>
      <c r="ABS101" s="646"/>
      <c r="ABT101" s="645"/>
      <c r="ABU101" s="646"/>
      <c r="ABV101" s="645"/>
      <c r="ABW101" s="646"/>
      <c r="ABX101" s="645"/>
      <c r="ABY101" s="646"/>
      <c r="ABZ101" s="645"/>
      <c r="ACA101" s="646"/>
      <c r="ACB101" s="645"/>
      <c r="ACC101" s="646"/>
      <c r="ACD101" s="645"/>
      <c r="ACE101" s="646"/>
      <c r="ACF101" s="645"/>
      <c r="ACG101" s="646"/>
      <c r="ACH101" s="645"/>
      <c r="ACI101" s="646"/>
      <c r="ACJ101" s="645"/>
      <c r="ACK101" s="646"/>
      <c r="ACL101" s="645"/>
      <c r="ACM101" s="646"/>
      <c r="ACN101" s="645"/>
      <c r="ACO101" s="646"/>
      <c r="ACP101" s="645"/>
      <c r="ACQ101" s="646"/>
      <c r="ACR101" s="645"/>
      <c r="ACS101" s="646"/>
      <c r="ACT101" s="645"/>
      <c r="ACU101" s="646"/>
      <c r="ACV101" s="645"/>
      <c r="ACW101" s="646"/>
      <c r="ACX101" s="645"/>
      <c r="ACY101" s="646"/>
      <c r="ACZ101" s="645"/>
      <c r="ADA101" s="646"/>
      <c r="ADB101" s="645"/>
      <c r="ADC101" s="646"/>
      <c r="ADD101" s="645"/>
      <c r="ADE101" s="646"/>
      <c r="ADF101" s="645"/>
      <c r="ADG101" s="646"/>
      <c r="ADH101" s="645"/>
      <c r="ADI101" s="646"/>
      <c r="ADJ101" s="645"/>
      <c r="ADK101" s="646"/>
      <c r="ADL101" s="645"/>
      <c r="ADM101" s="646"/>
      <c r="ADN101" s="645"/>
      <c r="ADO101" s="646"/>
      <c r="ADP101" s="645"/>
      <c r="ADQ101" s="646"/>
      <c r="ADR101" s="645"/>
      <c r="ADS101" s="646"/>
      <c r="ADT101" s="645"/>
      <c r="ADU101" s="646"/>
      <c r="ADV101" s="645"/>
      <c r="ADW101" s="646"/>
      <c r="ADX101" s="645"/>
      <c r="ADY101" s="646"/>
      <c r="ADZ101" s="645"/>
      <c r="AEA101" s="646"/>
      <c r="AEB101" s="645"/>
      <c r="AEC101" s="646"/>
      <c r="AED101" s="645"/>
      <c r="AEE101" s="646"/>
      <c r="AEF101" s="645"/>
      <c r="AEG101" s="646"/>
      <c r="AEH101" s="645"/>
      <c r="AEI101" s="646"/>
      <c r="AEJ101" s="645"/>
      <c r="AEK101" s="646"/>
      <c r="AEL101" s="645"/>
      <c r="AEM101" s="646"/>
      <c r="AEN101" s="645"/>
      <c r="AEO101" s="646"/>
      <c r="AEP101" s="645"/>
      <c r="AEQ101" s="646"/>
      <c r="AER101" s="645"/>
      <c r="AES101" s="646"/>
      <c r="AET101" s="645"/>
      <c r="AEU101" s="646"/>
      <c r="AEV101" s="645"/>
      <c r="AEW101" s="646"/>
      <c r="AEX101" s="645"/>
      <c r="AEY101" s="646"/>
      <c r="AEZ101" s="645"/>
      <c r="AFA101" s="646"/>
      <c r="AFB101" s="645"/>
      <c r="AFC101" s="646"/>
      <c r="AFD101" s="645"/>
      <c r="AFE101" s="646"/>
      <c r="AFF101" s="645"/>
      <c r="AFG101" s="646"/>
      <c r="AFH101" s="645"/>
      <c r="AFI101" s="646"/>
      <c r="AFJ101" s="645"/>
      <c r="AFK101" s="646"/>
      <c r="AFL101" s="645"/>
      <c r="AFM101" s="646"/>
      <c r="AFN101" s="645"/>
      <c r="AFO101" s="646"/>
      <c r="AFP101" s="645"/>
      <c r="AFQ101" s="646"/>
      <c r="AFR101" s="645"/>
      <c r="AFS101" s="646"/>
      <c r="AFT101" s="645"/>
      <c r="AFU101" s="646"/>
      <c r="AFV101" s="645"/>
      <c r="AFW101" s="646"/>
      <c r="AFX101" s="645"/>
      <c r="AFY101" s="646"/>
      <c r="AFZ101" s="645"/>
      <c r="AGA101" s="646"/>
      <c r="AGB101" s="645"/>
      <c r="AGC101" s="646"/>
      <c r="AGD101" s="645"/>
      <c r="AGE101" s="646"/>
      <c r="AGF101" s="645"/>
      <c r="AGG101" s="646"/>
      <c r="AGH101" s="645"/>
      <c r="AGI101" s="646"/>
      <c r="AGJ101" s="645"/>
      <c r="AGK101" s="646"/>
      <c r="AGL101" s="645"/>
      <c r="AGM101" s="646"/>
      <c r="AGN101" s="645"/>
      <c r="AGO101" s="646"/>
      <c r="AGP101" s="645"/>
      <c r="AGQ101" s="646"/>
      <c r="AGR101" s="645"/>
      <c r="AGS101" s="646"/>
      <c r="AGT101" s="645"/>
      <c r="AGU101" s="646"/>
      <c r="AGV101" s="645"/>
      <c r="AGW101" s="646"/>
      <c r="AGX101" s="645"/>
      <c r="AGY101" s="646"/>
      <c r="AGZ101" s="645"/>
      <c r="AHA101" s="646"/>
      <c r="AHB101" s="645"/>
      <c r="AHC101" s="646"/>
      <c r="AHD101" s="645"/>
      <c r="AHE101" s="646"/>
      <c r="AHF101" s="645"/>
      <c r="AHG101" s="646"/>
      <c r="AHH101" s="645"/>
      <c r="AHI101" s="646"/>
      <c r="AHJ101" s="645"/>
      <c r="AHK101" s="646"/>
      <c r="AHL101" s="645"/>
      <c r="AHM101" s="646"/>
      <c r="AHN101" s="645"/>
      <c r="AHO101" s="646"/>
      <c r="AHP101" s="645"/>
      <c r="AHQ101" s="646"/>
      <c r="AHR101" s="645"/>
      <c r="AHS101" s="646"/>
      <c r="AHT101" s="645"/>
      <c r="AHU101" s="646"/>
      <c r="AHV101" s="645"/>
      <c r="AHW101" s="646"/>
      <c r="AHX101" s="645"/>
      <c r="AHY101" s="646"/>
      <c r="AHZ101" s="645"/>
      <c r="AIA101" s="646"/>
      <c r="AIB101" s="645"/>
      <c r="AIC101" s="646"/>
      <c r="AID101" s="645"/>
      <c r="AIE101" s="646"/>
      <c r="AIF101" s="645"/>
      <c r="AIG101" s="646"/>
      <c r="AIH101" s="645"/>
      <c r="AII101" s="646"/>
      <c r="AIJ101" s="645"/>
      <c r="AIK101" s="646"/>
      <c r="AIL101" s="645"/>
      <c r="AIM101" s="646"/>
      <c r="AIN101" s="645"/>
      <c r="AIO101" s="646"/>
      <c r="AIP101" s="645"/>
      <c r="AIQ101" s="645"/>
      <c r="AIR101" s="645"/>
      <c r="AIS101" s="645"/>
      <c r="AIT101" s="645"/>
      <c r="AIU101" s="645"/>
      <c r="AIV101" s="645"/>
      <c r="AIW101" s="645"/>
      <c r="AIX101" s="645"/>
      <c r="AIY101" s="645"/>
      <c r="AIZ101" s="645"/>
      <c r="AJA101" s="645"/>
      <c r="AJB101" s="645"/>
      <c r="AJC101" s="645"/>
      <c r="AJD101" s="645"/>
      <c r="AJE101" s="645"/>
      <c r="AJF101" s="645"/>
      <c r="AJG101" s="645"/>
      <c r="AJH101" s="645"/>
      <c r="AJI101" s="645"/>
      <c r="AJJ101" s="645"/>
      <c r="AJK101" s="645"/>
      <c r="AJL101" s="645"/>
      <c r="AJM101" s="645"/>
      <c r="AJN101" s="645"/>
      <c r="AJO101" s="645"/>
      <c r="AJP101" s="645"/>
      <c r="AJQ101" s="645"/>
      <c r="AJR101" s="645"/>
      <c r="AJS101" s="645"/>
      <c r="AJT101" s="645"/>
      <c r="AJU101" s="645"/>
      <c r="AJV101" s="645"/>
      <c r="AJW101" s="645"/>
      <c r="AJX101" s="645"/>
      <c r="AJY101" s="645"/>
      <c r="AJZ101" s="645"/>
      <c r="AKA101" s="645"/>
      <c r="AKB101" s="645"/>
      <c r="AKC101" s="645"/>
      <c r="AKD101" s="645"/>
      <c r="AKE101" s="645"/>
      <c r="AKF101" s="645"/>
      <c r="AKG101" s="645"/>
      <c r="AKH101" s="645"/>
      <c r="AKI101" s="645"/>
      <c r="AKJ101" s="645"/>
      <c r="AKK101" s="645"/>
      <c r="AKL101" s="645"/>
      <c r="AKM101" s="645"/>
      <c r="AKN101" s="645"/>
      <c r="AKO101" s="645"/>
      <c r="AKP101" s="645"/>
      <c r="AKQ101" s="645"/>
      <c r="AKR101" s="645"/>
      <c r="AKS101" s="645"/>
      <c r="AKT101" s="645"/>
      <c r="AKU101" s="645"/>
      <c r="AKV101" s="645"/>
      <c r="AKW101" s="645"/>
      <c r="AKX101" s="645"/>
      <c r="AKY101" s="645"/>
      <c r="AKZ101" s="645"/>
      <c r="ALA101" s="645"/>
      <c r="ALB101" s="645"/>
      <c r="ALC101" s="645"/>
      <c r="ALD101" s="645"/>
      <c r="ALE101" s="645"/>
      <c r="ALF101" s="645"/>
      <c r="ALG101" s="645"/>
      <c r="ALH101" s="645"/>
      <c r="ALI101" s="645"/>
      <c r="ALJ101" s="645"/>
      <c r="ALK101" s="645"/>
      <c r="ALL101" s="645"/>
      <c r="ALM101" s="645"/>
      <c r="ALN101" s="645"/>
      <c r="ALO101" s="645"/>
      <c r="ALP101" s="645"/>
      <c r="ALQ101" s="645"/>
      <c r="ALR101" s="645"/>
      <c r="ALS101" s="645"/>
      <c r="ALT101" s="645"/>
      <c r="ALU101" s="645"/>
      <c r="ALV101" s="645"/>
      <c r="ALW101" s="645"/>
      <c r="ALX101" s="645"/>
      <c r="ALY101" s="645"/>
      <c r="ALZ101" s="645"/>
      <c r="AMA101" s="645"/>
      <c r="AMB101" s="645"/>
      <c r="AMC101" s="645"/>
      <c r="AMD101" s="645"/>
      <c r="AME101" s="645"/>
      <c r="AMF101" s="645"/>
      <c r="AMG101" s="645"/>
      <c r="AMH101" s="645"/>
      <c r="AMI101" s="645"/>
      <c r="AMJ101" s="645"/>
    </row>
    <row r="102" spans="1:1024" s="37" customFormat="1" ht="15.75" customHeight="1" x14ac:dyDescent="0.35">
      <c r="A102" s="600"/>
      <c r="B102" s="644" t="s">
        <v>356</v>
      </c>
      <c r="C102" s="645"/>
      <c r="D102" s="646"/>
      <c r="E102" s="645"/>
      <c r="F102" s="646"/>
      <c r="G102" s="647" t="s">
        <v>243</v>
      </c>
      <c r="H102" s="643"/>
      <c r="I102" s="645"/>
      <c r="J102" s="38"/>
      <c r="K102" s="38"/>
      <c r="L102" s="39"/>
      <c r="M102" s="38"/>
      <c r="N102" s="39"/>
      <c r="O102" s="38"/>
      <c r="P102" s="39"/>
      <c r="Q102" s="38"/>
      <c r="R102" s="39"/>
      <c r="S102" s="38"/>
      <c r="T102" s="39"/>
      <c r="U102" s="38"/>
      <c r="V102" s="39"/>
      <c r="W102" s="38"/>
      <c r="X102" s="39"/>
      <c r="Y102" s="38"/>
      <c r="Z102" s="39"/>
      <c r="AA102" s="38"/>
      <c r="AB102" s="39"/>
      <c r="AC102" s="38"/>
      <c r="AD102" s="39"/>
      <c r="AE102" s="38"/>
      <c r="AF102" s="39"/>
      <c r="AG102" s="38"/>
      <c r="AH102" s="39"/>
      <c r="AI102" s="38"/>
      <c r="AJ102" s="39"/>
      <c r="AK102" s="40"/>
      <c r="AL102" s="39"/>
      <c r="AM102" s="40"/>
      <c r="AN102" s="39"/>
      <c r="AO102" s="40"/>
      <c r="AP102" s="39"/>
      <c r="AQ102" s="40"/>
      <c r="AR102" s="39"/>
      <c r="AS102" s="40"/>
      <c r="AT102" s="39"/>
      <c r="AU102" s="40"/>
      <c r="AV102" s="39"/>
      <c r="AW102" s="40"/>
      <c r="AX102" s="39"/>
      <c r="AY102" s="40"/>
      <c r="AZ102" s="39"/>
      <c r="BA102" s="40"/>
      <c r="BB102" s="39"/>
      <c r="BC102" s="40"/>
      <c r="BD102" s="39"/>
      <c r="BE102" s="40"/>
      <c r="BF102" s="39"/>
      <c r="BG102" s="40"/>
      <c r="BH102" s="39"/>
      <c r="BI102" s="40"/>
      <c r="BJ102" s="39"/>
      <c r="BK102" s="40"/>
      <c r="BL102" s="39"/>
      <c r="BM102" s="40"/>
      <c r="BN102" s="39"/>
      <c r="BO102" s="40"/>
      <c r="BP102" s="39"/>
      <c r="BQ102" s="40"/>
      <c r="BR102" s="39"/>
      <c r="BS102" s="40"/>
      <c r="BT102" s="39"/>
      <c r="BU102" s="40"/>
      <c r="BV102" s="39"/>
      <c r="BW102" s="40"/>
      <c r="BX102" s="39"/>
      <c r="BY102" s="40"/>
      <c r="BZ102" s="39"/>
      <c r="CA102" s="40"/>
      <c r="CB102" s="39"/>
      <c r="CC102" s="40"/>
      <c r="CD102" s="39"/>
      <c r="CE102" s="40"/>
      <c r="CF102" s="39"/>
      <c r="CG102" s="40"/>
      <c r="CH102" s="39"/>
      <c r="CI102" s="40"/>
      <c r="CJ102" s="39"/>
      <c r="CK102" s="40"/>
      <c r="CL102" s="39"/>
      <c r="CM102" s="40"/>
      <c r="CN102" s="39"/>
      <c r="CO102" s="40"/>
      <c r="CP102" s="39"/>
      <c r="CQ102" s="40"/>
      <c r="CR102" s="39"/>
      <c r="CS102" s="40"/>
      <c r="CT102" s="39"/>
      <c r="CU102" s="40"/>
      <c r="CV102" s="39"/>
      <c r="CW102" s="40"/>
      <c r="CX102" s="39"/>
      <c r="CY102" s="40"/>
      <c r="CZ102" s="39"/>
      <c r="DA102" s="40"/>
      <c r="DB102" s="39"/>
      <c r="DC102" s="40"/>
      <c r="DD102" s="39"/>
      <c r="DE102" s="40"/>
      <c r="DF102" s="39"/>
      <c r="DG102" s="40"/>
      <c r="DH102" s="39"/>
      <c r="DI102" s="40"/>
      <c r="DJ102" s="39"/>
      <c r="DK102" s="40"/>
      <c r="DL102" s="39"/>
      <c r="DM102" s="40"/>
      <c r="DN102" s="39"/>
      <c r="DO102" s="40"/>
      <c r="DP102" s="39"/>
      <c r="DQ102" s="40"/>
      <c r="DR102" s="39"/>
      <c r="DS102" s="40"/>
      <c r="DT102" s="39"/>
      <c r="DU102" s="40"/>
      <c r="DV102" s="39"/>
      <c r="DW102" s="40"/>
      <c r="DX102" s="39"/>
      <c r="DY102" s="40"/>
      <c r="DZ102" s="39"/>
      <c r="EA102" s="40"/>
      <c r="EB102" s="39"/>
      <c r="EC102" s="40"/>
      <c r="ED102" s="39"/>
      <c r="EE102" s="40"/>
      <c r="EF102" s="39"/>
      <c r="EG102" s="40"/>
      <c r="EH102" s="39"/>
      <c r="EI102" s="40"/>
      <c r="EJ102" s="39"/>
      <c r="EK102" s="40"/>
      <c r="EL102" s="39"/>
      <c r="EM102" s="40"/>
      <c r="EN102" s="39"/>
      <c r="EO102" s="40"/>
      <c r="EP102" s="39"/>
      <c r="EQ102" s="40"/>
      <c r="ER102" s="39"/>
      <c r="ES102" s="40"/>
      <c r="ET102" s="39"/>
      <c r="EU102" s="40"/>
      <c r="EV102" s="39"/>
      <c r="EW102" s="40"/>
      <c r="EX102" s="39"/>
      <c r="EY102" s="40"/>
      <c r="EZ102" s="39"/>
      <c r="FA102" s="40"/>
      <c r="FB102" s="39"/>
      <c r="FC102" s="40"/>
      <c r="FD102" s="39"/>
      <c r="FE102" s="40"/>
      <c r="FF102" s="39"/>
      <c r="FG102" s="40"/>
      <c r="FH102" s="39"/>
      <c r="FI102" s="40"/>
      <c r="FJ102" s="39"/>
      <c r="FK102" s="40"/>
      <c r="FL102" s="39"/>
      <c r="FM102" s="40"/>
      <c r="FN102" s="39"/>
      <c r="FO102" s="40"/>
      <c r="FP102" s="39"/>
      <c r="FQ102" s="40"/>
      <c r="FR102" s="39"/>
      <c r="FS102" s="40"/>
      <c r="FT102" s="39"/>
      <c r="FU102" s="40"/>
      <c r="FV102" s="39"/>
      <c r="FW102" s="40"/>
      <c r="FX102" s="39"/>
      <c r="FY102" s="40"/>
      <c r="FZ102" s="39"/>
      <c r="GA102" s="40"/>
      <c r="GB102" s="39"/>
      <c r="GC102" s="40"/>
      <c r="GD102" s="39"/>
      <c r="GE102" s="40"/>
      <c r="GF102" s="39"/>
      <c r="GG102" s="40"/>
      <c r="GH102" s="39"/>
      <c r="GI102" s="40"/>
      <c r="GJ102" s="39"/>
      <c r="GK102" s="40"/>
      <c r="GL102" s="39"/>
      <c r="GM102" s="40"/>
      <c r="GN102" s="39"/>
      <c r="GO102" s="40"/>
      <c r="GP102" s="39"/>
      <c r="GQ102" s="40"/>
      <c r="GR102" s="39"/>
      <c r="GS102" s="40"/>
      <c r="GT102" s="39"/>
      <c r="GU102" s="40"/>
      <c r="GV102" s="39"/>
      <c r="GW102" s="40"/>
      <c r="GX102" s="39"/>
      <c r="GY102" s="40"/>
      <c r="GZ102" s="39"/>
      <c r="HA102" s="40"/>
      <c r="HB102" s="39"/>
      <c r="HC102" s="40"/>
      <c r="HD102" s="39"/>
      <c r="HE102" s="40"/>
      <c r="HF102" s="39"/>
      <c r="HG102" s="40"/>
      <c r="HH102" s="39"/>
      <c r="HI102" s="40"/>
      <c r="HJ102" s="39"/>
      <c r="HK102" s="40"/>
      <c r="HL102" s="39"/>
      <c r="HM102" s="40"/>
      <c r="HN102" s="39"/>
      <c r="HO102" s="40"/>
      <c r="HP102" s="39"/>
      <c r="HQ102" s="40"/>
      <c r="HR102" s="39"/>
      <c r="HS102" s="40"/>
      <c r="HT102" s="39"/>
      <c r="HU102" s="40"/>
      <c r="HV102" s="39"/>
      <c r="HW102" s="40"/>
      <c r="HX102" s="39"/>
      <c r="HY102" s="40"/>
      <c r="HZ102" s="39"/>
      <c r="IA102" s="40"/>
      <c r="IB102" s="39"/>
      <c r="IC102" s="1068"/>
      <c r="ID102" s="645"/>
      <c r="IE102" s="646"/>
      <c r="IF102" s="645"/>
      <c r="IG102" s="646"/>
      <c r="IH102" s="645"/>
      <c r="II102" s="646"/>
      <c r="IJ102" s="645"/>
      <c r="IK102" s="646"/>
      <c r="IL102" s="645"/>
      <c r="IM102" s="646"/>
      <c r="IN102" s="645"/>
      <c r="IO102" s="646"/>
      <c r="IP102" s="645"/>
      <c r="IQ102" s="646"/>
      <c r="IR102" s="645"/>
      <c r="IS102" s="646"/>
      <c r="IT102" s="645"/>
      <c r="IU102" s="646"/>
      <c r="IV102" s="645"/>
      <c r="IW102" s="646"/>
      <c r="IX102" s="645"/>
      <c r="IY102" s="646"/>
      <c r="IZ102" s="645"/>
      <c r="JA102" s="646"/>
      <c r="JB102" s="645"/>
      <c r="JC102" s="646"/>
      <c r="JD102" s="645"/>
      <c r="JE102" s="646"/>
      <c r="JF102" s="645"/>
      <c r="JG102" s="646"/>
      <c r="JH102" s="645"/>
      <c r="JI102" s="646"/>
      <c r="JJ102" s="645"/>
      <c r="JK102" s="646"/>
      <c r="JL102" s="645"/>
      <c r="JM102" s="646"/>
      <c r="JN102" s="645"/>
      <c r="JO102" s="646"/>
      <c r="JP102" s="645"/>
      <c r="JQ102" s="646"/>
      <c r="JR102" s="645"/>
      <c r="JS102" s="646"/>
      <c r="JT102" s="645"/>
      <c r="JU102" s="646"/>
      <c r="JV102" s="645"/>
      <c r="JW102" s="646"/>
      <c r="JX102" s="645"/>
      <c r="JY102" s="646"/>
      <c r="JZ102" s="645"/>
      <c r="KA102" s="646"/>
      <c r="KB102" s="645"/>
      <c r="KC102" s="646"/>
      <c r="KD102" s="645"/>
      <c r="KE102" s="646"/>
      <c r="KF102" s="645"/>
      <c r="KG102" s="646"/>
      <c r="KH102" s="645"/>
      <c r="KI102" s="646"/>
      <c r="KJ102" s="645"/>
      <c r="KK102" s="646"/>
      <c r="KL102" s="645"/>
      <c r="KM102" s="646"/>
      <c r="KN102" s="645"/>
      <c r="KO102" s="646"/>
      <c r="KP102" s="645"/>
      <c r="KQ102" s="646"/>
      <c r="KR102" s="645"/>
      <c r="KS102" s="646"/>
      <c r="KT102" s="645"/>
      <c r="KU102" s="646"/>
      <c r="KV102" s="645"/>
      <c r="KW102" s="646"/>
      <c r="KX102" s="645"/>
      <c r="KY102" s="646"/>
      <c r="KZ102" s="645"/>
      <c r="LA102" s="646"/>
      <c r="LB102" s="645"/>
      <c r="LC102" s="646"/>
      <c r="LD102" s="645"/>
      <c r="LE102" s="646"/>
      <c r="LF102" s="645"/>
      <c r="LG102" s="646"/>
      <c r="LH102" s="645"/>
      <c r="LI102" s="646"/>
      <c r="LJ102" s="645"/>
      <c r="LK102" s="646"/>
      <c r="LL102" s="645"/>
      <c r="LM102" s="646"/>
      <c r="LN102" s="645"/>
      <c r="LO102" s="646"/>
      <c r="LP102" s="645"/>
      <c r="LQ102" s="646"/>
      <c r="LR102" s="645"/>
      <c r="LS102" s="646"/>
      <c r="LT102" s="645"/>
      <c r="LU102" s="646"/>
      <c r="LV102" s="645"/>
      <c r="LW102" s="646"/>
      <c r="LX102" s="645"/>
      <c r="LY102" s="646"/>
      <c r="LZ102" s="645"/>
      <c r="MA102" s="646"/>
      <c r="MB102" s="645"/>
      <c r="MC102" s="646"/>
      <c r="MD102" s="645"/>
      <c r="ME102" s="646"/>
      <c r="MF102" s="645"/>
      <c r="MG102" s="646"/>
      <c r="MH102" s="645"/>
      <c r="MI102" s="646"/>
      <c r="MJ102" s="645"/>
      <c r="MK102" s="646"/>
      <c r="ML102" s="645"/>
      <c r="MM102" s="646"/>
      <c r="MN102" s="645"/>
      <c r="MO102" s="646"/>
      <c r="MP102" s="645"/>
      <c r="MQ102" s="646"/>
      <c r="MR102" s="645"/>
      <c r="MS102" s="646"/>
      <c r="MT102" s="645"/>
      <c r="MU102" s="646"/>
      <c r="MV102" s="645"/>
      <c r="MW102" s="646"/>
      <c r="MX102" s="645"/>
      <c r="MY102" s="646"/>
      <c r="MZ102" s="645"/>
      <c r="NA102" s="646"/>
      <c r="NB102" s="645"/>
      <c r="NC102" s="646"/>
      <c r="ND102" s="645"/>
      <c r="NE102" s="646"/>
      <c r="NF102" s="645"/>
      <c r="NG102" s="646"/>
      <c r="NH102" s="645"/>
      <c r="NI102" s="646"/>
      <c r="NJ102" s="645"/>
      <c r="NK102" s="646"/>
      <c r="NL102" s="645"/>
      <c r="NM102" s="646"/>
      <c r="NN102" s="645"/>
      <c r="NO102" s="646"/>
      <c r="NP102" s="645"/>
      <c r="NQ102" s="646"/>
      <c r="NR102" s="645"/>
      <c r="NS102" s="646"/>
      <c r="NT102" s="645"/>
      <c r="NU102" s="646"/>
      <c r="NV102" s="645"/>
      <c r="NW102" s="646"/>
      <c r="NX102" s="645"/>
      <c r="NY102" s="646"/>
      <c r="NZ102" s="645"/>
      <c r="OA102" s="646"/>
      <c r="OB102" s="645"/>
      <c r="OC102" s="646"/>
      <c r="OD102" s="645"/>
      <c r="OE102" s="646"/>
      <c r="OF102" s="645"/>
      <c r="OG102" s="646"/>
      <c r="OH102" s="645"/>
      <c r="OI102" s="646"/>
      <c r="OJ102" s="645"/>
      <c r="OK102" s="646"/>
      <c r="OL102" s="645"/>
      <c r="OM102" s="646"/>
      <c r="ON102" s="645"/>
      <c r="OO102" s="646"/>
      <c r="OP102" s="645"/>
      <c r="OQ102" s="646"/>
      <c r="OR102" s="645"/>
      <c r="OS102" s="646"/>
      <c r="OT102" s="645"/>
      <c r="OU102" s="646"/>
      <c r="OV102" s="645"/>
      <c r="OW102" s="646"/>
      <c r="OX102" s="645"/>
      <c r="OY102" s="646"/>
      <c r="OZ102" s="645"/>
      <c r="PA102" s="646"/>
      <c r="PB102" s="645"/>
      <c r="PC102" s="646"/>
      <c r="PD102" s="645"/>
      <c r="PE102" s="646"/>
      <c r="PF102" s="645"/>
      <c r="PG102" s="646"/>
      <c r="PH102" s="645"/>
      <c r="PI102" s="646"/>
      <c r="PJ102" s="645"/>
      <c r="PK102" s="646"/>
      <c r="PL102" s="645"/>
      <c r="PM102" s="646"/>
      <c r="PN102" s="645"/>
      <c r="PO102" s="646"/>
      <c r="PP102" s="645"/>
      <c r="PQ102" s="646"/>
      <c r="PR102" s="645"/>
      <c r="PS102" s="646"/>
      <c r="PT102" s="645"/>
      <c r="PU102" s="646"/>
      <c r="PV102" s="645"/>
      <c r="PW102" s="646"/>
      <c r="PX102" s="645"/>
      <c r="PY102" s="646"/>
      <c r="PZ102" s="645"/>
      <c r="QA102" s="646"/>
      <c r="QB102" s="645"/>
      <c r="QC102" s="646"/>
      <c r="QD102" s="645"/>
      <c r="QE102" s="646"/>
      <c r="QF102" s="645"/>
      <c r="QG102" s="646"/>
      <c r="QH102" s="645"/>
      <c r="QI102" s="646"/>
      <c r="QJ102" s="645"/>
      <c r="QK102" s="646"/>
      <c r="QL102" s="645"/>
      <c r="QM102" s="646"/>
      <c r="QN102" s="645"/>
      <c r="QO102" s="646"/>
      <c r="QP102" s="645"/>
      <c r="QQ102" s="646"/>
      <c r="QR102" s="645"/>
      <c r="QS102" s="646"/>
      <c r="QT102" s="645"/>
      <c r="QU102" s="646"/>
      <c r="QV102" s="645"/>
      <c r="QW102" s="646"/>
      <c r="QX102" s="645"/>
      <c r="QY102" s="646"/>
      <c r="QZ102" s="645"/>
      <c r="RA102" s="646"/>
      <c r="RB102" s="645"/>
      <c r="RC102" s="646"/>
      <c r="RD102" s="645"/>
      <c r="RE102" s="646"/>
      <c r="RF102" s="645"/>
      <c r="RG102" s="646"/>
      <c r="RH102" s="645"/>
      <c r="RI102" s="646"/>
      <c r="RJ102" s="645"/>
      <c r="RK102" s="646"/>
      <c r="RL102" s="645"/>
      <c r="RM102" s="646"/>
      <c r="RN102" s="645"/>
      <c r="RO102" s="646"/>
      <c r="RP102" s="645"/>
      <c r="RQ102" s="646"/>
      <c r="RR102" s="645"/>
      <c r="RS102" s="646"/>
      <c r="RT102" s="645"/>
      <c r="RU102" s="646"/>
      <c r="RV102" s="645"/>
      <c r="RW102" s="646"/>
      <c r="RX102" s="645"/>
      <c r="RY102" s="646"/>
      <c r="RZ102" s="645"/>
      <c r="SA102" s="646"/>
      <c r="SB102" s="645"/>
      <c r="SC102" s="646"/>
      <c r="SD102" s="645"/>
      <c r="SE102" s="646"/>
      <c r="SF102" s="645"/>
      <c r="SG102" s="646"/>
      <c r="SH102" s="645"/>
      <c r="SI102" s="646"/>
      <c r="SJ102" s="645"/>
      <c r="SK102" s="646"/>
      <c r="SL102" s="645"/>
      <c r="SM102" s="646"/>
      <c r="SN102" s="645"/>
      <c r="SO102" s="646"/>
      <c r="SP102" s="645"/>
      <c r="SQ102" s="646"/>
      <c r="SR102" s="645"/>
      <c r="SS102" s="646"/>
      <c r="ST102" s="645"/>
      <c r="SU102" s="646"/>
      <c r="SV102" s="645"/>
      <c r="SW102" s="646"/>
      <c r="SX102" s="645"/>
      <c r="SY102" s="646"/>
      <c r="SZ102" s="645"/>
      <c r="TA102" s="646"/>
      <c r="TB102" s="645"/>
      <c r="TC102" s="646"/>
      <c r="TD102" s="645"/>
      <c r="TE102" s="646"/>
      <c r="TF102" s="645"/>
      <c r="TG102" s="646"/>
      <c r="TH102" s="645"/>
      <c r="TI102" s="646"/>
      <c r="TJ102" s="645"/>
      <c r="TK102" s="646"/>
      <c r="TL102" s="645"/>
      <c r="TM102" s="646"/>
      <c r="TN102" s="645"/>
      <c r="TO102" s="646"/>
      <c r="TP102" s="645"/>
      <c r="TQ102" s="646"/>
      <c r="TR102" s="645"/>
      <c r="TS102" s="646"/>
      <c r="TT102" s="645"/>
      <c r="TU102" s="646"/>
      <c r="TV102" s="645"/>
      <c r="TW102" s="646"/>
      <c r="TX102" s="645"/>
      <c r="TY102" s="646"/>
      <c r="TZ102" s="645"/>
      <c r="UA102" s="646"/>
      <c r="UB102" s="645"/>
      <c r="UC102" s="646"/>
      <c r="UD102" s="645"/>
      <c r="UE102" s="646"/>
      <c r="UF102" s="645"/>
      <c r="UG102" s="646"/>
      <c r="UH102" s="645"/>
      <c r="UI102" s="646"/>
      <c r="UJ102" s="645"/>
      <c r="UK102" s="646"/>
      <c r="UL102" s="645"/>
      <c r="UM102" s="646"/>
      <c r="UN102" s="645"/>
      <c r="UO102" s="646"/>
      <c r="UP102" s="645"/>
      <c r="UQ102" s="646"/>
      <c r="UR102" s="645"/>
      <c r="US102" s="646"/>
      <c r="UT102" s="645"/>
      <c r="UU102" s="646"/>
      <c r="UV102" s="645"/>
      <c r="UW102" s="646"/>
      <c r="UX102" s="645"/>
      <c r="UY102" s="646"/>
      <c r="UZ102" s="645"/>
      <c r="VA102" s="646"/>
      <c r="VB102" s="645"/>
      <c r="VC102" s="646"/>
      <c r="VD102" s="645"/>
      <c r="VE102" s="646"/>
      <c r="VF102" s="645"/>
      <c r="VG102" s="646"/>
      <c r="VH102" s="645"/>
      <c r="VI102" s="646"/>
      <c r="VJ102" s="645"/>
      <c r="VK102" s="646"/>
      <c r="VL102" s="645"/>
      <c r="VM102" s="646"/>
      <c r="VN102" s="645"/>
      <c r="VO102" s="646"/>
      <c r="VP102" s="645"/>
      <c r="VQ102" s="646"/>
      <c r="VR102" s="645"/>
      <c r="VS102" s="646"/>
      <c r="VT102" s="645"/>
      <c r="VU102" s="646"/>
      <c r="VV102" s="645"/>
      <c r="VW102" s="646"/>
      <c r="VX102" s="645"/>
      <c r="VY102" s="646"/>
      <c r="VZ102" s="645"/>
      <c r="WA102" s="646"/>
      <c r="WB102" s="645"/>
      <c r="WC102" s="646"/>
      <c r="WD102" s="645"/>
      <c r="WE102" s="646"/>
      <c r="WF102" s="645"/>
      <c r="WG102" s="646"/>
      <c r="WH102" s="645"/>
      <c r="WI102" s="646"/>
      <c r="WJ102" s="645"/>
      <c r="WK102" s="646"/>
      <c r="WL102" s="645"/>
      <c r="WM102" s="646"/>
      <c r="WN102" s="645"/>
      <c r="WO102" s="646"/>
      <c r="WP102" s="645"/>
      <c r="WQ102" s="646"/>
      <c r="WR102" s="645"/>
      <c r="WS102" s="646"/>
      <c r="WT102" s="645"/>
      <c r="WU102" s="646"/>
      <c r="WV102" s="645"/>
      <c r="WW102" s="646"/>
      <c r="WX102" s="645"/>
      <c r="WY102" s="646"/>
      <c r="WZ102" s="645"/>
      <c r="XA102" s="646"/>
      <c r="XB102" s="645"/>
      <c r="XC102" s="646"/>
      <c r="XD102" s="645"/>
      <c r="XE102" s="646"/>
      <c r="XF102" s="645"/>
      <c r="XG102" s="646"/>
      <c r="XH102" s="645"/>
      <c r="XI102" s="646"/>
      <c r="XJ102" s="645"/>
      <c r="XK102" s="646"/>
      <c r="XL102" s="645"/>
      <c r="XM102" s="646"/>
      <c r="XN102" s="645"/>
      <c r="XO102" s="646"/>
      <c r="XP102" s="645"/>
      <c r="XQ102" s="646"/>
      <c r="XR102" s="645"/>
      <c r="XS102" s="646"/>
      <c r="XT102" s="645"/>
      <c r="XU102" s="646"/>
      <c r="XV102" s="645"/>
      <c r="XW102" s="646"/>
      <c r="XX102" s="645"/>
      <c r="XY102" s="646"/>
      <c r="XZ102" s="645"/>
      <c r="YA102" s="646"/>
      <c r="YB102" s="645"/>
      <c r="YC102" s="646"/>
      <c r="YD102" s="645"/>
      <c r="YE102" s="646"/>
      <c r="YF102" s="645"/>
      <c r="YG102" s="646"/>
      <c r="YH102" s="645"/>
      <c r="YI102" s="646"/>
      <c r="YJ102" s="645"/>
      <c r="YK102" s="646"/>
      <c r="YL102" s="645"/>
      <c r="YM102" s="646"/>
      <c r="YN102" s="645"/>
      <c r="YO102" s="646"/>
      <c r="YP102" s="645"/>
      <c r="YQ102" s="646"/>
      <c r="YR102" s="645"/>
      <c r="YS102" s="646"/>
      <c r="YT102" s="645"/>
      <c r="YU102" s="646"/>
      <c r="YV102" s="645"/>
      <c r="YW102" s="646"/>
      <c r="YX102" s="645"/>
      <c r="YY102" s="646"/>
      <c r="YZ102" s="645"/>
      <c r="ZA102" s="646"/>
      <c r="ZB102" s="645"/>
      <c r="ZC102" s="646"/>
      <c r="ZD102" s="645"/>
      <c r="ZE102" s="646"/>
      <c r="ZF102" s="645"/>
      <c r="ZG102" s="646"/>
      <c r="ZH102" s="645"/>
      <c r="ZI102" s="646"/>
      <c r="ZJ102" s="645"/>
      <c r="ZK102" s="646"/>
      <c r="ZL102" s="645"/>
      <c r="ZM102" s="646"/>
      <c r="ZN102" s="645"/>
      <c r="ZO102" s="646"/>
      <c r="ZP102" s="645"/>
      <c r="ZQ102" s="646"/>
      <c r="ZR102" s="645"/>
      <c r="ZS102" s="646"/>
      <c r="ZT102" s="645"/>
      <c r="ZU102" s="646"/>
      <c r="ZV102" s="645"/>
      <c r="ZW102" s="646"/>
      <c r="ZX102" s="645"/>
      <c r="ZY102" s="646"/>
      <c r="ZZ102" s="645"/>
      <c r="AAA102" s="646"/>
      <c r="AAB102" s="645"/>
      <c r="AAC102" s="646"/>
      <c r="AAD102" s="645"/>
      <c r="AAE102" s="646"/>
      <c r="AAF102" s="645"/>
      <c r="AAG102" s="646"/>
      <c r="AAH102" s="645"/>
      <c r="AAI102" s="646"/>
      <c r="AAJ102" s="645"/>
      <c r="AAK102" s="646"/>
      <c r="AAL102" s="645"/>
      <c r="AAM102" s="646"/>
      <c r="AAN102" s="645"/>
      <c r="AAO102" s="646"/>
      <c r="AAP102" s="645"/>
      <c r="AAQ102" s="646"/>
      <c r="AAR102" s="645"/>
      <c r="AAS102" s="646"/>
      <c r="AAT102" s="645"/>
      <c r="AAU102" s="646"/>
      <c r="AAV102" s="645"/>
      <c r="AAW102" s="646"/>
      <c r="AAX102" s="645"/>
      <c r="AAY102" s="646"/>
      <c r="AAZ102" s="645"/>
      <c r="ABA102" s="646"/>
      <c r="ABB102" s="645"/>
      <c r="ABC102" s="646"/>
      <c r="ABD102" s="645"/>
      <c r="ABE102" s="646"/>
      <c r="ABF102" s="645"/>
      <c r="ABG102" s="646"/>
      <c r="ABH102" s="645"/>
      <c r="ABI102" s="646"/>
      <c r="ABJ102" s="645"/>
      <c r="ABK102" s="646"/>
      <c r="ABL102" s="645"/>
      <c r="ABM102" s="646"/>
      <c r="ABN102" s="645"/>
      <c r="ABO102" s="646"/>
      <c r="ABP102" s="645"/>
      <c r="ABQ102" s="646"/>
      <c r="ABR102" s="645"/>
      <c r="ABS102" s="646"/>
      <c r="ABT102" s="645"/>
      <c r="ABU102" s="646"/>
      <c r="ABV102" s="645"/>
      <c r="ABW102" s="646"/>
      <c r="ABX102" s="645"/>
      <c r="ABY102" s="646"/>
      <c r="ABZ102" s="645"/>
      <c r="ACA102" s="646"/>
      <c r="ACB102" s="645"/>
      <c r="ACC102" s="646"/>
      <c r="ACD102" s="645"/>
      <c r="ACE102" s="646"/>
      <c r="ACF102" s="645"/>
      <c r="ACG102" s="646"/>
      <c r="ACH102" s="645"/>
      <c r="ACI102" s="646"/>
      <c r="ACJ102" s="645"/>
      <c r="ACK102" s="646"/>
      <c r="ACL102" s="645"/>
      <c r="ACM102" s="646"/>
      <c r="ACN102" s="645"/>
      <c r="ACO102" s="646"/>
      <c r="ACP102" s="645"/>
      <c r="ACQ102" s="646"/>
      <c r="ACR102" s="645"/>
      <c r="ACS102" s="646"/>
      <c r="ACT102" s="645"/>
      <c r="ACU102" s="646"/>
      <c r="ACV102" s="645"/>
      <c r="ACW102" s="646"/>
      <c r="ACX102" s="645"/>
      <c r="ACY102" s="646"/>
      <c r="ACZ102" s="645"/>
      <c r="ADA102" s="646"/>
      <c r="ADB102" s="645"/>
      <c r="ADC102" s="646"/>
      <c r="ADD102" s="645"/>
      <c r="ADE102" s="646"/>
      <c r="ADF102" s="645"/>
      <c r="ADG102" s="646"/>
      <c r="ADH102" s="645"/>
      <c r="ADI102" s="646"/>
      <c r="ADJ102" s="645"/>
      <c r="ADK102" s="646"/>
      <c r="ADL102" s="645"/>
      <c r="ADM102" s="646"/>
      <c r="ADN102" s="645"/>
      <c r="ADO102" s="646"/>
      <c r="ADP102" s="645"/>
      <c r="ADQ102" s="646"/>
      <c r="ADR102" s="645"/>
      <c r="ADS102" s="646"/>
      <c r="ADT102" s="645"/>
      <c r="ADU102" s="646"/>
      <c r="ADV102" s="645"/>
      <c r="ADW102" s="646"/>
      <c r="ADX102" s="645"/>
      <c r="ADY102" s="646"/>
      <c r="ADZ102" s="645"/>
      <c r="AEA102" s="646"/>
      <c r="AEB102" s="645"/>
      <c r="AEC102" s="646"/>
      <c r="AED102" s="645"/>
      <c r="AEE102" s="646"/>
      <c r="AEF102" s="645"/>
      <c r="AEG102" s="646"/>
      <c r="AEH102" s="645"/>
      <c r="AEI102" s="646"/>
      <c r="AEJ102" s="645"/>
      <c r="AEK102" s="646"/>
      <c r="AEL102" s="645"/>
      <c r="AEM102" s="646"/>
      <c r="AEN102" s="645"/>
      <c r="AEO102" s="646"/>
      <c r="AEP102" s="645"/>
      <c r="AEQ102" s="646"/>
      <c r="AER102" s="645"/>
      <c r="AES102" s="646"/>
      <c r="AET102" s="645"/>
      <c r="AEU102" s="646"/>
      <c r="AEV102" s="645"/>
      <c r="AEW102" s="646"/>
      <c r="AEX102" s="645"/>
      <c r="AEY102" s="646"/>
      <c r="AEZ102" s="645"/>
      <c r="AFA102" s="646"/>
      <c r="AFB102" s="645"/>
      <c r="AFC102" s="646"/>
      <c r="AFD102" s="645"/>
      <c r="AFE102" s="646"/>
      <c r="AFF102" s="645"/>
      <c r="AFG102" s="646"/>
      <c r="AFH102" s="645"/>
      <c r="AFI102" s="646"/>
      <c r="AFJ102" s="645"/>
      <c r="AFK102" s="646"/>
      <c r="AFL102" s="645"/>
      <c r="AFM102" s="646"/>
      <c r="AFN102" s="645"/>
      <c r="AFO102" s="646"/>
      <c r="AFP102" s="645"/>
      <c r="AFQ102" s="646"/>
      <c r="AFR102" s="645"/>
      <c r="AFS102" s="646"/>
      <c r="AFT102" s="645"/>
      <c r="AFU102" s="646"/>
      <c r="AFV102" s="645"/>
      <c r="AFW102" s="646"/>
      <c r="AFX102" s="645"/>
      <c r="AFY102" s="646"/>
      <c r="AFZ102" s="645"/>
      <c r="AGA102" s="646"/>
      <c r="AGB102" s="645"/>
      <c r="AGC102" s="646"/>
      <c r="AGD102" s="645"/>
      <c r="AGE102" s="646"/>
      <c r="AGF102" s="645"/>
      <c r="AGG102" s="646"/>
      <c r="AGH102" s="645"/>
      <c r="AGI102" s="646"/>
      <c r="AGJ102" s="645"/>
      <c r="AGK102" s="646"/>
      <c r="AGL102" s="645"/>
      <c r="AGM102" s="646"/>
      <c r="AGN102" s="645"/>
      <c r="AGO102" s="646"/>
      <c r="AGP102" s="645"/>
      <c r="AGQ102" s="646"/>
      <c r="AGR102" s="645"/>
      <c r="AGS102" s="646"/>
      <c r="AGT102" s="645"/>
      <c r="AGU102" s="646"/>
      <c r="AGV102" s="645"/>
      <c r="AGW102" s="646"/>
      <c r="AGX102" s="645"/>
      <c r="AGY102" s="646"/>
      <c r="AGZ102" s="645"/>
      <c r="AHA102" s="646"/>
      <c r="AHB102" s="645"/>
      <c r="AHC102" s="646"/>
      <c r="AHD102" s="645"/>
      <c r="AHE102" s="646"/>
      <c r="AHF102" s="645"/>
      <c r="AHG102" s="646"/>
      <c r="AHH102" s="645"/>
      <c r="AHI102" s="646"/>
      <c r="AHJ102" s="645"/>
      <c r="AHK102" s="646"/>
      <c r="AHL102" s="645"/>
      <c r="AHM102" s="646"/>
      <c r="AHN102" s="645"/>
      <c r="AHO102" s="646"/>
      <c r="AHP102" s="645"/>
      <c r="AHQ102" s="646"/>
      <c r="AHR102" s="645"/>
      <c r="AHS102" s="646"/>
      <c r="AHT102" s="645"/>
      <c r="AHU102" s="646"/>
      <c r="AHV102" s="645"/>
      <c r="AHW102" s="646"/>
      <c r="AHX102" s="645"/>
      <c r="AHY102" s="646"/>
      <c r="AHZ102" s="645"/>
      <c r="AIA102" s="646"/>
      <c r="AIB102" s="645"/>
      <c r="AIC102" s="646"/>
      <c r="AID102" s="645"/>
      <c r="AIE102" s="646"/>
      <c r="AIF102" s="645"/>
      <c r="AIG102" s="646"/>
      <c r="AIH102" s="645"/>
      <c r="AII102" s="646"/>
      <c r="AIJ102" s="645"/>
      <c r="AIK102" s="646"/>
      <c r="AIL102" s="645"/>
      <c r="AIM102" s="646"/>
      <c r="AIN102" s="645"/>
      <c r="AIO102" s="646"/>
      <c r="AIP102" s="645"/>
      <c r="AIQ102" s="645"/>
      <c r="AIR102" s="645"/>
      <c r="AIS102" s="645"/>
      <c r="AIT102" s="645"/>
      <c r="AIU102" s="645"/>
      <c r="AIV102" s="645"/>
      <c r="AIW102" s="645"/>
      <c r="AIX102" s="645"/>
      <c r="AIY102" s="645"/>
      <c r="AIZ102" s="645"/>
      <c r="AJA102" s="645"/>
      <c r="AJB102" s="645"/>
      <c r="AJC102" s="645"/>
      <c r="AJD102" s="645"/>
      <c r="AJE102" s="645"/>
      <c r="AJF102" s="645"/>
      <c r="AJG102" s="645"/>
      <c r="AJH102" s="645"/>
      <c r="AJI102" s="645"/>
      <c r="AJJ102" s="645"/>
      <c r="AJK102" s="645"/>
      <c r="AJL102" s="645"/>
      <c r="AJM102" s="645"/>
      <c r="AJN102" s="645"/>
      <c r="AJO102" s="645"/>
      <c r="AJP102" s="645"/>
      <c r="AJQ102" s="645"/>
      <c r="AJR102" s="645"/>
      <c r="AJS102" s="645"/>
      <c r="AJT102" s="645"/>
      <c r="AJU102" s="645"/>
      <c r="AJV102" s="645"/>
      <c r="AJW102" s="645"/>
      <c r="AJX102" s="645"/>
      <c r="AJY102" s="645"/>
      <c r="AJZ102" s="645"/>
      <c r="AKA102" s="645"/>
      <c r="AKB102" s="645"/>
      <c r="AKC102" s="645"/>
      <c r="AKD102" s="645"/>
      <c r="AKE102" s="645"/>
      <c r="AKF102" s="645"/>
      <c r="AKG102" s="645"/>
      <c r="AKH102" s="645"/>
      <c r="AKI102" s="645"/>
      <c r="AKJ102" s="645"/>
      <c r="AKK102" s="645"/>
      <c r="AKL102" s="645"/>
      <c r="AKM102" s="645"/>
      <c r="AKN102" s="645"/>
      <c r="AKO102" s="645"/>
      <c r="AKP102" s="645"/>
      <c r="AKQ102" s="645"/>
      <c r="AKR102" s="645"/>
      <c r="AKS102" s="645"/>
      <c r="AKT102" s="645"/>
      <c r="AKU102" s="645"/>
      <c r="AKV102" s="645"/>
      <c r="AKW102" s="645"/>
      <c r="AKX102" s="645"/>
      <c r="AKY102" s="645"/>
      <c r="AKZ102" s="645"/>
      <c r="ALA102" s="645"/>
      <c r="ALB102" s="645"/>
      <c r="ALC102" s="645"/>
      <c r="ALD102" s="645"/>
      <c r="ALE102" s="645"/>
      <c r="ALF102" s="645"/>
      <c r="ALG102" s="645"/>
      <c r="ALH102" s="645"/>
      <c r="ALI102" s="645"/>
      <c r="ALJ102" s="645"/>
      <c r="ALK102" s="645"/>
      <c r="ALL102" s="645"/>
      <c r="ALM102" s="645"/>
      <c r="ALN102" s="645"/>
      <c r="ALO102" s="645"/>
      <c r="ALP102" s="645"/>
      <c r="ALQ102" s="645"/>
      <c r="ALR102" s="645"/>
      <c r="ALS102" s="645"/>
      <c r="ALT102" s="645"/>
      <c r="ALU102" s="645"/>
      <c r="ALV102" s="645"/>
      <c r="ALW102" s="645"/>
      <c r="ALX102" s="645"/>
      <c r="ALY102" s="645"/>
      <c r="ALZ102" s="645"/>
      <c r="AMA102" s="645"/>
      <c r="AMB102" s="645"/>
      <c r="AMC102" s="645"/>
      <c r="AMD102" s="645"/>
      <c r="AME102" s="645"/>
      <c r="AMF102" s="645"/>
      <c r="AMG102" s="645"/>
      <c r="AMH102" s="645"/>
      <c r="AMI102" s="645"/>
      <c r="AMJ102" s="645"/>
    </row>
    <row r="103" spans="1:1024" s="37" customFormat="1" ht="15.75" customHeight="1" x14ac:dyDescent="0.35">
      <c r="A103" s="600"/>
      <c r="B103" s="644" t="s">
        <v>357</v>
      </c>
      <c r="C103" s="645"/>
      <c r="D103" s="646"/>
      <c r="E103" s="645"/>
      <c r="F103" s="646"/>
      <c r="G103" s="647" t="s">
        <v>243</v>
      </c>
      <c r="H103" s="643"/>
      <c r="I103" s="645"/>
      <c r="J103" s="38"/>
      <c r="K103" s="38"/>
      <c r="L103" s="39"/>
      <c r="M103" s="38"/>
      <c r="N103" s="39"/>
      <c r="O103" s="38"/>
      <c r="P103" s="39"/>
      <c r="Q103" s="38"/>
      <c r="R103" s="39"/>
      <c r="S103" s="38"/>
      <c r="T103" s="39"/>
      <c r="U103" s="38"/>
      <c r="V103" s="39"/>
      <c r="W103" s="38"/>
      <c r="X103" s="39"/>
      <c r="Y103" s="38"/>
      <c r="Z103" s="39"/>
      <c r="AA103" s="38"/>
      <c r="AB103" s="39"/>
      <c r="AC103" s="38"/>
      <c r="AD103" s="39"/>
      <c r="AE103" s="38"/>
      <c r="AF103" s="39"/>
      <c r="AG103" s="38"/>
      <c r="AH103" s="39"/>
      <c r="AI103" s="38"/>
      <c r="AJ103" s="39"/>
      <c r="AK103" s="40"/>
      <c r="AL103" s="39"/>
      <c r="AM103" s="40"/>
      <c r="AN103" s="39"/>
      <c r="AO103" s="40"/>
      <c r="AP103" s="39"/>
      <c r="AQ103" s="40"/>
      <c r="AR103" s="39"/>
      <c r="AS103" s="40"/>
      <c r="AT103" s="39"/>
      <c r="AU103" s="40"/>
      <c r="AV103" s="39"/>
      <c r="AW103" s="40"/>
      <c r="AX103" s="39"/>
      <c r="AY103" s="40"/>
      <c r="AZ103" s="39"/>
      <c r="BA103" s="40"/>
      <c r="BB103" s="39"/>
      <c r="BC103" s="40"/>
      <c r="BD103" s="39"/>
      <c r="BE103" s="40"/>
      <c r="BF103" s="39"/>
      <c r="BG103" s="40"/>
      <c r="BH103" s="39"/>
      <c r="BI103" s="40"/>
      <c r="BJ103" s="39"/>
      <c r="BK103" s="40"/>
      <c r="BL103" s="39"/>
      <c r="BM103" s="40"/>
      <c r="BN103" s="39"/>
      <c r="BO103" s="40"/>
      <c r="BP103" s="39"/>
      <c r="BQ103" s="40"/>
      <c r="BR103" s="39"/>
      <c r="BS103" s="40"/>
      <c r="BT103" s="39"/>
      <c r="BU103" s="40"/>
      <c r="BV103" s="39"/>
      <c r="BW103" s="40"/>
      <c r="BX103" s="39"/>
      <c r="BY103" s="40"/>
      <c r="BZ103" s="39"/>
      <c r="CA103" s="40"/>
      <c r="CB103" s="39"/>
      <c r="CC103" s="40"/>
      <c r="CD103" s="39"/>
      <c r="CE103" s="40"/>
      <c r="CF103" s="39"/>
      <c r="CG103" s="40"/>
      <c r="CH103" s="39"/>
      <c r="CI103" s="40"/>
      <c r="CJ103" s="39"/>
      <c r="CK103" s="40"/>
      <c r="CL103" s="39"/>
      <c r="CM103" s="40"/>
      <c r="CN103" s="39"/>
      <c r="CO103" s="40"/>
      <c r="CP103" s="39"/>
      <c r="CQ103" s="40"/>
      <c r="CR103" s="39"/>
      <c r="CS103" s="40"/>
      <c r="CT103" s="39"/>
      <c r="CU103" s="40"/>
      <c r="CV103" s="39"/>
      <c r="CW103" s="40"/>
      <c r="CX103" s="39"/>
      <c r="CY103" s="40"/>
      <c r="CZ103" s="39"/>
      <c r="DA103" s="40"/>
      <c r="DB103" s="39"/>
      <c r="DC103" s="40"/>
      <c r="DD103" s="39"/>
      <c r="DE103" s="40"/>
      <c r="DF103" s="39"/>
      <c r="DG103" s="40"/>
      <c r="DH103" s="39"/>
      <c r="DI103" s="40"/>
      <c r="DJ103" s="39"/>
      <c r="DK103" s="40"/>
      <c r="DL103" s="39"/>
      <c r="DM103" s="40"/>
      <c r="DN103" s="39"/>
      <c r="DO103" s="40"/>
      <c r="DP103" s="39"/>
      <c r="DQ103" s="40"/>
      <c r="DR103" s="39"/>
      <c r="DS103" s="40"/>
      <c r="DT103" s="39"/>
      <c r="DU103" s="40"/>
      <c r="DV103" s="39"/>
      <c r="DW103" s="40"/>
      <c r="DX103" s="39"/>
      <c r="DY103" s="40"/>
      <c r="DZ103" s="39"/>
      <c r="EA103" s="40"/>
      <c r="EB103" s="39"/>
      <c r="EC103" s="40"/>
      <c r="ED103" s="39"/>
      <c r="EE103" s="40"/>
      <c r="EF103" s="39"/>
      <c r="EG103" s="40"/>
      <c r="EH103" s="39"/>
      <c r="EI103" s="40"/>
      <c r="EJ103" s="39"/>
      <c r="EK103" s="40"/>
      <c r="EL103" s="39"/>
      <c r="EM103" s="40"/>
      <c r="EN103" s="39"/>
      <c r="EO103" s="40"/>
      <c r="EP103" s="39"/>
      <c r="EQ103" s="40"/>
      <c r="ER103" s="39"/>
      <c r="ES103" s="40"/>
      <c r="ET103" s="39"/>
      <c r="EU103" s="40"/>
      <c r="EV103" s="39"/>
      <c r="EW103" s="40"/>
      <c r="EX103" s="39"/>
      <c r="EY103" s="40"/>
      <c r="EZ103" s="39"/>
      <c r="FA103" s="40"/>
      <c r="FB103" s="39"/>
      <c r="FC103" s="40"/>
      <c r="FD103" s="39"/>
      <c r="FE103" s="40"/>
      <c r="FF103" s="39"/>
      <c r="FG103" s="40"/>
      <c r="FH103" s="39"/>
      <c r="FI103" s="40"/>
      <c r="FJ103" s="39"/>
      <c r="FK103" s="40"/>
      <c r="FL103" s="39"/>
      <c r="FM103" s="40"/>
      <c r="FN103" s="39"/>
      <c r="FO103" s="40"/>
      <c r="FP103" s="39"/>
      <c r="FQ103" s="40"/>
      <c r="FR103" s="39"/>
      <c r="FS103" s="40"/>
      <c r="FT103" s="39"/>
      <c r="FU103" s="40"/>
      <c r="FV103" s="39"/>
      <c r="FW103" s="40"/>
      <c r="FX103" s="39"/>
      <c r="FY103" s="40"/>
      <c r="FZ103" s="39"/>
      <c r="GA103" s="40"/>
      <c r="GB103" s="39"/>
      <c r="GC103" s="40"/>
      <c r="GD103" s="39"/>
      <c r="GE103" s="40"/>
      <c r="GF103" s="39"/>
      <c r="GG103" s="40"/>
      <c r="GH103" s="39"/>
      <c r="GI103" s="40"/>
      <c r="GJ103" s="39"/>
      <c r="GK103" s="40"/>
      <c r="GL103" s="39"/>
      <c r="GM103" s="40"/>
      <c r="GN103" s="39"/>
      <c r="GO103" s="40"/>
      <c r="GP103" s="39"/>
      <c r="GQ103" s="40"/>
      <c r="GR103" s="39"/>
      <c r="GS103" s="40"/>
      <c r="GT103" s="39"/>
      <c r="GU103" s="40"/>
      <c r="GV103" s="39"/>
      <c r="GW103" s="40"/>
      <c r="GX103" s="39"/>
      <c r="GY103" s="40"/>
      <c r="GZ103" s="39"/>
      <c r="HA103" s="40"/>
      <c r="HB103" s="39"/>
      <c r="HC103" s="40"/>
      <c r="HD103" s="39"/>
      <c r="HE103" s="40"/>
      <c r="HF103" s="39"/>
      <c r="HG103" s="40"/>
      <c r="HH103" s="39"/>
      <c r="HI103" s="40"/>
      <c r="HJ103" s="39"/>
      <c r="HK103" s="40"/>
      <c r="HL103" s="39"/>
      <c r="HM103" s="40"/>
      <c r="HN103" s="39"/>
      <c r="HO103" s="40"/>
      <c r="HP103" s="39"/>
      <c r="HQ103" s="40"/>
      <c r="HR103" s="39"/>
      <c r="HS103" s="40"/>
      <c r="HT103" s="39"/>
      <c r="HU103" s="40"/>
      <c r="HV103" s="39"/>
      <c r="HW103" s="40"/>
      <c r="HX103" s="39"/>
      <c r="HY103" s="40"/>
      <c r="HZ103" s="39"/>
      <c r="IA103" s="40"/>
      <c r="IB103" s="39"/>
      <c r="IC103" s="1068"/>
      <c r="ID103" s="645"/>
      <c r="IE103" s="646"/>
      <c r="IF103" s="645"/>
      <c r="IG103" s="646"/>
      <c r="IH103" s="645"/>
      <c r="II103" s="646"/>
      <c r="IJ103" s="645"/>
      <c r="IK103" s="646"/>
      <c r="IL103" s="645"/>
      <c r="IM103" s="646"/>
      <c r="IN103" s="645"/>
      <c r="IO103" s="646"/>
      <c r="IP103" s="645"/>
      <c r="IQ103" s="646"/>
      <c r="IR103" s="645"/>
      <c r="IS103" s="646"/>
      <c r="IT103" s="645"/>
      <c r="IU103" s="646"/>
      <c r="IV103" s="645"/>
      <c r="IW103" s="646"/>
      <c r="IX103" s="645"/>
      <c r="IY103" s="646"/>
      <c r="IZ103" s="645"/>
      <c r="JA103" s="646"/>
      <c r="JB103" s="645"/>
      <c r="JC103" s="646"/>
      <c r="JD103" s="645"/>
      <c r="JE103" s="646"/>
      <c r="JF103" s="645"/>
      <c r="JG103" s="646"/>
      <c r="JH103" s="645"/>
      <c r="JI103" s="646"/>
      <c r="JJ103" s="645"/>
      <c r="JK103" s="646"/>
      <c r="JL103" s="645"/>
      <c r="JM103" s="646"/>
      <c r="JN103" s="645"/>
      <c r="JO103" s="646"/>
      <c r="JP103" s="645"/>
      <c r="JQ103" s="646"/>
      <c r="JR103" s="645"/>
      <c r="JS103" s="646"/>
      <c r="JT103" s="645"/>
      <c r="JU103" s="646"/>
      <c r="JV103" s="645"/>
      <c r="JW103" s="646"/>
      <c r="JX103" s="645"/>
      <c r="JY103" s="646"/>
      <c r="JZ103" s="645"/>
      <c r="KA103" s="646"/>
      <c r="KB103" s="645"/>
      <c r="KC103" s="646"/>
      <c r="KD103" s="645"/>
      <c r="KE103" s="646"/>
      <c r="KF103" s="645"/>
      <c r="KG103" s="646"/>
      <c r="KH103" s="645"/>
      <c r="KI103" s="646"/>
      <c r="KJ103" s="645"/>
      <c r="KK103" s="646"/>
      <c r="KL103" s="645"/>
      <c r="KM103" s="646"/>
      <c r="KN103" s="645"/>
      <c r="KO103" s="646"/>
      <c r="KP103" s="645"/>
      <c r="KQ103" s="646"/>
      <c r="KR103" s="645"/>
      <c r="KS103" s="646"/>
      <c r="KT103" s="645"/>
      <c r="KU103" s="646"/>
      <c r="KV103" s="645"/>
      <c r="KW103" s="646"/>
      <c r="KX103" s="645"/>
      <c r="KY103" s="646"/>
      <c r="KZ103" s="645"/>
      <c r="LA103" s="646"/>
      <c r="LB103" s="645"/>
      <c r="LC103" s="646"/>
      <c r="LD103" s="645"/>
      <c r="LE103" s="646"/>
      <c r="LF103" s="645"/>
      <c r="LG103" s="646"/>
      <c r="LH103" s="645"/>
      <c r="LI103" s="646"/>
      <c r="LJ103" s="645"/>
      <c r="LK103" s="646"/>
      <c r="LL103" s="645"/>
      <c r="LM103" s="646"/>
      <c r="LN103" s="645"/>
      <c r="LO103" s="646"/>
      <c r="LP103" s="645"/>
      <c r="LQ103" s="646"/>
      <c r="LR103" s="645"/>
      <c r="LS103" s="646"/>
      <c r="LT103" s="645"/>
      <c r="LU103" s="646"/>
      <c r="LV103" s="645"/>
      <c r="LW103" s="646"/>
      <c r="LX103" s="645"/>
      <c r="LY103" s="646"/>
      <c r="LZ103" s="645"/>
      <c r="MA103" s="646"/>
      <c r="MB103" s="645"/>
      <c r="MC103" s="646"/>
      <c r="MD103" s="645"/>
      <c r="ME103" s="646"/>
      <c r="MF103" s="645"/>
      <c r="MG103" s="646"/>
      <c r="MH103" s="645"/>
      <c r="MI103" s="646"/>
      <c r="MJ103" s="645"/>
      <c r="MK103" s="646"/>
      <c r="ML103" s="645"/>
      <c r="MM103" s="646"/>
      <c r="MN103" s="645"/>
      <c r="MO103" s="646"/>
      <c r="MP103" s="645"/>
      <c r="MQ103" s="646"/>
      <c r="MR103" s="645"/>
      <c r="MS103" s="646"/>
      <c r="MT103" s="645"/>
      <c r="MU103" s="646"/>
      <c r="MV103" s="645"/>
      <c r="MW103" s="646"/>
      <c r="MX103" s="645"/>
      <c r="MY103" s="646"/>
      <c r="MZ103" s="645"/>
      <c r="NA103" s="646"/>
      <c r="NB103" s="645"/>
      <c r="NC103" s="646"/>
      <c r="ND103" s="645"/>
      <c r="NE103" s="646"/>
      <c r="NF103" s="645"/>
      <c r="NG103" s="646"/>
      <c r="NH103" s="645"/>
      <c r="NI103" s="646"/>
      <c r="NJ103" s="645"/>
      <c r="NK103" s="646"/>
      <c r="NL103" s="645"/>
      <c r="NM103" s="646"/>
      <c r="NN103" s="645"/>
      <c r="NO103" s="646"/>
      <c r="NP103" s="645"/>
      <c r="NQ103" s="646"/>
      <c r="NR103" s="645"/>
      <c r="NS103" s="646"/>
      <c r="NT103" s="645"/>
      <c r="NU103" s="646"/>
      <c r="NV103" s="645"/>
      <c r="NW103" s="646"/>
      <c r="NX103" s="645"/>
      <c r="NY103" s="646"/>
      <c r="NZ103" s="645"/>
      <c r="OA103" s="646"/>
      <c r="OB103" s="645"/>
      <c r="OC103" s="646"/>
      <c r="OD103" s="645"/>
      <c r="OE103" s="646"/>
      <c r="OF103" s="645"/>
      <c r="OG103" s="646"/>
      <c r="OH103" s="645"/>
      <c r="OI103" s="646"/>
      <c r="OJ103" s="645"/>
      <c r="OK103" s="646"/>
      <c r="OL103" s="645"/>
      <c r="OM103" s="646"/>
      <c r="ON103" s="645"/>
      <c r="OO103" s="646"/>
      <c r="OP103" s="645"/>
      <c r="OQ103" s="646"/>
      <c r="OR103" s="645"/>
      <c r="OS103" s="646"/>
      <c r="OT103" s="645"/>
      <c r="OU103" s="646"/>
      <c r="OV103" s="645"/>
      <c r="OW103" s="646"/>
      <c r="OX103" s="645"/>
      <c r="OY103" s="646"/>
      <c r="OZ103" s="645"/>
      <c r="PA103" s="646"/>
      <c r="PB103" s="645"/>
      <c r="PC103" s="646"/>
      <c r="PD103" s="645"/>
      <c r="PE103" s="646"/>
      <c r="PF103" s="645"/>
      <c r="PG103" s="646"/>
      <c r="PH103" s="645"/>
      <c r="PI103" s="646"/>
      <c r="PJ103" s="645"/>
      <c r="PK103" s="646"/>
      <c r="PL103" s="645"/>
      <c r="PM103" s="646"/>
      <c r="PN103" s="645"/>
      <c r="PO103" s="646"/>
      <c r="PP103" s="645"/>
      <c r="PQ103" s="646"/>
      <c r="PR103" s="645"/>
      <c r="PS103" s="646"/>
      <c r="PT103" s="645"/>
      <c r="PU103" s="646"/>
      <c r="PV103" s="645"/>
      <c r="PW103" s="646"/>
      <c r="PX103" s="645"/>
      <c r="PY103" s="646"/>
      <c r="PZ103" s="645"/>
      <c r="QA103" s="646"/>
      <c r="QB103" s="645"/>
      <c r="QC103" s="646"/>
      <c r="QD103" s="645"/>
      <c r="QE103" s="646"/>
      <c r="QF103" s="645"/>
      <c r="QG103" s="646"/>
      <c r="QH103" s="645"/>
      <c r="QI103" s="646"/>
      <c r="QJ103" s="645"/>
      <c r="QK103" s="646"/>
      <c r="QL103" s="645"/>
      <c r="QM103" s="646"/>
      <c r="QN103" s="645"/>
      <c r="QO103" s="646"/>
      <c r="QP103" s="645"/>
      <c r="QQ103" s="646"/>
      <c r="QR103" s="645"/>
      <c r="QS103" s="646"/>
      <c r="QT103" s="645"/>
      <c r="QU103" s="646"/>
      <c r="QV103" s="645"/>
      <c r="QW103" s="646"/>
      <c r="QX103" s="645"/>
      <c r="QY103" s="646"/>
      <c r="QZ103" s="645"/>
      <c r="RA103" s="646"/>
      <c r="RB103" s="645"/>
      <c r="RC103" s="646"/>
      <c r="RD103" s="645"/>
      <c r="RE103" s="646"/>
      <c r="RF103" s="645"/>
      <c r="RG103" s="646"/>
      <c r="RH103" s="645"/>
      <c r="RI103" s="646"/>
      <c r="RJ103" s="645"/>
      <c r="RK103" s="646"/>
      <c r="RL103" s="645"/>
      <c r="RM103" s="646"/>
      <c r="RN103" s="645"/>
      <c r="RO103" s="646"/>
      <c r="RP103" s="645"/>
      <c r="RQ103" s="646"/>
      <c r="RR103" s="645"/>
      <c r="RS103" s="646"/>
      <c r="RT103" s="645"/>
      <c r="RU103" s="646"/>
      <c r="RV103" s="645"/>
      <c r="RW103" s="646"/>
      <c r="RX103" s="645"/>
      <c r="RY103" s="646"/>
      <c r="RZ103" s="645"/>
      <c r="SA103" s="646"/>
      <c r="SB103" s="645"/>
      <c r="SC103" s="646"/>
      <c r="SD103" s="645"/>
      <c r="SE103" s="646"/>
      <c r="SF103" s="645"/>
      <c r="SG103" s="646"/>
      <c r="SH103" s="645"/>
      <c r="SI103" s="646"/>
      <c r="SJ103" s="645"/>
      <c r="SK103" s="646"/>
      <c r="SL103" s="645"/>
      <c r="SM103" s="646"/>
      <c r="SN103" s="645"/>
      <c r="SO103" s="646"/>
      <c r="SP103" s="645"/>
      <c r="SQ103" s="646"/>
      <c r="SR103" s="645"/>
      <c r="SS103" s="646"/>
      <c r="ST103" s="645"/>
      <c r="SU103" s="646"/>
      <c r="SV103" s="645"/>
      <c r="SW103" s="646"/>
      <c r="SX103" s="645"/>
      <c r="SY103" s="646"/>
      <c r="SZ103" s="645"/>
      <c r="TA103" s="646"/>
      <c r="TB103" s="645"/>
      <c r="TC103" s="646"/>
      <c r="TD103" s="645"/>
      <c r="TE103" s="646"/>
      <c r="TF103" s="645"/>
      <c r="TG103" s="646"/>
      <c r="TH103" s="645"/>
      <c r="TI103" s="646"/>
      <c r="TJ103" s="645"/>
      <c r="TK103" s="646"/>
      <c r="TL103" s="645"/>
      <c r="TM103" s="646"/>
      <c r="TN103" s="645"/>
      <c r="TO103" s="646"/>
      <c r="TP103" s="645"/>
      <c r="TQ103" s="646"/>
      <c r="TR103" s="645"/>
      <c r="TS103" s="646"/>
      <c r="TT103" s="645"/>
      <c r="TU103" s="646"/>
      <c r="TV103" s="645"/>
      <c r="TW103" s="646"/>
      <c r="TX103" s="645"/>
      <c r="TY103" s="646"/>
      <c r="TZ103" s="645"/>
      <c r="UA103" s="646"/>
      <c r="UB103" s="645"/>
      <c r="UC103" s="646"/>
      <c r="UD103" s="645"/>
      <c r="UE103" s="646"/>
      <c r="UF103" s="645"/>
      <c r="UG103" s="646"/>
      <c r="UH103" s="645"/>
      <c r="UI103" s="646"/>
      <c r="UJ103" s="645"/>
      <c r="UK103" s="646"/>
      <c r="UL103" s="645"/>
      <c r="UM103" s="646"/>
      <c r="UN103" s="645"/>
      <c r="UO103" s="646"/>
      <c r="UP103" s="645"/>
      <c r="UQ103" s="646"/>
      <c r="UR103" s="645"/>
      <c r="US103" s="646"/>
      <c r="UT103" s="645"/>
      <c r="UU103" s="646"/>
      <c r="UV103" s="645"/>
      <c r="UW103" s="646"/>
      <c r="UX103" s="645"/>
      <c r="UY103" s="646"/>
      <c r="UZ103" s="645"/>
      <c r="VA103" s="646"/>
      <c r="VB103" s="645"/>
      <c r="VC103" s="646"/>
      <c r="VD103" s="645"/>
      <c r="VE103" s="646"/>
      <c r="VF103" s="645"/>
      <c r="VG103" s="646"/>
      <c r="VH103" s="645"/>
      <c r="VI103" s="646"/>
      <c r="VJ103" s="645"/>
      <c r="VK103" s="646"/>
      <c r="VL103" s="645"/>
      <c r="VM103" s="646"/>
      <c r="VN103" s="645"/>
      <c r="VO103" s="646"/>
      <c r="VP103" s="645"/>
      <c r="VQ103" s="646"/>
      <c r="VR103" s="645"/>
      <c r="VS103" s="646"/>
      <c r="VT103" s="645"/>
      <c r="VU103" s="646"/>
      <c r="VV103" s="645"/>
      <c r="VW103" s="646"/>
      <c r="VX103" s="645"/>
      <c r="VY103" s="646"/>
      <c r="VZ103" s="645"/>
      <c r="WA103" s="646"/>
      <c r="WB103" s="645"/>
      <c r="WC103" s="646"/>
      <c r="WD103" s="645"/>
      <c r="WE103" s="646"/>
      <c r="WF103" s="645"/>
      <c r="WG103" s="646"/>
      <c r="WH103" s="645"/>
      <c r="WI103" s="646"/>
      <c r="WJ103" s="645"/>
      <c r="WK103" s="646"/>
      <c r="WL103" s="645"/>
      <c r="WM103" s="646"/>
      <c r="WN103" s="645"/>
      <c r="WO103" s="646"/>
      <c r="WP103" s="645"/>
      <c r="WQ103" s="646"/>
      <c r="WR103" s="645"/>
      <c r="WS103" s="646"/>
      <c r="WT103" s="645"/>
      <c r="WU103" s="646"/>
      <c r="WV103" s="645"/>
      <c r="WW103" s="646"/>
      <c r="WX103" s="645"/>
      <c r="WY103" s="646"/>
      <c r="WZ103" s="645"/>
      <c r="XA103" s="646"/>
      <c r="XB103" s="645"/>
      <c r="XC103" s="646"/>
      <c r="XD103" s="645"/>
      <c r="XE103" s="646"/>
      <c r="XF103" s="645"/>
      <c r="XG103" s="646"/>
      <c r="XH103" s="645"/>
      <c r="XI103" s="646"/>
      <c r="XJ103" s="645"/>
      <c r="XK103" s="646"/>
      <c r="XL103" s="645"/>
      <c r="XM103" s="646"/>
      <c r="XN103" s="645"/>
      <c r="XO103" s="646"/>
      <c r="XP103" s="645"/>
      <c r="XQ103" s="646"/>
      <c r="XR103" s="645"/>
      <c r="XS103" s="646"/>
      <c r="XT103" s="645"/>
      <c r="XU103" s="646"/>
      <c r="XV103" s="645"/>
      <c r="XW103" s="646"/>
      <c r="XX103" s="645"/>
      <c r="XY103" s="646"/>
      <c r="XZ103" s="645"/>
      <c r="YA103" s="646"/>
      <c r="YB103" s="645"/>
      <c r="YC103" s="646"/>
      <c r="YD103" s="645"/>
      <c r="YE103" s="646"/>
      <c r="YF103" s="645"/>
      <c r="YG103" s="646"/>
      <c r="YH103" s="645"/>
      <c r="YI103" s="646"/>
      <c r="YJ103" s="645"/>
      <c r="YK103" s="646"/>
      <c r="YL103" s="645"/>
      <c r="YM103" s="646"/>
      <c r="YN103" s="645"/>
      <c r="YO103" s="646"/>
      <c r="YP103" s="645"/>
      <c r="YQ103" s="646"/>
      <c r="YR103" s="645"/>
      <c r="YS103" s="646"/>
      <c r="YT103" s="645"/>
      <c r="YU103" s="646"/>
      <c r="YV103" s="645"/>
      <c r="YW103" s="646"/>
      <c r="YX103" s="645"/>
      <c r="YY103" s="646"/>
      <c r="YZ103" s="645"/>
      <c r="ZA103" s="646"/>
      <c r="ZB103" s="645"/>
      <c r="ZC103" s="646"/>
      <c r="ZD103" s="645"/>
      <c r="ZE103" s="646"/>
      <c r="ZF103" s="645"/>
      <c r="ZG103" s="646"/>
      <c r="ZH103" s="645"/>
      <c r="ZI103" s="646"/>
      <c r="ZJ103" s="645"/>
      <c r="ZK103" s="646"/>
      <c r="ZL103" s="645"/>
      <c r="ZM103" s="646"/>
      <c r="ZN103" s="645"/>
      <c r="ZO103" s="646"/>
      <c r="ZP103" s="645"/>
      <c r="ZQ103" s="646"/>
      <c r="ZR103" s="645"/>
      <c r="ZS103" s="646"/>
      <c r="ZT103" s="645"/>
      <c r="ZU103" s="646"/>
      <c r="ZV103" s="645"/>
      <c r="ZW103" s="646"/>
      <c r="ZX103" s="645"/>
      <c r="ZY103" s="646"/>
      <c r="ZZ103" s="645"/>
      <c r="AAA103" s="646"/>
      <c r="AAB103" s="645"/>
      <c r="AAC103" s="646"/>
      <c r="AAD103" s="645"/>
      <c r="AAE103" s="646"/>
      <c r="AAF103" s="645"/>
      <c r="AAG103" s="646"/>
      <c r="AAH103" s="645"/>
      <c r="AAI103" s="646"/>
      <c r="AAJ103" s="645"/>
      <c r="AAK103" s="646"/>
      <c r="AAL103" s="645"/>
      <c r="AAM103" s="646"/>
      <c r="AAN103" s="645"/>
      <c r="AAO103" s="646"/>
      <c r="AAP103" s="645"/>
      <c r="AAQ103" s="646"/>
      <c r="AAR103" s="645"/>
      <c r="AAS103" s="646"/>
      <c r="AAT103" s="645"/>
      <c r="AAU103" s="646"/>
      <c r="AAV103" s="645"/>
      <c r="AAW103" s="646"/>
      <c r="AAX103" s="645"/>
      <c r="AAY103" s="646"/>
      <c r="AAZ103" s="645"/>
      <c r="ABA103" s="646"/>
      <c r="ABB103" s="645"/>
      <c r="ABC103" s="646"/>
      <c r="ABD103" s="645"/>
      <c r="ABE103" s="646"/>
      <c r="ABF103" s="645"/>
      <c r="ABG103" s="646"/>
      <c r="ABH103" s="645"/>
      <c r="ABI103" s="646"/>
      <c r="ABJ103" s="645"/>
      <c r="ABK103" s="646"/>
      <c r="ABL103" s="645"/>
      <c r="ABM103" s="646"/>
      <c r="ABN103" s="645"/>
      <c r="ABO103" s="646"/>
      <c r="ABP103" s="645"/>
      <c r="ABQ103" s="646"/>
      <c r="ABR103" s="645"/>
      <c r="ABS103" s="646"/>
      <c r="ABT103" s="645"/>
      <c r="ABU103" s="646"/>
      <c r="ABV103" s="645"/>
      <c r="ABW103" s="646"/>
      <c r="ABX103" s="645"/>
      <c r="ABY103" s="646"/>
      <c r="ABZ103" s="645"/>
      <c r="ACA103" s="646"/>
      <c r="ACB103" s="645"/>
      <c r="ACC103" s="646"/>
      <c r="ACD103" s="645"/>
      <c r="ACE103" s="646"/>
      <c r="ACF103" s="645"/>
      <c r="ACG103" s="646"/>
      <c r="ACH103" s="645"/>
      <c r="ACI103" s="646"/>
      <c r="ACJ103" s="645"/>
      <c r="ACK103" s="646"/>
      <c r="ACL103" s="645"/>
      <c r="ACM103" s="646"/>
      <c r="ACN103" s="645"/>
      <c r="ACO103" s="646"/>
      <c r="ACP103" s="645"/>
      <c r="ACQ103" s="646"/>
      <c r="ACR103" s="645"/>
      <c r="ACS103" s="646"/>
      <c r="ACT103" s="645"/>
      <c r="ACU103" s="646"/>
      <c r="ACV103" s="645"/>
      <c r="ACW103" s="646"/>
      <c r="ACX103" s="645"/>
      <c r="ACY103" s="646"/>
      <c r="ACZ103" s="645"/>
      <c r="ADA103" s="646"/>
      <c r="ADB103" s="645"/>
      <c r="ADC103" s="646"/>
      <c r="ADD103" s="645"/>
      <c r="ADE103" s="646"/>
      <c r="ADF103" s="645"/>
      <c r="ADG103" s="646"/>
      <c r="ADH103" s="645"/>
      <c r="ADI103" s="646"/>
      <c r="ADJ103" s="645"/>
      <c r="ADK103" s="646"/>
      <c r="ADL103" s="645"/>
      <c r="ADM103" s="646"/>
      <c r="ADN103" s="645"/>
      <c r="ADO103" s="646"/>
      <c r="ADP103" s="645"/>
      <c r="ADQ103" s="646"/>
      <c r="ADR103" s="645"/>
      <c r="ADS103" s="646"/>
      <c r="ADT103" s="645"/>
      <c r="ADU103" s="646"/>
      <c r="ADV103" s="645"/>
      <c r="ADW103" s="646"/>
      <c r="ADX103" s="645"/>
      <c r="ADY103" s="646"/>
      <c r="ADZ103" s="645"/>
      <c r="AEA103" s="646"/>
      <c r="AEB103" s="645"/>
      <c r="AEC103" s="646"/>
      <c r="AED103" s="645"/>
      <c r="AEE103" s="646"/>
      <c r="AEF103" s="645"/>
      <c r="AEG103" s="646"/>
      <c r="AEH103" s="645"/>
      <c r="AEI103" s="646"/>
      <c r="AEJ103" s="645"/>
      <c r="AEK103" s="646"/>
      <c r="AEL103" s="645"/>
      <c r="AEM103" s="646"/>
      <c r="AEN103" s="645"/>
      <c r="AEO103" s="646"/>
      <c r="AEP103" s="645"/>
      <c r="AEQ103" s="646"/>
      <c r="AER103" s="645"/>
      <c r="AES103" s="646"/>
      <c r="AET103" s="645"/>
      <c r="AEU103" s="646"/>
      <c r="AEV103" s="645"/>
      <c r="AEW103" s="646"/>
      <c r="AEX103" s="645"/>
      <c r="AEY103" s="646"/>
      <c r="AEZ103" s="645"/>
      <c r="AFA103" s="646"/>
      <c r="AFB103" s="645"/>
      <c r="AFC103" s="646"/>
      <c r="AFD103" s="645"/>
      <c r="AFE103" s="646"/>
      <c r="AFF103" s="645"/>
      <c r="AFG103" s="646"/>
      <c r="AFH103" s="645"/>
      <c r="AFI103" s="646"/>
      <c r="AFJ103" s="645"/>
      <c r="AFK103" s="646"/>
      <c r="AFL103" s="645"/>
      <c r="AFM103" s="646"/>
      <c r="AFN103" s="645"/>
      <c r="AFO103" s="646"/>
      <c r="AFP103" s="645"/>
      <c r="AFQ103" s="646"/>
      <c r="AFR103" s="645"/>
      <c r="AFS103" s="646"/>
      <c r="AFT103" s="645"/>
      <c r="AFU103" s="646"/>
      <c r="AFV103" s="645"/>
      <c r="AFW103" s="646"/>
      <c r="AFX103" s="645"/>
      <c r="AFY103" s="646"/>
      <c r="AFZ103" s="645"/>
      <c r="AGA103" s="646"/>
      <c r="AGB103" s="645"/>
      <c r="AGC103" s="646"/>
      <c r="AGD103" s="645"/>
      <c r="AGE103" s="646"/>
      <c r="AGF103" s="645"/>
      <c r="AGG103" s="646"/>
      <c r="AGH103" s="645"/>
      <c r="AGI103" s="646"/>
      <c r="AGJ103" s="645"/>
      <c r="AGK103" s="646"/>
      <c r="AGL103" s="645"/>
      <c r="AGM103" s="646"/>
      <c r="AGN103" s="645"/>
      <c r="AGO103" s="646"/>
      <c r="AGP103" s="645"/>
      <c r="AGQ103" s="646"/>
      <c r="AGR103" s="645"/>
      <c r="AGS103" s="646"/>
      <c r="AGT103" s="645"/>
      <c r="AGU103" s="646"/>
      <c r="AGV103" s="645"/>
      <c r="AGW103" s="646"/>
      <c r="AGX103" s="645"/>
      <c r="AGY103" s="646"/>
      <c r="AGZ103" s="645"/>
      <c r="AHA103" s="646"/>
      <c r="AHB103" s="645"/>
      <c r="AHC103" s="646"/>
      <c r="AHD103" s="645"/>
      <c r="AHE103" s="646"/>
      <c r="AHF103" s="645"/>
      <c r="AHG103" s="646"/>
      <c r="AHH103" s="645"/>
      <c r="AHI103" s="646"/>
      <c r="AHJ103" s="645"/>
      <c r="AHK103" s="646"/>
      <c r="AHL103" s="645"/>
      <c r="AHM103" s="646"/>
      <c r="AHN103" s="645"/>
      <c r="AHO103" s="646"/>
      <c r="AHP103" s="645"/>
      <c r="AHQ103" s="646"/>
      <c r="AHR103" s="645"/>
      <c r="AHS103" s="646"/>
      <c r="AHT103" s="645"/>
      <c r="AHU103" s="646"/>
      <c r="AHV103" s="645"/>
      <c r="AHW103" s="646"/>
      <c r="AHX103" s="645"/>
      <c r="AHY103" s="646"/>
      <c r="AHZ103" s="645"/>
      <c r="AIA103" s="646"/>
      <c r="AIB103" s="645"/>
      <c r="AIC103" s="646"/>
      <c r="AID103" s="645"/>
      <c r="AIE103" s="646"/>
      <c r="AIF103" s="645"/>
      <c r="AIG103" s="646"/>
      <c r="AIH103" s="645"/>
      <c r="AII103" s="646"/>
      <c r="AIJ103" s="645"/>
      <c r="AIK103" s="646"/>
      <c r="AIL103" s="645"/>
      <c r="AIM103" s="646"/>
      <c r="AIN103" s="645"/>
      <c r="AIO103" s="646"/>
      <c r="AIP103" s="645"/>
      <c r="AIQ103" s="645"/>
      <c r="AIR103" s="645"/>
      <c r="AIS103" s="645"/>
      <c r="AIT103" s="645"/>
      <c r="AIU103" s="645"/>
      <c r="AIV103" s="645"/>
      <c r="AIW103" s="645"/>
      <c r="AIX103" s="645"/>
      <c r="AIY103" s="645"/>
      <c r="AIZ103" s="645"/>
      <c r="AJA103" s="645"/>
      <c r="AJB103" s="645"/>
      <c r="AJC103" s="645"/>
      <c r="AJD103" s="645"/>
      <c r="AJE103" s="645"/>
      <c r="AJF103" s="645"/>
      <c r="AJG103" s="645"/>
      <c r="AJH103" s="645"/>
      <c r="AJI103" s="645"/>
      <c r="AJJ103" s="645"/>
      <c r="AJK103" s="645"/>
      <c r="AJL103" s="645"/>
      <c r="AJM103" s="645"/>
      <c r="AJN103" s="645"/>
      <c r="AJO103" s="645"/>
      <c r="AJP103" s="645"/>
      <c r="AJQ103" s="645"/>
      <c r="AJR103" s="645"/>
      <c r="AJS103" s="645"/>
      <c r="AJT103" s="645"/>
      <c r="AJU103" s="645"/>
      <c r="AJV103" s="645"/>
      <c r="AJW103" s="645"/>
      <c r="AJX103" s="645"/>
      <c r="AJY103" s="645"/>
      <c r="AJZ103" s="645"/>
      <c r="AKA103" s="645"/>
      <c r="AKB103" s="645"/>
      <c r="AKC103" s="645"/>
      <c r="AKD103" s="645"/>
      <c r="AKE103" s="645"/>
      <c r="AKF103" s="645"/>
      <c r="AKG103" s="645"/>
      <c r="AKH103" s="645"/>
      <c r="AKI103" s="645"/>
      <c r="AKJ103" s="645"/>
      <c r="AKK103" s="645"/>
      <c r="AKL103" s="645"/>
      <c r="AKM103" s="645"/>
      <c r="AKN103" s="645"/>
      <c r="AKO103" s="645"/>
      <c r="AKP103" s="645"/>
      <c r="AKQ103" s="645"/>
      <c r="AKR103" s="645"/>
      <c r="AKS103" s="645"/>
      <c r="AKT103" s="645"/>
      <c r="AKU103" s="645"/>
      <c r="AKV103" s="645"/>
      <c r="AKW103" s="645"/>
      <c r="AKX103" s="645"/>
      <c r="AKY103" s="645"/>
      <c r="AKZ103" s="645"/>
      <c r="ALA103" s="645"/>
      <c r="ALB103" s="645"/>
      <c r="ALC103" s="645"/>
      <c r="ALD103" s="645"/>
      <c r="ALE103" s="645"/>
      <c r="ALF103" s="645"/>
      <c r="ALG103" s="645"/>
      <c r="ALH103" s="645"/>
      <c r="ALI103" s="645"/>
      <c r="ALJ103" s="645"/>
      <c r="ALK103" s="645"/>
      <c r="ALL103" s="645"/>
      <c r="ALM103" s="645"/>
      <c r="ALN103" s="645"/>
      <c r="ALO103" s="645"/>
      <c r="ALP103" s="645"/>
      <c r="ALQ103" s="645"/>
      <c r="ALR103" s="645"/>
      <c r="ALS103" s="645"/>
      <c r="ALT103" s="645"/>
      <c r="ALU103" s="645"/>
      <c r="ALV103" s="645"/>
      <c r="ALW103" s="645"/>
      <c r="ALX103" s="645"/>
      <c r="ALY103" s="645"/>
      <c r="ALZ103" s="645"/>
      <c r="AMA103" s="645"/>
      <c r="AMB103" s="645"/>
      <c r="AMC103" s="645"/>
      <c r="AMD103" s="645"/>
      <c r="AME103" s="645"/>
      <c r="AMF103" s="645"/>
      <c r="AMG103" s="645"/>
      <c r="AMH103" s="645"/>
      <c r="AMI103" s="645"/>
      <c r="AMJ103" s="645"/>
    </row>
    <row r="104" spans="1:1024" s="37" customFormat="1" ht="15.75" customHeight="1" x14ac:dyDescent="0.35">
      <c r="A104" s="600"/>
      <c r="B104" s="644" t="s">
        <v>358</v>
      </c>
      <c r="C104" s="645"/>
      <c r="D104" s="646"/>
      <c r="E104" s="645"/>
      <c r="F104" s="646"/>
      <c r="G104" s="647" t="s">
        <v>243</v>
      </c>
      <c r="H104" s="643"/>
      <c r="I104" s="645"/>
      <c r="J104" s="38"/>
      <c r="K104" s="38"/>
      <c r="L104" s="39"/>
      <c r="M104" s="38"/>
      <c r="N104" s="39"/>
      <c r="O104" s="38"/>
      <c r="P104" s="39"/>
      <c r="Q104" s="38"/>
      <c r="R104" s="39"/>
      <c r="S104" s="38"/>
      <c r="T104" s="39"/>
      <c r="U104" s="38"/>
      <c r="V104" s="39"/>
      <c r="W104" s="38"/>
      <c r="X104" s="39"/>
      <c r="Y104" s="38"/>
      <c r="Z104" s="39"/>
      <c r="AA104" s="38"/>
      <c r="AB104" s="39"/>
      <c r="AC104" s="38"/>
      <c r="AD104" s="39"/>
      <c r="AE104" s="38"/>
      <c r="AF104" s="39"/>
      <c r="AG104" s="38"/>
      <c r="AH104" s="39"/>
      <c r="AI104" s="38"/>
      <c r="AJ104" s="39"/>
      <c r="AK104" s="40"/>
      <c r="AL104" s="39"/>
      <c r="AM104" s="40"/>
      <c r="AN104" s="39"/>
      <c r="AO104" s="40"/>
      <c r="AP104" s="39"/>
      <c r="AQ104" s="40"/>
      <c r="AR104" s="39"/>
      <c r="AS104" s="40"/>
      <c r="AT104" s="39"/>
      <c r="AU104" s="40"/>
      <c r="AV104" s="39"/>
      <c r="AW104" s="40"/>
      <c r="AX104" s="39"/>
      <c r="AY104" s="40"/>
      <c r="AZ104" s="39"/>
      <c r="BA104" s="40"/>
      <c r="BB104" s="39"/>
      <c r="BC104" s="40"/>
      <c r="BD104" s="39"/>
      <c r="BE104" s="40"/>
      <c r="BF104" s="39"/>
      <c r="BG104" s="40"/>
      <c r="BH104" s="39"/>
      <c r="BI104" s="40"/>
      <c r="BJ104" s="39"/>
      <c r="BK104" s="40"/>
      <c r="BL104" s="39"/>
      <c r="BM104" s="40"/>
      <c r="BN104" s="39"/>
      <c r="BO104" s="40"/>
      <c r="BP104" s="39"/>
      <c r="BQ104" s="40"/>
      <c r="BR104" s="39"/>
      <c r="BS104" s="40"/>
      <c r="BT104" s="39"/>
      <c r="BU104" s="40"/>
      <c r="BV104" s="39"/>
      <c r="BW104" s="40"/>
      <c r="BX104" s="39"/>
      <c r="BY104" s="40"/>
      <c r="BZ104" s="39"/>
      <c r="CA104" s="40"/>
      <c r="CB104" s="39"/>
      <c r="CC104" s="40"/>
      <c r="CD104" s="39"/>
      <c r="CE104" s="40"/>
      <c r="CF104" s="39"/>
      <c r="CG104" s="40"/>
      <c r="CH104" s="39"/>
      <c r="CI104" s="40"/>
      <c r="CJ104" s="39"/>
      <c r="CK104" s="40"/>
      <c r="CL104" s="39"/>
      <c r="CM104" s="40"/>
      <c r="CN104" s="39"/>
      <c r="CO104" s="40"/>
      <c r="CP104" s="39"/>
      <c r="CQ104" s="40"/>
      <c r="CR104" s="39"/>
      <c r="CS104" s="40"/>
      <c r="CT104" s="39"/>
      <c r="CU104" s="40"/>
      <c r="CV104" s="39"/>
      <c r="CW104" s="40"/>
      <c r="CX104" s="39"/>
      <c r="CY104" s="40"/>
      <c r="CZ104" s="39"/>
      <c r="DA104" s="40"/>
      <c r="DB104" s="39"/>
      <c r="DC104" s="40"/>
      <c r="DD104" s="39"/>
      <c r="DE104" s="40"/>
      <c r="DF104" s="39"/>
      <c r="DG104" s="40"/>
      <c r="DH104" s="39"/>
      <c r="DI104" s="40"/>
      <c r="DJ104" s="39"/>
      <c r="DK104" s="40"/>
      <c r="DL104" s="39"/>
      <c r="DM104" s="40"/>
      <c r="DN104" s="39"/>
      <c r="DO104" s="40"/>
      <c r="DP104" s="39"/>
      <c r="DQ104" s="40"/>
      <c r="DR104" s="39"/>
      <c r="DS104" s="40"/>
      <c r="DT104" s="39"/>
      <c r="DU104" s="40"/>
      <c r="DV104" s="39"/>
      <c r="DW104" s="40"/>
      <c r="DX104" s="39"/>
      <c r="DY104" s="40"/>
      <c r="DZ104" s="39"/>
      <c r="EA104" s="40"/>
      <c r="EB104" s="39"/>
      <c r="EC104" s="40"/>
      <c r="ED104" s="39"/>
      <c r="EE104" s="40"/>
      <c r="EF104" s="39"/>
      <c r="EG104" s="40"/>
      <c r="EH104" s="39"/>
      <c r="EI104" s="40"/>
      <c r="EJ104" s="39"/>
      <c r="EK104" s="40"/>
      <c r="EL104" s="39"/>
      <c r="EM104" s="40"/>
      <c r="EN104" s="39"/>
      <c r="EO104" s="40"/>
      <c r="EP104" s="39"/>
      <c r="EQ104" s="40"/>
      <c r="ER104" s="39"/>
      <c r="ES104" s="40"/>
      <c r="ET104" s="39"/>
      <c r="EU104" s="40"/>
      <c r="EV104" s="39"/>
      <c r="EW104" s="40"/>
      <c r="EX104" s="39"/>
      <c r="EY104" s="40"/>
      <c r="EZ104" s="39"/>
      <c r="FA104" s="40"/>
      <c r="FB104" s="39"/>
      <c r="FC104" s="40"/>
      <c r="FD104" s="39"/>
      <c r="FE104" s="40"/>
      <c r="FF104" s="39"/>
      <c r="FG104" s="40"/>
      <c r="FH104" s="39"/>
      <c r="FI104" s="40"/>
      <c r="FJ104" s="39"/>
      <c r="FK104" s="40"/>
      <c r="FL104" s="39"/>
      <c r="FM104" s="40"/>
      <c r="FN104" s="39"/>
      <c r="FO104" s="40"/>
      <c r="FP104" s="39"/>
      <c r="FQ104" s="40"/>
      <c r="FR104" s="39"/>
      <c r="FS104" s="40"/>
      <c r="FT104" s="39"/>
      <c r="FU104" s="40"/>
      <c r="FV104" s="39"/>
      <c r="FW104" s="40"/>
      <c r="FX104" s="39"/>
      <c r="FY104" s="40"/>
      <c r="FZ104" s="39"/>
      <c r="GA104" s="40"/>
      <c r="GB104" s="39"/>
      <c r="GC104" s="40"/>
      <c r="GD104" s="39"/>
      <c r="GE104" s="40"/>
      <c r="GF104" s="39"/>
      <c r="GG104" s="40"/>
      <c r="GH104" s="39"/>
      <c r="GI104" s="40"/>
      <c r="GJ104" s="39"/>
      <c r="GK104" s="40"/>
      <c r="GL104" s="39"/>
      <c r="GM104" s="40"/>
      <c r="GN104" s="39"/>
      <c r="GO104" s="40"/>
      <c r="GP104" s="39"/>
      <c r="GQ104" s="40"/>
      <c r="GR104" s="39"/>
      <c r="GS104" s="40"/>
      <c r="GT104" s="39"/>
      <c r="GU104" s="40"/>
      <c r="GV104" s="39"/>
      <c r="GW104" s="40"/>
      <c r="GX104" s="39"/>
      <c r="GY104" s="40"/>
      <c r="GZ104" s="39"/>
      <c r="HA104" s="40"/>
      <c r="HB104" s="39"/>
      <c r="HC104" s="40"/>
      <c r="HD104" s="39"/>
      <c r="HE104" s="40"/>
      <c r="HF104" s="39"/>
      <c r="HG104" s="40"/>
      <c r="HH104" s="39"/>
      <c r="HI104" s="40"/>
      <c r="HJ104" s="39"/>
      <c r="HK104" s="40"/>
      <c r="HL104" s="39"/>
      <c r="HM104" s="40"/>
      <c r="HN104" s="39"/>
      <c r="HO104" s="40"/>
      <c r="HP104" s="39"/>
      <c r="HQ104" s="40"/>
      <c r="HR104" s="39"/>
      <c r="HS104" s="40"/>
      <c r="HT104" s="39"/>
      <c r="HU104" s="40"/>
      <c r="HV104" s="39"/>
      <c r="HW104" s="40"/>
      <c r="HX104" s="39"/>
      <c r="HY104" s="40"/>
      <c r="HZ104" s="39"/>
      <c r="IA104" s="40"/>
      <c r="IB104" s="39"/>
      <c r="IC104" s="1068"/>
      <c r="ID104" s="645"/>
      <c r="IE104" s="646"/>
      <c r="IF104" s="645"/>
      <c r="IG104" s="646"/>
      <c r="IH104" s="645"/>
      <c r="II104" s="646"/>
      <c r="IJ104" s="645"/>
      <c r="IK104" s="646"/>
      <c r="IL104" s="645"/>
      <c r="IM104" s="646"/>
      <c r="IN104" s="645"/>
      <c r="IO104" s="646"/>
      <c r="IP104" s="645"/>
      <c r="IQ104" s="646"/>
      <c r="IR104" s="645"/>
      <c r="IS104" s="646"/>
      <c r="IT104" s="645"/>
      <c r="IU104" s="646"/>
      <c r="IV104" s="645"/>
      <c r="IW104" s="646"/>
      <c r="IX104" s="645"/>
      <c r="IY104" s="646"/>
      <c r="IZ104" s="645"/>
      <c r="JA104" s="646"/>
      <c r="JB104" s="645"/>
      <c r="JC104" s="646"/>
      <c r="JD104" s="645"/>
      <c r="JE104" s="646"/>
      <c r="JF104" s="645"/>
      <c r="JG104" s="646"/>
      <c r="JH104" s="645"/>
      <c r="JI104" s="646"/>
      <c r="JJ104" s="645"/>
      <c r="JK104" s="646"/>
      <c r="JL104" s="645"/>
      <c r="JM104" s="646"/>
      <c r="JN104" s="645"/>
      <c r="JO104" s="646"/>
      <c r="JP104" s="645"/>
      <c r="JQ104" s="646"/>
      <c r="JR104" s="645"/>
      <c r="JS104" s="646"/>
      <c r="JT104" s="645"/>
      <c r="JU104" s="646"/>
      <c r="JV104" s="645"/>
      <c r="JW104" s="646"/>
      <c r="JX104" s="645"/>
      <c r="JY104" s="646"/>
      <c r="JZ104" s="645"/>
      <c r="KA104" s="646"/>
      <c r="KB104" s="645"/>
      <c r="KC104" s="646"/>
      <c r="KD104" s="645"/>
      <c r="KE104" s="646"/>
      <c r="KF104" s="645"/>
      <c r="KG104" s="646"/>
      <c r="KH104" s="645"/>
      <c r="KI104" s="646"/>
      <c r="KJ104" s="645"/>
      <c r="KK104" s="646"/>
      <c r="KL104" s="645"/>
      <c r="KM104" s="646"/>
      <c r="KN104" s="645"/>
      <c r="KO104" s="646"/>
      <c r="KP104" s="645"/>
      <c r="KQ104" s="646"/>
      <c r="KR104" s="645"/>
      <c r="KS104" s="646"/>
      <c r="KT104" s="645"/>
      <c r="KU104" s="646"/>
      <c r="KV104" s="645"/>
      <c r="KW104" s="646"/>
      <c r="KX104" s="645"/>
      <c r="KY104" s="646"/>
      <c r="KZ104" s="645"/>
      <c r="LA104" s="646"/>
      <c r="LB104" s="645"/>
      <c r="LC104" s="646"/>
      <c r="LD104" s="645"/>
      <c r="LE104" s="646"/>
      <c r="LF104" s="645"/>
      <c r="LG104" s="646"/>
      <c r="LH104" s="645"/>
      <c r="LI104" s="646"/>
      <c r="LJ104" s="645"/>
      <c r="LK104" s="646"/>
      <c r="LL104" s="645"/>
      <c r="LM104" s="646"/>
      <c r="LN104" s="645"/>
      <c r="LO104" s="646"/>
      <c r="LP104" s="645"/>
      <c r="LQ104" s="646"/>
      <c r="LR104" s="645"/>
      <c r="LS104" s="646"/>
      <c r="LT104" s="645"/>
      <c r="LU104" s="646"/>
      <c r="LV104" s="645"/>
      <c r="LW104" s="646"/>
      <c r="LX104" s="645"/>
      <c r="LY104" s="646"/>
      <c r="LZ104" s="645"/>
      <c r="MA104" s="646"/>
      <c r="MB104" s="645"/>
      <c r="MC104" s="646"/>
      <c r="MD104" s="645"/>
      <c r="ME104" s="646"/>
      <c r="MF104" s="645"/>
      <c r="MG104" s="646"/>
      <c r="MH104" s="645"/>
      <c r="MI104" s="646"/>
      <c r="MJ104" s="645"/>
      <c r="MK104" s="646"/>
      <c r="ML104" s="645"/>
      <c r="MM104" s="646"/>
      <c r="MN104" s="645"/>
      <c r="MO104" s="646"/>
      <c r="MP104" s="645"/>
      <c r="MQ104" s="646"/>
      <c r="MR104" s="645"/>
      <c r="MS104" s="646"/>
      <c r="MT104" s="645"/>
      <c r="MU104" s="646"/>
      <c r="MV104" s="645"/>
      <c r="MW104" s="646"/>
      <c r="MX104" s="645"/>
      <c r="MY104" s="646"/>
      <c r="MZ104" s="645"/>
      <c r="NA104" s="646"/>
      <c r="NB104" s="645"/>
      <c r="NC104" s="646"/>
      <c r="ND104" s="645"/>
      <c r="NE104" s="646"/>
      <c r="NF104" s="645"/>
      <c r="NG104" s="646"/>
      <c r="NH104" s="645"/>
      <c r="NI104" s="646"/>
      <c r="NJ104" s="645"/>
      <c r="NK104" s="646"/>
      <c r="NL104" s="645"/>
      <c r="NM104" s="646"/>
      <c r="NN104" s="645"/>
      <c r="NO104" s="646"/>
      <c r="NP104" s="645"/>
      <c r="NQ104" s="646"/>
      <c r="NR104" s="645"/>
      <c r="NS104" s="646"/>
      <c r="NT104" s="645"/>
      <c r="NU104" s="646"/>
      <c r="NV104" s="645"/>
      <c r="NW104" s="646"/>
      <c r="NX104" s="645"/>
      <c r="NY104" s="646"/>
      <c r="NZ104" s="645"/>
      <c r="OA104" s="646"/>
      <c r="OB104" s="645"/>
      <c r="OC104" s="646"/>
      <c r="OD104" s="645"/>
      <c r="OE104" s="646"/>
      <c r="OF104" s="645"/>
      <c r="OG104" s="646"/>
      <c r="OH104" s="645"/>
      <c r="OI104" s="646"/>
      <c r="OJ104" s="645"/>
      <c r="OK104" s="646"/>
      <c r="OL104" s="645"/>
      <c r="OM104" s="646"/>
      <c r="ON104" s="645"/>
      <c r="OO104" s="646"/>
      <c r="OP104" s="645"/>
      <c r="OQ104" s="646"/>
      <c r="OR104" s="645"/>
      <c r="OS104" s="646"/>
      <c r="OT104" s="645"/>
      <c r="OU104" s="646"/>
      <c r="OV104" s="645"/>
      <c r="OW104" s="646"/>
      <c r="OX104" s="645"/>
      <c r="OY104" s="646"/>
      <c r="OZ104" s="645"/>
      <c r="PA104" s="646"/>
      <c r="PB104" s="645"/>
      <c r="PC104" s="646"/>
      <c r="PD104" s="645"/>
      <c r="PE104" s="646"/>
      <c r="PF104" s="645"/>
      <c r="PG104" s="646"/>
      <c r="PH104" s="645"/>
      <c r="PI104" s="646"/>
      <c r="PJ104" s="645"/>
      <c r="PK104" s="646"/>
      <c r="PL104" s="645"/>
      <c r="PM104" s="646"/>
      <c r="PN104" s="645"/>
      <c r="PO104" s="646"/>
      <c r="PP104" s="645"/>
      <c r="PQ104" s="646"/>
      <c r="PR104" s="645"/>
      <c r="PS104" s="646"/>
      <c r="PT104" s="645"/>
      <c r="PU104" s="646"/>
      <c r="PV104" s="645"/>
      <c r="PW104" s="646"/>
      <c r="PX104" s="645"/>
      <c r="PY104" s="646"/>
      <c r="PZ104" s="645"/>
      <c r="QA104" s="646"/>
      <c r="QB104" s="645"/>
      <c r="QC104" s="646"/>
      <c r="QD104" s="645"/>
      <c r="QE104" s="646"/>
      <c r="QF104" s="645"/>
      <c r="QG104" s="646"/>
      <c r="QH104" s="645"/>
      <c r="QI104" s="646"/>
      <c r="QJ104" s="645"/>
      <c r="QK104" s="646"/>
      <c r="QL104" s="645"/>
      <c r="QM104" s="646"/>
      <c r="QN104" s="645"/>
      <c r="QO104" s="646"/>
      <c r="QP104" s="645"/>
      <c r="QQ104" s="646"/>
      <c r="QR104" s="645"/>
      <c r="QS104" s="646"/>
      <c r="QT104" s="645"/>
      <c r="QU104" s="646"/>
      <c r="QV104" s="645"/>
      <c r="QW104" s="646"/>
      <c r="QX104" s="645"/>
      <c r="QY104" s="646"/>
      <c r="QZ104" s="645"/>
      <c r="RA104" s="646"/>
      <c r="RB104" s="645"/>
      <c r="RC104" s="646"/>
      <c r="RD104" s="645"/>
      <c r="RE104" s="646"/>
      <c r="RF104" s="645"/>
      <c r="RG104" s="646"/>
      <c r="RH104" s="645"/>
      <c r="RI104" s="646"/>
      <c r="RJ104" s="645"/>
      <c r="RK104" s="646"/>
      <c r="RL104" s="645"/>
      <c r="RM104" s="646"/>
      <c r="RN104" s="645"/>
      <c r="RO104" s="646"/>
      <c r="RP104" s="645"/>
      <c r="RQ104" s="646"/>
      <c r="RR104" s="645"/>
      <c r="RS104" s="646"/>
      <c r="RT104" s="645"/>
      <c r="RU104" s="646"/>
      <c r="RV104" s="645"/>
      <c r="RW104" s="646"/>
      <c r="RX104" s="645"/>
      <c r="RY104" s="646"/>
      <c r="RZ104" s="645"/>
      <c r="SA104" s="646"/>
      <c r="SB104" s="645"/>
      <c r="SC104" s="646"/>
      <c r="SD104" s="645"/>
      <c r="SE104" s="646"/>
      <c r="SF104" s="645"/>
      <c r="SG104" s="646"/>
      <c r="SH104" s="645"/>
      <c r="SI104" s="646"/>
      <c r="SJ104" s="645"/>
      <c r="SK104" s="646"/>
      <c r="SL104" s="645"/>
      <c r="SM104" s="646"/>
      <c r="SN104" s="645"/>
      <c r="SO104" s="646"/>
      <c r="SP104" s="645"/>
      <c r="SQ104" s="646"/>
      <c r="SR104" s="645"/>
      <c r="SS104" s="646"/>
      <c r="ST104" s="645"/>
      <c r="SU104" s="646"/>
      <c r="SV104" s="645"/>
      <c r="SW104" s="646"/>
      <c r="SX104" s="645"/>
      <c r="SY104" s="646"/>
      <c r="SZ104" s="645"/>
      <c r="TA104" s="646"/>
      <c r="TB104" s="645"/>
      <c r="TC104" s="646"/>
      <c r="TD104" s="645"/>
      <c r="TE104" s="646"/>
      <c r="TF104" s="645"/>
      <c r="TG104" s="646"/>
      <c r="TH104" s="645"/>
      <c r="TI104" s="646"/>
      <c r="TJ104" s="645"/>
      <c r="TK104" s="646"/>
      <c r="TL104" s="645"/>
      <c r="TM104" s="646"/>
      <c r="TN104" s="645"/>
      <c r="TO104" s="646"/>
      <c r="TP104" s="645"/>
      <c r="TQ104" s="646"/>
      <c r="TR104" s="645"/>
      <c r="TS104" s="646"/>
      <c r="TT104" s="645"/>
      <c r="TU104" s="646"/>
      <c r="TV104" s="645"/>
      <c r="TW104" s="646"/>
      <c r="TX104" s="645"/>
      <c r="TY104" s="646"/>
      <c r="TZ104" s="645"/>
      <c r="UA104" s="646"/>
      <c r="UB104" s="645"/>
      <c r="UC104" s="646"/>
      <c r="UD104" s="645"/>
      <c r="UE104" s="646"/>
      <c r="UF104" s="645"/>
      <c r="UG104" s="646"/>
      <c r="UH104" s="645"/>
      <c r="UI104" s="646"/>
      <c r="UJ104" s="645"/>
      <c r="UK104" s="646"/>
      <c r="UL104" s="645"/>
      <c r="UM104" s="646"/>
      <c r="UN104" s="645"/>
      <c r="UO104" s="646"/>
      <c r="UP104" s="645"/>
      <c r="UQ104" s="646"/>
      <c r="UR104" s="645"/>
      <c r="US104" s="646"/>
      <c r="UT104" s="645"/>
      <c r="UU104" s="646"/>
      <c r="UV104" s="645"/>
      <c r="UW104" s="646"/>
      <c r="UX104" s="645"/>
      <c r="UY104" s="646"/>
      <c r="UZ104" s="645"/>
      <c r="VA104" s="646"/>
      <c r="VB104" s="645"/>
      <c r="VC104" s="646"/>
      <c r="VD104" s="645"/>
      <c r="VE104" s="646"/>
      <c r="VF104" s="645"/>
      <c r="VG104" s="646"/>
      <c r="VH104" s="645"/>
      <c r="VI104" s="646"/>
      <c r="VJ104" s="645"/>
      <c r="VK104" s="646"/>
      <c r="VL104" s="645"/>
      <c r="VM104" s="646"/>
      <c r="VN104" s="645"/>
      <c r="VO104" s="646"/>
      <c r="VP104" s="645"/>
      <c r="VQ104" s="646"/>
      <c r="VR104" s="645"/>
      <c r="VS104" s="646"/>
      <c r="VT104" s="645"/>
      <c r="VU104" s="646"/>
      <c r="VV104" s="645"/>
      <c r="VW104" s="646"/>
      <c r="VX104" s="645"/>
      <c r="VY104" s="646"/>
      <c r="VZ104" s="645"/>
      <c r="WA104" s="646"/>
      <c r="WB104" s="645"/>
      <c r="WC104" s="646"/>
      <c r="WD104" s="645"/>
      <c r="WE104" s="646"/>
      <c r="WF104" s="645"/>
      <c r="WG104" s="646"/>
      <c r="WH104" s="645"/>
      <c r="WI104" s="646"/>
      <c r="WJ104" s="645"/>
      <c r="WK104" s="646"/>
      <c r="WL104" s="645"/>
      <c r="WM104" s="646"/>
      <c r="WN104" s="645"/>
      <c r="WO104" s="646"/>
      <c r="WP104" s="645"/>
      <c r="WQ104" s="646"/>
      <c r="WR104" s="645"/>
      <c r="WS104" s="646"/>
      <c r="WT104" s="645"/>
      <c r="WU104" s="646"/>
      <c r="WV104" s="645"/>
      <c r="WW104" s="646"/>
      <c r="WX104" s="645"/>
      <c r="WY104" s="646"/>
      <c r="WZ104" s="645"/>
      <c r="XA104" s="646"/>
      <c r="XB104" s="645"/>
      <c r="XC104" s="646"/>
      <c r="XD104" s="645"/>
      <c r="XE104" s="646"/>
      <c r="XF104" s="645"/>
      <c r="XG104" s="646"/>
      <c r="XH104" s="645"/>
      <c r="XI104" s="646"/>
      <c r="XJ104" s="645"/>
      <c r="XK104" s="646"/>
      <c r="XL104" s="645"/>
      <c r="XM104" s="646"/>
      <c r="XN104" s="645"/>
      <c r="XO104" s="646"/>
      <c r="XP104" s="645"/>
      <c r="XQ104" s="646"/>
      <c r="XR104" s="645"/>
      <c r="XS104" s="646"/>
      <c r="XT104" s="645"/>
      <c r="XU104" s="646"/>
      <c r="XV104" s="645"/>
      <c r="XW104" s="646"/>
      <c r="XX104" s="645"/>
      <c r="XY104" s="646"/>
      <c r="XZ104" s="645"/>
      <c r="YA104" s="646"/>
      <c r="YB104" s="645"/>
      <c r="YC104" s="646"/>
      <c r="YD104" s="645"/>
      <c r="YE104" s="646"/>
      <c r="YF104" s="645"/>
      <c r="YG104" s="646"/>
      <c r="YH104" s="645"/>
      <c r="YI104" s="646"/>
      <c r="YJ104" s="645"/>
      <c r="YK104" s="646"/>
      <c r="YL104" s="645"/>
      <c r="YM104" s="646"/>
      <c r="YN104" s="645"/>
      <c r="YO104" s="646"/>
      <c r="YP104" s="645"/>
      <c r="YQ104" s="646"/>
      <c r="YR104" s="645"/>
      <c r="YS104" s="646"/>
      <c r="YT104" s="645"/>
      <c r="YU104" s="646"/>
      <c r="YV104" s="645"/>
      <c r="YW104" s="646"/>
      <c r="YX104" s="645"/>
      <c r="YY104" s="646"/>
      <c r="YZ104" s="645"/>
      <c r="ZA104" s="646"/>
      <c r="ZB104" s="645"/>
      <c r="ZC104" s="646"/>
      <c r="ZD104" s="645"/>
      <c r="ZE104" s="646"/>
      <c r="ZF104" s="645"/>
      <c r="ZG104" s="646"/>
      <c r="ZH104" s="645"/>
      <c r="ZI104" s="646"/>
      <c r="ZJ104" s="645"/>
      <c r="ZK104" s="646"/>
      <c r="ZL104" s="645"/>
      <c r="ZM104" s="646"/>
      <c r="ZN104" s="645"/>
      <c r="ZO104" s="646"/>
      <c r="ZP104" s="645"/>
      <c r="ZQ104" s="646"/>
      <c r="ZR104" s="645"/>
      <c r="ZS104" s="646"/>
      <c r="ZT104" s="645"/>
      <c r="ZU104" s="646"/>
      <c r="ZV104" s="645"/>
      <c r="ZW104" s="646"/>
      <c r="ZX104" s="645"/>
      <c r="ZY104" s="646"/>
      <c r="ZZ104" s="645"/>
      <c r="AAA104" s="646"/>
      <c r="AAB104" s="645"/>
      <c r="AAC104" s="646"/>
      <c r="AAD104" s="645"/>
      <c r="AAE104" s="646"/>
      <c r="AAF104" s="645"/>
      <c r="AAG104" s="646"/>
      <c r="AAH104" s="645"/>
      <c r="AAI104" s="646"/>
      <c r="AAJ104" s="645"/>
      <c r="AAK104" s="646"/>
      <c r="AAL104" s="645"/>
      <c r="AAM104" s="646"/>
      <c r="AAN104" s="645"/>
      <c r="AAO104" s="646"/>
      <c r="AAP104" s="645"/>
      <c r="AAQ104" s="646"/>
      <c r="AAR104" s="645"/>
      <c r="AAS104" s="646"/>
      <c r="AAT104" s="645"/>
      <c r="AAU104" s="646"/>
      <c r="AAV104" s="645"/>
      <c r="AAW104" s="646"/>
      <c r="AAX104" s="645"/>
      <c r="AAY104" s="646"/>
      <c r="AAZ104" s="645"/>
      <c r="ABA104" s="646"/>
      <c r="ABB104" s="645"/>
      <c r="ABC104" s="646"/>
      <c r="ABD104" s="645"/>
      <c r="ABE104" s="646"/>
      <c r="ABF104" s="645"/>
      <c r="ABG104" s="646"/>
      <c r="ABH104" s="645"/>
      <c r="ABI104" s="646"/>
      <c r="ABJ104" s="645"/>
      <c r="ABK104" s="646"/>
      <c r="ABL104" s="645"/>
      <c r="ABM104" s="646"/>
      <c r="ABN104" s="645"/>
      <c r="ABO104" s="646"/>
      <c r="ABP104" s="645"/>
      <c r="ABQ104" s="646"/>
      <c r="ABR104" s="645"/>
      <c r="ABS104" s="646"/>
      <c r="ABT104" s="645"/>
      <c r="ABU104" s="646"/>
      <c r="ABV104" s="645"/>
      <c r="ABW104" s="646"/>
      <c r="ABX104" s="645"/>
      <c r="ABY104" s="646"/>
      <c r="ABZ104" s="645"/>
      <c r="ACA104" s="646"/>
      <c r="ACB104" s="645"/>
      <c r="ACC104" s="646"/>
      <c r="ACD104" s="645"/>
      <c r="ACE104" s="646"/>
      <c r="ACF104" s="645"/>
      <c r="ACG104" s="646"/>
      <c r="ACH104" s="645"/>
      <c r="ACI104" s="646"/>
      <c r="ACJ104" s="645"/>
      <c r="ACK104" s="646"/>
      <c r="ACL104" s="645"/>
      <c r="ACM104" s="646"/>
      <c r="ACN104" s="645"/>
      <c r="ACO104" s="646"/>
      <c r="ACP104" s="645"/>
      <c r="ACQ104" s="646"/>
      <c r="ACR104" s="645"/>
      <c r="ACS104" s="646"/>
      <c r="ACT104" s="645"/>
      <c r="ACU104" s="646"/>
      <c r="ACV104" s="645"/>
      <c r="ACW104" s="646"/>
      <c r="ACX104" s="645"/>
      <c r="ACY104" s="646"/>
      <c r="ACZ104" s="645"/>
      <c r="ADA104" s="646"/>
      <c r="ADB104" s="645"/>
      <c r="ADC104" s="646"/>
      <c r="ADD104" s="645"/>
      <c r="ADE104" s="646"/>
      <c r="ADF104" s="645"/>
      <c r="ADG104" s="646"/>
      <c r="ADH104" s="645"/>
      <c r="ADI104" s="646"/>
      <c r="ADJ104" s="645"/>
      <c r="ADK104" s="646"/>
      <c r="ADL104" s="645"/>
      <c r="ADM104" s="646"/>
      <c r="ADN104" s="645"/>
      <c r="ADO104" s="646"/>
      <c r="ADP104" s="645"/>
      <c r="ADQ104" s="646"/>
      <c r="ADR104" s="645"/>
      <c r="ADS104" s="646"/>
      <c r="ADT104" s="645"/>
      <c r="ADU104" s="646"/>
      <c r="ADV104" s="645"/>
      <c r="ADW104" s="646"/>
      <c r="ADX104" s="645"/>
      <c r="ADY104" s="646"/>
      <c r="ADZ104" s="645"/>
      <c r="AEA104" s="646"/>
      <c r="AEB104" s="645"/>
      <c r="AEC104" s="646"/>
      <c r="AED104" s="645"/>
      <c r="AEE104" s="646"/>
      <c r="AEF104" s="645"/>
      <c r="AEG104" s="646"/>
      <c r="AEH104" s="645"/>
      <c r="AEI104" s="646"/>
      <c r="AEJ104" s="645"/>
      <c r="AEK104" s="646"/>
      <c r="AEL104" s="645"/>
      <c r="AEM104" s="646"/>
      <c r="AEN104" s="645"/>
      <c r="AEO104" s="646"/>
      <c r="AEP104" s="645"/>
      <c r="AEQ104" s="646"/>
      <c r="AER104" s="645"/>
      <c r="AES104" s="646"/>
      <c r="AET104" s="645"/>
      <c r="AEU104" s="646"/>
      <c r="AEV104" s="645"/>
      <c r="AEW104" s="646"/>
      <c r="AEX104" s="645"/>
      <c r="AEY104" s="646"/>
      <c r="AEZ104" s="645"/>
      <c r="AFA104" s="646"/>
      <c r="AFB104" s="645"/>
      <c r="AFC104" s="646"/>
      <c r="AFD104" s="645"/>
      <c r="AFE104" s="646"/>
      <c r="AFF104" s="645"/>
      <c r="AFG104" s="646"/>
      <c r="AFH104" s="645"/>
      <c r="AFI104" s="646"/>
      <c r="AFJ104" s="645"/>
      <c r="AFK104" s="646"/>
      <c r="AFL104" s="645"/>
      <c r="AFM104" s="646"/>
      <c r="AFN104" s="645"/>
      <c r="AFO104" s="646"/>
      <c r="AFP104" s="645"/>
      <c r="AFQ104" s="646"/>
      <c r="AFR104" s="645"/>
      <c r="AFS104" s="646"/>
      <c r="AFT104" s="645"/>
      <c r="AFU104" s="646"/>
      <c r="AFV104" s="645"/>
      <c r="AFW104" s="646"/>
      <c r="AFX104" s="645"/>
      <c r="AFY104" s="646"/>
      <c r="AFZ104" s="645"/>
      <c r="AGA104" s="646"/>
      <c r="AGB104" s="645"/>
      <c r="AGC104" s="646"/>
      <c r="AGD104" s="645"/>
      <c r="AGE104" s="646"/>
      <c r="AGF104" s="645"/>
      <c r="AGG104" s="646"/>
      <c r="AGH104" s="645"/>
      <c r="AGI104" s="646"/>
      <c r="AGJ104" s="645"/>
      <c r="AGK104" s="646"/>
      <c r="AGL104" s="645"/>
      <c r="AGM104" s="646"/>
      <c r="AGN104" s="645"/>
      <c r="AGO104" s="646"/>
      <c r="AGP104" s="645"/>
      <c r="AGQ104" s="646"/>
      <c r="AGR104" s="645"/>
      <c r="AGS104" s="646"/>
      <c r="AGT104" s="645"/>
      <c r="AGU104" s="646"/>
      <c r="AGV104" s="645"/>
      <c r="AGW104" s="646"/>
      <c r="AGX104" s="645"/>
      <c r="AGY104" s="646"/>
      <c r="AGZ104" s="645"/>
      <c r="AHA104" s="646"/>
      <c r="AHB104" s="645"/>
      <c r="AHC104" s="646"/>
      <c r="AHD104" s="645"/>
      <c r="AHE104" s="646"/>
      <c r="AHF104" s="645"/>
      <c r="AHG104" s="646"/>
      <c r="AHH104" s="645"/>
      <c r="AHI104" s="646"/>
      <c r="AHJ104" s="645"/>
      <c r="AHK104" s="646"/>
      <c r="AHL104" s="645"/>
      <c r="AHM104" s="646"/>
      <c r="AHN104" s="645"/>
      <c r="AHO104" s="646"/>
      <c r="AHP104" s="645"/>
      <c r="AHQ104" s="646"/>
      <c r="AHR104" s="645"/>
      <c r="AHS104" s="646"/>
      <c r="AHT104" s="645"/>
      <c r="AHU104" s="646"/>
      <c r="AHV104" s="645"/>
      <c r="AHW104" s="646"/>
      <c r="AHX104" s="645"/>
      <c r="AHY104" s="646"/>
      <c r="AHZ104" s="645"/>
      <c r="AIA104" s="646"/>
      <c r="AIB104" s="645"/>
      <c r="AIC104" s="646"/>
      <c r="AID104" s="645"/>
      <c r="AIE104" s="646"/>
      <c r="AIF104" s="645"/>
      <c r="AIG104" s="646"/>
      <c r="AIH104" s="645"/>
      <c r="AII104" s="646"/>
      <c r="AIJ104" s="645"/>
      <c r="AIK104" s="646"/>
      <c r="AIL104" s="645"/>
      <c r="AIM104" s="646"/>
      <c r="AIN104" s="645"/>
      <c r="AIO104" s="646"/>
      <c r="AIP104" s="645"/>
      <c r="AIQ104" s="645"/>
      <c r="AIR104" s="645"/>
      <c r="AIS104" s="645"/>
      <c r="AIT104" s="645"/>
      <c r="AIU104" s="645"/>
      <c r="AIV104" s="645"/>
      <c r="AIW104" s="645"/>
      <c r="AIX104" s="645"/>
      <c r="AIY104" s="645"/>
      <c r="AIZ104" s="645"/>
      <c r="AJA104" s="645"/>
      <c r="AJB104" s="645"/>
      <c r="AJC104" s="645"/>
      <c r="AJD104" s="645"/>
      <c r="AJE104" s="645"/>
      <c r="AJF104" s="645"/>
      <c r="AJG104" s="645"/>
      <c r="AJH104" s="645"/>
      <c r="AJI104" s="645"/>
      <c r="AJJ104" s="645"/>
      <c r="AJK104" s="645"/>
      <c r="AJL104" s="645"/>
      <c r="AJM104" s="645"/>
      <c r="AJN104" s="645"/>
      <c r="AJO104" s="645"/>
      <c r="AJP104" s="645"/>
      <c r="AJQ104" s="645"/>
      <c r="AJR104" s="645"/>
      <c r="AJS104" s="645"/>
      <c r="AJT104" s="645"/>
      <c r="AJU104" s="645"/>
      <c r="AJV104" s="645"/>
      <c r="AJW104" s="645"/>
      <c r="AJX104" s="645"/>
      <c r="AJY104" s="645"/>
      <c r="AJZ104" s="645"/>
      <c r="AKA104" s="645"/>
      <c r="AKB104" s="645"/>
      <c r="AKC104" s="645"/>
      <c r="AKD104" s="645"/>
      <c r="AKE104" s="645"/>
      <c r="AKF104" s="645"/>
      <c r="AKG104" s="645"/>
      <c r="AKH104" s="645"/>
      <c r="AKI104" s="645"/>
      <c r="AKJ104" s="645"/>
      <c r="AKK104" s="645"/>
      <c r="AKL104" s="645"/>
      <c r="AKM104" s="645"/>
      <c r="AKN104" s="645"/>
      <c r="AKO104" s="645"/>
      <c r="AKP104" s="645"/>
      <c r="AKQ104" s="645"/>
      <c r="AKR104" s="645"/>
      <c r="AKS104" s="645"/>
      <c r="AKT104" s="645"/>
      <c r="AKU104" s="645"/>
      <c r="AKV104" s="645"/>
      <c r="AKW104" s="645"/>
      <c r="AKX104" s="645"/>
      <c r="AKY104" s="645"/>
      <c r="AKZ104" s="645"/>
      <c r="ALA104" s="645"/>
      <c r="ALB104" s="645"/>
      <c r="ALC104" s="645"/>
      <c r="ALD104" s="645"/>
      <c r="ALE104" s="645"/>
      <c r="ALF104" s="645"/>
      <c r="ALG104" s="645"/>
      <c r="ALH104" s="645"/>
      <c r="ALI104" s="645"/>
      <c r="ALJ104" s="645"/>
      <c r="ALK104" s="645"/>
      <c r="ALL104" s="645"/>
      <c r="ALM104" s="645"/>
      <c r="ALN104" s="645"/>
      <c r="ALO104" s="645"/>
      <c r="ALP104" s="645"/>
      <c r="ALQ104" s="645"/>
      <c r="ALR104" s="645"/>
      <c r="ALS104" s="645"/>
      <c r="ALT104" s="645"/>
      <c r="ALU104" s="645"/>
      <c r="ALV104" s="645"/>
      <c r="ALW104" s="645"/>
      <c r="ALX104" s="645"/>
      <c r="ALY104" s="645"/>
      <c r="ALZ104" s="645"/>
      <c r="AMA104" s="645"/>
      <c r="AMB104" s="645"/>
      <c r="AMC104" s="645"/>
      <c r="AMD104" s="645"/>
      <c r="AME104" s="645"/>
      <c r="AMF104" s="645"/>
      <c r="AMG104" s="645"/>
      <c r="AMH104" s="645"/>
      <c r="AMI104" s="645"/>
      <c r="AMJ104" s="645"/>
    </row>
    <row r="105" spans="1:1024" s="37" customFormat="1" ht="15.75" customHeight="1" x14ac:dyDescent="0.35">
      <c r="A105" s="600"/>
      <c r="B105" s="644" t="s">
        <v>359</v>
      </c>
      <c r="C105" s="645"/>
      <c r="D105" s="646"/>
      <c r="E105" s="645"/>
      <c r="F105" s="646"/>
      <c r="G105" s="647" t="s">
        <v>243</v>
      </c>
      <c r="H105" s="643"/>
      <c r="I105" s="645"/>
      <c r="J105" s="38"/>
      <c r="K105" s="38"/>
      <c r="L105" s="39"/>
      <c r="M105" s="38"/>
      <c r="N105" s="39"/>
      <c r="O105" s="38"/>
      <c r="P105" s="39"/>
      <c r="Q105" s="38"/>
      <c r="R105" s="39"/>
      <c r="S105" s="38"/>
      <c r="T105" s="39"/>
      <c r="U105" s="38"/>
      <c r="V105" s="39"/>
      <c r="W105" s="38"/>
      <c r="X105" s="39"/>
      <c r="Y105" s="38"/>
      <c r="Z105" s="39"/>
      <c r="AA105" s="38"/>
      <c r="AB105" s="39"/>
      <c r="AC105" s="38"/>
      <c r="AD105" s="39"/>
      <c r="AE105" s="38"/>
      <c r="AF105" s="39"/>
      <c r="AG105" s="38"/>
      <c r="AH105" s="39"/>
      <c r="AI105" s="38"/>
      <c r="AJ105" s="39"/>
      <c r="AK105" s="40"/>
      <c r="AL105" s="39"/>
      <c r="AM105" s="40"/>
      <c r="AN105" s="39"/>
      <c r="AO105" s="40"/>
      <c r="AP105" s="39"/>
      <c r="AQ105" s="40"/>
      <c r="AR105" s="39"/>
      <c r="AS105" s="40"/>
      <c r="AT105" s="39"/>
      <c r="AU105" s="40"/>
      <c r="AV105" s="39"/>
      <c r="AW105" s="40"/>
      <c r="AX105" s="39"/>
      <c r="AY105" s="40"/>
      <c r="AZ105" s="39"/>
      <c r="BA105" s="40"/>
      <c r="BB105" s="39"/>
      <c r="BC105" s="40"/>
      <c r="BD105" s="39"/>
      <c r="BE105" s="40"/>
      <c r="BF105" s="39"/>
      <c r="BG105" s="40"/>
      <c r="BH105" s="39"/>
      <c r="BI105" s="40"/>
      <c r="BJ105" s="39"/>
      <c r="BK105" s="40"/>
      <c r="BL105" s="39"/>
      <c r="BM105" s="40"/>
      <c r="BN105" s="39"/>
      <c r="BO105" s="40"/>
      <c r="BP105" s="39"/>
      <c r="BQ105" s="40"/>
      <c r="BR105" s="39"/>
      <c r="BS105" s="40"/>
      <c r="BT105" s="39"/>
      <c r="BU105" s="40"/>
      <c r="BV105" s="39"/>
      <c r="BW105" s="40"/>
      <c r="BX105" s="39"/>
      <c r="BY105" s="40"/>
      <c r="BZ105" s="39"/>
      <c r="CA105" s="40"/>
      <c r="CB105" s="39"/>
      <c r="CC105" s="40"/>
      <c r="CD105" s="39"/>
      <c r="CE105" s="40"/>
      <c r="CF105" s="39"/>
      <c r="CG105" s="40"/>
      <c r="CH105" s="39"/>
      <c r="CI105" s="40"/>
      <c r="CJ105" s="39"/>
      <c r="CK105" s="40"/>
      <c r="CL105" s="39"/>
      <c r="CM105" s="40"/>
      <c r="CN105" s="39"/>
      <c r="CO105" s="40"/>
      <c r="CP105" s="39"/>
      <c r="CQ105" s="40"/>
      <c r="CR105" s="39"/>
      <c r="CS105" s="40"/>
      <c r="CT105" s="39"/>
      <c r="CU105" s="40"/>
      <c r="CV105" s="39"/>
      <c r="CW105" s="40"/>
      <c r="CX105" s="39"/>
      <c r="CY105" s="40"/>
      <c r="CZ105" s="39"/>
      <c r="DA105" s="40"/>
      <c r="DB105" s="39"/>
      <c r="DC105" s="40"/>
      <c r="DD105" s="39"/>
      <c r="DE105" s="40"/>
      <c r="DF105" s="39"/>
      <c r="DG105" s="40"/>
      <c r="DH105" s="39"/>
      <c r="DI105" s="40"/>
      <c r="DJ105" s="39"/>
      <c r="DK105" s="40"/>
      <c r="DL105" s="39"/>
      <c r="DM105" s="40"/>
      <c r="DN105" s="39"/>
      <c r="DO105" s="40"/>
      <c r="DP105" s="39"/>
      <c r="DQ105" s="40"/>
      <c r="DR105" s="39"/>
      <c r="DS105" s="40"/>
      <c r="DT105" s="39"/>
      <c r="DU105" s="40"/>
      <c r="DV105" s="39"/>
      <c r="DW105" s="40"/>
      <c r="DX105" s="39"/>
      <c r="DY105" s="40"/>
      <c r="DZ105" s="39"/>
      <c r="EA105" s="40"/>
      <c r="EB105" s="39"/>
      <c r="EC105" s="40"/>
      <c r="ED105" s="39"/>
      <c r="EE105" s="40"/>
      <c r="EF105" s="39"/>
      <c r="EG105" s="40"/>
      <c r="EH105" s="39"/>
      <c r="EI105" s="40"/>
      <c r="EJ105" s="39"/>
      <c r="EK105" s="40"/>
      <c r="EL105" s="39"/>
      <c r="EM105" s="40"/>
      <c r="EN105" s="39"/>
      <c r="EO105" s="40"/>
      <c r="EP105" s="39"/>
      <c r="EQ105" s="40"/>
      <c r="ER105" s="39"/>
      <c r="ES105" s="40"/>
      <c r="ET105" s="39"/>
      <c r="EU105" s="40"/>
      <c r="EV105" s="39"/>
      <c r="EW105" s="40"/>
      <c r="EX105" s="39"/>
      <c r="EY105" s="40"/>
      <c r="EZ105" s="39"/>
      <c r="FA105" s="40"/>
      <c r="FB105" s="39"/>
      <c r="FC105" s="40"/>
      <c r="FD105" s="39"/>
      <c r="FE105" s="40"/>
      <c r="FF105" s="39"/>
      <c r="FG105" s="40"/>
      <c r="FH105" s="39"/>
      <c r="FI105" s="40"/>
      <c r="FJ105" s="39"/>
      <c r="FK105" s="40"/>
      <c r="FL105" s="39"/>
      <c r="FM105" s="40"/>
      <c r="FN105" s="39"/>
      <c r="FO105" s="40"/>
      <c r="FP105" s="39"/>
      <c r="FQ105" s="40"/>
      <c r="FR105" s="39"/>
      <c r="FS105" s="40"/>
      <c r="FT105" s="39"/>
      <c r="FU105" s="40"/>
      <c r="FV105" s="39"/>
      <c r="FW105" s="40"/>
      <c r="FX105" s="39"/>
      <c r="FY105" s="40"/>
      <c r="FZ105" s="39"/>
      <c r="GA105" s="40"/>
      <c r="GB105" s="39"/>
      <c r="GC105" s="40"/>
      <c r="GD105" s="39"/>
      <c r="GE105" s="40"/>
      <c r="GF105" s="39"/>
      <c r="GG105" s="40"/>
      <c r="GH105" s="39"/>
      <c r="GI105" s="40"/>
      <c r="GJ105" s="39"/>
      <c r="GK105" s="40"/>
      <c r="GL105" s="39"/>
      <c r="GM105" s="40"/>
      <c r="GN105" s="39"/>
      <c r="GO105" s="40"/>
      <c r="GP105" s="39"/>
      <c r="GQ105" s="40"/>
      <c r="GR105" s="39"/>
      <c r="GS105" s="40"/>
      <c r="GT105" s="39"/>
      <c r="GU105" s="40"/>
      <c r="GV105" s="39"/>
      <c r="GW105" s="40"/>
      <c r="GX105" s="39"/>
      <c r="GY105" s="40"/>
      <c r="GZ105" s="39"/>
      <c r="HA105" s="40"/>
      <c r="HB105" s="39"/>
      <c r="HC105" s="40"/>
      <c r="HD105" s="39"/>
      <c r="HE105" s="40"/>
      <c r="HF105" s="39"/>
      <c r="HG105" s="40"/>
      <c r="HH105" s="39"/>
      <c r="HI105" s="40"/>
      <c r="HJ105" s="39"/>
      <c r="HK105" s="40"/>
      <c r="HL105" s="39"/>
      <c r="HM105" s="40"/>
      <c r="HN105" s="39"/>
      <c r="HO105" s="40"/>
      <c r="HP105" s="39"/>
      <c r="HQ105" s="40"/>
      <c r="HR105" s="39"/>
      <c r="HS105" s="40"/>
      <c r="HT105" s="39"/>
      <c r="HU105" s="40"/>
      <c r="HV105" s="39"/>
      <c r="HW105" s="40"/>
      <c r="HX105" s="39"/>
      <c r="HY105" s="40"/>
      <c r="HZ105" s="39"/>
      <c r="IA105" s="40"/>
      <c r="IB105" s="39"/>
      <c r="IC105" s="1068"/>
      <c r="ID105" s="645"/>
      <c r="IE105" s="646"/>
      <c r="IF105" s="645"/>
      <c r="IG105" s="646"/>
      <c r="IH105" s="645"/>
      <c r="II105" s="646"/>
      <c r="IJ105" s="645"/>
      <c r="IK105" s="646"/>
      <c r="IL105" s="645"/>
      <c r="IM105" s="646"/>
      <c r="IN105" s="645"/>
      <c r="IO105" s="646"/>
      <c r="IP105" s="645"/>
      <c r="IQ105" s="646"/>
      <c r="IR105" s="645"/>
      <c r="IS105" s="646"/>
      <c r="IT105" s="645"/>
      <c r="IU105" s="646"/>
      <c r="IV105" s="645"/>
      <c r="IW105" s="646"/>
      <c r="IX105" s="645"/>
      <c r="IY105" s="646"/>
      <c r="IZ105" s="645"/>
      <c r="JA105" s="646"/>
      <c r="JB105" s="645"/>
      <c r="JC105" s="646"/>
      <c r="JD105" s="645"/>
      <c r="JE105" s="646"/>
      <c r="JF105" s="645"/>
      <c r="JG105" s="646"/>
      <c r="JH105" s="645"/>
      <c r="JI105" s="646"/>
      <c r="JJ105" s="645"/>
      <c r="JK105" s="646"/>
      <c r="JL105" s="645"/>
      <c r="JM105" s="646"/>
      <c r="JN105" s="645"/>
      <c r="JO105" s="646"/>
      <c r="JP105" s="645"/>
      <c r="JQ105" s="646"/>
      <c r="JR105" s="645"/>
      <c r="JS105" s="646"/>
      <c r="JT105" s="645"/>
      <c r="JU105" s="646"/>
      <c r="JV105" s="645"/>
      <c r="JW105" s="646"/>
      <c r="JX105" s="645"/>
      <c r="JY105" s="646"/>
      <c r="JZ105" s="645"/>
      <c r="KA105" s="646"/>
      <c r="KB105" s="645"/>
      <c r="KC105" s="646"/>
      <c r="KD105" s="645"/>
      <c r="KE105" s="646"/>
      <c r="KF105" s="645"/>
      <c r="KG105" s="646"/>
      <c r="KH105" s="645"/>
      <c r="KI105" s="646"/>
      <c r="KJ105" s="645"/>
      <c r="KK105" s="646"/>
      <c r="KL105" s="645"/>
      <c r="KM105" s="646"/>
      <c r="KN105" s="645"/>
      <c r="KO105" s="646"/>
      <c r="KP105" s="645"/>
      <c r="KQ105" s="646"/>
      <c r="KR105" s="645"/>
      <c r="KS105" s="646"/>
      <c r="KT105" s="645"/>
      <c r="KU105" s="646"/>
      <c r="KV105" s="645"/>
      <c r="KW105" s="646"/>
      <c r="KX105" s="645"/>
      <c r="KY105" s="646"/>
      <c r="KZ105" s="645"/>
      <c r="LA105" s="646"/>
      <c r="LB105" s="645"/>
      <c r="LC105" s="646"/>
      <c r="LD105" s="645"/>
      <c r="LE105" s="646"/>
      <c r="LF105" s="645"/>
      <c r="LG105" s="646"/>
      <c r="LH105" s="645"/>
      <c r="LI105" s="646"/>
      <c r="LJ105" s="645"/>
      <c r="LK105" s="646"/>
      <c r="LL105" s="645"/>
      <c r="LM105" s="646"/>
      <c r="LN105" s="645"/>
      <c r="LO105" s="646"/>
      <c r="LP105" s="645"/>
      <c r="LQ105" s="646"/>
      <c r="LR105" s="645"/>
      <c r="LS105" s="646"/>
      <c r="LT105" s="645"/>
      <c r="LU105" s="646"/>
      <c r="LV105" s="645"/>
      <c r="LW105" s="646"/>
      <c r="LX105" s="645"/>
      <c r="LY105" s="646"/>
      <c r="LZ105" s="645"/>
      <c r="MA105" s="646"/>
      <c r="MB105" s="645"/>
      <c r="MC105" s="646"/>
      <c r="MD105" s="645"/>
      <c r="ME105" s="646"/>
      <c r="MF105" s="645"/>
      <c r="MG105" s="646"/>
      <c r="MH105" s="645"/>
      <c r="MI105" s="646"/>
      <c r="MJ105" s="645"/>
      <c r="MK105" s="646"/>
      <c r="ML105" s="645"/>
      <c r="MM105" s="646"/>
      <c r="MN105" s="645"/>
      <c r="MO105" s="646"/>
      <c r="MP105" s="645"/>
      <c r="MQ105" s="646"/>
      <c r="MR105" s="645"/>
      <c r="MS105" s="646"/>
      <c r="MT105" s="645"/>
      <c r="MU105" s="646"/>
      <c r="MV105" s="645"/>
      <c r="MW105" s="646"/>
      <c r="MX105" s="645"/>
      <c r="MY105" s="646"/>
      <c r="MZ105" s="645"/>
      <c r="NA105" s="646"/>
      <c r="NB105" s="645"/>
      <c r="NC105" s="646"/>
      <c r="ND105" s="645"/>
      <c r="NE105" s="646"/>
      <c r="NF105" s="645"/>
      <c r="NG105" s="646"/>
      <c r="NH105" s="645"/>
      <c r="NI105" s="646"/>
      <c r="NJ105" s="645"/>
      <c r="NK105" s="646"/>
      <c r="NL105" s="645"/>
      <c r="NM105" s="646"/>
      <c r="NN105" s="645"/>
      <c r="NO105" s="646"/>
      <c r="NP105" s="645"/>
      <c r="NQ105" s="646"/>
      <c r="NR105" s="645"/>
      <c r="NS105" s="646"/>
      <c r="NT105" s="645"/>
      <c r="NU105" s="646"/>
      <c r="NV105" s="645"/>
      <c r="NW105" s="646"/>
      <c r="NX105" s="645"/>
      <c r="NY105" s="646"/>
      <c r="NZ105" s="645"/>
      <c r="OA105" s="646"/>
      <c r="OB105" s="645"/>
      <c r="OC105" s="646"/>
      <c r="OD105" s="645"/>
      <c r="OE105" s="646"/>
      <c r="OF105" s="645"/>
      <c r="OG105" s="646"/>
      <c r="OH105" s="645"/>
      <c r="OI105" s="646"/>
      <c r="OJ105" s="645"/>
      <c r="OK105" s="646"/>
      <c r="OL105" s="645"/>
      <c r="OM105" s="646"/>
      <c r="ON105" s="645"/>
      <c r="OO105" s="646"/>
      <c r="OP105" s="645"/>
      <c r="OQ105" s="646"/>
      <c r="OR105" s="645"/>
      <c r="OS105" s="646"/>
      <c r="OT105" s="645"/>
      <c r="OU105" s="646"/>
      <c r="OV105" s="645"/>
      <c r="OW105" s="646"/>
      <c r="OX105" s="645"/>
      <c r="OY105" s="646"/>
      <c r="OZ105" s="645"/>
      <c r="PA105" s="646"/>
      <c r="PB105" s="645"/>
      <c r="PC105" s="646"/>
      <c r="PD105" s="645"/>
      <c r="PE105" s="646"/>
      <c r="PF105" s="645"/>
      <c r="PG105" s="646"/>
      <c r="PH105" s="645"/>
      <c r="PI105" s="646"/>
      <c r="PJ105" s="645"/>
      <c r="PK105" s="646"/>
      <c r="PL105" s="645"/>
      <c r="PM105" s="646"/>
      <c r="PN105" s="645"/>
      <c r="PO105" s="646"/>
      <c r="PP105" s="645"/>
      <c r="PQ105" s="646"/>
      <c r="PR105" s="645"/>
      <c r="PS105" s="646"/>
      <c r="PT105" s="645"/>
      <c r="PU105" s="646"/>
      <c r="PV105" s="645"/>
      <c r="PW105" s="646"/>
      <c r="PX105" s="645"/>
      <c r="PY105" s="646"/>
      <c r="PZ105" s="645"/>
      <c r="QA105" s="646"/>
      <c r="QB105" s="645"/>
      <c r="QC105" s="646"/>
      <c r="QD105" s="645"/>
      <c r="QE105" s="646"/>
      <c r="QF105" s="645"/>
      <c r="QG105" s="646"/>
      <c r="QH105" s="645"/>
      <c r="QI105" s="646"/>
      <c r="QJ105" s="645"/>
      <c r="QK105" s="646"/>
      <c r="QL105" s="645"/>
      <c r="QM105" s="646"/>
      <c r="QN105" s="645"/>
      <c r="QO105" s="646"/>
      <c r="QP105" s="645"/>
      <c r="QQ105" s="646"/>
      <c r="QR105" s="645"/>
      <c r="QS105" s="646"/>
      <c r="QT105" s="645"/>
      <c r="QU105" s="646"/>
      <c r="QV105" s="645"/>
      <c r="QW105" s="646"/>
      <c r="QX105" s="645"/>
      <c r="QY105" s="646"/>
      <c r="QZ105" s="645"/>
      <c r="RA105" s="646"/>
      <c r="RB105" s="645"/>
      <c r="RC105" s="646"/>
      <c r="RD105" s="645"/>
      <c r="RE105" s="646"/>
      <c r="RF105" s="645"/>
      <c r="RG105" s="646"/>
      <c r="RH105" s="645"/>
      <c r="RI105" s="646"/>
      <c r="RJ105" s="645"/>
      <c r="RK105" s="646"/>
      <c r="RL105" s="645"/>
      <c r="RM105" s="646"/>
      <c r="RN105" s="645"/>
      <c r="RO105" s="646"/>
      <c r="RP105" s="645"/>
      <c r="RQ105" s="646"/>
      <c r="RR105" s="645"/>
      <c r="RS105" s="646"/>
      <c r="RT105" s="645"/>
      <c r="RU105" s="646"/>
      <c r="RV105" s="645"/>
      <c r="RW105" s="646"/>
      <c r="RX105" s="645"/>
      <c r="RY105" s="646"/>
      <c r="RZ105" s="645"/>
      <c r="SA105" s="646"/>
      <c r="SB105" s="645"/>
      <c r="SC105" s="646"/>
      <c r="SD105" s="645"/>
      <c r="SE105" s="646"/>
      <c r="SF105" s="645"/>
      <c r="SG105" s="646"/>
      <c r="SH105" s="645"/>
      <c r="SI105" s="646"/>
      <c r="SJ105" s="645"/>
      <c r="SK105" s="646"/>
      <c r="SL105" s="645"/>
      <c r="SM105" s="646"/>
      <c r="SN105" s="645"/>
      <c r="SO105" s="646"/>
      <c r="SP105" s="645"/>
      <c r="SQ105" s="646"/>
      <c r="SR105" s="645"/>
      <c r="SS105" s="646"/>
      <c r="ST105" s="645"/>
      <c r="SU105" s="646"/>
      <c r="SV105" s="645"/>
      <c r="SW105" s="646"/>
      <c r="SX105" s="645"/>
      <c r="SY105" s="646"/>
      <c r="SZ105" s="645"/>
      <c r="TA105" s="646"/>
      <c r="TB105" s="645"/>
      <c r="TC105" s="646"/>
      <c r="TD105" s="645"/>
      <c r="TE105" s="646"/>
      <c r="TF105" s="645"/>
      <c r="TG105" s="646"/>
      <c r="TH105" s="645"/>
      <c r="TI105" s="646"/>
      <c r="TJ105" s="645"/>
      <c r="TK105" s="646"/>
      <c r="TL105" s="645"/>
      <c r="TM105" s="646"/>
      <c r="TN105" s="645"/>
      <c r="TO105" s="646"/>
      <c r="TP105" s="645"/>
      <c r="TQ105" s="646"/>
      <c r="TR105" s="645"/>
      <c r="TS105" s="646"/>
      <c r="TT105" s="645"/>
      <c r="TU105" s="646"/>
      <c r="TV105" s="645"/>
      <c r="TW105" s="646"/>
      <c r="TX105" s="645"/>
      <c r="TY105" s="646"/>
      <c r="TZ105" s="645"/>
      <c r="UA105" s="646"/>
      <c r="UB105" s="645"/>
      <c r="UC105" s="646"/>
      <c r="UD105" s="645"/>
      <c r="UE105" s="646"/>
      <c r="UF105" s="645"/>
      <c r="UG105" s="646"/>
      <c r="UH105" s="645"/>
      <c r="UI105" s="646"/>
      <c r="UJ105" s="645"/>
      <c r="UK105" s="646"/>
      <c r="UL105" s="645"/>
      <c r="UM105" s="646"/>
      <c r="UN105" s="645"/>
      <c r="UO105" s="646"/>
      <c r="UP105" s="645"/>
      <c r="UQ105" s="646"/>
      <c r="UR105" s="645"/>
      <c r="US105" s="646"/>
      <c r="UT105" s="645"/>
      <c r="UU105" s="646"/>
      <c r="UV105" s="645"/>
      <c r="UW105" s="646"/>
      <c r="UX105" s="645"/>
      <c r="UY105" s="646"/>
      <c r="UZ105" s="645"/>
      <c r="VA105" s="646"/>
      <c r="VB105" s="645"/>
      <c r="VC105" s="646"/>
      <c r="VD105" s="645"/>
      <c r="VE105" s="646"/>
      <c r="VF105" s="645"/>
      <c r="VG105" s="646"/>
      <c r="VH105" s="645"/>
      <c r="VI105" s="646"/>
      <c r="VJ105" s="645"/>
      <c r="VK105" s="646"/>
      <c r="VL105" s="645"/>
      <c r="VM105" s="646"/>
      <c r="VN105" s="645"/>
      <c r="VO105" s="646"/>
      <c r="VP105" s="645"/>
      <c r="VQ105" s="646"/>
      <c r="VR105" s="645"/>
      <c r="VS105" s="646"/>
      <c r="VT105" s="645"/>
      <c r="VU105" s="646"/>
      <c r="VV105" s="645"/>
      <c r="VW105" s="646"/>
      <c r="VX105" s="645"/>
      <c r="VY105" s="646"/>
      <c r="VZ105" s="645"/>
      <c r="WA105" s="646"/>
      <c r="WB105" s="645"/>
      <c r="WC105" s="646"/>
      <c r="WD105" s="645"/>
      <c r="WE105" s="646"/>
      <c r="WF105" s="645"/>
      <c r="WG105" s="646"/>
      <c r="WH105" s="645"/>
      <c r="WI105" s="646"/>
      <c r="WJ105" s="645"/>
      <c r="WK105" s="646"/>
      <c r="WL105" s="645"/>
      <c r="WM105" s="646"/>
      <c r="WN105" s="645"/>
      <c r="WO105" s="646"/>
      <c r="WP105" s="645"/>
      <c r="WQ105" s="646"/>
      <c r="WR105" s="645"/>
      <c r="WS105" s="646"/>
      <c r="WT105" s="645"/>
      <c r="WU105" s="646"/>
      <c r="WV105" s="645"/>
      <c r="WW105" s="646"/>
      <c r="WX105" s="645"/>
      <c r="WY105" s="646"/>
      <c r="WZ105" s="645"/>
      <c r="XA105" s="646"/>
      <c r="XB105" s="645"/>
      <c r="XC105" s="646"/>
      <c r="XD105" s="645"/>
      <c r="XE105" s="646"/>
      <c r="XF105" s="645"/>
      <c r="XG105" s="646"/>
      <c r="XH105" s="645"/>
      <c r="XI105" s="646"/>
      <c r="XJ105" s="645"/>
      <c r="XK105" s="646"/>
      <c r="XL105" s="645"/>
      <c r="XM105" s="646"/>
      <c r="XN105" s="645"/>
      <c r="XO105" s="646"/>
      <c r="XP105" s="645"/>
      <c r="XQ105" s="646"/>
      <c r="XR105" s="645"/>
      <c r="XS105" s="646"/>
      <c r="XT105" s="645"/>
      <c r="XU105" s="646"/>
      <c r="XV105" s="645"/>
      <c r="XW105" s="646"/>
      <c r="XX105" s="645"/>
      <c r="XY105" s="646"/>
      <c r="XZ105" s="645"/>
      <c r="YA105" s="646"/>
      <c r="YB105" s="645"/>
      <c r="YC105" s="646"/>
      <c r="YD105" s="645"/>
      <c r="YE105" s="646"/>
      <c r="YF105" s="645"/>
      <c r="YG105" s="646"/>
      <c r="YH105" s="645"/>
      <c r="YI105" s="646"/>
      <c r="YJ105" s="645"/>
      <c r="YK105" s="646"/>
      <c r="YL105" s="645"/>
      <c r="YM105" s="646"/>
      <c r="YN105" s="645"/>
      <c r="YO105" s="646"/>
      <c r="YP105" s="645"/>
      <c r="YQ105" s="646"/>
      <c r="YR105" s="645"/>
      <c r="YS105" s="646"/>
      <c r="YT105" s="645"/>
      <c r="YU105" s="646"/>
      <c r="YV105" s="645"/>
      <c r="YW105" s="646"/>
      <c r="YX105" s="645"/>
      <c r="YY105" s="646"/>
      <c r="YZ105" s="645"/>
      <c r="ZA105" s="646"/>
      <c r="ZB105" s="645"/>
      <c r="ZC105" s="646"/>
      <c r="ZD105" s="645"/>
      <c r="ZE105" s="646"/>
      <c r="ZF105" s="645"/>
      <c r="ZG105" s="646"/>
      <c r="ZH105" s="645"/>
      <c r="ZI105" s="646"/>
      <c r="ZJ105" s="645"/>
      <c r="ZK105" s="646"/>
      <c r="ZL105" s="645"/>
      <c r="ZM105" s="646"/>
      <c r="ZN105" s="645"/>
      <c r="ZO105" s="646"/>
      <c r="ZP105" s="645"/>
      <c r="ZQ105" s="646"/>
      <c r="ZR105" s="645"/>
      <c r="ZS105" s="646"/>
      <c r="ZT105" s="645"/>
      <c r="ZU105" s="646"/>
      <c r="ZV105" s="645"/>
      <c r="ZW105" s="646"/>
      <c r="ZX105" s="645"/>
      <c r="ZY105" s="646"/>
      <c r="ZZ105" s="645"/>
      <c r="AAA105" s="646"/>
      <c r="AAB105" s="645"/>
      <c r="AAC105" s="646"/>
      <c r="AAD105" s="645"/>
      <c r="AAE105" s="646"/>
      <c r="AAF105" s="645"/>
      <c r="AAG105" s="646"/>
      <c r="AAH105" s="645"/>
      <c r="AAI105" s="646"/>
      <c r="AAJ105" s="645"/>
      <c r="AAK105" s="646"/>
      <c r="AAL105" s="645"/>
      <c r="AAM105" s="646"/>
      <c r="AAN105" s="645"/>
      <c r="AAO105" s="646"/>
      <c r="AAP105" s="645"/>
      <c r="AAQ105" s="646"/>
      <c r="AAR105" s="645"/>
      <c r="AAS105" s="646"/>
      <c r="AAT105" s="645"/>
      <c r="AAU105" s="646"/>
      <c r="AAV105" s="645"/>
      <c r="AAW105" s="646"/>
      <c r="AAX105" s="645"/>
      <c r="AAY105" s="646"/>
      <c r="AAZ105" s="645"/>
      <c r="ABA105" s="646"/>
      <c r="ABB105" s="645"/>
      <c r="ABC105" s="646"/>
      <c r="ABD105" s="645"/>
      <c r="ABE105" s="646"/>
      <c r="ABF105" s="645"/>
      <c r="ABG105" s="646"/>
      <c r="ABH105" s="645"/>
      <c r="ABI105" s="646"/>
      <c r="ABJ105" s="645"/>
      <c r="ABK105" s="646"/>
      <c r="ABL105" s="645"/>
      <c r="ABM105" s="646"/>
      <c r="ABN105" s="645"/>
      <c r="ABO105" s="646"/>
      <c r="ABP105" s="645"/>
      <c r="ABQ105" s="646"/>
      <c r="ABR105" s="645"/>
      <c r="ABS105" s="646"/>
      <c r="ABT105" s="645"/>
      <c r="ABU105" s="646"/>
      <c r="ABV105" s="645"/>
      <c r="ABW105" s="646"/>
      <c r="ABX105" s="645"/>
      <c r="ABY105" s="646"/>
      <c r="ABZ105" s="645"/>
      <c r="ACA105" s="646"/>
      <c r="ACB105" s="645"/>
      <c r="ACC105" s="646"/>
      <c r="ACD105" s="645"/>
      <c r="ACE105" s="646"/>
      <c r="ACF105" s="645"/>
      <c r="ACG105" s="646"/>
      <c r="ACH105" s="645"/>
      <c r="ACI105" s="646"/>
      <c r="ACJ105" s="645"/>
      <c r="ACK105" s="646"/>
      <c r="ACL105" s="645"/>
      <c r="ACM105" s="646"/>
      <c r="ACN105" s="645"/>
      <c r="ACO105" s="646"/>
      <c r="ACP105" s="645"/>
      <c r="ACQ105" s="646"/>
      <c r="ACR105" s="645"/>
      <c r="ACS105" s="646"/>
      <c r="ACT105" s="645"/>
      <c r="ACU105" s="646"/>
      <c r="ACV105" s="645"/>
      <c r="ACW105" s="646"/>
      <c r="ACX105" s="645"/>
      <c r="ACY105" s="646"/>
      <c r="ACZ105" s="645"/>
      <c r="ADA105" s="646"/>
      <c r="ADB105" s="645"/>
      <c r="ADC105" s="646"/>
      <c r="ADD105" s="645"/>
      <c r="ADE105" s="646"/>
      <c r="ADF105" s="645"/>
      <c r="ADG105" s="646"/>
      <c r="ADH105" s="645"/>
      <c r="ADI105" s="646"/>
      <c r="ADJ105" s="645"/>
      <c r="ADK105" s="646"/>
      <c r="ADL105" s="645"/>
      <c r="ADM105" s="646"/>
      <c r="ADN105" s="645"/>
      <c r="ADO105" s="646"/>
      <c r="ADP105" s="645"/>
      <c r="ADQ105" s="646"/>
      <c r="ADR105" s="645"/>
      <c r="ADS105" s="646"/>
      <c r="ADT105" s="645"/>
      <c r="ADU105" s="646"/>
      <c r="ADV105" s="645"/>
      <c r="ADW105" s="646"/>
      <c r="ADX105" s="645"/>
      <c r="ADY105" s="646"/>
      <c r="ADZ105" s="645"/>
      <c r="AEA105" s="646"/>
      <c r="AEB105" s="645"/>
      <c r="AEC105" s="646"/>
      <c r="AED105" s="645"/>
      <c r="AEE105" s="646"/>
      <c r="AEF105" s="645"/>
      <c r="AEG105" s="646"/>
      <c r="AEH105" s="645"/>
      <c r="AEI105" s="646"/>
      <c r="AEJ105" s="645"/>
      <c r="AEK105" s="646"/>
      <c r="AEL105" s="645"/>
      <c r="AEM105" s="646"/>
      <c r="AEN105" s="645"/>
      <c r="AEO105" s="646"/>
      <c r="AEP105" s="645"/>
      <c r="AEQ105" s="646"/>
      <c r="AER105" s="645"/>
      <c r="AES105" s="646"/>
      <c r="AET105" s="645"/>
      <c r="AEU105" s="646"/>
      <c r="AEV105" s="645"/>
      <c r="AEW105" s="646"/>
      <c r="AEX105" s="645"/>
      <c r="AEY105" s="646"/>
      <c r="AEZ105" s="645"/>
      <c r="AFA105" s="646"/>
      <c r="AFB105" s="645"/>
      <c r="AFC105" s="646"/>
      <c r="AFD105" s="645"/>
      <c r="AFE105" s="646"/>
      <c r="AFF105" s="645"/>
      <c r="AFG105" s="646"/>
      <c r="AFH105" s="645"/>
      <c r="AFI105" s="646"/>
      <c r="AFJ105" s="645"/>
      <c r="AFK105" s="646"/>
      <c r="AFL105" s="645"/>
      <c r="AFM105" s="646"/>
      <c r="AFN105" s="645"/>
      <c r="AFO105" s="646"/>
      <c r="AFP105" s="645"/>
      <c r="AFQ105" s="646"/>
      <c r="AFR105" s="645"/>
      <c r="AFS105" s="646"/>
      <c r="AFT105" s="645"/>
      <c r="AFU105" s="646"/>
      <c r="AFV105" s="645"/>
      <c r="AFW105" s="646"/>
      <c r="AFX105" s="645"/>
      <c r="AFY105" s="646"/>
      <c r="AFZ105" s="645"/>
      <c r="AGA105" s="646"/>
      <c r="AGB105" s="645"/>
      <c r="AGC105" s="646"/>
      <c r="AGD105" s="645"/>
      <c r="AGE105" s="646"/>
      <c r="AGF105" s="645"/>
      <c r="AGG105" s="646"/>
      <c r="AGH105" s="645"/>
      <c r="AGI105" s="646"/>
      <c r="AGJ105" s="645"/>
      <c r="AGK105" s="646"/>
      <c r="AGL105" s="645"/>
      <c r="AGM105" s="646"/>
      <c r="AGN105" s="645"/>
      <c r="AGO105" s="646"/>
      <c r="AGP105" s="645"/>
      <c r="AGQ105" s="646"/>
      <c r="AGR105" s="645"/>
      <c r="AGS105" s="646"/>
      <c r="AGT105" s="645"/>
      <c r="AGU105" s="646"/>
      <c r="AGV105" s="645"/>
      <c r="AGW105" s="646"/>
      <c r="AGX105" s="645"/>
      <c r="AGY105" s="646"/>
      <c r="AGZ105" s="645"/>
      <c r="AHA105" s="646"/>
      <c r="AHB105" s="645"/>
      <c r="AHC105" s="646"/>
      <c r="AHD105" s="645"/>
      <c r="AHE105" s="646"/>
      <c r="AHF105" s="645"/>
      <c r="AHG105" s="646"/>
      <c r="AHH105" s="645"/>
      <c r="AHI105" s="646"/>
      <c r="AHJ105" s="645"/>
      <c r="AHK105" s="646"/>
      <c r="AHL105" s="645"/>
      <c r="AHM105" s="646"/>
      <c r="AHN105" s="645"/>
      <c r="AHO105" s="646"/>
      <c r="AHP105" s="645"/>
      <c r="AHQ105" s="646"/>
      <c r="AHR105" s="645"/>
      <c r="AHS105" s="646"/>
      <c r="AHT105" s="645"/>
      <c r="AHU105" s="646"/>
      <c r="AHV105" s="645"/>
      <c r="AHW105" s="646"/>
      <c r="AHX105" s="645"/>
      <c r="AHY105" s="646"/>
      <c r="AHZ105" s="645"/>
      <c r="AIA105" s="646"/>
      <c r="AIB105" s="645"/>
      <c r="AIC105" s="646"/>
      <c r="AID105" s="645"/>
      <c r="AIE105" s="646"/>
      <c r="AIF105" s="645"/>
      <c r="AIG105" s="646"/>
      <c r="AIH105" s="645"/>
      <c r="AII105" s="646"/>
      <c r="AIJ105" s="645"/>
      <c r="AIK105" s="646"/>
      <c r="AIL105" s="645"/>
      <c r="AIM105" s="646"/>
      <c r="AIN105" s="645"/>
      <c r="AIO105" s="646"/>
      <c r="AIP105" s="645"/>
      <c r="AIQ105" s="645"/>
      <c r="AIR105" s="645"/>
      <c r="AIS105" s="645"/>
      <c r="AIT105" s="645"/>
      <c r="AIU105" s="645"/>
      <c r="AIV105" s="645"/>
      <c r="AIW105" s="645"/>
      <c r="AIX105" s="645"/>
      <c r="AIY105" s="645"/>
      <c r="AIZ105" s="645"/>
      <c r="AJA105" s="645"/>
      <c r="AJB105" s="645"/>
      <c r="AJC105" s="645"/>
      <c r="AJD105" s="645"/>
      <c r="AJE105" s="645"/>
      <c r="AJF105" s="645"/>
      <c r="AJG105" s="645"/>
      <c r="AJH105" s="645"/>
      <c r="AJI105" s="645"/>
      <c r="AJJ105" s="645"/>
      <c r="AJK105" s="645"/>
      <c r="AJL105" s="645"/>
      <c r="AJM105" s="645"/>
      <c r="AJN105" s="645"/>
      <c r="AJO105" s="645"/>
      <c r="AJP105" s="645"/>
      <c r="AJQ105" s="645"/>
      <c r="AJR105" s="645"/>
      <c r="AJS105" s="645"/>
      <c r="AJT105" s="645"/>
      <c r="AJU105" s="645"/>
      <c r="AJV105" s="645"/>
      <c r="AJW105" s="645"/>
      <c r="AJX105" s="645"/>
      <c r="AJY105" s="645"/>
      <c r="AJZ105" s="645"/>
      <c r="AKA105" s="645"/>
      <c r="AKB105" s="645"/>
      <c r="AKC105" s="645"/>
      <c r="AKD105" s="645"/>
      <c r="AKE105" s="645"/>
      <c r="AKF105" s="645"/>
      <c r="AKG105" s="645"/>
      <c r="AKH105" s="645"/>
      <c r="AKI105" s="645"/>
      <c r="AKJ105" s="645"/>
      <c r="AKK105" s="645"/>
      <c r="AKL105" s="645"/>
      <c r="AKM105" s="645"/>
      <c r="AKN105" s="645"/>
      <c r="AKO105" s="645"/>
      <c r="AKP105" s="645"/>
      <c r="AKQ105" s="645"/>
      <c r="AKR105" s="645"/>
      <c r="AKS105" s="645"/>
      <c r="AKT105" s="645"/>
      <c r="AKU105" s="645"/>
      <c r="AKV105" s="645"/>
      <c r="AKW105" s="645"/>
      <c r="AKX105" s="645"/>
      <c r="AKY105" s="645"/>
      <c r="AKZ105" s="645"/>
      <c r="ALA105" s="645"/>
      <c r="ALB105" s="645"/>
      <c r="ALC105" s="645"/>
      <c r="ALD105" s="645"/>
      <c r="ALE105" s="645"/>
      <c r="ALF105" s="645"/>
      <c r="ALG105" s="645"/>
      <c r="ALH105" s="645"/>
      <c r="ALI105" s="645"/>
      <c r="ALJ105" s="645"/>
      <c r="ALK105" s="645"/>
      <c r="ALL105" s="645"/>
      <c r="ALM105" s="645"/>
      <c r="ALN105" s="645"/>
      <c r="ALO105" s="645"/>
      <c r="ALP105" s="645"/>
      <c r="ALQ105" s="645"/>
      <c r="ALR105" s="645"/>
      <c r="ALS105" s="645"/>
      <c r="ALT105" s="645"/>
      <c r="ALU105" s="645"/>
      <c r="ALV105" s="645"/>
      <c r="ALW105" s="645"/>
      <c r="ALX105" s="645"/>
      <c r="ALY105" s="645"/>
      <c r="ALZ105" s="645"/>
      <c r="AMA105" s="645"/>
      <c r="AMB105" s="645"/>
      <c r="AMC105" s="645"/>
      <c r="AMD105" s="645"/>
      <c r="AME105" s="645"/>
      <c r="AMF105" s="645"/>
      <c r="AMG105" s="645"/>
      <c r="AMH105" s="645"/>
      <c r="AMI105" s="645"/>
      <c r="AMJ105" s="645"/>
    </row>
    <row r="106" spans="1:1024" s="37" customFormat="1" ht="15.75" customHeight="1" x14ac:dyDescent="0.35">
      <c r="A106" s="600"/>
      <c r="B106" s="644" t="s">
        <v>360</v>
      </c>
      <c r="C106" s="645"/>
      <c r="D106" s="646"/>
      <c r="E106" s="645"/>
      <c r="F106" s="646"/>
      <c r="G106" s="647" t="s">
        <v>243</v>
      </c>
      <c r="H106" s="643"/>
      <c r="I106" s="645"/>
      <c r="J106" s="38"/>
      <c r="K106" s="38"/>
      <c r="L106" s="39"/>
      <c r="M106" s="38"/>
      <c r="N106" s="39"/>
      <c r="O106" s="38"/>
      <c r="P106" s="39"/>
      <c r="Q106" s="38"/>
      <c r="R106" s="39"/>
      <c r="S106" s="38"/>
      <c r="T106" s="39"/>
      <c r="U106" s="38"/>
      <c r="V106" s="39"/>
      <c r="W106" s="38"/>
      <c r="X106" s="39"/>
      <c r="Y106" s="38"/>
      <c r="Z106" s="39"/>
      <c r="AA106" s="38"/>
      <c r="AB106" s="39"/>
      <c r="AC106" s="38"/>
      <c r="AD106" s="39"/>
      <c r="AE106" s="38"/>
      <c r="AF106" s="39"/>
      <c r="AG106" s="38"/>
      <c r="AH106" s="39"/>
      <c r="AI106" s="38"/>
      <c r="AJ106" s="39"/>
      <c r="AK106" s="40"/>
      <c r="AL106" s="39"/>
      <c r="AM106" s="40"/>
      <c r="AN106" s="39"/>
      <c r="AO106" s="40"/>
      <c r="AP106" s="39"/>
      <c r="AQ106" s="40"/>
      <c r="AR106" s="39"/>
      <c r="AS106" s="40"/>
      <c r="AT106" s="39"/>
      <c r="AU106" s="40"/>
      <c r="AV106" s="39"/>
      <c r="AW106" s="40"/>
      <c r="AX106" s="39"/>
      <c r="AY106" s="40"/>
      <c r="AZ106" s="39"/>
      <c r="BA106" s="40"/>
      <c r="BB106" s="39"/>
      <c r="BC106" s="40"/>
      <c r="BD106" s="39"/>
      <c r="BE106" s="40"/>
      <c r="BF106" s="39"/>
      <c r="BG106" s="40"/>
      <c r="BH106" s="39"/>
      <c r="BI106" s="40"/>
      <c r="BJ106" s="39"/>
      <c r="BK106" s="40"/>
      <c r="BL106" s="39"/>
      <c r="BM106" s="40"/>
      <c r="BN106" s="39"/>
      <c r="BO106" s="40"/>
      <c r="BP106" s="39"/>
      <c r="BQ106" s="40"/>
      <c r="BR106" s="39"/>
      <c r="BS106" s="40"/>
      <c r="BT106" s="39"/>
      <c r="BU106" s="40"/>
      <c r="BV106" s="39"/>
      <c r="BW106" s="40"/>
      <c r="BX106" s="39"/>
      <c r="BY106" s="40"/>
      <c r="BZ106" s="39"/>
      <c r="CA106" s="40"/>
      <c r="CB106" s="39"/>
      <c r="CC106" s="40"/>
      <c r="CD106" s="39"/>
      <c r="CE106" s="40"/>
      <c r="CF106" s="39"/>
      <c r="CG106" s="40"/>
      <c r="CH106" s="39"/>
      <c r="CI106" s="40"/>
      <c r="CJ106" s="39"/>
      <c r="CK106" s="40"/>
      <c r="CL106" s="39"/>
      <c r="CM106" s="40"/>
      <c r="CN106" s="39"/>
      <c r="CO106" s="40"/>
      <c r="CP106" s="39"/>
      <c r="CQ106" s="40"/>
      <c r="CR106" s="39"/>
      <c r="CS106" s="40"/>
      <c r="CT106" s="39"/>
      <c r="CU106" s="40"/>
      <c r="CV106" s="39"/>
      <c r="CW106" s="40"/>
      <c r="CX106" s="39"/>
      <c r="CY106" s="40"/>
      <c r="CZ106" s="39"/>
      <c r="DA106" s="40"/>
      <c r="DB106" s="39"/>
      <c r="DC106" s="40"/>
      <c r="DD106" s="39"/>
      <c r="DE106" s="40"/>
      <c r="DF106" s="39"/>
      <c r="DG106" s="40"/>
      <c r="DH106" s="39"/>
      <c r="DI106" s="40"/>
      <c r="DJ106" s="39"/>
      <c r="DK106" s="40"/>
      <c r="DL106" s="39"/>
      <c r="DM106" s="40"/>
      <c r="DN106" s="39"/>
      <c r="DO106" s="40"/>
      <c r="DP106" s="39"/>
      <c r="DQ106" s="40"/>
      <c r="DR106" s="39"/>
      <c r="DS106" s="40"/>
      <c r="DT106" s="39"/>
      <c r="DU106" s="40"/>
      <c r="DV106" s="39"/>
      <c r="DW106" s="40"/>
      <c r="DX106" s="39"/>
      <c r="DY106" s="40"/>
      <c r="DZ106" s="39"/>
      <c r="EA106" s="40"/>
      <c r="EB106" s="39"/>
      <c r="EC106" s="40"/>
      <c r="ED106" s="39"/>
      <c r="EE106" s="40"/>
      <c r="EF106" s="39"/>
      <c r="EG106" s="40"/>
      <c r="EH106" s="39"/>
      <c r="EI106" s="40"/>
      <c r="EJ106" s="39"/>
      <c r="EK106" s="40"/>
      <c r="EL106" s="39"/>
      <c r="EM106" s="40"/>
      <c r="EN106" s="39"/>
      <c r="EO106" s="40"/>
      <c r="EP106" s="39"/>
      <c r="EQ106" s="40"/>
      <c r="ER106" s="39"/>
      <c r="ES106" s="40"/>
      <c r="ET106" s="39"/>
      <c r="EU106" s="40"/>
      <c r="EV106" s="39"/>
      <c r="EW106" s="40"/>
      <c r="EX106" s="39"/>
      <c r="EY106" s="40"/>
      <c r="EZ106" s="39"/>
      <c r="FA106" s="40"/>
      <c r="FB106" s="39"/>
      <c r="FC106" s="40"/>
      <c r="FD106" s="39"/>
      <c r="FE106" s="40"/>
      <c r="FF106" s="39"/>
      <c r="FG106" s="40"/>
      <c r="FH106" s="39"/>
      <c r="FI106" s="40"/>
      <c r="FJ106" s="39"/>
      <c r="FK106" s="40"/>
      <c r="FL106" s="39"/>
      <c r="FM106" s="40"/>
      <c r="FN106" s="39"/>
      <c r="FO106" s="40"/>
      <c r="FP106" s="39"/>
      <c r="FQ106" s="40"/>
      <c r="FR106" s="39"/>
      <c r="FS106" s="40"/>
      <c r="FT106" s="39"/>
      <c r="FU106" s="40"/>
      <c r="FV106" s="39"/>
      <c r="FW106" s="40"/>
      <c r="FX106" s="39"/>
      <c r="FY106" s="40"/>
      <c r="FZ106" s="39"/>
      <c r="GA106" s="40"/>
      <c r="GB106" s="39"/>
      <c r="GC106" s="40"/>
      <c r="GD106" s="39"/>
      <c r="GE106" s="40"/>
      <c r="GF106" s="39"/>
      <c r="GG106" s="40"/>
      <c r="GH106" s="39"/>
      <c r="GI106" s="40"/>
      <c r="GJ106" s="39"/>
      <c r="GK106" s="40"/>
      <c r="GL106" s="39"/>
      <c r="GM106" s="40"/>
      <c r="GN106" s="39"/>
      <c r="GO106" s="40"/>
      <c r="GP106" s="39"/>
      <c r="GQ106" s="40"/>
      <c r="GR106" s="39"/>
      <c r="GS106" s="40"/>
      <c r="GT106" s="39"/>
      <c r="GU106" s="40"/>
      <c r="GV106" s="39"/>
      <c r="GW106" s="40"/>
      <c r="GX106" s="39"/>
      <c r="GY106" s="40"/>
      <c r="GZ106" s="39"/>
      <c r="HA106" s="40"/>
      <c r="HB106" s="39"/>
      <c r="HC106" s="40"/>
      <c r="HD106" s="39"/>
      <c r="HE106" s="40"/>
      <c r="HF106" s="39"/>
      <c r="HG106" s="40"/>
      <c r="HH106" s="39"/>
      <c r="HI106" s="40"/>
      <c r="HJ106" s="39"/>
      <c r="HK106" s="40"/>
      <c r="HL106" s="39"/>
      <c r="HM106" s="40"/>
      <c r="HN106" s="39"/>
      <c r="HO106" s="40"/>
      <c r="HP106" s="39"/>
      <c r="HQ106" s="40"/>
      <c r="HR106" s="39"/>
      <c r="HS106" s="40"/>
      <c r="HT106" s="39"/>
      <c r="HU106" s="40"/>
      <c r="HV106" s="39"/>
      <c r="HW106" s="40"/>
      <c r="HX106" s="39"/>
      <c r="HY106" s="40"/>
      <c r="HZ106" s="39"/>
      <c r="IA106" s="40"/>
      <c r="IB106" s="39"/>
      <c r="IC106" s="1068"/>
      <c r="ID106" s="645"/>
      <c r="IE106" s="646"/>
      <c r="IF106" s="645"/>
      <c r="IG106" s="646"/>
      <c r="IH106" s="645"/>
      <c r="II106" s="646"/>
      <c r="IJ106" s="645"/>
      <c r="IK106" s="646"/>
      <c r="IL106" s="645"/>
      <c r="IM106" s="646"/>
      <c r="IN106" s="645"/>
      <c r="IO106" s="646"/>
      <c r="IP106" s="645"/>
      <c r="IQ106" s="646"/>
      <c r="IR106" s="645"/>
      <c r="IS106" s="646"/>
      <c r="IT106" s="645"/>
      <c r="IU106" s="646"/>
      <c r="IV106" s="645"/>
      <c r="IW106" s="646"/>
      <c r="IX106" s="645"/>
      <c r="IY106" s="646"/>
      <c r="IZ106" s="645"/>
      <c r="JA106" s="646"/>
      <c r="JB106" s="645"/>
      <c r="JC106" s="646"/>
      <c r="JD106" s="645"/>
      <c r="JE106" s="646"/>
      <c r="JF106" s="645"/>
      <c r="JG106" s="646"/>
      <c r="JH106" s="645"/>
      <c r="JI106" s="646"/>
      <c r="JJ106" s="645"/>
      <c r="JK106" s="646"/>
      <c r="JL106" s="645"/>
      <c r="JM106" s="646"/>
      <c r="JN106" s="645"/>
      <c r="JO106" s="646"/>
      <c r="JP106" s="645"/>
      <c r="JQ106" s="646"/>
      <c r="JR106" s="645"/>
      <c r="JS106" s="646"/>
      <c r="JT106" s="645"/>
      <c r="JU106" s="646"/>
      <c r="JV106" s="645"/>
      <c r="JW106" s="646"/>
      <c r="JX106" s="645"/>
      <c r="JY106" s="646"/>
      <c r="JZ106" s="645"/>
      <c r="KA106" s="646"/>
      <c r="KB106" s="645"/>
      <c r="KC106" s="646"/>
      <c r="KD106" s="645"/>
      <c r="KE106" s="646"/>
      <c r="KF106" s="645"/>
      <c r="KG106" s="646"/>
      <c r="KH106" s="645"/>
      <c r="KI106" s="646"/>
      <c r="KJ106" s="645"/>
      <c r="KK106" s="646"/>
      <c r="KL106" s="645"/>
      <c r="KM106" s="646"/>
      <c r="KN106" s="645"/>
      <c r="KO106" s="646"/>
      <c r="KP106" s="645"/>
      <c r="KQ106" s="646"/>
      <c r="KR106" s="645"/>
      <c r="KS106" s="646"/>
      <c r="KT106" s="645"/>
      <c r="KU106" s="646"/>
      <c r="KV106" s="645"/>
      <c r="KW106" s="646"/>
      <c r="KX106" s="645"/>
      <c r="KY106" s="646"/>
      <c r="KZ106" s="645"/>
      <c r="LA106" s="646"/>
      <c r="LB106" s="645"/>
      <c r="LC106" s="646"/>
      <c r="LD106" s="645"/>
      <c r="LE106" s="646"/>
      <c r="LF106" s="645"/>
      <c r="LG106" s="646"/>
      <c r="LH106" s="645"/>
      <c r="LI106" s="646"/>
      <c r="LJ106" s="645"/>
      <c r="LK106" s="646"/>
      <c r="LL106" s="645"/>
      <c r="LM106" s="646"/>
      <c r="LN106" s="645"/>
      <c r="LO106" s="646"/>
      <c r="LP106" s="645"/>
      <c r="LQ106" s="646"/>
      <c r="LR106" s="645"/>
      <c r="LS106" s="646"/>
      <c r="LT106" s="645"/>
      <c r="LU106" s="646"/>
      <c r="LV106" s="645"/>
      <c r="LW106" s="646"/>
      <c r="LX106" s="645"/>
      <c r="LY106" s="646"/>
      <c r="LZ106" s="645"/>
      <c r="MA106" s="646"/>
      <c r="MB106" s="645"/>
      <c r="MC106" s="646"/>
      <c r="MD106" s="645"/>
      <c r="ME106" s="646"/>
      <c r="MF106" s="645"/>
      <c r="MG106" s="646"/>
      <c r="MH106" s="645"/>
      <c r="MI106" s="646"/>
      <c r="MJ106" s="645"/>
      <c r="MK106" s="646"/>
      <c r="ML106" s="645"/>
      <c r="MM106" s="646"/>
      <c r="MN106" s="645"/>
      <c r="MO106" s="646"/>
      <c r="MP106" s="645"/>
      <c r="MQ106" s="646"/>
      <c r="MR106" s="645"/>
      <c r="MS106" s="646"/>
      <c r="MT106" s="645"/>
      <c r="MU106" s="646"/>
      <c r="MV106" s="645"/>
      <c r="MW106" s="646"/>
      <c r="MX106" s="645"/>
      <c r="MY106" s="646"/>
      <c r="MZ106" s="645"/>
      <c r="NA106" s="646"/>
      <c r="NB106" s="645"/>
      <c r="NC106" s="646"/>
      <c r="ND106" s="645"/>
      <c r="NE106" s="646"/>
      <c r="NF106" s="645"/>
      <c r="NG106" s="646"/>
      <c r="NH106" s="645"/>
      <c r="NI106" s="646"/>
      <c r="NJ106" s="645"/>
      <c r="NK106" s="646"/>
      <c r="NL106" s="645"/>
      <c r="NM106" s="646"/>
      <c r="NN106" s="645"/>
      <c r="NO106" s="646"/>
      <c r="NP106" s="645"/>
      <c r="NQ106" s="646"/>
      <c r="NR106" s="645"/>
      <c r="NS106" s="646"/>
      <c r="NT106" s="645"/>
      <c r="NU106" s="646"/>
      <c r="NV106" s="645"/>
      <c r="NW106" s="646"/>
      <c r="NX106" s="645"/>
      <c r="NY106" s="646"/>
      <c r="NZ106" s="645"/>
      <c r="OA106" s="646"/>
      <c r="OB106" s="645"/>
      <c r="OC106" s="646"/>
      <c r="OD106" s="645"/>
      <c r="OE106" s="646"/>
      <c r="OF106" s="645"/>
      <c r="OG106" s="646"/>
      <c r="OH106" s="645"/>
      <c r="OI106" s="646"/>
      <c r="OJ106" s="645"/>
      <c r="OK106" s="646"/>
      <c r="OL106" s="645"/>
      <c r="OM106" s="646"/>
      <c r="ON106" s="645"/>
      <c r="OO106" s="646"/>
      <c r="OP106" s="645"/>
      <c r="OQ106" s="646"/>
      <c r="OR106" s="645"/>
      <c r="OS106" s="646"/>
      <c r="OT106" s="645"/>
      <c r="OU106" s="646"/>
      <c r="OV106" s="645"/>
      <c r="OW106" s="646"/>
      <c r="OX106" s="645"/>
      <c r="OY106" s="646"/>
      <c r="OZ106" s="645"/>
      <c r="PA106" s="646"/>
      <c r="PB106" s="645"/>
      <c r="PC106" s="646"/>
      <c r="PD106" s="645"/>
      <c r="PE106" s="646"/>
      <c r="PF106" s="645"/>
      <c r="PG106" s="646"/>
      <c r="PH106" s="645"/>
      <c r="PI106" s="646"/>
      <c r="PJ106" s="645"/>
      <c r="PK106" s="646"/>
      <c r="PL106" s="645"/>
      <c r="PM106" s="646"/>
      <c r="PN106" s="645"/>
      <c r="PO106" s="646"/>
      <c r="PP106" s="645"/>
      <c r="PQ106" s="646"/>
      <c r="PR106" s="645"/>
      <c r="PS106" s="646"/>
      <c r="PT106" s="645"/>
      <c r="PU106" s="646"/>
      <c r="PV106" s="645"/>
      <c r="PW106" s="646"/>
      <c r="PX106" s="645"/>
      <c r="PY106" s="646"/>
      <c r="PZ106" s="645"/>
      <c r="QA106" s="646"/>
      <c r="QB106" s="645"/>
      <c r="QC106" s="646"/>
      <c r="QD106" s="645"/>
      <c r="QE106" s="646"/>
      <c r="QF106" s="645"/>
      <c r="QG106" s="646"/>
      <c r="QH106" s="645"/>
      <c r="QI106" s="646"/>
      <c r="QJ106" s="645"/>
      <c r="QK106" s="646"/>
      <c r="QL106" s="645"/>
      <c r="QM106" s="646"/>
      <c r="QN106" s="645"/>
      <c r="QO106" s="646"/>
      <c r="QP106" s="645"/>
      <c r="QQ106" s="646"/>
      <c r="QR106" s="645"/>
      <c r="QS106" s="646"/>
      <c r="QT106" s="645"/>
      <c r="QU106" s="646"/>
      <c r="QV106" s="645"/>
      <c r="QW106" s="646"/>
      <c r="QX106" s="645"/>
      <c r="QY106" s="646"/>
      <c r="QZ106" s="645"/>
      <c r="RA106" s="646"/>
      <c r="RB106" s="645"/>
      <c r="RC106" s="646"/>
      <c r="RD106" s="645"/>
      <c r="RE106" s="646"/>
      <c r="RF106" s="645"/>
      <c r="RG106" s="646"/>
      <c r="RH106" s="645"/>
      <c r="RI106" s="646"/>
      <c r="RJ106" s="645"/>
      <c r="RK106" s="646"/>
      <c r="RL106" s="645"/>
      <c r="RM106" s="646"/>
      <c r="RN106" s="645"/>
      <c r="RO106" s="646"/>
      <c r="RP106" s="645"/>
      <c r="RQ106" s="646"/>
      <c r="RR106" s="645"/>
      <c r="RS106" s="646"/>
      <c r="RT106" s="645"/>
      <c r="RU106" s="646"/>
      <c r="RV106" s="645"/>
      <c r="RW106" s="646"/>
      <c r="RX106" s="645"/>
      <c r="RY106" s="646"/>
      <c r="RZ106" s="645"/>
      <c r="SA106" s="646"/>
      <c r="SB106" s="645"/>
      <c r="SC106" s="646"/>
      <c r="SD106" s="645"/>
      <c r="SE106" s="646"/>
      <c r="SF106" s="645"/>
      <c r="SG106" s="646"/>
      <c r="SH106" s="645"/>
      <c r="SI106" s="646"/>
      <c r="SJ106" s="645"/>
      <c r="SK106" s="646"/>
      <c r="SL106" s="645"/>
      <c r="SM106" s="646"/>
      <c r="SN106" s="645"/>
      <c r="SO106" s="646"/>
      <c r="SP106" s="645"/>
      <c r="SQ106" s="646"/>
      <c r="SR106" s="645"/>
      <c r="SS106" s="646"/>
      <c r="ST106" s="645"/>
      <c r="SU106" s="646"/>
      <c r="SV106" s="645"/>
      <c r="SW106" s="646"/>
      <c r="SX106" s="645"/>
      <c r="SY106" s="646"/>
      <c r="SZ106" s="645"/>
      <c r="TA106" s="646"/>
      <c r="TB106" s="645"/>
      <c r="TC106" s="646"/>
      <c r="TD106" s="645"/>
      <c r="TE106" s="646"/>
      <c r="TF106" s="645"/>
      <c r="TG106" s="646"/>
      <c r="TH106" s="645"/>
      <c r="TI106" s="646"/>
      <c r="TJ106" s="645"/>
      <c r="TK106" s="646"/>
      <c r="TL106" s="645"/>
      <c r="TM106" s="646"/>
      <c r="TN106" s="645"/>
      <c r="TO106" s="646"/>
      <c r="TP106" s="645"/>
      <c r="TQ106" s="646"/>
      <c r="TR106" s="645"/>
      <c r="TS106" s="646"/>
      <c r="TT106" s="645"/>
      <c r="TU106" s="646"/>
      <c r="TV106" s="645"/>
      <c r="TW106" s="646"/>
      <c r="TX106" s="645"/>
      <c r="TY106" s="646"/>
      <c r="TZ106" s="645"/>
      <c r="UA106" s="646"/>
      <c r="UB106" s="645"/>
      <c r="UC106" s="646"/>
      <c r="UD106" s="645"/>
      <c r="UE106" s="646"/>
      <c r="UF106" s="645"/>
      <c r="UG106" s="646"/>
      <c r="UH106" s="645"/>
      <c r="UI106" s="646"/>
      <c r="UJ106" s="645"/>
      <c r="UK106" s="646"/>
      <c r="UL106" s="645"/>
      <c r="UM106" s="646"/>
      <c r="UN106" s="645"/>
      <c r="UO106" s="646"/>
      <c r="UP106" s="645"/>
      <c r="UQ106" s="646"/>
      <c r="UR106" s="645"/>
      <c r="US106" s="646"/>
      <c r="UT106" s="645"/>
      <c r="UU106" s="646"/>
      <c r="UV106" s="645"/>
      <c r="UW106" s="646"/>
      <c r="UX106" s="645"/>
      <c r="UY106" s="646"/>
      <c r="UZ106" s="645"/>
      <c r="VA106" s="646"/>
      <c r="VB106" s="645"/>
      <c r="VC106" s="646"/>
      <c r="VD106" s="645"/>
      <c r="VE106" s="646"/>
      <c r="VF106" s="645"/>
      <c r="VG106" s="646"/>
      <c r="VH106" s="645"/>
      <c r="VI106" s="646"/>
      <c r="VJ106" s="645"/>
      <c r="VK106" s="646"/>
      <c r="VL106" s="645"/>
      <c r="VM106" s="646"/>
      <c r="VN106" s="645"/>
      <c r="VO106" s="646"/>
      <c r="VP106" s="645"/>
      <c r="VQ106" s="646"/>
      <c r="VR106" s="645"/>
      <c r="VS106" s="646"/>
      <c r="VT106" s="645"/>
      <c r="VU106" s="646"/>
      <c r="VV106" s="645"/>
      <c r="VW106" s="646"/>
      <c r="VX106" s="645"/>
      <c r="VY106" s="646"/>
      <c r="VZ106" s="645"/>
      <c r="WA106" s="646"/>
      <c r="WB106" s="645"/>
      <c r="WC106" s="646"/>
      <c r="WD106" s="645"/>
      <c r="WE106" s="646"/>
      <c r="WF106" s="645"/>
      <c r="WG106" s="646"/>
      <c r="WH106" s="645"/>
      <c r="WI106" s="646"/>
      <c r="WJ106" s="645"/>
      <c r="WK106" s="646"/>
      <c r="WL106" s="645"/>
      <c r="WM106" s="646"/>
      <c r="WN106" s="645"/>
      <c r="WO106" s="646"/>
      <c r="WP106" s="645"/>
      <c r="WQ106" s="646"/>
      <c r="WR106" s="645"/>
      <c r="WS106" s="646"/>
      <c r="WT106" s="645"/>
      <c r="WU106" s="646"/>
      <c r="WV106" s="645"/>
      <c r="WW106" s="646"/>
      <c r="WX106" s="645"/>
      <c r="WY106" s="646"/>
      <c r="WZ106" s="645"/>
      <c r="XA106" s="646"/>
      <c r="XB106" s="645"/>
      <c r="XC106" s="646"/>
      <c r="XD106" s="645"/>
      <c r="XE106" s="646"/>
      <c r="XF106" s="645"/>
      <c r="XG106" s="646"/>
      <c r="XH106" s="645"/>
      <c r="XI106" s="646"/>
      <c r="XJ106" s="645"/>
      <c r="XK106" s="646"/>
      <c r="XL106" s="645"/>
      <c r="XM106" s="646"/>
      <c r="XN106" s="645"/>
      <c r="XO106" s="646"/>
      <c r="XP106" s="645"/>
      <c r="XQ106" s="646"/>
      <c r="XR106" s="645"/>
      <c r="XS106" s="646"/>
      <c r="XT106" s="645"/>
      <c r="XU106" s="646"/>
      <c r="XV106" s="645"/>
      <c r="XW106" s="646"/>
      <c r="XX106" s="645"/>
      <c r="XY106" s="646"/>
      <c r="XZ106" s="645"/>
      <c r="YA106" s="646"/>
      <c r="YB106" s="645"/>
      <c r="YC106" s="646"/>
      <c r="YD106" s="645"/>
      <c r="YE106" s="646"/>
      <c r="YF106" s="645"/>
      <c r="YG106" s="646"/>
      <c r="YH106" s="645"/>
      <c r="YI106" s="646"/>
      <c r="YJ106" s="645"/>
      <c r="YK106" s="646"/>
      <c r="YL106" s="645"/>
      <c r="YM106" s="646"/>
      <c r="YN106" s="645"/>
      <c r="YO106" s="646"/>
      <c r="YP106" s="645"/>
      <c r="YQ106" s="646"/>
      <c r="YR106" s="645"/>
      <c r="YS106" s="646"/>
      <c r="YT106" s="645"/>
      <c r="YU106" s="646"/>
      <c r="YV106" s="645"/>
      <c r="YW106" s="646"/>
      <c r="YX106" s="645"/>
      <c r="YY106" s="646"/>
      <c r="YZ106" s="645"/>
      <c r="ZA106" s="646"/>
      <c r="ZB106" s="645"/>
      <c r="ZC106" s="646"/>
      <c r="ZD106" s="645"/>
      <c r="ZE106" s="646"/>
      <c r="ZF106" s="645"/>
      <c r="ZG106" s="646"/>
      <c r="ZH106" s="645"/>
      <c r="ZI106" s="646"/>
      <c r="ZJ106" s="645"/>
      <c r="ZK106" s="646"/>
      <c r="ZL106" s="645"/>
      <c r="ZM106" s="646"/>
      <c r="ZN106" s="645"/>
      <c r="ZO106" s="646"/>
      <c r="ZP106" s="645"/>
      <c r="ZQ106" s="646"/>
      <c r="ZR106" s="645"/>
      <c r="ZS106" s="646"/>
      <c r="ZT106" s="645"/>
      <c r="ZU106" s="646"/>
      <c r="ZV106" s="645"/>
      <c r="ZW106" s="646"/>
      <c r="ZX106" s="645"/>
      <c r="ZY106" s="646"/>
      <c r="ZZ106" s="645"/>
      <c r="AAA106" s="646"/>
      <c r="AAB106" s="645"/>
      <c r="AAC106" s="646"/>
      <c r="AAD106" s="645"/>
      <c r="AAE106" s="646"/>
      <c r="AAF106" s="645"/>
      <c r="AAG106" s="646"/>
      <c r="AAH106" s="645"/>
      <c r="AAI106" s="646"/>
      <c r="AAJ106" s="645"/>
      <c r="AAK106" s="646"/>
      <c r="AAL106" s="645"/>
      <c r="AAM106" s="646"/>
      <c r="AAN106" s="645"/>
      <c r="AAO106" s="646"/>
      <c r="AAP106" s="645"/>
      <c r="AAQ106" s="646"/>
      <c r="AAR106" s="645"/>
      <c r="AAS106" s="646"/>
      <c r="AAT106" s="645"/>
      <c r="AAU106" s="646"/>
      <c r="AAV106" s="645"/>
      <c r="AAW106" s="646"/>
      <c r="AAX106" s="645"/>
      <c r="AAY106" s="646"/>
      <c r="AAZ106" s="645"/>
      <c r="ABA106" s="646"/>
      <c r="ABB106" s="645"/>
      <c r="ABC106" s="646"/>
      <c r="ABD106" s="645"/>
      <c r="ABE106" s="646"/>
      <c r="ABF106" s="645"/>
      <c r="ABG106" s="646"/>
      <c r="ABH106" s="645"/>
      <c r="ABI106" s="646"/>
      <c r="ABJ106" s="645"/>
      <c r="ABK106" s="646"/>
      <c r="ABL106" s="645"/>
      <c r="ABM106" s="646"/>
      <c r="ABN106" s="645"/>
      <c r="ABO106" s="646"/>
      <c r="ABP106" s="645"/>
      <c r="ABQ106" s="646"/>
      <c r="ABR106" s="645"/>
      <c r="ABS106" s="646"/>
      <c r="ABT106" s="645"/>
      <c r="ABU106" s="646"/>
      <c r="ABV106" s="645"/>
      <c r="ABW106" s="646"/>
      <c r="ABX106" s="645"/>
      <c r="ABY106" s="646"/>
      <c r="ABZ106" s="645"/>
      <c r="ACA106" s="646"/>
      <c r="ACB106" s="645"/>
      <c r="ACC106" s="646"/>
      <c r="ACD106" s="645"/>
      <c r="ACE106" s="646"/>
      <c r="ACF106" s="645"/>
      <c r="ACG106" s="646"/>
      <c r="ACH106" s="645"/>
      <c r="ACI106" s="646"/>
      <c r="ACJ106" s="645"/>
      <c r="ACK106" s="646"/>
      <c r="ACL106" s="645"/>
      <c r="ACM106" s="646"/>
      <c r="ACN106" s="645"/>
      <c r="ACO106" s="646"/>
      <c r="ACP106" s="645"/>
      <c r="ACQ106" s="646"/>
      <c r="ACR106" s="645"/>
      <c r="ACS106" s="646"/>
      <c r="ACT106" s="645"/>
      <c r="ACU106" s="646"/>
      <c r="ACV106" s="645"/>
      <c r="ACW106" s="646"/>
      <c r="ACX106" s="645"/>
      <c r="ACY106" s="646"/>
      <c r="ACZ106" s="645"/>
      <c r="ADA106" s="646"/>
      <c r="ADB106" s="645"/>
      <c r="ADC106" s="646"/>
      <c r="ADD106" s="645"/>
      <c r="ADE106" s="646"/>
      <c r="ADF106" s="645"/>
      <c r="ADG106" s="646"/>
      <c r="ADH106" s="645"/>
      <c r="ADI106" s="646"/>
      <c r="ADJ106" s="645"/>
      <c r="ADK106" s="646"/>
      <c r="ADL106" s="645"/>
      <c r="ADM106" s="646"/>
      <c r="ADN106" s="645"/>
      <c r="ADO106" s="646"/>
      <c r="ADP106" s="645"/>
      <c r="ADQ106" s="646"/>
      <c r="ADR106" s="645"/>
      <c r="ADS106" s="646"/>
      <c r="ADT106" s="645"/>
      <c r="ADU106" s="646"/>
      <c r="ADV106" s="645"/>
      <c r="ADW106" s="646"/>
      <c r="ADX106" s="645"/>
      <c r="ADY106" s="646"/>
      <c r="ADZ106" s="645"/>
      <c r="AEA106" s="646"/>
      <c r="AEB106" s="645"/>
      <c r="AEC106" s="646"/>
      <c r="AED106" s="645"/>
      <c r="AEE106" s="646"/>
      <c r="AEF106" s="645"/>
      <c r="AEG106" s="646"/>
      <c r="AEH106" s="645"/>
      <c r="AEI106" s="646"/>
      <c r="AEJ106" s="645"/>
      <c r="AEK106" s="646"/>
      <c r="AEL106" s="645"/>
      <c r="AEM106" s="646"/>
      <c r="AEN106" s="645"/>
      <c r="AEO106" s="646"/>
      <c r="AEP106" s="645"/>
      <c r="AEQ106" s="646"/>
      <c r="AER106" s="645"/>
      <c r="AES106" s="646"/>
      <c r="AET106" s="645"/>
      <c r="AEU106" s="646"/>
      <c r="AEV106" s="645"/>
      <c r="AEW106" s="646"/>
      <c r="AEX106" s="645"/>
      <c r="AEY106" s="646"/>
      <c r="AEZ106" s="645"/>
      <c r="AFA106" s="646"/>
      <c r="AFB106" s="645"/>
      <c r="AFC106" s="646"/>
      <c r="AFD106" s="645"/>
      <c r="AFE106" s="646"/>
      <c r="AFF106" s="645"/>
      <c r="AFG106" s="646"/>
      <c r="AFH106" s="645"/>
      <c r="AFI106" s="646"/>
      <c r="AFJ106" s="645"/>
      <c r="AFK106" s="646"/>
      <c r="AFL106" s="645"/>
      <c r="AFM106" s="646"/>
      <c r="AFN106" s="645"/>
      <c r="AFO106" s="646"/>
      <c r="AFP106" s="645"/>
      <c r="AFQ106" s="646"/>
      <c r="AFR106" s="645"/>
      <c r="AFS106" s="646"/>
      <c r="AFT106" s="645"/>
      <c r="AFU106" s="646"/>
      <c r="AFV106" s="645"/>
      <c r="AFW106" s="646"/>
      <c r="AFX106" s="645"/>
      <c r="AFY106" s="646"/>
      <c r="AFZ106" s="645"/>
      <c r="AGA106" s="646"/>
      <c r="AGB106" s="645"/>
      <c r="AGC106" s="646"/>
      <c r="AGD106" s="645"/>
      <c r="AGE106" s="646"/>
      <c r="AGF106" s="645"/>
      <c r="AGG106" s="646"/>
      <c r="AGH106" s="645"/>
      <c r="AGI106" s="646"/>
      <c r="AGJ106" s="645"/>
      <c r="AGK106" s="646"/>
      <c r="AGL106" s="645"/>
      <c r="AGM106" s="646"/>
      <c r="AGN106" s="645"/>
      <c r="AGO106" s="646"/>
      <c r="AGP106" s="645"/>
      <c r="AGQ106" s="646"/>
      <c r="AGR106" s="645"/>
      <c r="AGS106" s="646"/>
      <c r="AGT106" s="645"/>
      <c r="AGU106" s="646"/>
      <c r="AGV106" s="645"/>
      <c r="AGW106" s="646"/>
      <c r="AGX106" s="645"/>
      <c r="AGY106" s="646"/>
      <c r="AGZ106" s="645"/>
      <c r="AHA106" s="646"/>
      <c r="AHB106" s="645"/>
      <c r="AHC106" s="646"/>
      <c r="AHD106" s="645"/>
      <c r="AHE106" s="646"/>
      <c r="AHF106" s="645"/>
      <c r="AHG106" s="646"/>
      <c r="AHH106" s="645"/>
      <c r="AHI106" s="646"/>
      <c r="AHJ106" s="645"/>
      <c r="AHK106" s="646"/>
      <c r="AHL106" s="645"/>
      <c r="AHM106" s="646"/>
      <c r="AHN106" s="645"/>
      <c r="AHO106" s="646"/>
      <c r="AHP106" s="645"/>
      <c r="AHQ106" s="646"/>
      <c r="AHR106" s="645"/>
      <c r="AHS106" s="646"/>
      <c r="AHT106" s="645"/>
      <c r="AHU106" s="646"/>
      <c r="AHV106" s="645"/>
      <c r="AHW106" s="646"/>
      <c r="AHX106" s="645"/>
      <c r="AHY106" s="646"/>
      <c r="AHZ106" s="645"/>
      <c r="AIA106" s="646"/>
      <c r="AIB106" s="645"/>
      <c r="AIC106" s="646"/>
      <c r="AID106" s="645"/>
      <c r="AIE106" s="646"/>
      <c r="AIF106" s="645"/>
      <c r="AIG106" s="646"/>
      <c r="AIH106" s="645"/>
      <c r="AII106" s="646"/>
      <c r="AIJ106" s="645"/>
      <c r="AIK106" s="646"/>
      <c r="AIL106" s="645"/>
      <c r="AIM106" s="646"/>
      <c r="AIN106" s="645"/>
      <c r="AIO106" s="646"/>
      <c r="AIP106" s="645"/>
      <c r="AIQ106" s="645"/>
      <c r="AIR106" s="645"/>
      <c r="AIS106" s="645"/>
      <c r="AIT106" s="645"/>
      <c r="AIU106" s="645"/>
      <c r="AIV106" s="645"/>
      <c r="AIW106" s="645"/>
      <c r="AIX106" s="645"/>
      <c r="AIY106" s="645"/>
      <c r="AIZ106" s="645"/>
      <c r="AJA106" s="645"/>
      <c r="AJB106" s="645"/>
      <c r="AJC106" s="645"/>
      <c r="AJD106" s="645"/>
      <c r="AJE106" s="645"/>
      <c r="AJF106" s="645"/>
      <c r="AJG106" s="645"/>
      <c r="AJH106" s="645"/>
      <c r="AJI106" s="645"/>
      <c r="AJJ106" s="645"/>
      <c r="AJK106" s="645"/>
      <c r="AJL106" s="645"/>
      <c r="AJM106" s="645"/>
      <c r="AJN106" s="645"/>
      <c r="AJO106" s="645"/>
      <c r="AJP106" s="645"/>
      <c r="AJQ106" s="645"/>
      <c r="AJR106" s="645"/>
      <c r="AJS106" s="645"/>
      <c r="AJT106" s="645"/>
      <c r="AJU106" s="645"/>
      <c r="AJV106" s="645"/>
      <c r="AJW106" s="645"/>
      <c r="AJX106" s="645"/>
      <c r="AJY106" s="645"/>
      <c r="AJZ106" s="645"/>
      <c r="AKA106" s="645"/>
      <c r="AKB106" s="645"/>
      <c r="AKC106" s="645"/>
      <c r="AKD106" s="645"/>
      <c r="AKE106" s="645"/>
      <c r="AKF106" s="645"/>
      <c r="AKG106" s="645"/>
      <c r="AKH106" s="645"/>
      <c r="AKI106" s="645"/>
      <c r="AKJ106" s="645"/>
      <c r="AKK106" s="645"/>
      <c r="AKL106" s="645"/>
      <c r="AKM106" s="645"/>
      <c r="AKN106" s="645"/>
      <c r="AKO106" s="645"/>
      <c r="AKP106" s="645"/>
      <c r="AKQ106" s="645"/>
      <c r="AKR106" s="645"/>
      <c r="AKS106" s="645"/>
      <c r="AKT106" s="645"/>
      <c r="AKU106" s="645"/>
      <c r="AKV106" s="645"/>
      <c r="AKW106" s="645"/>
      <c r="AKX106" s="645"/>
      <c r="AKY106" s="645"/>
      <c r="AKZ106" s="645"/>
      <c r="ALA106" s="645"/>
      <c r="ALB106" s="645"/>
      <c r="ALC106" s="645"/>
      <c r="ALD106" s="645"/>
      <c r="ALE106" s="645"/>
      <c r="ALF106" s="645"/>
      <c r="ALG106" s="645"/>
      <c r="ALH106" s="645"/>
      <c r="ALI106" s="645"/>
      <c r="ALJ106" s="645"/>
      <c r="ALK106" s="645"/>
      <c r="ALL106" s="645"/>
      <c r="ALM106" s="645"/>
      <c r="ALN106" s="645"/>
      <c r="ALO106" s="645"/>
      <c r="ALP106" s="645"/>
      <c r="ALQ106" s="645"/>
      <c r="ALR106" s="645"/>
      <c r="ALS106" s="645"/>
      <c r="ALT106" s="645"/>
      <c r="ALU106" s="645"/>
      <c r="ALV106" s="645"/>
      <c r="ALW106" s="645"/>
      <c r="ALX106" s="645"/>
      <c r="ALY106" s="645"/>
      <c r="ALZ106" s="645"/>
      <c r="AMA106" s="645"/>
      <c r="AMB106" s="645"/>
      <c r="AMC106" s="645"/>
      <c r="AMD106" s="645"/>
      <c r="AME106" s="645"/>
      <c r="AMF106" s="645"/>
      <c r="AMG106" s="645"/>
      <c r="AMH106" s="645"/>
      <c r="AMI106" s="645"/>
      <c r="AMJ106" s="645"/>
    </row>
    <row r="107" spans="1:1024" s="37" customFormat="1" ht="15.75" customHeight="1" x14ac:dyDescent="0.35">
      <c r="A107" s="600"/>
      <c r="B107" s="601" t="s">
        <v>361</v>
      </c>
      <c r="C107" s="645"/>
      <c r="D107" s="650"/>
      <c r="E107" s="645"/>
      <c r="F107" s="650"/>
      <c r="G107" s="453" t="s">
        <v>311</v>
      </c>
      <c r="H107" s="643" t="s">
        <v>259</v>
      </c>
      <c r="I107" s="645"/>
      <c r="J107" s="38"/>
      <c r="K107" s="38"/>
      <c r="L107" s="39"/>
      <c r="M107" s="38"/>
      <c r="N107" s="39"/>
      <c r="O107" s="38"/>
      <c r="P107" s="39"/>
      <c r="Q107" s="38"/>
      <c r="R107" s="39"/>
      <c r="S107" s="38"/>
      <c r="T107" s="39"/>
      <c r="U107" s="38"/>
      <c r="V107" s="39"/>
      <c r="W107" s="38"/>
      <c r="X107" s="39"/>
      <c r="Y107" s="38"/>
      <c r="Z107" s="39"/>
      <c r="AA107" s="38"/>
      <c r="AB107" s="39"/>
      <c r="AC107" s="38"/>
      <c r="AD107" s="39"/>
      <c r="AE107" s="38"/>
      <c r="AF107" s="39"/>
      <c r="AG107" s="38"/>
      <c r="AH107" s="39"/>
      <c r="AI107" s="38"/>
      <c r="AJ107" s="39"/>
      <c r="AK107" s="38"/>
      <c r="AL107" s="39"/>
      <c r="AM107" s="38"/>
      <c r="AN107" s="39"/>
      <c r="AO107" s="38"/>
      <c r="AP107" s="39"/>
      <c r="AQ107" s="38"/>
      <c r="AR107" s="39"/>
      <c r="AS107" s="38"/>
      <c r="AT107" s="39"/>
      <c r="AU107" s="38"/>
      <c r="AV107" s="39"/>
      <c r="AW107" s="38"/>
      <c r="AX107" s="39"/>
      <c r="AY107" s="38"/>
      <c r="AZ107" s="39"/>
      <c r="BA107" s="38"/>
      <c r="BB107" s="39"/>
      <c r="BC107" s="38"/>
      <c r="BD107" s="39"/>
      <c r="BE107" s="38"/>
      <c r="BF107" s="39"/>
      <c r="BG107" s="38"/>
      <c r="BH107" s="39"/>
      <c r="BI107" s="38"/>
      <c r="BJ107" s="39"/>
      <c r="BK107" s="38"/>
      <c r="BL107" s="39"/>
      <c r="BM107" s="38"/>
      <c r="BN107" s="39"/>
      <c r="BO107" s="38"/>
      <c r="BP107" s="39"/>
      <c r="BQ107" s="38"/>
      <c r="BR107" s="39"/>
      <c r="BS107" s="38"/>
      <c r="BT107" s="39"/>
      <c r="BU107" s="38"/>
      <c r="BV107" s="39"/>
      <c r="BW107" s="38"/>
      <c r="BX107" s="39"/>
      <c r="BY107" s="38"/>
      <c r="BZ107" s="39"/>
      <c r="CA107" s="38"/>
      <c r="CB107" s="39"/>
      <c r="CC107" s="38"/>
      <c r="CD107" s="39"/>
      <c r="CE107" s="38"/>
      <c r="CF107" s="39"/>
      <c r="CG107" s="38"/>
      <c r="CH107" s="39"/>
      <c r="CI107" s="38"/>
      <c r="CJ107" s="39"/>
      <c r="CK107" s="38"/>
      <c r="CL107" s="39"/>
      <c r="CM107" s="38"/>
      <c r="CN107" s="39"/>
      <c r="CO107" s="38"/>
      <c r="CP107" s="39"/>
      <c r="CQ107" s="38"/>
      <c r="CR107" s="39"/>
      <c r="CS107" s="38"/>
      <c r="CT107" s="39"/>
      <c r="CU107" s="38"/>
      <c r="CV107" s="39"/>
      <c r="CW107" s="38"/>
      <c r="CX107" s="39"/>
      <c r="CY107" s="38"/>
      <c r="CZ107" s="39"/>
      <c r="DA107" s="38"/>
      <c r="DB107" s="39"/>
      <c r="DC107" s="38"/>
      <c r="DD107" s="39"/>
      <c r="DE107" s="38"/>
      <c r="DF107" s="39"/>
      <c r="DG107" s="38"/>
      <c r="DH107" s="39"/>
      <c r="DI107" s="38"/>
      <c r="DJ107" s="39"/>
      <c r="DK107" s="38"/>
      <c r="DL107" s="39"/>
      <c r="DM107" s="38"/>
      <c r="DN107" s="39"/>
      <c r="DO107" s="38"/>
      <c r="DP107" s="39"/>
      <c r="DQ107" s="38"/>
      <c r="DR107" s="39"/>
      <c r="DS107" s="38"/>
      <c r="DT107" s="39"/>
      <c r="DU107" s="38"/>
      <c r="DV107" s="39"/>
      <c r="DW107" s="38"/>
      <c r="DX107" s="39"/>
      <c r="DY107" s="38"/>
      <c r="DZ107" s="39"/>
      <c r="EA107" s="38"/>
      <c r="EB107" s="39"/>
      <c r="EC107" s="38"/>
      <c r="ED107" s="39"/>
      <c r="EE107" s="38"/>
      <c r="EF107" s="39"/>
      <c r="EG107" s="38"/>
      <c r="EH107" s="39"/>
      <c r="EI107" s="38"/>
      <c r="EJ107" s="39"/>
      <c r="EK107" s="38"/>
      <c r="EL107" s="39"/>
      <c r="EM107" s="38"/>
      <c r="EN107" s="39"/>
      <c r="EO107" s="38"/>
      <c r="EP107" s="39"/>
      <c r="EQ107" s="38"/>
      <c r="ER107" s="39"/>
      <c r="ES107" s="38"/>
      <c r="ET107" s="39"/>
      <c r="EU107" s="38"/>
      <c r="EV107" s="39"/>
      <c r="EW107" s="38"/>
      <c r="EX107" s="39"/>
      <c r="EY107" s="38"/>
      <c r="EZ107" s="39"/>
      <c r="FA107" s="38"/>
      <c r="FB107" s="39"/>
      <c r="FC107" s="38"/>
      <c r="FD107" s="39"/>
      <c r="FE107" s="38"/>
      <c r="FF107" s="39"/>
      <c r="FG107" s="38"/>
      <c r="FH107" s="39"/>
      <c r="FI107" s="38"/>
      <c r="FJ107" s="39"/>
      <c r="FK107" s="38"/>
      <c r="FL107" s="39"/>
      <c r="FM107" s="38"/>
      <c r="FN107" s="39"/>
      <c r="FO107" s="38"/>
      <c r="FP107" s="39"/>
      <c r="FQ107" s="38"/>
      <c r="FR107" s="39"/>
      <c r="FS107" s="38"/>
      <c r="FT107" s="39"/>
      <c r="FU107" s="38"/>
      <c r="FV107" s="39"/>
      <c r="FW107" s="38"/>
      <c r="FX107" s="39"/>
      <c r="FY107" s="38"/>
      <c r="FZ107" s="39"/>
      <c r="GA107" s="38"/>
      <c r="GB107" s="39"/>
      <c r="GC107" s="38"/>
      <c r="GD107" s="39"/>
      <c r="GE107" s="38"/>
      <c r="GF107" s="39"/>
      <c r="GG107" s="38"/>
      <c r="GH107" s="39"/>
      <c r="GI107" s="38"/>
      <c r="GJ107" s="39"/>
      <c r="GK107" s="38"/>
      <c r="GL107" s="39"/>
      <c r="GM107" s="38"/>
      <c r="GN107" s="39"/>
      <c r="GO107" s="38"/>
      <c r="GP107" s="39"/>
      <c r="GQ107" s="38"/>
      <c r="GR107" s="39"/>
      <c r="GS107" s="38"/>
      <c r="GT107" s="39"/>
      <c r="GU107" s="38"/>
      <c r="GV107" s="39"/>
      <c r="GW107" s="38"/>
      <c r="GX107" s="39"/>
      <c r="GY107" s="38"/>
      <c r="GZ107" s="39"/>
      <c r="HA107" s="38"/>
      <c r="HB107" s="39"/>
      <c r="HC107" s="38"/>
      <c r="HD107" s="39"/>
      <c r="HE107" s="38"/>
      <c r="HF107" s="39"/>
      <c r="HG107" s="38"/>
      <c r="HH107" s="39"/>
      <c r="HI107" s="38"/>
      <c r="HJ107" s="39"/>
      <c r="HK107" s="38"/>
      <c r="HL107" s="39"/>
      <c r="HM107" s="38"/>
      <c r="HN107" s="39"/>
      <c r="HO107" s="38"/>
      <c r="HP107" s="39"/>
      <c r="HQ107" s="38"/>
      <c r="HR107" s="39"/>
      <c r="HS107" s="38"/>
      <c r="HT107" s="39"/>
      <c r="HU107" s="38"/>
      <c r="HV107" s="39"/>
      <c r="HW107" s="38"/>
      <c r="HX107" s="39"/>
      <c r="HY107" s="38"/>
      <c r="HZ107" s="39"/>
      <c r="IA107" s="38"/>
      <c r="IB107" s="39"/>
      <c r="IC107" s="1069"/>
      <c r="ID107" s="645"/>
      <c r="IE107" s="650"/>
      <c r="IF107" s="645"/>
      <c r="IG107" s="650"/>
      <c r="IH107" s="645"/>
      <c r="II107" s="650"/>
      <c r="IJ107" s="645"/>
      <c r="IK107" s="650"/>
      <c r="IL107" s="645"/>
      <c r="IM107" s="650"/>
      <c r="IN107" s="645"/>
      <c r="IO107" s="650"/>
      <c r="IP107" s="645"/>
      <c r="IQ107" s="650"/>
      <c r="IR107" s="645"/>
      <c r="IS107" s="650"/>
      <c r="IT107" s="645"/>
      <c r="IU107" s="650"/>
      <c r="IV107" s="645"/>
      <c r="IW107" s="650"/>
      <c r="IX107" s="645"/>
      <c r="IY107" s="650"/>
      <c r="IZ107" s="645"/>
      <c r="JA107" s="650"/>
      <c r="JB107" s="645"/>
      <c r="JC107" s="650"/>
      <c r="JD107" s="645"/>
      <c r="JE107" s="650"/>
      <c r="JF107" s="645"/>
      <c r="JG107" s="650"/>
      <c r="JH107" s="645"/>
      <c r="JI107" s="650"/>
      <c r="JJ107" s="645"/>
      <c r="JK107" s="650"/>
      <c r="JL107" s="645"/>
      <c r="JM107" s="650"/>
      <c r="JN107" s="645"/>
      <c r="JO107" s="650"/>
      <c r="JP107" s="645"/>
      <c r="JQ107" s="650"/>
      <c r="JR107" s="645"/>
      <c r="JS107" s="650"/>
      <c r="JT107" s="645"/>
      <c r="JU107" s="650"/>
      <c r="JV107" s="645"/>
      <c r="JW107" s="650"/>
      <c r="JX107" s="645"/>
      <c r="JY107" s="650"/>
      <c r="JZ107" s="645"/>
      <c r="KA107" s="650"/>
      <c r="KB107" s="645"/>
      <c r="KC107" s="650"/>
      <c r="KD107" s="645"/>
      <c r="KE107" s="650"/>
      <c r="KF107" s="645"/>
      <c r="KG107" s="650"/>
      <c r="KH107" s="645"/>
      <c r="KI107" s="650"/>
      <c r="KJ107" s="645"/>
      <c r="KK107" s="650"/>
      <c r="KL107" s="645"/>
      <c r="KM107" s="650"/>
      <c r="KN107" s="645"/>
      <c r="KO107" s="650"/>
      <c r="KP107" s="645"/>
      <c r="KQ107" s="650"/>
      <c r="KR107" s="645"/>
      <c r="KS107" s="650"/>
      <c r="KT107" s="645"/>
      <c r="KU107" s="650"/>
      <c r="KV107" s="645"/>
      <c r="KW107" s="650"/>
      <c r="KX107" s="645"/>
      <c r="KY107" s="650"/>
      <c r="KZ107" s="645"/>
      <c r="LA107" s="650"/>
      <c r="LB107" s="645"/>
      <c r="LC107" s="650"/>
      <c r="LD107" s="645"/>
      <c r="LE107" s="650"/>
      <c r="LF107" s="645"/>
      <c r="LG107" s="650"/>
      <c r="LH107" s="645"/>
      <c r="LI107" s="650"/>
      <c r="LJ107" s="645"/>
      <c r="LK107" s="650"/>
      <c r="LL107" s="645"/>
      <c r="LM107" s="650"/>
      <c r="LN107" s="645"/>
      <c r="LO107" s="650"/>
      <c r="LP107" s="645"/>
      <c r="LQ107" s="650"/>
      <c r="LR107" s="645"/>
      <c r="LS107" s="650"/>
      <c r="LT107" s="645"/>
      <c r="LU107" s="650"/>
      <c r="LV107" s="645"/>
      <c r="LW107" s="650"/>
      <c r="LX107" s="645"/>
      <c r="LY107" s="650"/>
      <c r="LZ107" s="645"/>
      <c r="MA107" s="650"/>
      <c r="MB107" s="645"/>
      <c r="MC107" s="650"/>
      <c r="MD107" s="645"/>
      <c r="ME107" s="650"/>
      <c r="MF107" s="645"/>
      <c r="MG107" s="650"/>
      <c r="MH107" s="645"/>
      <c r="MI107" s="650"/>
      <c r="MJ107" s="645"/>
      <c r="MK107" s="650"/>
      <c r="ML107" s="645"/>
      <c r="MM107" s="650"/>
      <c r="MN107" s="645"/>
      <c r="MO107" s="650"/>
      <c r="MP107" s="645"/>
      <c r="MQ107" s="650"/>
      <c r="MR107" s="645"/>
      <c r="MS107" s="650"/>
      <c r="MT107" s="645"/>
      <c r="MU107" s="650"/>
      <c r="MV107" s="645"/>
      <c r="MW107" s="650"/>
      <c r="MX107" s="645"/>
      <c r="MY107" s="650"/>
      <c r="MZ107" s="645"/>
      <c r="NA107" s="650"/>
      <c r="NB107" s="645"/>
      <c r="NC107" s="650"/>
      <c r="ND107" s="645"/>
      <c r="NE107" s="650"/>
      <c r="NF107" s="645"/>
      <c r="NG107" s="650"/>
      <c r="NH107" s="645"/>
      <c r="NI107" s="650"/>
      <c r="NJ107" s="645"/>
      <c r="NK107" s="650"/>
      <c r="NL107" s="645"/>
      <c r="NM107" s="650"/>
      <c r="NN107" s="645"/>
      <c r="NO107" s="650"/>
      <c r="NP107" s="645"/>
      <c r="NQ107" s="650"/>
      <c r="NR107" s="645"/>
      <c r="NS107" s="650"/>
      <c r="NT107" s="645"/>
      <c r="NU107" s="650"/>
      <c r="NV107" s="645"/>
      <c r="NW107" s="650"/>
      <c r="NX107" s="645"/>
      <c r="NY107" s="650"/>
      <c r="NZ107" s="645"/>
      <c r="OA107" s="650"/>
      <c r="OB107" s="645"/>
      <c r="OC107" s="650"/>
      <c r="OD107" s="645"/>
      <c r="OE107" s="650"/>
      <c r="OF107" s="645"/>
      <c r="OG107" s="650"/>
      <c r="OH107" s="645"/>
      <c r="OI107" s="650"/>
      <c r="OJ107" s="645"/>
      <c r="OK107" s="650"/>
      <c r="OL107" s="645"/>
      <c r="OM107" s="650"/>
      <c r="ON107" s="645"/>
      <c r="OO107" s="650"/>
      <c r="OP107" s="645"/>
      <c r="OQ107" s="650"/>
      <c r="OR107" s="645"/>
      <c r="OS107" s="650"/>
      <c r="OT107" s="645"/>
      <c r="OU107" s="650"/>
      <c r="OV107" s="645"/>
      <c r="OW107" s="650"/>
      <c r="OX107" s="645"/>
      <c r="OY107" s="650"/>
      <c r="OZ107" s="645"/>
      <c r="PA107" s="650"/>
      <c r="PB107" s="645"/>
      <c r="PC107" s="650"/>
      <c r="PD107" s="645"/>
      <c r="PE107" s="650"/>
      <c r="PF107" s="645"/>
      <c r="PG107" s="650"/>
      <c r="PH107" s="645"/>
      <c r="PI107" s="650"/>
      <c r="PJ107" s="645"/>
      <c r="PK107" s="650"/>
      <c r="PL107" s="645"/>
      <c r="PM107" s="650"/>
      <c r="PN107" s="645"/>
      <c r="PO107" s="650"/>
      <c r="PP107" s="645"/>
      <c r="PQ107" s="650"/>
      <c r="PR107" s="645"/>
      <c r="PS107" s="650"/>
      <c r="PT107" s="645"/>
      <c r="PU107" s="650"/>
      <c r="PV107" s="645"/>
      <c r="PW107" s="650"/>
      <c r="PX107" s="645"/>
      <c r="PY107" s="650"/>
      <c r="PZ107" s="645"/>
      <c r="QA107" s="650"/>
      <c r="QB107" s="645"/>
      <c r="QC107" s="650"/>
      <c r="QD107" s="645"/>
      <c r="QE107" s="650"/>
      <c r="QF107" s="645"/>
      <c r="QG107" s="650"/>
      <c r="QH107" s="645"/>
      <c r="QI107" s="650"/>
      <c r="QJ107" s="645"/>
      <c r="QK107" s="650"/>
      <c r="QL107" s="645"/>
      <c r="QM107" s="650"/>
      <c r="QN107" s="645"/>
      <c r="QO107" s="650"/>
      <c r="QP107" s="645"/>
      <c r="QQ107" s="650"/>
      <c r="QR107" s="645"/>
      <c r="QS107" s="650"/>
      <c r="QT107" s="645"/>
      <c r="QU107" s="650"/>
      <c r="QV107" s="645"/>
      <c r="QW107" s="650"/>
      <c r="QX107" s="645"/>
      <c r="QY107" s="650"/>
      <c r="QZ107" s="645"/>
      <c r="RA107" s="650"/>
      <c r="RB107" s="645"/>
      <c r="RC107" s="650"/>
      <c r="RD107" s="645"/>
      <c r="RE107" s="650"/>
      <c r="RF107" s="645"/>
      <c r="RG107" s="650"/>
      <c r="RH107" s="645"/>
      <c r="RI107" s="650"/>
      <c r="RJ107" s="645"/>
      <c r="RK107" s="650"/>
      <c r="RL107" s="645"/>
      <c r="RM107" s="650"/>
      <c r="RN107" s="645"/>
      <c r="RO107" s="650"/>
      <c r="RP107" s="645"/>
      <c r="RQ107" s="650"/>
      <c r="RR107" s="645"/>
      <c r="RS107" s="650"/>
      <c r="RT107" s="645"/>
      <c r="RU107" s="650"/>
      <c r="RV107" s="645"/>
      <c r="RW107" s="650"/>
      <c r="RX107" s="645"/>
      <c r="RY107" s="650"/>
      <c r="RZ107" s="645"/>
      <c r="SA107" s="650"/>
      <c r="SB107" s="645"/>
      <c r="SC107" s="650"/>
      <c r="SD107" s="645"/>
      <c r="SE107" s="650"/>
      <c r="SF107" s="645"/>
      <c r="SG107" s="650"/>
      <c r="SH107" s="645"/>
      <c r="SI107" s="650"/>
      <c r="SJ107" s="645"/>
      <c r="SK107" s="650"/>
      <c r="SL107" s="645"/>
      <c r="SM107" s="650"/>
      <c r="SN107" s="645"/>
      <c r="SO107" s="650"/>
      <c r="SP107" s="645"/>
      <c r="SQ107" s="650"/>
      <c r="SR107" s="645"/>
      <c r="SS107" s="650"/>
      <c r="ST107" s="645"/>
      <c r="SU107" s="650"/>
      <c r="SV107" s="645"/>
      <c r="SW107" s="650"/>
      <c r="SX107" s="645"/>
      <c r="SY107" s="650"/>
      <c r="SZ107" s="645"/>
      <c r="TA107" s="650"/>
      <c r="TB107" s="645"/>
      <c r="TC107" s="650"/>
      <c r="TD107" s="645"/>
      <c r="TE107" s="650"/>
      <c r="TF107" s="645"/>
      <c r="TG107" s="650"/>
      <c r="TH107" s="645"/>
      <c r="TI107" s="650"/>
      <c r="TJ107" s="645"/>
      <c r="TK107" s="650"/>
      <c r="TL107" s="645"/>
      <c r="TM107" s="650"/>
      <c r="TN107" s="645"/>
      <c r="TO107" s="650"/>
      <c r="TP107" s="645"/>
      <c r="TQ107" s="650"/>
      <c r="TR107" s="645"/>
      <c r="TS107" s="650"/>
      <c r="TT107" s="645"/>
      <c r="TU107" s="650"/>
      <c r="TV107" s="645"/>
      <c r="TW107" s="650"/>
      <c r="TX107" s="645"/>
      <c r="TY107" s="650"/>
      <c r="TZ107" s="645"/>
      <c r="UA107" s="650"/>
      <c r="UB107" s="645"/>
      <c r="UC107" s="650"/>
      <c r="UD107" s="645"/>
      <c r="UE107" s="650"/>
      <c r="UF107" s="645"/>
      <c r="UG107" s="650"/>
      <c r="UH107" s="645"/>
      <c r="UI107" s="650"/>
      <c r="UJ107" s="645"/>
      <c r="UK107" s="650"/>
      <c r="UL107" s="645"/>
      <c r="UM107" s="650"/>
      <c r="UN107" s="645"/>
      <c r="UO107" s="650"/>
      <c r="UP107" s="645"/>
      <c r="UQ107" s="650"/>
      <c r="UR107" s="645"/>
      <c r="US107" s="650"/>
      <c r="UT107" s="645"/>
      <c r="UU107" s="650"/>
      <c r="UV107" s="645"/>
      <c r="UW107" s="650"/>
      <c r="UX107" s="645"/>
      <c r="UY107" s="650"/>
      <c r="UZ107" s="645"/>
      <c r="VA107" s="650"/>
      <c r="VB107" s="645"/>
      <c r="VC107" s="650"/>
      <c r="VD107" s="645"/>
      <c r="VE107" s="650"/>
      <c r="VF107" s="645"/>
      <c r="VG107" s="650"/>
      <c r="VH107" s="645"/>
      <c r="VI107" s="650"/>
      <c r="VJ107" s="645"/>
      <c r="VK107" s="650"/>
      <c r="VL107" s="645"/>
      <c r="VM107" s="650"/>
      <c r="VN107" s="645"/>
      <c r="VO107" s="650"/>
      <c r="VP107" s="645"/>
      <c r="VQ107" s="650"/>
      <c r="VR107" s="645"/>
      <c r="VS107" s="650"/>
      <c r="VT107" s="645"/>
      <c r="VU107" s="650"/>
      <c r="VV107" s="645"/>
      <c r="VW107" s="650"/>
      <c r="VX107" s="645"/>
      <c r="VY107" s="650"/>
      <c r="VZ107" s="645"/>
      <c r="WA107" s="650"/>
      <c r="WB107" s="645"/>
      <c r="WC107" s="650"/>
      <c r="WD107" s="645"/>
      <c r="WE107" s="650"/>
      <c r="WF107" s="645"/>
      <c r="WG107" s="650"/>
      <c r="WH107" s="645"/>
      <c r="WI107" s="650"/>
      <c r="WJ107" s="645"/>
      <c r="WK107" s="650"/>
      <c r="WL107" s="645"/>
      <c r="WM107" s="650"/>
      <c r="WN107" s="645"/>
      <c r="WO107" s="650"/>
      <c r="WP107" s="645"/>
      <c r="WQ107" s="650"/>
      <c r="WR107" s="645"/>
      <c r="WS107" s="650"/>
      <c r="WT107" s="645"/>
      <c r="WU107" s="650"/>
      <c r="WV107" s="645"/>
      <c r="WW107" s="650"/>
      <c r="WX107" s="645"/>
      <c r="WY107" s="650"/>
      <c r="WZ107" s="645"/>
      <c r="XA107" s="650"/>
      <c r="XB107" s="645"/>
      <c r="XC107" s="650"/>
      <c r="XD107" s="645"/>
      <c r="XE107" s="650"/>
      <c r="XF107" s="645"/>
      <c r="XG107" s="650"/>
      <c r="XH107" s="645"/>
      <c r="XI107" s="650"/>
      <c r="XJ107" s="645"/>
      <c r="XK107" s="650"/>
      <c r="XL107" s="645"/>
      <c r="XM107" s="650"/>
      <c r="XN107" s="645"/>
      <c r="XO107" s="650"/>
      <c r="XP107" s="645"/>
      <c r="XQ107" s="650"/>
      <c r="XR107" s="645"/>
      <c r="XS107" s="650"/>
      <c r="XT107" s="645"/>
      <c r="XU107" s="650"/>
      <c r="XV107" s="645"/>
      <c r="XW107" s="650"/>
      <c r="XX107" s="645"/>
      <c r="XY107" s="650"/>
      <c r="XZ107" s="645"/>
      <c r="YA107" s="650"/>
      <c r="YB107" s="645"/>
      <c r="YC107" s="650"/>
      <c r="YD107" s="645"/>
      <c r="YE107" s="650"/>
      <c r="YF107" s="645"/>
      <c r="YG107" s="650"/>
      <c r="YH107" s="645"/>
      <c r="YI107" s="650"/>
      <c r="YJ107" s="645"/>
      <c r="YK107" s="650"/>
      <c r="YL107" s="645"/>
      <c r="YM107" s="650"/>
      <c r="YN107" s="645"/>
      <c r="YO107" s="650"/>
      <c r="YP107" s="645"/>
      <c r="YQ107" s="650"/>
      <c r="YR107" s="645"/>
      <c r="YS107" s="650"/>
      <c r="YT107" s="645"/>
      <c r="YU107" s="650"/>
      <c r="YV107" s="645"/>
      <c r="YW107" s="650"/>
      <c r="YX107" s="645"/>
      <c r="YY107" s="650"/>
      <c r="YZ107" s="645"/>
      <c r="ZA107" s="650"/>
      <c r="ZB107" s="645"/>
      <c r="ZC107" s="650"/>
      <c r="ZD107" s="645"/>
      <c r="ZE107" s="650"/>
      <c r="ZF107" s="645"/>
      <c r="ZG107" s="650"/>
      <c r="ZH107" s="645"/>
      <c r="ZI107" s="650"/>
      <c r="ZJ107" s="645"/>
      <c r="ZK107" s="650"/>
      <c r="ZL107" s="645"/>
      <c r="ZM107" s="650"/>
      <c r="ZN107" s="645"/>
      <c r="ZO107" s="650"/>
      <c r="ZP107" s="645"/>
      <c r="ZQ107" s="650"/>
      <c r="ZR107" s="645"/>
      <c r="ZS107" s="650"/>
      <c r="ZT107" s="645"/>
      <c r="ZU107" s="650"/>
      <c r="ZV107" s="645"/>
      <c r="ZW107" s="650"/>
      <c r="ZX107" s="645"/>
      <c r="ZY107" s="650"/>
      <c r="ZZ107" s="645"/>
      <c r="AAA107" s="650"/>
      <c r="AAB107" s="645"/>
      <c r="AAC107" s="650"/>
      <c r="AAD107" s="645"/>
      <c r="AAE107" s="650"/>
      <c r="AAF107" s="645"/>
      <c r="AAG107" s="650"/>
      <c r="AAH107" s="645"/>
      <c r="AAI107" s="650"/>
      <c r="AAJ107" s="645"/>
      <c r="AAK107" s="650"/>
      <c r="AAL107" s="645"/>
      <c r="AAM107" s="650"/>
      <c r="AAN107" s="645"/>
      <c r="AAO107" s="650"/>
      <c r="AAP107" s="645"/>
      <c r="AAQ107" s="650"/>
      <c r="AAR107" s="645"/>
      <c r="AAS107" s="650"/>
      <c r="AAT107" s="645"/>
      <c r="AAU107" s="650"/>
      <c r="AAV107" s="645"/>
      <c r="AAW107" s="650"/>
      <c r="AAX107" s="645"/>
      <c r="AAY107" s="650"/>
      <c r="AAZ107" s="645"/>
      <c r="ABA107" s="650"/>
      <c r="ABB107" s="645"/>
      <c r="ABC107" s="650"/>
      <c r="ABD107" s="645"/>
      <c r="ABE107" s="650"/>
      <c r="ABF107" s="645"/>
      <c r="ABG107" s="650"/>
      <c r="ABH107" s="645"/>
      <c r="ABI107" s="650"/>
      <c r="ABJ107" s="645"/>
      <c r="ABK107" s="650"/>
      <c r="ABL107" s="645"/>
      <c r="ABM107" s="650"/>
      <c r="ABN107" s="645"/>
      <c r="ABO107" s="650"/>
      <c r="ABP107" s="645"/>
      <c r="ABQ107" s="650"/>
      <c r="ABR107" s="645"/>
      <c r="ABS107" s="650"/>
      <c r="ABT107" s="645"/>
      <c r="ABU107" s="650"/>
      <c r="ABV107" s="645"/>
      <c r="ABW107" s="650"/>
      <c r="ABX107" s="645"/>
      <c r="ABY107" s="650"/>
      <c r="ABZ107" s="645"/>
      <c r="ACA107" s="650"/>
      <c r="ACB107" s="645"/>
      <c r="ACC107" s="650"/>
      <c r="ACD107" s="645"/>
      <c r="ACE107" s="650"/>
      <c r="ACF107" s="645"/>
      <c r="ACG107" s="650"/>
      <c r="ACH107" s="645"/>
      <c r="ACI107" s="650"/>
      <c r="ACJ107" s="645"/>
      <c r="ACK107" s="650"/>
      <c r="ACL107" s="645"/>
      <c r="ACM107" s="650"/>
      <c r="ACN107" s="645"/>
      <c r="ACO107" s="650"/>
      <c r="ACP107" s="645"/>
      <c r="ACQ107" s="650"/>
      <c r="ACR107" s="645"/>
      <c r="ACS107" s="650"/>
      <c r="ACT107" s="645"/>
      <c r="ACU107" s="650"/>
      <c r="ACV107" s="645"/>
      <c r="ACW107" s="650"/>
      <c r="ACX107" s="645"/>
      <c r="ACY107" s="650"/>
      <c r="ACZ107" s="645"/>
      <c r="ADA107" s="650"/>
      <c r="ADB107" s="645"/>
      <c r="ADC107" s="650"/>
      <c r="ADD107" s="645"/>
      <c r="ADE107" s="650"/>
      <c r="ADF107" s="645"/>
      <c r="ADG107" s="650"/>
      <c r="ADH107" s="645"/>
      <c r="ADI107" s="650"/>
      <c r="ADJ107" s="645"/>
      <c r="ADK107" s="650"/>
      <c r="ADL107" s="645"/>
      <c r="ADM107" s="650"/>
      <c r="ADN107" s="645"/>
      <c r="ADO107" s="650"/>
      <c r="ADP107" s="645"/>
      <c r="ADQ107" s="650"/>
      <c r="ADR107" s="645"/>
      <c r="ADS107" s="650"/>
      <c r="ADT107" s="645"/>
      <c r="ADU107" s="650"/>
      <c r="ADV107" s="645"/>
      <c r="ADW107" s="650"/>
      <c r="ADX107" s="645"/>
      <c r="ADY107" s="650"/>
      <c r="ADZ107" s="645"/>
      <c r="AEA107" s="650"/>
      <c r="AEB107" s="645"/>
      <c r="AEC107" s="650"/>
      <c r="AED107" s="645"/>
      <c r="AEE107" s="650"/>
      <c r="AEF107" s="645"/>
      <c r="AEG107" s="650"/>
      <c r="AEH107" s="645"/>
      <c r="AEI107" s="650"/>
      <c r="AEJ107" s="645"/>
      <c r="AEK107" s="650"/>
      <c r="AEL107" s="645"/>
      <c r="AEM107" s="650"/>
      <c r="AEN107" s="645"/>
      <c r="AEO107" s="650"/>
      <c r="AEP107" s="645"/>
      <c r="AEQ107" s="650"/>
      <c r="AER107" s="645"/>
      <c r="AES107" s="650"/>
      <c r="AET107" s="645"/>
      <c r="AEU107" s="650"/>
      <c r="AEV107" s="645"/>
      <c r="AEW107" s="650"/>
      <c r="AEX107" s="645"/>
      <c r="AEY107" s="650"/>
      <c r="AEZ107" s="645"/>
      <c r="AFA107" s="650"/>
      <c r="AFB107" s="645"/>
      <c r="AFC107" s="650"/>
      <c r="AFD107" s="645"/>
      <c r="AFE107" s="650"/>
      <c r="AFF107" s="645"/>
      <c r="AFG107" s="650"/>
      <c r="AFH107" s="645"/>
      <c r="AFI107" s="650"/>
      <c r="AFJ107" s="645"/>
      <c r="AFK107" s="650"/>
      <c r="AFL107" s="645"/>
      <c r="AFM107" s="650"/>
      <c r="AFN107" s="645"/>
      <c r="AFO107" s="650"/>
      <c r="AFP107" s="645"/>
      <c r="AFQ107" s="650"/>
      <c r="AFR107" s="645"/>
      <c r="AFS107" s="650"/>
      <c r="AFT107" s="645"/>
      <c r="AFU107" s="650"/>
      <c r="AFV107" s="645"/>
      <c r="AFW107" s="650"/>
      <c r="AFX107" s="645"/>
      <c r="AFY107" s="650"/>
      <c r="AFZ107" s="645"/>
      <c r="AGA107" s="650"/>
      <c r="AGB107" s="645"/>
      <c r="AGC107" s="650"/>
      <c r="AGD107" s="645"/>
      <c r="AGE107" s="650"/>
      <c r="AGF107" s="645"/>
      <c r="AGG107" s="650"/>
      <c r="AGH107" s="645"/>
      <c r="AGI107" s="650"/>
      <c r="AGJ107" s="645"/>
      <c r="AGK107" s="650"/>
      <c r="AGL107" s="645"/>
      <c r="AGM107" s="650"/>
      <c r="AGN107" s="645"/>
      <c r="AGO107" s="650"/>
      <c r="AGP107" s="645"/>
      <c r="AGQ107" s="650"/>
      <c r="AGR107" s="645"/>
      <c r="AGS107" s="650"/>
      <c r="AGT107" s="645"/>
      <c r="AGU107" s="650"/>
      <c r="AGV107" s="645"/>
      <c r="AGW107" s="650"/>
      <c r="AGX107" s="645"/>
      <c r="AGY107" s="650"/>
      <c r="AGZ107" s="645"/>
      <c r="AHA107" s="650"/>
      <c r="AHB107" s="645"/>
      <c r="AHC107" s="650"/>
      <c r="AHD107" s="645"/>
      <c r="AHE107" s="650"/>
      <c r="AHF107" s="645"/>
      <c r="AHG107" s="650"/>
      <c r="AHH107" s="645"/>
      <c r="AHI107" s="650"/>
      <c r="AHJ107" s="645"/>
      <c r="AHK107" s="650"/>
      <c r="AHL107" s="645"/>
      <c r="AHM107" s="650"/>
      <c r="AHN107" s="645"/>
      <c r="AHO107" s="650"/>
      <c r="AHP107" s="645"/>
      <c r="AHQ107" s="650"/>
      <c r="AHR107" s="645"/>
      <c r="AHS107" s="650"/>
      <c r="AHT107" s="645"/>
      <c r="AHU107" s="650"/>
      <c r="AHV107" s="645"/>
      <c r="AHW107" s="650"/>
      <c r="AHX107" s="645"/>
      <c r="AHY107" s="650"/>
      <c r="AHZ107" s="645"/>
      <c r="AIA107" s="650"/>
      <c r="AIB107" s="645"/>
      <c r="AIC107" s="650"/>
      <c r="AID107" s="645"/>
      <c r="AIE107" s="650"/>
      <c r="AIF107" s="645"/>
      <c r="AIG107" s="650"/>
      <c r="AIH107" s="645"/>
      <c r="AII107" s="650"/>
      <c r="AIJ107" s="645"/>
      <c r="AIK107" s="650"/>
      <c r="AIL107" s="645"/>
      <c r="AIM107" s="650"/>
      <c r="AIN107" s="645"/>
      <c r="AIO107" s="650"/>
      <c r="AIP107" s="645"/>
      <c r="AIQ107" s="645"/>
      <c r="AIR107" s="645"/>
      <c r="AIS107" s="645"/>
      <c r="AIT107" s="645"/>
      <c r="AIU107" s="645"/>
      <c r="AIV107" s="645"/>
      <c r="AIW107" s="645"/>
      <c r="AIX107" s="645"/>
      <c r="AIY107" s="645"/>
      <c r="AIZ107" s="645"/>
      <c r="AJA107" s="645"/>
      <c r="AJB107" s="645"/>
      <c r="AJC107" s="645"/>
      <c r="AJD107" s="645"/>
      <c r="AJE107" s="645"/>
      <c r="AJF107" s="645"/>
      <c r="AJG107" s="645"/>
      <c r="AJH107" s="645"/>
      <c r="AJI107" s="645"/>
      <c r="AJJ107" s="645"/>
      <c r="AJK107" s="645"/>
      <c r="AJL107" s="645"/>
      <c r="AJM107" s="645"/>
      <c r="AJN107" s="645"/>
      <c r="AJO107" s="645"/>
      <c r="AJP107" s="645"/>
      <c r="AJQ107" s="645"/>
      <c r="AJR107" s="645"/>
      <c r="AJS107" s="645"/>
      <c r="AJT107" s="645"/>
      <c r="AJU107" s="645"/>
      <c r="AJV107" s="645"/>
      <c r="AJW107" s="645"/>
      <c r="AJX107" s="645"/>
      <c r="AJY107" s="645"/>
      <c r="AJZ107" s="645"/>
      <c r="AKA107" s="645"/>
      <c r="AKB107" s="645"/>
      <c r="AKC107" s="645"/>
      <c r="AKD107" s="645"/>
      <c r="AKE107" s="645"/>
      <c r="AKF107" s="645"/>
      <c r="AKG107" s="645"/>
      <c r="AKH107" s="645"/>
      <c r="AKI107" s="645"/>
      <c r="AKJ107" s="645"/>
      <c r="AKK107" s="645"/>
      <c r="AKL107" s="645"/>
      <c r="AKM107" s="645"/>
      <c r="AKN107" s="645"/>
      <c r="AKO107" s="645"/>
      <c r="AKP107" s="645"/>
      <c r="AKQ107" s="645"/>
      <c r="AKR107" s="645"/>
      <c r="AKS107" s="645"/>
      <c r="AKT107" s="645"/>
      <c r="AKU107" s="645"/>
      <c r="AKV107" s="645"/>
      <c r="AKW107" s="645"/>
      <c r="AKX107" s="645"/>
      <c r="AKY107" s="645"/>
      <c r="AKZ107" s="645"/>
      <c r="ALA107" s="645"/>
      <c r="ALB107" s="645"/>
      <c r="ALC107" s="645"/>
      <c r="ALD107" s="645"/>
      <c r="ALE107" s="645"/>
      <c r="ALF107" s="645"/>
      <c r="ALG107" s="645"/>
      <c r="ALH107" s="645"/>
      <c r="ALI107" s="645"/>
      <c r="ALJ107" s="645"/>
      <c r="ALK107" s="645"/>
      <c r="ALL107" s="645"/>
      <c r="ALM107" s="645"/>
      <c r="ALN107" s="645"/>
      <c r="ALO107" s="645"/>
      <c r="ALP107" s="645"/>
      <c r="ALQ107" s="645"/>
      <c r="ALR107" s="645"/>
      <c r="ALS107" s="645"/>
      <c r="ALT107" s="645"/>
      <c r="ALU107" s="645"/>
      <c r="ALV107" s="645"/>
      <c r="ALW107" s="645"/>
      <c r="ALX107" s="645"/>
      <c r="ALY107" s="645"/>
      <c r="ALZ107" s="645"/>
      <c r="AMA107" s="645"/>
      <c r="AMB107" s="645"/>
      <c r="AMC107" s="645"/>
      <c r="AMD107" s="645"/>
      <c r="AME107" s="645"/>
      <c r="AMF107" s="645"/>
      <c r="AMG107" s="645"/>
      <c r="AMH107" s="645"/>
      <c r="AMI107" s="645"/>
      <c r="AMJ107" s="645"/>
    </row>
    <row r="108" spans="1:1024" s="37" customFormat="1" ht="15.75" customHeight="1" x14ac:dyDescent="0.35">
      <c r="A108" s="600"/>
      <c r="B108" s="601" t="s">
        <v>362</v>
      </c>
      <c r="C108" s="645"/>
      <c r="D108" s="650"/>
      <c r="E108" s="645"/>
      <c r="F108" s="650"/>
      <c r="G108" s="453" t="s">
        <v>234</v>
      </c>
      <c r="H108" s="643" t="s">
        <v>259</v>
      </c>
      <c r="I108" s="645"/>
      <c r="J108" s="38"/>
      <c r="K108" s="38"/>
      <c r="L108" s="39"/>
      <c r="M108" s="38"/>
      <c r="N108" s="39"/>
      <c r="O108" s="38"/>
      <c r="P108" s="39"/>
      <c r="Q108" s="38"/>
      <c r="R108" s="39"/>
      <c r="S108" s="38"/>
      <c r="T108" s="39"/>
      <c r="U108" s="38"/>
      <c r="V108" s="39"/>
      <c r="W108" s="38"/>
      <c r="X108" s="39"/>
      <c r="Y108" s="38"/>
      <c r="Z108" s="39"/>
      <c r="AA108" s="38"/>
      <c r="AB108" s="39"/>
      <c r="AC108" s="38"/>
      <c r="AD108" s="39"/>
      <c r="AE108" s="38"/>
      <c r="AF108" s="39"/>
      <c r="AG108" s="38"/>
      <c r="AH108" s="39"/>
      <c r="AI108" s="38"/>
      <c r="AJ108" s="39"/>
      <c r="AK108" s="38"/>
      <c r="AL108" s="39"/>
      <c r="AM108" s="38"/>
      <c r="AN108" s="39"/>
      <c r="AO108" s="38"/>
      <c r="AP108" s="39"/>
      <c r="AQ108" s="38"/>
      <c r="AR108" s="39"/>
      <c r="AS108" s="38"/>
      <c r="AT108" s="39"/>
      <c r="AU108" s="38"/>
      <c r="AV108" s="39"/>
      <c r="AW108" s="38"/>
      <c r="AX108" s="39"/>
      <c r="AY108" s="38"/>
      <c r="AZ108" s="39"/>
      <c r="BA108" s="38"/>
      <c r="BB108" s="39"/>
      <c r="BC108" s="38"/>
      <c r="BD108" s="39"/>
      <c r="BE108" s="38"/>
      <c r="BF108" s="39"/>
      <c r="BG108" s="38"/>
      <c r="BH108" s="39"/>
      <c r="BI108" s="38"/>
      <c r="BJ108" s="39"/>
      <c r="BK108" s="38"/>
      <c r="BL108" s="39"/>
      <c r="BM108" s="38"/>
      <c r="BN108" s="39"/>
      <c r="BO108" s="38"/>
      <c r="BP108" s="39"/>
      <c r="BQ108" s="38"/>
      <c r="BR108" s="39"/>
      <c r="BS108" s="38"/>
      <c r="BT108" s="39"/>
      <c r="BU108" s="38"/>
      <c r="BV108" s="39"/>
      <c r="BW108" s="38"/>
      <c r="BX108" s="39"/>
      <c r="BY108" s="38"/>
      <c r="BZ108" s="39"/>
      <c r="CA108" s="38"/>
      <c r="CB108" s="39"/>
      <c r="CC108" s="38"/>
      <c r="CD108" s="39"/>
      <c r="CE108" s="38"/>
      <c r="CF108" s="39"/>
      <c r="CG108" s="38"/>
      <c r="CH108" s="39"/>
      <c r="CI108" s="38"/>
      <c r="CJ108" s="39"/>
      <c r="CK108" s="38"/>
      <c r="CL108" s="39"/>
      <c r="CM108" s="38"/>
      <c r="CN108" s="39"/>
      <c r="CO108" s="38"/>
      <c r="CP108" s="39"/>
      <c r="CQ108" s="38"/>
      <c r="CR108" s="39"/>
      <c r="CS108" s="38"/>
      <c r="CT108" s="39"/>
      <c r="CU108" s="38"/>
      <c r="CV108" s="39"/>
      <c r="CW108" s="38"/>
      <c r="CX108" s="39"/>
      <c r="CY108" s="38"/>
      <c r="CZ108" s="39"/>
      <c r="DA108" s="38"/>
      <c r="DB108" s="39"/>
      <c r="DC108" s="38"/>
      <c r="DD108" s="39"/>
      <c r="DE108" s="38"/>
      <c r="DF108" s="39"/>
      <c r="DG108" s="38"/>
      <c r="DH108" s="39"/>
      <c r="DI108" s="38"/>
      <c r="DJ108" s="39"/>
      <c r="DK108" s="38"/>
      <c r="DL108" s="39"/>
      <c r="DM108" s="38"/>
      <c r="DN108" s="39"/>
      <c r="DO108" s="38"/>
      <c r="DP108" s="39"/>
      <c r="DQ108" s="38"/>
      <c r="DR108" s="39"/>
      <c r="DS108" s="38"/>
      <c r="DT108" s="39"/>
      <c r="DU108" s="38"/>
      <c r="DV108" s="39"/>
      <c r="DW108" s="38"/>
      <c r="DX108" s="39"/>
      <c r="DY108" s="38"/>
      <c r="DZ108" s="39"/>
      <c r="EA108" s="38"/>
      <c r="EB108" s="39"/>
      <c r="EC108" s="38"/>
      <c r="ED108" s="39"/>
      <c r="EE108" s="38"/>
      <c r="EF108" s="39"/>
      <c r="EG108" s="38"/>
      <c r="EH108" s="39"/>
      <c r="EI108" s="38"/>
      <c r="EJ108" s="39"/>
      <c r="EK108" s="38"/>
      <c r="EL108" s="39"/>
      <c r="EM108" s="38"/>
      <c r="EN108" s="39"/>
      <c r="EO108" s="38"/>
      <c r="EP108" s="39"/>
      <c r="EQ108" s="38"/>
      <c r="ER108" s="39"/>
      <c r="ES108" s="38"/>
      <c r="ET108" s="39"/>
      <c r="EU108" s="38"/>
      <c r="EV108" s="39"/>
      <c r="EW108" s="38"/>
      <c r="EX108" s="39"/>
      <c r="EY108" s="38"/>
      <c r="EZ108" s="39"/>
      <c r="FA108" s="38"/>
      <c r="FB108" s="39"/>
      <c r="FC108" s="38"/>
      <c r="FD108" s="39"/>
      <c r="FE108" s="38"/>
      <c r="FF108" s="39"/>
      <c r="FG108" s="38"/>
      <c r="FH108" s="39"/>
      <c r="FI108" s="38"/>
      <c r="FJ108" s="39"/>
      <c r="FK108" s="38"/>
      <c r="FL108" s="39"/>
      <c r="FM108" s="38"/>
      <c r="FN108" s="39"/>
      <c r="FO108" s="38"/>
      <c r="FP108" s="39"/>
      <c r="FQ108" s="38"/>
      <c r="FR108" s="39"/>
      <c r="FS108" s="38"/>
      <c r="FT108" s="39"/>
      <c r="FU108" s="38"/>
      <c r="FV108" s="39"/>
      <c r="FW108" s="38"/>
      <c r="FX108" s="39"/>
      <c r="FY108" s="38"/>
      <c r="FZ108" s="39"/>
      <c r="GA108" s="38"/>
      <c r="GB108" s="39"/>
      <c r="GC108" s="38"/>
      <c r="GD108" s="39"/>
      <c r="GE108" s="38"/>
      <c r="GF108" s="39"/>
      <c r="GG108" s="38"/>
      <c r="GH108" s="39"/>
      <c r="GI108" s="38"/>
      <c r="GJ108" s="39"/>
      <c r="GK108" s="38"/>
      <c r="GL108" s="39"/>
      <c r="GM108" s="38"/>
      <c r="GN108" s="39"/>
      <c r="GO108" s="38"/>
      <c r="GP108" s="39"/>
      <c r="GQ108" s="38"/>
      <c r="GR108" s="39"/>
      <c r="GS108" s="38"/>
      <c r="GT108" s="39"/>
      <c r="GU108" s="38"/>
      <c r="GV108" s="39"/>
      <c r="GW108" s="38"/>
      <c r="GX108" s="39"/>
      <c r="GY108" s="38"/>
      <c r="GZ108" s="39"/>
      <c r="HA108" s="38"/>
      <c r="HB108" s="39"/>
      <c r="HC108" s="38"/>
      <c r="HD108" s="39"/>
      <c r="HE108" s="38"/>
      <c r="HF108" s="39"/>
      <c r="HG108" s="38"/>
      <c r="HH108" s="39"/>
      <c r="HI108" s="38"/>
      <c r="HJ108" s="39"/>
      <c r="HK108" s="38"/>
      <c r="HL108" s="39"/>
      <c r="HM108" s="38"/>
      <c r="HN108" s="39"/>
      <c r="HO108" s="38"/>
      <c r="HP108" s="39"/>
      <c r="HQ108" s="38"/>
      <c r="HR108" s="39"/>
      <c r="HS108" s="38"/>
      <c r="HT108" s="39"/>
      <c r="HU108" s="38"/>
      <c r="HV108" s="39"/>
      <c r="HW108" s="38"/>
      <c r="HX108" s="39"/>
      <c r="HY108" s="38"/>
      <c r="HZ108" s="39"/>
      <c r="IA108" s="38"/>
      <c r="IB108" s="39"/>
      <c r="IC108" s="1069"/>
      <c r="ID108" s="645"/>
      <c r="IE108" s="650"/>
      <c r="IF108" s="645"/>
      <c r="IG108" s="650"/>
      <c r="IH108" s="645"/>
      <c r="II108" s="650"/>
      <c r="IJ108" s="645"/>
      <c r="IK108" s="650"/>
      <c r="IL108" s="645"/>
      <c r="IM108" s="650"/>
      <c r="IN108" s="645"/>
      <c r="IO108" s="650"/>
      <c r="IP108" s="645"/>
      <c r="IQ108" s="650"/>
      <c r="IR108" s="645"/>
      <c r="IS108" s="650"/>
      <c r="IT108" s="645"/>
      <c r="IU108" s="650"/>
      <c r="IV108" s="645"/>
      <c r="IW108" s="650"/>
      <c r="IX108" s="645"/>
      <c r="IY108" s="650"/>
      <c r="IZ108" s="645"/>
      <c r="JA108" s="650"/>
      <c r="JB108" s="645"/>
      <c r="JC108" s="650"/>
      <c r="JD108" s="645"/>
      <c r="JE108" s="650"/>
      <c r="JF108" s="645"/>
      <c r="JG108" s="650"/>
      <c r="JH108" s="645"/>
      <c r="JI108" s="650"/>
      <c r="JJ108" s="645"/>
      <c r="JK108" s="650"/>
      <c r="JL108" s="645"/>
      <c r="JM108" s="650"/>
      <c r="JN108" s="645"/>
      <c r="JO108" s="650"/>
      <c r="JP108" s="645"/>
      <c r="JQ108" s="650"/>
      <c r="JR108" s="645"/>
      <c r="JS108" s="650"/>
      <c r="JT108" s="645"/>
      <c r="JU108" s="650"/>
      <c r="JV108" s="645"/>
      <c r="JW108" s="650"/>
      <c r="JX108" s="645"/>
      <c r="JY108" s="650"/>
      <c r="JZ108" s="645"/>
      <c r="KA108" s="650"/>
      <c r="KB108" s="645"/>
      <c r="KC108" s="650"/>
      <c r="KD108" s="645"/>
      <c r="KE108" s="650"/>
      <c r="KF108" s="645"/>
      <c r="KG108" s="650"/>
      <c r="KH108" s="645"/>
      <c r="KI108" s="650"/>
      <c r="KJ108" s="645"/>
      <c r="KK108" s="650"/>
      <c r="KL108" s="645"/>
      <c r="KM108" s="650"/>
      <c r="KN108" s="645"/>
      <c r="KO108" s="650"/>
      <c r="KP108" s="645"/>
      <c r="KQ108" s="650"/>
      <c r="KR108" s="645"/>
      <c r="KS108" s="650"/>
      <c r="KT108" s="645"/>
      <c r="KU108" s="650"/>
      <c r="KV108" s="645"/>
      <c r="KW108" s="650"/>
      <c r="KX108" s="645"/>
      <c r="KY108" s="650"/>
      <c r="KZ108" s="645"/>
      <c r="LA108" s="650"/>
      <c r="LB108" s="645"/>
      <c r="LC108" s="650"/>
      <c r="LD108" s="645"/>
      <c r="LE108" s="650"/>
      <c r="LF108" s="645"/>
      <c r="LG108" s="650"/>
      <c r="LH108" s="645"/>
      <c r="LI108" s="650"/>
      <c r="LJ108" s="645"/>
      <c r="LK108" s="650"/>
      <c r="LL108" s="645"/>
      <c r="LM108" s="650"/>
      <c r="LN108" s="645"/>
      <c r="LO108" s="650"/>
      <c r="LP108" s="645"/>
      <c r="LQ108" s="650"/>
      <c r="LR108" s="645"/>
      <c r="LS108" s="650"/>
      <c r="LT108" s="645"/>
      <c r="LU108" s="650"/>
      <c r="LV108" s="645"/>
      <c r="LW108" s="650"/>
      <c r="LX108" s="645"/>
      <c r="LY108" s="650"/>
      <c r="LZ108" s="645"/>
      <c r="MA108" s="650"/>
      <c r="MB108" s="645"/>
      <c r="MC108" s="650"/>
      <c r="MD108" s="645"/>
      <c r="ME108" s="650"/>
      <c r="MF108" s="645"/>
      <c r="MG108" s="650"/>
      <c r="MH108" s="645"/>
      <c r="MI108" s="650"/>
      <c r="MJ108" s="645"/>
      <c r="MK108" s="650"/>
      <c r="ML108" s="645"/>
      <c r="MM108" s="650"/>
      <c r="MN108" s="645"/>
      <c r="MO108" s="650"/>
      <c r="MP108" s="645"/>
      <c r="MQ108" s="650"/>
      <c r="MR108" s="645"/>
      <c r="MS108" s="650"/>
      <c r="MT108" s="645"/>
      <c r="MU108" s="650"/>
      <c r="MV108" s="645"/>
      <c r="MW108" s="650"/>
      <c r="MX108" s="645"/>
      <c r="MY108" s="650"/>
      <c r="MZ108" s="645"/>
      <c r="NA108" s="650"/>
      <c r="NB108" s="645"/>
      <c r="NC108" s="650"/>
      <c r="ND108" s="645"/>
      <c r="NE108" s="650"/>
      <c r="NF108" s="645"/>
      <c r="NG108" s="650"/>
      <c r="NH108" s="645"/>
      <c r="NI108" s="650"/>
      <c r="NJ108" s="645"/>
      <c r="NK108" s="650"/>
      <c r="NL108" s="645"/>
      <c r="NM108" s="650"/>
      <c r="NN108" s="645"/>
      <c r="NO108" s="650"/>
      <c r="NP108" s="645"/>
      <c r="NQ108" s="650"/>
      <c r="NR108" s="645"/>
      <c r="NS108" s="650"/>
      <c r="NT108" s="645"/>
      <c r="NU108" s="650"/>
      <c r="NV108" s="645"/>
      <c r="NW108" s="650"/>
      <c r="NX108" s="645"/>
      <c r="NY108" s="650"/>
      <c r="NZ108" s="645"/>
      <c r="OA108" s="650"/>
      <c r="OB108" s="645"/>
      <c r="OC108" s="650"/>
      <c r="OD108" s="645"/>
      <c r="OE108" s="650"/>
      <c r="OF108" s="645"/>
      <c r="OG108" s="650"/>
      <c r="OH108" s="645"/>
      <c r="OI108" s="650"/>
      <c r="OJ108" s="645"/>
      <c r="OK108" s="650"/>
      <c r="OL108" s="645"/>
      <c r="OM108" s="650"/>
      <c r="ON108" s="645"/>
      <c r="OO108" s="650"/>
      <c r="OP108" s="645"/>
      <c r="OQ108" s="650"/>
      <c r="OR108" s="645"/>
      <c r="OS108" s="650"/>
      <c r="OT108" s="645"/>
      <c r="OU108" s="650"/>
      <c r="OV108" s="645"/>
      <c r="OW108" s="650"/>
      <c r="OX108" s="645"/>
      <c r="OY108" s="650"/>
      <c r="OZ108" s="645"/>
      <c r="PA108" s="650"/>
      <c r="PB108" s="645"/>
      <c r="PC108" s="650"/>
      <c r="PD108" s="645"/>
      <c r="PE108" s="650"/>
      <c r="PF108" s="645"/>
      <c r="PG108" s="650"/>
      <c r="PH108" s="645"/>
      <c r="PI108" s="650"/>
      <c r="PJ108" s="645"/>
      <c r="PK108" s="650"/>
      <c r="PL108" s="645"/>
      <c r="PM108" s="650"/>
      <c r="PN108" s="645"/>
      <c r="PO108" s="650"/>
      <c r="PP108" s="645"/>
      <c r="PQ108" s="650"/>
      <c r="PR108" s="645"/>
      <c r="PS108" s="650"/>
      <c r="PT108" s="645"/>
      <c r="PU108" s="650"/>
      <c r="PV108" s="645"/>
      <c r="PW108" s="650"/>
      <c r="PX108" s="645"/>
      <c r="PY108" s="650"/>
      <c r="PZ108" s="645"/>
      <c r="QA108" s="650"/>
      <c r="QB108" s="645"/>
      <c r="QC108" s="650"/>
      <c r="QD108" s="645"/>
      <c r="QE108" s="650"/>
      <c r="QF108" s="645"/>
      <c r="QG108" s="650"/>
      <c r="QH108" s="645"/>
      <c r="QI108" s="650"/>
      <c r="QJ108" s="645"/>
      <c r="QK108" s="650"/>
      <c r="QL108" s="645"/>
      <c r="QM108" s="650"/>
      <c r="QN108" s="645"/>
      <c r="QO108" s="650"/>
      <c r="QP108" s="645"/>
      <c r="QQ108" s="650"/>
      <c r="QR108" s="645"/>
      <c r="QS108" s="650"/>
      <c r="QT108" s="645"/>
      <c r="QU108" s="650"/>
      <c r="QV108" s="645"/>
      <c r="QW108" s="650"/>
      <c r="QX108" s="645"/>
      <c r="QY108" s="650"/>
      <c r="QZ108" s="645"/>
      <c r="RA108" s="650"/>
      <c r="RB108" s="645"/>
      <c r="RC108" s="650"/>
      <c r="RD108" s="645"/>
      <c r="RE108" s="650"/>
      <c r="RF108" s="645"/>
      <c r="RG108" s="650"/>
      <c r="RH108" s="645"/>
      <c r="RI108" s="650"/>
      <c r="RJ108" s="645"/>
      <c r="RK108" s="650"/>
      <c r="RL108" s="645"/>
      <c r="RM108" s="650"/>
      <c r="RN108" s="645"/>
      <c r="RO108" s="650"/>
      <c r="RP108" s="645"/>
      <c r="RQ108" s="650"/>
      <c r="RR108" s="645"/>
      <c r="RS108" s="650"/>
      <c r="RT108" s="645"/>
      <c r="RU108" s="650"/>
      <c r="RV108" s="645"/>
      <c r="RW108" s="650"/>
      <c r="RX108" s="645"/>
      <c r="RY108" s="650"/>
      <c r="RZ108" s="645"/>
      <c r="SA108" s="650"/>
      <c r="SB108" s="645"/>
      <c r="SC108" s="650"/>
      <c r="SD108" s="645"/>
      <c r="SE108" s="650"/>
      <c r="SF108" s="645"/>
      <c r="SG108" s="650"/>
      <c r="SH108" s="645"/>
      <c r="SI108" s="650"/>
      <c r="SJ108" s="645"/>
      <c r="SK108" s="650"/>
      <c r="SL108" s="645"/>
      <c r="SM108" s="650"/>
      <c r="SN108" s="645"/>
      <c r="SO108" s="650"/>
      <c r="SP108" s="645"/>
      <c r="SQ108" s="650"/>
      <c r="SR108" s="645"/>
      <c r="SS108" s="650"/>
      <c r="ST108" s="645"/>
      <c r="SU108" s="650"/>
      <c r="SV108" s="645"/>
      <c r="SW108" s="650"/>
      <c r="SX108" s="645"/>
      <c r="SY108" s="650"/>
      <c r="SZ108" s="645"/>
      <c r="TA108" s="650"/>
      <c r="TB108" s="645"/>
      <c r="TC108" s="650"/>
      <c r="TD108" s="645"/>
      <c r="TE108" s="650"/>
      <c r="TF108" s="645"/>
      <c r="TG108" s="650"/>
      <c r="TH108" s="645"/>
      <c r="TI108" s="650"/>
      <c r="TJ108" s="645"/>
      <c r="TK108" s="650"/>
      <c r="TL108" s="645"/>
      <c r="TM108" s="650"/>
      <c r="TN108" s="645"/>
      <c r="TO108" s="650"/>
      <c r="TP108" s="645"/>
      <c r="TQ108" s="650"/>
      <c r="TR108" s="645"/>
      <c r="TS108" s="650"/>
      <c r="TT108" s="645"/>
      <c r="TU108" s="650"/>
      <c r="TV108" s="645"/>
      <c r="TW108" s="650"/>
      <c r="TX108" s="645"/>
      <c r="TY108" s="650"/>
      <c r="TZ108" s="645"/>
      <c r="UA108" s="650"/>
      <c r="UB108" s="645"/>
      <c r="UC108" s="650"/>
      <c r="UD108" s="645"/>
      <c r="UE108" s="650"/>
      <c r="UF108" s="645"/>
      <c r="UG108" s="650"/>
      <c r="UH108" s="645"/>
      <c r="UI108" s="650"/>
      <c r="UJ108" s="645"/>
      <c r="UK108" s="650"/>
      <c r="UL108" s="645"/>
      <c r="UM108" s="650"/>
      <c r="UN108" s="645"/>
      <c r="UO108" s="650"/>
      <c r="UP108" s="645"/>
      <c r="UQ108" s="650"/>
      <c r="UR108" s="645"/>
      <c r="US108" s="650"/>
      <c r="UT108" s="645"/>
      <c r="UU108" s="650"/>
      <c r="UV108" s="645"/>
      <c r="UW108" s="650"/>
      <c r="UX108" s="645"/>
      <c r="UY108" s="650"/>
      <c r="UZ108" s="645"/>
      <c r="VA108" s="650"/>
      <c r="VB108" s="645"/>
      <c r="VC108" s="650"/>
      <c r="VD108" s="645"/>
      <c r="VE108" s="650"/>
      <c r="VF108" s="645"/>
      <c r="VG108" s="650"/>
      <c r="VH108" s="645"/>
      <c r="VI108" s="650"/>
      <c r="VJ108" s="645"/>
      <c r="VK108" s="650"/>
      <c r="VL108" s="645"/>
      <c r="VM108" s="650"/>
      <c r="VN108" s="645"/>
      <c r="VO108" s="650"/>
      <c r="VP108" s="645"/>
      <c r="VQ108" s="650"/>
      <c r="VR108" s="645"/>
      <c r="VS108" s="650"/>
      <c r="VT108" s="645"/>
      <c r="VU108" s="650"/>
      <c r="VV108" s="645"/>
      <c r="VW108" s="650"/>
      <c r="VX108" s="645"/>
      <c r="VY108" s="650"/>
      <c r="VZ108" s="645"/>
      <c r="WA108" s="650"/>
      <c r="WB108" s="645"/>
      <c r="WC108" s="650"/>
      <c r="WD108" s="645"/>
      <c r="WE108" s="650"/>
      <c r="WF108" s="645"/>
      <c r="WG108" s="650"/>
      <c r="WH108" s="645"/>
      <c r="WI108" s="650"/>
      <c r="WJ108" s="645"/>
      <c r="WK108" s="650"/>
      <c r="WL108" s="645"/>
      <c r="WM108" s="650"/>
      <c r="WN108" s="645"/>
      <c r="WO108" s="650"/>
      <c r="WP108" s="645"/>
      <c r="WQ108" s="650"/>
      <c r="WR108" s="645"/>
      <c r="WS108" s="650"/>
      <c r="WT108" s="645"/>
      <c r="WU108" s="650"/>
      <c r="WV108" s="645"/>
      <c r="WW108" s="650"/>
      <c r="WX108" s="645"/>
      <c r="WY108" s="650"/>
      <c r="WZ108" s="645"/>
      <c r="XA108" s="650"/>
      <c r="XB108" s="645"/>
      <c r="XC108" s="650"/>
      <c r="XD108" s="645"/>
      <c r="XE108" s="650"/>
      <c r="XF108" s="645"/>
      <c r="XG108" s="650"/>
      <c r="XH108" s="645"/>
      <c r="XI108" s="650"/>
      <c r="XJ108" s="645"/>
      <c r="XK108" s="650"/>
      <c r="XL108" s="645"/>
      <c r="XM108" s="650"/>
      <c r="XN108" s="645"/>
      <c r="XO108" s="650"/>
      <c r="XP108" s="645"/>
      <c r="XQ108" s="650"/>
      <c r="XR108" s="645"/>
      <c r="XS108" s="650"/>
      <c r="XT108" s="645"/>
      <c r="XU108" s="650"/>
      <c r="XV108" s="645"/>
      <c r="XW108" s="650"/>
      <c r="XX108" s="645"/>
      <c r="XY108" s="650"/>
      <c r="XZ108" s="645"/>
      <c r="YA108" s="650"/>
      <c r="YB108" s="645"/>
      <c r="YC108" s="650"/>
      <c r="YD108" s="645"/>
      <c r="YE108" s="650"/>
      <c r="YF108" s="645"/>
      <c r="YG108" s="650"/>
      <c r="YH108" s="645"/>
      <c r="YI108" s="650"/>
      <c r="YJ108" s="645"/>
      <c r="YK108" s="650"/>
      <c r="YL108" s="645"/>
      <c r="YM108" s="650"/>
      <c r="YN108" s="645"/>
      <c r="YO108" s="650"/>
      <c r="YP108" s="645"/>
      <c r="YQ108" s="650"/>
      <c r="YR108" s="645"/>
      <c r="YS108" s="650"/>
      <c r="YT108" s="645"/>
      <c r="YU108" s="650"/>
      <c r="YV108" s="645"/>
      <c r="YW108" s="650"/>
      <c r="YX108" s="645"/>
      <c r="YY108" s="650"/>
      <c r="YZ108" s="645"/>
      <c r="ZA108" s="650"/>
      <c r="ZB108" s="645"/>
      <c r="ZC108" s="650"/>
      <c r="ZD108" s="645"/>
      <c r="ZE108" s="650"/>
      <c r="ZF108" s="645"/>
      <c r="ZG108" s="650"/>
      <c r="ZH108" s="645"/>
      <c r="ZI108" s="650"/>
      <c r="ZJ108" s="645"/>
      <c r="ZK108" s="650"/>
      <c r="ZL108" s="645"/>
      <c r="ZM108" s="650"/>
      <c r="ZN108" s="645"/>
      <c r="ZO108" s="650"/>
      <c r="ZP108" s="645"/>
      <c r="ZQ108" s="650"/>
      <c r="ZR108" s="645"/>
      <c r="ZS108" s="650"/>
      <c r="ZT108" s="645"/>
      <c r="ZU108" s="650"/>
      <c r="ZV108" s="645"/>
      <c r="ZW108" s="650"/>
      <c r="ZX108" s="645"/>
      <c r="ZY108" s="650"/>
      <c r="ZZ108" s="645"/>
      <c r="AAA108" s="650"/>
      <c r="AAB108" s="645"/>
      <c r="AAC108" s="650"/>
      <c r="AAD108" s="645"/>
      <c r="AAE108" s="650"/>
      <c r="AAF108" s="645"/>
      <c r="AAG108" s="650"/>
      <c r="AAH108" s="645"/>
      <c r="AAI108" s="650"/>
      <c r="AAJ108" s="645"/>
      <c r="AAK108" s="650"/>
      <c r="AAL108" s="645"/>
      <c r="AAM108" s="650"/>
      <c r="AAN108" s="645"/>
      <c r="AAO108" s="650"/>
      <c r="AAP108" s="645"/>
      <c r="AAQ108" s="650"/>
      <c r="AAR108" s="645"/>
      <c r="AAS108" s="650"/>
      <c r="AAT108" s="645"/>
      <c r="AAU108" s="650"/>
      <c r="AAV108" s="645"/>
      <c r="AAW108" s="650"/>
      <c r="AAX108" s="645"/>
      <c r="AAY108" s="650"/>
      <c r="AAZ108" s="645"/>
      <c r="ABA108" s="650"/>
      <c r="ABB108" s="645"/>
      <c r="ABC108" s="650"/>
      <c r="ABD108" s="645"/>
      <c r="ABE108" s="650"/>
      <c r="ABF108" s="645"/>
      <c r="ABG108" s="650"/>
      <c r="ABH108" s="645"/>
      <c r="ABI108" s="650"/>
      <c r="ABJ108" s="645"/>
      <c r="ABK108" s="650"/>
      <c r="ABL108" s="645"/>
      <c r="ABM108" s="650"/>
      <c r="ABN108" s="645"/>
      <c r="ABO108" s="650"/>
      <c r="ABP108" s="645"/>
      <c r="ABQ108" s="650"/>
      <c r="ABR108" s="645"/>
      <c r="ABS108" s="650"/>
      <c r="ABT108" s="645"/>
      <c r="ABU108" s="650"/>
      <c r="ABV108" s="645"/>
      <c r="ABW108" s="650"/>
      <c r="ABX108" s="645"/>
      <c r="ABY108" s="650"/>
      <c r="ABZ108" s="645"/>
      <c r="ACA108" s="650"/>
      <c r="ACB108" s="645"/>
      <c r="ACC108" s="650"/>
      <c r="ACD108" s="645"/>
      <c r="ACE108" s="650"/>
      <c r="ACF108" s="645"/>
      <c r="ACG108" s="650"/>
      <c r="ACH108" s="645"/>
      <c r="ACI108" s="650"/>
      <c r="ACJ108" s="645"/>
      <c r="ACK108" s="650"/>
      <c r="ACL108" s="645"/>
      <c r="ACM108" s="650"/>
      <c r="ACN108" s="645"/>
      <c r="ACO108" s="650"/>
      <c r="ACP108" s="645"/>
      <c r="ACQ108" s="650"/>
      <c r="ACR108" s="645"/>
      <c r="ACS108" s="650"/>
      <c r="ACT108" s="645"/>
      <c r="ACU108" s="650"/>
      <c r="ACV108" s="645"/>
      <c r="ACW108" s="650"/>
      <c r="ACX108" s="645"/>
      <c r="ACY108" s="650"/>
      <c r="ACZ108" s="645"/>
      <c r="ADA108" s="650"/>
      <c r="ADB108" s="645"/>
      <c r="ADC108" s="650"/>
      <c r="ADD108" s="645"/>
      <c r="ADE108" s="650"/>
      <c r="ADF108" s="645"/>
      <c r="ADG108" s="650"/>
      <c r="ADH108" s="645"/>
      <c r="ADI108" s="650"/>
      <c r="ADJ108" s="645"/>
      <c r="ADK108" s="650"/>
      <c r="ADL108" s="645"/>
      <c r="ADM108" s="650"/>
      <c r="ADN108" s="645"/>
      <c r="ADO108" s="650"/>
      <c r="ADP108" s="645"/>
      <c r="ADQ108" s="650"/>
      <c r="ADR108" s="645"/>
      <c r="ADS108" s="650"/>
      <c r="ADT108" s="645"/>
      <c r="ADU108" s="650"/>
      <c r="ADV108" s="645"/>
      <c r="ADW108" s="650"/>
      <c r="ADX108" s="645"/>
      <c r="ADY108" s="650"/>
      <c r="ADZ108" s="645"/>
      <c r="AEA108" s="650"/>
      <c r="AEB108" s="645"/>
      <c r="AEC108" s="650"/>
      <c r="AED108" s="645"/>
      <c r="AEE108" s="650"/>
      <c r="AEF108" s="645"/>
      <c r="AEG108" s="650"/>
      <c r="AEH108" s="645"/>
      <c r="AEI108" s="650"/>
      <c r="AEJ108" s="645"/>
      <c r="AEK108" s="650"/>
      <c r="AEL108" s="645"/>
      <c r="AEM108" s="650"/>
      <c r="AEN108" s="645"/>
      <c r="AEO108" s="650"/>
      <c r="AEP108" s="645"/>
      <c r="AEQ108" s="650"/>
      <c r="AER108" s="645"/>
      <c r="AES108" s="650"/>
      <c r="AET108" s="645"/>
      <c r="AEU108" s="650"/>
      <c r="AEV108" s="645"/>
      <c r="AEW108" s="650"/>
      <c r="AEX108" s="645"/>
      <c r="AEY108" s="650"/>
      <c r="AEZ108" s="645"/>
      <c r="AFA108" s="650"/>
      <c r="AFB108" s="645"/>
      <c r="AFC108" s="650"/>
      <c r="AFD108" s="645"/>
      <c r="AFE108" s="650"/>
      <c r="AFF108" s="645"/>
      <c r="AFG108" s="650"/>
      <c r="AFH108" s="645"/>
      <c r="AFI108" s="650"/>
      <c r="AFJ108" s="645"/>
      <c r="AFK108" s="650"/>
      <c r="AFL108" s="645"/>
      <c r="AFM108" s="650"/>
      <c r="AFN108" s="645"/>
      <c r="AFO108" s="650"/>
      <c r="AFP108" s="645"/>
      <c r="AFQ108" s="650"/>
      <c r="AFR108" s="645"/>
      <c r="AFS108" s="650"/>
      <c r="AFT108" s="645"/>
      <c r="AFU108" s="650"/>
      <c r="AFV108" s="645"/>
      <c r="AFW108" s="650"/>
      <c r="AFX108" s="645"/>
      <c r="AFY108" s="650"/>
      <c r="AFZ108" s="645"/>
      <c r="AGA108" s="650"/>
      <c r="AGB108" s="645"/>
      <c r="AGC108" s="650"/>
      <c r="AGD108" s="645"/>
      <c r="AGE108" s="650"/>
      <c r="AGF108" s="645"/>
      <c r="AGG108" s="650"/>
      <c r="AGH108" s="645"/>
      <c r="AGI108" s="650"/>
      <c r="AGJ108" s="645"/>
      <c r="AGK108" s="650"/>
      <c r="AGL108" s="645"/>
      <c r="AGM108" s="650"/>
      <c r="AGN108" s="645"/>
      <c r="AGO108" s="650"/>
      <c r="AGP108" s="645"/>
      <c r="AGQ108" s="650"/>
      <c r="AGR108" s="645"/>
      <c r="AGS108" s="650"/>
      <c r="AGT108" s="645"/>
      <c r="AGU108" s="650"/>
      <c r="AGV108" s="645"/>
      <c r="AGW108" s="650"/>
      <c r="AGX108" s="645"/>
      <c r="AGY108" s="650"/>
      <c r="AGZ108" s="645"/>
      <c r="AHA108" s="650"/>
      <c r="AHB108" s="645"/>
      <c r="AHC108" s="650"/>
      <c r="AHD108" s="645"/>
      <c r="AHE108" s="650"/>
      <c r="AHF108" s="645"/>
      <c r="AHG108" s="650"/>
      <c r="AHH108" s="645"/>
      <c r="AHI108" s="650"/>
      <c r="AHJ108" s="645"/>
      <c r="AHK108" s="650"/>
      <c r="AHL108" s="645"/>
      <c r="AHM108" s="650"/>
      <c r="AHN108" s="645"/>
      <c r="AHO108" s="650"/>
      <c r="AHP108" s="645"/>
      <c r="AHQ108" s="650"/>
      <c r="AHR108" s="645"/>
      <c r="AHS108" s="650"/>
      <c r="AHT108" s="645"/>
      <c r="AHU108" s="650"/>
      <c r="AHV108" s="645"/>
      <c r="AHW108" s="650"/>
      <c r="AHX108" s="645"/>
      <c r="AHY108" s="650"/>
      <c r="AHZ108" s="645"/>
      <c r="AIA108" s="650"/>
      <c r="AIB108" s="645"/>
      <c r="AIC108" s="650"/>
      <c r="AID108" s="645"/>
      <c r="AIE108" s="650"/>
      <c r="AIF108" s="645"/>
      <c r="AIG108" s="650"/>
      <c r="AIH108" s="645"/>
      <c r="AII108" s="650"/>
      <c r="AIJ108" s="645"/>
      <c r="AIK108" s="650"/>
      <c r="AIL108" s="645"/>
      <c r="AIM108" s="650"/>
      <c r="AIN108" s="645"/>
      <c r="AIO108" s="650"/>
      <c r="AIP108" s="645"/>
      <c r="AIQ108" s="645"/>
      <c r="AIR108" s="645"/>
      <c r="AIS108" s="645"/>
      <c r="AIT108" s="645"/>
      <c r="AIU108" s="645"/>
      <c r="AIV108" s="645"/>
      <c r="AIW108" s="645"/>
      <c r="AIX108" s="645"/>
      <c r="AIY108" s="645"/>
      <c r="AIZ108" s="645"/>
      <c r="AJA108" s="645"/>
      <c r="AJB108" s="645"/>
      <c r="AJC108" s="645"/>
      <c r="AJD108" s="645"/>
      <c r="AJE108" s="645"/>
      <c r="AJF108" s="645"/>
      <c r="AJG108" s="645"/>
      <c r="AJH108" s="645"/>
      <c r="AJI108" s="645"/>
      <c r="AJJ108" s="645"/>
      <c r="AJK108" s="645"/>
      <c r="AJL108" s="645"/>
      <c r="AJM108" s="645"/>
      <c r="AJN108" s="645"/>
      <c r="AJO108" s="645"/>
      <c r="AJP108" s="645"/>
      <c r="AJQ108" s="645"/>
      <c r="AJR108" s="645"/>
      <c r="AJS108" s="645"/>
      <c r="AJT108" s="645"/>
      <c r="AJU108" s="645"/>
      <c r="AJV108" s="645"/>
      <c r="AJW108" s="645"/>
      <c r="AJX108" s="645"/>
      <c r="AJY108" s="645"/>
      <c r="AJZ108" s="645"/>
      <c r="AKA108" s="645"/>
      <c r="AKB108" s="645"/>
      <c r="AKC108" s="645"/>
      <c r="AKD108" s="645"/>
      <c r="AKE108" s="645"/>
      <c r="AKF108" s="645"/>
      <c r="AKG108" s="645"/>
      <c r="AKH108" s="645"/>
      <c r="AKI108" s="645"/>
      <c r="AKJ108" s="645"/>
      <c r="AKK108" s="645"/>
      <c r="AKL108" s="645"/>
      <c r="AKM108" s="645"/>
      <c r="AKN108" s="645"/>
      <c r="AKO108" s="645"/>
      <c r="AKP108" s="645"/>
      <c r="AKQ108" s="645"/>
      <c r="AKR108" s="645"/>
      <c r="AKS108" s="645"/>
      <c r="AKT108" s="645"/>
      <c r="AKU108" s="645"/>
      <c r="AKV108" s="645"/>
      <c r="AKW108" s="645"/>
      <c r="AKX108" s="645"/>
      <c r="AKY108" s="645"/>
      <c r="AKZ108" s="645"/>
      <c r="ALA108" s="645"/>
      <c r="ALB108" s="645"/>
      <c r="ALC108" s="645"/>
      <c r="ALD108" s="645"/>
      <c r="ALE108" s="645"/>
      <c r="ALF108" s="645"/>
      <c r="ALG108" s="645"/>
      <c r="ALH108" s="645"/>
      <c r="ALI108" s="645"/>
      <c r="ALJ108" s="645"/>
      <c r="ALK108" s="645"/>
      <c r="ALL108" s="645"/>
      <c r="ALM108" s="645"/>
      <c r="ALN108" s="645"/>
      <c r="ALO108" s="645"/>
      <c r="ALP108" s="645"/>
      <c r="ALQ108" s="645"/>
      <c r="ALR108" s="645"/>
      <c r="ALS108" s="645"/>
      <c r="ALT108" s="645"/>
      <c r="ALU108" s="645"/>
      <c r="ALV108" s="645"/>
      <c r="ALW108" s="645"/>
      <c r="ALX108" s="645"/>
      <c r="ALY108" s="645"/>
      <c r="ALZ108" s="645"/>
      <c r="AMA108" s="645"/>
      <c r="AMB108" s="645"/>
      <c r="AMC108" s="645"/>
      <c r="AMD108" s="645"/>
      <c r="AME108" s="645"/>
      <c r="AMF108" s="645"/>
      <c r="AMG108" s="645"/>
      <c r="AMH108" s="645"/>
      <c r="AMI108" s="645"/>
      <c r="AMJ108" s="645"/>
    </row>
    <row r="109" spans="1:1024" s="37" customFormat="1" ht="15.75" customHeight="1" x14ac:dyDescent="0.35">
      <c r="A109" s="600"/>
      <c r="B109" s="644" t="s">
        <v>363</v>
      </c>
      <c r="C109" s="645"/>
      <c r="D109" s="646"/>
      <c r="E109" s="645"/>
      <c r="F109" s="646"/>
      <c r="G109" s="453" t="s">
        <v>234</v>
      </c>
      <c r="H109" s="643" t="s">
        <v>259</v>
      </c>
      <c r="I109" s="645"/>
      <c r="J109" s="38"/>
      <c r="K109" s="38"/>
      <c r="L109" s="39"/>
      <c r="M109" s="38"/>
      <c r="N109" s="39"/>
      <c r="O109" s="38"/>
      <c r="P109" s="39"/>
      <c r="Q109" s="38"/>
      <c r="R109" s="39"/>
      <c r="S109" s="38"/>
      <c r="T109" s="39"/>
      <c r="U109" s="38"/>
      <c r="V109" s="39"/>
      <c r="W109" s="38"/>
      <c r="X109" s="39"/>
      <c r="Y109" s="38"/>
      <c r="Z109" s="39"/>
      <c r="AA109" s="38"/>
      <c r="AB109" s="39"/>
      <c r="AC109" s="38"/>
      <c r="AD109" s="39"/>
      <c r="AE109" s="38"/>
      <c r="AF109" s="39"/>
      <c r="AG109" s="38"/>
      <c r="AH109" s="39"/>
      <c r="AI109" s="38"/>
      <c r="AJ109" s="39"/>
      <c r="AK109" s="40"/>
      <c r="AL109" s="39"/>
      <c r="AM109" s="40"/>
      <c r="AN109" s="39"/>
      <c r="AO109" s="40"/>
      <c r="AP109" s="39"/>
      <c r="AQ109" s="40"/>
      <c r="AR109" s="39"/>
      <c r="AS109" s="40"/>
      <c r="AT109" s="39"/>
      <c r="AU109" s="40"/>
      <c r="AV109" s="39"/>
      <c r="AW109" s="40"/>
      <c r="AX109" s="39"/>
      <c r="AY109" s="40"/>
      <c r="AZ109" s="39"/>
      <c r="BA109" s="40"/>
      <c r="BB109" s="39"/>
      <c r="BC109" s="40"/>
      <c r="BD109" s="39"/>
      <c r="BE109" s="40"/>
      <c r="BF109" s="39"/>
      <c r="BG109" s="40"/>
      <c r="BH109" s="39"/>
      <c r="BI109" s="40"/>
      <c r="BJ109" s="39"/>
      <c r="BK109" s="40"/>
      <c r="BL109" s="39"/>
      <c r="BM109" s="40"/>
      <c r="BN109" s="39"/>
      <c r="BO109" s="40"/>
      <c r="BP109" s="39"/>
      <c r="BQ109" s="40"/>
      <c r="BR109" s="39"/>
      <c r="BS109" s="40"/>
      <c r="BT109" s="39"/>
      <c r="BU109" s="40"/>
      <c r="BV109" s="39"/>
      <c r="BW109" s="40"/>
      <c r="BX109" s="39"/>
      <c r="BY109" s="40"/>
      <c r="BZ109" s="39"/>
      <c r="CA109" s="40"/>
      <c r="CB109" s="39"/>
      <c r="CC109" s="40"/>
      <c r="CD109" s="39"/>
      <c r="CE109" s="40"/>
      <c r="CF109" s="39"/>
      <c r="CG109" s="40"/>
      <c r="CH109" s="39"/>
      <c r="CI109" s="40"/>
      <c r="CJ109" s="39"/>
      <c r="CK109" s="40"/>
      <c r="CL109" s="39"/>
      <c r="CM109" s="40"/>
      <c r="CN109" s="39"/>
      <c r="CO109" s="40"/>
      <c r="CP109" s="39"/>
      <c r="CQ109" s="40"/>
      <c r="CR109" s="39"/>
      <c r="CS109" s="40"/>
      <c r="CT109" s="39"/>
      <c r="CU109" s="40"/>
      <c r="CV109" s="39"/>
      <c r="CW109" s="40"/>
      <c r="CX109" s="39"/>
      <c r="CY109" s="40"/>
      <c r="CZ109" s="39"/>
      <c r="DA109" s="40"/>
      <c r="DB109" s="39"/>
      <c r="DC109" s="40"/>
      <c r="DD109" s="39"/>
      <c r="DE109" s="40"/>
      <c r="DF109" s="39"/>
      <c r="DG109" s="40"/>
      <c r="DH109" s="39"/>
      <c r="DI109" s="40"/>
      <c r="DJ109" s="39"/>
      <c r="DK109" s="40"/>
      <c r="DL109" s="39"/>
      <c r="DM109" s="40"/>
      <c r="DN109" s="39"/>
      <c r="DO109" s="40"/>
      <c r="DP109" s="39"/>
      <c r="DQ109" s="40"/>
      <c r="DR109" s="39"/>
      <c r="DS109" s="40"/>
      <c r="DT109" s="39"/>
      <c r="DU109" s="40"/>
      <c r="DV109" s="39"/>
      <c r="DW109" s="40"/>
      <c r="DX109" s="39"/>
      <c r="DY109" s="40"/>
      <c r="DZ109" s="39"/>
      <c r="EA109" s="40"/>
      <c r="EB109" s="39"/>
      <c r="EC109" s="40"/>
      <c r="ED109" s="39"/>
      <c r="EE109" s="40"/>
      <c r="EF109" s="39"/>
      <c r="EG109" s="40"/>
      <c r="EH109" s="39"/>
      <c r="EI109" s="40"/>
      <c r="EJ109" s="39"/>
      <c r="EK109" s="40"/>
      <c r="EL109" s="39"/>
      <c r="EM109" s="40"/>
      <c r="EN109" s="39"/>
      <c r="EO109" s="40"/>
      <c r="EP109" s="39"/>
      <c r="EQ109" s="40"/>
      <c r="ER109" s="39"/>
      <c r="ES109" s="40"/>
      <c r="ET109" s="39"/>
      <c r="EU109" s="40"/>
      <c r="EV109" s="39"/>
      <c r="EW109" s="40"/>
      <c r="EX109" s="39"/>
      <c r="EY109" s="40"/>
      <c r="EZ109" s="39"/>
      <c r="FA109" s="40"/>
      <c r="FB109" s="39"/>
      <c r="FC109" s="40"/>
      <c r="FD109" s="39"/>
      <c r="FE109" s="40"/>
      <c r="FF109" s="39"/>
      <c r="FG109" s="40"/>
      <c r="FH109" s="39"/>
      <c r="FI109" s="40"/>
      <c r="FJ109" s="39"/>
      <c r="FK109" s="40"/>
      <c r="FL109" s="39"/>
      <c r="FM109" s="40"/>
      <c r="FN109" s="39"/>
      <c r="FO109" s="40"/>
      <c r="FP109" s="39"/>
      <c r="FQ109" s="40"/>
      <c r="FR109" s="39"/>
      <c r="FS109" s="40"/>
      <c r="FT109" s="39"/>
      <c r="FU109" s="40"/>
      <c r="FV109" s="39"/>
      <c r="FW109" s="40"/>
      <c r="FX109" s="39"/>
      <c r="FY109" s="40"/>
      <c r="FZ109" s="39"/>
      <c r="GA109" s="40"/>
      <c r="GB109" s="39"/>
      <c r="GC109" s="40"/>
      <c r="GD109" s="39"/>
      <c r="GE109" s="40"/>
      <c r="GF109" s="39"/>
      <c r="GG109" s="40"/>
      <c r="GH109" s="39"/>
      <c r="GI109" s="40"/>
      <c r="GJ109" s="39"/>
      <c r="GK109" s="40"/>
      <c r="GL109" s="39"/>
      <c r="GM109" s="40"/>
      <c r="GN109" s="39"/>
      <c r="GO109" s="40"/>
      <c r="GP109" s="39"/>
      <c r="GQ109" s="40"/>
      <c r="GR109" s="39"/>
      <c r="GS109" s="40"/>
      <c r="GT109" s="39"/>
      <c r="GU109" s="40"/>
      <c r="GV109" s="39"/>
      <c r="GW109" s="40"/>
      <c r="GX109" s="39"/>
      <c r="GY109" s="40"/>
      <c r="GZ109" s="39"/>
      <c r="HA109" s="40"/>
      <c r="HB109" s="39"/>
      <c r="HC109" s="40"/>
      <c r="HD109" s="39"/>
      <c r="HE109" s="40"/>
      <c r="HF109" s="39"/>
      <c r="HG109" s="40"/>
      <c r="HH109" s="39"/>
      <c r="HI109" s="40"/>
      <c r="HJ109" s="39"/>
      <c r="HK109" s="40"/>
      <c r="HL109" s="39"/>
      <c r="HM109" s="40"/>
      <c r="HN109" s="39"/>
      <c r="HO109" s="40"/>
      <c r="HP109" s="39"/>
      <c r="HQ109" s="40"/>
      <c r="HR109" s="39"/>
      <c r="HS109" s="40"/>
      <c r="HT109" s="39"/>
      <c r="HU109" s="40"/>
      <c r="HV109" s="39"/>
      <c r="HW109" s="40"/>
      <c r="HX109" s="39"/>
      <c r="HY109" s="40"/>
      <c r="HZ109" s="39"/>
      <c r="IA109" s="40"/>
      <c r="IB109" s="39"/>
      <c r="IC109" s="1068"/>
      <c r="ID109" s="645"/>
      <c r="IE109" s="646"/>
      <c r="IF109" s="645"/>
      <c r="IG109" s="646"/>
      <c r="IH109" s="645"/>
      <c r="II109" s="646"/>
      <c r="IJ109" s="645"/>
      <c r="IK109" s="646"/>
      <c r="IL109" s="645"/>
      <c r="IM109" s="646"/>
      <c r="IN109" s="645"/>
      <c r="IO109" s="646"/>
      <c r="IP109" s="645"/>
      <c r="IQ109" s="646"/>
      <c r="IR109" s="645"/>
      <c r="IS109" s="646"/>
      <c r="IT109" s="645"/>
      <c r="IU109" s="646"/>
      <c r="IV109" s="645"/>
      <c r="IW109" s="646"/>
      <c r="IX109" s="645"/>
      <c r="IY109" s="646"/>
      <c r="IZ109" s="645"/>
      <c r="JA109" s="646"/>
      <c r="JB109" s="645"/>
      <c r="JC109" s="646"/>
      <c r="JD109" s="645"/>
      <c r="JE109" s="646"/>
      <c r="JF109" s="645"/>
      <c r="JG109" s="646"/>
      <c r="JH109" s="645"/>
      <c r="JI109" s="646"/>
      <c r="JJ109" s="645"/>
      <c r="JK109" s="646"/>
      <c r="JL109" s="645"/>
      <c r="JM109" s="646"/>
      <c r="JN109" s="645"/>
      <c r="JO109" s="646"/>
      <c r="JP109" s="645"/>
      <c r="JQ109" s="646"/>
      <c r="JR109" s="645"/>
      <c r="JS109" s="646"/>
      <c r="JT109" s="645"/>
      <c r="JU109" s="646"/>
      <c r="JV109" s="645"/>
      <c r="JW109" s="646"/>
      <c r="JX109" s="645"/>
      <c r="JY109" s="646"/>
      <c r="JZ109" s="645"/>
      <c r="KA109" s="646"/>
      <c r="KB109" s="645"/>
      <c r="KC109" s="646"/>
      <c r="KD109" s="645"/>
      <c r="KE109" s="646"/>
      <c r="KF109" s="645"/>
      <c r="KG109" s="646"/>
      <c r="KH109" s="645"/>
      <c r="KI109" s="646"/>
      <c r="KJ109" s="645"/>
      <c r="KK109" s="646"/>
      <c r="KL109" s="645"/>
      <c r="KM109" s="646"/>
      <c r="KN109" s="645"/>
      <c r="KO109" s="646"/>
      <c r="KP109" s="645"/>
      <c r="KQ109" s="646"/>
      <c r="KR109" s="645"/>
      <c r="KS109" s="646"/>
      <c r="KT109" s="645"/>
      <c r="KU109" s="646"/>
      <c r="KV109" s="645"/>
      <c r="KW109" s="646"/>
      <c r="KX109" s="645"/>
      <c r="KY109" s="646"/>
      <c r="KZ109" s="645"/>
      <c r="LA109" s="646"/>
      <c r="LB109" s="645"/>
      <c r="LC109" s="646"/>
      <c r="LD109" s="645"/>
      <c r="LE109" s="646"/>
      <c r="LF109" s="645"/>
      <c r="LG109" s="646"/>
      <c r="LH109" s="645"/>
      <c r="LI109" s="646"/>
      <c r="LJ109" s="645"/>
      <c r="LK109" s="646"/>
      <c r="LL109" s="645"/>
      <c r="LM109" s="646"/>
      <c r="LN109" s="645"/>
      <c r="LO109" s="646"/>
      <c r="LP109" s="645"/>
      <c r="LQ109" s="646"/>
      <c r="LR109" s="645"/>
      <c r="LS109" s="646"/>
      <c r="LT109" s="645"/>
      <c r="LU109" s="646"/>
      <c r="LV109" s="645"/>
      <c r="LW109" s="646"/>
      <c r="LX109" s="645"/>
      <c r="LY109" s="646"/>
      <c r="LZ109" s="645"/>
      <c r="MA109" s="646"/>
      <c r="MB109" s="645"/>
      <c r="MC109" s="646"/>
      <c r="MD109" s="645"/>
      <c r="ME109" s="646"/>
      <c r="MF109" s="645"/>
      <c r="MG109" s="646"/>
      <c r="MH109" s="645"/>
      <c r="MI109" s="646"/>
      <c r="MJ109" s="645"/>
      <c r="MK109" s="646"/>
      <c r="ML109" s="645"/>
      <c r="MM109" s="646"/>
      <c r="MN109" s="645"/>
      <c r="MO109" s="646"/>
      <c r="MP109" s="645"/>
      <c r="MQ109" s="646"/>
      <c r="MR109" s="645"/>
      <c r="MS109" s="646"/>
      <c r="MT109" s="645"/>
      <c r="MU109" s="646"/>
      <c r="MV109" s="645"/>
      <c r="MW109" s="646"/>
      <c r="MX109" s="645"/>
      <c r="MY109" s="646"/>
      <c r="MZ109" s="645"/>
      <c r="NA109" s="646"/>
      <c r="NB109" s="645"/>
      <c r="NC109" s="646"/>
      <c r="ND109" s="645"/>
      <c r="NE109" s="646"/>
      <c r="NF109" s="645"/>
      <c r="NG109" s="646"/>
      <c r="NH109" s="645"/>
      <c r="NI109" s="646"/>
      <c r="NJ109" s="645"/>
      <c r="NK109" s="646"/>
      <c r="NL109" s="645"/>
      <c r="NM109" s="646"/>
      <c r="NN109" s="645"/>
      <c r="NO109" s="646"/>
      <c r="NP109" s="645"/>
      <c r="NQ109" s="646"/>
      <c r="NR109" s="645"/>
      <c r="NS109" s="646"/>
      <c r="NT109" s="645"/>
      <c r="NU109" s="646"/>
      <c r="NV109" s="645"/>
      <c r="NW109" s="646"/>
      <c r="NX109" s="645"/>
      <c r="NY109" s="646"/>
      <c r="NZ109" s="645"/>
      <c r="OA109" s="646"/>
      <c r="OB109" s="645"/>
      <c r="OC109" s="646"/>
      <c r="OD109" s="645"/>
      <c r="OE109" s="646"/>
      <c r="OF109" s="645"/>
      <c r="OG109" s="646"/>
      <c r="OH109" s="645"/>
      <c r="OI109" s="646"/>
      <c r="OJ109" s="645"/>
      <c r="OK109" s="646"/>
      <c r="OL109" s="645"/>
      <c r="OM109" s="646"/>
      <c r="ON109" s="645"/>
      <c r="OO109" s="646"/>
      <c r="OP109" s="645"/>
      <c r="OQ109" s="646"/>
      <c r="OR109" s="645"/>
      <c r="OS109" s="646"/>
      <c r="OT109" s="645"/>
      <c r="OU109" s="646"/>
      <c r="OV109" s="645"/>
      <c r="OW109" s="646"/>
      <c r="OX109" s="645"/>
      <c r="OY109" s="646"/>
      <c r="OZ109" s="645"/>
      <c r="PA109" s="646"/>
      <c r="PB109" s="645"/>
      <c r="PC109" s="646"/>
      <c r="PD109" s="645"/>
      <c r="PE109" s="646"/>
      <c r="PF109" s="645"/>
      <c r="PG109" s="646"/>
      <c r="PH109" s="645"/>
      <c r="PI109" s="646"/>
      <c r="PJ109" s="645"/>
      <c r="PK109" s="646"/>
      <c r="PL109" s="645"/>
      <c r="PM109" s="646"/>
      <c r="PN109" s="645"/>
      <c r="PO109" s="646"/>
      <c r="PP109" s="645"/>
      <c r="PQ109" s="646"/>
      <c r="PR109" s="645"/>
      <c r="PS109" s="646"/>
      <c r="PT109" s="645"/>
      <c r="PU109" s="646"/>
      <c r="PV109" s="645"/>
      <c r="PW109" s="646"/>
      <c r="PX109" s="645"/>
      <c r="PY109" s="646"/>
      <c r="PZ109" s="645"/>
      <c r="QA109" s="646"/>
      <c r="QB109" s="645"/>
      <c r="QC109" s="646"/>
      <c r="QD109" s="645"/>
      <c r="QE109" s="646"/>
      <c r="QF109" s="645"/>
      <c r="QG109" s="646"/>
      <c r="QH109" s="645"/>
      <c r="QI109" s="646"/>
      <c r="QJ109" s="645"/>
      <c r="QK109" s="646"/>
      <c r="QL109" s="645"/>
      <c r="QM109" s="646"/>
      <c r="QN109" s="645"/>
      <c r="QO109" s="646"/>
      <c r="QP109" s="645"/>
      <c r="QQ109" s="646"/>
      <c r="QR109" s="645"/>
      <c r="QS109" s="646"/>
      <c r="QT109" s="645"/>
      <c r="QU109" s="646"/>
      <c r="QV109" s="645"/>
      <c r="QW109" s="646"/>
      <c r="QX109" s="645"/>
      <c r="QY109" s="646"/>
      <c r="QZ109" s="645"/>
      <c r="RA109" s="646"/>
      <c r="RB109" s="645"/>
      <c r="RC109" s="646"/>
      <c r="RD109" s="645"/>
      <c r="RE109" s="646"/>
      <c r="RF109" s="645"/>
      <c r="RG109" s="646"/>
      <c r="RH109" s="645"/>
      <c r="RI109" s="646"/>
      <c r="RJ109" s="645"/>
      <c r="RK109" s="646"/>
      <c r="RL109" s="645"/>
      <c r="RM109" s="646"/>
      <c r="RN109" s="645"/>
      <c r="RO109" s="646"/>
      <c r="RP109" s="645"/>
      <c r="RQ109" s="646"/>
      <c r="RR109" s="645"/>
      <c r="RS109" s="646"/>
      <c r="RT109" s="645"/>
      <c r="RU109" s="646"/>
      <c r="RV109" s="645"/>
      <c r="RW109" s="646"/>
      <c r="RX109" s="645"/>
      <c r="RY109" s="646"/>
      <c r="RZ109" s="645"/>
      <c r="SA109" s="646"/>
      <c r="SB109" s="645"/>
      <c r="SC109" s="646"/>
      <c r="SD109" s="645"/>
      <c r="SE109" s="646"/>
      <c r="SF109" s="645"/>
      <c r="SG109" s="646"/>
      <c r="SH109" s="645"/>
      <c r="SI109" s="646"/>
      <c r="SJ109" s="645"/>
      <c r="SK109" s="646"/>
      <c r="SL109" s="645"/>
      <c r="SM109" s="646"/>
      <c r="SN109" s="645"/>
      <c r="SO109" s="646"/>
      <c r="SP109" s="645"/>
      <c r="SQ109" s="646"/>
      <c r="SR109" s="645"/>
      <c r="SS109" s="646"/>
      <c r="ST109" s="645"/>
      <c r="SU109" s="646"/>
      <c r="SV109" s="645"/>
      <c r="SW109" s="646"/>
      <c r="SX109" s="645"/>
      <c r="SY109" s="646"/>
      <c r="SZ109" s="645"/>
      <c r="TA109" s="646"/>
      <c r="TB109" s="645"/>
      <c r="TC109" s="646"/>
      <c r="TD109" s="645"/>
      <c r="TE109" s="646"/>
      <c r="TF109" s="645"/>
      <c r="TG109" s="646"/>
      <c r="TH109" s="645"/>
      <c r="TI109" s="646"/>
      <c r="TJ109" s="645"/>
      <c r="TK109" s="646"/>
      <c r="TL109" s="645"/>
      <c r="TM109" s="646"/>
      <c r="TN109" s="645"/>
      <c r="TO109" s="646"/>
      <c r="TP109" s="645"/>
      <c r="TQ109" s="646"/>
      <c r="TR109" s="645"/>
      <c r="TS109" s="646"/>
      <c r="TT109" s="645"/>
      <c r="TU109" s="646"/>
      <c r="TV109" s="645"/>
      <c r="TW109" s="646"/>
      <c r="TX109" s="645"/>
      <c r="TY109" s="646"/>
      <c r="TZ109" s="645"/>
      <c r="UA109" s="646"/>
      <c r="UB109" s="645"/>
      <c r="UC109" s="646"/>
      <c r="UD109" s="645"/>
      <c r="UE109" s="646"/>
      <c r="UF109" s="645"/>
      <c r="UG109" s="646"/>
      <c r="UH109" s="645"/>
      <c r="UI109" s="646"/>
      <c r="UJ109" s="645"/>
      <c r="UK109" s="646"/>
      <c r="UL109" s="645"/>
      <c r="UM109" s="646"/>
      <c r="UN109" s="645"/>
      <c r="UO109" s="646"/>
      <c r="UP109" s="645"/>
      <c r="UQ109" s="646"/>
      <c r="UR109" s="645"/>
      <c r="US109" s="646"/>
      <c r="UT109" s="645"/>
      <c r="UU109" s="646"/>
      <c r="UV109" s="645"/>
      <c r="UW109" s="646"/>
      <c r="UX109" s="645"/>
      <c r="UY109" s="646"/>
      <c r="UZ109" s="645"/>
      <c r="VA109" s="646"/>
      <c r="VB109" s="645"/>
      <c r="VC109" s="646"/>
      <c r="VD109" s="645"/>
      <c r="VE109" s="646"/>
      <c r="VF109" s="645"/>
      <c r="VG109" s="646"/>
      <c r="VH109" s="645"/>
      <c r="VI109" s="646"/>
      <c r="VJ109" s="645"/>
      <c r="VK109" s="646"/>
      <c r="VL109" s="645"/>
      <c r="VM109" s="646"/>
      <c r="VN109" s="645"/>
      <c r="VO109" s="646"/>
      <c r="VP109" s="645"/>
      <c r="VQ109" s="646"/>
      <c r="VR109" s="645"/>
      <c r="VS109" s="646"/>
      <c r="VT109" s="645"/>
      <c r="VU109" s="646"/>
      <c r="VV109" s="645"/>
      <c r="VW109" s="646"/>
      <c r="VX109" s="645"/>
      <c r="VY109" s="646"/>
      <c r="VZ109" s="645"/>
      <c r="WA109" s="646"/>
      <c r="WB109" s="645"/>
      <c r="WC109" s="646"/>
      <c r="WD109" s="645"/>
      <c r="WE109" s="646"/>
      <c r="WF109" s="645"/>
      <c r="WG109" s="646"/>
      <c r="WH109" s="645"/>
      <c r="WI109" s="646"/>
      <c r="WJ109" s="645"/>
      <c r="WK109" s="646"/>
      <c r="WL109" s="645"/>
      <c r="WM109" s="646"/>
      <c r="WN109" s="645"/>
      <c r="WO109" s="646"/>
      <c r="WP109" s="645"/>
      <c r="WQ109" s="646"/>
      <c r="WR109" s="645"/>
      <c r="WS109" s="646"/>
      <c r="WT109" s="645"/>
      <c r="WU109" s="646"/>
      <c r="WV109" s="645"/>
      <c r="WW109" s="646"/>
      <c r="WX109" s="645"/>
      <c r="WY109" s="646"/>
      <c r="WZ109" s="645"/>
      <c r="XA109" s="646"/>
      <c r="XB109" s="645"/>
      <c r="XC109" s="646"/>
      <c r="XD109" s="645"/>
      <c r="XE109" s="646"/>
      <c r="XF109" s="645"/>
      <c r="XG109" s="646"/>
      <c r="XH109" s="645"/>
      <c r="XI109" s="646"/>
      <c r="XJ109" s="645"/>
      <c r="XK109" s="646"/>
      <c r="XL109" s="645"/>
      <c r="XM109" s="646"/>
      <c r="XN109" s="645"/>
      <c r="XO109" s="646"/>
      <c r="XP109" s="645"/>
      <c r="XQ109" s="646"/>
      <c r="XR109" s="645"/>
      <c r="XS109" s="646"/>
      <c r="XT109" s="645"/>
      <c r="XU109" s="646"/>
      <c r="XV109" s="645"/>
      <c r="XW109" s="646"/>
      <c r="XX109" s="645"/>
      <c r="XY109" s="646"/>
      <c r="XZ109" s="645"/>
      <c r="YA109" s="646"/>
      <c r="YB109" s="645"/>
      <c r="YC109" s="646"/>
      <c r="YD109" s="645"/>
      <c r="YE109" s="646"/>
      <c r="YF109" s="645"/>
      <c r="YG109" s="646"/>
      <c r="YH109" s="645"/>
      <c r="YI109" s="646"/>
      <c r="YJ109" s="645"/>
      <c r="YK109" s="646"/>
      <c r="YL109" s="645"/>
      <c r="YM109" s="646"/>
      <c r="YN109" s="645"/>
      <c r="YO109" s="646"/>
      <c r="YP109" s="645"/>
      <c r="YQ109" s="646"/>
      <c r="YR109" s="645"/>
      <c r="YS109" s="646"/>
      <c r="YT109" s="645"/>
      <c r="YU109" s="646"/>
      <c r="YV109" s="645"/>
      <c r="YW109" s="646"/>
      <c r="YX109" s="645"/>
      <c r="YY109" s="646"/>
      <c r="YZ109" s="645"/>
      <c r="ZA109" s="646"/>
      <c r="ZB109" s="645"/>
      <c r="ZC109" s="646"/>
      <c r="ZD109" s="645"/>
      <c r="ZE109" s="646"/>
      <c r="ZF109" s="645"/>
      <c r="ZG109" s="646"/>
      <c r="ZH109" s="645"/>
      <c r="ZI109" s="646"/>
      <c r="ZJ109" s="645"/>
      <c r="ZK109" s="646"/>
      <c r="ZL109" s="645"/>
      <c r="ZM109" s="646"/>
      <c r="ZN109" s="645"/>
      <c r="ZO109" s="646"/>
      <c r="ZP109" s="645"/>
      <c r="ZQ109" s="646"/>
      <c r="ZR109" s="645"/>
      <c r="ZS109" s="646"/>
      <c r="ZT109" s="645"/>
      <c r="ZU109" s="646"/>
      <c r="ZV109" s="645"/>
      <c r="ZW109" s="646"/>
      <c r="ZX109" s="645"/>
      <c r="ZY109" s="646"/>
      <c r="ZZ109" s="645"/>
      <c r="AAA109" s="646"/>
      <c r="AAB109" s="645"/>
      <c r="AAC109" s="646"/>
      <c r="AAD109" s="645"/>
      <c r="AAE109" s="646"/>
      <c r="AAF109" s="645"/>
      <c r="AAG109" s="646"/>
      <c r="AAH109" s="645"/>
      <c r="AAI109" s="646"/>
      <c r="AAJ109" s="645"/>
      <c r="AAK109" s="646"/>
      <c r="AAL109" s="645"/>
      <c r="AAM109" s="646"/>
      <c r="AAN109" s="645"/>
      <c r="AAO109" s="646"/>
      <c r="AAP109" s="645"/>
      <c r="AAQ109" s="646"/>
      <c r="AAR109" s="645"/>
      <c r="AAS109" s="646"/>
      <c r="AAT109" s="645"/>
      <c r="AAU109" s="646"/>
      <c r="AAV109" s="645"/>
      <c r="AAW109" s="646"/>
      <c r="AAX109" s="645"/>
      <c r="AAY109" s="646"/>
      <c r="AAZ109" s="645"/>
      <c r="ABA109" s="646"/>
      <c r="ABB109" s="645"/>
      <c r="ABC109" s="646"/>
      <c r="ABD109" s="645"/>
      <c r="ABE109" s="646"/>
      <c r="ABF109" s="645"/>
      <c r="ABG109" s="646"/>
      <c r="ABH109" s="645"/>
      <c r="ABI109" s="646"/>
      <c r="ABJ109" s="645"/>
      <c r="ABK109" s="646"/>
      <c r="ABL109" s="645"/>
      <c r="ABM109" s="646"/>
      <c r="ABN109" s="645"/>
      <c r="ABO109" s="646"/>
      <c r="ABP109" s="645"/>
      <c r="ABQ109" s="646"/>
      <c r="ABR109" s="645"/>
      <c r="ABS109" s="646"/>
      <c r="ABT109" s="645"/>
      <c r="ABU109" s="646"/>
      <c r="ABV109" s="645"/>
      <c r="ABW109" s="646"/>
      <c r="ABX109" s="645"/>
      <c r="ABY109" s="646"/>
      <c r="ABZ109" s="645"/>
      <c r="ACA109" s="646"/>
      <c r="ACB109" s="645"/>
      <c r="ACC109" s="646"/>
      <c r="ACD109" s="645"/>
      <c r="ACE109" s="646"/>
      <c r="ACF109" s="645"/>
      <c r="ACG109" s="646"/>
      <c r="ACH109" s="645"/>
      <c r="ACI109" s="646"/>
      <c r="ACJ109" s="645"/>
      <c r="ACK109" s="646"/>
      <c r="ACL109" s="645"/>
      <c r="ACM109" s="646"/>
      <c r="ACN109" s="645"/>
      <c r="ACO109" s="646"/>
      <c r="ACP109" s="645"/>
      <c r="ACQ109" s="646"/>
      <c r="ACR109" s="645"/>
      <c r="ACS109" s="646"/>
      <c r="ACT109" s="645"/>
      <c r="ACU109" s="646"/>
      <c r="ACV109" s="645"/>
      <c r="ACW109" s="646"/>
      <c r="ACX109" s="645"/>
      <c r="ACY109" s="646"/>
      <c r="ACZ109" s="645"/>
      <c r="ADA109" s="646"/>
      <c r="ADB109" s="645"/>
      <c r="ADC109" s="646"/>
      <c r="ADD109" s="645"/>
      <c r="ADE109" s="646"/>
      <c r="ADF109" s="645"/>
      <c r="ADG109" s="646"/>
      <c r="ADH109" s="645"/>
      <c r="ADI109" s="646"/>
      <c r="ADJ109" s="645"/>
      <c r="ADK109" s="646"/>
      <c r="ADL109" s="645"/>
      <c r="ADM109" s="646"/>
      <c r="ADN109" s="645"/>
      <c r="ADO109" s="646"/>
      <c r="ADP109" s="645"/>
      <c r="ADQ109" s="646"/>
      <c r="ADR109" s="645"/>
      <c r="ADS109" s="646"/>
      <c r="ADT109" s="645"/>
      <c r="ADU109" s="646"/>
      <c r="ADV109" s="645"/>
      <c r="ADW109" s="646"/>
      <c r="ADX109" s="645"/>
      <c r="ADY109" s="646"/>
      <c r="ADZ109" s="645"/>
      <c r="AEA109" s="646"/>
      <c r="AEB109" s="645"/>
      <c r="AEC109" s="646"/>
      <c r="AED109" s="645"/>
      <c r="AEE109" s="646"/>
      <c r="AEF109" s="645"/>
      <c r="AEG109" s="646"/>
      <c r="AEH109" s="645"/>
      <c r="AEI109" s="646"/>
      <c r="AEJ109" s="645"/>
      <c r="AEK109" s="646"/>
      <c r="AEL109" s="645"/>
      <c r="AEM109" s="646"/>
      <c r="AEN109" s="645"/>
      <c r="AEO109" s="646"/>
      <c r="AEP109" s="645"/>
      <c r="AEQ109" s="646"/>
      <c r="AER109" s="645"/>
      <c r="AES109" s="646"/>
      <c r="AET109" s="645"/>
      <c r="AEU109" s="646"/>
      <c r="AEV109" s="645"/>
      <c r="AEW109" s="646"/>
      <c r="AEX109" s="645"/>
      <c r="AEY109" s="646"/>
      <c r="AEZ109" s="645"/>
      <c r="AFA109" s="646"/>
      <c r="AFB109" s="645"/>
      <c r="AFC109" s="646"/>
      <c r="AFD109" s="645"/>
      <c r="AFE109" s="646"/>
      <c r="AFF109" s="645"/>
      <c r="AFG109" s="646"/>
      <c r="AFH109" s="645"/>
      <c r="AFI109" s="646"/>
      <c r="AFJ109" s="645"/>
      <c r="AFK109" s="646"/>
      <c r="AFL109" s="645"/>
      <c r="AFM109" s="646"/>
      <c r="AFN109" s="645"/>
      <c r="AFO109" s="646"/>
      <c r="AFP109" s="645"/>
      <c r="AFQ109" s="646"/>
      <c r="AFR109" s="645"/>
      <c r="AFS109" s="646"/>
      <c r="AFT109" s="645"/>
      <c r="AFU109" s="646"/>
      <c r="AFV109" s="645"/>
      <c r="AFW109" s="646"/>
      <c r="AFX109" s="645"/>
      <c r="AFY109" s="646"/>
      <c r="AFZ109" s="645"/>
      <c r="AGA109" s="646"/>
      <c r="AGB109" s="645"/>
      <c r="AGC109" s="646"/>
      <c r="AGD109" s="645"/>
      <c r="AGE109" s="646"/>
      <c r="AGF109" s="645"/>
      <c r="AGG109" s="646"/>
      <c r="AGH109" s="645"/>
      <c r="AGI109" s="646"/>
      <c r="AGJ109" s="645"/>
      <c r="AGK109" s="646"/>
      <c r="AGL109" s="645"/>
      <c r="AGM109" s="646"/>
      <c r="AGN109" s="645"/>
      <c r="AGO109" s="646"/>
      <c r="AGP109" s="645"/>
      <c r="AGQ109" s="646"/>
      <c r="AGR109" s="645"/>
      <c r="AGS109" s="646"/>
      <c r="AGT109" s="645"/>
      <c r="AGU109" s="646"/>
      <c r="AGV109" s="645"/>
      <c r="AGW109" s="646"/>
      <c r="AGX109" s="645"/>
      <c r="AGY109" s="646"/>
      <c r="AGZ109" s="645"/>
      <c r="AHA109" s="646"/>
      <c r="AHB109" s="645"/>
      <c r="AHC109" s="646"/>
      <c r="AHD109" s="645"/>
      <c r="AHE109" s="646"/>
      <c r="AHF109" s="645"/>
      <c r="AHG109" s="646"/>
      <c r="AHH109" s="645"/>
      <c r="AHI109" s="646"/>
      <c r="AHJ109" s="645"/>
      <c r="AHK109" s="646"/>
      <c r="AHL109" s="645"/>
      <c r="AHM109" s="646"/>
      <c r="AHN109" s="645"/>
      <c r="AHO109" s="646"/>
      <c r="AHP109" s="645"/>
      <c r="AHQ109" s="646"/>
      <c r="AHR109" s="645"/>
      <c r="AHS109" s="646"/>
      <c r="AHT109" s="645"/>
      <c r="AHU109" s="646"/>
      <c r="AHV109" s="645"/>
      <c r="AHW109" s="646"/>
      <c r="AHX109" s="645"/>
      <c r="AHY109" s="646"/>
      <c r="AHZ109" s="645"/>
      <c r="AIA109" s="646"/>
      <c r="AIB109" s="645"/>
      <c r="AIC109" s="646"/>
      <c r="AID109" s="645"/>
      <c r="AIE109" s="646"/>
      <c r="AIF109" s="645"/>
      <c r="AIG109" s="646"/>
      <c r="AIH109" s="645"/>
      <c r="AII109" s="646"/>
      <c r="AIJ109" s="645"/>
      <c r="AIK109" s="646"/>
      <c r="AIL109" s="645"/>
      <c r="AIM109" s="646"/>
      <c r="AIN109" s="645"/>
      <c r="AIO109" s="646"/>
      <c r="AIP109" s="645"/>
      <c r="AIQ109" s="645"/>
      <c r="AIR109" s="645"/>
      <c r="AIS109" s="645"/>
      <c r="AIT109" s="645"/>
      <c r="AIU109" s="645"/>
      <c r="AIV109" s="645"/>
      <c r="AIW109" s="645"/>
      <c r="AIX109" s="645"/>
      <c r="AIY109" s="645"/>
      <c r="AIZ109" s="645"/>
      <c r="AJA109" s="645"/>
      <c r="AJB109" s="645"/>
      <c r="AJC109" s="645"/>
      <c r="AJD109" s="645"/>
      <c r="AJE109" s="645"/>
      <c r="AJF109" s="645"/>
      <c r="AJG109" s="645"/>
      <c r="AJH109" s="645"/>
      <c r="AJI109" s="645"/>
      <c r="AJJ109" s="645"/>
      <c r="AJK109" s="645"/>
      <c r="AJL109" s="645"/>
      <c r="AJM109" s="645"/>
      <c r="AJN109" s="645"/>
      <c r="AJO109" s="645"/>
      <c r="AJP109" s="645"/>
      <c r="AJQ109" s="645"/>
      <c r="AJR109" s="645"/>
      <c r="AJS109" s="645"/>
      <c r="AJT109" s="645"/>
      <c r="AJU109" s="645"/>
      <c r="AJV109" s="645"/>
      <c r="AJW109" s="645"/>
      <c r="AJX109" s="645"/>
      <c r="AJY109" s="645"/>
      <c r="AJZ109" s="645"/>
      <c r="AKA109" s="645"/>
      <c r="AKB109" s="645"/>
      <c r="AKC109" s="645"/>
      <c r="AKD109" s="645"/>
      <c r="AKE109" s="645"/>
      <c r="AKF109" s="645"/>
      <c r="AKG109" s="645"/>
      <c r="AKH109" s="645"/>
      <c r="AKI109" s="645"/>
      <c r="AKJ109" s="645"/>
      <c r="AKK109" s="645"/>
      <c r="AKL109" s="645"/>
      <c r="AKM109" s="645"/>
      <c r="AKN109" s="645"/>
      <c r="AKO109" s="645"/>
      <c r="AKP109" s="645"/>
      <c r="AKQ109" s="645"/>
      <c r="AKR109" s="645"/>
      <c r="AKS109" s="645"/>
      <c r="AKT109" s="645"/>
      <c r="AKU109" s="645"/>
      <c r="AKV109" s="645"/>
      <c r="AKW109" s="645"/>
      <c r="AKX109" s="645"/>
      <c r="AKY109" s="645"/>
      <c r="AKZ109" s="645"/>
      <c r="ALA109" s="645"/>
      <c r="ALB109" s="645"/>
      <c r="ALC109" s="645"/>
      <c r="ALD109" s="645"/>
      <c r="ALE109" s="645"/>
      <c r="ALF109" s="645"/>
      <c r="ALG109" s="645"/>
      <c r="ALH109" s="645"/>
      <c r="ALI109" s="645"/>
      <c r="ALJ109" s="645"/>
      <c r="ALK109" s="645"/>
      <c r="ALL109" s="645"/>
      <c r="ALM109" s="645"/>
      <c r="ALN109" s="645"/>
      <c r="ALO109" s="645"/>
      <c r="ALP109" s="645"/>
      <c r="ALQ109" s="645"/>
      <c r="ALR109" s="645"/>
      <c r="ALS109" s="645"/>
      <c r="ALT109" s="645"/>
      <c r="ALU109" s="645"/>
      <c r="ALV109" s="645"/>
      <c r="ALW109" s="645"/>
      <c r="ALX109" s="645"/>
      <c r="ALY109" s="645"/>
      <c r="ALZ109" s="645"/>
      <c r="AMA109" s="645"/>
      <c r="AMB109" s="645"/>
      <c r="AMC109" s="645"/>
      <c r="AMD109" s="645"/>
      <c r="AME109" s="645"/>
      <c r="AMF109" s="645"/>
      <c r="AMG109" s="645"/>
      <c r="AMH109" s="645"/>
      <c r="AMI109" s="645"/>
      <c r="AMJ109" s="645"/>
    </row>
    <row r="110" spans="1:1024" s="37" customFormat="1" ht="15.75" customHeight="1" x14ac:dyDescent="0.35">
      <c r="A110" s="600"/>
      <c r="B110" s="644" t="s">
        <v>364</v>
      </c>
      <c r="C110" s="645"/>
      <c r="D110" s="646"/>
      <c r="E110" s="645"/>
      <c r="F110" s="646"/>
      <c r="G110" s="453" t="s">
        <v>234</v>
      </c>
      <c r="H110" s="643" t="s">
        <v>259</v>
      </c>
      <c r="I110" s="645"/>
      <c r="J110" s="38"/>
      <c r="K110" s="38"/>
      <c r="L110" s="39"/>
      <c r="M110" s="38"/>
      <c r="N110" s="39"/>
      <c r="O110" s="38"/>
      <c r="P110" s="39"/>
      <c r="Q110" s="38"/>
      <c r="R110" s="39"/>
      <c r="S110" s="38"/>
      <c r="T110" s="39"/>
      <c r="U110" s="38"/>
      <c r="V110" s="39"/>
      <c r="W110" s="38"/>
      <c r="X110" s="39"/>
      <c r="Y110" s="38"/>
      <c r="Z110" s="39"/>
      <c r="AA110" s="38"/>
      <c r="AB110" s="39"/>
      <c r="AC110" s="38"/>
      <c r="AD110" s="39"/>
      <c r="AE110" s="38"/>
      <c r="AF110" s="39"/>
      <c r="AG110" s="38"/>
      <c r="AH110" s="39"/>
      <c r="AI110" s="38"/>
      <c r="AJ110" s="39"/>
      <c r="AK110" s="40"/>
      <c r="AL110" s="39"/>
      <c r="AM110" s="40"/>
      <c r="AN110" s="39"/>
      <c r="AO110" s="40"/>
      <c r="AP110" s="39"/>
      <c r="AQ110" s="40"/>
      <c r="AR110" s="39"/>
      <c r="AS110" s="40"/>
      <c r="AT110" s="39"/>
      <c r="AU110" s="40"/>
      <c r="AV110" s="39"/>
      <c r="AW110" s="40"/>
      <c r="AX110" s="39"/>
      <c r="AY110" s="40"/>
      <c r="AZ110" s="39"/>
      <c r="BA110" s="40"/>
      <c r="BB110" s="39"/>
      <c r="BC110" s="40"/>
      <c r="BD110" s="39"/>
      <c r="BE110" s="40"/>
      <c r="BF110" s="39"/>
      <c r="BG110" s="40"/>
      <c r="BH110" s="39"/>
      <c r="BI110" s="40"/>
      <c r="BJ110" s="39"/>
      <c r="BK110" s="40"/>
      <c r="BL110" s="39"/>
      <c r="BM110" s="40"/>
      <c r="BN110" s="39"/>
      <c r="BO110" s="40"/>
      <c r="BP110" s="39"/>
      <c r="BQ110" s="40"/>
      <c r="BR110" s="39"/>
      <c r="BS110" s="40"/>
      <c r="BT110" s="39"/>
      <c r="BU110" s="40"/>
      <c r="BV110" s="39"/>
      <c r="BW110" s="40"/>
      <c r="BX110" s="39"/>
      <c r="BY110" s="40"/>
      <c r="BZ110" s="39"/>
      <c r="CA110" s="40"/>
      <c r="CB110" s="39"/>
      <c r="CC110" s="40"/>
      <c r="CD110" s="39"/>
      <c r="CE110" s="40"/>
      <c r="CF110" s="39"/>
      <c r="CG110" s="40"/>
      <c r="CH110" s="39"/>
      <c r="CI110" s="40"/>
      <c r="CJ110" s="39"/>
      <c r="CK110" s="40"/>
      <c r="CL110" s="39"/>
      <c r="CM110" s="40"/>
      <c r="CN110" s="39"/>
      <c r="CO110" s="40"/>
      <c r="CP110" s="39"/>
      <c r="CQ110" s="40"/>
      <c r="CR110" s="39"/>
      <c r="CS110" s="40"/>
      <c r="CT110" s="39"/>
      <c r="CU110" s="40"/>
      <c r="CV110" s="39"/>
      <c r="CW110" s="40"/>
      <c r="CX110" s="39"/>
      <c r="CY110" s="40"/>
      <c r="CZ110" s="39"/>
      <c r="DA110" s="40"/>
      <c r="DB110" s="39"/>
      <c r="DC110" s="40"/>
      <c r="DD110" s="39"/>
      <c r="DE110" s="40"/>
      <c r="DF110" s="39"/>
      <c r="DG110" s="40"/>
      <c r="DH110" s="39"/>
      <c r="DI110" s="40"/>
      <c r="DJ110" s="39"/>
      <c r="DK110" s="40"/>
      <c r="DL110" s="39"/>
      <c r="DM110" s="40"/>
      <c r="DN110" s="39"/>
      <c r="DO110" s="40"/>
      <c r="DP110" s="39"/>
      <c r="DQ110" s="40"/>
      <c r="DR110" s="39"/>
      <c r="DS110" s="40"/>
      <c r="DT110" s="39"/>
      <c r="DU110" s="40"/>
      <c r="DV110" s="39"/>
      <c r="DW110" s="40"/>
      <c r="DX110" s="39"/>
      <c r="DY110" s="40"/>
      <c r="DZ110" s="39"/>
      <c r="EA110" s="40"/>
      <c r="EB110" s="39"/>
      <c r="EC110" s="40"/>
      <c r="ED110" s="39"/>
      <c r="EE110" s="40"/>
      <c r="EF110" s="39"/>
      <c r="EG110" s="40"/>
      <c r="EH110" s="39"/>
      <c r="EI110" s="40"/>
      <c r="EJ110" s="39"/>
      <c r="EK110" s="40"/>
      <c r="EL110" s="39"/>
      <c r="EM110" s="40"/>
      <c r="EN110" s="39"/>
      <c r="EO110" s="40"/>
      <c r="EP110" s="39"/>
      <c r="EQ110" s="40"/>
      <c r="ER110" s="39"/>
      <c r="ES110" s="40"/>
      <c r="ET110" s="39"/>
      <c r="EU110" s="40"/>
      <c r="EV110" s="39"/>
      <c r="EW110" s="40"/>
      <c r="EX110" s="39"/>
      <c r="EY110" s="40"/>
      <c r="EZ110" s="39"/>
      <c r="FA110" s="40"/>
      <c r="FB110" s="39"/>
      <c r="FC110" s="40"/>
      <c r="FD110" s="39"/>
      <c r="FE110" s="40"/>
      <c r="FF110" s="39"/>
      <c r="FG110" s="40"/>
      <c r="FH110" s="39"/>
      <c r="FI110" s="40"/>
      <c r="FJ110" s="39"/>
      <c r="FK110" s="40"/>
      <c r="FL110" s="39"/>
      <c r="FM110" s="40"/>
      <c r="FN110" s="39"/>
      <c r="FO110" s="40"/>
      <c r="FP110" s="39"/>
      <c r="FQ110" s="40"/>
      <c r="FR110" s="39"/>
      <c r="FS110" s="40"/>
      <c r="FT110" s="39"/>
      <c r="FU110" s="40"/>
      <c r="FV110" s="39"/>
      <c r="FW110" s="40"/>
      <c r="FX110" s="39"/>
      <c r="FY110" s="40"/>
      <c r="FZ110" s="39"/>
      <c r="GA110" s="40"/>
      <c r="GB110" s="39"/>
      <c r="GC110" s="40"/>
      <c r="GD110" s="39"/>
      <c r="GE110" s="40"/>
      <c r="GF110" s="39"/>
      <c r="GG110" s="40"/>
      <c r="GH110" s="39"/>
      <c r="GI110" s="40"/>
      <c r="GJ110" s="39"/>
      <c r="GK110" s="40"/>
      <c r="GL110" s="39"/>
      <c r="GM110" s="40"/>
      <c r="GN110" s="39"/>
      <c r="GO110" s="40"/>
      <c r="GP110" s="39"/>
      <c r="GQ110" s="40"/>
      <c r="GR110" s="39"/>
      <c r="GS110" s="40"/>
      <c r="GT110" s="39"/>
      <c r="GU110" s="40"/>
      <c r="GV110" s="39"/>
      <c r="GW110" s="40"/>
      <c r="GX110" s="39"/>
      <c r="GY110" s="40"/>
      <c r="GZ110" s="39"/>
      <c r="HA110" s="40"/>
      <c r="HB110" s="39"/>
      <c r="HC110" s="40"/>
      <c r="HD110" s="39"/>
      <c r="HE110" s="40"/>
      <c r="HF110" s="39"/>
      <c r="HG110" s="40"/>
      <c r="HH110" s="39"/>
      <c r="HI110" s="40"/>
      <c r="HJ110" s="39"/>
      <c r="HK110" s="40"/>
      <c r="HL110" s="39"/>
      <c r="HM110" s="40"/>
      <c r="HN110" s="39"/>
      <c r="HO110" s="40"/>
      <c r="HP110" s="39"/>
      <c r="HQ110" s="40"/>
      <c r="HR110" s="39"/>
      <c r="HS110" s="40"/>
      <c r="HT110" s="39"/>
      <c r="HU110" s="40"/>
      <c r="HV110" s="39"/>
      <c r="HW110" s="40"/>
      <c r="HX110" s="39"/>
      <c r="HY110" s="40"/>
      <c r="HZ110" s="39"/>
      <c r="IA110" s="40"/>
      <c r="IB110" s="39"/>
      <c r="IC110" s="1068"/>
      <c r="ID110" s="645"/>
      <c r="IE110" s="646"/>
      <c r="IF110" s="645"/>
      <c r="IG110" s="646"/>
      <c r="IH110" s="645"/>
      <c r="II110" s="646"/>
      <c r="IJ110" s="645"/>
      <c r="IK110" s="646"/>
      <c r="IL110" s="645"/>
      <c r="IM110" s="646"/>
      <c r="IN110" s="645"/>
      <c r="IO110" s="646"/>
      <c r="IP110" s="645"/>
      <c r="IQ110" s="646"/>
      <c r="IR110" s="645"/>
      <c r="IS110" s="646"/>
      <c r="IT110" s="645"/>
      <c r="IU110" s="646"/>
      <c r="IV110" s="645"/>
      <c r="IW110" s="646"/>
      <c r="IX110" s="645"/>
      <c r="IY110" s="646"/>
      <c r="IZ110" s="645"/>
      <c r="JA110" s="646"/>
      <c r="JB110" s="645"/>
      <c r="JC110" s="646"/>
      <c r="JD110" s="645"/>
      <c r="JE110" s="646"/>
      <c r="JF110" s="645"/>
      <c r="JG110" s="646"/>
      <c r="JH110" s="645"/>
      <c r="JI110" s="646"/>
      <c r="JJ110" s="645"/>
      <c r="JK110" s="646"/>
      <c r="JL110" s="645"/>
      <c r="JM110" s="646"/>
      <c r="JN110" s="645"/>
      <c r="JO110" s="646"/>
      <c r="JP110" s="645"/>
      <c r="JQ110" s="646"/>
      <c r="JR110" s="645"/>
      <c r="JS110" s="646"/>
      <c r="JT110" s="645"/>
      <c r="JU110" s="646"/>
      <c r="JV110" s="645"/>
      <c r="JW110" s="646"/>
      <c r="JX110" s="645"/>
      <c r="JY110" s="646"/>
      <c r="JZ110" s="645"/>
      <c r="KA110" s="646"/>
      <c r="KB110" s="645"/>
      <c r="KC110" s="646"/>
      <c r="KD110" s="645"/>
      <c r="KE110" s="646"/>
      <c r="KF110" s="645"/>
      <c r="KG110" s="646"/>
      <c r="KH110" s="645"/>
      <c r="KI110" s="646"/>
      <c r="KJ110" s="645"/>
      <c r="KK110" s="646"/>
      <c r="KL110" s="645"/>
      <c r="KM110" s="646"/>
      <c r="KN110" s="645"/>
      <c r="KO110" s="646"/>
      <c r="KP110" s="645"/>
      <c r="KQ110" s="646"/>
      <c r="KR110" s="645"/>
      <c r="KS110" s="646"/>
      <c r="KT110" s="645"/>
      <c r="KU110" s="646"/>
      <c r="KV110" s="645"/>
      <c r="KW110" s="646"/>
      <c r="KX110" s="645"/>
      <c r="KY110" s="646"/>
      <c r="KZ110" s="645"/>
      <c r="LA110" s="646"/>
      <c r="LB110" s="645"/>
      <c r="LC110" s="646"/>
      <c r="LD110" s="645"/>
      <c r="LE110" s="646"/>
      <c r="LF110" s="645"/>
      <c r="LG110" s="646"/>
      <c r="LH110" s="645"/>
      <c r="LI110" s="646"/>
      <c r="LJ110" s="645"/>
      <c r="LK110" s="646"/>
      <c r="LL110" s="645"/>
      <c r="LM110" s="646"/>
      <c r="LN110" s="645"/>
      <c r="LO110" s="646"/>
      <c r="LP110" s="645"/>
      <c r="LQ110" s="646"/>
      <c r="LR110" s="645"/>
      <c r="LS110" s="646"/>
      <c r="LT110" s="645"/>
      <c r="LU110" s="646"/>
      <c r="LV110" s="645"/>
      <c r="LW110" s="646"/>
      <c r="LX110" s="645"/>
      <c r="LY110" s="646"/>
      <c r="LZ110" s="645"/>
      <c r="MA110" s="646"/>
      <c r="MB110" s="645"/>
      <c r="MC110" s="646"/>
      <c r="MD110" s="645"/>
      <c r="ME110" s="646"/>
      <c r="MF110" s="645"/>
      <c r="MG110" s="646"/>
      <c r="MH110" s="645"/>
      <c r="MI110" s="646"/>
      <c r="MJ110" s="645"/>
      <c r="MK110" s="646"/>
      <c r="ML110" s="645"/>
      <c r="MM110" s="646"/>
      <c r="MN110" s="645"/>
      <c r="MO110" s="646"/>
      <c r="MP110" s="645"/>
      <c r="MQ110" s="646"/>
      <c r="MR110" s="645"/>
      <c r="MS110" s="646"/>
      <c r="MT110" s="645"/>
      <c r="MU110" s="646"/>
      <c r="MV110" s="645"/>
      <c r="MW110" s="646"/>
      <c r="MX110" s="645"/>
      <c r="MY110" s="646"/>
      <c r="MZ110" s="645"/>
      <c r="NA110" s="646"/>
      <c r="NB110" s="645"/>
      <c r="NC110" s="646"/>
      <c r="ND110" s="645"/>
      <c r="NE110" s="646"/>
      <c r="NF110" s="645"/>
      <c r="NG110" s="646"/>
      <c r="NH110" s="645"/>
      <c r="NI110" s="646"/>
      <c r="NJ110" s="645"/>
      <c r="NK110" s="646"/>
      <c r="NL110" s="645"/>
      <c r="NM110" s="646"/>
      <c r="NN110" s="645"/>
      <c r="NO110" s="646"/>
      <c r="NP110" s="645"/>
      <c r="NQ110" s="646"/>
      <c r="NR110" s="645"/>
      <c r="NS110" s="646"/>
      <c r="NT110" s="645"/>
      <c r="NU110" s="646"/>
      <c r="NV110" s="645"/>
      <c r="NW110" s="646"/>
      <c r="NX110" s="645"/>
      <c r="NY110" s="646"/>
      <c r="NZ110" s="645"/>
      <c r="OA110" s="646"/>
      <c r="OB110" s="645"/>
      <c r="OC110" s="646"/>
      <c r="OD110" s="645"/>
      <c r="OE110" s="646"/>
      <c r="OF110" s="645"/>
      <c r="OG110" s="646"/>
      <c r="OH110" s="645"/>
      <c r="OI110" s="646"/>
      <c r="OJ110" s="645"/>
      <c r="OK110" s="646"/>
      <c r="OL110" s="645"/>
      <c r="OM110" s="646"/>
      <c r="ON110" s="645"/>
      <c r="OO110" s="646"/>
      <c r="OP110" s="645"/>
      <c r="OQ110" s="646"/>
      <c r="OR110" s="645"/>
      <c r="OS110" s="646"/>
      <c r="OT110" s="645"/>
      <c r="OU110" s="646"/>
      <c r="OV110" s="645"/>
      <c r="OW110" s="646"/>
      <c r="OX110" s="645"/>
      <c r="OY110" s="646"/>
      <c r="OZ110" s="645"/>
      <c r="PA110" s="646"/>
      <c r="PB110" s="645"/>
      <c r="PC110" s="646"/>
      <c r="PD110" s="645"/>
      <c r="PE110" s="646"/>
      <c r="PF110" s="645"/>
      <c r="PG110" s="646"/>
      <c r="PH110" s="645"/>
      <c r="PI110" s="646"/>
      <c r="PJ110" s="645"/>
      <c r="PK110" s="646"/>
      <c r="PL110" s="645"/>
      <c r="PM110" s="646"/>
      <c r="PN110" s="645"/>
      <c r="PO110" s="646"/>
      <c r="PP110" s="645"/>
      <c r="PQ110" s="646"/>
      <c r="PR110" s="645"/>
      <c r="PS110" s="646"/>
      <c r="PT110" s="645"/>
      <c r="PU110" s="646"/>
      <c r="PV110" s="645"/>
      <c r="PW110" s="646"/>
      <c r="PX110" s="645"/>
      <c r="PY110" s="646"/>
      <c r="PZ110" s="645"/>
      <c r="QA110" s="646"/>
      <c r="QB110" s="645"/>
      <c r="QC110" s="646"/>
      <c r="QD110" s="645"/>
      <c r="QE110" s="646"/>
      <c r="QF110" s="645"/>
      <c r="QG110" s="646"/>
      <c r="QH110" s="645"/>
      <c r="QI110" s="646"/>
      <c r="QJ110" s="645"/>
      <c r="QK110" s="646"/>
      <c r="QL110" s="645"/>
      <c r="QM110" s="646"/>
      <c r="QN110" s="645"/>
      <c r="QO110" s="646"/>
      <c r="QP110" s="645"/>
      <c r="QQ110" s="646"/>
      <c r="QR110" s="645"/>
      <c r="QS110" s="646"/>
      <c r="QT110" s="645"/>
      <c r="QU110" s="646"/>
      <c r="QV110" s="645"/>
      <c r="QW110" s="646"/>
      <c r="QX110" s="645"/>
      <c r="QY110" s="646"/>
      <c r="QZ110" s="645"/>
      <c r="RA110" s="646"/>
      <c r="RB110" s="645"/>
      <c r="RC110" s="646"/>
      <c r="RD110" s="645"/>
      <c r="RE110" s="646"/>
      <c r="RF110" s="645"/>
      <c r="RG110" s="646"/>
      <c r="RH110" s="645"/>
      <c r="RI110" s="646"/>
      <c r="RJ110" s="645"/>
      <c r="RK110" s="646"/>
      <c r="RL110" s="645"/>
      <c r="RM110" s="646"/>
      <c r="RN110" s="645"/>
      <c r="RO110" s="646"/>
      <c r="RP110" s="645"/>
      <c r="RQ110" s="646"/>
      <c r="RR110" s="645"/>
      <c r="RS110" s="646"/>
      <c r="RT110" s="645"/>
      <c r="RU110" s="646"/>
      <c r="RV110" s="645"/>
      <c r="RW110" s="646"/>
      <c r="RX110" s="645"/>
      <c r="RY110" s="646"/>
      <c r="RZ110" s="645"/>
      <c r="SA110" s="646"/>
      <c r="SB110" s="645"/>
      <c r="SC110" s="646"/>
      <c r="SD110" s="645"/>
      <c r="SE110" s="646"/>
      <c r="SF110" s="645"/>
      <c r="SG110" s="646"/>
      <c r="SH110" s="645"/>
      <c r="SI110" s="646"/>
      <c r="SJ110" s="645"/>
      <c r="SK110" s="646"/>
      <c r="SL110" s="645"/>
      <c r="SM110" s="646"/>
      <c r="SN110" s="645"/>
      <c r="SO110" s="646"/>
      <c r="SP110" s="645"/>
      <c r="SQ110" s="646"/>
      <c r="SR110" s="645"/>
      <c r="SS110" s="646"/>
      <c r="ST110" s="645"/>
      <c r="SU110" s="646"/>
      <c r="SV110" s="645"/>
      <c r="SW110" s="646"/>
      <c r="SX110" s="645"/>
      <c r="SY110" s="646"/>
      <c r="SZ110" s="645"/>
      <c r="TA110" s="646"/>
      <c r="TB110" s="645"/>
      <c r="TC110" s="646"/>
      <c r="TD110" s="645"/>
      <c r="TE110" s="646"/>
      <c r="TF110" s="645"/>
      <c r="TG110" s="646"/>
      <c r="TH110" s="645"/>
      <c r="TI110" s="646"/>
      <c r="TJ110" s="645"/>
      <c r="TK110" s="646"/>
      <c r="TL110" s="645"/>
      <c r="TM110" s="646"/>
      <c r="TN110" s="645"/>
      <c r="TO110" s="646"/>
      <c r="TP110" s="645"/>
      <c r="TQ110" s="646"/>
      <c r="TR110" s="645"/>
      <c r="TS110" s="646"/>
      <c r="TT110" s="645"/>
      <c r="TU110" s="646"/>
      <c r="TV110" s="645"/>
      <c r="TW110" s="646"/>
      <c r="TX110" s="645"/>
      <c r="TY110" s="646"/>
      <c r="TZ110" s="645"/>
      <c r="UA110" s="646"/>
      <c r="UB110" s="645"/>
      <c r="UC110" s="646"/>
      <c r="UD110" s="645"/>
      <c r="UE110" s="646"/>
      <c r="UF110" s="645"/>
      <c r="UG110" s="646"/>
      <c r="UH110" s="645"/>
      <c r="UI110" s="646"/>
      <c r="UJ110" s="645"/>
      <c r="UK110" s="646"/>
      <c r="UL110" s="645"/>
      <c r="UM110" s="646"/>
      <c r="UN110" s="645"/>
      <c r="UO110" s="646"/>
      <c r="UP110" s="645"/>
      <c r="UQ110" s="646"/>
      <c r="UR110" s="645"/>
      <c r="US110" s="646"/>
      <c r="UT110" s="645"/>
      <c r="UU110" s="646"/>
      <c r="UV110" s="645"/>
      <c r="UW110" s="646"/>
      <c r="UX110" s="645"/>
      <c r="UY110" s="646"/>
      <c r="UZ110" s="645"/>
      <c r="VA110" s="646"/>
      <c r="VB110" s="645"/>
      <c r="VC110" s="646"/>
      <c r="VD110" s="645"/>
      <c r="VE110" s="646"/>
      <c r="VF110" s="645"/>
      <c r="VG110" s="646"/>
      <c r="VH110" s="645"/>
      <c r="VI110" s="646"/>
      <c r="VJ110" s="645"/>
      <c r="VK110" s="646"/>
      <c r="VL110" s="645"/>
      <c r="VM110" s="646"/>
      <c r="VN110" s="645"/>
      <c r="VO110" s="646"/>
      <c r="VP110" s="645"/>
      <c r="VQ110" s="646"/>
      <c r="VR110" s="645"/>
      <c r="VS110" s="646"/>
      <c r="VT110" s="645"/>
      <c r="VU110" s="646"/>
      <c r="VV110" s="645"/>
      <c r="VW110" s="646"/>
      <c r="VX110" s="645"/>
      <c r="VY110" s="646"/>
      <c r="VZ110" s="645"/>
      <c r="WA110" s="646"/>
      <c r="WB110" s="645"/>
      <c r="WC110" s="646"/>
      <c r="WD110" s="645"/>
      <c r="WE110" s="646"/>
      <c r="WF110" s="645"/>
      <c r="WG110" s="646"/>
      <c r="WH110" s="645"/>
      <c r="WI110" s="646"/>
      <c r="WJ110" s="645"/>
      <c r="WK110" s="646"/>
      <c r="WL110" s="645"/>
      <c r="WM110" s="646"/>
      <c r="WN110" s="645"/>
      <c r="WO110" s="646"/>
      <c r="WP110" s="645"/>
      <c r="WQ110" s="646"/>
      <c r="WR110" s="645"/>
      <c r="WS110" s="646"/>
      <c r="WT110" s="645"/>
      <c r="WU110" s="646"/>
      <c r="WV110" s="645"/>
      <c r="WW110" s="646"/>
      <c r="WX110" s="645"/>
      <c r="WY110" s="646"/>
      <c r="WZ110" s="645"/>
      <c r="XA110" s="646"/>
      <c r="XB110" s="645"/>
      <c r="XC110" s="646"/>
      <c r="XD110" s="645"/>
      <c r="XE110" s="646"/>
      <c r="XF110" s="645"/>
      <c r="XG110" s="646"/>
      <c r="XH110" s="645"/>
      <c r="XI110" s="646"/>
      <c r="XJ110" s="645"/>
      <c r="XK110" s="646"/>
      <c r="XL110" s="645"/>
      <c r="XM110" s="646"/>
      <c r="XN110" s="645"/>
      <c r="XO110" s="646"/>
      <c r="XP110" s="645"/>
      <c r="XQ110" s="646"/>
      <c r="XR110" s="645"/>
      <c r="XS110" s="646"/>
      <c r="XT110" s="645"/>
      <c r="XU110" s="646"/>
      <c r="XV110" s="645"/>
      <c r="XW110" s="646"/>
      <c r="XX110" s="645"/>
      <c r="XY110" s="646"/>
      <c r="XZ110" s="645"/>
      <c r="YA110" s="646"/>
      <c r="YB110" s="645"/>
      <c r="YC110" s="646"/>
      <c r="YD110" s="645"/>
      <c r="YE110" s="646"/>
      <c r="YF110" s="645"/>
      <c r="YG110" s="646"/>
      <c r="YH110" s="645"/>
      <c r="YI110" s="646"/>
      <c r="YJ110" s="645"/>
      <c r="YK110" s="646"/>
      <c r="YL110" s="645"/>
      <c r="YM110" s="646"/>
      <c r="YN110" s="645"/>
      <c r="YO110" s="646"/>
      <c r="YP110" s="645"/>
      <c r="YQ110" s="646"/>
      <c r="YR110" s="645"/>
      <c r="YS110" s="646"/>
      <c r="YT110" s="645"/>
      <c r="YU110" s="646"/>
      <c r="YV110" s="645"/>
      <c r="YW110" s="646"/>
      <c r="YX110" s="645"/>
      <c r="YY110" s="646"/>
      <c r="YZ110" s="645"/>
      <c r="ZA110" s="646"/>
      <c r="ZB110" s="645"/>
      <c r="ZC110" s="646"/>
      <c r="ZD110" s="645"/>
      <c r="ZE110" s="646"/>
      <c r="ZF110" s="645"/>
      <c r="ZG110" s="646"/>
      <c r="ZH110" s="645"/>
      <c r="ZI110" s="646"/>
      <c r="ZJ110" s="645"/>
      <c r="ZK110" s="646"/>
      <c r="ZL110" s="645"/>
      <c r="ZM110" s="646"/>
      <c r="ZN110" s="645"/>
      <c r="ZO110" s="646"/>
      <c r="ZP110" s="645"/>
      <c r="ZQ110" s="646"/>
      <c r="ZR110" s="645"/>
      <c r="ZS110" s="646"/>
      <c r="ZT110" s="645"/>
      <c r="ZU110" s="646"/>
      <c r="ZV110" s="645"/>
      <c r="ZW110" s="646"/>
      <c r="ZX110" s="645"/>
      <c r="ZY110" s="646"/>
      <c r="ZZ110" s="645"/>
      <c r="AAA110" s="646"/>
      <c r="AAB110" s="645"/>
      <c r="AAC110" s="646"/>
      <c r="AAD110" s="645"/>
      <c r="AAE110" s="646"/>
      <c r="AAF110" s="645"/>
      <c r="AAG110" s="646"/>
      <c r="AAH110" s="645"/>
      <c r="AAI110" s="646"/>
      <c r="AAJ110" s="645"/>
      <c r="AAK110" s="646"/>
      <c r="AAL110" s="645"/>
      <c r="AAM110" s="646"/>
      <c r="AAN110" s="645"/>
      <c r="AAO110" s="646"/>
      <c r="AAP110" s="645"/>
      <c r="AAQ110" s="646"/>
      <c r="AAR110" s="645"/>
      <c r="AAS110" s="646"/>
      <c r="AAT110" s="645"/>
      <c r="AAU110" s="646"/>
      <c r="AAV110" s="645"/>
      <c r="AAW110" s="646"/>
      <c r="AAX110" s="645"/>
      <c r="AAY110" s="646"/>
      <c r="AAZ110" s="645"/>
      <c r="ABA110" s="646"/>
      <c r="ABB110" s="645"/>
      <c r="ABC110" s="646"/>
      <c r="ABD110" s="645"/>
      <c r="ABE110" s="646"/>
      <c r="ABF110" s="645"/>
      <c r="ABG110" s="646"/>
      <c r="ABH110" s="645"/>
      <c r="ABI110" s="646"/>
      <c r="ABJ110" s="645"/>
      <c r="ABK110" s="646"/>
      <c r="ABL110" s="645"/>
      <c r="ABM110" s="646"/>
      <c r="ABN110" s="645"/>
      <c r="ABO110" s="646"/>
      <c r="ABP110" s="645"/>
      <c r="ABQ110" s="646"/>
      <c r="ABR110" s="645"/>
      <c r="ABS110" s="646"/>
      <c r="ABT110" s="645"/>
      <c r="ABU110" s="646"/>
      <c r="ABV110" s="645"/>
      <c r="ABW110" s="646"/>
      <c r="ABX110" s="645"/>
      <c r="ABY110" s="646"/>
      <c r="ABZ110" s="645"/>
      <c r="ACA110" s="646"/>
      <c r="ACB110" s="645"/>
      <c r="ACC110" s="646"/>
      <c r="ACD110" s="645"/>
      <c r="ACE110" s="646"/>
      <c r="ACF110" s="645"/>
      <c r="ACG110" s="646"/>
      <c r="ACH110" s="645"/>
      <c r="ACI110" s="646"/>
      <c r="ACJ110" s="645"/>
      <c r="ACK110" s="646"/>
      <c r="ACL110" s="645"/>
      <c r="ACM110" s="646"/>
      <c r="ACN110" s="645"/>
      <c r="ACO110" s="646"/>
      <c r="ACP110" s="645"/>
      <c r="ACQ110" s="646"/>
      <c r="ACR110" s="645"/>
      <c r="ACS110" s="646"/>
      <c r="ACT110" s="645"/>
      <c r="ACU110" s="646"/>
      <c r="ACV110" s="645"/>
      <c r="ACW110" s="646"/>
      <c r="ACX110" s="645"/>
      <c r="ACY110" s="646"/>
      <c r="ACZ110" s="645"/>
      <c r="ADA110" s="646"/>
      <c r="ADB110" s="645"/>
      <c r="ADC110" s="646"/>
      <c r="ADD110" s="645"/>
      <c r="ADE110" s="646"/>
      <c r="ADF110" s="645"/>
      <c r="ADG110" s="646"/>
      <c r="ADH110" s="645"/>
      <c r="ADI110" s="646"/>
      <c r="ADJ110" s="645"/>
      <c r="ADK110" s="646"/>
      <c r="ADL110" s="645"/>
      <c r="ADM110" s="646"/>
      <c r="ADN110" s="645"/>
      <c r="ADO110" s="646"/>
      <c r="ADP110" s="645"/>
      <c r="ADQ110" s="646"/>
      <c r="ADR110" s="645"/>
      <c r="ADS110" s="646"/>
      <c r="ADT110" s="645"/>
      <c r="ADU110" s="646"/>
      <c r="ADV110" s="645"/>
      <c r="ADW110" s="646"/>
      <c r="ADX110" s="645"/>
      <c r="ADY110" s="646"/>
      <c r="ADZ110" s="645"/>
      <c r="AEA110" s="646"/>
      <c r="AEB110" s="645"/>
      <c r="AEC110" s="646"/>
      <c r="AED110" s="645"/>
      <c r="AEE110" s="646"/>
      <c r="AEF110" s="645"/>
      <c r="AEG110" s="646"/>
      <c r="AEH110" s="645"/>
      <c r="AEI110" s="646"/>
      <c r="AEJ110" s="645"/>
      <c r="AEK110" s="646"/>
      <c r="AEL110" s="645"/>
      <c r="AEM110" s="646"/>
      <c r="AEN110" s="645"/>
      <c r="AEO110" s="646"/>
      <c r="AEP110" s="645"/>
      <c r="AEQ110" s="646"/>
      <c r="AER110" s="645"/>
      <c r="AES110" s="646"/>
      <c r="AET110" s="645"/>
      <c r="AEU110" s="646"/>
      <c r="AEV110" s="645"/>
      <c r="AEW110" s="646"/>
      <c r="AEX110" s="645"/>
      <c r="AEY110" s="646"/>
      <c r="AEZ110" s="645"/>
      <c r="AFA110" s="646"/>
      <c r="AFB110" s="645"/>
      <c r="AFC110" s="646"/>
      <c r="AFD110" s="645"/>
      <c r="AFE110" s="646"/>
      <c r="AFF110" s="645"/>
      <c r="AFG110" s="646"/>
      <c r="AFH110" s="645"/>
      <c r="AFI110" s="646"/>
      <c r="AFJ110" s="645"/>
      <c r="AFK110" s="646"/>
      <c r="AFL110" s="645"/>
      <c r="AFM110" s="646"/>
      <c r="AFN110" s="645"/>
      <c r="AFO110" s="646"/>
      <c r="AFP110" s="645"/>
      <c r="AFQ110" s="646"/>
      <c r="AFR110" s="645"/>
      <c r="AFS110" s="646"/>
      <c r="AFT110" s="645"/>
      <c r="AFU110" s="646"/>
      <c r="AFV110" s="645"/>
      <c r="AFW110" s="646"/>
      <c r="AFX110" s="645"/>
      <c r="AFY110" s="646"/>
      <c r="AFZ110" s="645"/>
      <c r="AGA110" s="646"/>
      <c r="AGB110" s="645"/>
      <c r="AGC110" s="646"/>
      <c r="AGD110" s="645"/>
      <c r="AGE110" s="646"/>
      <c r="AGF110" s="645"/>
      <c r="AGG110" s="646"/>
      <c r="AGH110" s="645"/>
      <c r="AGI110" s="646"/>
      <c r="AGJ110" s="645"/>
      <c r="AGK110" s="646"/>
      <c r="AGL110" s="645"/>
      <c r="AGM110" s="646"/>
      <c r="AGN110" s="645"/>
      <c r="AGO110" s="646"/>
      <c r="AGP110" s="645"/>
      <c r="AGQ110" s="646"/>
      <c r="AGR110" s="645"/>
      <c r="AGS110" s="646"/>
      <c r="AGT110" s="645"/>
      <c r="AGU110" s="646"/>
      <c r="AGV110" s="645"/>
      <c r="AGW110" s="646"/>
      <c r="AGX110" s="645"/>
      <c r="AGY110" s="646"/>
      <c r="AGZ110" s="645"/>
      <c r="AHA110" s="646"/>
      <c r="AHB110" s="645"/>
      <c r="AHC110" s="646"/>
      <c r="AHD110" s="645"/>
      <c r="AHE110" s="646"/>
      <c r="AHF110" s="645"/>
      <c r="AHG110" s="646"/>
      <c r="AHH110" s="645"/>
      <c r="AHI110" s="646"/>
      <c r="AHJ110" s="645"/>
      <c r="AHK110" s="646"/>
      <c r="AHL110" s="645"/>
      <c r="AHM110" s="646"/>
      <c r="AHN110" s="645"/>
      <c r="AHO110" s="646"/>
      <c r="AHP110" s="645"/>
      <c r="AHQ110" s="646"/>
      <c r="AHR110" s="645"/>
      <c r="AHS110" s="646"/>
      <c r="AHT110" s="645"/>
      <c r="AHU110" s="646"/>
      <c r="AHV110" s="645"/>
      <c r="AHW110" s="646"/>
      <c r="AHX110" s="645"/>
      <c r="AHY110" s="646"/>
      <c r="AHZ110" s="645"/>
      <c r="AIA110" s="646"/>
      <c r="AIB110" s="645"/>
      <c r="AIC110" s="646"/>
      <c r="AID110" s="645"/>
      <c r="AIE110" s="646"/>
      <c r="AIF110" s="645"/>
      <c r="AIG110" s="646"/>
      <c r="AIH110" s="645"/>
      <c r="AII110" s="646"/>
      <c r="AIJ110" s="645"/>
      <c r="AIK110" s="646"/>
      <c r="AIL110" s="645"/>
      <c r="AIM110" s="646"/>
      <c r="AIN110" s="645"/>
      <c r="AIO110" s="646"/>
      <c r="AIP110" s="645"/>
      <c r="AIQ110" s="645"/>
      <c r="AIR110" s="645"/>
      <c r="AIS110" s="645"/>
      <c r="AIT110" s="645"/>
      <c r="AIU110" s="645"/>
      <c r="AIV110" s="645"/>
      <c r="AIW110" s="645"/>
      <c r="AIX110" s="645"/>
      <c r="AIY110" s="645"/>
      <c r="AIZ110" s="645"/>
      <c r="AJA110" s="645"/>
      <c r="AJB110" s="645"/>
      <c r="AJC110" s="645"/>
      <c r="AJD110" s="645"/>
      <c r="AJE110" s="645"/>
      <c r="AJF110" s="645"/>
      <c r="AJG110" s="645"/>
      <c r="AJH110" s="645"/>
      <c r="AJI110" s="645"/>
      <c r="AJJ110" s="645"/>
      <c r="AJK110" s="645"/>
      <c r="AJL110" s="645"/>
      <c r="AJM110" s="645"/>
      <c r="AJN110" s="645"/>
      <c r="AJO110" s="645"/>
      <c r="AJP110" s="645"/>
      <c r="AJQ110" s="645"/>
      <c r="AJR110" s="645"/>
      <c r="AJS110" s="645"/>
      <c r="AJT110" s="645"/>
      <c r="AJU110" s="645"/>
      <c r="AJV110" s="645"/>
      <c r="AJW110" s="645"/>
      <c r="AJX110" s="645"/>
      <c r="AJY110" s="645"/>
      <c r="AJZ110" s="645"/>
      <c r="AKA110" s="645"/>
      <c r="AKB110" s="645"/>
      <c r="AKC110" s="645"/>
      <c r="AKD110" s="645"/>
      <c r="AKE110" s="645"/>
      <c r="AKF110" s="645"/>
      <c r="AKG110" s="645"/>
      <c r="AKH110" s="645"/>
      <c r="AKI110" s="645"/>
      <c r="AKJ110" s="645"/>
      <c r="AKK110" s="645"/>
      <c r="AKL110" s="645"/>
      <c r="AKM110" s="645"/>
      <c r="AKN110" s="645"/>
      <c r="AKO110" s="645"/>
      <c r="AKP110" s="645"/>
      <c r="AKQ110" s="645"/>
      <c r="AKR110" s="645"/>
      <c r="AKS110" s="645"/>
      <c r="AKT110" s="645"/>
      <c r="AKU110" s="645"/>
      <c r="AKV110" s="645"/>
      <c r="AKW110" s="645"/>
      <c r="AKX110" s="645"/>
      <c r="AKY110" s="645"/>
      <c r="AKZ110" s="645"/>
      <c r="ALA110" s="645"/>
      <c r="ALB110" s="645"/>
      <c r="ALC110" s="645"/>
      <c r="ALD110" s="645"/>
      <c r="ALE110" s="645"/>
      <c r="ALF110" s="645"/>
      <c r="ALG110" s="645"/>
      <c r="ALH110" s="645"/>
      <c r="ALI110" s="645"/>
      <c r="ALJ110" s="645"/>
      <c r="ALK110" s="645"/>
      <c r="ALL110" s="645"/>
      <c r="ALM110" s="645"/>
      <c r="ALN110" s="645"/>
      <c r="ALO110" s="645"/>
      <c r="ALP110" s="645"/>
      <c r="ALQ110" s="645"/>
      <c r="ALR110" s="645"/>
      <c r="ALS110" s="645"/>
      <c r="ALT110" s="645"/>
      <c r="ALU110" s="645"/>
      <c r="ALV110" s="645"/>
      <c r="ALW110" s="645"/>
      <c r="ALX110" s="645"/>
      <c r="ALY110" s="645"/>
      <c r="ALZ110" s="645"/>
      <c r="AMA110" s="645"/>
      <c r="AMB110" s="645"/>
      <c r="AMC110" s="645"/>
      <c r="AMD110" s="645"/>
      <c r="AME110" s="645"/>
      <c r="AMF110" s="645"/>
      <c r="AMG110" s="645"/>
      <c r="AMH110" s="645"/>
      <c r="AMI110" s="645"/>
      <c r="AMJ110" s="645"/>
    </row>
    <row r="111" spans="1:1024" s="29" customFormat="1" ht="15.75" customHeight="1" x14ac:dyDescent="0.3">
      <c r="A111" s="651" t="s">
        <v>328</v>
      </c>
      <c r="B111" s="652" t="s">
        <v>365</v>
      </c>
      <c r="C111" s="653"/>
      <c r="D111" s="654"/>
      <c r="E111" s="654"/>
      <c r="F111" s="653"/>
      <c r="G111" s="655" t="s">
        <v>282</v>
      </c>
      <c r="H111" s="655" t="s">
        <v>282</v>
      </c>
      <c r="I111" s="656"/>
      <c r="J111" s="21"/>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28"/>
      <c r="DQ111" s="28"/>
      <c r="DR111" s="28"/>
      <c r="DS111" s="28"/>
      <c r="DT111" s="28"/>
      <c r="DU111" s="28"/>
      <c r="DV111" s="28"/>
      <c r="DW111" s="28"/>
      <c r="DX111" s="28"/>
      <c r="DY111" s="28"/>
      <c r="DZ111" s="28"/>
      <c r="EA111" s="28"/>
      <c r="EB111" s="28"/>
      <c r="EC111" s="28"/>
      <c r="ED111" s="28"/>
      <c r="EE111" s="28"/>
      <c r="EF111" s="28"/>
      <c r="EG111" s="28"/>
      <c r="EH111" s="28"/>
      <c r="EI111" s="28"/>
      <c r="EJ111" s="28"/>
      <c r="EK111" s="28"/>
      <c r="EL111" s="28"/>
      <c r="EM111" s="28"/>
      <c r="EN111" s="28"/>
      <c r="EO111" s="28"/>
      <c r="EP111" s="28"/>
      <c r="EQ111" s="28"/>
      <c r="ER111" s="28"/>
      <c r="ES111" s="28"/>
      <c r="ET111" s="28"/>
      <c r="EU111" s="28"/>
      <c r="EV111" s="28"/>
      <c r="EW111" s="28"/>
      <c r="EX111" s="28"/>
      <c r="EY111" s="28"/>
      <c r="EZ111" s="28"/>
      <c r="FA111" s="28"/>
      <c r="AIQ111" s="28"/>
      <c r="AIR111" s="28"/>
      <c r="AIS111" s="28"/>
      <c r="AIT111" s="28"/>
      <c r="AIU111" s="28"/>
      <c r="AIV111" s="28"/>
      <c r="AIW111" s="28"/>
      <c r="AIX111" s="28"/>
      <c r="AIY111" s="28"/>
      <c r="AIZ111" s="28"/>
      <c r="AJA111" s="28"/>
      <c r="AJB111" s="28"/>
      <c r="AJC111" s="28"/>
      <c r="AJD111" s="28"/>
      <c r="AJE111" s="28"/>
      <c r="AJF111" s="28"/>
      <c r="AJG111" s="28"/>
      <c r="AJH111" s="28"/>
      <c r="AJI111" s="28"/>
      <c r="AJJ111" s="28"/>
      <c r="AJK111" s="28"/>
      <c r="AJL111" s="28"/>
      <c r="AJM111" s="28"/>
      <c r="AJN111" s="28"/>
      <c r="AJO111" s="28"/>
      <c r="AJP111" s="28"/>
      <c r="AJQ111" s="28"/>
      <c r="AJR111" s="28"/>
      <c r="AJS111" s="28"/>
      <c r="AJT111" s="28"/>
      <c r="AJU111" s="28"/>
      <c r="AJV111" s="28"/>
      <c r="AJW111" s="28"/>
      <c r="AJX111" s="28"/>
      <c r="AJY111" s="28"/>
      <c r="AJZ111" s="28"/>
      <c r="AKA111" s="28"/>
      <c r="AKB111" s="28"/>
      <c r="AKC111" s="28"/>
      <c r="AKD111" s="28"/>
      <c r="AKE111" s="28"/>
      <c r="AKF111" s="28"/>
      <c r="AKG111" s="28"/>
      <c r="AKH111" s="28"/>
      <c r="AKI111" s="28"/>
      <c r="AKJ111" s="28"/>
      <c r="AKK111" s="28"/>
      <c r="AKL111" s="28"/>
      <c r="AKM111" s="28"/>
      <c r="AKN111" s="28"/>
      <c r="AKO111" s="28"/>
      <c r="AKP111" s="28"/>
      <c r="AKQ111" s="28"/>
      <c r="AKR111" s="28"/>
      <c r="AKS111" s="28"/>
      <c r="AKT111" s="28"/>
      <c r="AKU111" s="28"/>
      <c r="AKV111" s="28"/>
      <c r="AKW111" s="28"/>
      <c r="AKX111" s="28"/>
      <c r="AKY111" s="28"/>
      <c r="AKZ111" s="28"/>
      <c r="ALA111" s="28"/>
      <c r="ALB111" s="28"/>
      <c r="ALC111" s="28"/>
      <c r="ALD111" s="28"/>
      <c r="ALE111" s="28"/>
      <c r="ALF111" s="28"/>
      <c r="ALG111" s="28"/>
      <c r="ALH111" s="28"/>
      <c r="ALI111" s="28"/>
      <c r="ALJ111" s="28"/>
      <c r="ALK111" s="28"/>
      <c r="ALL111" s="28"/>
      <c r="ALM111" s="28"/>
      <c r="ALN111" s="28"/>
      <c r="ALO111" s="28"/>
      <c r="ALP111" s="28"/>
      <c r="ALQ111" s="28"/>
      <c r="ALR111" s="28"/>
      <c r="ALS111" s="28"/>
      <c r="ALT111" s="28"/>
      <c r="ALU111" s="28"/>
      <c r="ALV111" s="28"/>
      <c r="ALW111" s="28"/>
      <c r="ALX111" s="28"/>
      <c r="ALY111" s="28"/>
      <c r="ALZ111" s="28"/>
      <c r="AMA111" s="28"/>
      <c r="AMB111" s="28"/>
      <c r="AMC111" s="28"/>
      <c r="AMD111" s="28"/>
      <c r="AME111" s="28"/>
      <c r="AMF111" s="28"/>
      <c r="AMG111" s="28"/>
      <c r="AMH111" s="28"/>
      <c r="AMI111" s="28"/>
      <c r="AMJ111" s="28"/>
    </row>
    <row r="112" spans="1:1024" s="29" customFormat="1" ht="15.75" customHeight="1" x14ac:dyDescent="0.3">
      <c r="A112" s="600"/>
      <c r="B112" s="601" t="s">
        <v>366</v>
      </c>
      <c r="C112" s="657"/>
      <c r="D112" s="658"/>
      <c r="E112" s="658"/>
      <c r="F112" s="659"/>
      <c r="G112" s="453" t="s">
        <v>234</v>
      </c>
      <c r="H112" s="660" t="s">
        <v>259</v>
      </c>
      <c r="I112" s="432"/>
      <c r="J112" s="21"/>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28"/>
      <c r="DQ112" s="28"/>
      <c r="DR112" s="28"/>
      <c r="DS112" s="28"/>
      <c r="DT112" s="28"/>
      <c r="DU112" s="28"/>
      <c r="DV112" s="28"/>
      <c r="DW112" s="28"/>
      <c r="DX112" s="28"/>
      <c r="DY112" s="28"/>
      <c r="DZ112" s="28"/>
      <c r="EA112" s="28"/>
      <c r="EB112" s="28"/>
      <c r="EC112" s="28"/>
      <c r="ED112" s="28"/>
      <c r="EE112" s="28"/>
      <c r="EF112" s="28"/>
      <c r="EG112" s="28"/>
      <c r="EH112" s="28"/>
      <c r="EI112" s="28"/>
      <c r="EJ112" s="28"/>
      <c r="EK112" s="28"/>
      <c r="EL112" s="28"/>
      <c r="EM112" s="28"/>
      <c r="EN112" s="28"/>
      <c r="EO112" s="28"/>
      <c r="EP112" s="28"/>
      <c r="EQ112" s="28"/>
      <c r="ER112" s="28"/>
      <c r="ES112" s="28"/>
      <c r="ET112" s="28"/>
      <c r="EU112" s="28"/>
      <c r="EV112" s="28"/>
      <c r="EW112" s="28"/>
      <c r="EX112" s="28"/>
      <c r="EY112" s="28"/>
      <c r="EZ112" s="28"/>
      <c r="FA112" s="28"/>
      <c r="AIQ112" s="28"/>
      <c r="AIR112" s="28"/>
      <c r="AIS112" s="28"/>
      <c r="AIT112" s="28"/>
      <c r="AIU112" s="28"/>
      <c r="AIV112" s="28"/>
      <c r="AIW112" s="28"/>
      <c r="AIX112" s="28"/>
      <c r="AIY112" s="28"/>
      <c r="AIZ112" s="28"/>
      <c r="AJA112" s="28"/>
      <c r="AJB112" s="28"/>
      <c r="AJC112" s="28"/>
      <c r="AJD112" s="28"/>
      <c r="AJE112" s="28"/>
      <c r="AJF112" s="28"/>
      <c r="AJG112" s="28"/>
      <c r="AJH112" s="28"/>
      <c r="AJI112" s="28"/>
      <c r="AJJ112" s="28"/>
      <c r="AJK112" s="28"/>
      <c r="AJL112" s="28"/>
      <c r="AJM112" s="28"/>
      <c r="AJN112" s="28"/>
      <c r="AJO112" s="28"/>
      <c r="AJP112" s="28"/>
      <c r="AJQ112" s="28"/>
      <c r="AJR112" s="28"/>
      <c r="AJS112" s="28"/>
      <c r="AJT112" s="28"/>
      <c r="AJU112" s="28"/>
      <c r="AJV112" s="28"/>
      <c r="AJW112" s="28"/>
      <c r="AJX112" s="28"/>
      <c r="AJY112" s="28"/>
      <c r="AJZ112" s="28"/>
      <c r="AKA112" s="28"/>
      <c r="AKB112" s="28"/>
      <c r="AKC112" s="28"/>
      <c r="AKD112" s="28"/>
      <c r="AKE112" s="28"/>
      <c r="AKF112" s="28"/>
      <c r="AKG112" s="28"/>
      <c r="AKH112" s="28"/>
      <c r="AKI112" s="28"/>
      <c r="AKJ112" s="28"/>
      <c r="AKK112" s="28"/>
      <c r="AKL112" s="28"/>
      <c r="AKM112" s="28"/>
      <c r="AKN112" s="28"/>
      <c r="AKO112" s="28"/>
      <c r="AKP112" s="28"/>
      <c r="AKQ112" s="28"/>
      <c r="AKR112" s="28"/>
      <c r="AKS112" s="28"/>
      <c r="AKT112" s="28"/>
      <c r="AKU112" s="28"/>
      <c r="AKV112" s="28"/>
      <c r="AKW112" s="28"/>
      <c r="AKX112" s="28"/>
      <c r="AKY112" s="28"/>
      <c r="AKZ112" s="28"/>
      <c r="ALA112" s="28"/>
      <c r="ALB112" s="28"/>
      <c r="ALC112" s="28"/>
      <c r="ALD112" s="28"/>
      <c r="ALE112" s="28"/>
      <c r="ALF112" s="28"/>
      <c r="ALG112" s="28"/>
      <c r="ALH112" s="28"/>
      <c r="ALI112" s="28"/>
      <c r="ALJ112" s="28"/>
      <c r="ALK112" s="28"/>
      <c r="ALL112" s="28"/>
      <c r="ALM112" s="28"/>
      <c r="ALN112" s="28"/>
      <c r="ALO112" s="28"/>
      <c r="ALP112" s="28"/>
      <c r="ALQ112" s="28"/>
      <c r="ALR112" s="28"/>
      <c r="ALS112" s="28"/>
      <c r="ALT112" s="28"/>
      <c r="ALU112" s="28"/>
      <c r="ALV112" s="28"/>
      <c r="ALW112" s="28"/>
      <c r="ALX112" s="28"/>
      <c r="ALY112" s="28"/>
      <c r="ALZ112" s="28"/>
      <c r="AMA112" s="28"/>
      <c r="AMB112" s="28"/>
      <c r="AMC112" s="28"/>
      <c r="AMD112" s="28"/>
      <c r="AME112" s="28"/>
      <c r="AMF112" s="28"/>
      <c r="AMG112" s="28"/>
      <c r="AMH112" s="28"/>
      <c r="AMI112" s="28"/>
      <c r="AMJ112" s="28"/>
    </row>
    <row r="113" spans="1:1024" s="29" customFormat="1" ht="15.75" customHeight="1" x14ac:dyDescent="0.3">
      <c r="A113" s="600"/>
      <c r="B113" s="644" t="s">
        <v>367</v>
      </c>
      <c r="C113" s="657"/>
      <c r="D113" s="658"/>
      <c r="E113" s="658"/>
      <c r="F113" s="659"/>
      <c r="G113" s="453" t="s">
        <v>234</v>
      </c>
      <c r="H113" s="660" t="s">
        <v>259</v>
      </c>
      <c r="I113" s="432"/>
      <c r="J113" s="21"/>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28"/>
      <c r="DQ113" s="28"/>
      <c r="DR113" s="28"/>
      <c r="DS113" s="28"/>
      <c r="DT113" s="28"/>
      <c r="DU113" s="28"/>
      <c r="DV113" s="28"/>
      <c r="DW113" s="28"/>
      <c r="DX113" s="28"/>
      <c r="DY113" s="28"/>
      <c r="DZ113" s="28"/>
      <c r="EA113" s="28"/>
      <c r="EB113" s="28"/>
      <c r="EC113" s="28"/>
      <c r="ED113" s="28"/>
      <c r="EE113" s="28"/>
      <c r="EF113" s="28"/>
      <c r="EG113" s="28"/>
      <c r="EH113" s="28"/>
      <c r="EI113" s="28"/>
      <c r="EJ113" s="28"/>
      <c r="EK113" s="28"/>
      <c r="EL113" s="28"/>
      <c r="EM113" s="28"/>
      <c r="EN113" s="28"/>
      <c r="EO113" s="28"/>
      <c r="EP113" s="28"/>
      <c r="EQ113" s="28"/>
      <c r="ER113" s="28"/>
      <c r="ES113" s="28"/>
      <c r="ET113" s="28"/>
      <c r="EU113" s="28"/>
      <c r="EV113" s="28"/>
      <c r="EW113" s="28"/>
      <c r="EX113" s="28"/>
      <c r="EY113" s="28"/>
      <c r="EZ113" s="28"/>
      <c r="FA113" s="28"/>
      <c r="AIQ113" s="28"/>
      <c r="AIR113" s="28"/>
      <c r="AIS113" s="28"/>
      <c r="AIT113" s="28"/>
      <c r="AIU113" s="28"/>
      <c r="AIV113" s="28"/>
      <c r="AIW113" s="28"/>
      <c r="AIX113" s="28"/>
      <c r="AIY113" s="28"/>
      <c r="AIZ113" s="28"/>
      <c r="AJA113" s="28"/>
      <c r="AJB113" s="28"/>
      <c r="AJC113" s="28"/>
      <c r="AJD113" s="28"/>
      <c r="AJE113" s="28"/>
      <c r="AJF113" s="28"/>
      <c r="AJG113" s="28"/>
      <c r="AJH113" s="28"/>
      <c r="AJI113" s="28"/>
      <c r="AJJ113" s="28"/>
      <c r="AJK113" s="28"/>
      <c r="AJL113" s="28"/>
      <c r="AJM113" s="28"/>
      <c r="AJN113" s="28"/>
      <c r="AJO113" s="28"/>
      <c r="AJP113" s="28"/>
      <c r="AJQ113" s="28"/>
      <c r="AJR113" s="28"/>
      <c r="AJS113" s="28"/>
      <c r="AJT113" s="28"/>
      <c r="AJU113" s="28"/>
      <c r="AJV113" s="28"/>
      <c r="AJW113" s="28"/>
      <c r="AJX113" s="28"/>
      <c r="AJY113" s="28"/>
      <c r="AJZ113" s="28"/>
      <c r="AKA113" s="28"/>
      <c r="AKB113" s="28"/>
      <c r="AKC113" s="28"/>
      <c r="AKD113" s="28"/>
      <c r="AKE113" s="28"/>
      <c r="AKF113" s="28"/>
      <c r="AKG113" s="28"/>
      <c r="AKH113" s="28"/>
      <c r="AKI113" s="28"/>
      <c r="AKJ113" s="28"/>
      <c r="AKK113" s="28"/>
      <c r="AKL113" s="28"/>
      <c r="AKM113" s="28"/>
      <c r="AKN113" s="28"/>
      <c r="AKO113" s="28"/>
      <c r="AKP113" s="28"/>
      <c r="AKQ113" s="28"/>
      <c r="AKR113" s="28"/>
      <c r="AKS113" s="28"/>
      <c r="AKT113" s="28"/>
      <c r="AKU113" s="28"/>
      <c r="AKV113" s="28"/>
      <c r="AKW113" s="28"/>
      <c r="AKX113" s="28"/>
      <c r="AKY113" s="28"/>
      <c r="AKZ113" s="28"/>
      <c r="ALA113" s="28"/>
      <c r="ALB113" s="28"/>
      <c r="ALC113" s="28"/>
      <c r="ALD113" s="28"/>
      <c r="ALE113" s="28"/>
      <c r="ALF113" s="28"/>
      <c r="ALG113" s="28"/>
      <c r="ALH113" s="28"/>
      <c r="ALI113" s="28"/>
      <c r="ALJ113" s="28"/>
      <c r="ALK113" s="28"/>
      <c r="ALL113" s="28"/>
      <c r="ALM113" s="28"/>
      <c r="ALN113" s="28"/>
      <c r="ALO113" s="28"/>
      <c r="ALP113" s="28"/>
      <c r="ALQ113" s="28"/>
      <c r="ALR113" s="28"/>
      <c r="ALS113" s="28"/>
      <c r="ALT113" s="28"/>
      <c r="ALU113" s="28"/>
      <c r="ALV113" s="28"/>
      <c r="ALW113" s="28"/>
      <c r="ALX113" s="28"/>
      <c r="ALY113" s="28"/>
      <c r="ALZ113" s="28"/>
      <c r="AMA113" s="28"/>
      <c r="AMB113" s="28"/>
      <c r="AMC113" s="28"/>
      <c r="AMD113" s="28"/>
      <c r="AME113" s="28"/>
      <c r="AMF113" s="28"/>
      <c r="AMG113" s="28"/>
      <c r="AMH113" s="28"/>
      <c r="AMI113" s="28"/>
      <c r="AMJ113" s="28"/>
    </row>
    <row r="114" spans="1:1024" s="29" customFormat="1" ht="15.75" customHeight="1" x14ac:dyDescent="0.3">
      <c r="A114" s="600"/>
      <c r="B114" s="644" t="s">
        <v>368</v>
      </c>
      <c r="C114" s="661"/>
      <c r="D114" s="658"/>
      <c r="E114" s="658"/>
      <c r="F114" s="659"/>
      <c r="G114" s="453" t="s">
        <v>234</v>
      </c>
      <c r="H114" s="660" t="s">
        <v>259</v>
      </c>
      <c r="I114" s="432"/>
      <c r="J114" s="21"/>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28"/>
      <c r="DQ114" s="28"/>
      <c r="DR114" s="28"/>
      <c r="DS114" s="28"/>
      <c r="DT114" s="28"/>
      <c r="DU114" s="28"/>
      <c r="DV114" s="28"/>
      <c r="DW114" s="28"/>
      <c r="DX114" s="28"/>
      <c r="DY114" s="28"/>
      <c r="DZ114" s="28"/>
      <c r="EA114" s="28"/>
      <c r="EB114" s="28"/>
      <c r="EC114" s="28"/>
      <c r="ED114" s="28"/>
      <c r="EE114" s="28"/>
      <c r="EF114" s="28"/>
      <c r="EG114" s="28"/>
      <c r="EH114" s="28"/>
      <c r="EI114" s="28"/>
      <c r="EJ114" s="28"/>
      <c r="EK114" s="28"/>
      <c r="EL114" s="28"/>
      <c r="EM114" s="28"/>
      <c r="EN114" s="28"/>
      <c r="EO114" s="28"/>
      <c r="EP114" s="28"/>
      <c r="EQ114" s="28"/>
      <c r="ER114" s="28"/>
      <c r="ES114" s="28"/>
      <c r="ET114" s="28"/>
      <c r="EU114" s="28"/>
      <c r="EV114" s="28"/>
      <c r="EW114" s="28"/>
      <c r="EX114" s="28"/>
      <c r="EY114" s="28"/>
      <c r="EZ114" s="28"/>
      <c r="FA114" s="28"/>
      <c r="AIQ114" s="28"/>
      <c r="AIR114" s="28"/>
      <c r="AIS114" s="28"/>
      <c r="AIT114" s="28"/>
      <c r="AIU114" s="28"/>
      <c r="AIV114" s="28"/>
      <c r="AIW114" s="28"/>
      <c r="AIX114" s="28"/>
      <c r="AIY114" s="28"/>
      <c r="AIZ114" s="28"/>
      <c r="AJA114" s="28"/>
      <c r="AJB114" s="28"/>
      <c r="AJC114" s="28"/>
      <c r="AJD114" s="28"/>
      <c r="AJE114" s="28"/>
      <c r="AJF114" s="28"/>
      <c r="AJG114" s="28"/>
      <c r="AJH114" s="28"/>
      <c r="AJI114" s="28"/>
      <c r="AJJ114" s="28"/>
      <c r="AJK114" s="28"/>
      <c r="AJL114" s="28"/>
      <c r="AJM114" s="28"/>
      <c r="AJN114" s="28"/>
      <c r="AJO114" s="28"/>
      <c r="AJP114" s="28"/>
      <c r="AJQ114" s="28"/>
      <c r="AJR114" s="28"/>
      <c r="AJS114" s="28"/>
      <c r="AJT114" s="28"/>
      <c r="AJU114" s="28"/>
      <c r="AJV114" s="28"/>
      <c r="AJW114" s="28"/>
      <c r="AJX114" s="28"/>
      <c r="AJY114" s="28"/>
      <c r="AJZ114" s="28"/>
      <c r="AKA114" s="28"/>
      <c r="AKB114" s="28"/>
      <c r="AKC114" s="28"/>
      <c r="AKD114" s="28"/>
      <c r="AKE114" s="28"/>
      <c r="AKF114" s="28"/>
      <c r="AKG114" s="28"/>
      <c r="AKH114" s="28"/>
      <c r="AKI114" s="28"/>
      <c r="AKJ114" s="28"/>
      <c r="AKK114" s="28"/>
      <c r="AKL114" s="28"/>
      <c r="AKM114" s="28"/>
      <c r="AKN114" s="28"/>
      <c r="AKO114" s="28"/>
      <c r="AKP114" s="28"/>
      <c r="AKQ114" s="28"/>
      <c r="AKR114" s="28"/>
      <c r="AKS114" s="28"/>
      <c r="AKT114" s="28"/>
      <c r="AKU114" s="28"/>
      <c r="AKV114" s="28"/>
      <c r="AKW114" s="28"/>
      <c r="AKX114" s="28"/>
      <c r="AKY114" s="28"/>
      <c r="AKZ114" s="28"/>
      <c r="ALA114" s="28"/>
      <c r="ALB114" s="28"/>
      <c r="ALC114" s="28"/>
      <c r="ALD114" s="28"/>
      <c r="ALE114" s="28"/>
      <c r="ALF114" s="28"/>
      <c r="ALG114" s="28"/>
      <c r="ALH114" s="28"/>
      <c r="ALI114" s="28"/>
      <c r="ALJ114" s="28"/>
      <c r="ALK114" s="28"/>
      <c r="ALL114" s="28"/>
      <c r="ALM114" s="28"/>
      <c r="ALN114" s="28"/>
      <c r="ALO114" s="28"/>
      <c r="ALP114" s="28"/>
      <c r="ALQ114" s="28"/>
      <c r="ALR114" s="28"/>
      <c r="ALS114" s="28"/>
      <c r="ALT114" s="28"/>
      <c r="ALU114" s="28"/>
      <c r="ALV114" s="28"/>
      <c r="ALW114" s="28"/>
      <c r="ALX114" s="28"/>
      <c r="ALY114" s="28"/>
      <c r="ALZ114" s="28"/>
      <c r="AMA114" s="28"/>
      <c r="AMB114" s="28"/>
      <c r="AMC114" s="28"/>
      <c r="AMD114" s="28"/>
      <c r="AME114" s="28"/>
      <c r="AMF114" s="28"/>
      <c r="AMG114" s="28"/>
      <c r="AMH114" s="28"/>
      <c r="AMI114" s="28"/>
      <c r="AMJ114" s="28"/>
    </row>
    <row r="115" spans="1:1024" s="29" customFormat="1" ht="15.75" customHeight="1" x14ac:dyDescent="0.3">
      <c r="A115" s="600"/>
      <c r="B115" s="662" t="s">
        <v>369</v>
      </c>
      <c r="C115" s="661"/>
      <c r="D115" s="658"/>
      <c r="E115" s="658"/>
      <c r="F115" s="659"/>
      <c r="G115" s="453" t="s">
        <v>234</v>
      </c>
      <c r="H115" s="660" t="s">
        <v>259</v>
      </c>
      <c r="I115" s="432"/>
      <c r="J115" s="21"/>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28"/>
      <c r="DQ115" s="28"/>
      <c r="DR115" s="28"/>
      <c r="DS115" s="28"/>
      <c r="DT115" s="28"/>
      <c r="DU115" s="28"/>
      <c r="DV115" s="28"/>
      <c r="DW115" s="28"/>
      <c r="DX115" s="28"/>
      <c r="DY115" s="28"/>
      <c r="DZ115" s="28"/>
      <c r="EA115" s="28"/>
      <c r="EB115" s="28"/>
      <c r="EC115" s="28"/>
      <c r="ED115" s="28"/>
      <c r="EE115" s="28"/>
      <c r="EF115" s="28"/>
      <c r="EG115" s="28"/>
      <c r="EH115" s="28"/>
      <c r="EI115" s="28"/>
      <c r="EJ115" s="28"/>
      <c r="EK115" s="28"/>
      <c r="EL115" s="28"/>
      <c r="EM115" s="28"/>
      <c r="EN115" s="28"/>
      <c r="EO115" s="28"/>
      <c r="EP115" s="28"/>
      <c r="EQ115" s="28"/>
      <c r="ER115" s="28"/>
      <c r="ES115" s="28"/>
      <c r="ET115" s="28"/>
      <c r="EU115" s="28"/>
      <c r="EV115" s="28"/>
      <c r="EW115" s="28"/>
      <c r="EX115" s="28"/>
      <c r="EY115" s="28"/>
      <c r="EZ115" s="28"/>
      <c r="FA115" s="28"/>
      <c r="AIQ115" s="28"/>
      <c r="AIR115" s="28"/>
      <c r="AIS115" s="28"/>
      <c r="AIT115" s="28"/>
      <c r="AIU115" s="28"/>
      <c r="AIV115" s="28"/>
      <c r="AIW115" s="28"/>
      <c r="AIX115" s="28"/>
      <c r="AIY115" s="28"/>
      <c r="AIZ115" s="28"/>
      <c r="AJA115" s="28"/>
      <c r="AJB115" s="28"/>
      <c r="AJC115" s="28"/>
      <c r="AJD115" s="28"/>
      <c r="AJE115" s="28"/>
      <c r="AJF115" s="28"/>
      <c r="AJG115" s="28"/>
      <c r="AJH115" s="28"/>
      <c r="AJI115" s="28"/>
      <c r="AJJ115" s="28"/>
      <c r="AJK115" s="28"/>
      <c r="AJL115" s="28"/>
      <c r="AJM115" s="28"/>
      <c r="AJN115" s="28"/>
      <c r="AJO115" s="28"/>
      <c r="AJP115" s="28"/>
      <c r="AJQ115" s="28"/>
      <c r="AJR115" s="28"/>
      <c r="AJS115" s="28"/>
      <c r="AJT115" s="28"/>
      <c r="AJU115" s="28"/>
      <c r="AJV115" s="28"/>
      <c r="AJW115" s="28"/>
      <c r="AJX115" s="28"/>
      <c r="AJY115" s="28"/>
      <c r="AJZ115" s="28"/>
      <c r="AKA115" s="28"/>
      <c r="AKB115" s="28"/>
      <c r="AKC115" s="28"/>
      <c r="AKD115" s="28"/>
      <c r="AKE115" s="28"/>
      <c r="AKF115" s="28"/>
      <c r="AKG115" s="28"/>
      <c r="AKH115" s="28"/>
      <c r="AKI115" s="28"/>
      <c r="AKJ115" s="28"/>
      <c r="AKK115" s="28"/>
      <c r="AKL115" s="28"/>
      <c r="AKM115" s="28"/>
      <c r="AKN115" s="28"/>
      <c r="AKO115" s="28"/>
      <c r="AKP115" s="28"/>
      <c r="AKQ115" s="28"/>
      <c r="AKR115" s="28"/>
      <c r="AKS115" s="28"/>
      <c r="AKT115" s="28"/>
      <c r="AKU115" s="28"/>
      <c r="AKV115" s="28"/>
      <c r="AKW115" s="28"/>
      <c r="AKX115" s="28"/>
      <c r="AKY115" s="28"/>
      <c r="AKZ115" s="28"/>
      <c r="ALA115" s="28"/>
      <c r="ALB115" s="28"/>
      <c r="ALC115" s="28"/>
      <c r="ALD115" s="28"/>
      <c r="ALE115" s="28"/>
      <c r="ALF115" s="28"/>
      <c r="ALG115" s="28"/>
      <c r="ALH115" s="28"/>
      <c r="ALI115" s="28"/>
      <c r="ALJ115" s="28"/>
      <c r="ALK115" s="28"/>
      <c r="ALL115" s="28"/>
      <c r="ALM115" s="28"/>
      <c r="ALN115" s="28"/>
      <c r="ALO115" s="28"/>
      <c r="ALP115" s="28"/>
      <c r="ALQ115" s="28"/>
      <c r="ALR115" s="28"/>
      <c r="ALS115" s="28"/>
      <c r="ALT115" s="28"/>
      <c r="ALU115" s="28"/>
      <c r="ALV115" s="28"/>
      <c r="ALW115" s="28"/>
      <c r="ALX115" s="28"/>
      <c r="ALY115" s="28"/>
      <c r="ALZ115" s="28"/>
      <c r="AMA115" s="28"/>
      <c r="AMB115" s="28"/>
      <c r="AMC115" s="28"/>
      <c r="AMD115" s="28"/>
      <c r="AME115" s="28"/>
      <c r="AMF115" s="28"/>
      <c r="AMG115" s="28"/>
      <c r="AMH115" s="28"/>
      <c r="AMI115" s="28"/>
      <c r="AMJ115" s="28"/>
    </row>
    <row r="116" spans="1:1024" s="29" customFormat="1" ht="15.75" customHeight="1" x14ac:dyDescent="0.3">
      <c r="A116" s="600"/>
      <c r="B116" s="662" t="s">
        <v>370</v>
      </c>
      <c r="C116" s="661"/>
      <c r="D116" s="658"/>
      <c r="E116" s="658"/>
      <c r="F116" s="659"/>
      <c r="G116" s="453" t="s">
        <v>234</v>
      </c>
      <c r="H116" s="660" t="s">
        <v>259</v>
      </c>
      <c r="I116" s="432"/>
      <c r="J116" s="21"/>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28"/>
      <c r="DQ116" s="28"/>
      <c r="DR116" s="28"/>
      <c r="DS116" s="28"/>
      <c r="DT116" s="28"/>
      <c r="DU116" s="28"/>
      <c r="DV116" s="28"/>
      <c r="DW116" s="28"/>
      <c r="DX116" s="28"/>
      <c r="DY116" s="28"/>
      <c r="DZ116" s="28"/>
      <c r="EA116" s="28"/>
      <c r="EB116" s="28"/>
      <c r="EC116" s="28"/>
      <c r="ED116" s="28"/>
      <c r="EE116" s="28"/>
      <c r="EF116" s="28"/>
      <c r="EG116" s="28"/>
      <c r="EH116" s="28"/>
      <c r="EI116" s="28"/>
      <c r="EJ116" s="28"/>
      <c r="EK116" s="28"/>
      <c r="EL116" s="28"/>
      <c r="EM116" s="28"/>
      <c r="EN116" s="28"/>
      <c r="EO116" s="28"/>
      <c r="EP116" s="28"/>
      <c r="EQ116" s="28"/>
      <c r="ER116" s="28"/>
      <c r="ES116" s="28"/>
      <c r="ET116" s="28"/>
      <c r="EU116" s="28"/>
      <c r="EV116" s="28"/>
      <c r="EW116" s="28"/>
      <c r="EX116" s="28"/>
      <c r="EY116" s="28"/>
      <c r="EZ116" s="28"/>
      <c r="FA116" s="28"/>
      <c r="AIQ116" s="28"/>
      <c r="AIR116" s="28"/>
      <c r="AIS116" s="28"/>
      <c r="AIT116" s="28"/>
      <c r="AIU116" s="28"/>
      <c r="AIV116" s="28"/>
      <c r="AIW116" s="28"/>
      <c r="AIX116" s="28"/>
      <c r="AIY116" s="28"/>
      <c r="AIZ116" s="28"/>
      <c r="AJA116" s="28"/>
      <c r="AJB116" s="28"/>
      <c r="AJC116" s="28"/>
      <c r="AJD116" s="28"/>
      <c r="AJE116" s="28"/>
      <c r="AJF116" s="28"/>
      <c r="AJG116" s="28"/>
      <c r="AJH116" s="28"/>
      <c r="AJI116" s="28"/>
      <c r="AJJ116" s="28"/>
      <c r="AJK116" s="28"/>
      <c r="AJL116" s="28"/>
      <c r="AJM116" s="28"/>
      <c r="AJN116" s="28"/>
      <c r="AJO116" s="28"/>
      <c r="AJP116" s="28"/>
      <c r="AJQ116" s="28"/>
      <c r="AJR116" s="28"/>
      <c r="AJS116" s="28"/>
      <c r="AJT116" s="28"/>
      <c r="AJU116" s="28"/>
      <c r="AJV116" s="28"/>
      <c r="AJW116" s="28"/>
      <c r="AJX116" s="28"/>
      <c r="AJY116" s="28"/>
      <c r="AJZ116" s="28"/>
      <c r="AKA116" s="28"/>
      <c r="AKB116" s="28"/>
      <c r="AKC116" s="28"/>
      <c r="AKD116" s="28"/>
      <c r="AKE116" s="28"/>
      <c r="AKF116" s="28"/>
      <c r="AKG116" s="28"/>
      <c r="AKH116" s="28"/>
      <c r="AKI116" s="28"/>
      <c r="AKJ116" s="28"/>
      <c r="AKK116" s="28"/>
      <c r="AKL116" s="28"/>
      <c r="AKM116" s="28"/>
      <c r="AKN116" s="28"/>
      <c r="AKO116" s="28"/>
      <c r="AKP116" s="28"/>
      <c r="AKQ116" s="28"/>
      <c r="AKR116" s="28"/>
      <c r="AKS116" s="28"/>
      <c r="AKT116" s="28"/>
      <c r="AKU116" s="28"/>
      <c r="AKV116" s="28"/>
      <c r="AKW116" s="28"/>
      <c r="AKX116" s="28"/>
      <c r="AKY116" s="28"/>
      <c r="AKZ116" s="28"/>
      <c r="ALA116" s="28"/>
      <c r="ALB116" s="28"/>
      <c r="ALC116" s="28"/>
      <c r="ALD116" s="28"/>
      <c r="ALE116" s="28"/>
      <c r="ALF116" s="28"/>
      <c r="ALG116" s="28"/>
      <c r="ALH116" s="28"/>
      <c r="ALI116" s="28"/>
      <c r="ALJ116" s="28"/>
      <c r="ALK116" s="28"/>
      <c r="ALL116" s="28"/>
      <c r="ALM116" s="28"/>
      <c r="ALN116" s="28"/>
      <c r="ALO116" s="28"/>
      <c r="ALP116" s="28"/>
      <c r="ALQ116" s="28"/>
      <c r="ALR116" s="28"/>
      <c r="ALS116" s="28"/>
      <c r="ALT116" s="28"/>
      <c r="ALU116" s="28"/>
      <c r="ALV116" s="28"/>
      <c r="ALW116" s="28"/>
      <c r="ALX116" s="28"/>
      <c r="ALY116" s="28"/>
      <c r="ALZ116" s="28"/>
      <c r="AMA116" s="28"/>
      <c r="AMB116" s="28"/>
      <c r="AMC116" s="28"/>
      <c r="AMD116" s="28"/>
      <c r="AME116" s="28"/>
      <c r="AMF116" s="28"/>
      <c r="AMG116" s="28"/>
      <c r="AMH116" s="28"/>
      <c r="AMI116" s="28"/>
      <c r="AMJ116" s="28"/>
    </row>
    <row r="117" spans="1:1024" s="29" customFormat="1" ht="15.75" customHeight="1" x14ac:dyDescent="0.3">
      <c r="A117" s="600"/>
      <c r="B117" s="662" t="s">
        <v>371</v>
      </c>
      <c r="C117" s="661"/>
      <c r="D117" s="658"/>
      <c r="E117" s="658"/>
      <c r="F117" s="659"/>
      <c r="G117" s="453" t="s">
        <v>234</v>
      </c>
      <c r="H117" s="660" t="s">
        <v>259</v>
      </c>
      <c r="I117" s="432"/>
      <c r="J117" s="21"/>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28"/>
      <c r="DQ117" s="28"/>
      <c r="DR117" s="28"/>
      <c r="DS117" s="28"/>
      <c r="DT117" s="28"/>
      <c r="DU117" s="28"/>
      <c r="DV117" s="28"/>
      <c r="DW117" s="28"/>
      <c r="DX117" s="28"/>
      <c r="DY117" s="28"/>
      <c r="DZ117" s="28"/>
      <c r="EA117" s="28"/>
      <c r="EB117" s="28"/>
      <c r="EC117" s="28"/>
      <c r="ED117" s="28"/>
      <c r="EE117" s="28"/>
      <c r="EF117" s="28"/>
      <c r="EG117" s="28"/>
      <c r="EH117" s="28"/>
      <c r="EI117" s="28"/>
      <c r="EJ117" s="28"/>
      <c r="EK117" s="28"/>
      <c r="EL117" s="28"/>
      <c r="EM117" s="28"/>
      <c r="EN117" s="28"/>
      <c r="EO117" s="28"/>
      <c r="EP117" s="28"/>
      <c r="EQ117" s="28"/>
      <c r="ER117" s="28"/>
      <c r="ES117" s="28"/>
      <c r="ET117" s="28"/>
      <c r="EU117" s="28"/>
      <c r="EV117" s="28"/>
      <c r="EW117" s="28"/>
      <c r="EX117" s="28"/>
      <c r="EY117" s="28"/>
      <c r="EZ117" s="28"/>
      <c r="FA117" s="28"/>
      <c r="AIQ117" s="28"/>
      <c r="AIR117" s="28"/>
      <c r="AIS117" s="28"/>
      <c r="AIT117" s="28"/>
      <c r="AIU117" s="28"/>
      <c r="AIV117" s="28"/>
      <c r="AIW117" s="28"/>
      <c r="AIX117" s="28"/>
      <c r="AIY117" s="28"/>
      <c r="AIZ117" s="28"/>
      <c r="AJA117" s="28"/>
      <c r="AJB117" s="28"/>
      <c r="AJC117" s="28"/>
      <c r="AJD117" s="28"/>
      <c r="AJE117" s="28"/>
      <c r="AJF117" s="28"/>
      <c r="AJG117" s="28"/>
      <c r="AJH117" s="28"/>
      <c r="AJI117" s="28"/>
      <c r="AJJ117" s="28"/>
      <c r="AJK117" s="28"/>
      <c r="AJL117" s="28"/>
      <c r="AJM117" s="28"/>
      <c r="AJN117" s="28"/>
      <c r="AJO117" s="28"/>
      <c r="AJP117" s="28"/>
      <c r="AJQ117" s="28"/>
      <c r="AJR117" s="28"/>
      <c r="AJS117" s="28"/>
      <c r="AJT117" s="28"/>
      <c r="AJU117" s="28"/>
      <c r="AJV117" s="28"/>
      <c r="AJW117" s="28"/>
      <c r="AJX117" s="28"/>
      <c r="AJY117" s="28"/>
      <c r="AJZ117" s="28"/>
      <c r="AKA117" s="28"/>
      <c r="AKB117" s="28"/>
      <c r="AKC117" s="28"/>
      <c r="AKD117" s="28"/>
      <c r="AKE117" s="28"/>
      <c r="AKF117" s="28"/>
      <c r="AKG117" s="28"/>
      <c r="AKH117" s="28"/>
      <c r="AKI117" s="28"/>
      <c r="AKJ117" s="28"/>
      <c r="AKK117" s="28"/>
      <c r="AKL117" s="28"/>
      <c r="AKM117" s="28"/>
      <c r="AKN117" s="28"/>
      <c r="AKO117" s="28"/>
      <c r="AKP117" s="28"/>
      <c r="AKQ117" s="28"/>
      <c r="AKR117" s="28"/>
      <c r="AKS117" s="28"/>
      <c r="AKT117" s="28"/>
      <c r="AKU117" s="28"/>
      <c r="AKV117" s="28"/>
      <c r="AKW117" s="28"/>
      <c r="AKX117" s="28"/>
      <c r="AKY117" s="28"/>
      <c r="AKZ117" s="28"/>
      <c r="ALA117" s="28"/>
      <c r="ALB117" s="28"/>
      <c r="ALC117" s="28"/>
      <c r="ALD117" s="28"/>
      <c r="ALE117" s="28"/>
      <c r="ALF117" s="28"/>
      <c r="ALG117" s="28"/>
      <c r="ALH117" s="28"/>
      <c r="ALI117" s="28"/>
      <c r="ALJ117" s="28"/>
      <c r="ALK117" s="28"/>
      <c r="ALL117" s="28"/>
      <c r="ALM117" s="28"/>
      <c r="ALN117" s="28"/>
      <c r="ALO117" s="28"/>
      <c r="ALP117" s="28"/>
      <c r="ALQ117" s="28"/>
      <c r="ALR117" s="28"/>
      <c r="ALS117" s="28"/>
      <c r="ALT117" s="28"/>
      <c r="ALU117" s="28"/>
      <c r="ALV117" s="28"/>
      <c r="ALW117" s="28"/>
      <c r="ALX117" s="28"/>
      <c r="ALY117" s="28"/>
      <c r="ALZ117" s="28"/>
      <c r="AMA117" s="28"/>
      <c r="AMB117" s="28"/>
      <c r="AMC117" s="28"/>
      <c r="AMD117" s="28"/>
      <c r="AME117" s="28"/>
      <c r="AMF117" s="28"/>
      <c r="AMG117" s="28"/>
      <c r="AMH117" s="28"/>
      <c r="AMI117" s="28"/>
      <c r="AMJ117" s="28"/>
    </row>
    <row r="118" spans="1:1024" s="29" customFormat="1" ht="15.75" customHeight="1" x14ac:dyDescent="0.3">
      <c r="A118" s="600"/>
      <c r="B118" s="662" t="s">
        <v>372</v>
      </c>
      <c r="C118" s="661"/>
      <c r="D118" s="658"/>
      <c r="E118" s="658"/>
      <c r="F118" s="659"/>
      <c r="G118" s="453" t="s">
        <v>234</v>
      </c>
      <c r="H118" s="660" t="s">
        <v>259</v>
      </c>
      <c r="I118" s="432"/>
      <c r="J118" s="21"/>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28"/>
      <c r="DQ118" s="28"/>
      <c r="DR118" s="28"/>
      <c r="DS118" s="28"/>
      <c r="DT118" s="28"/>
      <c r="DU118" s="28"/>
      <c r="DV118" s="28"/>
      <c r="DW118" s="28"/>
      <c r="DX118" s="28"/>
      <c r="DY118" s="28"/>
      <c r="DZ118" s="28"/>
      <c r="EA118" s="28"/>
      <c r="EB118" s="28"/>
      <c r="EC118" s="28"/>
      <c r="ED118" s="28"/>
      <c r="EE118" s="28"/>
      <c r="EF118" s="28"/>
      <c r="EG118" s="28"/>
      <c r="EH118" s="28"/>
      <c r="EI118" s="28"/>
      <c r="EJ118" s="28"/>
      <c r="EK118" s="28"/>
      <c r="EL118" s="28"/>
      <c r="EM118" s="28"/>
      <c r="EN118" s="28"/>
      <c r="EO118" s="28"/>
      <c r="EP118" s="28"/>
      <c r="EQ118" s="28"/>
      <c r="ER118" s="28"/>
      <c r="ES118" s="28"/>
      <c r="ET118" s="28"/>
      <c r="EU118" s="28"/>
      <c r="EV118" s="28"/>
      <c r="EW118" s="28"/>
      <c r="EX118" s="28"/>
      <c r="EY118" s="28"/>
      <c r="EZ118" s="28"/>
      <c r="FA118" s="28"/>
      <c r="AIQ118" s="28"/>
      <c r="AIR118" s="28"/>
      <c r="AIS118" s="28"/>
      <c r="AIT118" s="28"/>
      <c r="AIU118" s="28"/>
      <c r="AIV118" s="28"/>
      <c r="AIW118" s="28"/>
      <c r="AIX118" s="28"/>
      <c r="AIY118" s="28"/>
      <c r="AIZ118" s="28"/>
      <c r="AJA118" s="28"/>
      <c r="AJB118" s="28"/>
      <c r="AJC118" s="28"/>
      <c r="AJD118" s="28"/>
      <c r="AJE118" s="28"/>
      <c r="AJF118" s="28"/>
      <c r="AJG118" s="28"/>
      <c r="AJH118" s="28"/>
      <c r="AJI118" s="28"/>
      <c r="AJJ118" s="28"/>
      <c r="AJK118" s="28"/>
      <c r="AJL118" s="28"/>
      <c r="AJM118" s="28"/>
      <c r="AJN118" s="28"/>
      <c r="AJO118" s="28"/>
      <c r="AJP118" s="28"/>
      <c r="AJQ118" s="28"/>
      <c r="AJR118" s="28"/>
      <c r="AJS118" s="28"/>
      <c r="AJT118" s="28"/>
      <c r="AJU118" s="28"/>
      <c r="AJV118" s="28"/>
      <c r="AJW118" s="28"/>
      <c r="AJX118" s="28"/>
      <c r="AJY118" s="28"/>
      <c r="AJZ118" s="28"/>
      <c r="AKA118" s="28"/>
      <c r="AKB118" s="28"/>
      <c r="AKC118" s="28"/>
      <c r="AKD118" s="28"/>
      <c r="AKE118" s="28"/>
      <c r="AKF118" s="28"/>
      <c r="AKG118" s="28"/>
      <c r="AKH118" s="28"/>
      <c r="AKI118" s="28"/>
      <c r="AKJ118" s="28"/>
      <c r="AKK118" s="28"/>
      <c r="AKL118" s="28"/>
      <c r="AKM118" s="28"/>
      <c r="AKN118" s="28"/>
      <c r="AKO118" s="28"/>
      <c r="AKP118" s="28"/>
      <c r="AKQ118" s="28"/>
      <c r="AKR118" s="28"/>
      <c r="AKS118" s="28"/>
      <c r="AKT118" s="28"/>
      <c r="AKU118" s="28"/>
      <c r="AKV118" s="28"/>
      <c r="AKW118" s="28"/>
      <c r="AKX118" s="28"/>
      <c r="AKY118" s="28"/>
      <c r="AKZ118" s="28"/>
      <c r="ALA118" s="28"/>
      <c r="ALB118" s="28"/>
      <c r="ALC118" s="28"/>
      <c r="ALD118" s="28"/>
      <c r="ALE118" s="28"/>
      <c r="ALF118" s="28"/>
      <c r="ALG118" s="28"/>
      <c r="ALH118" s="28"/>
      <c r="ALI118" s="28"/>
      <c r="ALJ118" s="28"/>
      <c r="ALK118" s="28"/>
      <c r="ALL118" s="28"/>
      <c r="ALM118" s="28"/>
      <c r="ALN118" s="28"/>
      <c r="ALO118" s="28"/>
      <c r="ALP118" s="28"/>
      <c r="ALQ118" s="28"/>
      <c r="ALR118" s="28"/>
      <c r="ALS118" s="28"/>
      <c r="ALT118" s="28"/>
      <c r="ALU118" s="28"/>
      <c r="ALV118" s="28"/>
      <c r="ALW118" s="28"/>
      <c r="ALX118" s="28"/>
      <c r="ALY118" s="28"/>
      <c r="ALZ118" s="28"/>
      <c r="AMA118" s="28"/>
      <c r="AMB118" s="28"/>
      <c r="AMC118" s="28"/>
      <c r="AMD118" s="28"/>
      <c r="AME118" s="28"/>
      <c r="AMF118" s="28"/>
      <c r="AMG118" s="28"/>
      <c r="AMH118" s="28"/>
      <c r="AMI118" s="28"/>
      <c r="AMJ118" s="28"/>
    </row>
    <row r="119" spans="1:1024" s="29" customFormat="1" ht="15.75" customHeight="1" x14ac:dyDescent="0.3">
      <c r="A119" s="600"/>
      <c r="B119" s="662" t="s">
        <v>373</v>
      </c>
      <c r="C119" s="661"/>
      <c r="D119" s="658"/>
      <c r="E119" s="658"/>
      <c r="F119" s="659"/>
      <c r="G119" s="453" t="s">
        <v>234</v>
      </c>
      <c r="H119" s="660" t="s">
        <v>259</v>
      </c>
      <c r="I119" s="432"/>
      <c r="J119" s="21"/>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28"/>
      <c r="DQ119" s="28"/>
      <c r="DR119" s="28"/>
      <c r="DS119" s="28"/>
      <c r="DT119" s="28"/>
      <c r="DU119" s="28"/>
      <c r="DV119" s="28"/>
      <c r="DW119" s="28"/>
      <c r="DX119" s="28"/>
      <c r="DY119" s="28"/>
      <c r="DZ119" s="28"/>
      <c r="EA119" s="28"/>
      <c r="EB119" s="28"/>
      <c r="EC119" s="28"/>
      <c r="ED119" s="28"/>
      <c r="EE119" s="28"/>
      <c r="EF119" s="28"/>
      <c r="EG119" s="28"/>
      <c r="EH119" s="28"/>
      <c r="EI119" s="28"/>
      <c r="EJ119" s="28"/>
      <c r="EK119" s="28"/>
      <c r="EL119" s="28"/>
      <c r="EM119" s="28"/>
      <c r="EN119" s="28"/>
      <c r="EO119" s="28"/>
      <c r="EP119" s="28"/>
      <c r="EQ119" s="28"/>
      <c r="ER119" s="28"/>
      <c r="ES119" s="28"/>
      <c r="ET119" s="28"/>
      <c r="EU119" s="28"/>
      <c r="EV119" s="28"/>
      <c r="EW119" s="28"/>
      <c r="EX119" s="28"/>
      <c r="EY119" s="28"/>
      <c r="EZ119" s="28"/>
      <c r="FA119" s="28"/>
      <c r="AIQ119" s="28"/>
      <c r="AIR119" s="28"/>
      <c r="AIS119" s="28"/>
      <c r="AIT119" s="28"/>
      <c r="AIU119" s="28"/>
      <c r="AIV119" s="28"/>
      <c r="AIW119" s="28"/>
      <c r="AIX119" s="28"/>
      <c r="AIY119" s="28"/>
      <c r="AIZ119" s="28"/>
      <c r="AJA119" s="28"/>
      <c r="AJB119" s="28"/>
      <c r="AJC119" s="28"/>
      <c r="AJD119" s="28"/>
      <c r="AJE119" s="28"/>
      <c r="AJF119" s="28"/>
      <c r="AJG119" s="28"/>
      <c r="AJH119" s="28"/>
      <c r="AJI119" s="28"/>
      <c r="AJJ119" s="28"/>
      <c r="AJK119" s="28"/>
      <c r="AJL119" s="28"/>
      <c r="AJM119" s="28"/>
      <c r="AJN119" s="28"/>
      <c r="AJO119" s="28"/>
      <c r="AJP119" s="28"/>
      <c r="AJQ119" s="28"/>
      <c r="AJR119" s="28"/>
      <c r="AJS119" s="28"/>
      <c r="AJT119" s="28"/>
      <c r="AJU119" s="28"/>
      <c r="AJV119" s="28"/>
      <c r="AJW119" s="28"/>
      <c r="AJX119" s="28"/>
      <c r="AJY119" s="28"/>
      <c r="AJZ119" s="28"/>
      <c r="AKA119" s="28"/>
      <c r="AKB119" s="28"/>
      <c r="AKC119" s="28"/>
      <c r="AKD119" s="28"/>
      <c r="AKE119" s="28"/>
      <c r="AKF119" s="28"/>
      <c r="AKG119" s="28"/>
      <c r="AKH119" s="28"/>
      <c r="AKI119" s="28"/>
      <c r="AKJ119" s="28"/>
      <c r="AKK119" s="28"/>
      <c r="AKL119" s="28"/>
      <c r="AKM119" s="28"/>
      <c r="AKN119" s="28"/>
      <c r="AKO119" s="28"/>
      <c r="AKP119" s="28"/>
      <c r="AKQ119" s="28"/>
      <c r="AKR119" s="28"/>
      <c r="AKS119" s="28"/>
      <c r="AKT119" s="28"/>
      <c r="AKU119" s="28"/>
      <c r="AKV119" s="28"/>
      <c r="AKW119" s="28"/>
      <c r="AKX119" s="28"/>
      <c r="AKY119" s="28"/>
      <c r="AKZ119" s="28"/>
      <c r="ALA119" s="28"/>
      <c r="ALB119" s="28"/>
      <c r="ALC119" s="28"/>
      <c r="ALD119" s="28"/>
      <c r="ALE119" s="28"/>
      <c r="ALF119" s="28"/>
      <c r="ALG119" s="28"/>
      <c r="ALH119" s="28"/>
      <c r="ALI119" s="28"/>
      <c r="ALJ119" s="28"/>
      <c r="ALK119" s="28"/>
      <c r="ALL119" s="28"/>
      <c r="ALM119" s="28"/>
      <c r="ALN119" s="28"/>
      <c r="ALO119" s="28"/>
      <c r="ALP119" s="28"/>
      <c r="ALQ119" s="28"/>
      <c r="ALR119" s="28"/>
      <c r="ALS119" s="28"/>
      <c r="ALT119" s="28"/>
      <c r="ALU119" s="28"/>
      <c r="ALV119" s="28"/>
      <c r="ALW119" s="28"/>
      <c r="ALX119" s="28"/>
      <c r="ALY119" s="28"/>
      <c r="ALZ119" s="28"/>
      <c r="AMA119" s="28"/>
      <c r="AMB119" s="28"/>
      <c r="AMC119" s="28"/>
      <c r="AMD119" s="28"/>
      <c r="AME119" s="28"/>
      <c r="AMF119" s="28"/>
      <c r="AMG119" s="28"/>
      <c r="AMH119" s="28"/>
      <c r="AMI119" s="28"/>
      <c r="AMJ119" s="28"/>
    </row>
    <row r="120" spans="1:1024" s="29" customFormat="1" ht="15.75" customHeight="1" x14ac:dyDescent="0.3">
      <c r="A120" s="600"/>
      <c r="B120" s="662" t="s">
        <v>374</v>
      </c>
      <c r="C120" s="661"/>
      <c r="D120" s="658"/>
      <c r="E120" s="658"/>
      <c r="F120" s="659"/>
      <c r="G120" s="453" t="s">
        <v>234</v>
      </c>
      <c r="H120" s="660" t="s">
        <v>259</v>
      </c>
      <c r="I120" s="432"/>
      <c r="J120" s="21"/>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28"/>
      <c r="DQ120" s="28"/>
      <c r="DR120" s="28"/>
      <c r="DS120" s="28"/>
      <c r="DT120" s="28"/>
      <c r="DU120" s="28"/>
      <c r="DV120" s="28"/>
      <c r="DW120" s="28"/>
      <c r="DX120" s="28"/>
      <c r="DY120" s="28"/>
      <c r="DZ120" s="28"/>
      <c r="EA120" s="28"/>
      <c r="EB120" s="28"/>
      <c r="EC120" s="28"/>
      <c r="ED120" s="28"/>
      <c r="EE120" s="28"/>
      <c r="EF120" s="28"/>
      <c r="EG120" s="28"/>
      <c r="EH120" s="28"/>
      <c r="EI120" s="28"/>
      <c r="EJ120" s="28"/>
      <c r="EK120" s="28"/>
      <c r="EL120" s="28"/>
      <c r="EM120" s="28"/>
      <c r="EN120" s="28"/>
      <c r="EO120" s="28"/>
      <c r="EP120" s="28"/>
      <c r="EQ120" s="28"/>
      <c r="ER120" s="28"/>
      <c r="ES120" s="28"/>
      <c r="ET120" s="28"/>
      <c r="EU120" s="28"/>
      <c r="EV120" s="28"/>
      <c r="EW120" s="28"/>
      <c r="EX120" s="28"/>
      <c r="EY120" s="28"/>
      <c r="EZ120" s="28"/>
      <c r="FA120" s="28"/>
      <c r="AIQ120" s="28"/>
      <c r="AIR120" s="28"/>
      <c r="AIS120" s="28"/>
      <c r="AIT120" s="28"/>
      <c r="AIU120" s="28"/>
      <c r="AIV120" s="28"/>
      <c r="AIW120" s="28"/>
      <c r="AIX120" s="28"/>
      <c r="AIY120" s="28"/>
      <c r="AIZ120" s="28"/>
      <c r="AJA120" s="28"/>
      <c r="AJB120" s="28"/>
      <c r="AJC120" s="28"/>
      <c r="AJD120" s="28"/>
      <c r="AJE120" s="28"/>
      <c r="AJF120" s="28"/>
      <c r="AJG120" s="28"/>
      <c r="AJH120" s="28"/>
      <c r="AJI120" s="28"/>
      <c r="AJJ120" s="28"/>
      <c r="AJK120" s="28"/>
      <c r="AJL120" s="28"/>
      <c r="AJM120" s="28"/>
      <c r="AJN120" s="28"/>
      <c r="AJO120" s="28"/>
      <c r="AJP120" s="28"/>
      <c r="AJQ120" s="28"/>
      <c r="AJR120" s="28"/>
      <c r="AJS120" s="28"/>
      <c r="AJT120" s="28"/>
      <c r="AJU120" s="28"/>
      <c r="AJV120" s="28"/>
      <c r="AJW120" s="28"/>
      <c r="AJX120" s="28"/>
      <c r="AJY120" s="28"/>
      <c r="AJZ120" s="28"/>
      <c r="AKA120" s="28"/>
      <c r="AKB120" s="28"/>
      <c r="AKC120" s="28"/>
      <c r="AKD120" s="28"/>
      <c r="AKE120" s="28"/>
      <c r="AKF120" s="28"/>
      <c r="AKG120" s="28"/>
      <c r="AKH120" s="28"/>
      <c r="AKI120" s="28"/>
      <c r="AKJ120" s="28"/>
      <c r="AKK120" s="28"/>
      <c r="AKL120" s="28"/>
      <c r="AKM120" s="28"/>
      <c r="AKN120" s="28"/>
      <c r="AKO120" s="28"/>
      <c r="AKP120" s="28"/>
      <c r="AKQ120" s="28"/>
      <c r="AKR120" s="28"/>
      <c r="AKS120" s="28"/>
      <c r="AKT120" s="28"/>
      <c r="AKU120" s="28"/>
      <c r="AKV120" s="28"/>
      <c r="AKW120" s="28"/>
      <c r="AKX120" s="28"/>
      <c r="AKY120" s="28"/>
      <c r="AKZ120" s="28"/>
      <c r="ALA120" s="28"/>
      <c r="ALB120" s="28"/>
      <c r="ALC120" s="28"/>
      <c r="ALD120" s="28"/>
      <c r="ALE120" s="28"/>
      <c r="ALF120" s="28"/>
      <c r="ALG120" s="28"/>
      <c r="ALH120" s="28"/>
      <c r="ALI120" s="28"/>
      <c r="ALJ120" s="28"/>
      <c r="ALK120" s="28"/>
      <c r="ALL120" s="28"/>
      <c r="ALM120" s="28"/>
      <c r="ALN120" s="28"/>
      <c r="ALO120" s="28"/>
      <c r="ALP120" s="28"/>
      <c r="ALQ120" s="28"/>
      <c r="ALR120" s="28"/>
      <c r="ALS120" s="28"/>
      <c r="ALT120" s="28"/>
      <c r="ALU120" s="28"/>
      <c r="ALV120" s="28"/>
      <c r="ALW120" s="28"/>
      <c r="ALX120" s="28"/>
      <c r="ALY120" s="28"/>
      <c r="ALZ120" s="28"/>
      <c r="AMA120" s="28"/>
      <c r="AMB120" s="28"/>
      <c r="AMC120" s="28"/>
      <c r="AMD120" s="28"/>
      <c r="AME120" s="28"/>
      <c r="AMF120" s="28"/>
      <c r="AMG120" s="28"/>
      <c r="AMH120" s="28"/>
      <c r="AMI120" s="28"/>
      <c r="AMJ120" s="28"/>
    </row>
    <row r="121" spans="1:1024" s="29" customFormat="1" ht="15.75" customHeight="1" x14ac:dyDescent="0.3">
      <c r="A121" s="600"/>
      <c r="B121" s="662" t="s">
        <v>375</v>
      </c>
      <c r="C121" s="661"/>
      <c r="D121" s="658"/>
      <c r="E121" s="658"/>
      <c r="F121" s="659"/>
      <c r="G121" s="453" t="s">
        <v>234</v>
      </c>
      <c r="H121" s="660" t="s">
        <v>259</v>
      </c>
      <c r="I121" s="432"/>
      <c r="J121" s="21"/>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28"/>
      <c r="DQ121" s="28"/>
      <c r="DR121" s="28"/>
      <c r="DS121" s="28"/>
      <c r="DT121" s="28"/>
      <c r="DU121" s="28"/>
      <c r="DV121" s="28"/>
      <c r="DW121" s="28"/>
      <c r="DX121" s="28"/>
      <c r="DY121" s="28"/>
      <c r="DZ121" s="28"/>
      <c r="EA121" s="28"/>
      <c r="EB121" s="28"/>
      <c r="EC121" s="28"/>
      <c r="ED121" s="28"/>
      <c r="EE121" s="28"/>
      <c r="EF121" s="28"/>
      <c r="EG121" s="28"/>
      <c r="EH121" s="28"/>
      <c r="EI121" s="28"/>
      <c r="EJ121" s="28"/>
      <c r="EK121" s="28"/>
      <c r="EL121" s="28"/>
      <c r="EM121" s="28"/>
      <c r="EN121" s="28"/>
      <c r="EO121" s="28"/>
      <c r="EP121" s="28"/>
      <c r="EQ121" s="28"/>
      <c r="ER121" s="28"/>
      <c r="ES121" s="28"/>
      <c r="ET121" s="28"/>
      <c r="EU121" s="28"/>
      <c r="EV121" s="28"/>
      <c r="EW121" s="28"/>
      <c r="EX121" s="28"/>
      <c r="EY121" s="28"/>
      <c r="EZ121" s="28"/>
      <c r="FA121" s="28"/>
      <c r="AIQ121" s="28"/>
      <c r="AIR121" s="28"/>
      <c r="AIS121" s="28"/>
      <c r="AIT121" s="28"/>
      <c r="AIU121" s="28"/>
      <c r="AIV121" s="28"/>
      <c r="AIW121" s="28"/>
      <c r="AIX121" s="28"/>
      <c r="AIY121" s="28"/>
      <c r="AIZ121" s="28"/>
      <c r="AJA121" s="28"/>
      <c r="AJB121" s="28"/>
      <c r="AJC121" s="28"/>
      <c r="AJD121" s="28"/>
      <c r="AJE121" s="28"/>
      <c r="AJF121" s="28"/>
      <c r="AJG121" s="28"/>
      <c r="AJH121" s="28"/>
      <c r="AJI121" s="28"/>
      <c r="AJJ121" s="28"/>
      <c r="AJK121" s="28"/>
      <c r="AJL121" s="28"/>
      <c r="AJM121" s="28"/>
      <c r="AJN121" s="28"/>
      <c r="AJO121" s="28"/>
      <c r="AJP121" s="28"/>
      <c r="AJQ121" s="28"/>
      <c r="AJR121" s="28"/>
      <c r="AJS121" s="28"/>
      <c r="AJT121" s="28"/>
      <c r="AJU121" s="28"/>
      <c r="AJV121" s="28"/>
      <c r="AJW121" s="28"/>
      <c r="AJX121" s="28"/>
      <c r="AJY121" s="28"/>
      <c r="AJZ121" s="28"/>
      <c r="AKA121" s="28"/>
      <c r="AKB121" s="28"/>
      <c r="AKC121" s="28"/>
      <c r="AKD121" s="28"/>
      <c r="AKE121" s="28"/>
      <c r="AKF121" s="28"/>
      <c r="AKG121" s="28"/>
      <c r="AKH121" s="28"/>
      <c r="AKI121" s="28"/>
      <c r="AKJ121" s="28"/>
      <c r="AKK121" s="28"/>
      <c r="AKL121" s="28"/>
      <c r="AKM121" s="28"/>
      <c r="AKN121" s="28"/>
      <c r="AKO121" s="28"/>
      <c r="AKP121" s="28"/>
      <c r="AKQ121" s="28"/>
      <c r="AKR121" s="28"/>
      <c r="AKS121" s="28"/>
      <c r="AKT121" s="28"/>
      <c r="AKU121" s="28"/>
      <c r="AKV121" s="28"/>
      <c r="AKW121" s="28"/>
      <c r="AKX121" s="28"/>
      <c r="AKY121" s="28"/>
      <c r="AKZ121" s="28"/>
      <c r="ALA121" s="28"/>
      <c r="ALB121" s="28"/>
      <c r="ALC121" s="28"/>
      <c r="ALD121" s="28"/>
      <c r="ALE121" s="28"/>
      <c r="ALF121" s="28"/>
      <c r="ALG121" s="28"/>
      <c r="ALH121" s="28"/>
      <c r="ALI121" s="28"/>
      <c r="ALJ121" s="28"/>
      <c r="ALK121" s="28"/>
      <c r="ALL121" s="28"/>
      <c r="ALM121" s="28"/>
      <c r="ALN121" s="28"/>
      <c r="ALO121" s="28"/>
      <c r="ALP121" s="28"/>
      <c r="ALQ121" s="28"/>
      <c r="ALR121" s="28"/>
      <c r="ALS121" s="28"/>
      <c r="ALT121" s="28"/>
      <c r="ALU121" s="28"/>
      <c r="ALV121" s="28"/>
      <c r="ALW121" s="28"/>
      <c r="ALX121" s="28"/>
      <c r="ALY121" s="28"/>
      <c r="ALZ121" s="28"/>
      <c r="AMA121" s="28"/>
      <c r="AMB121" s="28"/>
      <c r="AMC121" s="28"/>
      <c r="AMD121" s="28"/>
      <c r="AME121" s="28"/>
      <c r="AMF121" s="28"/>
      <c r="AMG121" s="28"/>
      <c r="AMH121" s="28"/>
      <c r="AMI121" s="28"/>
      <c r="AMJ121" s="28"/>
    </row>
    <row r="122" spans="1:1024" s="29" customFormat="1" ht="15.75" customHeight="1" x14ac:dyDescent="0.3">
      <c r="A122" s="600"/>
      <c r="B122" s="662" t="s">
        <v>376</v>
      </c>
      <c r="C122" s="661"/>
      <c r="D122" s="658"/>
      <c r="E122" s="658"/>
      <c r="F122" s="659"/>
      <c r="G122" s="453" t="s">
        <v>234</v>
      </c>
      <c r="H122" s="660" t="s">
        <v>259</v>
      </c>
      <c r="I122" s="432"/>
      <c r="J122" s="21"/>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28"/>
      <c r="DQ122" s="28"/>
      <c r="DR122" s="28"/>
      <c r="DS122" s="28"/>
      <c r="DT122" s="28"/>
      <c r="DU122" s="28"/>
      <c r="DV122" s="28"/>
      <c r="DW122" s="28"/>
      <c r="DX122" s="28"/>
      <c r="DY122" s="28"/>
      <c r="DZ122" s="28"/>
      <c r="EA122" s="28"/>
      <c r="EB122" s="28"/>
      <c r="EC122" s="28"/>
      <c r="ED122" s="28"/>
      <c r="EE122" s="28"/>
      <c r="EF122" s="28"/>
      <c r="EG122" s="28"/>
      <c r="EH122" s="28"/>
      <c r="EI122" s="28"/>
      <c r="EJ122" s="28"/>
      <c r="EK122" s="28"/>
      <c r="EL122" s="28"/>
      <c r="EM122" s="28"/>
      <c r="EN122" s="28"/>
      <c r="EO122" s="28"/>
      <c r="EP122" s="28"/>
      <c r="EQ122" s="28"/>
      <c r="ER122" s="28"/>
      <c r="ES122" s="28"/>
      <c r="ET122" s="28"/>
      <c r="EU122" s="28"/>
      <c r="EV122" s="28"/>
      <c r="EW122" s="28"/>
      <c r="EX122" s="28"/>
      <c r="EY122" s="28"/>
      <c r="EZ122" s="28"/>
      <c r="FA122" s="28"/>
      <c r="AIQ122" s="28"/>
      <c r="AIR122" s="28"/>
      <c r="AIS122" s="28"/>
      <c r="AIT122" s="28"/>
      <c r="AIU122" s="28"/>
      <c r="AIV122" s="28"/>
      <c r="AIW122" s="28"/>
      <c r="AIX122" s="28"/>
      <c r="AIY122" s="28"/>
      <c r="AIZ122" s="28"/>
      <c r="AJA122" s="28"/>
      <c r="AJB122" s="28"/>
      <c r="AJC122" s="28"/>
      <c r="AJD122" s="28"/>
      <c r="AJE122" s="28"/>
      <c r="AJF122" s="28"/>
      <c r="AJG122" s="28"/>
      <c r="AJH122" s="28"/>
      <c r="AJI122" s="28"/>
      <c r="AJJ122" s="28"/>
      <c r="AJK122" s="28"/>
      <c r="AJL122" s="28"/>
      <c r="AJM122" s="28"/>
      <c r="AJN122" s="28"/>
      <c r="AJO122" s="28"/>
      <c r="AJP122" s="28"/>
      <c r="AJQ122" s="28"/>
      <c r="AJR122" s="28"/>
      <c r="AJS122" s="28"/>
      <c r="AJT122" s="28"/>
      <c r="AJU122" s="28"/>
      <c r="AJV122" s="28"/>
      <c r="AJW122" s="28"/>
      <c r="AJX122" s="28"/>
      <c r="AJY122" s="28"/>
      <c r="AJZ122" s="28"/>
      <c r="AKA122" s="28"/>
      <c r="AKB122" s="28"/>
      <c r="AKC122" s="28"/>
      <c r="AKD122" s="28"/>
      <c r="AKE122" s="28"/>
      <c r="AKF122" s="28"/>
      <c r="AKG122" s="28"/>
      <c r="AKH122" s="28"/>
      <c r="AKI122" s="28"/>
      <c r="AKJ122" s="28"/>
      <c r="AKK122" s="28"/>
      <c r="AKL122" s="28"/>
      <c r="AKM122" s="28"/>
      <c r="AKN122" s="28"/>
      <c r="AKO122" s="28"/>
      <c r="AKP122" s="28"/>
      <c r="AKQ122" s="28"/>
      <c r="AKR122" s="28"/>
      <c r="AKS122" s="28"/>
      <c r="AKT122" s="28"/>
      <c r="AKU122" s="28"/>
      <c r="AKV122" s="28"/>
      <c r="AKW122" s="28"/>
      <c r="AKX122" s="28"/>
      <c r="AKY122" s="28"/>
      <c r="AKZ122" s="28"/>
      <c r="ALA122" s="28"/>
      <c r="ALB122" s="28"/>
      <c r="ALC122" s="28"/>
      <c r="ALD122" s="28"/>
      <c r="ALE122" s="28"/>
      <c r="ALF122" s="28"/>
      <c r="ALG122" s="28"/>
      <c r="ALH122" s="28"/>
      <c r="ALI122" s="28"/>
      <c r="ALJ122" s="28"/>
      <c r="ALK122" s="28"/>
      <c r="ALL122" s="28"/>
      <c r="ALM122" s="28"/>
      <c r="ALN122" s="28"/>
      <c r="ALO122" s="28"/>
      <c r="ALP122" s="28"/>
      <c r="ALQ122" s="28"/>
      <c r="ALR122" s="28"/>
      <c r="ALS122" s="28"/>
      <c r="ALT122" s="28"/>
      <c r="ALU122" s="28"/>
      <c r="ALV122" s="28"/>
      <c r="ALW122" s="28"/>
      <c r="ALX122" s="28"/>
      <c r="ALY122" s="28"/>
      <c r="ALZ122" s="28"/>
      <c r="AMA122" s="28"/>
      <c r="AMB122" s="28"/>
      <c r="AMC122" s="28"/>
      <c r="AMD122" s="28"/>
      <c r="AME122" s="28"/>
      <c r="AMF122" s="28"/>
      <c r="AMG122" s="28"/>
      <c r="AMH122" s="28"/>
      <c r="AMI122" s="28"/>
      <c r="AMJ122" s="28"/>
    </row>
    <row r="123" spans="1:1024" s="29" customFormat="1" ht="15.75" customHeight="1" x14ac:dyDescent="0.3">
      <c r="A123" s="600"/>
      <c r="B123" s="662" t="s">
        <v>377</v>
      </c>
      <c r="C123" s="661"/>
      <c r="D123" s="658"/>
      <c r="E123" s="658"/>
      <c r="F123" s="659"/>
      <c r="G123" s="453" t="s">
        <v>234</v>
      </c>
      <c r="H123" s="660" t="s">
        <v>259</v>
      </c>
      <c r="I123" s="432"/>
      <c r="J123" s="21"/>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28"/>
      <c r="DQ123" s="28"/>
      <c r="DR123" s="28"/>
      <c r="DS123" s="28"/>
      <c r="DT123" s="28"/>
      <c r="DU123" s="28"/>
      <c r="DV123" s="28"/>
      <c r="DW123" s="28"/>
      <c r="DX123" s="28"/>
      <c r="DY123" s="28"/>
      <c r="DZ123" s="28"/>
      <c r="EA123" s="28"/>
      <c r="EB123" s="28"/>
      <c r="EC123" s="28"/>
      <c r="ED123" s="28"/>
      <c r="EE123" s="28"/>
      <c r="EF123" s="28"/>
      <c r="EG123" s="28"/>
      <c r="EH123" s="28"/>
      <c r="EI123" s="28"/>
      <c r="EJ123" s="28"/>
      <c r="EK123" s="28"/>
      <c r="EL123" s="28"/>
      <c r="EM123" s="28"/>
      <c r="EN123" s="28"/>
      <c r="EO123" s="28"/>
      <c r="EP123" s="28"/>
      <c r="EQ123" s="28"/>
      <c r="ER123" s="28"/>
      <c r="ES123" s="28"/>
      <c r="ET123" s="28"/>
      <c r="EU123" s="28"/>
      <c r="EV123" s="28"/>
      <c r="EW123" s="28"/>
      <c r="EX123" s="28"/>
      <c r="EY123" s="28"/>
      <c r="EZ123" s="28"/>
      <c r="FA123" s="28"/>
      <c r="AIQ123" s="28"/>
      <c r="AIR123" s="28"/>
      <c r="AIS123" s="28"/>
      <c r="AIT123" s="28"/>
      <c r="AIU123" s="28"/>
      <c r="AIV123" s="28"/>
      <c r="AIW123" s="28"/>
      <c r="AIX123" s="28"/>
      <c r="AIY123" s="28"/>
      <c r="AIZ123" s="28"/>
      <c r="AJA123" s="28"/>
      <c r="AJB123" s="28"/>
      <c r="AJC123" s="28"/>
      <c r="AJD123" s="28"/>
      <c r="AJE123" s="28"/>
      <c r="AJF123" s="28"/>
      <c r="AJG123" s="28"/>
      <c r="AJH123" s="28"/>
      <c r="AJI123" s="28"/>
      <c r="AJJ123" s="28"/>
      <c r="AJK123" s="28"/>
      <c r="AJL123" s="28"/>
      <c r="AJM123" s="28"/>
      <c r="AJN123" s="28"/>
      <c r="AJO123" s="28"/>
      <c r="AJP123" s="28"/>
      <c r="AJQ123" s="28"/>
      <c r="AJR123" s="28"/>
      <c r="AJS123" s="28"/>
      <c r="AJT123" s="28"/>
      <c r="AJU123" s="28"/>
      <c r="AJV123" s="28"/>
      <c r="AJW123" s="28"/>
      <c r="AJX123" s="28"/>
      <c r="AJY123" s="28"/>
      <c r="AJZ123" s="28"/>
      <c r="AKA123" s="28"/>
      <c r="AKB123" s="28"/>
      <c r="AKC123" s="28"/>
      <c r="AKD123" s="28"/>
      <c r="AKE123" s="28"/>
      <c r="AKF123" s="28"/>
      <c r="AKG123" s="28"/>
      <c r="AKH123" s="28"/>
      <c r="AKI123" s="28"/>
      <c r="AKJ123" s="28"/>
      <c r="AKK123" s="28"/>
      <c r="AKL123" s="28"/>
      <c r="AKM123" s="28"/>
      <c r="AKN123" s="28"/>
      <c r="AKO123" s="28"/>
      <c r="AKP123" s="28"/>
      <c r="AKQ123" s="28"/>
      <c r="AKR123" s="28"/>
      <c r="AKS123" s="28"/>
      <c r="AKT123" s="28"/>
      <c r="AKU123" s="28"/>
      <c r="AKV123" s="28"/>
      <c r="AKW123" s="28"/>
      <c r="AKX123" s="28"/>
      <c r="AKY123" s="28"/>
      <c r="AKZ123" s="28"/>
      <c r="ALA123" s="28"/>
      <c r="ALB123" s="28"/>
      <c r="ALC123" s="28"/>
      <c r="ALD123" s="28"/>
      <c r="ALE123" s="28"/>
      <c r="ALF123" s="28"/>
      <c r="ALG123" s="28"/>
      <c r="ALH123" s="28"/>
      <c r="ALI123" s="28"/>
      <c r="ALJ123" s="28"/>
      <c r="ALK123" s="28"/>
      <c r="ALL123" s="28"/>
      <c r="ALM123" s="28"/>
      <c r="ALN123" s="28"/>
      <c r="ALO123" s="28"/>
      <c r="ALP123" s="28"/>
      <c r="ALQ123" s="28"/>
      <c r="ALR123" s="28"/>
      <c r="ALS123" s="28"/>
      <c r="ALT123" s="28"/>
      <c r="ALU123" s="28"/>
      <c r="ALV123" s="28"/>
      <c r="ALW123" s="28"/>
      <c r="ALX123" s="28"/>
      <c r="ALY123" s="28"/>
      <c r="ALZ123" s="28"/>
      <c r="AMA123" s="28"/>
      <c r="AMB123" s="28"/>
      <c r="AMC123" s="28"/>
      <c r="AMD123" s="28"/>
      <c r="AME123" s="28"/>
      <c r="AMF123" s="28"/>
      <c r="AMG123" s="28"/>
      <c r="AMH123" s="28"/>
      <c r="AMI123" s="28"/>
      <c r="AMJ123" s="28"/>
    </row>
    <row r="124" spans="1:1024" s="29" customFormat="1" ht="15.75" customHeight="1" x14ac:dyDescent="0.3">
      <c r="A124" s="600"/>
      <c r="B124" s="662" t="s">
        <v>378</v>
      </c>
      <c r="C124" s="661"/>
      <c r="D124" s="658"/>
      <c r="E124" s="658"/>
      <c r="F124" s="659"/>
      <c r="G124" s="453" t="s">
        <v>234</v>
      </c>
      <c r="H124" s="660" t="s">
        <v>259</v>
      </c>
      <c r="I124" s="432"/>
      <c r="J124" s="21"/>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28"/>
      <c r="DQ124" s="28"/>
      <c r="DR124" s="28"/>
      <c r="DS124" s="28"/>
      <c r="DT124" s="28"/>
      <c r="DU124" s="28"/>
      <c r="DV124" s="28"/>
      <c r="DW124" s="28"/>
      <c r="DX124" s="28"/>
      <c r="DY124" s="28"/>
      <c r="DZ124" s="28"/>
      <c r="EA124" s="28"/>
      <c r="EB124" s="28"/>
      <c r="EC124" s="28"/>
      <c r="ED124" s="28"/>
      <c r="EE124" s="28"/>
      <c r="EF124" s="28"/>
      <c r="EG124" s="28"/>
      <c r="EH124" s="28"/>
      <c r="EI124" s="28"/>
      <c r="EJ124" s="28"/>
      <c r="EK124" s="28"/>
      <c r="EL124" s="28"/>
      <c r="EM124" s="28"/>
      <c r="EN124" s="28"/>
      <c r="EO124" s="28"/>
      <c r="EP124" s="28"/>
      <c r="EQ124" s="28"/>
      <c r="ER124" s="28"/>
      <c r="ES124" s="28"/>
      <c r="ET124" s="28"/>
      <c r="EU124" s="28"/>
      <c r="EV124" s="28"/>
      <c r="EW124" s="28"/>
      <c r="EX124" s="28"/>
      <c r="EY124" s="28"/>
      <c r="EZ124" s="28"/>
      <c r="FA124" s="28"/>
      <c r="AIQ124" s="28"/>
      <c r="AIR124" s="28"/>
      <c r="AIS124" s="28"/>
      <c r="AIT124" s="28"/>
      <c r="AIU124" s="28"/>
      <c r="AIV124" s="28"/>
      <c r="AIW124" s="28"/>
      <c r="AIX124" s="28"/>
      <c r="AIY124" s="28"/>
      <c r="AIZ124" s="28"/>
      <c r="AJA124" s="28"/>
      <c r="AJB124" s="28"/>
      <c r="AJC124" s="28"/>
      <c r="AJD124" s="28"/>
      <c r="AJE124" s="28"/>
      <c r="AJF124" s="28"/>
      <c r="AJG124" s="28"/>
      <c r="AJH124" s="28"/>
      <c r="AJI124" s="28"/>
      <c r="AJJ124" s="28"/>
      <c r="AJK124" s="28"/>
      <c r="AJL124" s="28"/>
      <c r="AJM124" s="28"/>
      <c r="AJN124" s="28"/>
      <c r="AJO124" s="28"/>
      <c r="AJP124" s="28"/>
      <c r="AJQ124" s="28"/>
      <c r="AJR124" s="28"/>
      <c r="AJS124" s="28"/>
      <c r="AJT124" s="28"/>
      <c r="AJU124" s="28"/>
      <c r="AJV124" s="28"/>
      <c r="AJW124" s="28"/>
      <c r="AJX124" s="28"/>
      <c r="AJY124" s="28"/>
      <c r="AJZ124" s="28"/>
      <c r="AKA124" s="28"/>
      <c r="AKB124" s="28"/>
      <c r="AKC124" s="28"/>
      <c r="AKD124" s="28"/>
      <c r="AKE124" s="28"/>
      <c r="AKF124" s="28"/>
      <c r="AKG124" s="28"/>
      <c r="AKH124" s="28"/>
      <c r="AKI124" s="28"/>
      <c r="AKJ124" s="28"/>
      <c r="AKK124" s="28"/>
      <c r="AKL124" s="28"/>
      <c r="AKM124" s="28"/>
      <c r="AKN124" s="28"/>
      <c r="AKO124" s="28"/>
      <c r="AKP124" s="28"/>
      <c r="AKQ124" s="28"/>
      <c r="AKR124" s="28"/>
      <c r="AKS124" s="28"/>
      <c r="AKT124" s="28"/>
      <c r="AKU124" s="28"/>
      <c r="AKV124" s="28"/>
      <c r="AKW124" s="28"/>
      <c r="AKX124" s="28"/>
      <c r="AKY124" s="28"/>
      <c r="AKZ124" s="28"/>
      <c r="ALA124" s="28"/>
      <c r="ALB124" s="28"/>
      <c r="ALC124" s="28"/>
      <c r="ALD124" s="28"/>
      <c r="ALE124" s="28"/>
      <c r="ALF124" s="28"/>
      <c r="ALG124" s="28"/>
      <c r="ALH124" s="28"/>
      <c r="ALI124" s="28"/>
      <c r="ALJ124" s="28"/>
      <c r="ALK124" s="28"/>
      <c r="ALL124" s="28"/>
      <c r="ALM124" s="28"/>
      <c r="ALN124" s="28"/>
      <c r="ALO124" s="28"/>
      <c r="ALP124" s="28"/>
      <c r="ALQ124" s="28"/>
      <c r="ALR124" s="28"/>
      <c r="ALS124" s="28"/>
      <c r="ALT124" s="28"/>
      <c r="ALU124" s="28"/>
      <c r="ALV124" s="28"/>
      <c r="ALW124" s="28"/>
      <c r="ALX124" s="28"/>
      <c r="ALY124" s="28"/>
      <c r="ALZ124" s="28"/>
      <c r="AMA124" s="28"/>
      <c r="AMB124" s="28"/>
      <c r="AMC124" s="28"/>
      <c r="AMD124" s="28"/>
      <c r="AME124" s="28"/>
      <c r="AMF124" s="28"/>
      <c r="AMG124" s="28"/>
      <c r="AMH124" s="28"/>
      <c r="AMI124" s="28"/>
      <c r="AMJ124" s="28"/>
    </row>
    <row r="125" spans="1:1024" s="29" customFormat="1" ht="15.75" customHeight="1" x14ac:dyDescent="0.3">
      <c r="A125" s="651" t="s">
        <v>379</v>
      </c>
      <c r="B125" s="663" t="s">
        <v>380</v>
      </c>
      <c r="C125" s="664"/>
      <c r="D125" s="665"/>
      <c r="E125" s="665"/>
      <c r="F125" s="664"/>
      <c r="G125" s="655" t="s">
        <v>282</v>
      </c>
      <c r="H125" s="655" t="s">
        <v>282</v>
      </c>
      <c r="I125" s="666"/>
      <c r="J125" s="30"/>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28"/>
      <c r="DQ125" s="28"/>
      <c r="DR125" s="28"/>
      <c r="DS125" s="28"/>
      <c r="DT125" s="28"/>
      <c r="DU125" s="28"/>
      <c r="DV125" s="28"/>
      <c r="DW125" s="28"/>
      <c r="DX125" s="28"/>
      <c r="DY125" s="28"/>
      <c r="DZ125" s="28"/>
      <c r="EA125" s="28"/>
      <c r="EB125" s="28"/>
      <c r="EC125" s="28"/>
      <c r="ED125" s="28"/>
      <c r="EE125" s="28"/>
      <c r="EF125" s="28"/>
      <c r="EG125" s="28"/>
      <c r="EH125" s="28"/>
      <c r="EI125" s="28"/>
      <c r="EJ125" s="28"/>
      <c r="EK125" s="28"/>
      <c r="EL125" s="28"/>
      <c r="EM125" s="28"/>
      <c r="EN125" s="28"/>
      <c r="EO125" s="28"/>
      <c r="EP125" s="28"/>
      <c r="EQ125" s="28"/>
      <c r="ER125" s="28"/>
      <c r="ES125" s="28"/>
      <c r="ET125" s="28"/>
      <c r="EU125" s="28"/>
      <c r="EV125" s="28"/>
      <c r="EW125" s="28"/>
      <c r="EX125" s="28"/>
      <c r="EY125" s="28"/>
      <c r="EZ125" s="28"/>
      <c r="FA125" s="28"/>
      <c r="AIQ125" s="28"/>
      <c r="AIR125" s="28"/>
      <c r="AIS125" s="28"/>
      <c r="AIT125" s="28"/>
      <c r="AIU125" s="28"/>
      <c r="AIV125" s="28"/>
      <c r="AIW125" s="28"/>
      <c r="AIX125" s="28"/>
      <c r="AIY125" s="28"/>
      <c r="AIZ125" s="28"/>
      <c r="AJA125" s="28"/>
      <c r="AJB125" s="28"/>
      <c r="AJC125" s="28"/>
      <c r="AJD125" s="28"/>
      <c r="AJE125" s="28"/>
      <c r="AJF125" s="28"/>
      <c r="AJG125" s="28"/>
      <c r="AJH125" s="28"/>
      <c r="AJI125" s="28"/>
      <c r="AJJ125" s="28"/>
      <c r="AJK125" s="28"/>
      <c r="AJL125" s="28"/>
      <c r="AJM125" s="28"/>
      <c r="AJN125" s="28"/>
      <c r="AJO125" s="28"/>
      <c r="AJP125" s="28"/>
      <c r="AJQ125" s="28"/>
      <c r="AJR125" s="28"/>
      <c r="AJS125" s="28"/>
      <c r="AJT125" s="28"/>
      <c r="AJU125" s="28"/>
      <c r="AJV125" s="28"/>
      <c r="AJW125" s="28"/>
      <c r="AJX125" s="28"/>
      <c r="AJY125" s="28"/>
      <c r="AJZ125" s="28"/>
      <c r="AKA125" s="28"/>
      <c r="AKB125" s="28"/>
      <c r="AKC125" s="28"/>
      <c r="AKD125" s="28"/>
      <c r="AKE125" s="28"/>
      <c r="AKF125" s="28"/>
      <c r="AKG125" s="28"/>
      <c r="AKH125" s="28"/>
      <c r="AKI125" s="28"/>
      <c r="AKJ125" s="28"/>
      <c r="AKK125" s="28"/>
      <c r="AKL125" s="28"/>
      <c r="AKM125" s="28"/>
      <c r="AKN125" s="28"/>
      <c r="AKO125" s="28"/>
      <c r="AKP125" s="28"/>
      <c r="AKQ125" s="28"/>
      <c r="AKR125" s="28"/>
      <c r="AKS125" s="28"/>
      <c r="AKT125" s="28"/>
      <c r="AKU125" s="28"/>
      <c r="AKV125" s="28"/>
      <c r="AKW125" s="28"/>
      <c r="AKX125" s="28"/>
      <c r="AKY125" s="28"/>
      <c r="AKZ125" s="28"/>
      <c r="ALA125" s="28"/>
      <c r="ALB125" s="28"/>
      <c r="ALC125" s="28"/>
      <c r="ALD125" s="28"/>
      <c r="ALE125" s="28"/>
      <c r="ALF125" s="28"/>
      <c r="ALG125" s="28"/>
      <c r="ALH125" s="28"/>
      <c r="ALI125" s="28"/>
      <c r="ALJ125" s="28"/>
      <c r="ALK125" s="28"/>
      <c r="ALL125" s="28"/>
      <c r="ALM125" s="28"/>
      <c r="ALN125" s="28"/>
      <c r="ALO125" s="28"/>
      <c r="ALP125" s="28"/>
      <c r="ALQ125" s="28"/>
      <c r="ALR125" s="28"/>
      <c r="ALS125" s="28"/>
      <c r="ALT125" s="28"/>
      <c r="ALU125" s="28"/>
      <c r="ALV125" s="28"/>
      <c r="ALW125" s="28"/>
      <c r="ALX125" s="28"/>
      <c r="ALY125" s="28"/>
      <c r="ALZ125" s="28"/>
      <c r="AMA125" s="28"/>
      <c r="AMB125" s="28"/>
      <c r="AMC125" s="28"/>
      <c r="AMD125" s="28"/>
      <c r="AME125" s="28"/>
      <c r="AMF125" s="28"/>
      <c r="AMG125" s="28"/>
      <c r="AMH125" s="28"/>
      <c r="AMI125" s="28"/>
      <c r="AMJ125" s="28"/>
    </row>
    <row r="126" spans="1:1024" s="29" customFormat="1" ht="15.75" customHeight="1" x14ac:dyDescent="0.3">
      <c r="A126" s="644" t="s">
        <v>222</v>
      </c>
      <c r="B126" s="644" t="s">
        <v>381</v>
      </c>
      <c r="C126" s="646"/>
      <c r="D126" s="646"/>
      <c r="E126" s="646"/>
      <c r="F126" s="646"/>
      <c r="G126" s="453" t="s">
        <v>303</v>
      </c>
      <c r="H126" s="660" t="s">
        <v>259</v>
      </c>
      <c r="I126" s="646"/>
      <c r="J126" s="3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28"/>
      <c r="DQ126" s="28"/>
      <c r="DR126" s="28"/>
      <c r="DS126" s="28"/>
      <c r="DT126" s="28"/>
      <c r="DU126" s="28"/>
      <c r="DV126" s="28"/>
      <c r="DW126" s="28"/>
      <c r="DX126" s="28"/>
      <c r="DY126" s="28"/>
      <c r="DZ126" s="28"/>
      <c r="EA126" s="28"/>
      <c r="EB126" s="28"/>
      <c r="EC126" s="28"/>
      <c r="ED126" s="28"/>
      <c r="EE126" s="28"/>
      <c r="EF126" s="28"/>
      <c r="EG126" s="28"/>
      <c r="EH126" s="28"/>
      <c r="EI126" s="28"/>
      <c r="EJ126" s="28"/>
      <c r="EK126" s="28"/>
      <c r="EL126" s="28"/>
      <c r="EM126" s="28"/>
      <c r="EN126" s="28"/>
      <c r="EO126" s="28"/>
      <c r="EP126" s="28"/>
      <c r="EQ126" s="28"/>
      <c r="ER126" s="28"/>
      <c r="ES126" s="28"/>
      <c r="ET126" s="28"/>
      <c r="EU126" s="28"/>
      <c r="EV126" s="28"/>
      <c r="EW126" s="28"/>
      <c r="EX126" s="28"/>
      <c r="EY126" s="28"/>
      <c r="EZ126" s="28"/>
      <c r="FA126" s="28"/>
      <c r="AIQ126" s="28"/>
      <c r="AIR126" s="28"/>
      <c r="AIS126" s="28"/>
      <c r="AIT126" s="28"/>
      <c r="AIU126" s="28"/>
      <c r="AIV126" s="28"/>
      <c r="AIW126" s="28"/>
      <c r="AIX126" s="28"/>
      <c r="AIY126" s="28"/>
      <c r="AIZ126" s="28"/>
      <c r="AJA126" s="28"/>
      <c r="AJB126" s="28"/>
      <c r="AJC126" s="28"/>
      <c r="AJD126" s="28"/>
      <c r="AJE126" s="28"/>
      <c r="AJF126" s="28"/>
      <c r="AJG126" s="28"/>
      <c r="AJH126" s="28"/>
      <c r="AJI126" s="28"/>
      <c r="AJJ126" s="28"/>
      <c r="AJK126" s="28"/>
      <c r="AJL126" s="28"/>
      <c r="AJM126" s="28"/>
      <c r="AJN126" s="28"/>
      <c r="AJO126" s="28"/>
      <c r="AJP126" s="28"/>
      <c r="AJQ126" s="28"/>
      <c r="AJR126" s="28"/>
      <c r="AJS126" s="28"/>
      <c r="AJT126" s="28"/>
      <c r="AJU126" s="28"/>
      <c r="AJV126" s="28"/>
      <c r="AJW126" s="28"/>
      <c r="AJX126" s="28"/>
      <c r="AJY126" s="28"/>
      <c r="AJZ126" s="28"/>
      <c r="AKA126" s="28"/>
      <c r="AKB126" s="28"/>
      <c r="AKC126" s="28"/>
      <c r="AKD126" s="28"/>
      <c r="AKE126" s="28"/>
      <c r="AKF126" s="28"/>
      <c r="AKG126" s="28"/>
      <c r="AKH126" s="28"/>
      <c r="AKI126" s="28"/>
      <c r="AKJ126" s="28"/>
      <c r="AKK126" s="28"/>
      <c r="AKL126" s="28"/>
      <c r="AKM126" s="28"/>
      <c r="AKN126" s="28"/>
      <c r="AKO126" s="28"/>
      <c r="AKP126" s="28"/>
      <c r="AKQ126" s="28"/>
      <c r="AKR126" s="28"/>
      <c r="AKS126" s="28"/>
      <c r="AKT126" s="28"/>
      <c r="AKU126" s="28"/>
      <c r="AKV126" s="28"/>
      <c r="AKW126" s="28"/>
      <c r="AKX126" s="28"/>
      <c r="AKY126" s="28"/>
      <c r="AKZ126" s="28"/>
      <c r="ALA126" s="28"/>
      <c r="ALB126" s="28"/>
      <c r="ALC126" s="28"/>
      <c r="ALD126" s="28"/>
      <c r="ALE126" s="28"/>
      <c r="ALF126" s="28"/>
      <c r="ALG126" s="28"/>
      <c r="ALH126" s="28"/>
      <c r="ALI126" s="28"/>
      <c r="ALJ126" s="28"/>
      <c r="ALK126" s="28"/>
      <c r="ALL126" s="28"/>
      <c r="ALM126" s="28"/>
      <c r="ALN126" s="28"/>
      <c r="ALO126" s="28"/>
      <c r="ALP126" s="28"/>
      <c r="ALQ126" s="28"/>
      <c r="ALR126" s="28"/>
      <c r="ALS126" s="28"/>
      <c r="ALT126" s="28"/>
      <c r="ALU126" s="28"/>
      <c r="ALV126" s="28"/>
      <c r="ALW126" s="28"/>
      <c r="ALX126" s="28"/>
      <c r="ALY126" s="28"/>
      <c r="ALZ126" s="28"/>
      <c r="AMA126" s="28"/>
      <c r="AMB126" s="28"/>
      <c r="AMC126" s="28"/>
      <c r="AMD126" s="28"/>
      <c r="AME126" s="28"/>
      <c r="AMF126" s="28"/>
      <c r="AMG126" s="28"/>
      <c r="AMH126" s="28"/>
      <c r="AMI126" s="28"/>
      <c r="AMJ126" s="28"/>
    </row>
    <row r="127" spans="1:1024" s="29" customFormat="1" ht="15.75" customHeight="1" x14ac:dyDescent="0.3">
      <c r="A127" s="644" t="s">
        <v>222</v>
      </c>
      <c r="B127" s="644" t="s">
        <v>382</v>
      </c>
      <c r="C127" s="646"/>
      <c r="D127" s="646"/>
      <c r="E127" s="646"/>
      <c r="F127" s="646"/>
      <c r="G127" s="453" t="s">
        <v>303</v>
      </c>
      <c r="H127" s="660" t="s">
        <v>259</v>
      </c>
      <c r="I127" s="646"/>
      <c r="J127" s="3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28"/>
      <c r="DQ127" s="28"/>
      <c r="DR127" s="28"/>
      <c r="DS127" s="28"/>
      <c r="DT127" s="28"/>
      <c r="DU127" s="28"/>
      <c r="DV127" s="28"/>
      <c r="DW127" s="28"/>
      <c r="DX127" s="28"/>
      <c r="DY127" s="28"/>
      <c r="DZ127" s="28"/>
      <c r="EA127" s="28"/>
      <c r="EB127" s="28"/>
      <c r="EC127" s="28"/>
      <c r="ED127" s="28"/>
      <c r="EE127" s="28"/>
      <c r="EF127" s="28"/>
      <c r="EG127" s="28"/>
      <c r="EH127" s="28"/>
      <c r="EI127" s="28"/>
      <c r="EJ127" s="28"/>
      <c r="EK127" s="28"/>
      <c r="EL127" s="28"/>
      <c r="EM127" s="28"/>
      <c r="EN127" s="28"/>
      <c r="EO127" s="28"/>
      <c r="EP127" s="28"/>
      <c r="EQ127" s="28"/>
      <c r="ER127" s="28"/>
      <c r="ES127" s="28"/>
      <c r="ET127" s="28"/>
      <c r="EU127" s="28"/>
      <c r="EV127" s="28"/>
      <c r="EW127" s="28"/>
      <c r="EX127" s="28"/>
      <c r="EY127" s="28"/>
      <c r="EZ127" s="28"/>
      <c r="FA127" s="28"/>
      <c r="AIQ127" s="28"/>
      <c r="AIR127" s="28"/>
      <c r="AIS127" s="28"/>
      <c r="AIT127" s="28"/>
      <c r="AIU127" s="28"/>
      <c r="AIV127" s="28"/>
      <c r="AIW127" s="28"/>
      <c r="AIX127" s="28"/>
      <c r="AIY127" s="28"/>
      <c r="AIZ127" s="28"/>
      <c r="AJA127" s="28"/>
      <c r="AJB127" s="28"/>
      <c r="AJC127" s="28"/>
      <c r="AJD127" s="28"/>
      <c r="AJE127" s="28"/>
      <c r="AJF127" s="28"/>
      <c r="AJG127" s="28"/>
      <c r="AJH127" s="28"/>
      <c r="AJI127" s="28"/>
      <c r="AJJ127" s="28"/>
      <c r="AJK127" s="28"/>
      <c r="AJL127" s="28"/>
      <c r="AJM127" s="28"/>
      <c r="AJN127" s="28"/>
      <c r="AJO127" s="28"/>
      <c r="AJP127" s="28"/>
      <c r="AJQ127" s="28"/>
      <c r="AJR127" s="28"/>
      <c r="AJS127" s="28"/>
      <c r="AJT127" s="28"/>
      <c r="AJU127" s="28"/>
      <c r="AJV127" s="28"/>
      <c r="AJW127" s="28"/>
      <c r="AJX127" s="28"/>
      <c r="AJY127" s="28"/>
      <c r="AJZ127" s="28"/>
      <c r="AKA127" s="28"/>
      <c r="AKB127" s="28"/>
      <c r="AKC127" s="28"/>
      <c r="AKD127" s="28"/>
      <c r="AKE127" s="28"/>
      <c r="AKF127" s="28"/>
      <c r="AKG127" s="28"/>
      <c r="AKH127" s="28"/>
      <c r="AKI127" s="28"/>
      <c r="AKJ127" s="28"/>
      <c r="AKK127" s="28"/>
      <c r="AKL127" s="28"/>
      <c r="AKM127" s="28"/>
      <c r="AKN127" s="28"/>
      <c r="AKO127" s="28"/>
      <c r="AKP127" s="28"/>
      <c r="AKQ127" s="28"/>
      <c r="AKR127" s="28"/>
      <c r="AKS127" s="28"/>
      <c r="AKT127" s="28"/>
      <c r="AKU127" s="28"/>
      <c r="AKV127" s="28"/>
      <c r="AKW127" s="28"/>
      <c r="AKX127" s="28"/>
      <c r="AKY127" s="28"/>
      <c r="AKZ127" s="28"/>
      <c r="ALA127" s="28"/>
      <c r="ALB127" s="28"/>
      <c r="ALC127" s="28"/>
      <c r="ALD127" s="28"/>
      <c r="ALE127" s="28"/>
      <c r="ALF127" s="28"/>
      <c r="ALG127" s="28"/>
      <c r="ALH127" s="28"/>
      <c r="ALI127" s="28"/>
      <c r="ALJ127" s="28"/>
      <c r="ALK127" s="28"/>
      <c r="ALL127" s="28"/>
      <c r="ALM127" s="28"/>
      <c r="ALN127" s="28"/>
      <c r="ALO127" s="28"/>
      <c r="ALP127" s="28"/>
      <c r="ALQ127" s="28"/>
      <c r="ALR127" s="28"/>
      <c r="ALS127" s="28"/>
      <c r="ALT127" s="28"/>
      <c r="ALU127" s="28"/>
      <c r="ALV127" s="28"/>
      <c r="ALW127" s="28"/>
      <c r="ALX127" s="28"/>
      <c r="ALY127" s="28"/>
      <c r="ALZ127" s="28"/>
      <c r="AMA127" s="28"/>
      <c r="AMB127" s="28"/>
      <c r="AMC127" s="28"/>
      <c r="AMD127" s="28"/>
      <c r="AME127" s="28"/>
      <c r="AMF127" s="28"/>
      <c r="AMG127" s="28"/>
      <c r="AMH127" s="28"/>
      <c r="AMI127" s="28"/>
      <c r="AMJ127" s="28"/>
    </row>
    <row r="128" spans="1:1024" s="29" customFormat="1" ht="29.25" customHeight="1" x14ac:dyDescent="0.3">
      <c r="A128" s="651" t="s">
        <v>383</v>
      </c>
      <c r="B128" s="663" t="s">
        <v>384</v>
      </c>
      <c r="C128" s="653"/>
      <c r="D128" s="1133"/>
      <c r="E128" s="1133"/>
      <c r="F128" s="653"/>
      <c r="G128" s="655" t="s">
        <v>282</v>
      </c>
      <c r="H128" s="655" t="s">
        <v>282</v>
      </c>
      <c r="I128" s="666"/>
      <c r="J128" s="30"/>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28"/>
      <c r="DQ128" s="28"/>
      <c r="DR128" s="28"/>
      <c r="DS128" s="28"/>
      <c r="DT128" s="28"/>
      <c r="DU128" s="28"/>
      <c r="DV128" s="28"/>
      <c r="DW128" s="28"/>
      <c r="DX128" s="28"/>
      <c r="DY128" s="28"/>
      <c r="DZ128" s="28"/>
      <c r="EA128" s="28"/>
      <c r="EB128" s="28"/>
      <c r="EC128" s="28"/>
      <c r="ED128" s="28"/>
      <c r="EE128" s="28"/>
      <c r="EF128" s="28"/>
      <c r="EG128" s="28"/>
      <c r="EH128" s="28"/>
      <c r="EI128" s="28"/>
      <c r="EJ128" s="28"/>
      <c r="EK128" s="28"/>
      <c r="EL128" s="28"/>
      <c r="EM128" s="28"/>
      <c r="EN128" s="28"/>
      <c r="EO128" s="28"/>
      <c r="EP128" s="28"/>
      <c r="EQ128" s="28"/>
      <c r="ER128" s="28"/>
      <c r="ES128" s="28"/>
      <c r="ET128" s="28"/>
      <c r="EU128" s="28"/>
      <c r="EV128" s="28"/>
      <c r="EW128" s="28"/>
      <c r="EX128" s="28"/>
      <c r="EY128" s="28"/>
      <c r="EZ128" s="28"/>
      <c r="FA128" s="28"/>
      <c r="AIQ128" s="28"/>
      <c r="AIR128" s="28"/>
      <c r="AIS128" s="28"/>
      <c r="AIT128" s="28"/>
      <c r="AIU128" s="28"/>
      <c r="AIV128" s="28"/>
      <c r="AIW128" s="28"/>
      <c r="AIX128" s="28"/>
      <c r="AIY128" s="28"/>
      <c r="AIZ128" s="28"/>
      <c r="AJA128" s="28"/>
      <c r="AJB128" s="28"/>
      <c r="AJC128" s="28"/>
      <c r="AJD128" s="28"/>
      <c r="AJE128" s="28"/>
      <c r="AJF128" s="28"/>
      <c r="AJG128" s="28"/>
      <c r="AJH128" s="28"/>
      <c r="AJI128" s="28"/>
      <c r="AJJ128" s="28"/>
      <c r="AJK128" s="28"/>
      <c r="AJL128" s="28"/>
      <c r="AJM128" s="28"/>
      <c r="AJN128" s="28"/>
      <c r="AJO128" s="28"/>
      <c r="AJP128" s="28"/>
      <c r="AJQ128" s="28"/>
      <c r="AJR128" s="28"/>
      <c r="AJS128" s="28"/>
      <c r="AJT128" s="28"/>
      <c r="AJU128" s="28"/>
      <c r="AJV128" s="28"/>
      <c r="AJW128" s="28"/>
      <c r="AJX128" s="28"/>
      <c r="AJY128" s="28"/>
      <c r="AJZ128" s="28"/>
      <c r="AKA128" s="28"/>
      <c r="AKB128" s="28"/>
      <c r="AKC128" s="28"/>
      <c r="AKD128" s="28"/>
      <c r="AKE128" s="28"/>
      <c r="AKF128" s="28"/>
      <c r="AKG128" s="28"/>
      <c r="AKH128" s="28"/>
      <c r="AKI128" s="28"/>
      <c r="AKJ128" s="28"/>
      <c r="AKK128" s="28"/>
      <c r="AKL128" s="28"/>
      <c r="AKM128" s="28"/>
      <c r="AKN128" s="28"/>
      <c r="AKO128" s="28"/>
      <c r="AKP128" s="28"/>
      <c r="AKQ128" s="28"/>
      <c r="AKR128" s="28"/>
      <c r="AKS128" s="28"/>
      <c r="AKT128" s="28"/>
      <c r="AKU128" s="28"/>
      <c r="AKV128" s="28"/>
      <c r="AKW128" s="28"/>
      <c r="AKX128" s="28"/>
      <c r="AKY128" s="28"/>
      <c r="AKZ128" s="28"/>
      <c r="ALA128" s="28"/>
      <c r="ALB128" s="28"/>
      <c r="ALC128" s="28"/>
      <c r="ALD128" s="28"/>
      <c r="ALE128" s="28"/>
      <c r="ALF128" s="28"/>
      <c r="ALG128" s="28"/>
      <c r="ALH128" s="28"/>
      <c r="ALI128" s="28"/>
      <c r="ALJ128" s="28"/>
      <c r="ALK128" s="28"/>
      <c r="ALL128" s="28"/>
      <c r="ALM128" s="28"/>
      <c r="ALN128" s="28"/>
      <c r="ALO128" s="28"/>
      <c r="ALP128" s="28"/>
      <c r="ALQ128" s="28"/>
      <c r="ALR128" s="28"/>
      <c r="ALS128" s="28"/>
      <c r="ALT128" s="28"/>
      <c r="ALU128" s="28"/>
      <c r="ALV128" s="28"/>
      <c r="ALW128" s="28"/>
      <c r="ALX128" s="28"/>
      <c r="ALY128" s="28"/>
      <c r="ALZ128" s="28"/>
      <c r="AMA128" s="28"/>
      <c r="AMB128" s="28"/>
      <c r="AMC128" s="28"/>
      <c r="AMD128" s="28"/>
      <c r="AME128" s="28"/>
      <c r="AMF128" s="28"/>
      <c r="AMG128" s="28"/>
      <c r="AMH128" s="28"/>
      <c r="AMI128" s="28"/>
      <c r="AMJ128" s="28"/>
    </row>
    <row r="129" spans="1:1024" s="29" customFormat="1" ht="15.75" customHeight="1" x14ac:dyDescent="0.3">
      <c r="A129" s="600"/>
      <c r="B129" s="644" t="s">
        <v>385</v>
      </c>
      <c r="C129" s="661"/>
      <c r="D129" s="658"/>
      <c r="E129" s="658"/>
      <c r="F129" s="453"/>
      <c r="G129" s="660" t="s">
        <v>259</v>
      </c>
      <c r="H129" s="660" t="s">
        <v>259</v>
      </c>
      <c r="I129" s="432"/>
      <c r="J129" s="21"/>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28"/>
      <c r="DQ129" s="28"/>
      <c r="DR129" s="28"/>
      <c r="DS129" s="28"/>
      <c r="DT129" s="28"/>
      <c r="DU129" s="28"/>
      <c r="DV129" s="28"/>
      <c r="DW129" s="28"/>
      <c r="DX129" s="28"/>
      <c r="DY129" s="28"/>
      <c r="DZ129" s="28"/>
      <c r="EA129" s="28"/>
      <c r="EB129" s="28"/>
      <c r="EC129" s="28"/>
      <c r="ED129" s="28"/>
      <c r="EE129" s="28"/>
      <c r="EF129" s="28"/>
      <c r="EG129" s="28"/>
      <c r="EH129" s="28"/>
      <c r="EI129" s="28"/>
      <c r="EJ129" s="28"/>
      <c r="EK129" s="28"/>
      <c r="EL129" s="28"/>
      <c r="EM129" s="28"/>
      <c r="EN129" s="28"/>
      <c r="EO129" s="28"/>
      <c r="EP129" s="28"/>
      <c r="EQ129" s="28"/>
      <c r="ER129" s="28"/>
      <c r="ES129" s="28"/>
      <c r="ET129" s="28"/>
      <c r="EU129" s="28"/>
      <c r="EV129" s="28"/>
      <c r="EW129" s="28"/>
      <c r="EX129" s="28"/>
      <c r="EY129" s="28"/>
      <c r="EZ129" s="28"/>
      <c r="FA129" s="28"/>
      <c r="AIQ129" s="28"/>
      <c r="AIR129" s="28"/>
      <c r="AIS129" s="28"/>
      <c r="AIT129" s="28"/>
      <c r="AIU129" s="28"/>
      <c r="AIV129" s="28"/>
      <c r="AIW129" s="28"/>
      <c r="AIX129" s="28"/>
      <c r="AIY129" s="28"/>
      <c r="AIZ129" s="28"/>
      <c r="AJA129" s="28"/>
      <c r="AJB129" s="28"/>
      <c r="AJC129" s="28"/>
      <c r="AJD129" s="28"/>
      <c r="AJE129" s="28"/>
      <c r="AJF129" s="28"/>
      <c r="AJG129" s="28"/>
      <c r="AJH129" s="28"/>
      <c r="AJI129" s="28"/>
      <c r="AJJ129" s="28"/>
      <c r="AJK129" s="28"/>
      <c r="AJL129" s="28"/>
      <c r="AJM129" s="28"/>
      <c r="AJN129" s="28"/>
      <c r="AJO129" s="28"/>
      <c r="AJP129" s="28"/>
      <c r="AJQ129" s="28"/>
      <c r="AJR129" s="28"/>
      <c r="AJS129" s="28"/>
      <c r="AJT129" s="28"/>
      <c r="AJU129" s="28"/>
      <c r="AJV129" s="28"/>
      <c r="AJW129" s="28"/>
      <c r="AJX129" s="28"/>
      <c r="AJY129" s="28"/>
      <c r="AJZ129" s="28"/>
      <c r="AKA129" s="28"/>
      <c r="AKB129" s="28"/>
      <c r="AKC129" s="28"/>
      <c r="AKD129" s="28"/>
      <c r="AKE129" s="28"/>
      <c r="AKF129" s="28"/>
      <c r="AKG129" s="28"/>
      <c r="AKH129" s="28"/>
      <c r="AKI129" s="28"/>
      <c r="AKJ129" s="28"/>
      <c r="AKK129" s="28"/>
      <c r="AKL129" s="28"/>
      <c r="AKM129" s="28"/>
      <c r="AKN129" s="28"/>
      <c r="AKO129" s="28"/>
      <c r="AKP129" s="28"/>
      <c r="AKQ129" s="28"/>
      <c r="AKR129" s="28"/>
      <c r="AKS129" s="28"/>
      <c r="AKT129" s="28"/>
      <c r="AKU129" s="28"/>
      <c r="AKV129" s="28"/>
      <c r="AKW129" s="28"/>
      <c r="AKX129" s="28"/>
      <c r="AKY129" s="28"/>
      <c r="AKZ129" s="28"/>
      <c r="ALA129" s="28"/>
      <c r="ALB129" s="28"/>
      <c r="ALC129" s="28"/>
      <c r="ALD129" s="28"/>
      <c r="ALE129" s="28"/>
      <c r="ALF129" s="28"/>
      <c r="ALG129" s="28"/>
      <c r="ALH129" s="28"/>
      <c r="ALI129" s="28"/>
      <c r="ALJ129" s="28"/>
      <c r="ALK129" s="28"/>
      <c r="ALL129" s="28"/>
      <c r="ALM129" s="28"/>
      <c r="ALN129" s="28"/>
      <c r="ALO129" s="28"/>
      <c r="ALP129" s="28"/>
      <c r="ALQ129" s="28"/>
      <c r="ALR129" s="28"/>
      <c r="ALS129" s="28"/>
      <c r="ALT129" s="28"/>
      <c r="ALU129" s="28"/>
      <c r="ALV129" s="28"/>
      <c r="ALW129" s="28"/>
      <c r="ALX129" s="28"/>
      <c r="ALY129" s="28"/>
      <c r="ALZ129" s="28"/>
      <c r="AMA129" s="28"/>
      <c r="AMB129" s="28"/>
      <c r="AMC129" s="28"/>
      <c r="AMD129" s="28"/>
      <c r="AME129" s="28"/>
      <c r="AMF129" s="28"/>
      <c r="AMG129" s="28"/>
      <c r="AMH129" s="28"/>
      <c r="AMI129" s="28"/>
      <c r="AMJ129" s="28"/>
    </row>
    <row r="130" spans="1:1024" s="29" customFormat="1" ht="15.75" customHeight="1" x14ac:dyDescent="0.3">
      <c r="A130" s="600"/>
      <c r="B130" s="644" t="s">
        <v>386</v>
      </c>
      <c r="C130" s="661"/>
      <c r="D130" s="658"/>
      <c r="E130" s="658"/>
      <c r="F130" s="453"/>
      <c r="G130" s="660" t="s">
        <v>311</v>
      </c>
      <c r="H130" s="660" t="s">
        <v>259</v>
      </c>
      <c r="I130" s="432"/>
      <c r="J130" s="21"/>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28"/>
      <c r="DQ130" s="28"/>
      <c r="DR130" s="28"/>
      <c r="DS130" s="28"/>
      <c r="DT130" s="28"/>
      <c r="DU130" s="28"/>
      <c r="DV130" s="28"/>
      <c r="DW130" s="28"/>
      <c r="DX130" s="28"/>
      <c r="DY130" s="28"/>
      <c r="DZ130" s="28"/>
      <c r="EA130" s="28"/>
      <c r="EB130" s="28"/>
      <c r="EC130" s="28"/>
      <c r="ED130" s="28"/>
      <c r="EE130" s="28"/>
      <c r="EF130" s="28"/>
      <c r="EG130" s="28"/>
      <c r="EH130" s="28"/>
      <c r="EI130" s="28"/>
      <c r="EJ130" s="28"/>
      <c r="EK130" s="28"/>
      <c r="EL130" s="28"/>
      <c r="EM130" s="28"/>
      <c r="EN130" s="28"/>
      <c r="EO130" s="28"/>
      <c r="EP130" s="28"/>
      <c r="EQ130" s="28"/>
      <c r="ER130" s="28"/>
      <c r="ES130" s="28"/>
      <c r="ET130" s="28"/>
      <c r="EU130" s="28"/>
      <c r="EV130" s="28"/>
      <c r="EW130" s="28"/>
      <c r="EX130" s="28"/>
      <c r="EY130" s="28"/>
      <c r="EZ130" s="28"/>
      <c r="FA130" s="28"/>
      <c r="AIQ130" s="28"/>
      <c r="AIR130" s="28"/>
      <c r="AIS130" s="28"/>
      <c r="AIT130" s="28"/>
      <c r="AIU130" s="28"/>
      <c r="AIV130" s="28"/>
      <c r="AIW130" s="28"/>
      <c r="AIX130" s="28"/>
      <c r="AIY130" s="28"/>
      <c r="AIZ130" s="28"/>
      <c r="AJA130" s="28"/>
      <c r="AJB130" s="28"/>
      <c r="AJC130" s="28"/>
      <c r="AJD130" s="28"/>
      <c r="AJE130" s="28"/>
      <c r="AJF130" s="28"/>
      <c r="AJG130" s="28"/>
      <c r="AJH130" s="28"/>
      <c r="AJI130" s="28"/>
      <c r="AJJ130" s="28"/>
      <c r="AJK130" s="28"/>
      <c r="AJL130" s="28"/>
      <c r="AJM130" s="28"/>
      <c r="AJN130" s="28"/>
      <c r="AJO130" s="28"/>
      <c r="AJP130" s="28"/>
      <c r="AJQ130" s="28"/>
      <c r="AJR130" s="28"/>
      <c r="AJS130" s="28"/>
      <c r="AJT130" s="28"/>
      <c r="AJU130" s="28"/>
      <c r="AJV130" s="28"/>
      <c r="AJW130" s="28"/>
      <c r="AJX130" s="28"/>
      <c r="AJY130" s="28"/>
      <c r="AJZ130" s="28"/>
      <c r="AKA130" s="28"/>
      <c r="AKB130" s="28"/>
      <c r="AKC130" s="28"/>
      <c r="AKD130" s="28"/>
      <c r="AKE130" s="28"/>
      <c r="AKF130" s="28"/>
      <c r="AKG130" s="28"/>
      <c r="AKH130" s="28"/>
      <c r="AKI130" s="28"/>
      <c r="AKJ130" s="28"/>
      <c r="AKK130" s="28"/>
      <c r="AKL130" s="28"/>
      <c r="AKM130" s="28"/>
      <c r="AKN130" s="28"/>
      <c r="AKO130" s="28"/>
      <c r="AKP130" s="28"/>
      <c r="AKQ130" s="28"/>
      <c r="AKR130" s="28"/>
      <c r="AKS130" s="28"/>
      <c r="AKT130" s="28"/>
      <c r="AKU130" s="28"/>
      <c r="AKV130" s="28"/>
      <c r="AKW130" s="28"/>
      <c r="AKX130" s="28"/>
      <c r="AKY130" s="28"/>
      <c r="AKZ130" s="28"/>
      <c r="ALA130" s="28"/>
      <c r="ALB130" s="28"/>
      <c r="ALC130" s="28"/>
      <c r="ALD130" s="28"/>
      <c r="ALE130" s="28"/>
      <c r="ALF130" s="28"/>
      <c r="ALG130" s="28"/>
      <c r="ALH130" s="28"/>
      <c r="ALI130" s="28"/>
      <c r="ALJ130" s="28"/>
      <c r="ALK130" s="28"/>
      <c r="ALL130" s="28"/>
      <c r="ALM130" s="28"/>
      <c r="ALN130" s="28"/>
      <c r="ALO130" s="28"/>
      <c r="ALP130" s="28"/>
      <c r="ALQ130" s="28"/>
      <c r="ALR130" s="28"/>
      <c r="ALS130" s="28"/>
      <c r="ALT130" s="28"/>
      <c r="ALU130" s="28"/>
      <c r="ALV130" s="28"/>
      <c r="ALW130" s="28"/>
      <c r="ALX130" s="28"/>
      <c r="ALY130" s="28"/>
      <c r="ALZ130" s="28"/>
      <c r="AMA130" s="28"/>
      <c r="AMB130" s="28"/>
      <c r="AMC130" s="28"/>
      <c r="AMD130" s="28"/>
      <c r="AME130" s="28"/>
      <c r="AMF130" s="28"/>
      <c r="AMG130" s="28"/>
      <c r="AMH130" s="28"/>
      <c r="AMI130" s="28"/>
      <c r="AMJ130" s="28"/>
    </row>
    <row r="131" spans="1:1024" s="29" customFormat="1" ht="15.75" customHeight="1" x14ac:dyDescent="0.3">
      <c r="A131" s="600"/>
      <c r="B131" s="644" t="s">
        <v>387</v>
      </c>
      <c r="C131" s="661"/>
      <c r="D131" s="658"/>
      <c r="E131" s="658"/>
      <c r="F131" s="453"/>
      <c r="G131" s="660" t="s">
        <v>311</v>
      </c>
      <c r="H131" s="660" t="s">
        <v>259</v>
      </c>
      <c r="I131" s="432"/>
      <c r="J131" s="21"/>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28"/>
      <c r="DQ131" s="28"/>
      <c r="DR131" s="28"/>
      <c r="DS131" s="28"/>
      <c r="DT131" s="28"/>
      <c r="DU131" s="28"/>
      <c r="DV131" s="28"/>
      <c r="DW131" s="28"/>
      <c r="DX131" s="28"/>
      <c r="DY131" s="28"/>
      <c r="DZ131" s="28"/>
      <c r="EA131" s="28"/>
      <c r="EB131" s="28"/>
      <c r="EC131" s="28"/>
      <c r="ED131" s="28"/>
      <c r="EE131" s="28"/>
      <c r="EF131" s="28"/>
      <c r="EG131" s="28"/>
      <c r="EH131" s="28"/>
      <c r="EI131" s="28"/>
      <c r="EJ131" s="28"/>
      <c r="EK131" s="28"/>
      <c r="EL131" s="28"/>
      <c r="EM131" s="28"/>
      <c r="EN131" s="28"/>
      <c r="EO131" s="28"/>
      <c r="EP131" s="28"/>
      <c r="EQ131" s="28"/>
      <c r="ER131" s="28"/>
      <c r="ES131" s="28"/>
      <c r="ET131" s="28"/>
      <c r="EU131" s="28"/>
      <c r="EV131" s="28"/>
      <c r="EW131" s="28"/>
      <c r="EX131" s="28"/>
      <c r="EY131" s="28"/>
      <c r="EZ131" s="28"/>
      <c r="FA131" s="28"/>
      <c r="AIQ131" s="28"/>
      <c r="AIR131" s="28"/>
      <c r="AIS131" s="28"/>
      <c r="AIT131" s="28"/>
      <c r="AIU131" s="28"/>
      <c r="AIV131" s="28"/>
      <c r="AIW131" s="28"/>
      <c r="AIX131" s="28"/>
      <c r="AIY131" s="28"/>
      <c r="AIZ131" s="28"/>
      <c r="AJA131" s="28"/>
      <c r="AJB131" s="28"/>
      <c r="AJC131" s="28"/>
      <c r="AJD131" s="28"/>
      <c r="AJE131" s="28"/>
      <c r="AJF131" s="28"/>
      <c r="AJG131" s="28"/>
      <c r="AJH131" s="28"/>
      <c r="AJI131" s="28"/>
      <c r="AJJ131" s="28"/>
      <c r="AJK131" s="28"/>
      <c r="AJL131" s="28"/>
      <c r="AJM131" s="28"/>
      <c r="AJN131" s="28"/>
      <c r="AJO131" s="28"/>
      <c r="AJP131" s="28"/>
      <c r="AJQ131" s="28"/>
      <c r="AJR131" s="28"/>
      <c r="AJS131" s="28"/>
      <c r="AJT131" s="28"/>
      <c r="AJU131" s="28"/>
      <c r="AJV131" s="28"/>
      <c r="AJW131" s="28"/>
      <c r="AJX131" s="28"/>
      <c r="AJY131" s="28"/>
      <c r="AJZ131" s="28"/>
      <c r="AKA131" s="28"/>
      <c r="AKB131" s="28"/>
      <c r="AKC131" s="28"/>
      <c r="AKD131" s="28"/>
      <c r="AKE131" s="28"/>
      <c r="AKF131" s="28"/>
      <c r="AKG131" s="28"/>
      <c r="AKH131" s="28"/>
      <c r="AKI131" s="28"/>
      <c r="AKJ131" s="28"/>
      <c r="AKK131" s="28"/>
      <c r="AKL131" s="28"/>
      <c r="AKM131" s="28"/>
      <c r="AKN131" s="28"/>
      <c r="AKO131" s="28"/>
      <c r="AKP131" s="28"/>
      <c r="AKQ131" s="28"/>
      <c r="AKR131" s="28"/>
      <c r="AKS131" s="28"/>
      <c r="AKT131" s="28"/>
      <c r="AKU131" s="28"/>
      <c r="AKV131" s="28"/>
      <c r="AKW131" s="28"/>
      <c r="AKX131" s="28"/>
      <c r="AKY131" s="28"/>
      <c r="AKZ131" s="28"/>
      <c r="ALA131" s="28"/>
      <c r="ALB131" s="28"/>
      <c r="ALC131" s="28"/>
      <c r="ALD131" s="28"/>
      <c r="ALE131" s="28"/>
      <c r="ALF131" s="28"/>
      <c r="ALG131" s="28"/>
      <c r="ALH131" s="28"/>
      <c r="ALI131" s="28"/>
      <c r="ALJ131" s="28"/>
      <c r="ALK131" s="28"/>
      <c r="ALL131" s="28"/>
      <c r="ALM131" s="28"/>
      <c r="ALN131" s="28"/>
      <c r="ALO131" s="28"/>
      <c r="ALP131" s="28"/>
      <c r="ALQ131" s="28"/>
      <c r="ALR131" s="28"/>
      <c r="ALS131" s="28"/>
      <c r="ALT131" s="28"/>
      <c r="ALU131" s="28"/>
      <c r="ALV131" s="28"/>
      <c r="ALW131" s="28"/>
      <c r="ALX131" s="28"/>
      <c r="ALY131" s="28"/>
      <c r="ALZ131" s="28"/>
      <c r="AMA131" s="28"/>
      <c r="AMB131" s="28"/>
      <c r="AMC131" s="28"/>
      <c r="AMD131" s="28"/>
      <c r="AME131" s="28"/>
      <c r="AMF131" s="28"/>
      <c r="AMG131" s="28"/>
      <c r="AMH131" s="28"/>
      <c r="AMI131" s="28"/>
      <c r="AMJ131" s="28"/>
    </row>
    <row r="132" spans="1:1024" s="29" customFormat="1" ht="15.75" customHeight="1" x14ac:dyDescent="0.3">
      <c r="A132" s="600"/>
      <c r="B132" s="466"/>
      <c r="C132" s="661"/>
      <c r="D132" s="658"/>
      <c r="E132" s="658"/>
      <c r="F132" s="659"/>
      <c r="G132" s="660"/>
      <c r="H132" s="660"/>
      <c r="I132" s="432"/>
      <c r="J132" s="21"/>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28"/>
      <c r="DQ132" s="28"/>
      <c r="DR132" s="28"/>
      <c r="DS132" s="28"/>
      <c r="DT132" s="28"/>
      <c r="DU132" s="28"/>
      <c r="DV132" s="28"/>
      <c r="DW132" s="28"/>
      <c r="DX132" s="28"/>
      <c r="DY132" s="28"/>
      <c r="DZ132" s="28"/>
      <c r="EA132" s="28"/>
      <c r="EB132" s="28"/>
      <c r="EC132" s="28"/>
      <c r="ED132" s="28"/>
      <c r="EE132" s="28"/>
      <c r="EF132" s="28"/>
      <c r="EG132" s="28"/>
      <c r="EH132" s="28"/>
      <c r="EI132" s="28"/>
      <c r="EJ132" s="28"/>
      <c r="EK132" s="28"/>
      <c r="EL132" s="28"/>
      <c r="EM132" s="28"/>
      <c r="EN132" s="28"/>
      <c r="EO132" s="28"/>
      <c r="EP132" s="28"/>
      <c r="EQ132" s="28"/>
      <c r="ER132" s="28"/>
      <c r="ES132" s="28"/>
      <c r="ET132" s="28"/>
      <c r="EU132" s="28"/>
      <c r="EV132" s="28"/>
      <c r="EW132" s="28"/>
      <c r="EX132" s="28"/>
      <c r="EY132" s="28"/>
      <c r="EZ132" s="28"/>
      <c r="FA132" s="28"/>
      <c r="AIQ132" s="28"/>
      <c r="AIR132" s="28"/>
      <c r="AIS132" s="28"/>
      <c r="AIT132" s="28"/>
      <c r="AIU132" s="28"/>
      <c r="AIV132" s="28"/>
      <c r="AIW132" s="28"/>
      <c r="AIX132" s="28"/>
      <c r="AIY132" s="28"/>
      <c r="AIZ132" s="28"/>
      <c r="AJA132" s="28"/>
      <c r="AJB132" s="28"/>
      <c r="AJC132" s="28"/>
      <c r="AJD132" s="28"/>
      <c r="AJE132" s="28"/>
      <c r="AJF132" s="28"/>
      <c r="AJG132" s="28"/>
      <c r="AJH132" s="28"/>
      <c r="AJI132" s="28"/>
      <c r="AJJ132" s="28"/>
      <c r="AJK132" s="28"/>
      <c r="AJL132" s="28"/>
      <c r="AJM132" s="28"/>
      <c r="AJN132" s="28"/>
      <c r="AJO132" s="28"/>
      <c r="AJP132" s="28"/>
      <c r="AJQ132" s="28"/>
      <c r="AJR132" s="28"/>
      <c r="AJS132" s="28"/>
      <c r="AJT132" s="28"/>
      <c r="AJU132" s="28"/>
      <c r="AJV132" s="28"/>
      <c r="AJW132" s="28"/>
      <c r="AJX132" s="28"/>
      <c r="AJY132" s="28"/>
      <c r="AJZ132" s="28"/>
      <c r="AKA132" s="28"/>
      <c r="AKB132" s="28"/>
      <c r="AKC132" s="28"/>
      <c r="AKD132" s="28"/>
      <c r="AKE132" s="28"/>
      <c r="AKF132" s="28"/>
      <c r="AKG132" s="28"/>
      <c r="AKH132" s="28"/>
      <c r="AKI132" s="28"/>
      <c r="AKJ132" s="28"/>
      <c r="AKK132" s="28"/>
      <c r="AKL132" s="28"/>
      <c r="AKM132" s="28"/>
      <c r="AKN132" s="28"/>
      <c r="AKO132" s="28"/>
      <c r="AKP132" s="28"/>
      <c r="AKQ132" s="28"/>
      <c r="AKR132" s="28"/>
      <c r="AKS132" s="28"/>
      <c r="AKT132" s="28"/>
      <c r="AKU132" s="28"/>
      <c r="AKV132" s="28"/>
      <c r="AKW132" s="28"/>
      <c r="AKX132" s="28"/>
      <c r="AKY132" s="28"/>
      <c r="AKZ132" s="28"/>
      <c r="ALA132" s="28"/>
      <c r="ALB132" s="28"/>
      <c r="ALC132" s="28"/>
      <c r="ALD132" s="28"/>
      <c r="ALE132" s="28"/>
      <c r="ALF132" s="28"/>
      <c r="ALG132" s="28"/>
      <c r="ALH132" s="28"/>
      <c r="ALI132" s="28"/>
      <c r="ALJ132" s="28"/>
      <c r="ALK132" s="28"/>
      <c r="ALL132" s="28"/>
      <c r="ALM132" s="28"/>
      <c r="ALN132" s="28"/>
      <c r="ALO132" s="28"/>
      <c r="ALP132" s="28"/>
      <c r="ALQ132" s="28"/>
      <c r="ALR132" s="28"/>
      <c r="ALS132" s="28"/>
      <c r="ALT132" s="28"/>
      <c r="ALU132" s="28"/>
      <c r="ALV132" s="28"/>
      <c r="ALW132" s="28"/>
      <c r="ALX132" s="28"/>
      <c r="ALY132" s="28"/>
      <c r="ALZ132" s="28"/>
      <c r="AMA132" s="28"/>
      <c r="AMB132" s="28"/>
      <c r="AMC132" s="28"/>
      <c r="AMD132" s="28"/>
      <c r="AME132" s="28"/>
      <c r="AMF132" s="28"/>
      <c r="AMG132" s="28"/>
      <c r="AMH132" s="28"/>
      <c r="AMI132" s="28"/>
      <c r="AMJ132" s="28"/>
    </row>
    <row r="133" spans="1:1024" ht="15.75" customHeight="1" x14ac:dyDescent="0.35">
      <c r="A133" s="1134" t="s">
        <v>388</v>
      </c>
      <c r="B133" s="1134"/>
      <c r="C133" s="667"/>
      <c r="D133" s="668"/>
      <c r="E133" s="668"/>
      <c r="F133" s="669"/>
      <c r="G133" s="667"/>
      <c r="H133" s="667"/>
      <c r="I133" s="670"/>
      <c r="J133" s="22"/>
    </row>
    <row r="134" spans="1:1024" s="34" customFormat="1" ht="29.25" customHeight="1" x14ac:dyDescent="0.3">
      <c r="A134" s="593" t="s">
        <v>389</v>
      </c>
      <c r="B134" s="671" t="s">
        <v>390</v>
      </c>
      <c r="C134" s="672" t="s">
        <v>210</v>
      </c>
      <c r="D134" s="673"/>
      <c r="E134" s="674"/>
      <c r="F134" s="675"/>
      <c r="G134" s="676" t="s">
        <v>214</v>
      </c>
      <c r="H134" s="676" t="s">
        <v>215</v>
      </c>
      <c r="I134" s="599"/>
      <c r="J134" s="21"/>
      <c r="K134" s="33"/>
      <c r="L134" s="33"/>
      <c r="M134" s="33"/>
      <c r="N134" s="33"/>
      <c r="O134" s="33"/>
      <c r="P134" s="33"/>
      <c r="Q134" s="33"/>
      <c r="R134" s="33"/>
      <c r="S134" s="33"/>
      <c r="T134" s="33"/>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c r="BS134" s="33"/>
      <c r="BT134" s="33"/>
      <c r="BU134" s="33"/>
      <c r="BV134" s="33"/>
      <c r="BW134" s="33"/>
      <c r="BX134" s="33"/>
      <c r="BY134" s="33"/>
      <c r="BZ134" s="33"/>
      <c r="CA134" s="33"/>
      <c r="CB134" s="33"/>
      <c r="CC134" s="33"/>
      <c r="CD134" s="33"/>
      <c r="CE134" s="33"/>
      <c r="CF134" s="33"/>
      <c r="CG134" s="33"/>
      <c r="CH134" s="33"/>
      <c r="CI134" s="33"/>
      <c r="CJ134" s="33"/>
      <c r="CK134" s="33"/>
      <c r="CL134" s="33"/>
      <c r="CM134" s="33"/>
      <c r="CN134" s="33"/>
      <c r="CO134" s="33"/>
      <c r="CP134" s="33"/>
      <c r="CQ134" s="33"/>
      <c r="CR134" s="33"/>
      <c r="CS134" s="33"/>
      <c r="CT134" s="33"/>
      <c r="CU134" s="33"/>
      <c r="CV134" s="33"/>
      <c r="CW134" s="33"/>
      <c r="CX134" s="33"/>
      <c r="CY134" s="33"/>
      <c r="CZ134" s="33"/>
      <c r="DA134" s="33"/>
      <c r="DB134" s="33"/>
      <c r="DC134" s="33"/>
      <c r="DD134" s="33"/>
      <c r="DE134" s="33"/>
      <c r="DF134" s="33"/>
      <c r="DG134" s="33"/>
      <c r="DH134" s="33"/>
      <c r="DI134" s="33"/>
      <c r="DJ134" s="33"/>
      <c r="DK134" s="33"/>
      <c r="DL134" s="33"/>
      <c r="DM134" s="33"/>
      <c r="DN134" s="33"/>
      <c r="DO134" s="33"/>
      <c r="DP134" s="33"/>
      <c r="DQ134" s="33"/>
      <c r="DR134" s="33"/>
      <c r="DS134" s="33"/>
      <c r="DT134" s="33"/>
      <c r="DU134" s="33"/>
      <c r="DV134" s="33"/>
      <c r="DW134" s="33"/>
      <c r="DX134" s="33"/>
      <c r="DY134" s="33"/>
      <c r="DZ134" s="33"/>
      <c r="EA134" s="33"/>
      <c r="EB134" s="33"/>
      <c r="EC134" s="33"/>
      <c r="ED134" s="33"/>
      <c r="EE134" s="33"/>
      <c r="EF134" s="33"/>
      <c r="EG134" s="33"/>
      <c r="EH134" s="33"/>
      <c r="EI134" s="33"/>
      <c r="EJ134" s="33"/>
      <c r="EK134" s="33"/>
      <c r="EL134" s="33"/>
      <c r="EM134" s="33"/>
      <c r="EN134" s="33"/>
      <c r="EO134" s="33"/>
      <c r="EP134" s="33"/>
      <c r="EQ134" s="33"/>
      <c r="ER134" s="33"/>
      <c r="ES134" s="33"/>
      <c r="ET134" s="33"/>
      <c r="EU134" s="33"/>
      <c r="EV134" s="33"/>
      <c r="EW134" s="33"/>
      <c r="EX134" s="33"/>
      <c r="EY134" s="33"/>
      <c r="EZ134" s="33"/>
      <c r="FA134" s="33"/>
      <c r="AIQ134" s="33"/>
      <c r="AIR134" s="33"/>
      <c r="AIS134" s="33"/>
      <c r="AIT134" s="33"/>
      <c r="AIU134" s="33"/>
      <c r="AIV134" s="33"/>
      <c r="AIW134" s="33"/>
      <c r="AIX134" s="33"/>
      <c r="AIY134" s="33"/>
      <c r="AIZ134" s="33"/>
      <c r="AJA134" s="33"/>
      <c r="AJB134" s="33"/>
      <c r="AJC134" s="33"/>
      <c r="AJD134" s="33"/>
      <c r="AJE134" s="33"/>
      <c r="AJF134" s="33"/>
      <c r="AJG134" s="33"/>
      <c r="AJH134" s="33"/>
      <c r="AJI134" s="33"/>
      <c r="AJJ134" s="33"/>
      <c r="AJK134" s="33"/>
      <c r="AJL134" s="33"/>
      <c r="AJM134" s="33"/>
      <c r="AJN134" s="33"/>
      <c r="AJO134" s="33"/>
      <c r="AJP134" s="33"/>
      <c r="AJQ134" s="33"/>
      <c r="AJR134" s="33"/>
      <c r="AJS134" s="33"/>
      <c r="AJT134" s="33"/>
      <c r="AJU134" s="33"/>
      <c r="AJV134" s="33"/>
      <c r="AJW134" s="33"/>
      <c r="AJX134" s="33"/>
      <c r="AJY134" s="33"/>
      <c r="AJZ134" s="33"/>
      <c r="AKA134" s="33"/>
      <c r="AKB134" s="33"/>
      <c r="AKC134" s="33"/>
      <c r="AKD134" s="33"/>
      <c r="AKE134" s="33"/>
      <c r="AKF134" s="33"/>
      <c r="AKG134" s="33"/>
      <c r="AKH134" s="33"/>
      <c r="AKI134" s="33"/>
      <c r="AKJ134" s="33"/>
      <c r="AKK134" s="33"/>
      <c r="AKL134" s="33"/>
      <c r="AKM134" s="33"/>
      <c r="AKN134" s="33"/>
      <c r="AKO134" s="33"/>
      <c r="AKP134" s="33"/>
      <c r="AKQ134" s="33"/>
      <c r="AKR134" s="33"/>
      <c r="AKS134" s="33"/>
      <c r="AKT134" s="33"/>
      <c r="AKU134" s="33"/>
      <c r="AKV134" s="33"/>
      <c r="AKW134" s="33"/>
      <c r="AKX134" s="33"/>
      <c r="AKY134" s="33"/>
      <c r="AKZ134" s="33"/>
      <c r="ALA134" s="33"/>
      <c r="ALB134" s="33"/>
      <c r="ALC134" s="33"/>
      <c r="ALD134" s="33"/>
      <c r="ALE134" s="33"/>
      <c r="ALF134" s="33"/>
      <c r="ALG134" s="33"/>
      <c r="ALH134" s="33"/>
      <c r="ALI134" s="33"/>
      <c r="ALJ134" s="33"/>
      <c r="ALK134" s="33"/>
      <c r="ALL134" s="33"/>
      <c r="ALM134" s="33"/>
      <c r="ALN134" s="33"/>
      <c r="ALO134" s="33"/>
      <c r="ALP134" s="33"/>
      <c r="ALQ134" s="33"/>
      <c r="ALR134" s="33"/>
      <c r="ALS134" s="33"/>
      <c r="ALT134" s="33"/>
      <c r="ALU134" s="33"/>
      <c r="ALV134" s="33"/>
      <c r="ALW134" s="33"/>
      <c r="ALX134" s="33"/>
      <c r="ALY134" s="33"/>
      <c r="ALZ134" s="33"/>
      <c r="AMA134" s="33"/>
      <c r="AMB134" s="33"/>
      <c r="AMC134" s="33"/>
      <c r="AMD134" s="33"/>
      <c r="AME134" s="33"/>
      <c r="AMF134" s="33"/>
      <c r="AMG134" s="33"/>
      <c r="AMH134" s="33"/>
      <c r="AMI134" s="33"/>
      <c r="AMJ134" s="33"/>
    </row>
    <row r="135" spans="1:1024" ht="15.75" customHeight="1" x14ac:dyDescent="0.35">
      <c r="A135" s="600"/>
      <c r="B135" s="662" t="s">
        <v>391</v>
      </c>
      <c r="C135" s="677"/>
      <c r="D135" s="668"/>
      <c r="E135" s="668"/>
      <c r="F135" s="678"/>
      <c r="G135" s="679" t="s">
        <v>282</v>
      </c>
      <c r="H135" s="678" t="s">
        <v>259</v>
      </c>
      <c r="I135" s="670"/>
      <c r="J135" s="22"/>
    </row>
    <row r="136" spans="1:1024" ht="15.75" customHeight="1" x14ac:dyDescent="0.35">
      <c r="A136" s="600"/>
      <c r="B136" s="662" t="s">
        <v>392</v>
      </c>
      <c r="C136" s="677"/>
      <c r="D136" s="668"/>
      <c r="E136" s="668"/>
      <c r="F136" s="678"/>
      <c r="G136" s="679" t="s">
        <v>234</v>
      </c>
      <c r="H136" s="678" t="s">
        <v>259</v>
      </c>
      <c r="I136" s="670"/>
      <c r="J136" s="22"/>
    </row>
    <row r="137" spans="1:1024" ht="15.75" customHeight="1" x14ac:dyDescent="0.35">
      <c r="A137" s="600"/>
      <c r="B137" s="662" t="s">
        <v>393</v>
      </c>
      <c r="C137" s="670"/>
      <c r="D137" s="668"/>
      <c r="E137" s="668"/>
      <c r="F137" s="678"/>
      <c r="G137" s="679" t="s">
        <v>311</v>
      </c>
      <c r="H137" s="678" t="s">
        <v>259</v>
      </c>
      <c r="I137" s="670"/>
      <c r="J137" s="22"/>
    </row>
    <row r="138" spans="1:1024" ht="15.75" customHeight="1" x14ac:dyDescent="0.35">
      <c r="A138" s="600"/>
      <c r="B138" s="662" t="s">
        <v>394</v>
      </c>
      <c r="C138" s="670"/>
      <c r="D138" s="668"/>
      <c r="E138" s="668"/>
      <c r="F138" s="678"/>
      <c r="G138" s="679" t="s">
        <v>311</v>
      </c>
      <c r="H138" s="678" t="s">
        <v>259</v>
      </c>
      <c r="I138" s="670"/>
      <c r="J138" s="22"/>
    </row>
    <row r="139" spans="1:1024" ht="15.75" customHeight="1" x14ac:dyDescent="0.35">
      <c r="A139" s="600"/>
      <c r="B139" s="662" t="s">
        <v>395</v>
      </c>
      <c r="C139" s="670"/>
      <c r="D139" s="668"/>
      <c r="E139" s="668"/>
      <c r="F139" s="678"/>
      <c r="G139" s="679" t="s">
        <v>396</v>
      </c>
      <c r="H139" s="679" t="s">
        <v>396</v>
      </c>
      <c r="I139" s="670"/>
      <c r="J139" s="22"/>
    </row>
    <row r="140" spans="1:1024" ht="15.75" customHeight="1" x14ac:dyDescent="0.35">
      <c r="A140" s="41"/>
      <c r="B140" s="680"/>
      <c r="C140" s="670"/>
      <c r="D140" s="681"/>
      <c r="E140" s="42"/>
      <c r="F140" s="43"/>
      <c r="G140" s="44"/>
      <c r="H140" s="44"/>
    </row>
    <row r="141" spans="1:1024" ht="15.75" customHeight="1" x14ac:dyDescent="0.35">
      <c r="A141" s="1134" t="s">
        <v>397</v>
      </c>
      <c r="B141" s="1134"/>
      <c r="C141" s="670"/>
      <c r="D141" s="681"/>
      <c r="E141" s="45"/>
      <c r="F141" s="46"/>
      <c r="G141" s="47"/>
      <c r="H141" s="47"/>
    </row>
    <row r="142" spans="1:1024" ht="15.75" customHeight="1" x14ac:dyDescent="0.35">
      <c r="A142" s="682" t="s">
        <v>208</v>
      </c>
      <c r="B142" s="683" t="s">
        <v>390</v>
      </c>
      <c r="C142" s="684" t="s">
        <v>215</v>
      </c>
      <c r="D142" s="685" t="s">
        <v>398</v>
      </c>
      <c r="E142" s="45"/>
      <c r="F142" s="46"/>
      <c r="G142" s="47"/>
      <c r="H142" s="47"/>
    </row>
    <row r="143" spans="1:1024" ht="15.75" customHeight="1" x14ac:dyDescent="0.35">
      <c r="A143" s="686"/>
      <c r="B143" s="454" t="s">
        <v>399</v>
      </c>
      <c r="C143" s="453" t="s">
        <v>400</v>
      </c>
      <c r="D143" s="658"/>
      <c r="E143" s="48"/>
      <c r="F143" s="49"/>
      <c r="G143" s="50"/>
      <c r="H143" s="50"/>
      <c r="I143" s="34"/>
      <c r="J143" s="34"/>
    </row>
    <row r="144" spans="1:1024" ht="15.75" customHeight="1" x14ac:dyDescent="0.35">
      <c r="A144" s="687"/>
      <c r="B144" s="454" t="s">
        <v>401</v>
      </c>
      <c r="C144" s="525" t="s">
        <v>402</v>
      </c>
      <c r="D144" s="688"/>
      <c r="E144" s="48"/>
      <c r="F144" s="49"/>
      <c r="G144" s="50"/>
      <c r="H144" s="50"/>
      <c r="I144" s="34"/>
      <c r="J144" s="34"/>
    </row>
    <row r="145" spans="1:10" ht="15.75" customHeight="1" x14ac:dyDescent="0.35">
      <c r="A145" s="687"/>
      <c r="B145" s="466" t="s">
        <v>403</v>
      </c>
      <c r="C145" s="525" t="s">
        <v>289</v>
      </c>
      <c r="D145" s="688"/>
      <c r="E145" s="48"/>
      <c r="F145" s="49"/>
      <c r="G145" s="50"/>
      <c r="H145" s="50"/>
      <c r="I145" s="34"/>
      <c r="J145" s="34"/>
    </row>
    <row r="146" spans="1:10" ht="15.75" customHeight="1" x14ac:dyDescent="0.35"/>
  </sheetData>
  <mergeCells count="4">
    <mergeCell ref="A1:C1"/>
    <mergeCell ref="D128:E128"/>
    <mergeCell ref="A133:B133"/>
    <mergeCell ref="A141:B141"/>
  </mergeCells>
  <pageMargins left="0.75" right="0.75" top="1" bottom="1" header="0.51180555555555496" footer="0.51180555555555496"/>
  <pageSetup paperSize="9" firstPageNumber="0"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MJ146"/>
  <sheetViews>
    <sheetView zoomScale="74" zoomScaleNormal="74" workbookViewId="0">
      <pane ySplit="2" topLeftCell="A27" activePane="bottomLeft" state="frozen"/>
      <selection pane="bottomLeft" activeCell="B29" sqref="B29"/>
    </sheetView>
  </sheetViews>
  <sheetFormatPr defaultColWidth="8.81640625" defaultRowHeight="14.5" x14ac:dyDescent="0.35"/>
  <cols>
    <col min="1" max="1" width="7.453125" style="15" customWidth="1"/>
    <col min="2" max="2" width="82.453125" style="2" customWidth="1"/>
    <col min="3" max="3" width="16" style="2" customWidth="1"/>
    <col min="4" max="4" width="31.453125" style="16" customWidth="1"/>
    <col min="5" max="5" width="26.453125" style="16" customWidth="1"/>
    <col min="6" max="6" width="18.453125" style="17" customWidth="1"/>
    <col min="7" max="7" width="29.453125" style="15" customWidth="1"/>
    <col min="8" max="8" width="31.453125" style="15" customWidth="1"/>
    <col min="9" max="10" width="30" style="2" customWidth="1"/>
    <col min="11" max="157" width="10.453125" style="2" customWidth="1"/>
    <col min="158" max="158" width="7.453125" style="2" customWidth="1"/>
    <col min="159" max="159" width="86.453125" style="2" customWidth="1"/>
    <col min="160" max="160" width="15.453125" style="2" customWidth="1"/>
    <col min="161" max="162" width="18" style="2" customWidth="1"/>
    <col min="163" max="163" width="12.453125" style="2" customWidth="1"/>
    <col min="164" max="165" width="20.453125" style="2" customWidth="1"/>
    <col min="166" max="167" width="30" style="2" customWidth="1"/>
    <col min="168" max="413" width="10.453125" style="2" customWidth="1"/>
    <col min="414" max="414" width="7.453125" style="2" customWidth="1"/>
    <col min="415" max="415" width="86.453125" style="2" customWidth="1"/>
    <col min="416" max="416" width="15.453125" style="2" customWidth="1"/>
    <col min="417" max="418" width="18" style="2" customWidth="1"/>
    <col min="419" max="419" width="12.453125" style="2" customWidth="1"/>
    <col min="420" max="421" width="20.453125" style="2" customWidth="1"/>
    <col min="422" max="423" width="30" style="2" customWidth="1"/>
    <col min="424" max="669" width="10.453125" style="2" customWidth="1"/>
    <col min="670" max="670" width="7.453125" style="2" customWidth="1"/>
    <col min="671" max="671" width="86.453125" style="2" customWidth="1"/>
    <col min="672" max="672" width="15.453125" style="2" customWidth="1"/>
    <col min="673" max="674" width="18" style="2" customWidth="1"/>
    <col min="675" max="675" width="12.453125" style="2" customWidth="1"/>
    <col min="676" max="677" width="20.453125" style="2" customWidth="1"/>
    <col min="678" max="679" width="30" style="2" customWidth="1"/>
    <col min="680" max="926" width="10.453125" style="2" customWidth="1"/>
    <col min="927" max="1025" width="8.453125" customWidth="1"/>
  </cols>
  <sheetData>
    <row r="1" spans="1:1024" s="22" customFormat="1" ht="45" customHeight="1" x14ac:dyDescent="0.3">
      <c r="A1" s="1132" t="s">
        <v>207</v>
      </c>
      <c r="B1" s="1132"/>
      <c r="C1" s="1132"/>
      <c r="D1" s="18"/>
      <c r="E1" s="18"/>
      <c r="F1" s="19"/>
      <c r="G1" s="20"/>
      <c r="H1" s="20"/>
      <c r="I1" s="21"/>
      <c r="J1" s="21"/>
    </row>
    <row r="2" spans="1:1024" s="24" customFormat="1" ht="63.75" customHeight="1" x14ac:dyDescent="0.35">
      <c r="A2" s="581" t="s">
        <v>208</v>
      </c>
      <c r="B2" s="582" t="s">
        <v>209</v>
      </c>
      <c r="C2" s="581" t="s">
        <v>210</v>
      </c>
      <c r="D2" s="583" t="s">
        <v>211</v>
      </c>
      <c r="E2" s="583" t="s">
        <v>212</v>
      </c>
      <c r="F2" s="584" t="s">
        <v>213</v>
      </c>
      <c r="G2" s="585" t="s">
        <v>214</v>
      </c>
      <c r="H2" s="585" t="s">
        <v>215</v>
      </c>
      <c r="I2" s="582" t="s">
        <v>216</v>
      </c>
      <c r="J2" s="23"/>
    </row>
    <row r="3" spans="1:1024" s="26" customFormat="1" ht="15.75" customHeight="1" x14ac:dyDescent="0.35">
      <c r="A3" s="586" t="s">
        <v>217</v>
      </c>
      <c r="B3" s="587" t="s">
        <v>218</v>
      </c>
      <c r="C3" s="588"/>
      <c r="D3" s="589"/>
      <c r="E3" s="589"/>
      <c r="F3" s="590"/>
      <c r="G3" s="591"/>
      <c r="H3" s="591"/>
      <c r="I3" s="592"/>
      <c r="J3" s="25"/>
    </row>
    <row r="4" spans="1:1024" s="29" customFormat="1" ht="15.75" customHeight="1" x14ac:dyDescent="0.3">
      <c r="A4" s="593" t="s">
        <v>219</v>
      </c>
      <c r="B4" s="594" t="s">
        <v>220</v>
      </c>
      <c r="C4" s="595"/>
      <c r="D4" s="596"/>
      <c r="E4" s="596"/>
      <c r="F4" s="597"/>
      <c r="G4" s="598"/>
      <c r="H4" s="598"/>
      <c r="I4" s="599"/>
      <c r="J4" s="21"/>
      <c r="K4" s="28"/>
      <c r="L4" s="28"/>
      <c r="M4" s="28"/>
      <c r="N4" s="28"/>
      <c r="O4" s="28"/>
      <c r="P4" s="28"/>
      <c r="Q4" s="28"/>
      <c r="R4" s="28"/>
      <c r="S4" s="28"/>
      <c r="T4" s="28"/>
      <c r="U4" s="28"/>
      <c r="V4" s="28"/>
      <c r="W4" s="28"/>
      <c r="X4" s="28"/>
      <c r="Y4" s="28"/>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c r="BV4" s="28"/>
      <c r="BW4" s="28"/>
      <c r="BX4" s="28"/>
      <c r="BY4" s="28"/>
      <c r="BZ4" s="28"/>
      <c r="CA4" s="28"/>
      <c r="CB4" s="28"/>
      <c r="CC4" s="28"/>
      <c r="CD4" s="28"/>
      <c r="CE4" s="28"/>
      <c r="CF4" s="28"/>
      <c r="CG4" s="28"/>
      <c r="CH4" s="28"/>
      <c r="CI4" s="28"/>
      <c r="CJ4" s="28"/>
      <c r="CK4" s="28"/>
      <c r="CL4" s="28"/>
      <c r="CM4" s="28"/>
      <c r="CN4" s="28"/>
      <c r="CO4" s="28"/>
      <c r="CP4" s="28"/>
      <c r="CQ4" s="28"/>
      <c r="CR4" s="28"/>
      <c r="CS4" s="28"/>
      <c r="CT4" s="28"/>
      <c r="CU4" s="28"/>
      <c r="CV4" s="28"/>
      <c r="CW4" s="28"/>
      <c r="CX4" s="28"/>
      <c r="CY4" s="28"/>
      <c r="CZ4" s="28"/>
      <c r="DA4" s="28"/>
      <c r="DB4" s="28"/>
      <c r="DC4" s="28"/>
      <c r="DD4" s="28"/>
      <c r="DE4" s="28"/>
      <c r="DF4" s="28"/>
      <c r="DG4" s="28"/>
      <c r="DH4" s="28"/>
      <c r="DI4" s="28"/>
      <c r="DJ4" s="28"/>
      <c r="DK4" s="28"/>
      <c r="DL4" s="28"/>
      <c r="DM4" s="28"/>
      <c r="DN4" s="28"/>
      <c r="DO4" s="28"/>
      <c r="DP4" s="28"/>
      <c r="DQ4" s="28"/>
      <c r="DR4" s="28"/>
      <c r="DS4" s="28"/>
      <c r="DT4" s="28"/>
      <c r="DU4" s="28"/>
      <c r="DV4" s="28"/>
      <c r="DW4" s="28"/>
      <c r="DX4" s="28"/>
      <c r="DY4" s="28"/>
      <c r="DZ4" s="28"/>
      <c r="EA4" s="28"/>
      <c r="EB4" s="28"/>
      <c r="EC4" s="28"/>
      <c r="ED4" s="28"/>
      <c r="EE4" s="28"/>
      <c r="EF4" s="28"/>
      <c r="EG4" s="28"/>
      <c r="EH4" s="28"/>
      <c r="EI4" s="28"/>
      <c r="EJ4" s="28"/>
      <c r="EK4" s="28"/>
      <c r="EL4" s="28"/>
      <c r="EM4" s="28"/>
      <c r="EN4" s="28"/>
      <c r="EO4" s="28"/>
      <c r="EP4" s="28"/>
      <c r="EQ4" s="28"/>
      <c r="ER4" s="28"/>
      <c r="ES4" s="28"/>
      <c r="ET4" s="28"/>
      <c r="EU4" s="28"/>
      <c r="EV4" s="28"/>
      <c r="EW4" s="28"/>
      <c r="EX4" s="28"/>
      <c r="EY4" s="28"/>
      <c r="EZ4" s="28"/>
      <c r="FA4" s="28"/>
      <c r="AIQ4" s="28"/>
      <c r="AIR4" s="28"/>
      <c r="AIS4" s="28"/>
      <c r="AIT4" s="28"/>
      <c r="AIU4" s="28"/>
      <c r="AIV4" s="28"/>
      <c r="AIW4" s="28"/>
      <c r="AIX4" s="28"/>
      <c r="AIY4" s="28"/>
      <c r="AIZ4" s="28"/>
      <c r="AJA4" s="28"/>
      <c r="AJB4" s="28"/>
      <c r="AJC4" s="28"/>
      <c r="AJD4" s="28"/>
      <c r="AJE4" s="28"/>
      <c r="AJF4" s="28"/>
      <c r="AJG4" s="28"/>
      <c r="AJH4" s="28"/>
      <c r="AJI4" s="28"/>
      <c r="AJJ4" s="28"/>
      <c r="AJK4" s="28"/>
      <c r="AJL4" s="28"/>
      <c r="AJM4" s="28"/>
      <c r="AJN4" s="28"/>
      <c r="AJO4" s="28"/>
      <c r="AJP4" s="28"/>
      <c r="AJQ4" s="28"/>
      <c r="AJR4" s="28"/>
      <c r="AJS4" s="28"/>
      <c r="AJT4" s="28"/>
      <c r="AJU4" s="28"/>
      <c r="AJV4" s="28"/>
      <c r="AJW4" s="28"/>
      <c r="AJX4" s="28"/>
      <c r="AJY4" s="28"/>
      <c r="AJZ4" s="28"/>
      <c r="AKA4" s="28"/>
      <c r="AKB4" s="28"/>
      <c r="AKC4" s="28"/>
      <c r="AKD4" s="28"/>
      <c r="AKE4" s="28"/>
      <c r="AKF4" s="28"/>
      <c r="AKG4" s="28"/>
      <c r="AKH4" s="28"/>
      <c r="AKI4" s="28"/>
      <c r="AKJ4" s="28"/>
      <c r="AKK4" s="28"/>
      <c r="AKL4" s="28"/>
      <c r="AKM4" s="28"/>
      <c r="AKN4" s="28"/>
      <c r="AKO4" s="28"/>
      <c r="AKP4" s="28"/>
      <c r="AKQ4" s="28"/>
      <c r="AKR4" s="28"/>
      <c r="AKS4" s="28"/>
      <c r="AKT4" s="28"/>
      <c r="AKU4" s="28"/>
      <c r="AKV4" s="28"/>
      <c r="AKW4" s="28"/>
      <c r="AKX4" s="28"/>
      <c r="AKY4" s="28"/>
      <c r="AKZ4" s="28"/>
      <c r="ALA4" s="28"/>
      <c r="ALB4" s="28"/>
      <c r="ALC4" s="28"/>
      <c r="ALD4" s="28"/>
      <c r="ALE4" s="28"/>
      <c r="ALF4" s="28"/>
      <c r="ALG4" s="28"/>
      <c r="ALH4" s="28"/>
      <c r="ALI4" s="28"/>
      <c r="ALJ4" s="28"/>
      <c r="ALK4" s="28"/>
      <c r="ALL4" s="28"/>
      <c r="ALM4" s="28"/>
      <c r="ALN4" s="28"/>
      <c r="ALO4" s="28"/>
      <c r="ALP4" s="28"/>
      <c r="ALQ4" s="28"/>
      <c r="ALR4" s="28"/>
      <c r="ALS4" s="28"/>
      <c r="ALT4" s="28"/>
      <c r="ALU4" s="28"/>
      <c r="ALV4" s="28"/>
      <c r="ALW4" s="28"/>
      <c r="ALX4" s="28"/>
      <c r="ALY4" s="28"/>
      <c r="ALZ4" s="28"/>
      <c r="AMA4" s="28"/>
      <c r="AMB4" s="28"/>
      <c r="AMC4" s="28"/>
      <c r="AMD4" s="28"/>
      <c r="AME4" s="28"/>
      <c r="AMF4" s="28"/>
      <c r="AMG4" s="28"/>
      <c r="AMH4" s="28"/>
      <c r="AMI4" s="28"/>
      <c r="AMJ4" s="28"/>
    </row>
    <row r="5" spans="1:1024" s="29" customFormat="1" ht="27" customHeight="1" x14ac:dyDescent="0.3">
      <c r="A5" s="600"/>
      <c r="B5" s="601" t="s">
        <v>221</v>
      </c>
      <c r="C5" s="602" t="s">
        <v>222</v>
      </c>
      <c r="D5" s="603"/>
      <c r="E5" s="603"/>
      <c r="F5" s="602" t="s">
        <v>223</v>
      </c>
      <c r="G5" s="453" t="s">
        <v>224</v>
      </c>
      <c r="H5" s="453" t="s">
        <v>224</v>
      </c>
      <c r="I5" s="461"/>
      <c r="J5" s="30"/>
      <c r="K5" s="28"/>
      <c r="L5" s="28"/>
      <c r="M5" s="28"/>
      <c r="N5" s="28"/>
      <c r="O5" s="28"/>
      <c r="P5" s="28"/>
      <c r="Q5" s="28"/>
      <c r="R5" s="28"/>
      <c r="S5" s="28"/>
      <c r="T5" s="28"/>
      <c r="U5" s="28"/>
      <c r="V5" s="28"/>
      <c r="W5" s="28"/>
      <c r="X5" s="28"/>
      <c r="Y5" s="28"/>
      <c r="Z5" s="28"/>
      <c r="AA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c r="BV5" s="28"/>
      <c r="BW5" s="28"/>
      <c r="BX5" s="28"/>
      <c r="BY5" s="28"/>
      <c r="BZ5" s="28"/>
      <c r="CA5" s="28"/>
      <c r="CB5" s="28"/>
      <c r="CC5" s="28"/>
      <c r="CD5" s="28"/>
      <c r="CE5" s="28"/>
      <c r="CF5" s="28"/>
      <c r="CG5" s="28"/>
      <c r="CH5" s="28"/>
      <c r="CI5" s="28"/>
      <c r="CJ5" s="28"/>
      <c r="CK5" s="28"/>
      <c r="CL5" s="28"/>
      <c r="CM5" s="28"/>
      <c r="CN5" s="28"/>
      <c r="CO5" s="28"/>
      <c r="CP5" s="28"/>
      <c r="CQ5" s="28"/>
      <c r="CR5" s="28"/>
      <c r="CS5" s="28"/>
      <c r="CT5" s="28"/>
      <c r="CU5" s="28"/>
      <c r="CV5" s="28"/>
      <c r="CW5" s="28"/>
      <c r="CX5" s="28"/>
      <c r="CY5" s="28"/>
      <c r="CZ5" s="28"/>
      <c r="DA5" s="28"/>
      <c r="DB5" s="28"/>
      <c r="DC5" s="28"/>
      <c r="DD5" s="28"/>
      <c r="DE5" s="28"/>
      <c r="DF5" s="28"/>
      <c r="DG5" s="28"/>
      <c r="DH5" s="28"/>
      <c r="DI5" s="28"/>
      <c r="DJ5" s="28"/>
      <c r="DK5" s="28"/>
      <c r="DL5" s="28"/>
      <c r="DM5" s="28"/>
      <c r="DN5" s="28"/>
      <c r="DO5" s="28"/>
      <c r="DP5" s="28"/>
      <c r="DQ5" s="28"/>
      <c r="DR5" s="28"/>
      <c r="DS5" s="28"/>
      <c r="DT5" s="28"/>
      <c r="DU5" s="28"/>
      <c r="DV5" s="28"/>
      <c r="DW5" s="28"/>
      <c r="DX5" s="28"/>
      <c r="DY5" s="28"/>
      <c r="DZ5" s="28"/>
      <c r="EA5" s="28"/>
      <c r="EB5" s="28"/>
      <c r="EC5" s="28"/>
      <c r="ED5" s="28"/>
      <c r="EE5" s="28"/>
      <c r="EF5" s="28"/>
      <c r="EG5" s="28"/>
      <c r="EH5" s="28"/>
      <c r="EI5" s="28"/>
      <c r="EJ5" s="28"/>
      <c r="EK5" s="28"/>
      <c r="EL5" s="28"/>
      <c r="EM5" s="28"/>
      <c r="EN5" s="28"/>
      <c r="EO5" s="28"/>
      <c r="EP5" s="28"/>
      <c r="EQ5" s="28"/>
      <c r="ER5" s="28"/>
      <c r="ES5" s="28"/>
      <c r="ET5" s="28"/>
      <c r="EU5" s="28"/>
      <c r="EV5" s="28"/>
      <c r="EW5" s="28"/>
      <c r="EX5" s="28"/>
      <c r="EY5" s="28"/>
      <c r="EZ5" s="28"/>
      <c r="FA5" s="28"/>
      <c r="AIQ5" s="28"/>
      <c r="AIR5" s="28"/>
      <c r="AIS5" s="28"/>
      <c r="AIT5" s="28"/>
      <c r="AIU5" s="28"/>
      <c r="AIV5" s="28"/>
      <c r="AIW5" s="28"/>
      <c r="AIX5" s="28"/>
      <c r="AIY5" s="28"/>
      <c r="AIZ5" s="28"/>
      <c r="AJA5" s="28"/>
      <c r="AJB5" s="28"/>
      <c r="AJC5" s="28"/>
      <c r="AJD5" s="28"/>
      <c r="AJE5" s="28"/>
      <c r="AJF5" s="28"/>
      <c r="AJG5" s="28"/>
      <c r="AJH5" s="28"/>
      <c r="AJI5" s="28"/>
      <c r="AJJ5" s="28"/>
      <c r="AJK5" s="28"/>
      <c r="AJL5" s="28"/>
      <c r="AJM5" s="28"/>
      <c r="AJN5" s="28"/>
      <c r="AJO5" s="28"/>
      <c r="AJP5" s="28"/>
      <c r="AJQ5" s="28"/>
      <c r="AJR5" s="28"/>
      <c r="AJS5" s="28"/>
      <c r="AJT5" s="28"/>
      <c r="AJU5" s="28"/>
      <c r="AJV5" s="28"/>
      <c r="AJW5" s="28"/>
      <c r="AJX5" s="28"/>
      <c r="AJY5" s="28"/>
      <c r="AJZ5" s="28"/>
      <c r="AKA5" s="28"/>
      <c r="AKB5" s="28"/>
      <c r="AKC5" s="28"/>
      <c r="AKD5" s="28"/>
      <c r="AKE5" s="28"/>
      <c r="AKF5" s="28"/>
      <c r="AKG5" s="28"/>
      <c r="AKH5" s="28"/>
      <c r="AKI5" s="28"/>
      <c r="AKJ5" s="28"/>
      <c r="AKK5" s="28"/>
      <c r="AKL5" s="28"/>
      <c r="AKM5" s="28"/>
      <c r="AKN5" s="28"/>
      <c r="AKO5" s="28"/>
      <c r="AKP5" s="28"/>
      <c r="AKQ5" s="28"/>
      <c r="AKR5" s="28"/>
      <c r="AKS5" s="28"/>
      <c r="AKT5" s="28"/>
      <c r="AKU5" s="28"/>
      <c r="AKV5" s="28"/>
      <c r="AKW5" s="28"/>
      <c r="AKX5" s="28"/>
      <c r="AKY5" s="28"/>
      <c r="AKZ5" s="28"/>
      <c r="ALA5" s="28"/>
      <c r="ALB5" s="28"/>
      <c r="ALC5" s="28"/>
      <c r="ALD5" s="28"/>
      <c r="ALE5" s="28"/>
      <c r="ALF5" s="28"/>
      <c r="ALG5" s="28"/>
      <c r="ALH5" s="28"/>
      <c r="ALI5" s="28"/>
      <c r="ALJ5" s="28"/>
      <c r="ALK5" s="28"/>
      <c r="ALL5" s="28"/>
      <c r="ALM5" s="28"/>
      <c r="ALN5" s="28"/>
      <c r="ALO5" s="28"/>
      <c r="ALP5" s="28"/>
      <c r="ALQ5" s="28"/>
      <c r="ALR5" s="28"/>
      <c r="ALS5" s="28"/>
      <c r="ALT5" s="28"/>
      <c r="ALU5" s="28"/>
      <c r="ALV5" s="28"/>
      <c r="ALW5" s="28"/>
      <c r="ALX5" s="28"/>
      <c r="ALY5" s="28"/>
      <c r="ALZ5" s="28"/>
      <c r="AMA5" s="28"/>
      <c r="AMB5" s="28"/>
      <c r="AMC5" s="28"/>
      <c r="AMD5" s="28"/>
      <c r="AME5" s="28"/>
      <c r="AMF5" s="28"/>
      <c r="AMG5" s="28"/>
      <c r="AMH5" s="28"/>
      <c r="AMI5" s="28"/>
      <c r="AMJ5" s="28"/>
    </row>
    <row r="6" spans="1:1024" s="29" customFormat="1" ht="26.9" customHeight="1" x14ac:dyDescent="0.3">
      <c r="A6" s="600"/>
      <c r="B6" s="601" t="s">
        <v>225</v>
      </c>
      <c r="C6" s="602"/>
      <c r="D6" s="603"/>
      <c r="E6" s="603"/>
      <c r="F6" s="602" t="s">
        <v>226</v>
      </c>
      <c r="G6" s="453" t="s">
        <v>227</v>
      </c>
      <c r="H6" s="453" t="s">
        <v>228</v>
      </c>
      <c r="I6" s="461"/>
      <c r="J6" s="30"/>
      <c r="K6" s="28"/>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c r="ALN6" s="28"/>
      <c r="ALO6" s="28"/>
      <c r="ALP6" s="28"/>
      <c r="ALQ6" s="28"/>
      <c r="ALR6" s="28"/>
      <c r="ALS6" s="28"/>
      <c r="ALT6" s="28"/>
      <c r="ALU6" s="28"/>
      <c r="ALV6" s="28"/>
      <c r="ALW6" s="28"/>
      <c r="ALX6" s="28"/>
      <c r="ALY6" s="28"/>
      <c r="ALZ6" s="28"/>
      <c r="AMA6" s="28"/>
      <c r="AMB6" s="28"/>
      <c r="AMC6" s="28"/>
      <c r="AMD6" s="28"/>
      <c r="AME6" s="28"/>
      <c r="AMF6" s="28"/>
      <c r="AMG6" s="28"/>
      <c r="AMH6" s="28"/>
      <c r="AMI6" s="28"/>
      <c r="AMJ6" s="28"/>
    </row>
    <row r="7" spans="1:1024" s="29" customFormat="1" ht="15.75" customHeight="1" x14ac:dyDescent="0.3">
      <c r="A7" s="600"/>
      <c r="B7" s="601" t="s">
        <v>229</v>
      </c>
      <c r="C7" s="603"/>
      <c r="D7" s="603"/>
      <c r="E7" s="603"/>
      <c r="F7" s="602" t="s">
        <v>223</v>
      </c>
      <c r="G7" s="453" t="s">
        <v>230</v>
      </c>
      <c r="H7" s="453" t="s">
        <v>231</v>
      </c>
      <c r="I7" s="461"/>
      <c r="J7" s="30"/>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AIQ7" s="28"/>
      <c r="AIR7" s="28"/>
      <c r="AIS7" s="28"/>
      <c r="AIT7" s="28"/>
      <c r="AIU7" s="28"/>
      <c r="AIV7" s="28"/>
      <c r="AIW7" s="28"/>
      <c r="AIX7" s="28"/>
      <c r="AIY7" s="28"/>
      <c r="AIZ7" s="28"/>
      <c r="AJA7" s="28"/>
      <c r="AJB7" s="28"/>
      <c r="AJC7" s="28"/>
      <c r="AJD7" s="28"/>
      <c r="AJE7" s="28"/>
      <c r="AJF7" s="28"/>
      <c r="AJG7" s="28"/>
      <c r="AJH7" s="28"/>
      <c r="AJI7" s="28"/>
      <c r="AJJ7" s="28"/>
      <c r="AJK7" s="28"/>
      <c r="AJL7" s="28"/>
      <c r="AJM7" s="28"/>
      <c r="AJN7" s="28"/>
      <c r="AJO7" s="28"/>
      <c r="AJP7" s="28"/>
      <c r="AJQ7" s="28"/>
      <c r="AJR7" s="28"/>
      <c r="AJS7" s="28"/>
      <c r="AJT7" s="28"/>
      <c r="AJU7" s="28"/>
      <c r="AJV7" s="28"/>
      <c r="AJW7" s="28"/>
      <c r="AJX7" s="28"/>
      <c r="AJY7" s="28"/>
      <c r="AJZ7" s="28"/>
      <c r="AKA7" s="28"/>
      <c r="AKB7" s="28"/>
      <c r="AKC7" s="28"/>
      <c r="AKD7" s="28"/>
      <c r="AKE7" s="28"/>
      <c r="AKF7" s="28"/>
      <c r="AKG7" s="28"/>
      <c r="AKH7" s="28"/>
      <c r="AKI7" s="28"/>
      <c r="AKJ7" s="28"/>
      <c r="AKK7" s="28"/>
      <c r="AKL7" s="28"/>
      <c r="AKM7" s="28"/>
      <c r="AKN7" s="28"/>
      <c r="AKO7" s="28"/>
      <c r="AKP7" s="28"/>
      <c r="AKQ7" s="28"/>
      <c r="AKR7" s="28"/>
      <c r="AKS7" s="28"/>
      <c r="AKT7" s="28"/>
      <c r="AKU7" s="28"/>
      <c r="AKV7" s="28"/>
      <c r="AKW7" s="28"/>
      <c r="AKX7" s="28"/>
      <c r="AKY7" s="28"/>
      <c r="AKZ7" s="28"/>
      <c r="ALA7" s="28"/>
      <c r="ALB7" s="28"/>
      <c r="ALC7" s="28"/>
      <c r="ALD7" s="28"/>
      <c r="ALE7" s="28"/>
      <c r="ALF7" s="28"/>
      <c r="ALG7" s="28"/>
      <c r="ALH7" s="28"/>
      <c r="ALI7" s="28"/>
      <c r="ALJ7" s="28"/>
      <c r="ALK7" s="28"/>
      <c r="ALL7" s="28"/>
      <c r="ALM7" s="28"/>
      <c r="ALN7" s="28"/>
      <c r="ALO7" s="28"/>
      <c r="ALP7" s="28"/>
      <c r="ALQ7" s="28"/>
      <c r="ALR7" s="28"/>
      <c r="ALS7" s="28"/>
      <c r="ALT7" s="28"/>
      <c r="ALU7" s="28"/>
      <c r="ALV7" s="28"/>
      <c r="ALW7" s="28"/>
      <c r="ALX7" s="28"/>
      <c r="ALY7" s="28"/>
      <c r="ALZ7" s="28"/>
      <c r="AMA7" s="28"/>
      <c r="AMB7" s="28"/>
      <c r="AMC7" s="28"/>
      <c r="AMD7" s="28"/>
      <c r="AME7" s="28"/>
      <c r="AMF7" s="28"/>
      <c r="AMG7" s="28"/>
      <c r="AMH7" s="28"/>
      <c r="AMI7" s="28"/>
      <c r="AMJ7" s="28"/>
    </row>
    <row r="8" spans="1:1024" s="29" customFormat="1" ht="15.75" customHeight="1" x14ac:dyDescent="0.3">
      <c r="A8" s="600"/>
      <c r="B8" s="601" t="s">
        <v>232</v>
      </c>
      <c r="C8" s="603"/>
      <c r="D8" s="603"/>
      <c r="E8" s="603"/>
      <c r="F8" s="602" t="s">
        <v>223</v>
      </c>
      <c r="G8" s="453" t="s">
        <v>233</v>
      </c>
      <c r="H8" s="453" t="s">
        <v>234</v>
      </c>
      <c r="I8" s="461"/>
      <c r="J8" s="30"/>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c r="BV8" s="28"/>
      <c r="BW8" s="28"/>
      <c r="BX8" s="28"/>
      <c r="BY8" s="28"/>
      <c r="BZ8" s="28"/>
      <c r="CA8" s="28"/>
      <c r="CB8" s="28"/>
      <c r="CC8" s="28"/>
      <c r="CD8" s="28"/>
      <c r="CE8" s="28"/>
      <c r="CF8" s="28"/>
      <c r="CG8" s="28"/>
      <c r="CH8" s="28"/>
      <c r="CI8" s="28"/>
      <c r="CJ8" s="28"/>
      <c r="CK8" s="28"/>
      <c r="CL8" s="28"/>
      <c r="CM8" s="28"/>
      <c r="CN8" s="28"/>
      <c r="CO8" s="28"/>
      <c r="CP8" s="28"/>
      <c r="CQ8" s="28"/>
      <c r="CR8" s="28"/>
      <c r="CS8" s="28"/>
      <c r="CT8" s="28"/>
      <c r="CU8" s="28"/>
      <c r="CV8" s="28"/>
      <c r="CW8" s="28"/>
      <c r="CX8" s="28"/>
      <c r="CY8" s="28"/>
      <c r="CZ8" s="28"/>
      <c r="DA8" s="28"/>
      <c r="DB8" s="28"/>
      <c r="DC8" s="28"/>
      <c r="DD8" s="28"/>
      <c r="DE8" s="28"/>
      <c r="DF8" s="28"/>
      <c r="DG8" s="28"/>
      <c r="DH8" s="28"/>
      <c r="DI8" s="28"/>
      <c r="DJ8" s="28"/>
      <c r="DK8" s="28"/>
      <c r="DL8" s="28"/>
      <c r="DM8" s="28"/>
      <c r="DN8" s="28"/>
      <c r="DO8" s="28"/>
      <c r="DP8" s="28"/>
      <c r="DQ8" s="28"/>
      <c r="DR8" s="28"/>
      <c r="DS8" s="28"/>
      <c r="DT8" s="28"/>
      <c r="DU8" s="28"/>
      <c r="DV8" s="28"/>
      <c r="DW8" s="28"/>
      <c r="DX8" s="28"/>
      <c r="DY8" s="28"/>
      <c r="DZ8" s="28"/>
      <c r="EA8" s="28"/>
      <c r="EB8" s="28"/>
      <c r="EC8" s="28"/>
      <c r="ED8" s="28"/>
      <c r="EE8" s="28"/>
      <c r="EF8" s="28"/>
      <c r="EG8" s="28"/>
      <c r="EH8" s="28"/>
      <c r="EI8" s="28"/>
      <c r="EJ8" s="28"/>
      <c r="EK8" s="28"/>
      <c r="EL8" s="28"/>
      <c r="EM8" s="28"/>
      <c r="EN8" s="28"/>
      <c r="EO8" s="28"/>
      <c r="EP8" s="28"/>
      <c r="EQ8" s="28"/>
      <c r="ER8" s="28"/>
      <c r="ES8" s="28"/>
      <c r="ET8" s="28"/>
      <c r="EU8" s="28"/>
      <c r="EV8" s="28"/>
      <c r="EW8" s="28"/>
      <c r="EX8" s="28"/>
      <c r="EY8" s="28"/>
      <c r="EZ8" s="28"/>
      <c r="FA8" s="28"/>
      <c r="AIQ8" s="28"/>
      <c r="AIR8" s="28"/>
      <c r="AIS8" s="28"/>
      <c r="AIT8" s="28"/>
      <c r="AIU8" s="28"/>
      <c r="AIV8" s="28"/>
      <c r="AIW8" s="28"/>
      <c r="AIX8" s="28"/>
      <c r="AIY8" s="28"/>
      <c r="AIZ8" s="28"/>
      <c r="AJA8" s="28"/>
      <c r="AJB8" s="28"/>
      <c r="AJC8" s="28"/>
      <c r="AJD8" s="28"/>
      <c r="AJE8" s="28"/>
      <c r="AJF8" s="28"/>
      <c r="AJG8" s="28"/>
      <c r="AJH8" s="28"/>
      <c r="AJI8" s="28"/>
      <c r="AJJ8" s="28"/>
      <c r="AJK8" s="28"/>
      <c r="AJL8" s="28"/>
      <c r="AJM8" s="28"/>
      <c r="AJN8" s="28"/>
      <c r="AJO8" s="28"/>
      <c r="AJP8" s="28"/>
      <c r="AJQ8" s="28"/>
      <c r="AJR8" s="28"/>
      <c r="AJS8" s="28"/>
      <c r="AJT8" s="28"/>
      <c r="AJU8" s="28"/>
      <c r="AJV8" s="28"/>
      <c r="AJW8" s="28"/>
      <c r="AJX8" s="28"/>
      <c r="AJY8" s="28"/>
      <c r="AJZ8" s="28"/>
      <c r="AKA8" s="28"/>
      <c r="AKB8" s="28"/>
      <c r="AKC8" s="28"/>
      <c r="AKD8" s="28"/>
      <c r="AKE8" s="28"/>
      <c r="AKF8" s="28"/>
      <c r="AKG8" s="28"/>
      <c r="AKH8" s="28"/>
      <c r="AKI8" s="28"/>
      <c r="AKJ8" s="28"/>
      <c r="AKK8" s="28"/>
      <c r="AKL8" s="28"/>
      <c r="AKM8" s="28"/>
      <c r="AKN8" s="28"/>
      <c r="AKO8" s="28"/>
      <c r="AKP8" s="28"/>
      <c r="AKQ8" s="28"/>
      <c r="AKR8" s="28"/>
      <c r="AKS8" s="28"/>
      <c r="AKT8" s="28"/>
      <c r="AKU8" s="28"/>
      <c r="AKV8" s="28"/>
      <c r="AKW8" s="28"/>
      <c r="AKX8" s="28"/>
      <c r="AKY8" s="28"/>
      <c r="AKZ8" s="28"/>
      <c r="ALA8" s="28"/>
      <c r="ALB8" s="28"/>
      <c r="ALC8" s="28"/>
      <c r="ALD8" s="28"/>
      <c r="ALE8" s="28"/>
      <c r="ALF8" s="28"/>
      <c r="ALG8" s="28"/>
      <c r="ALH8" s="28"/>
      <c r="ALI8" s="28"/>
      <c r="ALJ8" s="28"/>
      <c r="ALK8" s="28"/>
      <c r="ALL8" s="28"/>
      <c r="ALM8" s="28"/>
      <c r="ALN8" s="28"/>
      <c r="ALO8" s="28"/>
      <c r="ALP8" s="28"/>
      <c r="ALQ8" s="28"/>
      <c r="ALR8" s="28"/>
      <c r="ALS8" s="28"/>
      <c r="ALT8" s="28"/>
      <c r="ALU8" s="28"/>
      <c r="ALV8" s="28"/>
      <c r="ALW8" s="28"/>
      <c r="ALX8" s="28"/>
      <c r="ALY8" s="28"/>
      <c r="ALZ8" s="28"/>
      <c r="AMA8" s="28"/>
      <c r="AMB8" s="28"/>
      <c r="AMC8" s="28"/>
      <c r="AMD8" s="28"/>
      <c r="AME8" s="28"/>
      <c r="AMF8" s="28"/>
      <c r="AMG8" s="28"/>
      <c r="AMH8" s="28"/>
      <c r="AMI8" s="28"/>
      <c r="AMJ8" s="28"/>
    </row>
    <row r="9" spans="1:1024" s="29" customFormat="1" ht="24.75" customHeight="1" x14ac:dyDescent="0.3">
      <c r="A9" s="600"/>
      <c r="B9" s="601" t="s">
        <v>235</v>
      </c>
      <c r="C9" s="602"/>
      <c r="D9" s="603"/>
      <c r="E9" s="603"/>
      <c r="F9" s="602" t="s">
        <v>223</v>
      </c>
      <c r="G9" s="453" t="s">
        <v>233</v>
      </c>
      <c r="H9" s="453" t="s">
        <v>234</v>
      </c>
      <c r="I9" s="461"/>
      <c r="J9" s="30"/>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c r="BV9" s="28"/>
      <c r="BW9" s="28"/>
      <c r="BX9" s="28"/>
      <c r="BY9" s="28"/>
      <c r="BZ9" s="28"/>
      <c r="CA9" s="28"/>
      <c r="CB9" s="28"/>
      <c r="CC9" s="28"/>
      <c r="CD9" s="28"/>
      <c r="CE9" s="28"/>
      <c r="CF9" s="28"/>
      <c r="CG9" s="28"/>
      <c r="CH9" s="28"/>
      <c r="CI9" s="28"/>
      <c r="CJ9" s="28"/>
      <c r="CK9" s="28"/>
      <c r="CL9" s="28"/>
      <c r="CM9" s="28"/>
      <c r="CN9" s="28"/>
      <c r="CO9" s="28"/>
      <c r="CP9" s="28"/>
      <c r="CQ9" s="28"/>
      <c r="CR9" s="28"/>
      <c r="CS9" s="28"/>
      <c r="CT9" s="28"/>
      <c r="CU9" s="28"/>
      <c r="CV9" s="28"/>
      <c r="CW9" s="28"/>
      <c r="CX9" s="28"/>
      <c r="CY9" s="28"/>
      <c r="CZ9" s="28"/>
      <c r="DA9" s="28"/>
      <c r="DB9" s="28"/>
      <c r="DC9" s="28"/>
      <c r="DD9" s="28"/>
      <c r="DE9" s="28"/>
      <c r="DF9" s="28"/>
      <c r="DG9" s="28"/>
      <c r="DH9" s="28"/>
      <c r="DI9" s="28"/>
      <c r="DJ9" s="28"/>
      <c r="DK9" s="28"/>
      <c r="DL9" s="28"/>
      <c r="DM9" s="28"/>
      <c r="DN9" s="28"/>
      <c r="DO9" s="28"/>
      <c r="DP9" s="28"/>
      <c r="DQ9" s="28"/>
      <c r="DR9" s="28"/>
      <c r="DS9" s="28"/>
      <c r="DT9" s="28"/>
      <c r="DU9" s="28"/>
      <c r="DV9" s="28"/>
      <c r="DW9" s="28"/>
      <c r="DX9" s="28"/>
      <c r="DY9" s="28"/>
      <c r="DZ9" s="28"/>
      <c r="EA9" s="28"/>
      <c r="EB9" s="28"/>
      <c r="EC9" s="28"/>
      <c r="ED9" s="28"/>
      <c r="EE9" s="28"/>
      <c r="EF9" s="28"/>
      <c r="EG9" s="28"/>
      <c r="EH9" s="28"/>
      <c r="EI9" s="28"/>
      <c r="EJ9" s="28"/>
      <c r="EK9" s="28"/>
      <c r="EL9" s="28"/>
      <c r="EM9" s="28"/>
      <c r="EN9" s="28"/>
      <c r="EO9" s="28"/>
      <c r="EP9" s="28"/>
      <c r="EQ9" s="28"/>
      <c r="ER9" s="28"/>
      <c r="ES9" s="28"/>
      <c r="ET9" s="28"/>
      <c r="EU9" s="28"/>
      <c r="EV9" s="28"/>
      <c r="EW9" s="28"/>
      <c r="EX9" s="28"/>
      <c r="EY9" s="28"/>
      <c r="EZ9" s="28"/>
      <c r="FA9" s="28"/>
      <c r="AIQ9" s="28"/>
      <c r="AIR9" s="28"/>
      <c r="AIS9" s="28"/>
      <c r="AIT9" s="28"/>
      <c r="AIU9" s="28"/>
      <c r="AIV9" s="28"/>
      <c r="AIW9" s="28"/>
      <c r="AIX9" s="28"/>
      <c r="AIY9" s="28"/>
      <c r="AIZ9" s="28"/>
      <c r="AJA9" s="28"/>
      <c r="AJB9" s="28"/>
      <c r="AJC9" s="28"/>
      <c r="AJD9" s="28"/>
      <c r="AJE9" s="28"/>
      <c r="AJF9" s="28"/>
      <c r="AJG9" s="28"/>
      <c r="AJH9" s="28"/>
      <c r="AJI9" s="28"/>
      <c r="AJJ9" s="28"/>
      <c r="AJK9" s="28"/>
      <c r="AJL9" s="28"/>
      <c r="AJM9" s="28"/>
      <c r="AJN9" s="28"/>
      <c r="AJO9" s="28"/>
      <c r="AJP9" s="28"/>
      <c r="AJQ9" s="28"/>
      <c r="AJR9" s="28"/>
      <c r="AJS9" s="28"/>
      <c r="AJT9" s="28"/>
      <c r="AJU9" s="28"/>
      <c r="AJV9" s="28"/>
      <c r="AJW9" s="28"/>
      <c r="AJX9" s="28"/>
      <c r="AJY9" s="28"/>
      <c r="AJZ9" s="28"/>
      <c r="AKA9" s="28"/>
      <c r="AKB9" s="28"/>
      <c r="AKC9" s="28"/>
      <c r="AKD9" s="28"/>
      <c r="AKE9" s="28"/>
      <c r="AKF9" s="28"/>
      <c r="AKG9" s="28"/>
      <c r="AKH9" s="28"/>
      <c r="AKI9" s="28"/>
      <c r="AKJ9" s="28"/>
      <c r="AKK9" s="28"/>
      <c r="AKL9" s="28"/>
      <c r="AKM9" s="28"/>
      <c r="AKN9" s="28"/>
      <c r="AKO9" s="28"/>
      <c r="AKP9" s="28"/>
      <c r="AKQ9" s="28"/>
      <c r="AKR9" s="28"/>
      <c r="AKS9" s="28"/>
      <c r="AKT9" s="28"/>
      <c r="AKU9" s="28"/>
      <c r="AKV9" s="28"/>
      <c r="AKW9" s="28"/>
      <c r="AKX9" s="28"/>
      <c r="AKY9" s="28"/>
      <c r="AKZ9" s="28"/>
      <c r="ALA9" s="28"/>
      <c r="ALB9" s="28"/>
      <c r="ALC9" s="28"/>
      <c r="ALD9" s="28"/>
      <c r="ALE9" s="28"/>
      <c r="ALF9" s="28"/>
      <c r="ALG9" s="28"/>
      <c r="ALH9" s="28"/>
      <c r="ALI9" s="28"/>
      <c r="ALJ9" s="28"/>
      <c r="ALK9" s="28"/>
      <c r="ALL9" s="28"/>
      <c r="ALM9" s="28"/>
      <c r="ALN9" s="28"/>
      <c r="ALO9" s="28"/>
      <c r="ALP9" s="28"/>
      <c r="ALQ9" s="28"/>
      <c r="ALR9" s="28"/>
      <c r="ALS9" s="28"/>
      <c r="ALT9" s="28"/>
      <c r="ALU9" s="28"/>
      <c r="ALV9" s="28"/>
      <c r="ALW9" s="28"/>
      <c r="ALX9" s="28"/>
      <c r="ALY9" s="28"/>
      <c r="ALZ9" s="28"/>
      <c r="AMA9" s="28"/>
      <c r="AMB9" s="28"/>
      <c r="AMC9" s="28"/>
      <c r="AMD9" s="28"/>
      <c r="AME9" s="28"/>
      <c r="AMF9" s="28"/>
      <c r="AMG9" s="28"/>
      <c r="AMH9" s="28"/>
      <c r="AMI9" s="28"/>
      <c r="AMJ9" s="28"/>
    </row>
    <row r="10" spans="1:1024" s="29" customFormat="1" ht="15.75" customHeight="1" x14ac:dyDescent="0.3">
      <c r="A10" s="600"/>
      <c r="B10" s="601" t="s">
        <v>236</v>
      </c>
      <c r="C10" s="602"/>
      <c r="D10" s="603"/>
      <c r="E10" s="603"/>
      <c r="F10" s="602" t="s">
        <v>223</v>
      </c>
      <c r="G10" s="453" t="s">
        <v>234</v>
      </c>
      <c r="H10" s="453" t="s">
        <v>234</v>
      </c>
      <c r="I10" s="461"/>
      <c r="J10" s="30"/>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c r="BV10" s="28"/>
      <c r="BW10" s="28"/>
      <c r="BX10" s="28"/>
      <c r="BY10" s="28"/>
      <c r="BZ10" s="28"/>
      <c r="CA10" s="28"/>
      <c r="CB10" s="28"/>
      <c r="CC10" s="28"/>
      <c r="CD10" s="28"/>
      <c r="CE10" s="28"/>
      <c r="CF10" s="28"/>
      <c r="CG10" s="28"/>
      <c r="CH10" s="28"/>
      <c r="CI10" s="28"/>
      <c r="CJ10" s="28"/>
      <c r="CK10" s="28"/>
      <c r="CL10" s="28"/>
      <c r="CM10" s="28"/>
      <c r="CN10" s="28"/>
      <c r="CO10" s="28"/>
      <c r="CP10" s="28"/>
      <c r="CQ10" s="28"/>
      <c r="CR10" s="28"/>
      <c r="CS10" s="28"/>
      <c r="CT10" s="28"/>
      <c r="CU10" s="28"/>
      <c r="CV10" s="28"/>
      <c r="CW10" s="28"/>
      <c r="CX10" s="28"/>
      <c r="CY10" s="28"/>
      <c r="CZ10" s="28"/>
      <c r="DA10" s="28"/>
      <c r="DB10" s="28"/>
      <c r="DC10" s="28"/>
      <c r="DD10" s="28"/>
      <c r="DE10" s="28"/>
      <c r="DF10" s="28"/>
      <c r="DG10" s="28"/>
      <c r="DH10" s="28"/>
      <c r="DI10" s="28"/>
      <c r="DJ10" s="28"/>
      <c r="DK10" s="28"/>
      <c r="DL10" s="28"/>
      <c r="DM10" s="28"/>
      <c r="DN10" s="28"/>
      <c r="DO10" s="28"/>
      <c r="DP10" s="28"/>
      <c r="DQ10" s="28"/>
      <c r="DR10" s="28"/>
      <c r="DS10" s="28"/>
      <c r="DT10" s="28"/>
      <c r="DU10" s="28"/>
      <c r="DV10" s="28"/>
      <c r="DW10" s="28"/>
      <c r="DX10" s="28"/>
      <c r="DY10" s="28"/>
      <c r="DZ10" s="28"/>
      <c r="EA10" s="28"/>
      <c r="EB10" s="28"/>
      <c r="EC10" s="28"/>
      <c r="ED10" s="28"/>
      <c r="EE10" s="28"/>
      <c r="EF10" s="28"/>
      <c r="EG10" s="28"/>
      <c r="EH10" s="28"/>
      <c r="EI10" s="28"/>
      <c r="EJ10" s="28"/>
      <c r="EK10" s="28"/>
      <c r="EL10" s="28"/>
      <c r="EM10" s="28"/>
      <c r="EN10" s="28"/>
      <c r="EO10" s="28"/>
      <c r="EP10" s="28"/>
      <c r="EQ10" s="28"/>
      <c r="ER10" s="28"/>
      <c r="ES10" s="28"/>
      <c r="ET10" s="28"/>
      <c r="EU10" s="28"/>
      <c r="EV10" s="28"/>
      <c r="EW10" s="28"/>
      <c r="EX10" s="28"/>
      <c r="EY10" s="28"/>
      <c r="EZ10" s="28"/>
      <c r="FA10" s="28"/>
      <c r="AIQ10" s="28"/>
      <c r="AIR10" s="28"/>
      <c r="AIS10" s="28"/>
      <c r="AIT10" s="28"/>
      <c r="AIU10" s="28"/>
      <c r="AIV10" s="28"/>
      <c r="AIW10" s="28"/>
      <c r="AIX10" s="28"/>
      <c r="AIY10" s="28"/>
      <c r="AIZ10" s="28"/>
      <c r="AJA10" s="28"/>
      <c r="AJB10" s="28"/>
      <c r="AJC10" s="28"/>
      <c r="AJD10" s="28"/>
      <c r="AJE10" s="28"/>
      <c r="AJF10" s="28"/>
      <c r="AJG10" s="28"/>
      <c r="AJH10" s="28"/>
      <c r="AJI10" s="28"/>
      <c r="AJJ10" s="28"/>
      <c r="AJK10" s="28"/>
      <c r="AJL10" s="28"/>
      <c r="AJM10" s="28"/>
      <c r="AJN10" s="28"/>
      <c r="AJO10" s="28"/>
      <c r="AJP10" s="28"/>
      <c r="AJQ10" s="28"/>
      <c r="AJR10" s="28"/>
      <c r="AJS10" s="28"/>
      <c r="AJT10" s="28"/>
      <c r="AJU10" s="28"/>
      <c r="AJV10" s="28"/>
      <c r="AJW10" s="28"/>
      <c r="AJX10" s="28"/>
      <c r="AJY10" s="28"/>
      <c r="AJZ10" s="28"/>
      <c r="AKA10" s="28"/>
      <c r="AKB10" s="28"/>
      <c r="AKC10" s="28"/>
      <c r="AKD10" s="28"/>
      <c r="AKE10" s="28"/>
      <c r="AKF10" s="28"/>
      <c r="AKG10" s="28"/>
      <c r="AKH10" s="28"/>
      <c r="AKI10" s="28"/>
      <c r="AKJ10" s="28"/>
      <c r="AKK10" s="28"/>
      <c r="AKL10" s="28"/>
      <c r="AKM10" s="28"/>
      <c r="AKN10" s="28"/>
      <c r="AKO10" s="28"/>
      <c r="AKP10" s="28"/>
      <c r="AKQ10" s="28"/>
      <c r="AKR10" s="28"/>
      <c r="AKS10" s="28"/>
      <c r="AKT10" s="28"/>
      <c r="AKU10" s="28"/>
      <c r="AKV10" s="28"/>
      <c r="AKW10" s="28"/>
      <c r="AKX10" s="28"/>
      <c r="AKY10" s="28"/>
      <c r="AKZ10" s="28"/>
      <c r="ALA10" s="28"/>
      <c r="ALB10" s="28"/>
      <c r="ALC10" s="28"/>
      <c r="ALD10" s="28"/>
      <c r="ALE10" s="28"/>
      <c r="ALF10" s="28"/>
      <c r="ALG10" s="28"/>
      <c r="ALH10" s="28"/>
      <c r="ALI10" s="28"/>
      <c r="ALJ10" s="28"/>
      <c r="ALK10" s="28"/>
      <c r="ALL10" s="28"/>
      <c r="ALM10" s="28"/>
      <c r="ALN10" s="28"/>
      <c r="ALO10" s="28"/>
      <c r="ALP10" s="28"/>
      <c r="ALQ10" s="28"/>
      <c r="ALR10" s="28"/>
      <c r="ALS10" s="28"/>
      <c r="ALT10" s="28"/>
      <c r="ALU10" s="28"/>
      <c r="ALV10" s="28"/>
      <c r="ALW10" s="28"/>
      <c r="ALX10" s="28"/>
      <c r="ALY10" s="28"/>
      <c r="ALZ10" s="28"/>
      <c r="AMA10" s="28"/>
      <c r="AMB10" s="28"/>
      <c r="AMC10" s="28"/>
      <c r="AMD10" s="28"/>
      <c r="AME10" s="28"/>
      <c r="AMF10" s="28"/>
      <c r="AMG10" s="28"/>
      <c r="AMH10" s="28"/>
      <c r="AMI10" s="28"/>
      <c r="AMJ10" s="28"/>
    </row>
    <row r="11" spans="1:1024" s="29" customFormat="1" ht="15.75" customHeight="1" x14ac:dyDescent="0.3">
      <c r="A11" s="600"/>
      <c r="B11" s="601" t="s">
        <v>237</v>
      </c>
      <c r="C11" s="602"/>
      <c r="D11" s="603"/>
      <c r="E11" s="603"/>
      <c r="F11" s="604" t="s">
        <v>223</v>
      </c>
      <c r="G11" s="453" t="s">
        <v>234</v>
      </c>
      <c r="H11" s="453" t="s">
        <v>234</v>
      </c>
      <c r="I11" s="461"/>
      <c r="J11" s="30"/>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c r="CJ11" s="28"/>
      <c r="CK11" s="28"/>
      <c r="CL11" s="28"/>
      <c r="CM11" s="28"/>
      <c r="CN11" s="28"/>
      <c r="CO11" s="28"/>
      <c r="CP11" s="28"/>
      <c r="CQ11" s="28"/>
      <c r="CR11" s="28"/>
      <c r="CS11" s="28"/>
      <c r="CT11" s="28"/>
      <c r="CU11" s="28"/>
      <c r="CV11" s="28"/>
      <c r="CW11" s="28"/>
      <c r="CX11" s="28"/>
      <c r="CY11" s="28"/>
      <c r="CZ11" s="28"/>
      <c r="DA11" s="28"/>
      <c r="DB11" s="28"/>
      <c r="DC11" s="28"/>
      <c r="DD11" s="28"/>
      <c r="DE11" s="28"/>
      <c r="DF11" s="28"/>
      <c r="DG11" s="28"/>
      <c r="DH11" s="28"/>
      <c r="DI11" s="28"/>
      <c r="DJ11" s="28"/>
      <c r="DK11" s="28"/>
      <c r="DL11" s="28"/>
      <c r="DM11" s="28"/>
      <c r="DN11" s="28"/>
      <c r="DO11" s="28"/>
      <c r="DP11" s="28"/>
      <c r="DQ11" s="28"/>
      <c r="DR11" s="28"/>
      <c r="DS11" s="28"/>
      <c r="DT11" s="28"/>
      <c r="DU11" s="28"/>
      <c r="DV11" s="28"/>
      <c r="DW11" s="28"/>
      <c r="DX11" s="28"/>
      <c r="DY11" s="28"/>
      <c r="DZ11" s="28"/>
      <c r="EA11" s="28"/>
      <c r="EB11" s="28"/>
      <c r="EC11" s="28"/>
      <c r="ED11" s="28"/>
      <c r="EE11" s="28"/>
      <c r="EF11" s="28"/>
      <c r="EG11" s="28"/>
      <c r="EH11" s="28"/>
      <c r="EI11" s="28"/>
      <c r="EJ11" s="28"/>
      <c r="EK11" s="28"/>
      <c r="EL11" s="28"/>
      <c r="EM11" s="28"/>
      <c r="EN11" s="28"/>
      <c r="EO11" s="28"/>
      <c r="EP11" s="28"/>
      <c r="EQ11" s="28"/>
      <c r="ER11" s="28"/>
      <c r="ES11" s="28"/>
      <c r="ET11" s="28"/>
      <c r="EU11" s="28"/>
      <c r="EV11" s="28"/>
      <c r="EW11" s="28"/>
      <c r="EX11" s="28"/>
      <c r="EY11" s="28"/>
      <c r="EZ11" s="28"/>
      <c r="FA11" s="28"/>
      <c r="AIQ11" s="28"/>
      <c r="AIR11" s="28"/>
      <c r="AIS11" s="28"/>
      <c r="AIT11" s="28"/>
      <c r="AIU11" s="28"/>
      <c r="AIV11" s="28"/>
      <c r="AIW11" s="28"/>
      <c r="AIX11" s="28"/>
      <c r="AIY11" s="28"/>
      <c r="AIZ11" s="28"/>
      <c r="AJA11" s="28"/>
      <c r="AJB11" s="28"/>
      <c r="AJC11" s="28"/>
      <c r="AJD11" s="28"/>
      <c r="AJE11" s="28"/>
      <c r="AJF11" s="28"/>
      <c r="AJG11" s="28"/>
      <c r="AJH11" s="28"/>
      <c r="AJI11" s="28"/>
      <c r="AJJ11" s="28"/>
      <c r="AJK11" s="28"/>
      <c r="AJL11" s="28"/>
      <c r="AJM11" s="28"/>
      <c r="AJN11" s="28"/>
      <c r="AJO11" s="28"/>
      <c r="AJP11" s="28"/>
      <c r="AJQ11" s="28"/>
      <c r="AJR11" s="28"/>
      <c r="AJS11" s="28"/>
      <c r="AJT11" s="28"/>
      <c r="AJU11" s="28"/>
      <c r="AJV11" s="28"/>
      <c r="AJW11" s="28"/>
      <c r="AJX11" s="28"/>
      <c r="AJY11" s="28"/>
      <c r="AJZ11" s="28"/>
      <c r="AKA11" s="28"/>
      <c r="AKB11" s="28"/>
      <c r="AKC11" s="28"/>
      <c r="AKD11" s="28"/>
      <c r="AKE11" s="28"/>
      <c r="AKF11" s="28"/>
      <c r="AKG11" s="28"/>
      <c r="AKH11" s="28"/>
      <c r="AKI11" s="28"/>
      <c r="AKJ11" s="28"/>
      <c r="AKK11" s="28"/>
      <c r="AKL11" s="28"/>
      <c r="AKM11" s="28"/>
      <c r="AKN11" s="28"/>
      <c r="AKO11" s="28"/>
      <c r="AKP11" s="28"/>
      <c r="AKQ11" s="28"/>
      <c r="AKR11" s="28"/>
      <c r="AKS11" s="28"/>
      <c r="AKT11" s="28"/>
      <c r="AKU11" s="28"/>
      <c r="AKV11" s="28"/>
      <c r="AKW11" s="28"/>
      <c r="AKX11" s="28"/>
      <c r="AKY11" s="28"/>
      <c r="AKZ11" s="28"/>
      <c r="ALA11" s="28"/>
      <c r="ALB11" s="28"/>
      <c r="ALC11" s="28"/>
      <c r="ALD11" s="28"/>
      <c r="ALE11" s="28"/>
      <c r="ALF11" s="28"/>
      <c r="ALG11" s="28"/>
      <c r="ALH11" s="28"/>
      <c r="ALI11" s="28"/>
      <c r="ALJ11" s="28"/>
      <c r="ALK11" s="28"/>
      <c r="ALL11" s="28"/>
      <c r="ALM11" s="28"/>
      <c r="ALN11" s="28"/>
      <c r="ALO11" s="28"/>
      <c r="ALP11" s="28"/>
      <c r="ALQ11" s="28"/>
      <c r="ALR11" s="28"/>
      <c r="ALS11" s="28"/>
      <c r="ALT11" s="28"/>
      <c r="ALU11" s="28"/>
      <c r="ALV11" s="28"/>
      <c r="ALW11" s="28"/>
      <c r="ALX11" s="28"/>
      <c r="ALY11" s="28"/>
      <c r="ALZ11" s="28"/>
      <c r="AMA11" s="28"/>
      <c r="AMB11" s="28"/>
      <c r="AMC11" s="28"/>
      <c r="AMD11" s="28"/>
      <c r="AME11" s="28"/>
      <c r="AMF11" s="28"/>
      <c r="AMG11" s="28"/>
      <c r="AMH11" s="28"/>
      <c r="AMI11" s="28"/>
      <c r="AMJ11" s="28"/>
    </row>
    <row r="12" spans="1:1024" s="29" customFormat="1" ht="15.75" customHeight="1" x14ac:dyDescent="0.3">
      <c r="A12" s="593" t="s">
        <v>238</v>
      </c>
      <c r="B12" s="594" t="s">
        <v>239</v>
      </c>
      <c r="C12" s="605"/>
      <c r="D12" s="605"/>
      <c r="E12" s="605"/>
      <c r="F12" s="606"/>
      <c r="G12" s="607"/>
      <c r="H12" s="607"/>
      <c r="I12" s="608"/>
      <c r="J12" s="30"/>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AIQ12" s="28"/>
      <c r="AIR12" s="28"/>
      <c r="AIS12" s="28"/>
      <c r="AIT12" s="28"/>
      <c r="AIU12" s="28"/>
      <c r="AIV12" s="28"/>
      <c r="AIW12" s="28"/>
      <c r="AIX12" s="28"/>
      <c r="AIY12" s="28"/>
      <c r="AIZ12" s="28"/>
      <c r="AJA12" s="28"/>
      <c r="AJB12" s="28"/>
      <c r="AJC12" s="28"/>
      <c r="AJD12" s="28"/>
      <c r="AJE12" s="28"/>
      <c r="AJF12" s="28"/>
      <c r="AJG12" s="28"/>
      <c r="AJH12" s="28"/>
      <c r="AJI12" s="28"/>
      <c r="AJJ12" s="28"/>
      <c r="AJK12" s="28"/>
      <c r="AJL12" s="28"/>
      <c r="AJM12" s="28"/>
      <c r="AJN12" s="28"/>
      <c r="AJO12" s="28"/>
      <c r="AJP12" s="28"/>
      <c r="AJQ12" s="28"/>
      <c r="AJR12" s="28"/>
      <c r="AJS12" s="28"/>
      <c r="AJT12" s="28"/>
      <c r="AJU12" s="28"/>
      <c r="AJV12" s="28"/>
      <c r="AJW12" s="28"/>
      <c r="AJX12" s="28"/>
      <c r="AJY12" s="28"/>
      <c r="AJZ12" s="28"/>
      <c r="AKA12" s="28"/>
      <c r="AKB12" s="28"/>
      <c r="AKC12" s="28"/>
      <c r="AKD12" s="28"/>
      <c r="AKE12" s="28"/>
      <c r="AKF12" s="28"/>
      <c r="AKG12" s="28"/>
      <c r="AKH12" s="28"/>
      <c r="AKI12" s="28"/>
      <c r="AKJ12" s="28"/>
      <c r="AKK12" s="28"/>
      <c r="AKL12" s="28"/>
      <c r="AKM12" s="28"/>
      <c r="AKN12" s="28"/>
      <c r="AKO12" s="28"/>
      <c r="AKP12" s="28"/>
      <c r="AKQ12" s="28"/>
      <c r="AKR12" s="28"/>
      <c r="AKS12" s="28"/>
      <c r="AKT12" s="28"/>
      <c r="AKU12" s="28"/>
      <c r="AKV12" s="28"/>
      <c r="AKW12" s="28"/>
      <c r="AKX12" s="28"/>
      <c r="AKY12" s="28"/>
      <c r="AKZ12" s="28"/>
      <c r="ALA12" s="28"/>
      <c r="ALB12" s="28"/>
      <c r="ALC12" s="28"/>
      <c r="ALD12" s="28"/>
      <c r="ALE12" s="28"/>
      <c r="ALF12" s="28"/>
      <c r="ALG12" s="28"/>
      <c r="ALH12" s="28"/>
      <c r="ALI12" s="28"/>
      <c r="ALJ12" s="28"/>
      <c r="ALK12" s="28"/>
      <c r="ALL12" s="28"/>
      <c r="ALM12" s="28"/>
      <c r="ALN12" s="28"/>
      <c r="ALO12" s="28"/>
      <c r="ALP12" s="28"/>
      <c r="ALQ12" s="28"/>
      <c r="ALR12" s="28"/>
      <c r="ALS12" s="28"/>
      <c r="ALT12" s="28"/>
      <c r="ALU12" s="28"/>
      <c r="ALV12" s="28"/>
      <c r="ALW12" s="28"/>
      <c r="ALX12" s="28"/>
      <c r="ALY12" s="28"/>
      <c r="ALZ12" s="28"/>
      <c r="AMA12" s="28"/>
      <c r="AMB12" s="28"/>
      <c r="AMC12" s="28"/>
      <c r="AMD12" s="28"/>
      <c r="AME12" s="28"/>
      <c r="AMF12" s="28"/>
      <c r="AMG12" s="28"/>
      <c r="AMH12" s="28"/>
      <c r="AMI12" s="28"/>
      <c r="AMJ12" s="28"/>
    </row>
    <row r="13" spans="1:1024" s="29" customFormat="1" ht="15.75" customHeight="1" x14ac:dyDescent="0.35">
      <c r="A13" s="600"/>
      <c r="B13" s="609" t="s">
        <v>240</v>
      </c>
      <c r="C13" s="602"/>
      <c r="D13" s="602"/>
      <c r="E13" s="602"/>
      <c r="F13" s="604" t="s">
        <v>223</v>
      </c>
      <c r="G13" s="610" t="s">
        <v>241</v>
      </c>
      <c r="H13" s="453" t="s">
        <v>234</v>
      </c>
      <c r="I13" s="611"/>
      <c r="J13" s="30"/>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AIQ13" s="28"/>
      <c r="AIR13" s="28"/>
      <c r="AIS13" s="28"/>
      <c r="AIT13" s="28"/>
      <c r="AIU13" s="28"/>
      <c r="AIV13" s="28"/>
      <c r="AIW13" s="28"/>
      <c r="AIX13" s="28"/>
      <c r="AIY13" s="28"/>
      <c r="AIZ13" s="28"/>
      <c r="AJA13" s="28"/>
      <c r="AJB13" s="28"/>
      <c r="AJC13" s="28"/>
      <c r="AJD13" s="28"/>
      <c r="AJE13" s="28"/>
      <c r="AJF13" s="28"/>
      <c r="AJG13" s="28"/>
      <c r="AJH13" s="28"/>
      <c r="AJI13" s="28"/>
      <c r="AJJ13" s="28"/>
      <c r="AJK13" s="28"/>
      <c r="AJL13" s="28"/>
      <c r="AJM13" s="28"/>
      <c r="AJN13" s="28"/>
      <c r="AJO13" s="28"/>
      <c r="AJP13" s="28"/>
      <c r="AJQ13" s="28"/>
      <c r="AJR13" s="28"/>
      <c r="AJS13" s="28"/>
      <c r="AJT13" s="28"/>
      <c r="AJU13" s="28"/>
      <c r="AJV13" s="28"/>
      <c r="AJW13" s="28"/>
      <c r="AJX13" s="28"/>
      <c r="AJY13" s="28"/>
      <c r="AJZ13" s="28"/>
      <c r="AKA13" s="28"/>
      <c r="AKB13" s="28"/>
      <c r="AKC13" s="28"/>
      <c r="AKD13" s="28"/>
      <c r="AKE13" s="28"/>
      <c r="AKF13" s="28"/>
      <c r="AKG13" s="28"/>
      <c r="AKH13" s="28"/>
      <c r="AKI13" s="28"/>
      <c r="AKJ13" s="28"/>
      <c r="AKK13" s="28"/>
      <c r="AKL13" s="28"/>
      <c r="AKM13" s="28"/>
      <c r="AKN13" s="28"/>
      <c r="AKO13" s="28"/>
      <c r="AKP13" s="28"/>
      <c r="AKQ13" s="28"/>
      <c r="AKR13" s="28"/>
      <c r="AKS13" s="28"/>
      <c r="AKT13" s="28"/>
      <c r="AKU13" s="28"/>
      <c r="AKV13" s="28"/>
      <c r="AKW13" s="28"/>
      <c r="AKX13" s="28"/>
      <c r="AKY13" s="28"/>
      <c r="AKZ13" s="28"/>
      <c r="ALA13" s="28"/>
      <c r="ALB13" s="28"/>
      <c r="ALC13" s="28"/>
      <c r="ALD13" s="28"/>
      <c r="ALE13" s="28"/>
      <c r="ALF13" s="28"/>
      <c r="ALG13" s="28"/>
      <c r="ALH13" s="28"/>
      <c r="ALI13" s="28"/>
      <c r="ALJ13" s="28"/>
      <c r="ALK13" s="28"/>
      <c r="ALL13" s="28"/>
      <c r="ALM13" s="28"/>
      <c r="ALN13" s="28"/>
      <c r="ALO13" s="28"/>
      <c r="ALP13" s="28"/>
      <c r="ALQ13" s="28"/>
      <c r="ALR13" s="28"/>
      <c r="ALS13" s="28"/>
      <c r="ALT13" s="28"/>
      <c r="ALU13" s="28"/>
      <c r="ALV13" s="28"/>
      <c r="ALW13" s="28"/>
      <c r="ALX13" s="28"/>
      <c r="ALY13" s="28"/>
      <c r="ALZ13" s="28"/>
      <c r="AMA13" s="28"/>
      <c r="AMB13" s="28"/>
      <c r="AMC13" s="28"/>
      <c r="AMD13" s="28"/>
      <c r="AME13" s="28"/>
      <c r="AMF13" s="28"/>
      <c r="AMG13" s="28"/>
      <c r="AMH13" s="28"/>
      <c r="AMI13" s="28"/>
      <c r="AMJ13" s="28"/>
    </row>
    <row r="14" spans="1:1024" s="29" customFormat="1" ht="15.75" customHeight="1" x14ac:dyDescent="0.35">
      <c r="A14" s="600"/>
      <c r="B14" s="609" t="s">
        <v>242</v>
      </c>
      <c r="C14" s="602"/>
      <c r="D14" s="602"/>
      <c r="E14" s="602"/>
      <c r="F14" s="604" t="s">
        <v>223</v>
      </c>
      <c r="G14" s="610" t="s">
        <v>243</v>
      </c>
      <c r="H14" s="453" t="s">
        <v>244</v>
      </c>
      <c r="I14" s="461"/>
      <c r="J14" s="30"/>
      <c r="K14" s="28"/>
      <c r="L14" s="28"/>
      <c r="M14" s="28"/>
      <c r="N14" s="28"/>
      <c r="O14" s="28"/>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c r="BV14" s="28"/>
      <c r="BW14" s="28"/>
      <c r="BX14" s="28"/>
      <c r="BY14" s="28"/>
      <c r="BZ14" s="28"/>
      <c r="CA14" s="28"/>
      <c r="CB14" s="28"/>
      <c r="CC14" s="28"/>
      <c r="CD14" s="28"/>
      <c r="CE14" s="28"/>
      <c r="CF14" s="28"/>
      <c r="CG14" s="28"/>
      <c r="CH14" s="28"/>
      <c r="CI14" s="28"/>
      <c r="CJ14" s="28"/>
      <c r="CK14" s="28"/>
      <c r="CL14" s="28"/>
      <c r="CM14" s="28"/>
      <c r="CN14" s="28"/>
      <c r="CO14" s="28"/>
      <c r="CP14" s="28"/>
      <c r="CQ14" s="28"/>
      <c r="CR14" s="28"/>
      <c r="CS14" s="28"/>
      <c r="CT14" s="28"/>
      <c r="CU14" s="28"/>
      <c r="CV14" s="28"/>
      <c r="CW14" s="28"/>
      <c r="CX14" s="28"/>
      <c r="CY14" s="28"/>
      <c r="CZ14" s="28"/>
      <c r="DA14" s="28"/>
      <c r="DB14" s="28"/>
      <c r="DC14" s="28"/>
      <c r="DD14" s="28"/>
      <c r="DE14" s="28"/>
      <c r="DF14" s="28"/>
      <c r="DG14" s="28"/>
      <c r="DH14" s="28"/>
      <c r="DI14" s="28"/>
      <c r="DJ14" s="28"/>
      <c r="DK14" s="28"/>
      <c r="DL14" s="28"/>
      <c r="DM14" s="28"/>
      <c r="DN14" s="28"/>
      <c r="DO14" s="28"/>
      <c r="DP14" s="28"/>
      <c r="DQ14" s="28"/>
      <c r="DR14" s="28"/>
      <c r="DS14" s="28"/>
      <c r="DT14" s="28"/>
      <c r="DU14" s="28"/>
      <c r="DV14" s="28"/>
      <c r="DW14" s="28"/>
      <c r="DX14" s="28"/>
      <c r="DY14" s="28"/>
      <c r="DZ14" s="28"/>
      <c r="EA14" s="28"/>
      <c r="EB14" s="28"/>
      <c r="EC14" s="28"/>
      <c r="ED14" s="28"/>
      <c r="EE14" s="28"/>
      <c r="EF14" s="28"/>
      <c r="EG14" s="28"/>
      <c r="EH14" s="28"/>
      <c r="EI14" s="28"/>
      <c r="EJ14" s="28"/>
      <c r="EK14" s="28"/>
      <c r="EL14" s="28"/>
      <c r="EM14" s="28"/>
      <c r="EN14" s="28"/>
      <c r="EO14" s="28"/>
      <c r="EP14" s="28"/>
      <c r="EQ14" s="28"/>
      <c r="ER14" s="28"/>
      <c r="ES14" s="28"/>
      <c r="ET14" s="28"/>
      <c r="EU14" s="28"/>
      <c r="EV14" s="28"/>
      <c r="EW14" s="28"/>
      <c r="EX14" s="28"/>
      <c r="EY14" s="28"/>
      <c r="EZ14" s="28"/>
      <c r="FA14" s="28"/>
      <c r="AIQ14" s="28"/>
      <c r="AIR14" s="28"/>
      <c r="AIS14" s="28"/>
      <c r="AIT14" s="28"/>
      <c r="AIU14" s="28"/>
      <c r="AIV14" s="28"/>
      <c r="AIW14" s="28"/>
      <c r="AIX14" s="28"/>
      <c r="AIY14" s="28"/>
      <c r="AIZ14" s="28"/>
      <c r="AJA14" s="28"/>
      <c r="AJB14" s="28"/>
      <c r="AJC14" s="28"/>
      <c r="AJD14" s="28"/>
      <c r="AJE14" s="28"/>
      <c r="AJF14" s="28"/>
      <c r="AJG14" s="28"/>
      <c r="AJH14" s="28"/>
      <c r="AJI14" s="28"/>
      <c r="AJJ14" s="28"/>
      <c r="AJK14" s="28"/>
      <c r="AJL14" s="28"/>
      <c r="AJM14" s="28"/>
      <c r="AJN14" s="28"/>
      <c r="AJO14" s="28"/>
      <c r="AJP14" s="28"/>
      <c r="AJQ14" s="28"/>
      <c r="AJR14" s="28"/>
      <c r="AJS14" s="28"/>
      <c r="AJT14" s="28"/>
      <c r="AJU14" s="28"/>
      <c r="AJV14" s="28"/>
      <c r="AJW14" s="28"/>
      <c r="AJX14" s="28"/>
      <c r="AJY14" s="28"/>
      <c r="AJZ14" s="28"/>
      <c r="AKA14" s="28"/>
      <c r="AKB14" s="28"/>
      <c r="AKC14" s="28"/>
      <c r="AKD14" s="28"/>
      <c r="AKE14" s="28"/>
      <c r="AKF14" s="28"/>
      <c r="AKG14" s="28"/>
      <c r="AKH14" s="28"/>
      <c r="AKI14" s="28"/>
      <c r="AKJ14" s="28"/>
      <c r="AKK14" s="28"/>
      <c r="AKL14" s="28"/>
      <c r="AKM14" s="28"/>
      <c r="AKN14" s="28"/>
      <c r="AKO14" s="28"/>
      <c r="AKP14" s="28"/>
      <c r="AKQ14" s="28"/>
      <c r="AKR14" s="28"/>
      <c r="AKS14" s="28"/>
      <c r="AKT14" s="28"/>
      <c r="AKU14" s="28"/>
      <c r="AKV14" s="28"/>
      <c r="AKW14" s="28"/>
      <c r="AKX14" s="28"/>
      <c r="AKY14" s="28"/>
      <c r="AKZ14" s="28"/>
      <c r="ALA14" s="28"/>
      <c r="ALB14" s="28"/>
      <c r="ALC14" s="28"/>
      <c r="ALD14" s="28"/>
      <c r="ALE14" s="28"/>
      <c r="ALF14" s="28"/>
      <c r="ALG14" s="28"/>
      <c r="ALH14" s="28"/>
      <c r="ALI14" s="28"/>
      <c r="ALJ14" s="28"/>
      <c r="ALK14" s="28"/>
      <c r="ALL14" s="28"/>
      <c r="ALM14" s="28"/>
      <c r="ALN14" s="28"/>
      <c r="ALO14" s="28"/>
      <c r="ALP14" s="28"/>
      <c r="ALQ14" s="28"/>
      <c r="ALR14" s="28"/>
      <c r="ALS14" s="28"/>
      <c r="ALT14" s="28"/>
      <c r="ALU14" s="28"/>
      <c r="ALV14" s="28"/>
      <c r="ALW14" s="28"/>
      <c r="ALX14" s="28"/>
      <c r="ALY14" s="28"/>
      <c r="ALZ14" s="28"/>
      <c r="AMA14" s="28"/>
      <c r="AMB14" s="28"/>
      <c r="AMC14" s="28"/>
      <c r="AMD14" s="28"/>
      <c r="AME14" s="28"/>
      <c r="AMF14" s="28"/>
      <c r="AMG14" s="28"/>
      <c r="AMH14" s="28"/>
      <c r="AMI14" s="28"/>
      <c r="AMJ14" s="28"/>
    </row>
    <row r="15" spans="1:1024" s="29" customFormat="1" ht="15.75" customHeight="1" x14ac:dyDescent="0.35">
      <c r="A15" s="600"/>
      <c r="B15" s="609" t="s">
        <v>245</v>
      </c>
      <c r="C15" s="602"/>
      <c r="D15" s="602"/>
      <c r="E15" s="602"/>
      <c r="F15" s="604" t="s">
        <v>223</v>
      </c>
      <c r="G15" s="610" t="s">
        <v>243</v>
      </c>
      <c r="H15" s="453" t="s">
        <v>234</v>
      </c>
      <c r="I15" s="611"/>
      <c r="J15" s="30"/>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c r="ALN15" s="28"/>
      <c r="ALO15" s="28"/>
      <c r="ALP15" s="28"/>
      <c r="ALQ15" s="28"/>
      <c r="ALR15" s="28"/>
      <c r="ALS15" s="28"/>
      <c r="ALT15" s="28"/>
      <c r="ALU15" s="28"/>
      <c r="ALV15" s="28"/>
      <c r="ALW15" s="28"/>
      <c r="ALX15" s="28"/>
      <c r="ALY15" s="28"/>
      <c r="ALZ15" s="28"/>
      <c r="AMA15" s="28"/>
      <c r="AMB15" s="28"/>
      <c r="AMC15" s="28"/>
      <c r="AMD15" s="28"/>
      <c r="AME15" s="28"/>
      <c r="AMF15" s="28"/>
      <c r="AMG15" s="28"/>
      <c r="AMH15" s="28"/>
      <c r="AMI15" s="28"/>
      <c r="AMJ15" s="28"/>
    </row>
    <row r="16" spans="1:1024" s="29" customFormat="1" ht="15.75" customHeight="1" x14ac:dyDescent="0.35">
      <c r="A16" s="600"/>
      <c r="B16" s="609" t="s">
        <v>246</v>
      </c>
      <c r="C16" s="602"/>
      <c r="D16" s="602"/>
      <c r="E16" s="602"/>
      <c r="F16" s="604" t="s">
        <v>223</v>
      </c>
      <c r="G16" s="610" t="s">
        <v>243</v>
      </c>
      <c r="H16" s="453" t="s">
        <v>244</v>
      </c>
      <c r="I16" s="461"/>
      <c r="J16" s="30"/>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c r="ALN16" s="28"/>
      <c r="ALO16" s="28"/>
      <c r="ALP16" s="28"/>
      <c r="ALQ16" s="28"/>
      <c r="ALR16" s="28"/>
      <c r="ALS16" s="28"/>
      <c r="ALT16" s="28"/>
      <c r="ALU16" s="28"/>
      <c r="ALV16" s="28"/>
      <c r="ALW16" s="28"/>
      <c r="ALX16" s="28"/>
      <c r="ALY16" s="28"/>
      <c r="ALZ16" s="28"/>
      <c r="AMA16" s="28"/>
      <c r="AMB16" s="28"/>
      <c r="AMC16" s="28"/>
      <c r="AMD16" s="28"/>
      <c r="AME16" s="28"/>
      <c r="AMF16" s="28"/>
      <c r="AMG16" s="28"/>
      <c r="AMH16" s="28"/>
      <c r="AMI16" s="28"/>
      <c r="AMJ16" s="28"/>
    </row>
    <row r="17" spans="1:1024" s="29" customFormat="1" ht="15.75" customHeight="1" x14ac:dyDescent="0.35">
      <c r="A17" s="600"/>
      <c r="B17" s="609" t="s">
        <v>247</v>
      </c>
      <c r="C17" s="602"/>
      <c r="D17" s="602"/>
      <c r="E17" s="602"/>
      <c r="F17" s="604" t="s">
        <v>223</v>
      </c>
      <c r="G17" s="610" t="s">
        <v>243</v>
      </c>
      <c r="H17" s="453" t="s">
        <v>244</v>
      </c>
      <c r="I17" s="461"/>
      <c r="J17" s="30"/>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c r="ALN17" s="28"/>
      <c r="ALO17" s="28"/>
      <c r="ALP17" s="28"/>
      <c r="ALQ17" s="28"/>
      <c r="ALR17" s="28"/>
      <c r="ALS17" s="28"/>
      <c r="ALT17" s="28"/>
      <c r="ALU17" s="28"/>
      <c r="ALV17" s="28"/>
      <c r="ALW17" s="28"/>
      <c r="ALX17" s="28"/>
      <c r="ALY17" s="28"/>
      <c r="ALZ17" s="28"/>
      <c r="AMA17" s="28"/>
      <c r="AMB17" s="28"/>
      <c r="AMC17" s="28"/>
      <c r="AMD17" s="28"/>
      <c r="AME17" s="28"/>
      <c r="AMF17" s="28"/>
      <c r="AMG17" s="28"/>
      <c r="AMH17" s="28"/>
      <c r="AMI17" s="28"/>
      <c r="AMJ17" s="28"/>
    </row>
    <row r="18" spans="1:1024" s="29" customFormat="1" ht="15.75" customHeight="1" x14ac:dyDescent="0.3">
      <c r="A18" s="593" t="s">
        <v>248</v>
      </c>
      <c r="B18" s="594" t="s">
        <v>249</v>
      </c>
      <c r="C18" s="605"/>
      <c r="D18" s="605"/>
      <c r="E18" s="605"/>
      <c r="F18" s="606"/>
      <c r="G18" s="607"/>
      <c r="H18" s="607"/>
      <c r="I18" s="608"/>
      <c r="J18" s="30"/>
      <c r="K18" s="28"/>
      <c r="L18" s="28"/>
      <c r="M18" s="28"/>
      <c r="N18" s="28"/>
      <c r="O18" s="28"/>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c r="BV18" s="28"/>
      <c r="BW18" s="28"/>
      <c r="BX18" s="28"/>
      <c r="BY18" s="28"/>
      <c r="BZ18" s="28"/>
      <c r="CA18" s="28"/>
      <c r="CB18" s="28"/>
      <c r="CC18" s="28"/>
      <c r="CD18" s="28"/>
      <c r="CE18" s="28"/>
      <c r="CF18" s="28"/>
      <c r="CG18" s="28"/>
      <c r="CH18" s="28"/>
      <c r="CI18" s="28"/>
      <c r="CJ18" s="28"/>
      <c r="CK18" s="28"/>
      <c r="CL18" s="28"/>
      <c r="CM18" s="28"/>
      <c r="CN18" s="28"/>
      <c r="CO18" s="28"/>
      <c r="CP18" s="28"/>
      <c r="CQ18" s="28"/>
      <c r="CR18" s="28"/>
      <c r="CS18" s="28"/>
      <c r="CT18" s="28"/>
      <c r="CU18" s="28"/>
      <c r="CV18" s="28"/>
      <c r="CW18" s="28"/>
      <c r="CX18" s="28"/>
      <c r="CY18" s="28"/>
      <c r="CZ18" s="28"/>
      <c r="DA18" s="28"/>
      <c r="DB18" s="28"/>
      <c r="DC18" s="28"/>
      <c r="DD18" s="28"/>
      <c r="DE18" s="28"/>
      <c r="DF18" s="28"/>
      <c r="DG18" s="28"/>
      <c r="DH18" s="28"/>
      <c r="DI18" s="28"/>
      <c r="DJ18" s="28"/>
      <c r="DK18" s="28"/>
      <c r="DL18" s="28"/>
      <c r="DM18" s="28"/>
      <c r="DN18" s="28"/>
      <c r="DO18" s="28"/>
      <c r="DP18" s="28"/>
      <c r="DQ18" s="28"/>
      <c r="DR18" s="28"/>
      <c r="DS18" s="28"/>
      <c r="DT18" s="28"/>
      <c r="DU18" s="28"/>
      <c r="DV18" s="28"/>
      <c r="DW18" s="28"/>
      <c r="DX18" s="28"/>
      <c r="DY18" s="28"/>
      <c r="DZ18" s="28"/>
      <c r="EA18" s="28"/>
      <c r="EB18" s="28"/>
      <c r="EC18" s="28"/>
      <c r="ED18" s="28"/>
      <c r="EE18" s="28"/>
      <c r="EF18" s="28"/>
      <c r="EG18" s="28"/>
      <c r="EH18" s="28"/>
      <c r="EI18" s="28"/>
      <c r="EJ18" s="28"/>
      <c r="EK18" s="28"/>
      <c r="EL18" s="28"/>
      <c r="EM18" s="28"/>
      <c r="EN18" s="28"/>
      <c r="EO18" s="28"/>
      <c r="EP18" s="28"/>
      <c r="EQ18" s="28"/>
      <c r="ER18" s="28"/>
      <c r="ES18" s="28"/>
      <c r="ET18" s="28"/>
      <c r="EU18" s="28"/>
      <c r="EV18" s="28"/>
      <c r="EW18" s="28"/>
      <c r="EX18" s="28"/>
      <c r="EY18" s="28"/>
      <c r="EZ18" s="28"/>
      <c r="FA18" s="28"/>
      <c r="AIQ18" s="28"/>
      <c r="AIR18" s="28"/>
      <c r="AIS18" s="28"/>
      <c r="AIT18" s="28"/>
      <c r="AIU18" s="28"/>
      <c r="AIV18" s="28"/>
      <c r="AIW18" s="28"/>
      <c r="AIX18" s="28"/>
      <c r="AIY18" s="28"/>
      <c r="AIZ18" s="28"/>
      <c r="AJA18" s="28"/>
      <c r="AJB18" s="28"/>
      <c r="AJC18" s="28"/>
      <c r="AJD18" s="28"/>
      <c r="AJE18" s="28"/>
      <c r="AJF18" s="28"/>
      <c r="AJG18" s="28"/>
      <c r="AJH18" s="28"/>
      <c r="AJI18" s="28"/>
      <c r="AJJ18" s="28"/>
      <c r="AJK18" s="28"/>
      <c r="AJL18" s="28"/>
      <c r="AJM18" s="28"/>
      <c r="AJN18" s="28"/>
      <c r="AJO18" s="28"/>
      <c r="AJP18" s="28"/>
      <c r="AJQ18" s="28"/>
      <c r="AJR18" s="28"/>
      <c r="AJS18" s="28"/>
      <c r="AJT18" s="28"/>
      <c r="AJU18" s="28"/>
      <c r="AJV18" s="28"/>
      <c r="AJW18" s="28"/>
      <c r="AJX18" s="28"/>
      <c r="AJY18" s="28"/>
      <c r="AJZ18" s="28"/>
      <c r="AKA18" s="28"/>
      <c r="AKB18" s="28"/>
      <c r="AKC18" s="28"/>
      <c r="AKD18" s="28"/>
      <c r="AKE18" s="28"/>
      <c r="AKF18" s="28"/>
      <c r="AKG18" s="28"/>
      <c r="AKH18" s="28"/>
      <c r="AKI18" s="28"/>
      <c r="AKJ18" s="28"/>
      <c r="AKK18" s="28"/>
      <c r="AKL18" s="28"/>
      <c r="AKM18" s="28"/>
      <c r="AKN18" s="28"/>
      <c r="AKO18" s="28"/>
      <c r="AKP18" s="28"/>
      <c r="AKQ18" s="28"/>
      <c r="AKR18" s="28"/>
      <c r="AKS18" s="28"/>
      <c r="AKT18" s="28"/>
      <c r="AKU18" s="28"/>
      <c r="AKV18" s="28"/>
      <c r="AKW18" s="28"/>
      <c r="AKX18" s="28"/>
      <c r="AKY18" s="28"/>
      <c r="AKZ18" s="28"/>
      <c r="ALA18" s="28"/>
      <c r="ALB18" s="28"/>
      <c r="ALC18" s="28"/>
      <c r="ALD18" s="28"/>
      <c r="ALE18" s="28"/>
      <c r="ALF18" s="28"/>
      <c r="ALG18" s="28"/>
      <c r="ALH18" s="28"/>
      <c r="ALI18" s="28"/>
      <c r="ALJ18" s="28"/>
      <c r="ALK18" s="28"/>
      <c r="ALL18" s="28"/>
      <c r="ALM18" s="28"/>
      <c r="ALN18" s="28"/>
      <c r="ALO18" s="28"/>
      <c r="ALP18" s="28"/>
      <c r="ALQ18" s="28"/>
      <c r="ALR18" s="28"/>
      <c r="ALS18" s="28"/>
      <c r="ALT18" s="28"/>
      <c r="ALU18" s="28"/>
      <c r="ALV18" s="28"/>
      <c r="ALW18" s="28"/>
      <c r="ALX18" s="28"/>
      <c r="ALY18" s="28"/>
      <c r="ALZ18" s="28"/>
      <c r="AMA18" s="28"/>
      <c r="AMB18" s="28"/>
      <c r="AMC18" s="28"/>
      <c r="AMD18" s="28"/>
      <c r="AME18" s="28"/>
      <c r="AMF18" s="28"/>
      <c r="AMG18" s="28"/>
      <c r="AMH18" s="28"/>
      <c r="AMI18" s="28"/>
      <c r="AMJ18" s="28"/>
    </row>
    <row r="19" spans="1:1024" s="29" customFormat="1" ht="15.75" customHeight="1" x14ac:dyDescent="0.3">
      <c r="A19" s="600"/>
      <c r="B19" s="601" t="s">
        <v>250</v>
      </c>
      <c r="C19" s="602"/>
      <c r="D19" s="602"/>
      <c r="E19" s="602"/>
      <c r="F19" s="604" t="s">
        <v>223</v>
      </c>
      <c r="G19" s="453" t="s">
        <v>251</v>
      </c>
      <c r="H19" s="453" t="s">
        <v>234</v>
      </c>
      <c r="I19" s="611"/>
      <c r="J19" s="30"/>
      <c r="K19" s="28"/>
      <c r="L19" s="28"/>
      <c r="M19" s="28"/>
      <c r="N19" s="28"/>
      <c r="O19" s="28"/>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c r="BV19" s="28"/>
      <c r="BW19" s="28"/>
      <c r="BX19" s="28"/>
      <c r="BY19" s="28"/>
      <c r="BZ19" s="28"/>
      <c r="CA19" s="28"/>
      <c r="CB19" s="28"/>
      <c r="CC19" s="28"/>
      <c r="CD19" s="28"/>
      <c r="CE19" s="28"/>
      <c r="CF19" s="28"/>
      <c r="CG19" s="28"/>
      <c r="CH19" s="28"/>
      <c r="CI19" s="28"/>
      <c r="CJ19" s="28"/>
      <c r="CK19" s="28"/>
      <c r="CL19" s="28"/>
      <c r="CM19" s="28"/>
      <c r="CN19" s="28"/>
      <c r="CO19" s="28"/>
      <c r="CP19" s="28"/>
      <c r="CQ19" s="28"/>
      <c r="CR19" s="28"/>
      <c r="CS19" s="28"/>
      <c r="CT19" s="28"/>
      <c r="CU19" s="28"/>
      <c r="CV19" s="28"/>
      <c r="CW19" s="28"/>
      <c r="CX19" s="28"/>
      <c r="CY19" s="28"/>
      <c r="CZ19" s="28"/>
      <c r="DA19" s="28"/>
      <c r="DB19" s="28"/>
      <c r="DC19" s="28"/>
      <c r="DD19" s="28"/>
      <c r="DE19" s="28"/>
      <c r="DF19" s="28"/>
      <c r="DG19" s="28"/>
      <c r="DH19" s="28"/>
      <c r="DI19" s="28"/>
      <c r="DJ19" s="28"/>
      <c r="DK19" s="28"/>
      <c r="DL19" s="28"/>
      <c r="DM19" s="28"/>
      <c r="DN19" s="28"/>
      <c r="DO19" s="28"/>
      <c r="DP19" s="28"/>
      <c r="DQ19" s="28"/>
      <c r="DR19" s="28"/>
      <c r="DS19" s="28"/>
      <c r="DT19" s="28"/>
      <c r="DU19" s="28"/>
      <c r="DV19" s="28"/>
      <c r="DW19" s="28"/>
      <c r="DX19" s="28"/>
      <c r="DY19" s="28"/>
      <c r="DZ19" s="28"/>
      <c r="EA19" s="28"/>
      <c r="EB19" s="28"/>
      <c r="EC19" s="28"/>
      <c r="ED19" s="28"/>
      <c r="EE19" s="28"/>
      <c r="EF19" s="28"/>
      <c r="EG19" s="28"/>
      <c r="EH19" s="28"/>
      <c r="EI19" s="28"/>
      <c r="EJ19" s="28"/>
      <c r="EK19" s="28"/>
      <c r="EL19" s="28"/>
      <c r="EM19" s="28"/>
      <c r="EN19" s="28"/>
      <c r="EO19" s="28"/>
      <c r="EP19" s="28"/>
      <c r="EQ19" s="28"/>
      <c r="ER19" s="28"/>
      <c r="ES19" s="28"/>
      <c r="ET19" s="28"/>
      <c r="EU19" s="28"/>
      <c r="EV19" s="28"/>
      <c r="EW19" s="28"/>
      <c r="EX19" s="28"/>
      <c r="EY19" s="28"/>
      <c r="EZ19" s="28"/>
      <c r="FA19" s="28"/>
      <c r="AIQ19" s="28"/>
      <c r="AIR19" s="28"/>
      <c r="AIS19" s="28"/>
      <c r="AIT19" s="28"/>
      <c r="AIU19" s="28"/>
      <c r="AIV19" s="28"/>
      <c r="AIW19" s="28"/>
      <c r="AIX19" s="28"/>
      <c r="AIY19" s="28"/>
      <c r="AIZ19" s="28"/>
      <c r="AJA19" s="28"/>
      <c r="AJB19" s="28"/>
      <c r="AJC19" s="28"/>
      <c r="AJD19" s="28"/>
      <c r="AJE19" s="28"/>
      <c r="AJF19" s="28"/>
      <c r="AJG19" s="28"/>
      <c r="AJH19" s="28"/>
      <c r="AJI19" s="28"/>
      <c r="AJJ19" s="28"/>
      <c r="AJK19" s="28"/>
      <c r="AJL19" s="28"/>
      <c r="AJM19" s="28"/>
      <c r="AJN19" s="28"/>
      <c r="AJO19" s="28"/>
      <c r="AJP19" s="28"/>
      <c r="AJQ19" s="28"/>
      <c r="AJR19" s="28"/>
      <c r="AJS19" s="28"/>
      <c r="AJT19" s="28"/>
      <c r="AJU19" s="28"/>
      <c r="AJV19" s="28"/>
      <c r="AJW19" s="28"/>
      <c r="AJX19" s="28"/>
      <c r="AJY19" s="28"/>
      <c r="AJZ19" s="28"/>
      <c r="AKA19" s="28"/>
      <c r="AKB19" s="28"/>
      <c r="AKC19" s="28"/>
      <c r="AKD19" s="28"/>
      <c r="AKE19" s="28"/>
      <c r="AKF19" s="28"/>
      <c r="AKG19" s="28"/>
      <c r="AKH19" s="28"/>
      <c r="AKI19" s="28"/>
      <c r="AKJ19" s="28"/>
      <c r="AKK19" s="28"/>
      <c r="AKL19" s="28"/>
      <c r="AKM19" s="28"/>
      <c r="AKN19" s="28"/>
      <c r="AKO19" s="28"/>
      <c r="AKP19" s="28"/>
      <c r="AKQ19" s="28"/>
      <c r="AKR19" s="28"/>
      <c r="AKS19" s="28"/>
      <c r="AKT19" s="28"/>
      <c r="AKU19" s="28"/>
      <c r="AKV19" s="28"/>
      <c r="AKW19" s="28"/>
      <c r="AKX19" s="28"/>
      <c r="AKY19" s="28"/>
      <c r="AKZ19" s="28"/>
      <c r="ALA19" s="28"/>
      <c r="ALB19" s="28"/>
      <c r="ALC19" s="28"/>
      <c r="ALD19" s="28"/>
      <c r="ALE19" s="28"/>
      <c r="ALF19" s="28"/>
      <c r="ALG19" s="28"/>
      <c r="ALH19" s="28"/>
      <c r="ALI19" s="28"/>
      <c r="ALJ19" s="28"/>
      <c r="ALK19" s="28"/>
      <c r="ALL19" s="28"/>
      <c r="ALM19" s="28"/>
      <c r="ALN19" s="28"/>
      <c r="ALO19" s="28"/>
      <c r="ALP19" s="28"/>
      <c r="ALQ19" s="28"/>
      <c r="ALR19" s="28"/>
      <c r="ALS19" s="28"/>
      <c r="ALT19" s="28"/>
      <c r="ALU19" s="28"/>
      <c r="ALV19" s="28"/>
      <c r="ALW19" s="28"/>
      <c r="ALX19" s="28"/>
      <c r="ALY19" s="28"/>
      <c r="ALZ19" s="28"/>
      <c r="AMA19" s="28"/>
      <c r="AMB19" s="28"/>
      <c r="AMC19" s="28"/>
      <c r="AMD19" s="28"/>
      <c r="AME19" s="28"/>
      <c r="AMF19" s="28"/>
      <c r="AMG19" s="28"/>
      <c r="AMH19" s="28"/>
      <c r="AMI19" s="28"/>
      <c r="AMJ19" s="28"/>
    </row>
    <row r="20" spans="1:1024" s="29" customFormat="1" ht="15.75" customHeight="1" x14ac:dyDescent="0.3">
      <c r="A20" s="600"/>
      <c r="B20" s="601" t="s">
        <v>252</v>
      </c>
      <c r="C20" s="602"/>
      <c r="D20" s="602"/>
      <c r="E20" s="602"/>
      <c r="F20" s="604" t="s">
        <v>223</v>
      </c>
      <c r="G20" s="453" t="s">
        <v>244</v>
      </c>
      <c r="H20" s="453" t="s">
        <v>244</v>
      </c>
      <c r="I20" s="461"/>
      <c r="J20" s="30"/>
      <c r="K20" s="28"/>
      <c r="L20" s="28"/>
      <c r="M20" s="28"/>
      <c r="N20" s="28"/>
      <c r="O20" s="28"/>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c r="BV20" s="28"/>
      <c r="BW20" s="28"/>
      <c r="BX20" s="28"/>
      <c r="BY20" s="28"/>
      <c r="BZ20" s="28"/>
      <c r="CA20" s="28"/>
      <c r="CB20" s="28"/>
      <c r="CC20" s="28"/>
      <c r="CD20" s="28"/>
      <c r="CE20" s="28"/>
      <c r="CF20" s="28"/>
      <c r="CG20" s="28"/>
      <c r="CH20" s="28"/>
      <c r="CI20" s="28"/>
      <c r="CJ20" s="28"/>
      <c r="CK20" s="28"/>
      <c r="CL20" s="28"/>
      <c r="CM20" s="28"/>
      <c r="CN20" s="28"/>
      <c r="CO20" s="28"/>
      <c r="CP20" s="28"/>
      <c r="CQ20" s="28"/>
      <c r="CR20" s="28"/>
      <c r="CS20" s="28"/>
      <c r="CT20" s="28"/>
      <c r="CU20" s="28"/>
      <c r="CV20" s="28"/>
      <c r="CW20" s="28"/>
      <c r="CX20" s="28"/>
      <c r="CY20" s="28"/>
      <c r="CZ20" s="28"/>
      <c r="DA20" s="28"/>
      <c r="DB20" s="28"/>
      <c r="DC20" s="28"/>
      <c r="DD20" s="28"/>
      <c r="DE20" s="28"/>
      <c r="DF20" s="28"/>
      <c r="DG20" s="28"/>
      <c r="DH20" s="28"/>
      <c r="DI20" s="28"/>
      <c r="DJ20" s="28"/>
      <c r="DK20" s="28"/>
      <c r="DL20" s="28"/>
      <c r="DM20" s="28"/>
      <c r="DN20" s="28"/>
      <c r="DO20" s="28"/>
      <c r="DP20" s="28"/>
      <c r="DQ20" s="28"/>
      <c r="DR20" s="28"/>
      <c r="DS20" s="28"/>
      <c r="DT20" s="28"/>
      <c r="DU20" s="28"/>
      <c r="DV20" s="28"/>
      <c r="DW20" s="28"/>
      <c r="DX20" s="28"/>
      <c r="DY20" s="28"/>
      <c r="DZ20" s="28"/>
      <c r="EA20" s="28"/>
      <c r="EB20" s="28"/>
      <c r="EC20" s="28"/>
      <c r="ED20" s="28"/>
      <c r="EE20" s="28"/>
      <c r="EF20" s="28"/>
      <c r="EG20" s="28"/>
      <c r="EH20" s="28"/>
      <c r="EI20" s="28"/>
      <c r="EJ20" s="28"/>
      <c r="EK20" s="28"/>
      <c r="EL20" s="28"/>
      <c r="EM20" s="28"/>
      <c r="EN20" s="28"/>
      <c r="EO20" s="28"/>
      <c r="EP20" s="28"/>
      <c r="EQ20" s="28"/>
      <c r="ER20" s="28"/>
      <c r="ES20" s="28"/>
      <c r="ET20" s="28"/>
      <c r="EU20" s="28"/>
      <c r="EV20" s="28"/>
      <c r="EW20" s="28"/>
      <c r="EX20" s="28"/>
      <c r="EY20" s="28"/>
      <c r="EZ20" s="28"/>
      <c r="FA20" s="28"/>
      <c r="AIQ20" s="28"/>
      <c r="AIR20" s="28"/>
      <c r="AIS20" s="28"/>
      <c r="AIT20" s="28"/>
      <c r="AIU20" s="28"/>
      <c r="AIV20" s="28"/>
      <c r="AIW20" s="28"/>
      <c r="AIX20" s="28"/>
      <c r="AIY20" s="28"/>
      <c r="AIZ20" s="28"/>
      <c r="AJA20" s="28"/>
      <c r="AJB20" s="28"/>
      <c r="AJC20" s="28"/>
      <c r="AJD20" s="28"/>
      <c r="AJE20" s="28"/>
      <c r="AJF20" s="28"/>
      <c r="AJG20" s="28"/>
      <c r="AJH20" s="28"/>
      <c r="AJI20" s="28"/>
      <c r="AJJ20" s="28"/>
      <c r="AJK20" s="28"/>
      <c r="AJL20" s="28"/>
      <c r="AJM20" s="28"/>
      <c r="AJN20" s="28"/>
      <c r="AJO20" s="28"/>
      <c r="AJP20" s="28"/>
      <c r="AJQ20" s="28"/>
      <c r="AJR20" s="28"/>
      <c r="AJS20" s="28"/>
      <c r="AJT20" s="28"/>
      <c r="AJU20" s="28"/>
      <c r="AJV20" s="28"/>
      <c r="AJW20" s="28"/>
      <c r="AJX20" s="28"/>
      <c r="AJY20" s="28"/>
      <c r="AJZ20" s="28"/>
      <c r="AKA20" s="28"/>
      <c r="AKB20" s="28"/>
      <c r="AKC20" s="28"/>
      <c r="AKD20" s="28"/>
      <c r="AKE20" s="28"/>
      <c r="AKF20" s="28"/>
      <c r="AKG20" s="28"/>
      <c r="AKH20" s="28"/>
      <c r="AKI20" s="28"/>
      <c r="AKJ20" s="28"/>
      <c r="AKK20" s="28"/>
      <c r="AKL20" s="28"/>
      <c r="AKM20" s="28"/>
      <c r="AKN20" s="28"/>
      <c r="AKO20" s="28"/>
      <c r="AKP20" s="28"/>
      <c r="AKQ20" s="28"/>
      <c r="AKR20" s="28"/>
      <c r="AKS20" s="28"/>
      <c r="AKT20" s="28"/>
      <c r="AKU20" s="28"/>
      <c r="AKV20" s="28"/>
      <c r="AKW20" s="28"/>
      <c r="AKX20" s="28"/>
      <c r="AKY20" s="28"/>
      <c r="AKZ20" s="28"/>
      <c r="ALA20" s="28"/>
      <c r="ALB20" s="28"/>
      <c r="ALC20" s="28"/>
      <c r="ALD20" s="28"/>
      <c r="ALE20" s="28"/>
      <c r="ALF20" s="28"/>
      <c r="ALG20" s="28"/>
      <c r="ALH20" s="28"/>
      <c r="ALI20" s="28"/>
      <c r="ALJ20" s="28"/>
      <c r="ALK20" s="28"/>
      <c r="ALL20" s="28"/>
      <c r="ALM20" s="28"/>
      <c r="ALN20" s="28"/>
      <c r="ALO20" s="28"/>
      <c r="ALP20" s="28"/>
      <c r="ALQ20" s="28"/>
      <c r="ALR20" s="28"/>
      <c r="ALS20" s="28"/>
      <c r="ALT20" s="28"/>
      <c r="ALU20" s="28"/>
      <c r="ALV20" s="28"/>
      <c r="ALW20" s="28"/>
      <c r="ALX20" s="28"/>
      <c r="ALY20" s="28"/>
      <c r="ALZ20" s="28"/>
      <c r="AMA20" s="28"/>
      <c r="AMB20" s="28"/>
      <c r="AMC20" s="28"/>
      <c r="AMD20" s="28"/>
      <c r="AME20" s="28"/>
      <c r="AMF20" s="28"/>
      <c r="AMG20" s="28"/>
      <c r="AMH20" s="28"/>
      <c r="AMI20" s="28"/>
      <c r="AMJ20" s="28"/>
    </row>
    <row r="21" spans="1:1024" s="29" customFormat="1" ht="15.75" customHeight="1" x14ac:dyDescent="0.3">
      <c r="A21" s="593" t="s">
        <v>253</v>
      </c>
      <c r="B21" s="594" t="s">
        <v>254</v>
      </c>
      <c r="C21" s="612"/>
      <c r="D21" s="605"/>
      <c r="E21" s="605"/>
      <c r="F21" s="606"/>
      <c r="G21" s="607"/>
      <c r="H21" s="607"/>
      <c r="I21" s="608"/>
      <c r="J21" s="30"/>
      <c r="K21" s="28"/>
      <c r="L21" s="28"/>
      <c r="M21" s="28"/>
      <c r="N21" s="28"/>
      <c r="O21" s="28"/>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c r="BV21" s="28"/>
      <c r="BW21" s="28"/>
      <c r="BX21" s="28"/>
      <c r="BY21" s="28"/>
      <c r="BZ21" s="28"/>
      <c r="CA21" s="28"/>
      <c r="CB21" s="28"/>
      <c r="CC21" s="28"/>
      <c r="CD21" s="28"/>
      <c r="CE21" s="28"/>
      <c r="CF21" s="28"/>
      <c r="CG21" s="28"/>
      <c r="CH21" s="28"/>
      <c r="CI21" s="28"/>
      <c r="CJ21" s="28"/>
      <c r="CK21" s="28"/>
      <c r="CL21" s="28"/>
      <c r="CM21" s="28"/>
      <c r="CN21" s="28"/>
      <c r="CO21" s="28"/>
      <c r="CP21" s="28"/>
      <c r="CQ21" s="28"/>
      <c r="CR21" s="28"/>
      <c r="CS21" s="28"/>
      <c r="CT21" s="28"/>
      <c r="CU21" s="28"/>
      <c r="CV21" s="28"/>
      <c r="CW21" s="28"/>
      <c r="CX21" s="28"/>
      <c r="CY21" s="28"/>
      <c r="CZ21" s="28"/>
      <c r="DA21" s="28"/>
      <c r="DB21" s="28"/>
      <c r="DC21" s="28"/>
      <c r="DD21" s="28"/>
      <c r="DE21" s="28"/>
      <c r="DF21" s="28"/>
      <c r="DG21" s="28"/>
      <c r="DH21" s="28"/>
      <c r="DI21" s="28"/>
      <c r="DJ21" s="28"/>
      <c r="DK21" s="28"/>
      <c r="DL21" s="28"/>
      <c r="DM21" s="28"/>
      <c r="DN21" s="28"/>
      <c r="DO21" s="28"/>
      <c r="DP21" s="28"/>
      <c r="DQ21" s="28"/>
      <c r="DR21" s="28"/>
      <c r="DS21" s="28"/>
      <c r="DT21" s="28"/>
      <c r="DU21" s="28"/>
      <c r="DV21" s="28"/>
      <c r="DW21" s="28"/>
      <c r="DX21" s="28"/>
      <c r="DY21" s="28"/>
      <c r="DZ21" s="28"/>
      <c r="EA21" s="28"/>
      <c r="EB21" s="28"/>
      <c r="EC21" s="28"/>
      <c r="ED21" s="28"/>
      <c r="EE21" s="28"/>
      <c r="EF21" s="28"/>
      <c r="EG21" s="28"/>
      <c r="EH21" s="28"/>
      <c r="EI21" s="28"/>
      <c r="EJ21" s="28"/>
      <c r="EK21" s="28"/>
      <c r="EL21" s="28"/>
      <c r="EM21" s="28"/>
      <c r="EN21" s="28"/>
      <c r="EO21" s="28"/>
      <c r="EP21" s="28"/>
      <c r="EQ21" s="28"/>
      <c r="ER21" s="28"/>
      <c r="ES21" s="28"/>
      <c r="ET21" s="28"/>
      <c r="EU21" s="28"/>
      <c r="EV21" s="28"/>
      <c r="EW21" s="28"/>
      <c r="EX21" s="28"/>
      <c r="EY21" s="28"/>
      <c r="EZ21" s="28"/>
      <c r="FA21" s="28"/>
      <c r="AIQ21" s="28"/>
      <c r="AIR21" s="28"/>
      <c r="AIS21" s="28"/>
      <c r="AIT21" s="28"/>
      <c r="AIU21" s="28"/>
      <c r="AIV21" s="28"/>
      <c r="AIW21" s="28"/>
      <c r="AIX21" s="28"/>
      <c r="AIY21" s="28"/>
      <c r="AIZ21" s="28"/>
      <c r="AJA21" s="28"/>
      <c r="AJB21" s="28"/>
      <c r="AJC21" s="28"/>
      <c r="AJD21" s="28"/>
      <c r="AJE21" s="28"/>
      <c r="AJF21" s="28"/>
      <c r="AJG21" s="28"/>
      <c r="AJH21" s="28"/>
      <c r="AJI21" s="28"/>
      <c r="AJJ21" s="28"/>
      <c r="AJK21" s="28"/>
      <c r="AJL21" s="28"/>
      <c r="AJM21" s="28"/>
      <c r="AJN21" s="28"/>
      <c r="AJO21" s="28"/>
      <c r="AJP21" s="28"/>
      <c r="AJQ21" s="28"/>
      <c r="AJR21" s="28"/>
      <c r="AJS21" s="28"/>
      <c r="AJT21" s="28"/>
      <c r="AJU21" s="28"/>
      <c r="AJV21" s="28"/>
      <c r="AJW21" s="28"/>
      <c r="AJX21" s="28"/>
      <c r="AJY21" s="28"/>
      <c r="AJZ21" s="28"/>
      <c r="AKA21" s="28"/>
      <c r="AKB21" s="28"/>
      <c r="AKC21" s="28"/>
      <c r="AKD21" s="28"/>
      <c r="AKE21" s="28"/>
      <c r="AKF21" s="28"/>
      <c r="AKG21" s="28"/>
      <c r="AKH21" s="28"/>
      <c r="AKI21" s="28"/>
      <c r="AKJ21" s="28"/>
      <c r="AKK21" s="28"/>
      <c r="AKL21" s="28"/>
      <c r="AKM21" s="28"/>
      <c r="AKN21" s="28"/>
      <c r="AKO21" s="28"/>
      <c r="AKP21" s="28"/>
      <c r="AKQ21" s="28"/>
      <c r="AKR21" s="28"/>
      <c r="AKS21" s="28"/>
      <c r="AKT21" s="28"/>
      <c r="AKU21" s="28"/>
      <c r="AKV21" s="28"/>
      <c r="AKW21" s="28"/>
      <c r="AKX21" s="28"/>
      <c r="AKY21" s="28"/>
      <c r="AKZ21" s="28"/>
      <c r="ALA21" s="28"/>
      <c r="ALB21" s="28"/>
      <c r="ALC21" s="28"/>
      <c r="ALD21" s="28"/>
      <c r="ALE21" s="28"/>
      <c r="ALF21" s="28"/>
      <c r="ALG21" s="28"/>
      <c r="ALH21" s="28"/>
      <c r="ALI21" s="28"/>
      <c r="ALJ21" s="28"/>
      <c r="ALK21" s="28"/>
      <c r="ALL21" s="28"/>
      <c r="ALM21" s="28"/>
      <c r="ALN21" s="28"/>
      <c r="ALO21" s="28"/>
      <c r="ALP21" s="28"/>
      <c r="ALQ21" s="28"/>
      <c r="ALR21" s="28"/>
      <c r="ALS21" s="28"/>
      <c r="ALT21" s="28"/>
      <c r="ALU21" s="28"/>
      <c r="ALV21" s="28"/>
      <c r="ALW21" s="28"/>
      <c r="ALX21" s="28"/>
      <c r="ALY21" s="28"/>
      <c r="ALZ21" s="28"/>
      <c r="AMA21" s="28"/>
      <c r="AMB21" s="28"/>
      <c r="AMC21" s="28"/>
      <c r="AMD21" s="28"/>
      <c r="AME21" s="28"/>
      <c r="AMF21" s="28"/>
      <c r="AMG21" s="28"/>
      <c r="AMH21" s="28"/>
      <c r="AMI21" s="28"/>
      <c r="AMJ21" s="28"/>
    </row>
    <row r="22" spans="1:1024" s="29" customFormat="1" ht="15.75" customHeight="1" x14ac:dyDescent="0.3">
      <c r="A22" s="600"/>
      <c r="B22" s="601" t="s">
        <v>255</v>
      </c>
      <c r="C22" s="602"/>
      <c r="D22" s="602"/>
      <c r="E22" s="602"/>
      <c r="F22" s="604" t="s">
        <v>223</v>
      </c>
      <c r="G22" s="453" t="s">
        <v>256</v>
      </c>
      <c r="H22" s="453" t="s">
        <v>256</v>
      </c>
      <c r="I22" s="461"/>
      <c r="J22" s="30"/>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c r="BV22" s="28"/>
      <c r="BW22" s="28"/>
      <c r="BX22" s="28"/>
      <c r="BY22" s="28"/>
      <c r="BZ22" s="28"/>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c r="DA22" s="28"/>
      <c r="DB22" s="28"/>
      <c r="DC22" s="28"/>
      <c r="DD22" s="28"/>
      <c r="DE22" s="28"/>
      <c r="DF22" s="28"/>
      <c r="DG22" s="28"/>
      <c r="DH22" s="28"/>
      <c r="DI22" s="28"/>
      <c r="DJ22" s="28"/>
      <c r="DK22" s="28"/>
      <c r="DL22" s="28"/>
      <c r="DM22" s="28"/>
      <c r="DN22" s="28"/>
      <c r="DO22" s="28"/>
      <c r="DP22" s="28"/>
      <c r="DQ22" s="28"/>
      <c r="DR22" s="28"/>
      <c r="DS22" s="28"/>
      <c r="DT22" s="28"/>
      <c r="DU22" s="28"/>
      <c r="DV22" s="28"/>
      <c r="DW22" s="28"/>
      <c r="DX22" s="28"/>
      <c r="DY22" s="28"/>
      <c r="DZ22" s="28"/>
      <c r="EA22" s="28"/>
      <c r="EB22" s="28"/>
      <c r="EC22" s="28"/>
      <c r="ED22" s="28"/>
      <c r="EE22" s="28"/>
      <c r="EF22" s="28"/>
      <c r="EG22" s="28"/>
      <c r="EH22" s="28"/>
      <c r="EI22" s="28"/>
      <c r="EJ22" s="28"/>
      <c r="EK22" s="28"/>
      <c r="EL22" s="28"/>
      <c r="EM22" s="28"/>
      <c r="EN22" s="28"/>
      <c r="EO22" s="28"/>
      <c r="EP22" s="28"/>
      <c r="EQ22" s="28"/>
      <c r="ER22" s="28"/>
      <c r="ES22" s="28"/>
      <c r="ET22" s="28"/>
      <c r="EU22" s="28"/>
      <c r="EV22" s="28"/>
      <c r="EW22" s="28"/>
      <c r="EX22" s="28"/>
      <c r="EY22" s="28"/>
      <c r="EZ22" s="28"/>
      <c r="FA22" s="28"/>
      <c r="AIQ22" s="28"/>
      <c r="AIR22" s="28"/>
      <c r="AIS22" s="28"/>
      <c r="AIT22" s="28"/>
      <c r="AIU22" s="28"/>
      <c r="AIV22" s="28"/>
      <c r="AIW22" s="28"/>
      <c r="AIX22" s="28"/>
      <c r="AIY22" s="28"/>
      <c r="AIZ22" s="28"/>
      <c r="AJA22" s="28"/>
      <c r="AJB22" s="28"/>
      <c r="AJC22" s="28"/>
      <c r="AJD22" s="28"/>
      <c r="AJE22" s="28"/>
      <c r="AJF22" s="28"/>
      <c r="AJG22" s="28"/>
      <c r="AJH22" s="28"/>
      <c r="AJI22" s="28"/>
      <c r="AJJ22" s="28"/>
      <c r="AJK22" s="28"/>
      <c r="AJL22" s="28"/>
      <c r="AJM22" s="28"/>
      <c r="AJN22" s="28"/>
      <c r="AJO22" s="28"/>
      <c r="AJP22" s="28"/>
      <c r="AJQ22" s="28"/>
      <c r="AJR22" s="28"/>
      <c r="AJS22" s="28"/>
      <c r="AJT22" s="28"/>
      <c r="AJU22" s="28"/>
      <c r="AJV22" s="28"/>
      <c r="AJW22" s="28"/>
      <c r="AJX22" s="28"/>
      <c r="AJY22" s="28"/>
      <c r="AJZ22" s="28"/>
      <c r="AKA22" s="28"/>
      <c r="AKB22" s="28"/>
      <c r="AKC22" s="28"/>
      <c r="AKD22" s="28"/>
      <c r="AKE22" s="28"/>
      <c r="AKF22" s="28"/>
      <c r="AKG22" s="28"/>
      <c r="AKH22" s="28"/>
      <c r="AKI22" s="28"/>
      <c r="AKJ22" s="28"/>
      <c r="AKK22" s="28"/>
      <c r="AKL22" s="28"/>
      <c r="AKM22" s="28"/>
      <c r="AKN22" s="28"/>
      <c r="AKO22" s="28"/>
      <c r="AKP22" s="28"/>
      <c r="AKQ22" s="28"/>
      <c r="AKR22" s="28"/>
      <c r="AKS22" s="28"/>
      <c r="AKT22" s="28"/>
      <c r="AKU22" s="28"/>
      <c r="AKV22" s="28"/>
      <c r="AKW22" s="28"/>
      <c r="AKX22" s="28"/>
      <c r="AKY22" s="28"/>
      <c r="AKZ22" s="28"/>
      <c r="ALA22" s="28"/>
      <c r="ALB22" s="28"/>
      <c r="ALC22" s="28"/>
      <c r="ALD22" s="28"/>
      <c r="ALE22" s="28"/>
      <c r="ALF22" s="28"/>
      <c r="ALG22" s="28"/>
      <c r="ALH22" s="28"/>
      <c r="ALI22" s="28"/>
      <c r="ALJ22" s="28"/>
      <c r="ALK22" s="28"/>
      <c r="ALL22" s="28"/>
      <c r="ALM22" s="28"/>
      <c r="ALN22" s="28"/>
      <c r="ALO22" s="28"/>
      <c r="ALP22" s="28"/>
      <c r="ALQ22" s="28"/>
      <c r="ALR22" s="28"/>
      <c r="ALS22" s="28"/>
      <c r="ALT22" s="28"/>
      <c r="ALU22" s="28"/>
      <c r="ALV22" s="28"/>
      <c r="ALW22" s="28"/>
      <c r="ALX22" s="28"/>
      <c r="ALY22" s="28"/>
      <c r="ALZ22" s="28"/>
      <c r="AMA22" s="28"/>
      <c r="AMB22" s="28"/>
      <c r="AMC22" s="28"/>
      <c r="AMD22" s="28"/>
      <c r="AME22" s="28"/>
      <c r="AMF22" s="28"/>
      <c r="AMG22" s="28"/>
      <c r="AMH22" s="28"/>
      <c r="AMI22" s="28"/>
      <c r="AMJ22" s="28"/>
    </row>
    <row r="23" spans="1:1024" s="29" customFormat="1" ht="15.75" customHeight="1" x14ac:dyDescent="0.3">
      <c r="A23" s="600"/>
      <c r="B23" s="601" t="s">
        <v>257</v>
      </c>
      <c r="C23" s="602"/>
      <c r="D23" s="602"/>
      <c r="E23" s="602"/>
      <c r="F23" s="604" t="s">
        <v>223</v>
      </c>
      <c r="G23" s="453" t="s">
        <v>256</v>
      </c>
      <c r="H23" s="453" t="s">
        <v>256</v>
      </c>
      <c r="I23" s="461"/>
      <c r="J23" s="30"/>
      <c r="K23" s="28"/>
      <c r="L23" s="28"/>
      <c r="M23" s="28"/>
      <c r="N23" s="28"/>
      <c r="O23" s="28"/>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8"/>
      <c r="BB23" s="28"/>
      <c r="BC23" s="28"/>
      <c r="BD23" s="28"/>
      <c r="BE23" s="28"/>
      <c r="BF23" s="28"/>
      <c r="BG23" s="28"/>
      <c r="BH23" s="28"/>
      <c r="BI23" s="28"/>
      <c r="BJ23" s="28"/>
      <c r="BK23" s="28"/>
      <c r="BL23" s="28"/>
      <c r="BM23" s="28"/>
      <c r="BN23" s="28"/>
      <c r="BO23" s="28"/>
      <c r="BP23" s="28"/>
      <c r="BQ23" s="28"/>
      <c r="BR23" s="28"/>
      <c r="BS23" s="28"/>
      <c r="BT23" s="28"/>
      <c r="BU23" s="28"/>
      <c r="BV23" s="28"/>
      <c r="BW23" s="28"/>
      <c r="BX23" s="28"/>
      <c r="BY23" s="28"/>
      <c r="BZ23" s="28"/>
      <c r="CA23" s="28"/>
      <c r="CB23" s="28"/>
      <c r="CC23" s="28"/>
      <c r="CD23" s="28"/>
      <c r="CE23" s="28"/>
      <c r="CF23" s="28"/>
      <c r="CG23" s="28"/>
      <c r="CH23" s="28"/>
      <c r="CI23" s="28"/>
      <c r="CJ23" s="28"/>
      <c r="CK23" s="28"/>
      <c r="CL23" s="28"/>
      <c r="CM23" s="28"/>
      <c r="CN23" s="28"/>
      <c r="CO23" s="28"/>
      <c r="CP23" s="28"/>
      <c r="CQ23" s="28"/>
      <c r="CR23" s="28"/>
      <c r="CS23" s="28"/>
      <c r="CT23" s="28"/>
      <c r="CU23" s="28"/>
      <c r="CV23" s="28"/>
      <c r="CW23" s="28"/>
      <c r="CX23" s="28"/>
      <c r="CY23" s="28"/>
      <c r="CZ23" s="28"/>
      <c r="DA23" s="28"/>
      <c r="DB23" s="28"/>
      <c r="DC23" s="28"/>
      <c r="DD23" s="28"/>
      <c r="DE23" s="28"/>
      <c r="DF23" s="28"/>
      <c r="DG23" s="28"/>
      <c r="DH23" s="28"/>
      <c r="DI23" s="28"/>
      <c r="DJ23" s="28"/>
      <c r="DK23" s="28"/>
      <c r="DL23" s="28"/>
      <c r="DM23" s="28"/>
      <c r="DN23" s="28"/>
      <c r="DO23" s="28"/>
      <c r="DP23" s="28"/>
      <c r="DQ23" s="28"/>
      <c r="DR23" s="28"/>
      <c r="DS23" s="28"/>
      <c r="DT23" s="28"/>
      <c r="DU23" s="28"/>
      <c r="DV23" s="28"/>
      <c r="DW23" s="28"/>
      <c r="DX23" s="28"/>
      <c r="DY23" s="28"/>
      <c r="DZ23" s="28"/>
      <c r="EA23" s="28"/>
      <c r="EB23" s="28"/>
      <c r="EC23" s="28"/>
      <c r="ED23" s="28"/>
      <c r="EE23" s="28"/>
      <c r="EF23" s="28"/>
      <c r="EG23" s="28"/>
      <c r="EH23" s="28"/>
      <c r="EI23" s="28"/>
      <c r="EJ23" s="28"/>
      <c r="EK23" s="28"/>
      <c r="EL23" s="28"/>
      <c r="EM23" s="28"/>
      <c r="EN23" s="28"/>
      <c r="EO23" s="28"/>
      <c r="EP23" s="28"/>
      <c r="EQ23" s="28"/>
      <c r="ER23" s="28"/>
      <c r="ES23" s="28"/>
      <c r="ET23" s="28"/>
      <c r="EU23" s="28"/>
      <c r="EV23" s="28"/>
      <c r="EW23" s="28"/>
      <c r="EX23" s="28"/>
      <c r="EY23" s="28"/>
      <c r="EZ23" s="28"/>
      <c r="FA23" s="28"/>
      <c r="AIQ23" s="28"/>
      <c r="AIR23" s="28"/>
      <c r="AIS23" s="28"/>
      <c r="AIT23" s="28"/>
      <c r="AIU23" s="28"/>
      <c r="AIV23" s="28"/>
      <c r="AIW23" s="28"/>
      <c r="AIX23" s="28"/>
      <c r="AIY23" s="28"/>
      <c r="AIZ23" s="28"/>
      <c r="AJA23" s="28"/>
      <c r="AJB23" s="28"/>
      <c r="AJC23" s="28"/>
      <c r="AJD23" s="28"/>
      <c r="AJE23" s="28"/>
      <c r="AJF23" s="28"/>
      <c r="AJG23" s="28"/>
      <c r="AJH23" s="28"/>
      <c r="AJI23" s="28"/>
      <c r="AJJ23" s="28"/>
      <c r="AJK23" s="28"/>
      <c r="AJL23" s="28"/>
      <c r="AJM23" s="28"/>
      <c r="AJN23" s="28"/>
      <c r="AJO23" s="28"/>
      <c r="AJP23" s="28"/>
      <c r="AJQ23" s="28"/>
      <c r="AJR23" s="28"/>
      <c r="AJS23" s="28"/>
      <c r="AJT23" s="28"/>
      <c r="AJU23" s="28"/>
      <c r="AJV23" s="28"/>
      <c r="AJW23" s="28"/>
      <c r="AJX23" s="28"/>
      <c r="AJY23" s="28"/>
      <c r="AJZ23" s="28"/>
      <c r="AKA23" s="28"/>
      <c r="AKB23" s="28"/>
      <c r="AKC23" s="28"/>
      <c r="AKD23" s="28"/>
      <c r="AKE23" s="28"/>
      <c r="AKF23" s="28"/>
      <c r="AKG23" s="28"/>
      <c r="AKH23" s="28"/>
      <c r="AKI23" s="28"/>
      <c r="AKJ23" s="28"/>
      <c r="AKK23" s="28"/>
      <c r="AKL23" s="28"/>
      <c r="AKM23" s="28"/>
      <c r="AKN23" s="28"/>
      <c r="AKO23" s="28"/>
      <c r="AKP23" s="28"/>
      <c r="AKQ23" s="28"/>
      <c r="AKR23" s="28"/>
      <c r="AKS23" s="28"/>
      <c r="AKT23" s="28"/>
      <c r="AKU23" s="28"/>
      <c r="AKV23" s="28"/>
      <c r="AKW23" s="28"/>
      <c r="AKX23" s="28"/>
      <c r="AKY23" s="28"/>
      <c r="AKZ23" s="28"/>
      <c r="ALA23" s="28"/>
      <c r="ALB23" s="28"/>
      <c r="ALC23" s="28"/>
      <c r="ALD23" s="28"/>
      <c r="ALE23" s="28"/>
      <c r="ALF23" s="28"/>
      <c r="ALG23" s="28"/>
      <c r="ALH23" s="28"/>
      <c r="ALI23" s="28"/>
      <c r="ALJ23" s="28"/>
      <c r="ALK23" s="28"/>
      <c r="ALL23" s="28"/>
      <c r="ALM23" s="28"/>
      <c r="ALN23" s="28"/>
      <c r="ALO23" s="28"/>
      <c r="ALP23" s="28"/>
      <c r="ALQ23" s="28"/>
      <c r="ALR23" s="28"/>
      <c r="ALS23" s="28"/>
      <c r="ALT23" s="28"/>
      <c r="ALU23" s="28"/>
      <c r="ALV23" s="28"/>
      <c r="ALW23" s="28"/>
      <c r="ALX23" s="28"/>
      <c r="ALY23" s="28"/>
      <c r="ALZ23" s="28"/>
      <c r="AMA23" s="28"/>
      <c r="AMB23" s="28"/>
      <c r="AMC23" s="28"/>
      <c r="AMD23" s="28"/>
      <c r="AME23" s="28"/>
      <c r="AMF23" s="28"/>
      <c r="AMG23" s="28"/>
      <c r="AMH23" s="28"/>
      <c r="AMI23" s="28"/>
      <c r="AMJ23" s="28"/>
    </row>
    <row r="24" spans="1:1024" s="29" customFormat="1" ht="15.75" customHeight="1" x14ac:dyDescent="0.3">
      <c r="A24" s="600"/>
      <c r="B24" s="601" t="s">
        <v>258</v>
      </c>
      <c r="C24" s="602"/>
      <c r="D24" s="602"/>
      <c r="E24" s="602"/>
      <c r="F24" s="602" t="s">
        <v>223</v>
      </c>
      <c r="G24" s="453" t="s">
        <v>256</v>
      </c>
      <c r="H24" s="453" t="s">
        <v>259</v>
      </c>
      <c r="I24" s="461"/>
      <c r="J24" s="30"/>
      <c r="K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c r="BD24" s="28"/>
      <c r="BE24" s="28"/>
      <c r="BF24" s="28"/>
      <c r="BG24" s="28"/>
      <c r="BH24" s="28"/>
      <c r="BI24" s="28"/>
      <c r="BJ24" s="28"/>
      <c r="BK24" s="28"/>
      <c r="BL24" s="28"/>
      <c r="BM24" s="28"/>
      <c r="BN24" s="28"/>
      <c r="BO24" s="28"/>
      <c r="BP24" s="28"/>
      <c r="BQ24" s="28"/>
      <c r="BR24" s="28"/>
      <c r="BS24" s="28"/>
      <c r="BT24" s="28"/>
      <c r="BU24" s="28"/>
      <c r="BV24" s="28"/>
      <c r="BW24" s="28"/>
      <c r="BX24" s="28"/>
      <c r="BY24" s="28"/>
      <c r="BZ24" s="28"/>
      <c r="CA24" s="28"/>
      <c r="CB24" s="28"/>
      <c r="CC24" s="28"/>
      <c r="CD24" s="28"/>
      <c r="CE24" s="28"/>
      <c r="CF24" s="28"/>
      <c r="CG24" s="28"/>
      <c r="CH24" s="28"/>
      <c r="CI24" s="28"/>
      <c r="CJ24" s="28"/>
      <c r="CK24" s="28"/>
      <c r="CL24" s="28"/>
      <c r="CM24" s="28"/>
      <c r="CN24" s="28"/>
      <c r="CO24" s="28"/>
      <c r="CP24" s="28"/>
      <c r="CQ24" s="28"/>
      <c r="CR24" s="28"/>
      <c r="CS24" s="28"/>
      <c r="CT24" s="28"/>
      <c r="CU24" s="28"/>
      <c r="CV24" s="28"/>
      <c r="CW24" s="28"/>
      <c r="CX24" s="28"/>
      <c r="CY24" s="28"/>
      <c r="CZ24" s="28"/>
      <c r="DA24" s="28"/>
      <c r="DB24" s="28"/>
      <c r="DC24" s="28"/>
      <c r="DD24" s="28"/>
      <c r="DE24" s="28"/>
      <c r="DF24" s="28"/>
      <c r="DG24" s="28"/>
      <c r="DH24" s="28"/>
      <c r="DI24" s="28"/>
      <c r="DJ24" s="28"/>
      <c r="DK24" s="28"/>
      <c r="DL24" s="28"/>
      <c r="DM24" s="28"/>
      <c r="DN24" s="28"/>
      <c r="DO24" s="28"/>
      <c r="DP24" s="28"/>
      <c r="DQ24" s="28"/>
      <c r="DR24" s="28"/>
      <c r="DS24" s="28"/>
      <c r="DT24" s="28"/>
      <c r="DU24" s="28"/>
      <c r="DV24" s="28"/>
      <c r="DW24" s="28"/>
      <c r="DX24" s="28"/>
      <c r="DY24" s="28"/>
      <c r="DZ24" s="28"/>
      <c r="EA24" s="28"/>
      <c r="EB24" s="28"/>
      <c r="EC24" s="28"/>
      <c r="ED24" s="28"/>
      <c r="EE24" s="28"/>
      <c r="EF24" s="28"/>
      <c r="EG24" s="28"/>
      <c r="EH24" s="28"/>
      <c r="EI24" s="28"/>
      <c r="EJ24" s="28"/>
      <c r="EK24" s="28"/>
      <c r="EL24" s="28"/>
      <c r="EM24" s="28"/>
      <c r="EN24" s="28"/>
      <c r="EO24" s="28"/>
      <c r="EP24" s="28"/>
      <c r="EQ24" s="28"/>
      <c r="ER24" s="28"/>
      <c r="ES24" s="28"/>
      <c r="ET24" s="28"/>
      <c r="EU24" s="28"/>
      <c r="EV24" s="28"/>
      <c r="EW24" s="28"/>
      <c r="EX24" s="28"/>
      <c r="EY24" s="28"/>
      <c r="EZ24" s="28"/>
      <c r="FA24" s="28"/>
      <c r="AIQ24" s="28"/>
      <c r="AIR24" s="28"/>
      <c r="AIS24" s="28"/>
      <c r="AIT24" s="28"/>
      <c r="AIU24" s="28"/>
      <c r="AIV24" s="28"/>
      <c r="AIW24" s="28"/>
      <c r="AIX24" s="28"/>
      <c r="AIY24" s="28"/>
      <c r="AIZ24" s="28"/>
      <c r="AJA24" s="28"/>
      <c r="AJB24" s="28"/>
      <c r="AJC24" s="28"/>
      <c r="AJD24" s="28"/>
      <c r="AJE24" s="28"/>
      <c r="AJF24" s="28"/>
      <c r="AJG24" s="28"/>
      <c r="AJH24" s="28"/>
      <c r="AJI24" s="28"/>
      <c r="AJJ24" s="28"/>
      <c r="AJK24" s="28"/>
      <c r="AJL24" s="28"/>
      <c r="AJM24" s="28"/>
      <c r="AJN24" s="28"/>
      <c r="AJO24" s="28"/>
      <c r="AJP24" s="28"/>
      <c r="AJQ24" s="28"/>
      <c r="AJR24" s="28"/>
      <c r="AJS24" s="28"/>
      <c r="AJT24" s="28"/>
      <c r="AJU24" s="28"/>
      <c r="AJV24" s="28"/>
      <c r="AJW24" s="28"/>
      <c r="AJX24" s="28"/>
      <c r="AJY24" s="28"/>
      <c r="AJZ24" s="28"/>
      <c r="AKA24" s="28"/>
      <c r="AKB24" s="28"/>
      <c r="AKC24" s="28"/>
      <c r="AKD24" s="28"/>
      <c r="AKE24" s="28"/>
      <c r="AKF24" s="28"/>
      <c r="AKG24" s="28"/>
      <c r="AKH24" s="28"/>
      <c r="AKI24" s="28"/>
      <c r="AKJ24" s="28"/>
      <c r="AKK24" s="28"/>
      <c r="AKL24" s="28"/>
      <c r="AKM24" s="28"/>
      <c r="AKN24" s="28"/>
      <c r="AKO24" s="28"/>
      <c r="AKP24" s="28"/>
      <c r="AKQ24" s="28"/>
      <c r="AKR24" s="28"/>
      <c r="AKS24" s="28"/>
      <c r="AKT24" s="28"/>
      <c r="AKU24" s="28"/>
      <c r="AKV24" s="28"/>
      <c r="AKW24" s="28"/>
      <c r="AKX24" s="28"/>
      <c r="AKY24" s="28"/>
      <c r="AKZ24" s="28"/>
      <c r="ALA24" s="28"/>
      <c r="ALB24" s="28"/>
      <c r="ALC24" s="28"/>
      <c r="ALD24" s="28"/>
      <c r="ALE24" s="28"/>
      <c r="ALF24" s="28"/>
      <c r="ALG24" s="28"/>
      <c r="ALH24" s="28"/>
      <c r="ALI24" s="28"/>
      <c r="ALJ24" s="28"/>
      <c r="ALK24" s="28"/>
      <c r="ALL24" s="28"/>
      <c r="ALM24" s="28"/>
      <c r="ALN24" s="28"/>
      <c r="ALO24" s="28"/>
      <c r="ALP24" s="28"/>
      <c r="ALQ24" s="28"/>
      <c r="ALR24" s="28"/>
      <c r="ALS24" s="28"/>
      <c r="ALT24" s="28"/>
      <c r="ALU24" s="28"/>
      <c r="ALV24" s="28"/>
      <c r="ALW24" s="28"/>
      <c r="ALX24" s="28"/>
      <c r="ALY24" s="28"/>
      <c r="ALZ24" s="28"/>
      <c r="AMA24" s="28"/>
      <c r="AMB24" s="28"/>
      <c r="AMC24" s="28"/>
      <c r="AMD24" s="28"/>
      <c r="AME24" s="28"/>
      <c r="AMF24" s="28"/>
      <c r="AMG24" s="28"/>
      <c r="AMH24" s="28"/>
      <c r="AMI24" s="28"/>
      <c r="AMJ24" s="28"/>
    </row>
    <row r="25" spans="1:1024" s="29" customFormat="1" ht="15.75" customHeight="1" x14ac:dyDescent="0.3">
      <c r="A25" s="593" t="s">
        <v>260</v>
      </c>
      <c r="B25" s="594" t="s">
        <v>261</v>
      </c>
      <c r="C25" s="612"/>
      <c r="D25" s="605"/>
      <c r="E25" s="605"/>
      <c r="F25" s="606"/>
      <c r="G25" s="607"/>
      <c r="H25" s="607"/>
      <c r="I25" s="608"/>
      <c r="J25" s="30"/>
      <c r="K25" s="28"/>
      <c r="L25" s="28"/>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c r="BT25" s="28"/>
      <c r="BU25" s="28"/>
      <c r="BV25" s="28"/>
      <c r="BW25" s="28"/>
      <c r="BX25" s="28"/>
      <c r="BY25" s="28"/>
      <c r="BZ25" s="28"/>
      <c r="CA25" s="28"/>
      <c r="CB25" s="28"/>
      <c r="CC25" s="28"/>
      <c r="CD25" s="28"/>
      <c r="CE25" s="28"/>
      <c r="CF25" s="28"/>
      <c r="CG25" s="28"/>
      <c r="CH25" s="28"/>
      <c r="CI25" s="28"/>
      <c r="CJ25" s="28"/>
      <c r="CK25" s="28"/>
      <c r="CL25" s="28"/>
      <c r="CM25" s="28"/>
      <c r="CN25" s="28"/>
      <c r="CO25" s="28"/>
      <c r="CP25" s="28"/>
      <c r="CQ25" s="28"/>
      <c r="CR25" s="28"/>
      <c r="CS25" s="28"/>
      <c r="CT25" s="28"/>
      <c r="CU25" s="28"/>
      <c r="CV25" s="28"/>
      <c r="CW25" s="28"/>
      <c r="CX25" s="28"/>
      <c r="CY25" s="28"/>
      <c r="CZ25" s="28"/>
      <c r="DA25" s="28"/>
      <c r="DB25" s="28"/>
      <c r="DC25" s="28"/>
      <c r="DD25" s="28"/>
      <c r="DE25" s="28"/>
      <c r="DF25" s="28"/>
      <c r="DG25" s="28"/>
      <c r="DH25" s="28"/>
      <c r="DI25" s="28"/>
      <c r="DJ25" s="28"/>
      <c r="DK25" s="28"/>
      <c r="DL25" s="28"/>
      <c r="DM25" s="28"/>
      <c r="DN25" s="28"/>
      <c r="DO25" s="28"/>
      <c r="DP25" s="28"/>
      <c r="DQ25" s="28"/>
      <c r="DR25" s="28"/>
      <c r="DS25" s="28"/>
      <c r="DT25" s="28"/>
      <c r="DU25" s="28"/>
      <c r="DV25" s="28"/>
      <c r="DW25" s="28"/>
      <c r="DX25" s="28"/>
      <c r="DY25" s="28"/>
      <c r="DZ25" s="28"/>
      <c r="EA25" s="28"/>
      <c r="EB25" s="28"/>
      <c r="EC25" s="28"/>
      <c r="ED25" s="28"/>
      <c r="EE25" s="28"/>
      <c r="EF25" s="28"/>
      <c r="EG25" s="28"/>
      <c r="EH25" s="28"/>
      <c r="EI25" s="28"/>
      <c r="EJ25" s="28"/>
      <c r="EK25" s="28"/>
      <c r="EL25" s="28"/>
      <c r="EM25" s="28"/>
      <c r="EN25" s="28"/>
      <c r="EO25" s="28"/>
      <c r="EP25" s="28"/>
      <c r="EQ25" s="28"/>
      <c r="ER25" s="28"/>
      <c r="ES25" s="28"/>
      <c r="ET25" s="28"/>
      <c r="EU25" s="28"/>
      <c r="EV25" s="28"/>
      <c r="EW25" s="28"/>
      <c r="EX25" s="28"/>
      <c r="EY25" s="28"/>
      <c r="EZ25" s="28"/>
      <c r="FA25" s="28"/>
      <c r="AIQ25" s="28"/>
      <c r="AIR25" s="28"/>
      <c r="AIS25" s="28"/>
      <c r="AIT25" s="28"/>
      <c r="AIU25" s="28"/>
      <c r="AIV25" s="28"/>
      <c r="AIW25" s="28"/>
      <c r="AIX25" s="28"/>
      <c r="AIY25" s="28"/>
      <c r="AIZ25" s="28"/>
      <c r="AJA25" s="28"/>
      <c r="AJB25" s="28"/>
      <c r="AJC25" s="28"/>
      <c r="AJD25" s="28"/>
      <c r="AJE25" s="28"/>
      <c r="AJF25" s="28"/>
      <c r="AJG25" s="28"/>
      <c r="AJH25" s="28"/>
      <c r="AJI25" s="28"/>
      <c r="AJJ25" s="28"/>
      <c r="AJK25" s="28"/>
      <c r="AJL25" s="28"/>
      <c r="AJM25" s="28"/>
      <c r="AJN25" s="28"/>
      <c r="AJO25" s="28"/>
      <c r="AJP25" s="28"/>
      <c r="AJQ25" s="28"/>
      <c r="AJR25" s="28"/>
      <c r="AJS25" s="28"/>
      <c r="AJT25" s="28"/>
      <c r="AJU25" s="28"/>
      <c r="AJV25" s="28"/>
      <c r="AJW25" s="28"/>
      <c r="AJX25" s="28"/>
      <c r="AJY25" s="28"/>
      <c r="AJZ25" s="28"/>
      <c r="AKA25" s="28"/>
      <c r="AKB25" s="28"/>
      <c r="AKC25" s="28"/>
      <c r="AKD25" s="28"/>
      <c r="AKE25" s="28"/>
      <c r="AKF25" s="28"/>
      <c r="AKG25" s="28"/>
      <c r="AKH25" s="28"/>
      <c r="AKI25" s="28"/>
      <c r="AKJ25" s="28"/>
      <c r="AKK25" s="28"/>
      <c r="AKL25" s="28"/>
      <c r="AKM25" s="28"/>
      <c r="AKN25" s="28"/>
      <c r="AKO25" s="28"/>
      <c r="AKP25" s="28"/>
      <c r="AKQ25" s="28"/>
      <c r="AKR25" s="28"/>
      <c r="AKS25" s="28"/>
      <c r="AKT25" s="28"/>
      <c r="AKU25" s="28"/>
      <c r="AKV25" s="28"/>
      <c r="AKW25" s="28"/>
      <c r="AKX25" s="28"/>
      <c r="AKY25" s="28"/>
      <c r="AKZ25" s="28"/>
      <c r="ALA25" s="28"/>
      <c r="ALB25" s="28"/>
      <c r="ALC25" s="28"/>
      <c r="ALD25" s="28"/>
      <c r="ALE25" s="28"/>
      <c r="ALF25" s="28"/>
      <c r="ALG25" s="28"/>
      <c r="ALH25" s="28"/>
      <c r="ALI25" s="28"/>
      <c r="ALJ25" s="28"/>
      <c r="ALK25" s="28"/>
      <c r="ALL25" s="28"/>
      <c r="ALM25" s="28"/>
      <c r="ALN25" s="28"/>
      <c r="ALO25" s="28"/>
      <c r="ALP25" s="28"/>
      <c r="ALQ25" s="28"/>
      <c r="ALR25" s="28"/>
      <c r="ALS25" s="28"/>
      <c r="ALT25" s="28"/>
      <c r="ALU25" s="28"/>
      <c r="ALV25" s="28"/>
      <c r="ALW25" s="28"/>
      <c r="ALX25" s="28"/>
      <c r="ALY25" s="28"/>
      <c r="ALZ25" s="28"/>
      <c r="AMA25" s="28"/>
      <c r="AMB25" s="28"/>
      <c r="AMC25" s="28"/>
      <c r="AMD25" s="28"/>
      <c r="AME25" s="28"/>
      <c r="AMF25" s="28"/>
      <c r="AMG25" s="28"/>
      <c r="AMH25" s="28"/>
      <c r="AMI25" s="28"/>
      <c r="AMJ25" s="28"/>
    </row>
    <row r="26" spans="1:1024" s="29" customFormat="1" ht="15.75" customHeight="1" x14ac:dyDescent="0.3">
      <c r="A26" s="600" t="s">
        <v>222</v>
      </c>
      <c r="B26" s="601" t="s">
        <v>262</v>
      </c>
      <c r="C26" s="602"/>
      <c r="D26" s="602"/>
      <c r="E26" s="602"/>
      <c r="F26" s="604" t="s">
        <v>223</v>
      </c>
      <c r="G26" s="453" t="s">
        <v>227</v>
      </c>
      <c r="H26" s="453" t="s">
        <v>227</v>
      </c>
      <c r="I26" s="461"/>
      <c r="J26" s="30"/>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c r="BP26" s="28"/>
      <c r="BQ26" s="28"/>
      <c r="BR26" s="28"/>
      <c r="BS26" s="28"/>
      <c r="BT26" s="28"/>
      <c r="BU26" s="28"/>
      <c r="BV26" s="28"/>
      <c r="BW26" s="28"/>
      <c r="BX26" s="28"/>
      <c r="BY26" s="28"/>
      <c r="BZ26" s="28"/>
      <c r="CA26" s="28"/>
      <c r="CB26" s="28"/>
      <c r="CC26" s="28"/>
      <c r="CD26" s="28"/>
      <c r="CE26" s="28"/>
      <c r="CF26" s="28"/>
      <c r="CG26" s="28"/>
      <c r="CH26" s="28"/>
      <c r="CI26" s="28"/>
      <c r="CJ26" s="28"/>
      <c r="CK26" s="28"/>
      <c r="CL26" s="28"/>
      <c r="CM26" s="28"/>
      <c r="CN26" s="28"/>
      <c r="CO26" s="28"/>
      <c r="CP26" s="28"/>
      <c r="CQ26" s="28"/>
      <c r="CR26" s="28"/>
      <c r="CS26" s="28"/>
      <c r="CT26" s="28"/>
      <c r="CU26" s="28"/>
      <c r="CV26" s="28"/>
      <c r="CW26" s="28"/>
      <c r="CX26" s="28"/>
      <c r="CY26" s="28"/>
      <c r="CZ26" s="28"/>
      <c r="DA26" s="28"/>
      <c r="DB26" s="28"/>
      <c r="DC26" s="28"/>
      <c r="DD26" s="28"/>
      <c r="DE26" s="28"/>
      <c r="DF26" s="28"/>
      <c r="DG26" s="28"/>
      <c r="DH26" s="28"/>
      <c r="DI26" s="28"/>
      <c r="DJ26" s="28"/>
      <c r="DK26" s="28"/>
      <c r="DL26" s="28"/>
      <c r="DM26" s="28"/>
      <c r="DN26" s="28"/>
      <c r="DO26" s="28"/>
      <c r="DP26" s="28"/>
      <c r="DQ26" s="28"/>
      <c r="DR26" s="28"/>
      <c r="DS26" s="28"/>
      <c r="DT26" s="28"/>
      <c r="DU26" s="28"/>
      <c r="DV26" s="28"/>
      <c r="DW26" s="28"/>
      <c r="DX26" s="28"/>
      <c r="DY26" s="28"/>
      <c r="DZ26" s="28"/>
      <c r="EA26" s="28"/>
      <c r="EB26" s="28"/>
      <c r="EC26" s="28"/>
      <c r="ED26" s="28"/>
      <c r="EE26" s="28"/>
      <c r="EF26" s="28"/>
      <c r="EG26" s="28"/>
      <c r="EH26" s="28"/>
      <c r="EI26" s="28"/>
      <c r="EJ26" s="28"/>
      <c r="EK26" s="28"/>
      <c r="EL26" s="28"/>
      <c r="EM26" s="28"/>
      <c r="EN26" s="28"/>
      <c r="EO26" s="28"/>
      <c r="EP26" s="28"/>
      <c r="EQ26" s="28"/>
      <c r="ER26" s="28"/>
      <c r="ES26" s="28"/>
      <c r="ET26" s="28"/>
      <c r="EU26" s="28"/>
      <c r="EV26" s="28"/>
      <c r="EW26" s="28"/>
      <c r="EX26" s="28"/>
      <c r="EY26" s="28"/>
      <c r="EZ26" s="28"/>
      <c r="FA26" s="28"/>
      <c r="AIQ26" s="28"/>
      <c r="AIR26" s="28"/>
      <c r="AIS26" s="28"/>
      <c r="AIT26" s="28"/>
      <c r="AIU26" s="28"/>
      <c r="AIV26" s="28"/>
      <c r="AIW26" s="28"/>
      <c r="AIX26" s="28"/>
      <c r="AIY26" s="28"/>
      <c r="AIZ26" s="28"/>
      <c r="AJA26" s="28"/>
      <c r="AJB26" s="28"/>
      <c r="AJC26" s="28"/>
      <c r="AJD26" s="28"/>
      <c r="AJE26" s="28"/>
      <c r="AJF26" s="28"/>
      <c r="AJG26" s="28"/>
      <c r="AJH26" s="28"/>
      <c r="AJI26" s="28"/>
      <c r="AJJ26" s="28"/>
      <c r="AJK26" s="28"/>
      <c r="AJL26" s="28"/>
      <c r="AJM26" s="28"/>
      <c r="AJN26" s="28"/>
      <c r="AJO26" s="28"/>
      <c r="AJP26" s="28"/>
      <c r="AJQ26" s="28"/>
      <c r="AJR26" s="28"/>
      <c r="AJS26" s="28"/>
      <c r="AJT26" s="28"/>
      <c r="AJU26" s="28"/>
      <c r="AJV26" s="28"/>
      <c r="AJW26" s="28"/>
      <c r="AJX26" s="28"/>
      <c r="AJY26" s="28"/>
      <c r="AJZ26" s="28"/>
      <c r="AKA26" s="28"/>
      <c r="AKB26" s="28"/>
      <c r="AKC26" s="28"/>
      <c r="AKD26" s="28"/>
      <c r="AKE26" s="28"/>
      <c r="AKF26" s="28"/>
      <c r="AKG26" s="28"/>
      <c r="AKH26" s="28"/>
      <c r="AKI26" s="28"/>
      <c r="AKJ26" s="28"/>
      <c r="AKK26" s="28"/>
      <c r="AKL26" s="28"/>
      <c r="AKM26" s="28"/>
      <c r="AKN26" s="28"/>
      <c r="AKO26" s="28"/>
      <c r="AKP26" s="28"/>
      <c r="AKQ26" s="28"/>
      <c r="AKR26" s="28"/>
      <c r="AKS26" s="28"/>
      <c r="AKT26" s="28"/>
      <c r="AKU26" s="28"/>
      <c r="AKV26" s="28"/>
      <c r="AKW26" s="28"/>
      <c r="AKX26" s="28"/>
      <c r="AKY26" s="28"/>
      <c r="AKZ26" s="28"/>
      <c r="ALA26" s="28"/>
      <c r="ALB26" s="28"/>
      <c r="ALC26" s="28"/>
      <c r="ALD26" s="28"/>
      <c r="ALE26" s="28"/>
      <c r="ALF26" s="28"/>
      <c r="ALG26" s="28"/>
      <c r="ALH26" s="28"/>
      <c r="ALI26" s="28"/>
      <c r="ALJ26" s="28"/>
      <c r="ALK26" s="28"/>
      <c r="ALL26" s="28"/>
      <c r="ALM26" s="28"/>
      <c r="ALN26" s="28"/>
      <c r="ALO26" s="28"/>
      <c r="ALP26" s="28"/>
      <c r="ALQ26" s="28"/>
      <c r="ALR26" s="28"/>
      <c r="ALS26" s="28"/>
      <c r="ALT26" s="28"/>
      <c r="ALU26" s="28"/>
      <c r="ALV26" s="28"/>
      <c r="ALW26" s="28"/>
      <c r="ALX26" s="28"/>
      <c r="ALY26" s="28"/>
      <c r="ALZ26" s="28"/>
      <c r="AMA26" s="28"/>
      <c r="AMB26" s="28"/>
      <c r="AMC26" s="28"/>
      <c r="AMD26" s="28"/>
      <c r="AME26" s="28"/>
      <c r="AMF26" s="28"/>
      <c r="AMG26" s="28"/>
      <c r="AMH26" s="28"/>
      <c r="AMI26" s="28"/>
      <c r="AMJ26" s="28"/>
    </row>
    <row r="27" spans="1:1024" s="29" customFormat="1" ht="15.75" customHeight="1" x14ac:dyDescent="0.3">
      <c r="A27" s="600" t="s">
        <v>222</v>
      </c>
      <c r="B27" s="601" t="s">
        <v>263</v>
      </c>
      <c r="C27" s="602"/>
      <c r="D27" s="602"/>
      <c r="E27" s="602"/>
      <c r="F27" s="604" t="s">
        <v>223</v>
      </c>
      <c r="G27" s="453" t="s">
        <v>227</v>
      </c>
      <c r="H27" s="453" t="s">
        <v>227</v>
      </c>
      <c r="I27" s="461"/>
      <c r="J27" s="30"/>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8"/>
      <c r="BA27" s="28"/>
      <c r="BB27" s="28"/>
      <c r="BC27" s="28"/>
      <c r="BD27" s="28"/>
      <c r="BE27" s="28"/>
      <c r="BF27" s="28"/>
      <c r="BG27" s="28"/>
      <c r="BH27" s="28"/>
      <c r="BI27" s="28"/>
      <c r="BJ27" s="28"/>
      <c r="BK27" s="28"/>
      <c r="BL27" s="28"/>
      <c r="BM27" s="28"/>
      <c r="BN27" s="28"/>
      <c r="BO27" s="28"/>
      <c r="BP27" s="28"/>
      <c r="BQ27" s="28"/>
      <c r="BR27" s="28"/>
      <c r="BS27" s="28"/>
      <c r="BT27" s="28"/>
      <c r="BU27" s="28"/>
      <c r="BV27" s="28"/>
      <c r="BW27" s="28"/>
      <c r="BX27" s="28"/>
      <c r="BY27" s="28"/>
      <c r="BZ27" s="28"/>
      <c r="CA27" s="28"/>
      <c r="CB27" s="28"/>
      <c r="CC27" s="28"/>
      <c r="CD27" s="28"/>
      <c r="CE27" s="28"/>
      <c r="CF27" s="28"/>
      <c r="CG27" s="28"/>
      <c r="CH27" s="28"/>
      <c r="CI27" s="28"/>
      <c r="CJ27" s="28"/>
      <c r="CK27" s="28"/>
      <c r="CL27" s="28"/>
      <c r="CM27" s="28"/>
      <c r="CN27" s="28"/>
      <c r="CO27" s="28"/>
      <c r="CP27" s="28"/>
      <c r="CQ27" s="28"/>
      <c r="CR27" s="28"/>
      <c r="CS27" s="28"/>
      <c r="CT27" s="28"/>
      <c r="CU27" s="28"/>
      <c r="CV27" s="28"/>
      <c r="CW27" s="28"/>
      <c r="CX27" s="28"/>
      <c r="CY27" s="28"/>
      <c r="CZ27" s="28"/>
      <c r="DA27" s="28"/>
      <c r="DB27" s="28"/>
      <c r="DC27" s="28"/>
      <c r="DD27" s="28"/>
      <c r="DE27" s="28"/>
      <c r="DF27" s="28"/>
      <c r="DG27" s="28"/>
      <c r="DH27" s="28"/>
      <c r="DI27" s="28"/>
      <c r="DJ27" s="28"/>
      <c r="DK27" s="28"/>
      <c r="DL27" s="28"/>
      <c r="DM27" s="28"/>
      <c r="DN27" s="28"/>
      <c r="DO27" s="28"/>
      <c r="DP27" s="28"/>
      <c r="DQ27" s="28"/>
      <c r="DR27" s="28"/>
      <c r="DS27" s="28"/>
      <c r="DT27" s="28"/>
      <c r="DU27" s="28"/>
      <c r="DV27" s="28"/>
      <c r="DW27" s="28"/>
      <c r="DX27" s="28"/>
      <c r="DY27" s="28"/>
      <c r="DZ27" s="28"/>
      <c r="EA27" s="28"/>
      <c r="EB27" s="28"/>
      <c r="EC27" s="28"/>
      <c r="ED27" s="28"/>
      <c r="EE27" s="28"/>
      <c r="EF27" s="28"/>
      <c r="EG27" s="28"/>
      <c r="EH27" s="28"/>
      <c r="EI27" s="28"/>
      <c r="EJ27" s="28"/>
      <c r="EK27" s="28"/>
      <c r="EL27" s="28"/>
      <c r="EM27" s="28"/>
      <c r="EN27" s="28"/>
      <c r="EO27" s="28"/>
      <c r="EP27" s="28"/>
      <c r="EQ27" s="28"/>
      <c r="ER27" s="28"/>
      <c r="ES27" s="28"/>
      <c r="ET27" s="28"/>
      <c r="EU27" s="28"/>
      <c r="EV27" s="28"/>
      <c r="EW27" s="28"/>
      <c r="EX27" s="28"/>
      <c r="EY27" s="28"/>
      <c r="EZ27" s="28"/>
      <c r="FA27" s="28"/>
      <c r="AIQ27" s="28"/>
      <c r="AIR27" s="28"/>
      <c r="AIS27" s="28"/>
      <c r="AIT27" s="28"/>
      <c r="AIU27" s="28"/>
      <c r="AIV27" s="28"/>
      <c r="AIW27" s="28"/>
      <c r="AIX27" s="28"/>
      <c r="AIY27" s="28"/>
      <c r="AIZ27" s="28"/>
      <c r="AJA27" s="28"/>
      <c r="AJB27" s="28"/>
      <c r="AJC27" s="28"/>
      <c r="AJD27" s="28"/>
      <c r="AJE27" s="28"/>
      <c r="AJF27" s="28"/>
      <c r="AJG27" s="28"/>
      <c r="AJH27" s="28"/>
      <c r="AJI27" s="28"/>
      <c r="AJJ27" s="28"/>
      <c r="AJK27" s="28"/>
      <c r="AJL27" s="28"/>
      <c r="AJM27" s="28"/>
      <c r="AJN27" s="28"/>
      <c r="AJO27" s="28"/>
      <c r="AJP27" s="28"/>
      <c r="AJQ27" s="28"/>
      <c r="AJR27" s="28"/>
      <c r="AJS27" s="28"/>
      <c r="AJT27" s="28"/>
      <c r="AJU27" s="28"/>
      <c r="AJV27" s="28"/>
      <c r="AJW27" s="28"/>
      <c r="AJX27" s="28"/>
      <c r="AJY27" s="28"/>
      <c r="AJZ27" s="28"/>
      <c r="AKA27" s="28"/>
      <c r="AKB27" s="28"/>
      <c r="AKC27" s="28"/>
      <c r="AKD27" s="28"/>
      <c r="AKE27" s="28"/>
      <c r="AKF27" s="28"/>
      <c r="AKG27" s="28"/>
      <c r="AKH27" s="28"/>
      <c r="AKI27" s="28"/>
      <c r="AKJ27" s="28"/>
      <c r="AKK27" s="28"/>
      <c r="AKL27" s="28"/>
      <c r="AKM27" s="28"/>
      <c r="AKN27" s="28"/>
      <c r="AKO27" s="28"/>
      <c r="AKP27" s="28"/>
      <c r="AKQ27" s="28"/>
      <c r="AKR27" s="28"/>
      <c r="AKS27" s="28"/>
      <c r="AKT27" s="28"/>
      <c r="AKU27" s="28"/>
      <c r="AKV27" s="28"/>
      <c r="AKW27" s="28"/>
      <c r="AKX27" s="28"/>
      <c r="AKY27" s="28"/>
      <c r="AKZ27" s="28"/>
      <c r="ALA27" s="28"/>
      <c r="ALB27" s="28"/>
      <c r="ALC27" s="28"/>
      <c r="ALD27" s="28"/>
      <c r="ALE27" s="28"/>
      <c r="ALF27" s="28"/>
      <c r="ALG27" s="28"/>
      <c r="ALH27" s="28"/>
      <c r="ALI27" s="28"/>
      <c r="ALJ27" s="28"/>
      <c r="ALK27" s="28"/>
      <c r="ALL27" s="28"/>
      <c r="ALM27" s="28"/>
      <c r="ALN27" s="28"/>
      <c r="ALO27" s="28"/>
      <c r="ALP27" s="28"/>
      <c r="ALQ27" s="28"/>
      <c r="ALR27" s="28"/>
      <c r="ALS27" s="28"/>
      <c r="ALT27" s="28"/>
      <c r="ALU27" s="28"/>
      <c r="ALV27" s="28"/>
      <c r="ALW27" s="28"/>
      <c r="ALX27" s="28"/>
      <c r="ALY27" s="28"/>
      <c r="ALZ27" s="28"/>
      <c r="AMA27" s="28"/>
      <c r="AMB27" s="28"/>
      <c r="AMC27" s="28"/>
      <c r="AMD27" s="28"/>
      <c r="AME27" s="28"/>
      <c r="AMF27" s="28"/>
      <c r="AMG27" s="28"/>
      <c r="AMH27" s="28"/>
      <c r="AMI27" s="28"/>
      <c r="AMJ27" s="28"/>
    </row>
    <row r="28" spans="1:1024" s="29" customFormat="1" ht="15.75" customHeight="1" x14ac:dyDescent="0.3">
      <c r="A28" s="593" t="s">
        <v>264</v>
      </c>
      <c r="B28" s="594" t="s">
        <v>265</v>
      </c>
      <c r="C28" s="612"/>
      <c r="D28" s="605"/>
      <c r="E28" s="605"/>
      <c r="F28" s="606"/>
      <c r="G28" s="607"/>
      <c r="H28" s="607"/>
      <c r="I28" s="608"/>
      <c r="J28" s="30"/>
      <c r="K28" s="28"/>
      <c r="L28" s="28"/>
      <c r="M28" s="28"/>
      <c r="N28" s="28"/>
      <c r="O28" s="28"/>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28"/>
      <c r="AZ28" s="28"/>
      <c r="BA28" s="28"/>
      <c r="BB28" s="28"/>
      <c r="BC28" s="28"/>
      <c r="BD28" s="28"/>
      <c r="BE28" s="28"/>
      <c r="BF28" s="28"/>
      <c r="BG28" s="28"/>
      <c r="BH28" s="28"/>
      <c r="BI28" s="28"/>
      <c r="BJ28" s="28"/>
      <c r="BK28" s="28"/>
      <c r="BL28" s="28"/>
      <c r="BM28" s="28"/>
      <c r="BN28" s="28"/>
      <c r="BO28" s="28"/>
      <c r="BP28" s="28"/>
      <c r="BQ28" s="28"/>
      <c r="BR28" s="28"/>
      <c r="BS28" s="28"/>
      <c r="BT28" s="28"/>
      <c r="BU28" s="28"/>
      <c r="BV28" s="28"/>
      <c r="BW28" s="28"/>
      <c r="BX28" s="28"/>
      <c r="BY28" s="28"/>
      <c r="BZ28" s="28"/>
      <c r="CA28" s="28"/>
      <c r="CB28" s="28"/>
      <c r="CC28" s="28"/>
      <c r="CD28" s="28"/>
      <c r="CE28" s="28"/>
      <c r="CF28" s="28"/>
      <c r="CG28" s="28"/>
      <c r="CH28" s="28"/>
      <c r="CI28" s="28"/>
      <c r="CJ28" s="28"/>
      <c r="CK28" s="28"/>
      <c r="CL28" s="28"/>
      <c r="CM28" s="28"/>
      <c r="CN28" s="28"/>
      <c r="CO28" s="28"/>
      <c r="CP28" s="28"/>
      <c r="CQ28" s="28"/>
      <c r="CR28" s="28"/>
      <c r="CS28" s="28"/>
      <c r="CT28" s="28"/>
      <c r="CU28" s="28"/>
      <c r="CV28" s="28"/>
      <c r="CW28" s="28"/>
      <c r="CX28" s="28"/>
      <c r="CY28" s="28"/>
      <c r="CZ28" s="28"/>
      <c r="DA28" s="28"/>
      <c r="DB28" s="28"/>
      <c r="DC28" s="28"/>
      <c r="DD28" s="28"/>
      <c r="DE28" s="28"/>
      <c r="DF28" s="28"/>
      <c r="DG28" s="28"/>
      <c r="DH28" s="28"/>
      <c r="DI28" s="28"/>
      <c r="DJ28" s="28"/>
      <c r="DK28" s="28"/>
      <c r="DL28" s="28"/>
      <c r="DM28" s="28"/>
      <c r="DN28" s="28"/>
      <c r="DO28" s="28"/>
      <c r="DP28" s="28"/>
      <c r="DQ28" s="28"/>
      <c r="DR28" s="28"/>
      <c r="DS28" s="28"/>
      <c r="DT28" s="28"/>
      <c r="DU28" s="28"/>
      <c r="DV28" s="28"/>
      <c r="DW28" s="28"/>
      <c r="DX28" s="28"/>
      <c r="DY28" s="28"/>
      <c r="DZ28" s="28"/>
      <c r="EA28" s="28"/>
      <c r="EB28" s="28"/>
      <c r="EC28" s="28"/>
      <c r="ED28" s="28"/>
      <c r="EE28" s="28"/>
      <c r="EF28" s="28"/>
      <c r="EG28" s="28"/>
      <c r="EH28" s="28"/>
      <c r="EI28" s="28"/>
      <c r="EJ28" s="28"/>
      <c r="EK28" s="28"/>
      <c r="EL28" s="28"/>
      <c r="EM28" s="28"/>
      <c r="EN28" s="28"/>
      <c r="EO28" s="28"/>
      <c r="EP28" s="28"/>
      <c r="EQ28" s="28"/>
      <c r="ER28" s="28"/>
      <c r="ES28" s="28"/>
      <c r="ET28" s="28"/>
      <c r="EU28" s="28"/>
      <c r="EV28" s="28"/>
      <c r="EW28" s="28"/>
      <c r="EX28" s="28"/>
      <c r="EY28" s="28"/>
      <c r="EZ28" s="28"/>
      <c r="FA28" s="28"/>
      <c r="AIQ28" s="28"/>
      <c r="AIR28" s="28"/>
      <c r="AIS28" s="28"/>
      <c r="AIT28" s="28"/>
      <c r="AIU28" s="28"/>
      <c r="AIV28" s="28"/>
      <c r="AIW28" s="28"/>
      <c r="AIX28" s="28"/>
      <c r="AIY28" s="28"/>
      <c r="AIZ28" s="28"/>
      <c r="AJA28" s="28"/>
      <c r="AJB28" s="28"/>
      <c r="AJC28" s="28"/>
      <c r="AJD28" s="28"/>
      <c r="AJE28" s="28"/>
      <c r="AJF28" s="28"/>
      <c r="AJG28" s="28"/>
      <c r="AJH28" s="28"/>
      <c r="AJI28" s="28"/>
      <c r="AJJ28" s="28"/>
      <c r="AJK28" s="28"/>
      <c r="AJL28" s="28"/>
      <c r="AJM28" s="28"/>
      <c r="AJN28" s="28"/>
      <c r="AJO28" s="28"/>
      <c r="AJP28" s="28"/>
      <c r="AJQ28" s="28"/>
      <c r="AJR28" s="28"/>
      <c r="AJS28" s="28"/>
      <c r="AJT28" s="28"/>
      <c r="AJU28" s="28"/>
      <c r="AJV28" s="28"/>
      <c r="AJW28" s="28"/>
      <c r="AJX28" s="28"/>
      <c r="AJY28" s="28"/>
      <c r="AJZ28" s="28"/>
      <c r="AKA28" s="28"/>
      <c r="AKB28" s="28"/>
      <c r="AKC28" s="28"/>
      <c r="AKD28" s="28"/>
      <c r="AKE28" s="28"/>
      <c r="AKF28" s="28"/>
      <c r="AKG28" s="28"/>
      <c r="AKH28" s="28"/>
      <c r="AKI28" s="28"/>
      <c r="AKJ28" s="28"/>
      <c r="AKK28" s="28"/>
      <c r="AKL28" s="28"/>
      <c r="AKM28" s="28"/>
      <c r="AKN28" s="28"/>
      <c r="AKO28" s="28"/>
      <c r="AKP28" s="28"/>
      <c r="AKQ28" s="28"/>
      <c r="AKR28" s="28"/>
      <c r="AKS28" s="28"/>
      <c r="AKT28" s="28"/>
      <c r="AKU28" s="28"/>
      <c r="AKV28" s="28"/>
      <c r="AKW28" s="28"/>
      <c r="AKX28" s="28"/>
      <c r="AKY28" s="28"/>
      <c r="AKZ28" s="28"/>
      <c r="ALA28" s="28"/>
      <c r="ALB28" s="28"/>
      <c r="ALC28" s="28"/>
      <c r="ALD28" s="28"/>
      <c r="ALE28" s="28"/>
      <c r="ALF28" s="28"/>
      <c r="ALG28" s="28"/>
      <c r="ALH28" s="28"/>
      <c r="ALI28" s="28"/>
      <c r="ALJ28" s="28"/>
      <c r="ALK28" s="28"/>
      <c r="ALL28" s="28"/>
      <c r="ALM28" s="28"/>
      <c r="ALN28" s="28"/>
      <c r="ALO28" s="28"/>
      <c r="ALP28" s="28"/>
      <c r="ALQ28" s="28"/>
      <c r="ALR28" s="28"/>
      <c r="ALS28" s="28"/>
      <c r="ALT28" s="28"/>
      <c r="ALU28" s="28"/>
      <c r="ALV28" s="28"/>
      <c r="ALW28" s="28"/>
      <c r="ALX28" s="28"/>
      <c r="ALY28" s="28"/>
      <c r="ALZ28" s="28"/>
      <c r="AMA28" s="28"/>
      <c r="AMB28" s="28"/>
      <c r="AMC28" s="28"/>
      <c r="AMD28" s="28"/>
      <c r="AME28" s="28"/>
      <c r="AMF28" s="28"/>
      <c r="AMG28" s="28"/>
      <c r="AMH28" s="28"/>
      <c r="AMI28" s="28"/>
      <c r="AMJ28" s="28"/>
    </row>
    <row r="29" spans="1:1024" s="29" customFormat="1" ht="15.75" customHeight="1" x14ac:dyDescent="0.3">
      <c r="A29" s="600"/>
      <c r="B29" s="601" t="s">
        <v>266</v>
      </c>
      <c r="C29" s="602"/>
      <c r="D29" s="602"/>
      <c r="E29" s="602"/>
      <c r="F29" s="604" t="s">
        <v>223</v>
      </c>
      <c r="G29" s="453" t="s">
        <v>244</v>
      </c>
      <c r="H29" s="453" t="s">
        <v>244</v>
      </c>
      <c r="I29" s="461"/>
      <c r="J29" s="30"/>
      <c r="K29" s="28"/>
      <c r="L29" s="28"/>
      <c r="M29" s="28"/>
      <c r="N29" s="28"/>
      <c r="O29" s="28"/>
      <c r="P29" s="28"/>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8"/>
      <c r="BA29" s="28"/>
      <c r="BB29" s="28"/>
      <c r="BC29" s="28"/>
      <c r="BD29" s="28"/>
      <c r="BE29" s="28"/>
      <c r="BF29" s="28"/>
      <c r="BG29" s="28"/>
      <c r="BH29" s="28"/>
      <c r="BI29" s="28"/>
      <c r="BJ29" s="28"/>
      <c r="BK29" s="28"/>
      <c r="BL29" s="28"/>
      <c r="BM29" s="28"/>
      <c r="BN29" s="28"/>
      <c r="BO29" s="28"/>
      <c r="BP29" s="28"/>
      <c r="BQ29" s="28"/>
      <c r="BR29" s="28"/>
      <c r="BS29" s="28"/>
      <c r="BT29" s="28"/>
      <c r="BU29" s="28"/>
      <c r="BV29" s="28"/>
      <c r="BW29" s="28"/>
      <c r="BX29" s="28"/>
      <c r="BY29" s="28"/>
      <c r="BZ29" s="28"/>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28"/>
      <c r="DA29" s="28"/>
      <c r="DB29" s="28"/>
      <c r="DC29" s="28"/>
      <c r="DD29" s="28"/>
      <c r="DE29" s="28"/>
      <c r="DF29" s="28"/>
      <c r="DG29" s="28"/>
      <c r="DH29" s="28"/>
      <c r="DI29" s="28"/>
      <c r="DJ29" s="28"/>
      <c r="DK29" s="28"/>
      <c r="DL29" s="28"/>
      <c r="DM29" s="28"/>
      <c r="DN29" s="28"/>
      <c r="DO29" s="28"/>
      <c r="DP29" s="28"/>
      <c r="DQ29" s="28"/>
      <c r="DR29" s="28"/>
      <c r="DS29" s="28"/>
      <c r="DT29" s="28"/>
      <c r="DU29" s="28"/>
      <c r="DV29" s="28"/>
      <c r="DW29" s="28"/>
      <c r="DX29" s="28"/>
      <c r="DY29" s="28"/>
      <c r="DZ29" s="28"/>
      <c r="EA29" s="28"/>
      <c r="EB29" s="28"/>
      <c r="EC29" s="28"/>
      <c r="ED29" s="28"/>
      <c r="EE29" s="28"/>
      <c r="EF29" s="28"/>
      <c r="EG29" s="28"/>
      <c r="EH29" s="28"/>
      <c r="EI29" s="28"/>
      <c r="EJ29" s="28"/>
      <c r="EK29" s="28"/>
      <c r="EL29" s="28"/>
      <c r="EM29" s="28"/>
      <c r="EN29" s="28"/>
      <c r="EO29" s="28"/>
      <c r="EP29" s="28"/>
      <c r="EQ29" s="28"/>
      <c r="ER29" s="28"/>
      <c r="ES29" s="28"/>
      <c r="ET29" s="28"/>
      <c r="EU29" s="28"/>
      <c r="EV29" s="28"/>
      <c r="EW29" s="28"/>
      <c r="EX29" s="28"/>
      <c r="EY29" s="28"/>
      <c r="EZ29" s="28"/>
      <c r="FA29" s="28"/>
      <c r="AIQ29" s="28"/>
      <c r="AIR29" s="28"/>
      <c r="AIS29" s="28"/>
      <c r="AIT29" s="28"/>
      <c r="AIU29" s="28"/>
      <c r="AIV29" s="28"/>
      <c r="AIW29" s="28"/>
      <c r="AIX29" s="28"/>
      <c r="AIY29" s="28"/>
      <c r="AIZ29" s="28"/>
      <c r="AJA29" s="28"/>
      <c r="AJB29" s="28"/>
      <c r="AJC29" s="28"/>
      <c r="AJD29" s="28"/>
      <c r="AJE29" s="28"/>
      <c r="AJF29" s="28"/>
      <c r="AJG29" s="28"/>
      <c r="AJH29" s="28"/>
      <c r="AJI29" s="28"/>
      <c r="AJJ29" s="28"/>
      <c r="AJK29" s="28"/>
      <c r="AJL29" s="28"/>
      <c r="AJM29" s="28"/>
      <c r="AJN29" s="28"/>
      <c r="AJO29" s="28"/>
      <c r="AJP29" s="28"/>
      <c r="AJQ29" s="28"/>
      <c r="AJR29" s="28"/>
      <c r="AJS29" s="28"/>
      <c r="AJT29" s="28"/>
      <c r="AJU29" s="28"/>
      <c r="AJV29" s="28"/>
      <c r="AJW29" s="28"/>
      <c r="AJX29" s="28"/>
      <c r="AJY29" s="28"/>
      <c r="AJZ29" s="28"/>
      <c r="AKA29" s="28"/>
      <c r="AKB29" s="28"/>
      <c r="AKC29" s="28"/>
      <c r="AKD29" s="28"/>
      <c r="AKE29" s="28"/>
      <c r="AKF29" s="28"/>
      <c r="AKG29" s="28"/>
      <c r="AKH29" s="28"/>
      <c r="AKI29" s="28"/>
      <c r="AKJ29" s="28"/>
      <c r="AKK29" s="28"/>
      <c r="AKL29" s="28"/>
      <c r="AKM29" s="28"/>
      <c r="AKN29" s="28"/>
      <c r="AKO29" s="28"/>
      <c r="AKP29" s="28"/>
      <c r="AKQ29" s="28"/>
      <c r="AKR29" s="28"/>
      <c r="AKS29" s="28"/>
      <c r="AKT29" s="28"/>
      <c r="AKU29" s="28"/>
      <c r="AKV29" s="28"/>
      <c r="AKW29" s="28"/>
      <c r="AKX29" s="28"/>
      <c r="AKY29" s="28"/>
      <c r="AKZ29" s="28"/>
      <c r="ALA29" s="28"/>
      <c r="ALB29" s="28"/>
      <c r="ALC29" s="28"/>
      <c r="ALD29" s="28"/>
      <c r="ALE29" s="28"/>
      <c r="ALF29" s="28"/>
      <c r="ALG29" s="28"/>
      <c r="ALH29" s="28"/>
      <c r="ALI29" s="28"/>
      <c r="ALJ29" s="28"/>
      <c r="ALK29" s="28"/>
      <c r="ALL29" s="28"/>
      <c r="ALM29" s="28"/>
      <c r="ALN29" s="28"/>
      <c r="ALO29" s="28"/>
      <c r="ALP29" s="28"/>
      <c r="ALQ29" s="28"/>
      <c r="ALR29" s="28"/>
      <c r="ALS29" s="28"/>
      <c r="ALT29" s="28"/>
      <c r="ALU29" s="28"/>
      <c r="ALV29" s="28"/>
      <c r="ALW29" s="28"/>
      <c r="ALX29" s="28"/>
      <c r="ALY29" s="28"/>
      <c r="ALZ29" s="28"/>
      <c r="AMA29" s="28"/>
      <c r="AMB29" s="28"/>
      <c r="AMC29" s="28"/>
      <c r="AMD29" s="28"/>
      <c r="AME29" s="28"/>
      <c r="AMF29" s="28"/>
      <c r="AMG29" s="28"/>
      <c r="AMH29" s="28"/>
      <c r="AMI29" s="28"/>
      <c r="AMJ29" s="28"/>
    </row>
    <row r="30" spans="1:1024" s="29" customFormat="1" ht="15.75" customHeight="1" x14ac:dyDescent="0.3">
      <c r="A30" s="600"/>
      <c r="B30" s="601" t="s">
        <v>267</v>
      </c>
      <c r="C30" s="602"/>
      <c r="D30" s="602"/>
      <c r="E30" s="602"/>
      <c r="F30" s="604" t="s">
        <v>223</v>
      </c>
      <c r="G30" s="453" t="s">
        <v>244</v>
      </c>
      <c r="H30" s="453" t="s">
        <v>244</v>
      </c>
      <c r="I30" s="461"/>
      <c r="J30" s="30"/>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c r="ALN30" s="28"/>
      <c r="ALO30" s="28"/>
      <c r="ALP30" s="28"/>
      <c r="ALQ30" s="28"/>
      <c r="ALR30" s="28"/>
      <c r="ALS30" s="28"/>
      <c r="ALT30" s="28"/>
      <c r="ALU30" s="28"/>
      <c r="ALV30" s="28"/>
      <c r="ALW30" s="28"/>
      <c r="ALX30" s="28"/>
      <c r="ALY30" s="28"/>
      <c r="ALZ30" s="28"/>
      <c r="AMA30" s="28"/>
      <c r="AMB30" s="28"/>
      <c r="AMC30" s="28"/>
      <c r="AMD30" s="28"/>
      <c r="AME30" s="28"/>
      <c r="AMF30" s="28"/>
      <c r="AMG30" s="28"/>
      <c r="AMH30" s="28"/>
      <c r="AMI30" s="28"/>
      <c r="AMJ30" s="28"/>
    </row>
    <row r="31" spans="1:1024" s="29" customFormat="1" ht="15.75" customHeight="1" x14ac:dyDescent="0.3">
      <c r="A31" s="600"/>
      <c r="B31" s="601" t="s">
        <v>268</v>
      </c>
      <c r="C31" s="602"/>
      <c r="D31" s="602"/>
      <c r="E31" s="602"/>
      <c r="F31" s="604" t="s">
        <v>223</v>
      </c>
      <c r="G31" s="453" t="s">
        <v>244</v>
      </c>
      <c r="H31" s="453" t="s">
        <v>244</v>
      </c>
      <c r="I31" s="461"/>
      <c r="J31" s="30"/>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8"/>
      <c r="BA31" s="28"/>
      <c r="BB31" s="28"/>
      <c r="BC31" s="28"/>
      <c r="BD31" s="28"/>
      <c r="BE31" s="28"/>
      <c r="BF31" s="28"/>
      <c r="BG31" s="28"/>
      <c r="BH31" s="28"/>
      <c r="BI31" s="28"/>
      <c r="BJ31" s="28"/>
      <c r="BK31" s="28"/>
      <c r="BL31" s="28"/>
      <c r="BM31" s="28"/>
      <c r="BN31" s="28"/>
      <c r="BO31" s="28"/>
      <c r="BP31" s="28"/>
      <c r="BQ31" s="28"/>
      <c r="BR31" s="28"/>
      <c r="BS31" s="28"/>
      <c r="BT31" s="28"/>
      <c r="BU31" s="28"/>
      <c r="BV31" s="28"/>
      <c r="BW31" s="28"/>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c r="DA31" s="28"/>
      <c r="DB31" s="28"/>
      <c r="DC31" s="28"/>
      <c r="DD31" s="28"/>
      <c r="DE31" s="28"/>
      <c r="DF31" s="28"/>
      <c r="DG31" s="28"/>
      <c r="DH31" s="28"/>
      <c r="DI31" s="28"/>
      <c r="DJ31" s="28"/>
      <c r="DK31" s="28"/>
      <c r="DL31" s="28"/>
      <c r="DM31" s="28"/>
      <c r="DN31" s="28"/>
      <c r="DO31" s="28"/>
      <c r="DP31" s="28"/>
      <c r="DQ31" s="28"/>
      <c r="DR31" s="28"/>
      <c r="DS31" s="28"/>
      <c r="DT31" s="28"/>
      <c r="DU31" s="28"/>
      <c r="DV31" s="28"/>
      <c r="DW31" s="28"/>
      <c r="DX31" s="28"/>
      <c r="DY31" s="28"/>
      <c r="DZ31" s="28"/>
      <c r="EA31" s="28"/>
      <c r="EB31" s="28"/>
      <c r="EC31" s="28"/>
      <c r="ED31" s="28"/>
      <c r="EE31" s="28"/>
      <c r="EF31" s="28"/>
      <c r="EG31" s="28"/>
      <c r="EH31" s="28"/>
      <c r="EI31" s="28"/>
      <c r="EJ31" s="28"/>
      <c r="EK31" s="28"/>
      <c r="EL31" s="28"/>
      <c r="EM31" s="28"/>
      <c r="EN31" s="28"/>
      <c r="EO31" s="28"/>
      <c r="EP31" s="28"/>
      <c r="EQ31" s="28"/>
      <c r="ER31" s="28"/>
      <c r="ES31" s="28"/>
      <c r="ET31" s="28"/>
      <c r="EU31" s="28"/>
      <c r="EV31" s="28"/>
      <c r="EW31" s="28"/>
      <c r="EX31" s="28"/>
      <c r="EY31" s="28"/>
      <c r="EZ31" s="28"/>
      <c r="FA31" s="28"/>
      <c r="AIQ31" s="28"/>
      <c r="AIR31" s="28"/>
      <c r="AIS31" s="28"/>
      <c r="AIT31" s="28"/>
      <c r="AIU31" s="28"/>
      <c r="AIV31" s="28"/>
      <c r="AIW31" s="28"/>
      <c r="AIX31" s="28"/>
      <c r="AIY31" s="28"/>
      <c r="AIZ31" s="28"/>
      <c r="AJA31" s="28"/>
      <c r="AJB31" s="28"/>
      <c r="AJC31" s="28"/>
      <c r="AJD31" s="28"/>
      <c r="AJE31" s="28"/>
      <c r="AJF31" s="28"/>
      <c r="AJG31" s="28"/>
      <c r="AJH31" s="28"/>
      <c r="AJI31" s="28"/>
      <c r="AJJ31" s="28"/>
      <c r="AJK31" s="28"/>
      <c r="AJL31" s="28"/>
      <c r="AJM31" s="28"/>
      <c r="AJN31" s="28"/>
      <c r="AJO31" s="28"/>
      <c r="AJP31" s="28"/>
      <c r="AJQ31" s="28"/>
      <c r="AJR31" s="28"/>
      <c r="AJS31" s="28"/>
      <c r="AJT31" s="28"/>
      <c r="AJU31" s="28"/>
      <c r="AJV31" s="28"/>
      <c r="AJW31" s="28"/>
      <c r="AJX31" s="28"/>
      <c r="AJY31" s="28"/>
      <c r="AJZ31" s="28"/>
      <c r="AKA31" s="28"/>
      <c r="AKB31" s="28"/>
      <c r="AKC31" s="28"/>
      <c r="AKD31" s="28"/>
      <c r="AKE31" s="28"/>
      <c r="AKF31" s="28"/>
      <c r="AKG31" s="28"/>
      <c r="AKH31" s="28"/>
      <c r="AKI31" s="28"/>
      <c r="AKJ31" s="28"/>
      <c r="AKK31" s="28"/>
      <c r="AKL31" s="28"/>
      <c r="AKM31" s="28"/>
      <c r="AKN31" s="28"/>
      <c r="AKO31" s="28"/>
      <c r="AKP31" s="28"/>
      <c r="AKQ31" s="28"/>
      <c r="AKR31" s="28"/>
      <c r="AKS31" s="28"/>
      <c r="AKT31" s="28"/>
      <c r="AKU31" s="28"/>
      <c r="AKV31" s="28"/>
      <c r="AKW31" s="28"/>
      <c r="AKX31" s="28"/>
      <c r="AKY31" s="28"/>
      <c r="AKZ31" s="28"/>
      <c r="ALA31" s="28"/>
      <c r="ALB31" s="28"/>
      <c r="ALC31" s="28"/>
      <c r="ALD31" s="28"/>
      <c r="ALE31" s="28"/>
      <c r="ALF31" s="28"/>
      <c r="ALG31" s="28"/>
      <c r="ALH31" s="28"/>
      <c r="ALI31" s="28"/>
      <c r="ALJ31" s="28"/>
      <c r="ALK31" s="28"/>
      <c r="ALL31" s="28"/>
      <c r="ALM31" s="28"/>
      <c r="ALN31" s="28"/>
      <c r="ALO31" s="28"/>
      <c r="ALP31" s="28"/>
      <c r="ALQ31" s="28"/>
      <c r="ALR31" s="28"/>
      <c r="ALS31" s="28"/>
      <c r="ALT31" s="28"/>
      <c r="ALU31" s="28"/>
      <c r="ALV31" s="28"/>
      <c r="ALW31" s="28"/>
      <c r="ALX31" s="28"/>
      <c r="ALY31" s="28"/>
      <c r="ALZ31" s="28"/>
      <c r="AMA31" s="28"/>
      <c r="AMB31" s="28"/>
      <c r="AMC31" s="28"/>
      <c r="AMD31" s="28"/>
      <c r="AME31" s="28"/>
      <c r="AMF31" s="28"/>
      <c r="AMG31" s="28"/>
      <c r="AMH31" s="28"/>
      <c r="AMI31" s="28"/>
      <c r="AMJ31" s="28"/>
    </row>
    <row r="32" spans="1:1024" s="29" customFormat="1" ht="15.75" customHeight="1" x14ac:dyDescent="0.3">
      <c r="A32" s="600"/>
      <c r="B32" s="601" t="s">
        <v>269</v>
      </c>
      <c r="C32" s="602"/>
      <c r="D32" s="602"/>
      <c r="E32" s="602"/>
      <c r="F32" s="604" t="s">
        <v>223</v>
      </c>
      <c r="G32" s="453" t="s">
        <v>244</v>
      </c>
      <c r="H32" s="453" t="s">
        <v>244</v>
      </c>
      <c r="I32" s="461"/>
      <c r="J32" s="30"/>
      <c r="K32" s="28"/>
      <c r="L32" s="28"/>
      <c r="M32" s="28"/>
      <c r="N32" s="28"/>
      <c r="O32" s="28"/>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28"/>
      <c r="AW32" s="28"/>
      <c r="AX32" s="28"/>
      <c r="AY32" s="28"/>
      <c r="AZ32" s="28"/>
      <c r="BA32" s="28"/>
      <c r="BB32" s="28"/>
      <c r="BC32" s="28"/>
      <c r="BD32" s="28"/>
      <c r="BE32" s="28"/>
      <c r="BF32" s="28"/>
      <c r="BG32" s="28"/>
      <c r="BH32" s="28"/>
      <c r="BI32" s="28"/>
      <c r="BJ32" s="28"/>
      <c r="BK32" s="28"/>
      <c r="BL32" s="28"/>
      <c r="BM32" s="28"/>
      <c r="BN32" s="28"/>
      <c r="BO32" s="28"/>
      <c r="BP32" s="28"/>
      <c r="BQ32" s="28"/>
      <c r="BR32" s="28"/>
      <c r="BS32" s="28"/>
      <c r="BT32" s="28"/>
      <c r="BU32" s="28"/>
      <c r="BV32" s="28"/>
      <c r="BW32" s="28"/>
      <c r="BX32" s="28"/>
      <c r="BY32" s="28"/>
      <c r="BZ32" s="28"/>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c r="DA32" s="28"/>
      <c r="DB32" s="28"/>
      <c r="DC32" s="28"/>
      <c r="DD32" s="28"/>
      <c r="DE32" s="28"/>
      <c r="DF32" s="28"/>
      <c r="DG32" s="28"/>
      <c r="DH32" s="28"/>
      <c r="DI32" s="28"/>
      <c r="DJ32" s="28"/>
      <c r="DK32" s="28"/>
      <c r="DL32" s="28"/>
      <c r="DM32" s="28"/>
      <c r="DN32" s="28"/>
      <c r="DO32" s="28"/>
      <c r="DP32" s="28"/>
      <c r="DQ32" s="28"/>
      <c r="DR32" s="28"/>
      <c r="DS32" s="28"/>
      <c r="DT32" s="28"/>
      <c r="DU32" s="28"/>
      <c r="DV32" s="28"/>
      <c r="DW32" s="28"/>
      <c r="DX32" s="28"/>
      <c r="DY32" s="28"/>
      <c r="DZ32" s="28"/>
      <c r="EA32" s="28"/>
      <c r="EB32" s="28"/>
      <c r="EC32" s="28"/>
      <c r="ED32" s="28"/>
      <c r="EE32" s="28"/>
      <c r="EF32" s="28"/>
      <c r="EG32" s="28"/>
      <c r="EH32" s="28"/>
      <c r="EI32" s="28"/>
      <c r="EJ32" s="28"/>
      <c r="EK32" s="28"/>
      <c r="EL32" s="28"/>
      <c r="EM32" s="28"/>
      <c r="EN32" s="28"/>
      <c r="EO32" s="28"/>
      <c r="EP32" s="28"/>
      <c r="EQ32" s="28"/>
      <c r="ER32" s="28"/>
      <c r="ES32" s="28"/>
      <c r="ET32" s="28"/>
      <c r="EU32" s="28"/>
      <c r="EV32" s="28"/>
      <c r="EW32" s="28"/>
      <c r="EX32" s="28"/>
      <c r="EY32" s="28"/>
      <c r="EZ32" s="28"/>
      <c r="FA32" s="28"/>
      <c r="AIQ32" s="28"/>
      <c r="AIR32" s="28"/>
      <c r="AIS32" s="28"/>
      <c r="AIT32" s="28"/>
      <c r="AIU32" s="28"/>
      <c r="AIV32" s="28"/>
      <c r="AIW32" s="28"/>
      <c r="AIX32" s="28"/>
      <c r="AIY32" s="28"/>
      <c r="AIZ32" s="28"/>
      <c r="AJA32" s="28"/>
      <c r="AJB32" s="28"/>
      <c r="AJC32" s="28"/>
      <c r="AJD32" s="28"/>
      <c r="AJE32" s="28"/>
      <c r="AJF32" s="28"/>
      <c r="AJG32" s="28"/>
      <c r="AJH32" s="28"/>
      <c r="AJI32" s="28"/>
      <c r="AJJ32" s="28"/>
      <c r="AJK32" s="28"/>
      <c r="AJL32" s="28"/>
      <c r="AJM32" s="28"/>
      <c r="AJN32" s="28"/>
      <c r="AJO32" s="28"/>
      <c r="AJP32" s="28"/>
      <c r="AJQ32" s="28"/>
      <c r="AJR32" s="28"/>
      <c r="AJS32" s="28"/>
      <c r="AJT32" s="28"/>
      <c r="AJU32" s="28"/>
      <c r="AJV32" s="28"/>
      <c r="AJW32" s="28"/>
      <c r="AJX32" s="28"/>
      <c r="AJY32" s="28"/>
      <c r="AJZ32" s="28"/>
      <c r="AKA32" s="28"/>
      <c r="AKB32" s="28"/>
      <c r="AKC32" s="28"/>
      <c r="AKD32" s="28"/>
      <c r="AKE32" s="28"/>
      <c r="AKF32" s="28"/>
      <c r="AKG32" s="28"/>
      <c r="AKH32" s="28"/>
      <c r="AKI32" s="28"/>
      <c r="AKJ32" s="28"/>
      <c r="AKK32" s="28"/>
      <c r="AKL32" s="28"/>
      <c r="AKM32" s="28"/>
      <c r="AKN32" s="28"/>
      <c r="AKO32" s="28"/>
      <c r="AKP32" s="28"/>
      <c r="AKQ32" s="28"/>
      <c r="AKR32" s="28"/>
      <c r="AKS32" s="28"/>
      <c r="AKT32" s="28"/>
      <c r="AKU32" s="28"/>
      <c r="AKV32" s="28"/>
      <c r="AKW32" s="28"/>
      <c r="AKX32" s="28"/>
      <c r="AKY32" s="28"/>
      <c r="AKZ32" s="28"/>
      <c r="ALA32" s="28"/>
      <c r="ALB32" s="28"/>
      <c r="ALC32" s="28"/>
      <c r="ALD32" s="28"/>
      <c r="ALE32" s="28"/>
      <c r="ALF32" s="28"/>
      <c r="ALG32" s="28"/>
      <c r="ALH32" s="28"/>
      <c r="ALI32" s="28"/>
      <c r="ALJ32" s="28"/>
      <c r="ALK32" s="28"/>
      <c r="ALL32" s="28"/>
      <c r="ALM32" s="28"/>
      <c r="ALN32" s="28"/>
      <c r="ALO32" s="28"/>
      <c r="ALP32" s="28"/>
      <c r="ALQ32" s="28"/>
      <c r="ALR32" s="28"/>
      <c r="ALS32" s="28"/>
      <c r="ALT32" s="28"/>
      <c r="ALU32" s="28"/>
      <c r="ALV32" s="28"/>
      <c r="ALW32" s="28"/>
      <c r="ALX32" s="28"/>
      <c r="ALY32" s="28"/>
      <c r="ALZ32" s="28"/>
      <c r="AMA32" s="28"/>
      <c r="AMB32" s="28"/>
      <c r="AMC32" s="28"/>
      <c r="AMD32" s="28"/>
      <c r="AME32" s="28"/>
      <c r="AMF32" s="28"/>
      <c r="AMG32" s="28"/>
      <c r="AMH32" s="28"/>
      <c r="AMI32" s="28"/>
      <c r="AMJ32" s="28"/>
    </row>
    <row r="33" spans="1:1024" s="29" customFormat="1" ht="15.75" customHeight="1" x14ac:dyDescent="0.3">
      <c r="A33" s="600"/>
      <c r="B33" s="601" t="s">
        <v>270</v>
      </c>
      <c r="C33" s="602"/>
      <c r="D33" s="602"/>
      <c r="E33" s="602"/>
      <c r="F33" s="604" t="s">
        <v>223</v>
      </c>
      <c r="G33" s="453" t="s">
        <v>271</v>
      </c>
      <c r="H33" s="453" t="s">
        <v>271</v>
      </c>
      <c r="I33" s="461"/>
      <c r="J33" s="30"/>
      <c r="K33" s="28"/>
      <c r="L33" s="28"/>
      <c r="M33" s="28"/>
      <c r="N33" s="28"/>
      <c r="O33" s="28"/>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c r="BI33" s="28"/>
      <c r="BJ33" s="28"/>
      <c r="BK33" s="28"/>
      <c r="BL33" s="28"/>
      <c r="BM33" s="28"/>
      <c r="BN33" s="28"/>
      <c r="BO33" s="28"/>
      <c r="BP33" s="28"/>
      <c r="BQ33" s="28"/>
      <c r="BR33" s="28"/>
      <c r="BS33" s="28"/>
      <c r="BT33" s="28"/>
      <c r="BU33" s="28"/>
      <c r="BV33" s="28"/>
      <c r="BW33" s="28"/>
      <c r="BX33" s="28"/>
      <c r="BY33" s="28"/>
      <c r="BZ33" s="28"/>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c r="DA33" s="28"/>
      <c r="DB33" s="28"/>
      <c r="DC33" s="28"/>
      <c r="DD33" s="28"/>
      <c r="DE33" s="28"/>
      <c r="DF33" s="28"/>
      <c r="DG33" s="28"/>
      <c r="DH33" s="28"/>
      <c r="DI33" s="28"/>
      <c r="DJ33" s="28"/>
      <c r="DK33" s="28"/>
      <c r="DL33" s="28"/>
      <c r="DM33" s="28"/>
      <c r="DN33" s="28"/>
      <c r="DO33" s="28"/>
      <c r="DP33" s="28"/>
      <c r="DQ33" s="28"/>
      <c r="DR33" s="28"/>
      <c r="DS33" s="28"/>
      <c r="DT33" s="28"/>
      <c r="DU33" s="28"/>
      <c r="DV33" s="28"/>
      <c r="DW33" s="28"/>
      <c r="DX33" s="28"/>
      <c r="DY33" s="28"/>
      <c r="DZ33" s="28"/>
      <c r="EA33" s="28"/>
      <c r="EB33" s="28"/>
      <c r="EC33" s="28"/>
      <c r="ED33" s="28"/>
      <c r="EE33" s="28"/>
      <c r="EF33" s="28"/>
      <c r="EG33" s="28"/>
      <c r="EH33" s="28"/>
      <c r="EI33" s="28"/>
      <c r="EJ33" s="28"/>
      <c r="EK33" s="28"/>
      <c r="EL33" s="28"/>
      <c r="EM33" s="28"/>
      <c r="EN33" s="28"/>
      <c r="EO33" s="28"/>
      <c r="EP33" s="28"/>
      <c r="EQ33" s="28"/>
      <c r="ER33" s="28"/>
      <c r="ES33" s="28"/>
      <c r="ET33" s="28"/>
      <c r="EU33" s="28"/>
      <c r="EV33" s="28"/>
      <c r="EW33" s="28"/>
      <c r="EX33" s="28"/>
      <c r="EY33" s="28"/>
      <c r="EZ33" s="28"/>
      <c r="FA33" s="28"/>
      <c r="AIQ33" s="28"/>
      <c r="AIR33" s="28"/>
      <c r="AIS33" s="28"/>
      <c r="AIT33" s="28"/>
      <c r="AIU33" s="28"/>
      <c r="AIV33" s="28"/>
      <c r="AIW33" s="28"/>
      <c r="AIX33" s="28"/>
      <c r="AIY33" s="28"/>
      <c r="AIZ33" s="28"/>
      <c r="AJA33" s="28"/>
      <c r="AJB33" s="28"/>
      <c r="AJC33" s="28"/>
      <c r="AJD33" s="28"/>
      <c r="AJE33" s="28"/>
      <c r="AJF33" s="28"/>
      <c r="AJG33" s="28"/>
      <c r="AJH33" s="28"/>
      <c r="AJI33" s="28"/>
      <c r="AJJ33" s="28"/>
      <c r="AJK33" s="28"/>
      <c r="AJL33" s="28"/>
      <c r="AJM33" s="28"/>
      <c r="AJN33" s="28"/>
      <c r="AJO33" s="28"/>
      <c r="AJP33" s="28"/>
      <c r="AJQ33" s="28"/>
      <c r="AJR33" s="28"/>
      <c r="AJS33" s="28"/>
      <c r="AJT33" s="28"/>
      <c r="AJU33" s="28"/>
      <c r="AJV33" s="28"/>
      <c r="AJW33" s="28"/>
      <c r="AJX33" s="28"/>
      <c r="AJY33" s="28"/>
      <c r="AJZ33" s="28"/>
      <c r="AKA33" s="28"/>
      <c r="AKB33" s="28"/>
      <c r="AKC33" s="28"/>
      <c r="AKD33" s="28"/>
      <c r="AKE33" s="28"/>
      <c r="AKF33" s="28"/>
      <c r="AKG33" s="28"/>
      <c r="AKH33" s="28"/>
      <c r="AKI33" s="28"/>
      <c r="AKJ33" s="28"/>
      <c r="AKK33" s="28"/>
      <c r="AKL33" s="28"/>
      <c r="AKM33" s="28"/>
      <c r="AKN33" s="28"/>
      <c r="AKO33" s="28"/>
      <c r="AKP33" s="28"/>
      <c r="AKQ33" s="28"/>
      <c r="AKR33" s="28"/>
      <c r="AKS33" s="28"/>
      <c r="AKT33" s="28"/>
      <c r="AKU33" s="28"/>
      <c r="AKV33" s="28"/>
      <c r="AKW33" s="28"/>
      <c r="AKX33" s="28"/>
      <c r="AKY33" s="28"/>
      <c r="AKZ33" s="28"/>
      <c r="ALA33" s="28"/>
      <c r="ALB33" s="28"/>
      <c r="ALC33" s="28"/>
      <c r="ALD33" s="28"/>
      <c r="ALE33" s="28"/>
      <c r="ALF33" s="28"/>
      <c r="ALG33" s="28"/>
      <c r="ALH33" s="28"/>
      <c r="ALI33" s="28"/>
      <c r="ALJ33" s="28"/>
      <c r="ALK33" s="28"/>
      <c r="ALL33" s="28"/>
      <c r="ALM33" s="28"/>
      <c r="ALN33" s="28"/>
      <c r="ALO33" s="28"/>
      <c r="ALP33" s="28"/>
      <c r="ALQ33" s="28"/>
      <c r="ALR33" s="28"/>
      <c r="ALS33" s="28"/>
      <c r="ALT33" s="28"/>
      <c r="ALU33" s="28"/>
      <c r="ALV33" s="28"/>
      <c r="ALW33" s="28"/>
      <c r="ALX33" s="28"/>
      <c r="ALY33" s="28"/>
      <c r="ALZ33" s="28"/>
      <c r="AMA33" s="28"/>
      <c r="AMB33" s="28"/>
      <c r="AMC33" s="28"/>
      <c r="AMD33" s="28"/>
      <c r="AME33" s="28"/>
      <c r="AMF33" s="28"/>
      <c r="AMG33" s="28"/>
      <c r="AMH33" s="28"/>
      <c r="AMI33" s="28"/>
      <c r="AMJ33" s="28"/>
    </row>
    <row r="34" spans="1:1024" s="29" customFormat="1" ht="30" customHeight="1" x14ac:dyDescent="0.3">
      <c r="A34" s="600"/>
      <c r="B34" s="601" t="s">
        <v>272</v>
      </c>
      <c r="C34" s="602"/>
      <c r="D34" s="602"/>
      <c r="E34" s="602"/>
      <c r="F34" s="604" t="s">
        <v>223</v>
      </c>
      <c r="G34" s="453" t="s">
        <v>273</v>
      </c>
      <c r="H34" s="453" t="s">
        <v>274</v>
      </c>
      <c r="I34" s="461"/>
      <c r="J34" s="30"/>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8"/>
      <c r="AW34" s="28"/>
      <c r="AX34" s="28"/>
      <c r="AY34" s="28"/>
      <c r="AZ34" s="28"/>
      <c r="BA34" s="28"/>
      <c r="BB34" s="28"/>
      <c r="BC34" s="28"/>
      <c r="BD34" s="28"/>
      <c r="BE34" s="28"/>
      <c r="BF34" s="28"/>
      <c r="BG34" s="28"/>
      <c r="BH34" s="28"/>
      <c r="BI34" s="28"/>
      <c r="BJ34" s="28"/>
      <c r="BK34" s="28"/>
      <c r="BL34" s="28"/>
      <c r="BM34" s="28"/>
      <c r="BN34" s="28"/>
      <c r="BO34" s="28"/>
      <c r="BP34" s="28"/>
      <c r="BQ34" s="28"/>
      <c r="BR34" s="28"/>
      <c r="BS34" s="28"/>
      <c r="BT34" s="28"/>
      <c r="BU34" s="28"/>
      <c r="BV34" s="28"/>
      <c r="BW34" s="28"/>
      <c r="BX34" s="28"/>
      <c r="BY34" s="28"/>
      <c r="BZ34" s="28"/>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c r="DA34" s="28"/>
      <c r="DB34" s="28"/>
      <c r="DC34" s="28"/>
      <c r="DD34" s="28"/>
      <c r="DE34" s="28"/>
      <c r="DF34" s="28"/>
      <c r="DG34" s="28"/>
      <c r="DH34" s="28"/>
      <c r="DI34" s="28"/>
      <c r="DJ34" s="28"/>
      <c r="DK34" s="28"/>
      <c r="DL34" s="28"/>
      <c r="DM34" s="28"/>
      <c r="DN34" s="28"/>
      <c r="DO34" s="28"/>
      <c r="DP34" s="28"/>
      <c r="DQ34" s="28"/>
      <c r="DR34" s="28"/>
      <c r="DS34" s="28"/>
      <c r="DT34" s="28"/>
      <c r="DU34" s="28"/>
      <c r="DV34" s="28"/>
      <c r="DW34" s="28"/>
      <c r="DX34" s="28"/>
      <c r="DY34" s="28"/>
      <c r="DZ34" s="28"/>
      <c r="EA34" s="28"/>
      <c r="EB34" s="28"/>
      <c r="EC34" s="28"/>
      <c r="ED34" s="28"/>
      <c r="EE34" s="28"/>
      <c r="EF34" s="28"/>
      <c r="EG34" s="28"/>
      <c r="EH34" s="28"/>
      <c r="EI34" s="28"/>
      <c r="EJ34" s="28"/>
      <c r="EK34" s="28"/>
      <c r="EL34" s="28"/>
      <c r="EM34" s="28"/>
      <c r="EN34" s="28"/>
      <c r="EO34" s="28"/>
      <c r="EP34" s="28"/>
      <c r="EQ34" s="28"/>
      <c r="ER34" s="28"/>
      <c r="ES34" s="28"/>
      <c r="ET34" s="28"/>
      <c r="EU34" s="28"/>
      <c r="EV34" s="28"/>
      <c r="EW34" s="28"/>
      <c r="EX34" s="28"/>
      <c r="EY34" s="28"/>
      <c r="EZ34" s="28"/>
      <c r="FA34" s="28"/>
      <c r="AIQ34" s="28"/>
      <c r="AIR34" s="28"/>
      <c r="AIS34" s="28"/>
      <c r="AIT34" s="28"/>
      <c r="AIU34" s="28"/>
      <c r="AIV34" s="28"/>
      <c r="AIW34" s="28"/>
      <c r="AIX34" s="28"/>
      <c r="AIY34" s="28"/>
      <c r="AIZ34" s="28"/>
      <c r="AJA34" s="28"/>
      <c r="AJB34" s="28"/>
      <c r="AJC34" s="28"/>
      <c r="AJD34" s="28"/>
      <c r="AJE34" s="28"/>
      <c r="AJF34" s="28"/>
      <c r="AJG34" s="28"/>
      <c r="AJH34" s="28"/>
      <c r="AJI34" s="28"/>
      <c r="AJJ34" s="28"/>
      <c r="AJK34" s="28"/>
      <c r="AJL34" s="28"/>
      <c r="AJM34" s="28"/>
      <c r="AJN34" s="28"/>
      <c r="AJO34" s="28"/>
      <c r="AJP34" s="28"/>
      <c r="AJQ34" s="28"/>
      <c r="AJR34" s="28"/>
      <c r="AJS34" s="28"/>
      <c r="AJT34" s="28"/>
      <c r="AJU34" s="28"/>
      <c r="AJV34" s="28"/>
      <c r="AJW34" s="28"/>
      <c r="AJX34" s="28"/>
      <c r="AJY34" s="28"/>
      <c r="AJZ34" s="28"/>
      <c r="AKA34" s="28"/>
      <c r="AKB34" s="28"/>
      <c r="AKC34" s="28"/>
      <c r="AKD34" s="28"/>
      <c r="AKE34" s="28"/>
      <c r="AKF34" s="28"/>
      <c r="AKG34" s="28"/>
      <c r="AKH34" s="28"/>
      <c r="AKI34" s="28"/>
      <c r="AKJ34" s="28"/>
      <c r="AKK34" s="28"/>
      <c r="AKL34" s="28"/>
      <c r="AKM34" s="28"/>
      <c r="AKN34" s="28"/>
      <c r="AKO34" s="28"/>
      <c r="AKP34" s="28"/>
      <c r="AKQ34" s="28"/>
      <c r="AKR34" s="28"/>
      <c r="AKS34" s="28"/>
      <c r="AKT34" s="28"/>
      <c r="AKU34" s="28"/>
      <c r="AKV34" s="28"/>
      <c r="AKW34" s="28"/>
      <c r="AKX34" s="28"/>
      <c r="AKY34" s="28"/>
      <c r="AKZ34" s="28"/>
      <c r="ALA34" s="28"/>
      <c r="ALB34" s="28"/>
      <c r="ALC34" s="28"/>
      <c r="ALD34" s="28"/>
      <c r="ALE34" s="28"/>
      <c r="ALF34" s="28"/>
      <c r="ALG34" s="28"/>
      <c r="ALH34" s="28"/>
      <c r="ALI34" s="28"/>
      <c r="ALJ34" s="28"/>
      <c r="ALK34" s="28"/>
      <c r="ALL34" s="28"/>
      <c r="ALM34" s="28"/>
      <c r="ALN34" s="28"/>
      <c r="ALO34" s="28"/>
      <c r="ALP34" s="28"/>
      <c r="ALQ34" s="28"/>
      <c r="ALR34" s="28"/>
      <c r="ALS34" s="28"/>
      <c r="ALT34" s="28"/>
      <c r="ALU34" s="28"/>
      <c r="ALV34" s="28"/>
      <c r="ALW34" s="28"/>
      <c r="ALX34" s="28"/>
      <c r="ALY34" s="28"/>
      <c r="ALZ34" s="28"/>
      <c r="AMA34" s="28"/>
      <c r="AMB34" s="28"/>
      <c r="AMC34" s="28"/>
      <c r="AMD34" s="28"/>
      <c r="AME34" s="28"/>
      <c r="AMF34" s="28"/>
      <c r="AMG34" s="28"/>
      <c r="AMH34" s="28"/>
      <c r="AMI34" s="28"/>
      <c r="AMJ34" s="28"/>
    </row>
    <row r="35" spans="1:1024" s="29" customFormat="1" ht="15.75" customHeight="1" x14ac:dyDescent="0.3">
      <c r="A35" s="593" t="s">
        <v>275</v>
      </c>
      <c r="B35" s="594" t="s">
        <v>276</v>
      </c>
      <c r="C35" s="612"/>
      <c r="D35" s="605"/>
      <c r="E35" s="605"/>
      <c r="F35" s="606"/>
      <c r="G35" s="607"/>
      <c r="H35" s="607"/>
      <c r="I35" s="608"/>
      <c r="J35" s="30"/>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28"/>
      <c r="AW35" s="28"/>
      <c r="AX35" s="28"/>
      <c r="AY35" s="28"/>
      <c r="AZ35" s="28"/>
      <c r="BA35" s="28"/>
      <c r="BB35" s="28"/>
      <c r="BC35" s="28"/>
      <c r="BD35" s="28"/>
      <c r="BE35" s="28"/>
      <c r="BF35" s="28"/>
      <c r="BG35" s="28"/>
      <c r="BH35" s="28"/>
      <c r="BI35" s="28"/>
      <c r="BJ35" s="28"/>
      <c r="BK35" s="28"/>
      <c r="BL35" s="28"/>
      <c r="BM35" s="28"/>
      <c r="BN35" s="28"/>
      <c r="BO35" s="28"/>
      <c r="BP35" s="28"/>
      <c r="BQ35" s="28"/>
      <c r="BR35" s="28"/>
      <c r="BS35" s="28"/>
      <c r="BT35" s="28"/>
      <c r="BU35" s="28"/>
      <c r="BV35" s="28"/>
      <c r="BW35" s="28"/>
      <c r="BX35" s="28"/>
      <c r="BY35" s="28"/>
      <c r="BZ35" s="28"/>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c r="DA35" s="28"/>
      <c r="DB35" s="28"/>
      <c r="DC35" s="28"/>
      <c r="DD35" s="28"/>
      <c r="DE35" s="28"/>
      <c r="DF35" s="28"/>
      <c r="DG35" s="28"/>
      <c r="DH35" s="28"/>
      <c r="DI35" s="28"/>
      <c r="DJ35" s="28"/>
      <c r="DK35" s="28"/>
      <c r="DL35" s="28"/>
      <c r="DM35" s="28"/>
      <c r="DN35" s="28"/>
      <c r="DO35" s="28"/>
      <c r="DP35" s="28"/>
      <c r="DQ35" s="28"/>
      <c r="DR35" s="28"/>
      <c r="DS35" s="28"/>
      <c r="DT35" s="28"/>
      <c r="DU35" s="28"/>
      <c r="DV35" s="28"/>
      <c r="DW35" s="28"/>
      <c r="DX35" s="28"/>
      <c r="DY35" s="28"/>
      <c r="DZ35" s="28"/>
      <c r="EA35" s="28"/>
      <c r="EB35" s="28"/>
      <c r="EC35" s="28"/>
      <c r="ED35" s="28"/>
      <c r="EE35" s="28"/>
      <c r="EF35" s="28"/>
      <c r="EG35" s="28"/>
      <c r="EH35" s="28"/>
      <c r="EI35" s="28"/>
      <c r="EJ35" s="28"/>
      <c r="EK35" s="28"/>
      <c r="EL35" s="28"/>
      <c r="EM35" s="28"/>
      <c r="EN35" s="28"/>
      <c r="EO35" s="28"/>
      <c r="EP35" s="28"/>
      <c r="EQ35" s="28"/>
      <c r="ER35" s="28"/>
      <c r="ES35" s="28"/>
      <c r="ET35" s="28"/>
      <c r="EU35" s="28"/>
      <c r="EV35" s="28"/>
      <c r="EW35" s="28"/>
      <c r="EX35" s="28"/>
      <c r="EY35" s="28"/>
      <c r="EZ35" s="28"/>
      <c r="FA35" s="28"/>
      <c r="AIQ35" s="28"/>
      <c r="AIR35" s="28"/>
      <c r="AIS35" s="28"/>
      <c r="AIT35" s="28"/>
      <c r="AIU35" s="28"/>
      <c r="AIV35" s="28"/>
      <c r="AIW35" s="28"/>
      <c r="AIX35" s="28"/>
      <c r="AIY35" s="28"/>
      <c r="AIZ35" s="28"/>
      <c r="AJA35" s="28"/>
      <c r="AJB35" s="28"/>
      <c r="AJC35" s="28"/>
      <c r="AJD35" s="28"/>
      <c r="AJE35" s="28"/>
      <c r="AJF35" s="28"/>
      <c r="AJG35" s="28"/>
      <c r="AJH35" s="28"/>
      <c r="AJI35" s="28"/>
      <c r="AJJ35" s="28"/>
      <c r="AJK35" s="28"/>
      <c r="AJL35" s="28"/>
      <c r="AJM35" s="28"/>
      <c r="AJN35" s="28"/>
      <c r="AJO35" s="28"/>
      <c r="AJP35" s="28"/>
      <c r="AJQ35" s="28"/>
      <c r="AJR35" s="28"/>
      <c r="AJS35" s="28"/>
      <c r="AJT35" s="28"/>
      <c r="AJU35" s="28"/>
      <c r="AJV35" s="28"/>
      <c r="AJW35" s="28"/>
      <c r="AJX35" s="28"/>
      <c r="AJY35" s="28"/>
      <c r="AJZ35" s="28"/>
      <c r="AKA35" s="28"/>
      <c r="AKB35" s="28"/>
      <c r="AKC35" s="28"/>
      <c r="AKD35" s="28"/>
      <c r="AKE35" s="28"/>
      <c r="AKF35" s="28"/>
      <c r="AKG35" s="28"/>
      <c r="AKH35" s="28"/>
      <c r="AKI35" s="28"/>
      <c r="AKJ35" s="28"/>
      <c r="AKK35" s="28"/>
      <c r="AKL35" s="28"/>
      <c r="AKM35" s="28"/>
      <c r="AKN35" s="28"/>
      <c r="AKO35" s="28"/>
      <c r="AKP35" s="28"/>
      <c r="AKQ35" s="28"/>
      <c r="AKR35" s="28"/>
      <c r="AKS35" s="28"/>
      <c r="AKT35" s="28"/>
      <c r="AKU35" s="28"/>
      <c r="AKV35" s="28"/>
      <c r="AKW35" s="28"/>
      <c r="AKX35" s="28"/>
      <c r="AKY35" s="28"/>
      <c r="AKZ35" s="28"/>
      <c r="ALA35" s="28"/>
      <c r="ALB35" s="28"/>
      <c r="ALC35" s="28"/>
      <c r="ALD35" s="28"/>
      <c r="ALE35" s="28"/>
      <c r="ALF35" s="28"/>
      <c r="ALG35" s="28"/>
      <c r="ALH35" s="28"/>
      <c r="ALI35" s="28"/>
      <c r="ALJ35" s="28"/>
      <c r="ALK35" s="28"/>
      <c r="ALL35" s="28"/>
      <c r="ALM35" s="28"/>
      <c r="ALN35" s="28"/>
      <c r="ALO35" s="28"/>
      <c r="ALP35" s="28"/>
      <c r="ALQ35" s="28"/>
      <c r="ALR35" s="28"/>
      <c r="ALS35" s="28"/>
      <c r="ALT35" s="28"/>
      <c r="ALU35" s="28"/>
      <c r="ALV35" s="28"/>
      <c r="ALW35" s="28"/>
      <c r="ALX35" s="28"/>
      <c r="ALY35" s="28"/>
      <c r="ALZ35" s="28"/>
      <c r="AMA35" s="28"/>
      <c r="AMB35" s="28"/>
      <c r="AMC35" s="28"/>
      <c r="AMD35" s="28"/>
      <c r="AME35" s="28"/>
      <c r="AMF35" s="28"/>
      <c r="AMG35" s="28"/>
      <c r="AMH35" s="28"/>
      <c r="AMI35" s="28"/>
      <c r="AMJ35" s="28"/>
    </row>
    <row r="36" spans="1:1024" s="29" customFormat="1" ht="15.75" customHeight="1" x14ac:dyDescent="0.3">
      <c r="A36" s="613" t="s">
        <v>222</v>
      </c>
      <c r="B36" s="601" t="s">
        <v>277</v>
      </c>
      <c r="C36" s="614"/>
      <c r="D36" s="615"/>
      <c r="E36" s="615"/>
      <c r="F36" s="616"/>
      <c r="G36" s="617"/>
      <c r="H36" s="617"/>
      <c r="I36" s="611"/>
      <c r="J36" s="30"/>
      <c r="K36" s="28"/>
      <c r="L36" s="28"/>
      <c r="M36" s="28"/>
      <c r="N36" s="28"/>
      <c r="O36" s="28"/>
      <c r="P36" s="28"/>
      <c r="Q36" s="28"/>
      <c r="R36" s="28"/>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c r="BI36" s="28"/>
      <c r="BJ36" s="28"/>
      <c r="BK36" s="28"/>
      <c r="BL36" s="28"/>
      <c r="BM36" s="28"/>
      <c r="BN36" s="28"/>
      <c r="BO36" s="28"/>
      <c r="BP36" s="28"/>
      <c r="BQ36" s="28"/>
      <c r="BR36" s="28"/>
      <c r="BS36" s="28"/>
      <c r="BT36" s="28"/>
      <c r="BU36" s="28"/>
      <c r="BV36" s="28"/>
      <c r="BW36" s="28"/>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c r="DA36" s="28"/>
      <c r="DB36" s="28"/>
      <c r="DC36" s="28"/>
      <c r="DD36" s="28"/>
      <c r="DE36" s="28"/>
      <c r="DF36" s="28"/>
      <c r="DG36" s="28"/>
      <c r="DH36" s="28"/>
      <c r="DI36" s="28"/>
      <c r="DJ36" s="28"/>
      <c r="DK36" s="28"/>
      <c r="DL36" s="28"/>
      <c r="DM36" s="28"/>
      <c r="DN36" s="28"/>
      <c r="DO36" s="28"/>
      <c r="DP36" s="28"/>
      <c r="DQ36" s="28"/>
      <c r="DR36" s="28"/>
      <c r="DS36" s="28"/>
      <c r="DT36" s="28"/>
      <c r="DU36" s="28"/>
      <c r="DV36" s="28"/>
      <c r="DW36" s="28"/>
      <c r="DX36" s="28"/>
      <c r="DY36" s="28"/>
      <c r="DZ36" s="28"/>
      <c r="EA36" s="28"/>
      <c r="EB36" s="28"/>
      <c r="EC36" s="28"/>
      <c r="ED36" s="28"/>
      <c r="EE36" s="28"/>
      <c r="EF36" s="28"/>
      <c r="EG36" s="28"/>
      <c r="EH36" s="28"/>
      <c r="EI36" s="28"/>
      <c r="EJ36" s="28"/>
      <c r="EK36" s="28"/>
      <c r="EL36" s="28"/>
      <c r="EM36" s="28"/>
      <c r="EN36" s="28"/>
      <c r="EO36" s="28"/>
      <c r="EP36" s="28"/>
      <c r="EQ36" s="28"/>
      <c r="ER36" s="28"/>
      <c r="ES36" s="28"/>
      <c r="ET36" s="28"/>
      <c r="EU36" s="28"/>
      <c r="EV36" s="28"/>
      <c r="EW36" s="28"/>
      <c r="EX36" s="28"/>
      <c r="EY36" s="28"/>
      <c r="EZ36" s="28"/>
      <c r="FA36" s="28"/>
      <c r="AIQ36" s="28"/>
      <c r="AIR36" s="28"/>
      <c r="AIS36" s="28"/>
      <c r="AIT36" s="28"/>
      <c r="AIU36" s="28"/>
      <c r="AIV36" s="28"/>
      <c r="AIW36" s="28"/>
      <c r="AIX36" s="28"/>
      <c r="AIY36" s="28"/>
      <c r="AIZ36" s="28"/>
      <c r="AJA36" s="28"/>
      <c r="AJB36" s="28"/>
      <c r="AJC36" s="28"/>
      <c r="AJD36" s="28"/>
      <c r="AJE36" s="28"/>
      <c r="AJF36" s="28"/>
      <c r="AJG36" s="28"/>
      <c r="AJH36" s="28"/>
      <c r="AJI36" s="28"/>
      <c r="AJJ36" s="28"/>
      <c r="AJK36" s="28"/>
      <c r="AJL36" s="28"/>
      <c r="AJM36" s="28"/>
      <c r="AJN36" s="28"/>
      <c r="AJO36" s="28"/>
      <c r="AJP36" s="28"/>
      <c r="AJQ36" s="28"/>
      <c r="AJR36" s="28"/>
      <c r="AJS36" s="28"/>
      <c r="AJT36" s="28"/>
      <c r="AJU36" s="28"/>
      <c r="AJV36" s="28"/>
      <c r="AJW36" s="28"/>
      <c r="AJX36" s="28"/>
      <c r="AJY36" s="28"/>
      <c r="AJZ36" s="28"/>
      <c r="AKA36" s="28"/>
      <c r="AKB36" s="28"/>
      <c r="AKC36" s="28"/>
      <c r="AKD36" s="28"/>
      <c r="AKE36" s="28"/>
      <c r="AKF36" s="28"/>
      <c r="AKG36" s="28"/>
      <c r="AKH36" s="28"/>
      <c r="AKI36" s="28"/>
      <c r="AKJ36" s="28"/>
      <c r="AKK36" s="28"/>
      <c r="AKL36" s="28"/>
      <c r="AKM36" s="28"/>
      <c r="AKN36" s="28"/>
      <c r="AKO36" s="28"/>
      <c r="AKP36" s="28"/>
      <c r="AKQ36" s="28"/>
      <c r="AKR36" s="28"/>
      <c r="AKS36" s="28"/>
      <c r="AKT36" s="28"/>
      <c r="AKU36" s="28"/>
      <c r="AKV36" s="28"/>
      <c r="AKW36" s="28"/>
      <c r="AKX36" s="28"/>
      <c r="AKY36" s="28"/>
      <c r="AKZ36" s="28"/>
      <c r="ALA36" s="28"/>
      <c r="ALB36" s="28"/>
      <c r="ALC36" s="28"/>
      <c r="ALD36" s="28"/>
      <c r="ALE36" s="28"/>
      <c r="ALF36" s="28"/>
      <c r="ALG36" s="28"/>
      <c r="ALH36" s="28"/>
      <c r="ALI36" s="28"/>
      <c r="ALJ36" s="28"/>
      <c r="ALK36" s="28"/>
      <c r="ALL36" s="28"/>
      <c r="ALM36" s="28"/>
      <c r="ALN36" s="28"/>
      <c r="ALO36" s="28"/>
      <c r="ALP36" s="28"/>
      <c r="ALQ36" s="28"/>
      <c r="ALR36" s="28"/>
      <c r="ALS36" s="28"/>
      <c r="ALT36" s="28"/>
      <c r="ALU36" s="28"/>
      <c r="ALV36" s="28"/>
      <c r="ALW36" s="28"/>
      <c r="ALX36" s="28"/>
      <c r="ALY36" s="28"/>
      <c r="ALZ36" s="28"/>
      <c r="AMA36" s="28"/>
      <c r="AMB36" s="28"/>
      <c r="AMC36" s="28"/>
      <c r="AMD36" s="28"/>
      <c r="AME36" s="28"/>
      <c r="AMF36" s="28"/>
      <c r="AMG36" s="28"/>
      <c r="AMH36" s="28"/>
      <c r="AMI36" s="28"/>
      <c r="AMJ36" s="28"/>
    </row>
    <row r="37" spans="1:1024" s="29" customFormat="1" ht="15.75" customHeight="1" x14ac:dyDescent="0.3">
      <c r="A37" s="613" t="s">
        <v>222</v>
      </c>
      <c r="B37" s="601" t="s">
        <v>278</v>
      </c>
      <c r="C37" s="614"/>
      <c r="D37" s="615"/>
      <c r="E37" s="615"/>
      <c r="F37" s="616"/>
      <c r="G37" s="617"/>
      <c r="H37" s="617"/>
      <c r="I37" s="611"/>
      <c r="J37" s="30"/>
      <c r="K37" s="28"/>
      <c r="L37" s="28"/>
      <c r="M37" s="28"/>
      <c r="N37" s="28"/>
      <c r="O37" s="28"/>
      <c r="P37" s="28"/>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28"/>
      <c r="AZ37" s="28"/>
      <c r="BA37" s="28"/>
      <c r="BB37" s="28"/>
      <c r="BC37" s="28"/>
      <c r="BD37" s="28"/>
      <c r="BE37" s="28"/>
      <c r="BF37" s="28"/>
      <c r="BG37" s="28"/>
      <c r="BH37" s="28"/>
      <c r="BI37" s="28"/>
      <c r="BJ37" s="28"/>
      <c r="BK37" s="28"/>
      <c r="BL37" s="28"/>
      <c r="BM37" s="28"/>
      <c r="BN37" s="28"/>
      <c r="BO37" s="28"/>
      <c r="BP37" s="28"/>
      <c r="BQ37" s="28"/>
      <c r="BR37" s="28"/>
      <c r="BS37" s="28"/>
      <c r="BT37" s="28"/>
      <c r="BU37" s="28"/>
      <c r="BV37" s="28"/>
      <c r="BW37" s="28"/>
      <c r="BX37" s="28"/>
      <c r="BY37" s="28"/>
      <c r="BZ37" s="28"/>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c r="DA37" s="28"/>
      <c r="DB37" s="28"/>
      <c r="DC37" s="28"/>
      <c r="DD37" s="28"/>
      <c r="DE37" s="28"/>
      <c r="DF37" s="28"/>
      <c r="DG37" s="28"/>
      <c r="DH37" s="28"/>
      <c r="DI37" s="28"/>
      <c r="DJ37" s="28"/>
      <c r="DK37" s="28"/>
      <c r="DL37" s="28"/>
      <c r="DM37" s="28"/>
      <c r="DN37" s="28"/>
      <c r="DO37" s="28"/>
      <c r="DP37" s="28"/>
      <c r="DQ37" s="28"/>
      <c r="DR37" s="28"/>
      <c r="DS37" s="28"/>
      <c r="DT37" s="28"/>
      <c r="DU37" s="28"/>
      <c r="DV37" s="28"/>
      <c r="DW37" s="28"/>
      <c r="DX37" s="28"/>
      <c r="DY37" s="28"/>
      <c r="DZ37" s="28"/>
      <c r="EA37" s="28"/>
      <c r="EB37" s="28"/>
      <c r="EC37" s="28"/>
      <c r="ED37" s="28"/>
      <c r="EE37" s="28"/>
      <c r="EF37" s="28"/>
      <c r="EG37" s="28"/>
      <c r="EH37" s="28"/>
      <c r="EI37" s="28"/>
      <c r="EJ37" s="28"/>
      <c r="EK37" s="28"/>
      <c r="EL37" s="28"/>
      <c r="EM37" s="28"/>
      <c r="EN37" s="28"/>
      <c r="EO37" s="28"/>
      <c r="EP37" s="28"/>
      <c r="EQ37" s="28"/>
      <c r="ER37" s="28"/>
      <c r="ES37" s="28"/>
      <c r="ET37" s="28"/>
      <c r="EU37" s="28"/>
      <c r="EV37" s="28"/>
      <c r="EW37" s="28"/>
      <c r="EX37" s="28"/>
      <c r="EY37" s="28"/>
      <c r="EZ37" s="28"/>
      <c r="FA37" s="28"/>
      <c r="AIQ37" s="28"/>
      <c r="AIR37" s="28"/>
      <c r="AIS37" s="28"/>
      <c r="AIT37" s="28"/>
      <c r="AIU37" s="28"/>
      <c r="AIV37" s="28"/>
      <c r="AIW37" s="28"/>
      <c r="AIX37" s="28"/>
      <c r="AIY37" s="28"/>
      <c r="AIZ37" s="28"/>
      <c r="AJA37" s="28"/>
      <c r="AJB37" s="28"/>
      <c r="AJC37" s="28"/>
      <c r="AJD37" s="28"/>
      <c r="AJE37" s="28"/>
      <c r="AJF37" s="28"/>
      <c r="AJG37" s="28"/>
      <c r="AJH37" s="28"/>
      <c r="AJI37" s="28"/>
      <c r="AJJ37" s="28"/>
      <c r="AJK37" s="28"/>
      <c r="AJL37" s="28"/>
      <c r="AJM37" s="28"/>
      <c r="AJN37" s="28"/>
      <c r="AJO37" s="28"/>
      <c r="AJP37" s="28"/>
      <c r="AJQ37" s="28"/>
      <c r="AJR37" s="28"/>
      <c r="AJS37" s="28"/>
      <c r="AJT37" s="28"/>
      <c r="AJU37" s="28"/>
      <c r="AJV37" s="28"/>
      <c r="AJW37" s="28"/>
      <c r="AJX37" s="28"/>
      <c r="AJY37" s="28"/>
      <c r="AJZ37" s="28"/>
      <c r="AKA37" s="28"/>
      <c r="AKB37" s="28"/>
      <c r="AKC37" s="28"/>
      <c r="AKD37" s="28"/>
      <c r="AKE37" s="28"/>
      <c r="AKF37" s="28"/>
      <c r="AKG37" s="28"/>
      <c r="AKH37" s="28"/>
      <c r="AKI37" s="28"/>
      <c r="AKJ37" s="28"/>
      <c r="AKK37" s="28"/>
      <c r="AKL37" s="28"/>
      <c r="AKM37" s="28"/>
      <c r="AKN37" s="28"/>
      <c r="AKO37" s="28"/>
      <c r="AKP37" s="28"/>
      <c r="AKQ37" s="28"/>
      <c r="AKR37" s="28"/>
      <c r="AKS37" s="28"/>
      <c r="AKT37" s="28"/>
      <c r="AKU37" s="28"/>
      <c r="AKV37" s="28"/>
      <c r="AKW37" s="28"/>
      <c r="AKX37" s="28"/>
      <c r="AKY37" s="28"/>
      <c r="AKZ37" s="28"/>
      <c r="ALA37" s="28"/>
      <c r="ALB37" s="28"/>
      <c r="ALC37" s="28"/>
      <c r="ALD37" s="28"/>
      <c r="ALE37" s="28"/>
      <c r="ALF37" s="28"/>
      <c r="ALG37" s="28"/>
      <c r="ALH37" s="28"/>
      <c r="ALI37" s="28"/>
      <c r="ALJ37" s="28"/>
      <c r="ALK37" s="28"/>
      <c r="ALL37" s="28"/>
      <c r="ALM37" s="28"/>
      <c r="ALN37" s="28"/>
      <c r="ALO37" s="28"/>
      <c r="ALP37" s="28"/>
      <c r="ALQ37" s="28"/>
      <c r="ALR37" s="28"/>
      <c r="ALS37" s="28"/>
      <c r="ALT37" s="28"/>
      <c r="ALU37" s="28"/>
      <c r="ALV37" s="28"/>
      <c r="ALW37" s="28"/>
      <c r="ALX37" s="28"/>
      <c r="ALY37" s="28"/>
      <c r="ALZ37" s="28"/>
      <c r="AMA37" s="28"/>
      <c r="AMB37" s="28"/>
      <c r="AMC37" s="28"/>
      <c r="AMD37" s="28"/>
      <c r="AME37" s="28"/>
      <c r="AMF37" s="28"/>
      <c r="AMG37" s="28"/>
      <c r="AMH37" s="28"/>
      <c r="AMI37" s="28"/>
      <c r="AMJ37" s="28"/>
    </row>
    <row r="38" spans="1:1024" s="29" customFormat="1" ht="24.75" customHeight="1" x14ac:dyDescent="0.3">
      <c r="A38" s="593" t="s">
        <v>279</v>
      </c>
      <c r="B38" s="594" t="s">
        <v>280</v>
      </c>
      <c r="C38" s="612"/>
      <c r="D38" s="605"/>
      <c r="E38" s="605"/>
      <c r="F38" s="606"/>
      <c r="G38" s="607"/>
      <c r="H38" s="607"/>
      <c r="I38" s="608"/>
      <c r="J38" s="30"/>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c r="BD38" s="28"/>
      <c r="BE38" s="28"/>
      <c r="BF38" s="28"/>
      <c r="BG38" s="28"/>
      <c r="BH38" s="28"/>
      <c r="BI38" s="28"/>
      <c r="BJ38" s="28"/>
      <c r="BK38" s="28"/>
      <c r="BL38" s="28"/>
      <c r="BM38" s="28"/>
      <c r="BN38" s="28"/>
      <c r="BO38" s="28"/>
      <c r="BP38" s="28"/>
      <c r="BQ38" s="28"/>
      <c r="BR38" s="28"/>
      <c r="BS38" s="28"/>
      <c r="BT38" s="28"/>
      <c r="BU38" s="28"/>
      <c r="BV38" s="28"/>
      <c r="BW38" s="28"/>
      <c r="BX38" s="28"/>
      <c r="BY38" s="28"/>
      <c r="BZ38" s="28"/>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c r="DA38" s="28"/>
      <c r="DB38" s="28"/>
      <c r="DC38" s="28"/>
      <c r="DD38" s="28"/>
      <c r="DE38" s="28"/>
      <c r="DF38" s="28"/>
      <c r="DG38" s="28"/>
      <c r="DH38" s="28"/>
      <c r="DI38" s="28"/>
      <c r="DJ38" s="28"/>
      <c r="DK38" s="28"/>
      <c r="DL38" s="28"/>
      <c r="DM38" s="28"/>
      <c r="DN38" s="28"/>
      <c r="DO38" s="28"/>
      <c r="DP38" s="28"/>
      <c r="DQ38" s="28"/>
      <c r="DR38" s="28"/>
      <c r="DS38" s="28"/>
      <c r="DT38" s="28"/>
      <c r="DU38" s="28"/>
      <c r="DV38" s="28"/>
      <c r="DW38" s="28"/>
      <c r="DX38" s="28"/>
      <c r="DY38" s="28"/>
      <c r="DZ38" s="28"/>
      <c r="EA38" s="28"/>
      <c r="EB38" s="28"/>
      <c r="EC38" s="28"/>
      <c r="ED38" s="28"/>
      <c r="EE38" s="28"/>
      <c r="EF38" s="28"/>
      <c r="EG38" s="28"/>
      <c r="EH38" s="28"/>
      <c r="EI38" s="28"/>
      <c r="EJ38" s="28"/>
      <c r="EK38" s="28"/>
      <c r="EL38" s="28"/>
      <c r="EM38" s="28"/>
      <c r="EN38" s="28"/>
      <c r="EO38" s="28"/>
      <c r="EP38" s="28"/>
      <c r="EQ38" s="28"/>
      <c r="ER38" s="28"/>
      <c r="ES38" s="28"/>
      <c r="ET38" s="28"/>
      <c r="EU38" s="28"/>
      <c r="EV38" s="28"/>
      <c r="EW38" s="28"/>
      <c r="EX38" s="28"/>
      <c r="EY38" s="28"/>
      <c r="EZ38" s="28"/>
      <c r="FA38" s="28"/>
      <c r="AIQ38" s="28"/>
      <c r="AIR38" s="28"/>
      <c r="AIS38" s="28"/>
      <c r="AIT38" s="28"/>
      <c r="AIU38" s="28"/>
      <c r="AIV38" s="28"/>
      <c r="AIW38" s="28"/>
      <c r="AIX38" s="28"/>
      <c r="AIY38" s="28"/>
      <c r="AIZ38" s="28"/>
      <c r="AJA38" s="28"/>
      <c r="AJB38" s="28"/>
      <c r="AJC38" s="28"/>
      <c r="AJD38" s="28"/>
      <c r="AJE38" s="28"/>
      <c r="AJF38" s="28"/>
      <c r="AJG38" s="28"/>
      <c r="AJH38" s="28"/>
      <c r="AJI38" s="28"/>
      <c r="AJJ38" s="28"/>
      <c r="AJK38" s="28"/>
      <c r="AJL38" s="28"/>
      <c r="AJM38" s="28"/>
      <c r="AJN38" s="28"/>
      <c r="AJO38" s="28"/>
      <c r="AJP38" s="28"/>
      <c r="AJQ38" s="28"/>
      <c r="AJR38" s="28"/>
      <c r="AJS38" s="28"/>
      <c r="AJT38" s="28"/>
      <c r="AJU38" s="28"/>
      <c r="AJV38" s="28"/>
      <c r="AJW38" s="28"/>
      <c r="AJX38" s="28"/>
      <c r="AJY38" s="28"/>
      <c r="AJZ38" s="28"/>
      <c r="AKA38" s="28"/>
      <c r="AKB38" s="28"/>
      <c r="AKC38" s="28"/>
      <c r="AKD38" s="28"/>
      <c r="AKE38" s="28"/>
      <c r="AKF38" s="28"/>
      <c r="AKG38" s="28"/>
      <c r="AKH38" s="28"/>
      <c r="AKI38" s="28"/>
      <c r="AKJ38" s="28"/>
      <c r="AKK38" s="28"/>
      <c r="AKL38" s="28"/>
      <c r="AKM38" s="28"/>
      <c r="AKN38" s="28"/>
      <c r="AKO38" s="28"/>
      <c r="AKP38" s="28"/>
      <c r="AKQ38" s="28"/>
      <c r="AKR38" s="28"/>
      <c r="AKS38" s="28"/>
      <c r="AKT38" s="28"/>
      <c r="AKU38" s="28"/>
      <c r="AKV38" s="28"/>
      <c r="AKW38" s="28"/>
      <c r="AKX38" s="28"/>
      <c r="AKY38" s="28"/>
      <c r="AKZ38" s="28"/>
      <c r="ALA38" s="28"/>
      <c r="ALB38" s="28"/>
      <c r="ALC38" s="28"/>
      <c r="ALD38" s="28"/>
      <c r="ALE38" s="28"/>
      <c r="ALF38" s="28"/>
      <c r="ALG38" s="28"/>
      <c r="ALH38" s="28"/>
      <c r="ALI38" s="28"/>
      <c r="ALJ38" s="28"/>
      <c r="ALK38" s="28"/>
      <c r="ALL38" s="28"/>
      <c r="ALM38" s="28"/>
      <c r="ALN38" s="28"/>
      <c r="ALO38" s="28"/>
      <c r="ALP38" s="28"/>
      <c r="ALQ38" s="28"/>
      <c r="ALR38" s="28"/>
      <c r="ALS38" s="28"/>
      <c r="ALT38" s="28"/>
      <c r="ALU38" s="28"/>
      <c r="ALV38" s="28"/>
      <c r="ALW38" s="28"/>
      <c r="ALX38" s="28"/>
      <c r="ALY38" s="28"/>
      <c r="ALZ38" s="28"/>
      <c r="AMA38" s="28"/>
      <c r="AMB38" s="28"/>
      <c r="AMC38" s="28"/>
      <c r="AMD38" s="28"/>
      <c r="AME38" s="28"/>
      <c r="AMF38" s="28"/>
      <c r="AMG38" s="28"/>
      <c r="AMH38" s="28"/>
      <c r="AMI38" s="28"/>
      <c r="AMJ38" s="28"/>
    </row>
    <row r="39" spans="1:1024" ht="23.25" customHeight="1" x14ac:dyDescent="0.35">
      <c r="A39" s="618" t="s">
        <v>222</v>
      </c>
      <c r="B39" s="619" t="s">
        <v>281</v>
      </c>
      <c r="C39" s="620"/>
      <c r="D39" s="621"/>
      <c r="E39" s="621"/>
      <c r="F39" s="620"/>
      <c r="G39" s="622" t="s">
        <v>282</v>
      </c>
      <c r="H39" s="622" t="s">
        <v>282</v>
      </c>
      <c r="I39" s="623"/>
      <c r="J39" s="31"/>
    </row>
    <row r="40" spans="1:1024" s="34" customFormat="1" ht="15.75" customHeight="1" x14ac:dyDescent="0.25">
      <c r="A40" s="624" t="s">
        <v>283</v>
      </c>
      <c r="B40" s="625" t="s">
        <v>284</v>
      </c>
      <c r="C40" s="626"/>
      <c r="D40" s="627"/>
      <c r="E40" s="627"/>
      <c r="F40" s="628"/>
      <c r="G40" s="629"/>
      <c r="H40" s="629"/>
      <c r="I40" s="630"/>
      <c r="J40" s="32"/>
      <c r="K40" s="33"/>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33"/>
      <c r="CG40" s="33"/>
      <c r="CH40" s="33"/>
      <c r="CI40" s="33"/>
      <c r="CJ40" s="33"/>
      <c r="CK40" s="33"/>
      <c r="CL40" s="33"/>
      <c r="CM40" s="33"/>
      <c r="CN40" s="33"/>
      <c r="CO40" s="33"/>
      <c r="CP40" s="33"/>
      <c r="CQ40" s="33"/>
      <c r="CR40" s="33"/>
      <c r="CS40" s="33"/>
      <c r="CT40" s="33"/>
      <c r="CU40" s="33"/>
      <c r="CV40" s="33"/>
      <c r="CW40" s="33"/>
      <c r="CX40" s="33"/>
      <c r="CY40" s="33"/>
      <c r="CZ40" s="33"/>
      <c r="DA40" s="33"/>
      <c r="DB40" s="33"/>
      <c r="DC40" s="33"/>
      <c r="DD40" s="33"/>
      <c r="DE40" s="33"/>
      <c r="DF40" s="33"/>
      <c r="DG40" s="33"/>
      <c r="DH40" s="33"/>
      <c r="DI40" s="33"/>
      <c r="DJ40" s="33"/>
      <c r="DK40" s="33"/>
      <c r="DL40" s="33"/>
      <c r="DM40" s="33"/>
      <c r="DN40" s="33"/>
      <c r="DO40" s="33"/>
      <c r="DP40" s="33"/>
      <c r="DQ40" s="33"/>
      <c r="DR40" s="33"/>
      <c r="DS40" s="33"/>
      <c r="DT40" s="33"/>
      <c r="DU40" s="33"/>
      <c r="DV40" s="33"/>
      <c r="DW40" s="33"/>
      <c r="DX40" s="33"/>
      <c r="DY40" s="33"/>
      <c r="DZ40" s="33"/>
      <c r="EA40" s="33"/>
      <c r="EB40" s="33"/>
      <c r="EC40" s="33"/>
      <c r="ED40" s="33"/>
      <c r="EE40" s="33"/>
      <c r="EF40" s="33"/>
      <c r="EG40" s="33"/>
      <c r="EH40" s="33"/>
      <c r="EI40" s="33"/>
      <c r="EJ40" s="33"/>
      <c r="EK40" s="33"/>
      <c r="EL40" s="33"/>
      <c r="EM40" s="33"/>
      <c r="EN40" s="33"/>
      <c r="EO40" s="33"/>
      <c r="EP40" s="33"/>
      <c r="EQ40" s="33"/>
      <c r="ER40" s="33"/>
      <c r="ES40" s="33"/>
      <c r="ET40" s="33"/>
      <c r="EU40" s="33"/>
      <c r="EV40" s="33"/>
      <c r="EW40" s="33"/>
      <c r="EX40" s="33"/>
      <c r="EY40" s="33"/>
      <c r="EZ40" s="33"/>
      <c r="FA40" s="33"/>
      <c r="AIQ40" s="33"/>
      <c r="AIR40" s="33"/>
      <c r="AIS40" s="33"/>
      <c r="AIT40" s="33"/>
      <c r="AIU40" s="33"/>
      <c r="AIV40" s="33"/>
      <c r="AIW40" s="33"/>
      <c r="AIX40" s="33"/>
      <c r="AIY40" s="33"/>
      <c r="AIZ40" s="33"/>
      <c r="AJA40" s="33"/>
      <c r="AJB40" s="33"/>
      <c r="AJC40" s="33"/>
      <c r="AJD40" s="33"/>
      <c r="AJE40" s="33"/>
      <c r="AJF40" s="33"/>
      <c r="AJG40" s="33"/>
      <c r="AJH40" s="33"/>
      <c r="AJI40" s="33"/>
      <c r="AJJ40" s="33"/>
      <c r="AJK40" s="33"/>
      <c r="AJL40" s="33"/>
      <c r="AJM40" s="33"/>
      <c r="AJN40" s="33"/>
      <c r="AJO40" s="33"/>
      <c r="AJP40" s="33"/>
      <c r="AJQ40" s="33"/>
      <c r="AJR40" s="33"/>
      <c r="AJS40" s="33"/>
      <c r="AJT40" s="33"/>
      <c r="AJU40" s="33"/>
      <c r="AJV40" s="33"/>
      <c r="AJW40" s="33"/>
      <c r="AJX40" s="33"/>
      <c r="AJY40" s="33"/>
      <c r="AJZ40" s="33"/>
      <c r="AKA40" s="33"/>
      <c r="AKB40" s="33"/>
      <c r="AKC40" s="33"/>
      <c r="AKD40" s="33"/>
      <c r="AKE40" s="33"/>
      <c r="AKF40" s="33"/>
      <c r="AKG40" s="33"/>
      <c r="AKH40" s="33"/>
      <c r="AKI40" s="33"/>
      <c r="AKJ40" s="33"/>
      <c r="AKK40" s="33"/>
      <c r="AKL40" s="33"/>
      <c r="AKM40" s="33"/>
      <c r="AKN40" s="33"/>
      <c r="AKO40" s="33"/>
      <c r="AKP40" s="33"/>
      <c r="AKQ40" s="33"/>
      <c r="AKR40" s="33"/>
      <c r="AKS40" s="33"/>
      <c r="AKT40" s="33"/>
      <c r="AKU40" s="33"/>
      <c r="AKV40" s="33"/>
      <c r="AKW40" s="33"/>
      <c r="AKX40" s="33"/>
      <c r="AKY40" s="33"/>
      <c r="AKZ40" s="33"/>
      <c r="ALA40" s="33"/>
      <c r="ALB40" s="33"/>
      <c r="ALC40" s="33"/>
      <c r="ALD40" s="33"/>
      <c r="ALE40" s="33"/>
      <c r="ALF40" s="33"/>
      <c r="ALG40" s="33"/>
      <c r="ALH40" s="33"/>
      <c r="ALI40" s="33"/>
      <c r="ALJ40" s="33"/>
      <c r="ALK40" s="33"/>
      <c r="ALL40" s="33"/>
      <c r="ALM40" s="33"/>
      <c r="ALN40" s="33"/>
      <c r="ALO40" s="33"/>
      <c r="ALP40" s="33"/>
      <c r="ALQ40" s="33"/>
      <c r="ALR40" s="33"/>
      <c r="ALS40" s="33"/>
      <c r="ALT40" s="33"/>
      <c r="ALU40" s="33"/>
      <c r="ALV40" s="33"/>
      <c r="ALW40" s="33"/>
      <c r="ALX40" s="33"/>
      <c r="ALY40" s="33"/>
      <c r="ALZ40" s="33"/>
      <c r="AMA40" s="33"/>
      <c r="AMB40" s="33"/>
      <c r="AMC40" s="33"/>
      <c r="AMD40" s="33"/>
      <c r="AME40" s="33"/>
      <c r="AMF40" s="33"/>
      <c r="AMG40" s="33"/>
      <c r="AMH40" s="33"/>
      <c r="AMI40" s="33"/>
      <c r="AMJ40" s="33"/>
    </row>
    <row r="41" spans="1:1024" s="29" customFormat="1" ht="15.75" customHeight="1" x14ac:dyDescent="0.35">
      <c r="A41" s="631" t="s">
        <v>285</v>
      </c>
      <c r="B41" s="632" t="s">
        <v>286</v>
      </c>
      <c r="C41" s="595"/>
      <c r="D41" s="595"/>
      <c r="E41" s="595"/>
      <c r="F41" s="633"/>
      <c r="G41" s="598"/>
      <c r="H41" s="598"/>
      <c r="I41" s="634"/>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AIQ41" s="3"/>
      <c r="AIR41" s="3"/>
      <c r="AIS41" s="3"/>
      <c r="AIT41" s="3"/>
      <c r="AIU41" s="3"/>
      <c r="AIV41" s="3"/>
      <c r="AIW41" s="3"/>
      <c r="AIX41" s="3"/>
      <c r="AIY41" s="3"/>
      <c r="AIZ41" s="3"/>
      <c r="AJA41" s="3"/>
      <c r="AJB41" s="3"/>
      <c r="AJC41" s="3"/>
      <c r="AJD41" s="3"/>
      <c r="AJE41" s="3"/>
      <c r="AJF41" s="3"/>
      <c r="AJG41" s="3"/>
      <c r="AJH41" s="3"/>
      <c r="AJI41" s="3"/>
      <c r="AJJ41" s="3"/>
      <c r="AJK41" s="3"/>
      <c r="AJL41" s="3"/>
      <c r="AJM41" s="3"/>
      <c r="AJN41" s="3"/>
      <c r="AJO41" s="3"/>
      <c r="AJP41" s="3"/>
      <c r="AJQ41" s="3"/>
      <c r="AJR41" s="3"/>
      <c r="AJS41" s="3"/>
      <c r="AJT41" s="3"/>
      <c r="AJU41" s="3"/>
      <c r="AJV41" s="3"/>
      <c r="AJW41" s="3"/>
      <c r="AJX41" s="3"/>
      <c r="AJY41" s="3"/>
      <c r="AJZ41" s="3"/>
      <c r="AKA41" s="3"/>
      <c r="AKB41" s="3"/>
      <c r="AKC41" s="3"/>
      <c r="AKD41" s="3"/>
      <c r="AKE41" s="3"/>
      <c r="AKF41" s="3"/>
      <c r="AKG41" s="3"/>
      <c r="AKH41" s="3"/>
      <c r="AKI41" s="3"/>
      <c r="AKJ41" s="3"/>
      <c r="AKK41" s="3"/>
      <c r="AKL41" s="3"/>
      <c r="AKM41" s="3"/>
      <c r="AKN41" s="3"/>
      <c r="AKO41" s="3"/>
      <c r="AKP41" s="3"/>
      <c r="AKQ41" s="3"/>
      <c r="AKR41" s="3"/>
      <c r="AKS41" s="3"/>
      <c r="AKT41" s="3"/>
      <c r="AKU41" s="3"/>
      <c r="AKV41" s="3"/>
      <c r="AKW41" s="3"/>
      <c r="AKX41" s="3"/>
      <c r="AKY41" s="3"/>
      <c r="AKZ41" s="3"/>
      <c r="ALA41" s="3"/>
      <c r="ALB41" s="3"/>
      <c r="ALC41" s="3"/>
      <c r="ALD41" s="3"/>
      <c r="ALE41" s="3"/>
      <c r="ALF41" s="3"/>
      <c r="ALG41" s="3"/>
      <c r="ALH41" s="3"/>
      <c r="ALI41" s="3"/>
      <c r="ALJ41" s="3"/>
      <c r="ALK41" s="3"/>
      <c r="ALL41" s="3"/>
      <c r="ALM41" s="3"/>
      <c r="ALN41" s="3"/>
      <c r="ALO41" s="3"/>
      <c r="ALP41" s="3"/>
      <c r="ALQ41" s="3"/>
      <c r="ALR41" s="3"/>
      <c r="ALS41" s="3"/>
      <c r="ALT41" s="3"/>
      <c r="ALU41" s="3"/>
      <c r="ALV41" s="3"/>
      <c r="ALW41" s="3"/>
      <c r="ALX41" s="3"/>
      <c r="ALY41" s="3"/>
      <c r="ALZ41" s="3"/>
      <c r="AMA41" s="3"/>
      <c r="AMB41" s="3"/>
      <c r="AMC41" s="3"/>
      <c r="AMD41" s="3"/>
      <c r="AME41" s="3"/>
      <c r="AMF41" s="3"/>
      <c r="AMG41" s="3"/>
      <c r="AMH41" s="3"/>
      <c r="AMI41" s="3"/>
      <c r="AMJ41" s="3"/>
    </row>
    <row r="42" spans="1:1024" s="29" customFormat="1" ht="15.75" customHeight="1" x14ac:dyDescent="0.3">
      <c r="A42" s="600"/>
      <c r="B42" s="601" t="s">
        <v>287</v>
      </c>
      <c r="C42" s="635"/>
      <c r="D42" s="636"/>
      <c r="E42" s="636"/>
      <c r="F42" s="635"/>
      <c r="G42" s="637" t="s">
        <v>259</v>
      </c>
      <c r="H42" s="637" t="s">
        <v>259</v>
      </c>
      <c r="I42" s="461"/>
      <c r="J42" s="30"/>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28"/>
      <c r="AV42" s="28"/>
      <c r="AW42" s="28"/>
      <c r="AX42" s="28"/>
      <c r="AY42" s="28"/>
      <c r="AZ42" s="28"/>
      <c r="BA42" s="28"/>
      <c r="BB42" s="28"/>
      <c r="BC42" s="28"/>
      <c r="BD42" s="28"/>
      <c r="BE42" s="28"/>
      <c r="BF42" s="28"/>
      <c r="BG42" s="28"/>
      <c r="BH42" s="28"/>
      <c r="BI42" s="28"/>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AIQ42" s="28"/>
      <c r="AIR42" s="28"/>
      <c r="AIS42" s="28"/>
      <c r="AIT42" s="28"/>
      <c r="AIU42" s="28"/>
      <c r="AIV42" s="28"/>
      <c r="AIW42" s="28"/>
      <c r="AIX42" s="28"/>
      <c r="AIY42" s="28"/>
      <c r="AIZ42" s="28"/>
      <c r="AJA42" s="28"/>
      <c r="AJB42" s="28"/>
      <c r="AJC42" s="28"/>
      <c r="AJD42" s="28"/>
      <c r="AJE42" s="28"/>
      <c r="AJF42" s="28"/>
      <c r="AJG42" s="28"/>
      <c r="AJH42" s="28"/>
      <c r="AJI42" s="28"/>
      <c r="AJJ42" s="28"/>
      <c r="AJK42" s="28"/>
      <c r="AJL42" s="28"/>
      <c r="AJM42" s="28"/>
      <c r="AJN42" s="28"/>
      <c r="AJO42" s="28"/>
      <c r="AJP42" s="28"/>
      <c r="AJQ42" s="28"/>
      <c r="AJR42" s="28"/>
      <c r="AJS42" s="28"/>
      <c r="AJT42" s="28"/>
      <c r="AJU42" s="28"/>
      <c r="AJV42" s="28"/>
      <c r="AJW42" s="28"/>
      <c r="AJX42" s="28"/>
      <c r="AJY42" s="28"/>
      <c r="AJZ42" s="28"/>
      <c r="AKA42" s="28"/>
      <c r="AKB42" s="28"/>
      <c r="AKC42" s="28"/>
      <c r="AKD42" s="28"/>
      <c r="AKE42" s="28"/>
      <c r="AKF42" s="28"/>
      <c r="AKG42" s="28"/>
      <c r="AKH42" s="28"/>
      <c r="AKI42" s="28"/>
      <c r="AKJ42" s="28"/>
      <c r="AKK42" s="28"/>
      <c r="AKL42" s="28"/>
      <c r="AKM42" s="28"/>
      <c r="AKN42" s="28"/>
      <c r="AKO42" s="28"/>
      <c r="AKP42" s="28"/>
      <c r="AKQ42" s="28"/>
      <c r="AKR42" s="28"/>
      <c r="AKS42" s="28"/>
      <c r="AKT42" s="28"/>
      <c r="AKU42" s="28"/>
      <c r="AKV42" s="28"/>
      <c r="AKW42" s="28"/>
      <c r="AKX42" s="28"/>
      <c r="AKY42" s="28"/>
      <c r="AKZ42" s="28"/>
      <c r="ALA42" s="28"/>
      <c r="ALB42" s="28"/>
      <c r="ALC42" s="28"/>
      <c r="ALD42" s="28"/>
      <c r="ALE42" s="28"/>
      <c r="ALF42" s="28"/>
      <c r="ALG42" s="28"/>
      <c r="ALH42" s="28"/>
      <c r="ALI42" s="28"/>
      <c r="ALJ42" s="28"/>
      <c r="ALK42" s="28"/>
      <c r="ALL42" s="28"/>
      <c r="ALM42" s="28"/>
      <c r="ALN42" s="28"/>
      <c r="ALO42" s="28"/>
      <c r="ALP42" s="28"/>
      <c r="ALQ42" s="28"/>
      <c r="ALR42" s="28"/>
      <c r="ALS42" s="28"/>
      <c r="ALT42" s="28"/>
      <c r="ALU42" s="28"/>
      <c r="ALV42" s="28"/>
      <c r="ALW42" s="28"/>
      <c r="ALX42" s="28"/>
      <c r="ALY42" s="28"/>
      <c r="ALZ42" s="28"/>
      <c r="AMA42" s="28"/>
      <c r="AMB42" s="28"/>
      <c r="AMC42" s="28"/>
      <c r="AMD42" s="28"/>
      <c r="AME42" s="28"/>
      <c r="AMF42" s="28"/>
      <c r="AMG42" s="28"/>
      <c r="AMH42" s="28"/>
      <c r="AMI42" s="28"/>
      <c r="AMJ42" s="28"/>
    </row>
    <row r="43" spans="1:1024" s="29" customFormat="1" ht="15.75" customHeight="1" x14ac:dyDescent="0.3">
      <c r="A43" s="600"/>
      <c r="B43" s="601" t="s">
        <v>288</v>
      </c>
      <c r="C43" s="635"/>
      <c r="D43" s="636"/>
      <c r="E43" s="636"/>
      <c r="F43" s="635"/>
      <c r="G43" s="637" t="s">
        <v>289</v>
      </c>
      <c r="H43" s="637" t="s">
        <v>289</v>
      </c>
      <c r="I43" s="461"/>
      <c r="J43" s="30"/>
      <c r="K43" s="28"/>
      <c r="L43" s="28"/>
      <c r="M43" s="28"/>
      <c r="N43" s="28"/>
      <c r="O43" s="28"/>
      <c r="P43" s="28"/>
      <c r="Q43" s="28"/>
      <c r="R43" s="28"/>
      <c r="S43" s="28"/>
      <c r="T43" s="28"/>
      <c r="U43" s="28"/>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8"/>
      <c r="AW43" s="28"/>
      <c r="AX43" s="28"/>
      <c r="AY43" s="28"/>
      <c r="AZ43" s="28"/>
      <c r="BA43" s="28"/>
      <c r="BB43" s="28"/>
      <c r="BC43" s="28"/>
      <c r="BD43" s="28"/>
      <c r="BE43" s="28"/>
      <c r="BF43" s="28"/>
      <c r="BG43" s="28"/>
      <c r="BH43" s="28"/>
      <c r="BI43" s="28"/>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AIQ43" s="28"/>
      <c r="AIR43" s="28"/>
      <c r="AIS43" s="28"/>
      <c r="AIT43" s="28"/>
      <c r="AIU43" s="28"/>
      <c r="AIV43" s="28"/>
      <c r="AIW43" s="28"/>
      <c r="AIX43" s="28"/>
      <c r="AIY43" s="28"/>
      <c r="AIZ43" s="28"/>
      <c r="AJA43" s="28"/>
      <c r="AJB43" s="28"/>
      <c r="AJC43" s="28"/>
      <c r="AJD43" s="28"/>
      <c r="AJE43" s="28"/>
      <c r="AJF43" s="28"/>
      <c r="AJG43" s="28"/>
      <c r="AJH43" s="28"/>
      <c r="AJI43" s="28"/>
      <c r="AJJ43" s="28"/>
      <c r="AJK43" s="28"/>
      <c r="AJL43" s="28"/>
      <c r="AJM43" s="28"/>
      <c r="AJN43" s="28"/>
      <c r="AJO43" s="28"/>
      <c r="AJP43" s="28"/>
      <c r="AJQ43" s="28"/>
      <c r="AJR43" s="28"/>
      <c r="AJS43" s="28"/>
      <c r="AJT43" s="28"/>
      <c r="AJU43" s="28"/>
      <c r="AJV43" s="28"/>
      <c r="AJW43" s="28"/>
      <c r="AJX43" s="28"/>
      <c r="AJY43" s="28"/>
      <c r="AJZ43" s="28"/>
      <c r="AKA43" s="28"/>
      <c r="AKB43" s="28"/>
      <c r="AKC43" s="28"/>
      <c r="AKD43" s="28"/>
      <c r="AKE43" s="28"/>
      <c r="AKF43" s="28"/>
      <c r="AKG43" s="28"/>
      <c r="AKH43" s="28"/>
      <c r="AKI43" s="28"/>
      <c r="AKJ43" s="28"/>
      <c r="AKK43" s="28"/>
      <c r="AKL43" s="28"/>
      <c r="AKM43" s="28"/>
      <c r="AKN43" s="28"/>
      <c r="AKO43" s="28"/>
      <c r="AKP43" s="28"/>
      <c r="AKQ43" s="28"/>
      <c r="AKR43" s="28"/>
      <c r="AKS43" s="28"/>
      <c r="AKT43" s="28"/>
      <c r="AKU43" s="28"/>
      <c r="AKV43" s="28"/>
      <c r="AKW43" s="28"/>
      <c r="AKX43" s="28"/>
      <c r="AKY43" s="28"/>
      <c r="AKZ43" s="28"/>
      <c r="ALA43" s="28"/>
      <c r="ALB43" s="28"/>
      <c r="ALC43" s="28"/>
      <c r="ALD43" s="28"/>
      <c r="ALE43" s="28"/>
      <c r="ALF43" s="28"/>
      <c r="ALG43" s="28"/>
      <c r="ALH43" s="28"/>
      <c r="ALI43" s="28"/>
      <c r="ALJ43" s="28"/>
      <c r="ALK43" s="28"/>
      <c r="ALL43" s="28"/>
      <c r="ALM43" s="28"/>
      <c r="ALN43" s="28"/>
      <c r="ALO43" s="28"/>
      <c r="ALP43" s="28"/>
      <c r="ALQ43" s="28"/>
      <c r="ALR43" s="28"/>
      <c r="ALS43" s="28"/>
      <c r="ALT43" s="28"/>
      <c r="ALU43" s="28"/>
      <c r="ALV43" s="28"/>
      <c r="ALW43" s="28"/>
      <c r="ALX43" s="28"/>
      <c r="ALY43" s="28"/>
      <c r="ALZ43" s="28"/>
      <c r="AMA43" s="28"/>
      <c r="AMB43" s="28"/>
      <c r="AMC43" s="28"/>
      <c r="AMD43" s="28"/>
      <c r="AME43" s="28"/>
      <c r="AMF43" s="28"/>
      <c r="AMG43" s="28"/>
      <c r="AMH43" s="28"/>
      <c r="AMI43" s="28"/>
      <c r="AMJ43" s="28"/>
    </row>
    <row r="44" spans="1:1024" s="29" customFormat="1" ht="15.75" customHeight="1" x14ac:dyDescent="0.3">
      <c r="A44" s="600"/>
      <c r="B44" s="601" t="s">
        <v>290</v>
      </c>
      <c r="C44" s="635"/>
      <c r="D44" s="636"/>
      <c r="E44" s="636"/>
      <c r="F44" s="635"/>
      <c r="G44" s="453" t="s">
        <v>282</v>
      </c>
      <c r="H44" s="453" t="s">
        <v>291</v>
      </c>
      <c r="I44" s="461"/>
      <c r="J44" s="30"/>
      <c r="K44" s="28"/>
      <c r="L44" s="28"/>
      <c r="M44" s="28"/>
      <c r="N44" s="28"/>
      <c r="O44" s="28"/>
      <c r="P44" s="28"/>
      <c r="Q44" s="28"/>
      <c r="R44" s="28"/>
      <c r="S44" s="28"/>
      <c r="T44" s="28"/>
      <c r="U44" s="28"/>
      <c r="V44" s="28"/>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28"/>
      <c r="AW44" s="28"/>
      <c r="AX44" s="28"/>
      <c r="AY44" s="28"/>
      <c r="AZ44" s="28"/>
      <c r="BA44" s="28"/>
      <c r="BB44" s="28"/>
      <c r="BC44" s="28"/>
      <c r="BD44" s="28"/>
      <c r="BE44" s="28"/>
      <c r="BF44" s="28"/>
      <c r="BG44" s="28"/>
      <c r="BH44" s="28"/>
      <c r="BI44" s="28"/>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AIQ44" s="28"/>
      <c r="AIR44" s="28"/>
      <c r="AIS44" s="28"/>
      <c r="AIT44" s="28"/>
      <c r="AIU44" s="28"/>
      <c r="AIV44" s="28"/>
      <c r="AIW44" s="28"/>
      <c r="AIX44" s="28"/>
      <c r="AIY44" s="28"/>
      <c r="AIZ44" s="28"/>
      <c r="AJA44" s="28"/>
      <c r="AJB44" s="28"/>
      <c r="AJC44" s="28"/>
      <c r="AJD44" s="28"/>
      <c r="AJE44" s="28"/>
      <c r="AJF44" s="28"/>
      <c r="AJG44" s="28"/>
      <c r="AJH44" s="28"/>
      <c r="AJI44" s="28"/>
      <c r="AJJ44" s="28"/>
      <c r="AJK44" s="28"/>
      <c r="AJL44" s="28"/>
      <c r="AJM44" s="28"/>
      <c r="AJN44" s="28"/>
      <c r="AJO44" s="28"/>
      <c r="AJP44" s="28"/>
      <c r="AJQ44" s="28"/>
      <c r="AJR44" s="28"/>
      <c r="AJS44" s="28"/>
      <c r="AJT44" s="28"/>
      <c r="AJU44" s="28"/>
      <c r="AJV44" s="28"/>
      <c r="AJW44" s="28"/>
      <c r="AJX44" s="28"/>
      <c r="AJY44" s="28"/>
      <c r="AJZ44" s="28"/>
      <c r="AKA44" s="28"/>
      <c r="AKB44" s="28"/>
      <c r="AKC44" s="28"/>
      <c r="AKD44" s="28"/>
      <c r="AKE44" s="28"/>
      <c r="AKF44" s="28"/>
      <c r="AKG44" s="28"/>
      <c r="AKH44" s="28"/>
      <c r="AKI44" s="28"/>
      <c r="AKJ44" s="28"/>
      <c r="AKK44" s="28"/>
      <c r="AKL44" s="28"/>
      <c r="AKM44" s="28"/>
      <c r="AKN44" s="28"/>
      <c r="AKO44" s="28"/>
      <c r="AKP44" s="28"/>
      <c r="AKQ44" s="28"/>
      <c r="AKR44" s="28"/>
      <c r="AKS44" s="28"/>
      <c r="AKT44" s="28"/>
      <c r="AKU44" s="28"/>
      <c r="AKV44" s="28"/>
      <c r="AKW44" s="28"/>
      <c r="AKX44" s="28"/>
      <c r="AKY44" s="28"/>
      <c r="AKZ44" s="28"/>
      <c r="ALA44" s="28"/>
      <c r="ALB44" s="28"/>
      <c r="ALC44" s="28"/>
      <c r="ALD44" s="28"/>
      <c r="ALE44" s="28"/>
      <c r="ALF44" s="28"/>
      <c r="ALG44" s="28"/>
      <c r="ALH44" s="28"/>
      <c r="ALI44" s="28"/>
      <c r="ALJ44" s="28"/>
      <c r="ALK44" s="28"/>
      <c r="ALL44" s="28"/>
      <c r="ALM44" s="28"/>
      <c r="ALN44" s="28"/>
      <c r="ALO44" s="28"/>
      <c r="ALP44" s="28"/>
      <c r="ALQ44" s="28"/>
      <c r="ALR44" s="28"/>
      <c r="ALS44" s="28"/>
      <c r="ALT44" s="28"/>
      <c r="ALU44" s="28"/>
      <c r="ALV44" s="28"/>
      <c r="ALW44" s="28"/>
      <c r="ALX44" s="28"/>
      <c r="ALY44" s="28"/>
      <c r="ALZ44" s="28"/>
      <c r="AMA44" s="28"/>
      <c r="AMB44" s="28"/>
      <c r="AMC44" s="28"/>
      <c r="AMD44" s="28"/>
      <c r="AME44" s="28"/>
      <c r="AMF44" s="28"/>
      <c r="AMG44" s="28"/>
      <c r="AMH44" s="28"/>
      <c r="AMI44" s="28"/>
      <c r="AMJ44" s="28"/>
    </row>
    <row r="45" spans="1:1024" s="29" customFormat="1" ht="15.75" customHeight="1" x14ac:dyDescent="0.3">
      <c r="A45" s="600"/>
      <c r="B45" s="601" t="s">
        <v>292</v>
      </c>
      <c r="C45" s="635"/>
      <c r="D45" s="636"/>
      <c r="E45" s="636"/>
      <c r="F45" s="635"/>
      <c r="G45" s="637" t="s">
        <v>289</v>
      </c>
      <c r="H45" s="453" t="s">
        <v>291</v>
      </c>
      <c r="I45" s="461"/>
      <c r="J45" s="30"/>
      <c r="K45" s="28"/>
      <c r="L45" s="28"/>
      <c r="M45" s="28"/>
      <c r="N45" s="28"/>
      <c r="O45" s="28"/>
      <c r="P45" s="28"/>
      <c r="Q45" s="28"/>
      <c r="R45" s="28"/>
      <c r="S45" s="28"/>
      <c r="T45" s="28"/>
      <c r="U45" s="28"/>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28"/>
      <c r="AW45" s="28"/>
      <c r="AX45" s="28"/>
      <c r="AY45" s="28"/>
      <c r="AZ45" s="28"/>
      <c r="BA45" s="28"/>
      <c r="BB45" s="28"/>
      <c r="BC45" s="28"/>
      <c r="BD45" s="28"/>
      <c r="BE45" s="28"/>
      <c r="BF45" s="28"/>
      <c r="BG45" s="28"/>
      <c r="BH45" s="28"/>
      <c r="BI45" s="28"/>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AIQ45" s="28"/>
      <c r="AIR45" s="28"/>
      <c r="AIS45" s="28"/>
      <c r="AIT45" s="28"/>
      <c r="AIU45" s="28"/>
      <c r="AIV45" s="28"/>
      <c r="AIW45" s="28"/>
      <c r="AIX45" s="28"/>
      <c r="AIY45" s="28"/>
      <c r="AIZ45" s="28"/>
      <c r="AJA45" s="28"/>
      <c r="AJB45" s="28"/>
      <c r="AJC45" s="28"/>
      <c r="AJD45" s="28"/>
      <c r="AJE45" s="28"/>
      <c r="AJF45" s="28"/>
      <c r="AJG45" s="28"/>
      <c r="AJH45" s="28"/>
      <c r="AJI45" s="28"/>
      <c r="AJJ45" s="28"/>
      <c r="AJK45" s="28"/>
      <c r="AJL45" s="28"/>
      <c r="AJM45" s="28"/>
      <c r="AJN45" s="28"/>
      <c r="AJO45" s="28"/>
      <c r="AJP45" s="28"/>
      <c r="AJQ45" s="28"/>
      <c r="AJR45" s="28"/>
      <c r="AJS45" s="28"/>
      <c r="AJT45" s="28"/>
      <c r="AJU45" s="28"/>
      <c r="AJV45" s="28"/>
      <c r="AJW45" s="28"/>
      <c r="AJX45" s="28"/>
      <c r="AJY45" s="28"/>
      <c r="AJZ45" s="28"/>
      <c r="AKA45" s="28"/>
      <c r="AKB45" s="28"/>
      <c r="AKC45" s="28"/>
      <c r="AKD45" s="28"/>
      <c r="AKE45" s="28"/>
      <c r="AKF45" s="28"/>
      <c r="AKG45" s="28"/>
      <c r="AKH45" s="28"/>
      <c r="AKI45" s="28"/>
      <c r="AKJ45" s="28"/>
      <c r="AKK45" s="28"/>
      <c r="AKL45" s="28"/>
      <c r="AKM45" s="28"/>
      <c r="AKN45" s="28"/>
      <c r="AKO45" s="28"/>
      <c r="AKP45" s="28"/>
      <c r="AKQ45" s="28"/>
      <c r="AKR45" s="28"/>
      <c r="AKS45" s="28"/>
      <c r="AKT45" s="28"/>
      <c r="AKU45" s="28"/>
      <c r="AKV45" s="28"/>
      <c r="AKW45" s="28"/>
      <c r="AKX45" s="28"/>
      <c r="AKY45" s="28"/>
      <c r="AKZ45" s="28"/>
      <c r="ALA45" s="28"/>
      <c r="ALB45" s="28"/>
      <c r="ALC45" s="28"/>
      <c r="ALD45" s="28"/>
      <c r="ALE45" s="28"/>
      <c r="ALF45" s="28"/>
      <c r="ALG45" s="28"/>
      <c r="ALH45" s="28"/>
      <c r="ALI45" s="28"/>
      <c r="ALJ45" s="28"/>
      <c r="ALK45" s="28"/>
      <c r="ALL45" s="28"/>
      <c r="ALM45" s="28"/>
      <c r="ALN45" s="28"/>
      <c r="ALO45" s="28"/>
      <c r="ALP45" s="28"/>
      <c r="ALQ45" s="28"/>
      <c r="ALR45" s="28"/>
      <c r="ALS45" s="28"/>
      <c r="ALT45" s="28"/>
      <c r="ALU45" s="28"/>
      <c r="ALV45" s="28"/>
      <c r="ALW45" s="28"/>
      <c r="ALX45" s="28"/>
      <c r="ALY45" s="28"/>
      <c r="ALZ45" s="28"/>
      <c r="AMA45" s="28"/>
      <c r="AMB45" s="28"/>
      <c r="AMC45" s="28"/>
      <c r="AMD45" s="28"/>
      <c r="AME45" s="28"/>
      <c r="AMF45" s="28"/>
      <c r="AMG45" s="28"/>
      <c r="AMH45" s="28"/>
      <c r="AMI45" s="28"/>
      <c r="AMJ45" s="28"/>
    </row>
    <row r="46" spans="1:1024" s="29" customFormat="1" ht="15.75" customHeight="1" x14ac:dyDescent="0.3">
      <c r="A46" s="593" t="s">
        <v>293</v>
      </c>
      <c r="B46" s="594" t="s">
        <v>294</v>
      </c>
      <c r="C46" s="638"/>
      <c r="D46" s="638"/>
      <c r="E46" s="638"/>
      <c r="F46" s="639"/>
      <c r="G46" s="640"/>
      <c r="H46" s="640"/>
      <c r="I46" s="608"/>
      <c r="J46" s="30"/>
      <c r="K46" s="28"/>
      <c r="L46" s="28"/>
      <c r="M46" s="28"/>
      <c r="N46" s="28"/>
      <c r="O46" s="28"/>
      <c r="P46" s="28"/>
      <c r="Q46" s="28"/>
      <c r="R46" s="28"/>
      <c r="S46" s="28"/>
      <c r="T46" s="28"/>
      <c r="U46" s="28"/>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28"/>
      <c r="AW46" s="28"/>
      <c r="AX46" s="28"/>
      <c r="AY46" s="28"/>
      <c r="AZ46" s="28"/>
      <c r="BA46" s="28"/>
      <c r="BB46" s="28"/>
      <c r="BC46" s="28"/>
      <c r="BD46" s="28"/>
      <c r="BE46" s="28"/>
      <c r="BF46" s="28"/>
      <c r="BG46" s="28"/>
      <c r="BH46" s="28"/>
      <c r="BI46" s="28"/>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AIQ46" s="28"/>
      <c r="AIR46" s="28"/>
      <c r="AIS46" s="28"/>
      <c r="AIT46" s="28"/>
      <c r="AIU46" s="28"/>
      <c r="AIV46" s="28"/>
      <c r="AIW46" s="28"/>
      <c r="AIX46" s="28"/>
      <c r="AIY46" s="28"/>
      <c r="AIZ46" s="28"/>
      <c r="AJA46" s="28"/>
      <c r="AJB46" s="28"/>
      <c r="AJC46" s="28"/>
      <c r="AJD46" s="28"/>
      <c r="AJE46" s="28"/>
      <c r="AJF46" s="28"/>
      <c r="AJG46" s="28"/>
      <c r="AJH46" s="28"/>
      <c r="AJI46" s="28"/>
      <c r="AJJ46" s="28"/>
      <c r="AJK46" s="28"/>
      <c r="AJL46" s="28"/>
      <c r="AJM46" s="28"/>
      <c r="AJN46" s="28"/>
      <c r="AJO46" s="28"/>
      <c r="AJP46" s="28"/>
      <c r="AJQ46" s="28"/>
      <c r="AJR46" s="28"/>
      <c r="AJS46" s="28"/>
      <c r="AJT46" s="28"/>
      <c r="AJU46" s="28"/>
      <c r="AJV46" s="28"/>
      <c r="AJW46" s="28"/>
      <c r="AJX46" s="28"/>
      <c r="AJY46" s="28"/>
      <c r="AJZ46" s="28"/>
      <c r="AKA46" s="28"/>
      <c r="AKB46" s="28"/>
      <c r="AKC46" s="28"/>
      <c r="AKD46" s="28"/>
      <c r="AKE46" s="28"/>
      <c r="AKF46" s="28"/>
      <c r="AKG46" s="28"/>
      <c r="AKH46" s="28"/>
      <c r="AKI46" s="28"/>
      <c r="AKJ46" s="28"/>
      <c r="AKK46" s="28"/>
      <c r="AKL46" s="28"/>
      <c r="AKM46" s="28"/>
      <c r="AKN46" s="28"/>
      <c r="AKO46" s="28"/>
      <c r="AKP46" s="28"/>
      <c r="AKQ46" s="28"/>
      <c r="AKR46" s="28"/>
      <c r="AKS46" s="28"/>
      <c r="AKT46" s="28"/>
      <c r="AKU46" s="28"/>
      <c r="AKV46" s="28"/>
      <c r="AKW46" s="28"/>
      <c r="AKX46" s="28"/>
      <c r="AKY46" s="28"/>
      <c r="AKZ46" s="28"/>
      <c r="ALA46" s="28"/>
      <c r="ALB46" s="28"/>
      <c r="ALC46" s="28"/>
      <c r="ALD46" s="28"/>
      <c r="ALE46" s="28"/>
      <c r="ALF46" s="28"/>
      <c r="ALG46" s="28"/>
      <c r="ALH46" s="28"/>
      <c r="ALI46" s="28"/>
      <c r="ALJ46" s="28"/>
      <c r="ALK46" s="28"/>
      <c r="ALL46" s="28"/>
      <c r="ALM46" s="28"/>
      <c r="ALN46" s="28"/>
      <c r="ALO46" s="28"/>
      <c r="ALP46" s="28"/>
      <c r="ALQ46" s="28"/>
      <c r="ALR46" s="28"/>
      <c r="ALS46" s="28"/>
      <c r="ALT46" s="28"/>
      <c r="ALU46" s="28"/>
      <c r="ALV46" s="28"/>
      <c r="ALW46" s="28"/>
      <c r="ALX46" s="28"/>
      <c r="ALY46" s="28"/>
      <c r="ALZ46" s="28"/>
      <c r="AMA46" s="28"/>
      <c r="AMB46" s="28"/>
      <c r="AMC46" s="28"/>
      <c r="AMD46" s="28"/>
      <c r="AME46" s="28"/>
      <c r="AMF46" s="28"/>
      <c r="AMG46" s="28"/>
      <c r="AMH46" s="28"/>
      <c r="AMI46" s="28"/>
      <c r="AMJ46" s="28"/>
    </row>
    <row r="47" spans="1:1024" s="29" customFormat="1" ht="15.75" customHeight="1" x14ac:dyDescent="0.3">
      <c r="A47" s="600"/>
      <c r="B47" s="601" t="s">
        <v>295</v>
      </c>
      <c r="C47" s="635"/>
      <c r="D47" s="636"/>
      <c r="E47" s="636"/>
      <c r="F47" s="635"/>
      <c r="G47" s="637" t="s">
        <v>289</v>
      </c>
      <c r="H47" s="637" t="s">
        <v>289</v>
      </c>
      <c r="I47" s="461"/>
      <c r="J47" s="30"/>
      <c r="K47" s="28"/>
      <c r="L47" s="28"/>
      <c r="M47" s="28"/>
      <c r="N47" s="28"/>
      <c r="O47" s="28"/>
      <c r="P47" s="28"/>
      <c r="Q47" s="28"/>
      <c r="R47" s="28"/>
      <c r="S47" s="28"/>
      <c r="T47" s="28"/>
      <c r="U47" s="28"/>
      <c r="V47" s="28"/>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28"/>
      <c r="AW47" s="28"/>
      <c r="AX47" s="28"/>
      <c r="AY47" s="28"/>
      <c r="AZ47" s="28"/>
      <c r="BA47" s="28"/>
      <c r="BB47" s="28"/>
      <c r="BC47" s="28"/>
      <c r="BD47" s="28"/>
      <c r="BE47" s="28"/>
      <c r="BF47" s="28"/>
      <c r="BG47" s="28"/>
      <c r="BH47" s="28"/>
      <c r="BI47" s="28"/>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AIQ47" s="28"/>
      <c r="AIR47" s="28"/>
      <c r="AIS47" s="28"/>
      <c r="AIT47" s="28"/>
      <c r="AIU47" s="28"/>
      <c r="AIV47" s="28"/>
      <c r="AIW47" s="28"/>
      <c r="AIX47" s="28"/>
      <c r="AIY47" s="28"/>
      <c r="AIZ47" s="28"/>
      <c r="AJA47" s="28"/>
      <c r="AJB47" s="28"/>
      <c r="AJC47" s="28"/>
      <c r="AJD47" s="28"/>
      <c r="AJE47" s="28"/>
      <c r="AJF47" s="28"/>
      <c r="AJG47" s="28"/>
      <c r="AJH47" s="28"/>
      <c r="AJI47" s="28"/>
      <c r="AJJ47" s="28"/>
      <c r="AJK47" s="28"/>
      <c r="AJL47" s="28"/>
      <c r="AJM47" s="28"/>
      <c r="AJN47" s="28"/>
      <c r="AJO47" s="28"/>
      <c r="AJP47" s="28"/>
      <c r="AJQ47" s="28"/>
      <c r="AJR47" s="28"/>
      <c r="AJS47" s="28"/>
      <c r="AJT47" s="28"/>
      <c r="AJU47" s="28"/>
      <c r="AJV47" s="28"/>
      <c r="AJW47" s="28"/>
      <c r="AJX47" s="28"/>
      <c r="AJY47" s="28"/>
      <c r="AJZ47" s="28"/>
      <c r="AKA47" s="28"/>
      <c r="AKB47" s="28"/>
      <c r="AKC47" s="28"/>
      <c r="AKD47" s="28"/>
      <c r="AKE47" s="28"/>
      <c r="AKF47" s="28"/>
      <c r="AKG47" s="28"/>
      <c r="AKH47" s="28"/>
      <c r="AKI47" s="28"/>
      <c r="AKJ47" s="28"/>
      <c r="AKK47" s="28"/>
      <c r="AKL47" s="28"/>
      <c r="AKM47" s="28"/>
      <c r="AKN47" s="28"/>
      <c r="AKO47" s="28"/>
      <c r="AKP47" s="28"/>
      <c r="AKQ47" s="28"/>
      <c r="AKR47" s="28"/>
      <c r="AKS47" s="28"/>
      <c r="AKT47" s="28"/>
      <c r="AKU47" s="28"/>
      <c r="AKV47" s="28"/>
      <c r="AKW47" s="28"/>
      <c r="AKX47" s="28"/>
      <c r="AKY47" s="28"/>
      <c r="AKZ47" s="28"/>
      <c r="ALA47" s="28"/>
      <c r="ALB47" s="28"/>
      <c r="ALC47" s="28"/>
      <c r="ALD47" s="28"/>
      <c r="ALE47" s="28"/>
      <c r="ALF47" s="28"/>
      <c r="ALG47" s="28"/>
      <c r="ALH47" s="28"/>
      <c r="ALI47" s="28"/>
      <c r="ALJ47" s="28"/>
      <c r="ALK47" s="28"/>
      <c r="ALL47" s="28"/>
      <c r="ALM47" s="28"/>
      <c r="ALN47" s="28"/>
      <c r="ALO47" s="28"/>
      <c r="ALP47" s="28"/>
      <c r="ALQ47" s="28"/>
      <c r="ALR47" s="28"/>
      <c r="ALS47" s="28"/>
      <c r="ALT47" s="28"/>
      <c r="ALU47" s="28"/>
      <c r="ALV47" s="28"/>
      <c r="ALW47" s="28"/>
      <c r="ALX47" s="28"/>
      <c r="ALY47" s="28"/>
      <c r="ALZ47" s="28"/>
      <c r="AMA47" s="28"/>
      <c r="AMB47" s="28"/>
      <c r="AMC47" s="28"/>
      <c r="AMD47" s="28"/>
      <c r="AME47" s="28"/>
      <c r="AMF47" s="28"/>
      <c r="AMG47" s="28"/>
      <c r="AMH47" s="28"/>
      <c r="AMI47" s="28"/>
      <c r="AMJ47" s="28"/>
    </row>
    <row r="48" spans="1:1024" s="29" customFormat="1" ht="15.75" customHeight="1" x14ac:dyDescent="0.3">
      <c r="A48" s="613"/>
      <c r="B48" s="601" t="s">
        <v>296</v>
      </c>
      <c r="C48" s="635"/>
      <c r="D48" s="636"/>
      <c r="E48" s="636"/>
      <c r="F48" s="635"/>
      <c r="G48" s="637" t="s">
        <v>289</v>
      </c>
      <c r="H48" s="637" t="s">
        <v>289</v>
      </c>
      <c r="I48" s="461"/>
      <c r="J48" s="30"/>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AIQ48" s="28"/>
      <c r="AIR48" s="28"/>
      <c r="AIS48" s="28"/>
      <c r="AIT48" s="28"/>
      <c r="AIU48" s="28"/>
      <c r="AIV48" s="28"/>
      <c r="AIW48" s="28"/>
      <c r="AIX48" s="28"/>
      <c r="AIY48" s="28"/>
      <c r="AIZ48" s="28"/>
      <c r="AJA48" s="28"/>
      <c r="AJB48" s="28"/>
      <c r="AJC48" s="28"/>
      <c r="AJD48" s="28"/>
      <c r="AJE48" s="28"/>
      <c r="AJF48" s="28"/>
      <c r="AJG48" s="28"/>
      <c r="AJH48" s="28"/>
      <c r="AJI48" s="28"/>
      <c r="AJJ48" s="28"/>
      <c r="AJK48" s="28"/>
      <c r="AJL48" s="28"/>
      <c r="AJM48" s="28"/>
      <c r="AJN48" s="28"/>
      <c r="AJO48" s="28"/>
      <c r="AJP48" s="28"/>
      <c r="AJQ48" s="28"/>
      <c r="AJR48" s="28"/>
      <c r="AJS48" s="28"/>
      <c r="AJT48" s="28"/>
      <c r="AJU48" s="28"/>
      <c r="AJV48" s="28"/>
      <c r="AJW48" s="28"/>
      <c r="AJX48" s="28"/>
      <c r="AJY48" s="28"/>
      <c r="AJZ48" s="28"/>
      <c r="AKA48" s="28"/>
      <c r="AKB48" s="28"/>
      <c r="AKC48" s="28"/>
      <c r="AKD48" s="28"/>
      <c r="AKE48" s="28"/>
      <c r="AKF48" s="28"/>
      <c r="AKG48" s="28"/>
      <c r="AKH48" s="28"/>
      <c r="AKI48" s="28"/>
      <c r="AKJ48" s="28"/>
      <c r="AKK48" s="28"/>
      <c r="AKL48" s="28"/>
      <c r="AKM48" s="28"/>
      <c r="AKN48" s="28"/>
      <c r="AKO48" s="28"/>
      <c r="AKP48" s="28"/>
      <c r="AKQ48" s="28"/>
      <c r="AKR48" s="28"/>
      <c r="AKS48" s="28"/>
      <c r="AKT48" s="28"/>
      <c r="AKU48" s="28"/>
      <c r="AKV48" s="28"/>
      <c r="AKW48" s="28"/>
      <c r="AKX48" s="28"/>
      <c r="AKY48" s="28"/>
      <c r="AKZ48" s="28"/>
      <c r="ALA48" s="28"/>
      <c r="ALB48" s="28"/>
      <c r="ALC48" s="28"/>
      <c r="ALD48" s="28"/>
      <c r="ALE48" s="28"/>
      <c r="ALF48" s="28"/>
      <c r="ALG48" s="28"/>
      <c r="ALH48" s="28"/>
      <c r="ALI48" s="28"/>
      <c r="ALJ48" s="28"/>
      <c r="ALK48" s="28"/>
      <c r="ALL48" s="28"/>
      <c r="ALM48" s="28"/>
      <c r="ALN48" s="28"/>
      <c r="ALO48" s="28"/>
      <c r="ALP48" s="28"/>
      <c r="ALQ48" s="28"/>
      <c r="ALR48" s="28"/>
      <c r="ALS48" s="28"/>
      <c r="ALT48" s="28"/>
      <c r="ALU48" s="28"/>
      <c r="ALV48" s="28"/>
      <c r="ALW48" s="28"/>
      <c r="ALX48" s="28"/>
      <c r="ALY48" s="28"/>
      <c r="ALZ48" s="28"/>
      <c r="AMA48" s="28"/>
      <c r="AMB48" s="28"/>
      <c r="AMC48" s="28"/>
      <c r="AMD48" s="28"/>
      <c r="AME48" s="28"/>
      <c r="AMF48" s="28"/>
      <c r="AMG48" s="28"/>
      <c r="AMH48" s="28"/>
      <c r="AMI48" s="28"/>
      <c r="AMJ48" s="28"/>
    </row>
    <row r="49" spans="1:1024" s="29" customFormat="1" ht="15.75" customHeight="1" x14ac:dyDescent="0.3">
      <c r="A49" s="613"/>
      <c r="B49" s="601" t="s">
        <v>297</v>
      </c>
      <c r="C49" s="635"/>
      <c r="D49" s="636"/>
      <c r="E49" s="636"/>
      <c r="F49" s="635"/>
      <c r="G49" s="453" t="s">
        <v>298</v>
      </c>
      <c r="H49" s="453" t="s">
        <v>298</v>
      </c>
      <c r="I49" s="461"/>
      <c r="J49" s="30"/>
      <c r="K49" s="28"/>
      <c r="L49" s="28"/>
      <c r="M49" s="28"/>
      <c r="N49" s="28"/>
      <c r="O49" s="28"/>
      <c r="P49" s="28"/>
      <c r="Q49" s="28"/>
      <c r="R49" s="28"/>
      <c r="S49" s="28"/>
      <c r="T49" s="28"/>
      <c r="U49" s="28"/>
      <c r="V49" s="28"/>
      <c r="W49" s="28"/>
      <c r="X49" s="28"/>
      <c r="Y49" s="28"/>
      <c r="Z49" s="28"/>
      <c r="AA49" s="28"/>
      <c r="AB49" s="28"/>
      <c r="AC49" s="28"/>
      <c r="AD49" s="28"/>
      <c r="AE49" s="28"/>
      <c r="AF49" s="28"/>
      <c r="AG49" s="28"/>
      <c r="AH49" s="28"/>
      <c r="AI49" s="28"/>
      <c r="AJ49" s="28"/>
      <c r="AK49" s="28"/>
      <c r="AL49" s="28"/>
      <c r="AM49" s="28"/>
      <c r="AN49" s="28"/>
      <c r="AO49" s="28"/>
      <c r="AP49" s="28"/>
      <c r="AQ49" s="28"/>
      <c r="AR49" s="28"/>
      <c r="AS49" s="28"/>
      <c r="AT49" s="28"/>
      <c r="AU49" s="28"/>
      <c r="AV49" s="28"/>
      <c r="AW49" s="28"/>
      <c r="AX49" s="28"/>
      <c r="AY49" s="28"/>
      <c r="AZ49" s="28"/>
      <c r="BA49" s="28"/>
      <c r="BB49" s="28"/>
      <c r="BC49" s="28"/>
      <c r="BD49" s="28"/>
      <c r="BE49" s="28"/>
      <c r="BF49" s="28"/>
      <c r="BG49" s="28"/>
      <c r="BH49" s="28"/>
      <c r="BI49" s="28"/>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AIQ49" s="28"/>
      <c r="AIR49" s="28"/>
      <c r="AIS49" s="28"/>
      <c r="AIT49" s="28"/>
      <c r="AIU49" s="28"/>
      <c r="AIV49" s="28"/>
      <c r="AIW49" s="28"/>
      <c r="AIX49" s="28"/>
      <c r="AIY49" s="28"/>
      <c r="AIZ49" s="28"/>
      <c r="AJA49" s="28"/>
      <c r="AJB49" s="28"/>
      <c r="AJC49" s="28"/>
      <c r="AJD49" s="28"/>
      <c r="AJE49" s="28"/>
      <c r="AJF49" s="28"/>
      <c r="AJG49" s="28"/>
      <c r="AJH49" s="28"/>
      <c r="AJI49" s="28"/>
      <c r="AJJ49" s="28"/>
      <c r="AJK49" s="28"/>
      <c r="AJL49" s="28"/>
      <c r="AJM49" s="28"/>
      <c r="AJN49" s="28"/>
      <c r="AJO49" s="28"/>
      <c r="AJP49" s="28"/>
      <c r="AJQ49" s="28"/>
      <c r="AJR49" s="28"/>
      <c r="AJS49" s="28"/>
      <c r="AJT49" s="28"/>
      <c r="AJU49" s="28"/>
      <c r="AJV49" s="28"/>
      <c r="AJW49" s="28"/>
      <c r="AJX49" s="28"/>
      <c r="AJY49" s="28"/>
      <c r="AJZ49" s="28"/>
      <c r="AKA49" s="28"/>
      <c r="AKB49" s="28"/>
      <c r="AKC49" s="28"/>
      <c r="AKD49" s="28"/>
      <c r="AKE49" s="28"/>
      <c r="AKF49" s="28"/>
      <c r="AKG49" s="28"/>
      <c r="AKH49" s="28"/>
      <c r="AKI49" s="28"/>
      <c r="AKJ49" s="28"/>
      <c r="AKK49" s="28"/>
      <c r="AKL49" s="28"/>
      <c r="AKM49" s="28"/>
      <c r="AKN49" s="28"/>
      <c r="AKO49" s="28"/>
      <c r="AKP49" s="28"/>
      <c r="AKQ49" s="28"/>
      <c r="AKR49" s="28"/>
      <c r="AKS49" s="28"/>
      <c r="AKT49" s="28"/>
      <c r="AKU49" s="28"/>
      <c r="AKV49" s="28"/>
      <c r="AKW49" s="28"/>
      <c r="AKX49" s="28"/>
      <c r="AKY49" s="28"/>
      <c r="AKZ49" s="28"/>
      <c r="ALA49" s="28"/>
      <c r="ALB49" s="28"/>
      <c r="ALC49" s="28"/>
      <c r="ALD49" s="28"/>
      <c r="ALE49" s="28"/>
      <c r="ALF49" s="28"/>
      <c r="ALG49" s="28"/>
      <c r="ALH49" s="28"/>
      <c r="ALI49" s="28"/>
      <c r="ALJ49" s="28"/>
      <c r="ALK49" s="28"/>
      <c r="ALL49" s="28"/>
      <c r="ALM49" s="28"/>
      <c r="ALN49" s="28"/>
      <c r="ALO49" s="28"/>
      <c r="ALP49" s="28"/>
      <c r="ALQ49" s="28"/>
      <c r="ALR49" s="28"/>
      <c r="ALS49" s="28"/>
      <c r="ALT49" s="28"/>
      <c r="ALU49" s="28"/>
      <c r="ALV49" s="28"/>
      <c r="ALW49" s="28"/>
      <c r="ALX49" s="28"/>
      <c r="ALY49" s="28"/>
      <c r="ALZ49" s="28"/>
      <c r="AMA49" s="28"/>
      <c r="AMB49" s="28"/>
      <c r="AMC49" s="28"/>
      <c r="AMD49" s="28"/>
      <c r="AME49" s="28"/>
      <c r="AMF49" s="28"/>
      <c r="AMG49" s="28"/>
      <c r="AMH49" s="28"/>
      <c r="AMI49" s="28"/>
      <c r="AMJ49" s="28"/>
    </row>
    <row r="50" spans="1:1024" s="29" customFormat="1" ht="15.75" customHeight="1" x14ac:dyDescent="0.3">
      <c r="A50" s="613"/>
      <c r="B50" s="601" t="s">
        <v>299</v>
      </c>
      <c r="C50" s="635"/>
      <c r="D50" s="636"/>
      <c r="E50" s="636"/>
      <c r="F50" s="635"/>
      <c r="G50" s="453" t="s">
        <v>234</v>
      </c>
      <c r="H50" s="453" t="s">
        <v>234</v>
      </c>
      <c r="I50" s="461"/>
      <c r="J50" s="30"/>
      <c r="K50" s="28"/>
      <c r="L50" s="28"/>
      <c r="M50" s="28"/>
      <c r="N50" s="28"/>
      <c r="O50" s="28"/>
      <c r="P50" s="28"/>
      <c r="Q50" s="28"/>
      <c r="R50" s="28"/>
      <c r="S50" s="28"/>
      <c r="T50" s="28"/>
      <c r="U50" s="28"/>
      <c r="V50" s="28"/>
      <c r="W50" s="28"/>
      <c r="X50" s="28"/>
      <c r="Y50" s="28"/>
      <c r="Z50" s="28"/>
      <c r="AA50" s="28"/>
      <c r="AB50" s="28"/>
      <c r="AC50" s="28"/>
      <c r="AD50" s="28"/>
      <c r="AE50" s="28"/>
      <c r="AF50" s="28"/>
      <c r="AG50" s="28"/>
      <c r="AH50" s="28"/>
      <c r="AI50" s="28"/>
      <c r="AJ50" s="28"/>
      <c r="AK50" s="28"/>
      <c r="AL50" s="28"/>
      <c r="AM50" s="28"/>
      <c r="AN50" s="28"/>
      <c r="AO50" s="28"/>
      <c r="AP50" s="28"/>
      <c r="AQ50" s="28"/>
      <c r="AR50" s="28"/>
      <c r="AS50" s="28"/>
      <c r="AT50" s="28"/>
      <c r="AU50" s="28"/>
      <c r="AV50" s="28"/>
      <c r="AW50" s="28"/>
      <c r="AX50" s="28"/>
      <c r="AY50" s="28"/>
      <c r="AZ50" s="28"/>
      <c r="BA50" s="28"/>
      <c r="BB50" s="28"/>
      <c r="BC50" s="28"/>
      <c r="BD50" s="28"/>
      <c r="BE50" s="28"/>
      <c r="BF50" s="28"/>
      <c r="BG50" s="28"/>
      <c r="BH50" s="28"/>
      <c r="BI50" s="28"/>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AIQ50" s="28"/>
      <c r="AIR50" s="28"/>
      <c r="AIS50" s="28"/>
      <c r="AIT50" s="28"/>
      <c r="AIU50" s="28"/>
      <c r="AIV50" s="28"/>
      <c r="AIW50" s="28"/>
      <c r="AIX50" s="28"/>
      <c r="AIY50" s="28"/>
      <c r="AIZ50" s="28"/>
      <c r="AJA50" s="28"/>
      <c r="AJB50" s="28"/>
      <c r="AJC50" s="28"/>
      <c r="AJD50" s="28"/>
      <c r="AJE50" s="28"/>
      <c r="AJF50" s="28"/>
      <c r="AJG50" s="28"/>
      <c r="AJH50" s="28"/>
      <c r="AJI50" s="28"/>
      <c r="AJJ50" s="28"/>
      <c r="AJK50" s="28"/>
      <c r="AJL50" s="28"/>
      <c r="AJM50" s="28"/>
      <c r="AJN50" s="28"/>
      <c r="AJO50" s="28"/>
      <c r="AJP50" s="28"/>
      <c r="AJQ50" s="28"/>
      <c r="AJR50" s="28"/>
      <c r="AJS50" s="28"/>
      <c r="AJT50" s="28"/>
      <c r="AJU50" s="28"/>
      <c r="AJV50" s="28"/>
      <c r="AJW50" s="28"/>
      <c r="AJX50" s="28"/>
      <c r="AJY50" s="28"/>
      <c r="AJZ50" s="28"/>
      <c r="AKA50" s="28"/>
      <c r="AKB50" s="28"/>
      <c r="AKC50" s="28"/>
      <c r="AKD50" s="28"/>
      <c r="AKE50" s="28"/>
      <c r="AKF50" s="28"/>
      <c r="AKG50" s="28"/>
      <c r="AKH50" s="28"/>
      <c r="AKI50" s="28"/>
      <c r="AKJ50" s="28"/>
      <c r="AKK50" s="28"/>
      <c r="AKL50" s="28"/>
      <c r="AKM50" s="28"/>
      <c r="AKN50" s="28"/>
      <c r="AKO50" s="28"/>
      <c r="AKP50" s="28"/>
      <c r="AKQ50" s="28"/>
      <c r="AKR50" s="28"/>
      <c r="AKS50" s="28"/>
      <c r="AKT50" s="28"/>
      <c r="AKU50" s="28"/>
      <c r="AKV50" s="28"/>
      <c r="AKW50" s="28"/>
      <c r="AKX50" s="28"/>
      <c r="AKY50" s="28"/>
      <c r="AKZ50" s="28"/>
      <c r="ALA50" s="28"/>
      <c r="ALB50" s="28"/>
      <c r="ALC50" s="28"/>
      <c r="ALD50" s="28"/>
      <c r="ALE50" s="28"/>
      <c r="ALF50" s="28"/>
      <c r="ALG50" s="28"/>
      <c r="ALH50" s="28"/>
      <c r="ALI50" s="28"/>
      <c r="ALJ50" s="28"/>
      <c r="ALK50" s="28"/>
      <c r="ALL50" s="28"/>
      <c r="ALM50" s="28"/>
      <c r="ALN50" s="28"/>
      <c r="ALO50" s="28"/>
      <c r="ALP50" s="28"/>
      <c r="ALQ50" s="28"/>
      <c r="ALR50" s="28"/>
      <c r="ALS50" s="28"/>
      <c r="ALT50" s="28"/>
      <c r="ALU50" s="28"/>
      <c r="ALV50" s="28"/>
      <c r="ALW50" s="28"/>
      <c r="ALX50" s="28"/>
      <c r="ALY50" s="28"/>
      <c r="ALZ50" s="28"/>
      <c r="AMA50" s="28"/>
      <c r="AMB50" s="28"/>
      <c r="AMC50" s="28"/>
      <c r="AMD50" s="28"/>
      <c r="AME50" s="28"/>
      <c r="AMF50" s="28"/>
      <c r="AMG50" s="28"/>
      <c r="AMH50" s="28"/>
      <c r="AMI50" s="28"/>
      <c r="AMJ50" s="28"/>
    </row>
    <row r="51" spans="1:1024" s="29" customFormat="1" ht="15.75" customHeight="1" x14ac:dyDescent="0.3">
      <c r="A51" s="593" t="s">
        <v>300</v>
      </c>
      <c r="B51" s="594" t="s">
        <v>301</v>
      </c>
      <c r="C51" s="638"/>
      <c r="D51" s="605"/>
      <c r="E51" s="605"/>
      <c r="F51" s="639"/>
      <c r="G51" s="640"/>
      <c r="H51" s="640"/>
      <c r="I51" s="608"/>
      <c r="J51" s="30"/>
      <c r="K51" s="28"/>
      <c r="L51" s="28"/>
      <c r="M51" s="28"/>
      <c r="N51" s="28"/>
      <c r="O51" s="28"/>
      <c r="P51" s="28"/>
      <c r="Q51" s="28"/>
      <c r="R51" s="28"/>
      <c r="S51" s="28"/>
      <c r="T51" s="28"/>
      <c r="U51" s="28"/>
      <c r="V51" s="28"/>
      <c r="W51" s="28"/>
      <c r="X51" s="28"/>
      <c r="Y51" s="28"/>
      <c r="Z51" s="28"/>
      <c r="AA51" s="28"/>
      <c r="AB51" s="28"/>
      <c r="AC51" s="28"/>
      <c r="AD51" s="28"/>
      <c r="AE51" s="28"/>
      <c r="AF51" s="28"/>
      <c r="AG51" s="28"/>
      <c r="AH51" s="28"/>
      <c r="AI51" s="28"/>
      <c r="AJ51" s="28"/>
      <c r="AK51" s="28"/>
      <c r="AL51" s="28"/>
      <c r="AM51" s="28"/>
      <c r="AN51" s="28"/>
      <c r="AO51" s="28"/>
      <c r="AP51" s="28"/>
      <c r="AQ51" s="28"/>
      <c r="AR51" s="28"/>
      <c r="AS51" s="28"/>
      <c r="AT51" s="28"/>
      <c r="AU51" s="28"/>
      <c r="AV51" s="28"/>
      <c r="AW51" s="28"/>
      <c r="AX51" s="28"/>
      <c r="AY51" s="28"/>
      <c r="AZ51" s="28"/>
      <c r="BA51" s="28"/>
      <c r="BB51" s="28"/>
      <c r="BC51" s="28"/>
      <c r="BD51" s="28"/>
      <c r="BE51" s="28"/>
      <c r="BF51" s="28"/>
      <c r="BG51" s="28"/>
      <c r="BH51" s="28"/>
      <c r="BI51" s="28"/>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AIQ51" s="28"/>
      <c r="AIR51" s="28"/>
      <c r="AIS51" s="28"/>
      <c r="AIT51" s="28"/>
      <c r="AIU51" s="28"/>
      <c r="AIV51" s="28"/>
      <c r="AIW51" s="28"/>
      <c r="AIX51" s="28"/>
      <c r="AIY51" s="28"/>
      <c r="AIZ51" s="28"/>
      <c r="AJA51" s="28"/>
      <c r="AJB51" s="28"/>
      <c r="AJC51" s="28"/>
      <c r="AJD51" s="28"/>
      <c r="AJE51" s="28"/>
      <c r="AJF51" s="28"/>
      <c r="AJG51" s="28"/>
      <c r="AJH51" s="28"/>
      <c r="AJI51" s="28"/>
      <c r="AJJ51" s="28"/>
      <c r="AJK51" s="28"/>
      <c r="AJL51" s="28"/>
      <c r="AJM51" s="28"/>
      <c r="AJN51" s="28"/>
      <c r="AJO51" s="28"/>
      <c r="AJP51" s="28"/>
      <c r="AJQ51" s="28"/>
      <c r="AJR51" s="28"/>
      <c r="AJS51" s="28"/>
      <c r="AJT51" s="28"/>
      <c r="AJU51" s="28"/>
      <c r="AJV51" s="28"/>
      <c r="AJW51" s="28"/>
      <c r="AJX51" s="28"/>
      <c r="AJY51" s="28"/>
      <c r="AJZ51" s="28"/>
      <c r="AKA51" s="28"/>
      <c r="AKB51" s="28"/>
      <c r="AKC51" s="28"/>
      <c r="AKD51" s="28"/>
      <c r="AKE51" s="28"/>
      <c r="AKF51" s="28"/>
      <c r="AKG51" s="28"/>
      <c r="AKH51" s="28"/>
      <c r="AKI51" s="28"/>
      <c r="AKJ51" s="28"/>
      <c r="AKK51" s="28"/>
      <c r="AKL51" s="28"/>
      <c r="AKM51" s="28"/>
      <c r="AKN51" s="28"/>
      <c r="AKO51" s="28"/>
      <c r="AKP51" s="28"/>
      <c r="AKQ51" s="28"/>
      <c r="AKR51" s="28"/>
      <c r="AKS51" s="28"/>
      <c r="AKT51" s="28"/>
      <c r="AKU51" s="28"/>
      <c r="AKV51" s="28"/>
      <c r="AKW51" s="28"/>
      <c r="AKX51" s="28"/>
      <c r="AKY51" s="28"/>
      <c r="AKZ51" s="28"/>
      <c r="ALA51" s="28"/>
      <c r="ALB51" s="28"/>
      <c r="ALC51" s="28"/>
      <c r="ALD51" s="28"/>
      <c r="ALE51" s="28"/>
      <c r="ALF51" s="28"/>
      <c r="ALG51" s="28"/>
      <c r="ALH51" s="28"/>
      <c r="ALI51" s="28"/>
      <c r="ALJ51" s="28"/>
      <c r="ALK51" s="28"/>
      <c r="ALL51" s="28"/>
      <c r="ALM51" s="28"/>
      <c r="ALN51" s="28"/>
      <c r="ALO51" s="28"/>
      <c r="ALP51" s="28"/>
      <c r="ALQ51" s="28"/>
      <c r="ALR51" s="28"/>
      <c r="ALS51" s="28"/>
      <c r="ALT51" s="28"/>
      <c r="ALU51" s="28"/>
      <c r="ALV51" s="28"/>
      <c r="ALW51" s="28"/>
      <c r="ALX51" s="28"/>
      <c r="ALY51" s="28"/>
      <c r="ALZ51" s="28"/>
      <c r="AMA51" s="28"/>
      <c r="AMB51" s="28"/>
      <c r="AMC51" s="28"/>
      <c r="AMD51" s="28"/>
      <c r="AME51" s="28"/>
      <c r="AMF51" s="28"/>
      <c r="AMG51" s="28"/>
      <c r="AMH51" s="28"/>
      <c r="AMI51" s="28"/>
      <c r="AMJ51" s="28"/>
    </row>
    <row r="52" spans="1:1024" s="36" customFormat="1" ht="15.75" customHeight="1" x14ac:dyDescent="0.3">
      <c r="A52" s="613" t="s">
        <v>222</v>
      </c>
      <c r="B52" s="601" t="s">
        <v>302</v>
      </c>
      <c r="C52" s="641"/>
      <c r="D52" s="615"/>
      <c r="E52" s="615"/>
      <c r="F52" s="642"/>
      <c r="G52" s="643" t="s">
        <v>303</v>
      </c>
      <c r="H52" s="643" t="s">
        <v>259</v>
      </c>
      <c r="I52" s="611"/>
      <c r="J52" s="30"/>
      <c r="K52" s="28"/>
      <c r="L52" s="28"/>
      <c r="M52" s="28"/>
      <c r="N52" s="28"/>
      <c r="O52" s="28"/>
      <c r="P52" s="28"/>
      <c r="Q52" s="28"/>
      <c r="R52" s="28"/>
      <c r="S52" s="28"/>
      <c r="T52" s="28"/>
      <c r="U52" s="28"/>
      <c r="V52" s="28"/>
      <c r="W52" s="28"/>
      <c r="X52" s="28"/>
      <c r="Y52" s="28"/>
      <c r="Z52" s="28"/>
      <c r="AA52" s="28"/>
      <c r="AB52" s="28"/>
      <c r="AC52" s="28"/>
      <c r="AD52" s="28"/>
      <c r="AE52" s="28"/>
      <c r="AF52" s="28"/>
      <c r="AG52" s="28"/>
      <c r="AH52" s="28"/>
      <c r="AI52" s="28"/>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c r="BJ52" s="35"/>
      <c r="BK52" s="35"/>
      <c r="BL52" s="35"/>
      <c r="BM52" s="35"/>
      <c r="BN52" s="35"/>
      <c r="BO52" s="35"/>
      <c r="BP52" s="35"/>
      <c r="BQ52" s="35"/>
      <c r="BR52" s="35"/>
      <c r="BS52" s="35"/>
      <c r="BT52" s="35"/>
      <c r="BU52" s="35"/>
      <c r="BV52" s="35"/>
      <c r="BW52" s="35"/>
      <c r="BX52" s="35"/>
      <c r="BY52" s="35"/>
      <c r="BZ52" s="35"/>
      <c r="CA52" s="35"/>
      <c r="CB52" s="35"/>
      <c r="CC52" s="35"/>
      <c r="CD52" s="35"/>
      <c r="CE52" s="35"/>
      <c r="CF52" s="35"/>
      <c r="CG52" s="35"/>
      <c r="CH52" s="35"/>
      <c r="CI52" s="35"/>
      <c r="CJ52" s="35"/>
      <c r="CK52" s="35"/>
      <c r="CL52" s="35"/>
      <c r="CM52" s="35"/>
      <c r="CN52" s="35"/>
      <c r="CO52" s="35"/>
      <c r="CP52" s="35"/>
      <c r="CQ52" s="35"/>
      <c r="CR52" s="35"/>
      <c r="CS52" s="35"/>
      <c r="CT52" s="35"/>
      <c r="CU52" s="35"/>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c r="EF52" s="35"/>
      <c r="EG52" s="35"/>
      <c r="EH52" s="35"/>
      <c r="EI52" s="35"/>
      <c r="EJ52" s="35"/>
      <c r="EK52" s="35"/>
      <c r="EL52" s="35"/>
      <c r="EM52" s="35"/>
      <c r="EN52" s="35"/>
      <c r="EO52" s="35"/>
      <c r="EP52" s="35"/>
      <c r="EQ52" s="35"/>
      <c r="ER52" s="35"/>
      <c r="ES52" s="35"/>
      <c r="ET52" s="35"/>
      <c r="EU52" s="35"/>
      <c r="EV52" s="35"/>
      <c r="EW52" s="35"/>
      <c r="EX52" s="35"/>
      <c r="EY52" s="35"/>
      <c r="EZ52" s="35"/>
      <c r="FA52" s="35"/>
    </row>
    <row r="53" spans="1:1024" s="29" customFormat="1" ht="15.75" customHeight="1" x14ac:dyDescent="0.3">
      <c r="A53" s="593" t="s">
        <v>304</v>
      </c>
      <c r="B53" s="594" t="s">
        <v>305</v>
      </c>
      <c r="C53" s="638"/>
      <c r="D53" s="605"/>
      <c r="E53" s="605"/>
      <c r="F53" s="639"/>
      <c r="G53" s="640"/>
      <c r="H53" s="640"/>
      <c r="I53" s="608"/>
      <c r="J53" s="30"/>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c r="AJ53" s="28"/>
      <c r="AK53" s="28"/>
      <c r="AL53" s="28"/>
      <c r="AM53" s="28"/>
      <c r="AN53" s="28"/>
      <c r="AO53" s="28"/>
      <c r="AP53" s="28"/>
      <c r="AQ53" s="28"/>
      <c r="AR53" s="28"/>
      <c r="AS53" s="28"/>
      <c r="AT53" s="28"/>
      <c r="AU53" s="28"/>
      <c r="AV53" s="28"/>
      <c r="AW53" s="28"/>
      <c r="AX53" s="28"/>
      <c r="AY53" s="28"/>
      <c r="AZ53" s="28"/>
      <c r="BA53" s="28"/>
      <c r="BB53" s="28"/>
      <c r="BC53" s="28"/>
      <c r="BD53" s="28"/>
      <c r="BE53" s="28"/>
      <c r="BF53" s="28"/>
      <c r="BG53" s="28"/>
      <c r="BH53" s="28"/>
      <c r="BI53" s="28"/>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AIQ53" s="28"/>
      <c r="AIR53" s="28"/>
      <c r="AIS53" s="28"/>
      <c r="AIT53" s="28"/>
      <c r="AIU53" s="28"/>
      <c r="AIV53" s="28"/>
      <c r="AIW53" s="28"/>
      <c r="AIX53" s="28"/>
      <c r="AIY53" s="28"/>
      <c r="AIZ53" s="28"/>
      <c r="AJA53" s="28"/>
      <c r="AJB53" s="28"/>
      <c r="AJC53" s="28"/>
      <c r="AJD53" s="28"/>
      <c r="AJE53" s="28"/>
      <c r="AJF53" s="28"/>
      <c r="AJG53" s="28"/>
      <c r="AJH53" s="28"/>
      <c r="AJI53" s="28"/>
      <c r="AJJ53" s="28"/>
      <c r="AJK53" s="28"/>
      <c r="AJL53" s="28"/>
      <c r="AJM53" s="28"/>
      <c r="AJN53" s="28"/>
      <c r="AJO53" s="28"/>
      <c r="AJP53" s="28"/>
      <c r="AJQ53" s="28"/>
      <c r="AJR53" s="28"/>
      <c r="AJS53" s="28"/>
      <c r="AJT53" s="28"/>
      <c r="AJU53" s="28"/>
      <c r="AJV53" s="28"/>
      <c r="AJW53" s="28"/>
      <c r="AJX53" s="28"/>
      <c r="AJY53" s="28"/>
      <c r="AJZ53" s="28"/>
      <c r="AKA53" s="28"/>
      <c r="AKB53" s="28"/>
      <c r="AKC53" s="28"/>
      <c r="AKD53" s="28"/>
      <c r="AKE53" s="28"/>
      <c r="AKF53" s="28"/>
      <c r="AKG53" s="28"/>
      <c r="AKH53" s="28"/>
      <c r="AKI53" s="28"/>
      <c r="AKJ53" s="28"/>
      <c r="AKK53" s="28"/>
      <c r="AKL53" s="28"/>
      <c r="AKM53" s="28"/>
      <c r="AKN53" s="28"/>
      <c r="AKO53" s="28"/>
      <c r="AKP53" s="28"/>
      <c r="AKQ53" s="28"/>
      <c r="AKR53" s="28"/>
      <c r="AKS53" s="28"/>
      <c r="AKT53" s="28"/>
      <c r="AKU53" s="28"/>
      <c r="AKV53" s="28"/>
      <c r="AKW53" s="28"/>
      <c r="AKX53" s="28"/>
      <c r="AKY53" s="28"/>
      <c r="AKZ53" s="28"/>
      <c r="ALA53" s="28"/>
      <c r="ALB53" s="28"/>
      <c r="ALC53" s="28"/>
      <c r="ALD53" s="28"/>
      <c r="ALE53" s="28"/>
      <c r="ALF53" s="28"/>
      <c r="ALG53" s="28"/>
      <c r="ALH53" s="28"/>
      <c r="ALI53" s="28"/>
      <c r="ALJ53" s="28"/>
      <c r="ALK53" s="28"/>
      <c r="ALL53" s="28"/>
      <c r="ALM53" s="28"/>
      <c r="ALN53" s="28"/>
      <c r="ALO53" s="28"/>
      <c r="ALP53" s="28"/>
      <c r="ALQ53" s="28"/>
      <c r="ALR53" s="28"/>
      <c r="ALS53" s="28"/>
      <c r="ALT53" s="28"/>
      <c r="ALU53" s="28"/>
      <c r="ALV53" s="28"/>
      <c r="ALW53" s="28"/>
      <c r="ALX53" s="28"/>
      <c r="ALY53" s="28"/>
      <c r="ALZ53" s="28"/>
      <c r="AMA53" s="28"/>
      <c r="AMB53" s="28"/>
      <c r="AMC53" s="28"/>
      <c r="AMD53" s="28"/>
      <c r="AME53" s="28"/>
      <c r="AMF53" s="28"/>
      <c r="AMG53" s="28"/>
      <c r="AMH53" s="28"/>
      <c r="AMI53" s="28"/>
      <c r="AMJ53" s="28"/>
    </row>
    <row r="54" spans="1:1024" s="36" customFormat="1" ht="15.75" customHeight="1" x14ac:dyDescent="0.3">
      <c r="A54" s="613" t="s">
        <v>222</v>
      </c>
      <c r="B54" s="644" t="s">
        <v>306</v>
      </c>
      <c r="C54" s="641"/>
      <c r="D54" s="615"/>
      <c r="E54" s="615"/>
      <c r="F54" s="642"/>
      <c r="G54" s="643" t="s">
        <v>282</v>
      </c>
      <c r="H54" s="643" t="s">
        <v>259</v>
      </c>
      <c r="I54" s="611"/>
      <c r="J54" s="30"/>
      <c r="K54" s="28"/>
      <c r="L54" s="28"/>
      <c r="M54" s="28"/>
      <c r="N54" s="28"/>
      <c r="O54" s="28"/>
      <c r="P54" s="28"/>
      <c r="Q54" s="28"/>
      <c r="R54" s="28"/>
      <c r="S54" s="28"/>
      <c r="T54" s="28"/>
      <c r="U54" s="28"/>
      <c r="V54" s="28"/>
      <c r="W54" s="28"/>
      <c r="X54" s="28"/>
      <c r="Y54" s="28"/>
      <c r="Z54" s="28"/>
      <c r="AA54" s="28"/>
      <c r="AB54" s="28"/>
      <c r="AC54" s="28"/>
      <c r="AD54" s="28"/>
      <c r="AE54" s="28"/>
      <c r="AF54" s="28"/>
      <c r="AG54" s="28"/>
      <c r="AH54" s="28"/>
      <c r="AI54" s="28"/>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c r="BJ54" s="35"/>
      <c r="BK54" s="35"/>
      <c r="BL54" s="35"/>
      <c r="BM54" s="35"/>
      <c r="BN54" s="35"/>
      <c r="BO54" s="35"/>
      <c r="BP54" s="35"/>
      <c r="BQ54" s="35"/>
      <c r="BR54" s="35"/>
      <c r="BS54" s="35"/>
      <c r="BT54" s="35"/>
      <c r="BU54" s="35"/>
      <c r="BV54" s="35"/>
      <c r="BW54" s="35"/>
      <c r="BX54" s="35"/>
      <c r="BY54" s="35"/>
      <c r="BZ54" s="35"/>
      <c r="CA54" s="35"/>
      <c r="CB54" s="35"/>
      <c r="CC54" s="35"/>
      <c r="CD54" s="35"/>
      <c r="CE54" s="35"/>
      <c r="CF54" s="35"/>
      <c r="CG54" s="35"/>
      <c r="CH54" s="35"/>
      <c r="CI54" s="35"/>
      <c r="CJ54" s="35"/>
      <c r="CK54" s="35"/>
      <c r="CL54" s="35"/>
      <c r="CM54" s="35"/>
      <c r="CN54" s="35"/>
      <c r="CO54" s="35"/>
      <c r="CP54" s="35"/>
      <c r="CQ54" s="35"/>
      <c r="CR54" s="35"/>
      <c r="CS54" s="35"/>
      <c r="CT54" s="35"/>
      <c r="CU54" s="35"/>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c r="EF54" s="35"/>
      <c r="EG54" s="35"/>
      <c r="EH54" s="35"/>
      <c r="EI54" s="35"/>
      <c r="EJ54" s="35"/>
      <c r="EK54" s="35"/>
      <c r="EL54" s="35"/>
      <c r="EM54" s="35"/>
      <c r="EN54" s="35"/>
      <c r="EO54" s="35"/>
      <c r="EP54" s="35"/>
      <c r="EQ54" s="35"/>
      <c r="ER54" s="35"/>
      <c r="ES54" s="35"/>
      <c r="ET54" s="35"/>
      <c r="EU54" s="35"/>
      <c r="EV54" s="35"/>
      <c r="EW54" s="35"/>
      <c r="EX54" s="35"/>
      <c r="EY54" s="35"/>
      <c r="EZ54" s="35"/>
      <c r="FA54" s="35"/>
    </row>
    <row r="55" spans="1:1024" s="29" customFormat="1" ht="15.75" customHeight="1" x14ac:dyDescent="0.3">
      <c r="A55" s="593" t="s">
        <v>307</v>
      </c>
      <c r="B55" s="594" t="s">
        <v>308</v>
      </c>
      <c r="C55" s="638"/>
      <c r="D55" s="605"/>
      <c r="E55" s="605"/>
      <c r="F55" s="639"/>
      <c r="G55" s="640"/>
      <c r="H55" s="640"/>
      <c r="I55" s="608"/>
      <c r="J55" s="30"/>
      <c r="K55" s="28"/>
      <c r="L55" s="28"/>
      <c r="M55" s="28"/>
      <c r="N55" s="28"/>
      <c r="O55" s="28"/>
      <c r="P55" s="28"/>
      <c r="Q55" s="28"/>
      <c r="R55" s="28"/>
      <c r="S55" s="28"/>
      <c r="T55" s="28"/>
      <c r="U55" s="28"/>
      <c r="V55" s="28"/>
      <c r="W55" s="28"/>
      <c r="X55" s="28"/>
      <c r="Y55" s="28"/>
      <c r="Z55" s="28"/>
      <c r="AA55" s="28"/>
      <c r="AB55" s="28"/>
      <c r="AC55" s="28"/>
      <c r="AD55" s="28"/>
      <c r="AE55" s="28"/>
      <c r="AF55" s="28"/>
      <c r="AG55" s="28"/>
      <c r="AH55" s="28"/>
      <c r="AI55" s="28"/>
      <c r="AJ55" s="28"/>
      <c r="AK55" s="28"/>
      <c r="AL55" s="28"/>
      <c r="AM55" s="28"/>
      <c r="AN55" s="28"/>
      <c r="AO55" s="28"/>
      <c r="AP55" s="28"/>
      <c r="AQ55" s="28"/>
      <c r="AR55" s="28"/>
      <c r="AS55" s="28"/>
      <c r="AT55" s="28"/>
      <c r="AU55" s="28"/>
      <c r="AV55" s="28"/>
      <c r="AW55" s="28"/>
      <c r="AX55" s="28"/>
      <c r="AY55" s="28"/>
      <c r="AZ55" s="28"/>
      <c r="BA55" s="28"/>
      <c r="BB55" s="28"/>
      <c r="BC55" s="28"/>
      <c r="BD55" s="28"/>
      <c r="BE55" s="28"/>
      <c r="BF55" s="28"/>
      <c r="BG55" s="28"/>
      <c r="BH55" s="28"/>
      <c r="BI55" s="28"/>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AIQ55" s="28"/>
      <c r="AIR55" s="28"/>
      <c r="AIS55" s="28"/>
      <c r="AIT55" s="28"/>
      <c r="AIU55" s="28"/>
      <c r="AIV55" s="28"/>
      <c r="AIW55" s="28"/>
      <c r="AIX55" s="28"/>
      <c r="AIY55" s="28"/>
      <c r="AIZ55" s="28"/>
      <c r="AJA55" s="28"/>
      <c r="AJB55" s="28"/>
      <c r="AJC55" s="28"/>
      <c r="AJD55" s="28"/>
      <c r="AJE55" s="28"/>
      <c r="AJF55" s="28"/>
      <c r="AJG55" s="28"/>
      <c r="AJH55" s="28"/>
      <c r="AJI55" s="28"/>
      <c r="AJJ55" s="28"/>
      <c r="AJK55" s="28"/>
      <c r="AJL55" s="28"/>
      <c r="AJM55" s="28"/>
      <c r="AJN55" s="28"/>
      <c r="AJO55" s="28"/>
      <c r="AJP55" s="28"/>
      <c r="AJQ55" s="28"/>
      <c r="AJR55" s="28"/>
      <c r="AJS55" s="28"/>
      <c r="AJT55" s="28"/>
      <c r="AJU55" s="28"/>
      <c r="AJV55" s="28"/>
      <c r="AJW55" s="28"/>
      <c r="AJX55" s="28"/>
      <c r="AJY55" s="28"/>
      <c r="AJZ55" s="28"/>
      <c r="AKA55" s="28"/>
      <c r="AKB55" s="28"/>
      <c r="AKC55" s="28"/>
      <c r="AKD55" s="28"/>
      <c r="AKE55" s="28"/>
      <c r="AKF55" s="28"/>
      <c r="AKG55" s="28"/>
      <c r="AKH55" s="28"/>
      <c r="AKI55" s="28"/>
      <c r="AKJ55" s="28"/>
      <c r="AKK55" s="28"/>
      <c r="AKL55" s="28"/>
      <c r="AKM55" s="28"/>
      <c r="AKN55" s="28"/>
      <c r="AKO55" s="28"/>
      <c r="AKP55" s="28"/>
      <c r="AKQ55" s="28"/>
      <c r="AKR55" s="28"/>
      <c r="AKS55" s="28"/>
      <c r="AKT55" s="28"/>
      <c r="AKU55" s="28"/>
      <c r="AKV55" s="28"/>
      <c r="AKW55" s="28"/>
      <c r="AKX55" s="28"/>
      <c r="AKY55" s="28"/>
      <c r="AKZ55" s="28"/>
      <c r="ALA55" s="28"/>
      <c r="ALB55" s="28"/>
      <c r="ALC55" s="28"/>
      <c r="ALD55" s="28"/>
      <c r="ALE55" s="28"/>
      <c r="ALF55" s="28"/>
      <c r="ALG55" s="28"/>
      <c r="ALH55" s="28"/>
      <c r="ALI55" s="28"/>
      <c r="ALJ55" s="28"/>
      <c r="ALK55" s="28"/>
      <c r="ALL55" s="28"/>
      <c r="ALM55" s="28"/>
      <c r="ALN55" s="28"/>
      <c r="ALO55" s="28"/>
      <c r="ALP55" s="28"/>
      <c r="ALQ55" s="28"/>
      <c r="ALR55" s="28"/>
      <c r="ALS55" s="28"/>
      <c r="ALT55" s="28"/>
      <c r="ALU55" s="28"/>
      <c r="ALV55" s="28"/>
      <c r="ALW55" s="28"/>
      <c r="ALX55" s="28"/>
      <c r="ALY55" s="28"/>
      <c r="ALZ55" s="28"/>
      <c r="AMA55" s="28"/>
      <c r="AMB55" s="28"/>
      <c r="AMC55" s="28"/>
      <c r="AMD55" s="28"/>
      <c r="AME55" s="28"/>
      <c r="AMF55" s="28"/>
      <c r="AMG55" s="28"/>
      <c r="AMH55" s="28"/>
      <c r="AMI55" s="28"/>
      <c r="AMJ55" s="28"/>
    </row>
    <row r="56" spans="1:1024" s="37" customFormat="1" ht="15.75" customHeight="1" x14ac:dyDescent="0.35">
      <c r="A56" s="600"/>
      <c r="B56" s="644" t="s">
        <v>309</v>
      </c>
      <c r="C56" s="645"/>
      <c r="D56" s="646"/>
      <c r="E56" s="645"/>
      <c r="F56" s="646"/>
      <c r="G56" s="453" t="s">
        <v>234</v>
      </c>
      <c r="H56" s="643" t="s">
        <v>259</v>
      </c>
      <c r="I56" s="645"/>
      <c r="J56" s="38"/>
      <c r="K56" s="38"/>
      <c r="L56" s="39"/>
      <c r="M56" s="38"/>
      <c r="N56" s="39"/>
      <c r="O56" s="38"/>
      <c r="P56" s="39"/>
      <c r="Q56" s="38"/>
      <c r="R56" s="39"/>
      <c r="S56" s="38"/>
      <c r="T56" s="39"/>
      <c r="U56" s="38"/>
      <c r="V56" s="39"/>
      <c r="W56" s="38"/>
      <c r="X56" s="39"/>
      <c r="Y56" s="38"/>
      <c r="Z56" s="39"/>
      <c r="AA56" s="38"/>
      <c r="AB56" s="39"/>
      <c r="AC56" s="38"/>
      <c r="AD56" s="39"/>
      <c r="AE56" s="38"/>
      <c r="AF56" s="39"/>
      <c r="AG56" s="38"/>
      <c r="AH56" s="39"/>
      <c r="AI56" s="38"/>
      <c r="AJ56" s="39"/>
      <c r="AK56" s="40"/>
      <c r="AL56" s="39"/>
      <c r="AM56" s="40"/>
      <c r="AN56" s="39"/>
      <c r="AO56" s="40"/>
      <c r="AP56" s="39"/>
      <c r="AQ56" s="40"/>
      <c r="AR56" s="39"/>
      <c r="AS56" s="40"/>
      <c r="AT56" s="39"/>
      <c r="AU56" s="40"/>
      <c r="AV56" s="39"/>
      <c r="AW56" s="40"/>
      <c r="AX56" s="39"/>
      <c r="AY56" s="40"/>
      <c r="AZ56" s="39"/>
      <c r="BA56" s="40"/>
      <c r="BB56" s="39"/>
      <c r="BC56" s="40"/>
      <c r="BD56" s="39"/>
      <c r="BE56" s="40"/>
      <c r="BF56" s="39"/>
      <c r="BG56" s="40"/>
      <c r="BH56" s="39"/>
      <c r="BI56" s="40"/>
      <c r="BJ56" s="39"/>
      <c r="BK56" s="40"/>
      <c r="BL56" s="39"/>
      <c r="BM56" s="40"/>
      <c r="BN56" s="39"/>
      <c r="BO56" s="40"/>
      <c r="BP56" s="39"/>
      <c r="BQ56" s="40"/>
      <c r="BR56" s="39"/>
      <c r="BS56" s="40"/>
      <c r="BT56" s="39"/>
      <c r="BU56" s="40"/>
      <c r="BV56" s="39"/>
      <c r="BW56" s="40"/>
      <c r="BX56" s="39"/>
      <c r="BY56" s="40"/>
      <c r="BZ56" s="39"/>
      <c r="CA56" s="40"/>
      <c r="CB56" s="39"/>
      <c r="CC56" s="40"/>
      <c r="CD56" s="39"/>
      <c r="CE56" s="40"/>
      <c r="CF56" s="39"/>
      <c r="CG56" s="40"/>
      <c r="CH56" s="39"/>
      <c r="CI56" s="40"/>
      <c r="CJ56" s="39"/>
      <c r="CK56" s="40"/>
      <c r="CL56" s="39"/>
      <c r="CM56" s="40"/>
      <c r="CN56" s="39"/>
      <c r="CO56" s="40"/>
      <c r="CP56" s="39"/>
      <c r="CQ56" s="40"/>
      <c r="CR56" s="39"/>
      <c r="CS56" s="40"/>
      <c r="CT56" s="39"/>
      <c r="CU56" s="40"/>
      <c r="CV56" s="39"/>
      <c r="CW56" s="40"/>
      <c r="CX56" s="39"/>
      <c r="CY56" s="40"/>
      <c r="CZ56" s="39"/>
      <c r="DA56" s="40"/>
      <c r="DB56" s="39"/>
      <c r="DC56" s="40"/>
      <c r="DD56" s="39"/>
      <c r="DE56" s="40"/>
      <c r="DF56" s="39"/>
      <c r="DG56" s="40"/>
      <c r="DH56" s="39"/>
      <c r="DI56" s="40"/>
      <c r="DJ56" s="39"/>
      <c r="DK56" s="40"/>
      <c r="DL56" s="39"/>
      <c r="DM56" s="40"/>
      <c r="DN56" s="39"/>
      <c r="DO56" s="40"/>
      <c r="DP56" s="39"/>
      <c r="DQ56" s="40"/>
      <c r="DR56" s="39"/>
      <c r="DS56" s="40"/>
      <c r="DT56" s="39"/>
      <c r="DU56" s="40"/>
      <c r="DV56" s="39"/>
      <c r="DW56" s="40"/>
      <c r="DX56" s="39"/>
      <c r="DY56" s="40"/>
      <c r="DZ56" s="39"/>
      <c r="EA56" s="40"/>
      <c r="EB56" s="39"/>
      <c r="EC56" s="40"/>
      <c r="ED56" s="39"/>
      <c r="EE56" s="40"/>
      <c r="EF56" s="39"/>
      <c r="EG56" s="40"/>
      <c r="EH56" s="39"/>
      <c r="EI56" s="40"/>
      <c r="EJ56" s="39"/>
      <c r="EK56" s="40"/>
      <c r="EL56" s="39"/>
      <c r="EM56" s="40"/>
      <c r="EN56" s="39"/>
      <c r="EO56" s="40"/>
      <c r="EP56" s="39"/>
      <c r="EQ56" s="40"/>
      <c r="ER56" s="39"/>
      <c r="ES56" s="40"/>
      <c r="ET56" s="39"/>
      <c r="EU56" s="40"/>
      <c r="EV56" s="39"/>
      <c r="EW56" s="40"/>
      <c r="EX56" s="39"/>
      <c r="EY56" s="40"/>
      <c r="EZ56" s="39"/>
      <c r="FA56" s="40"/>
      <c r="FB56" s="39"/>
      <c r="FC56" s="40"/>
      <c r="FD56" s="39"/>
      <c r="FE56" s="40"/>
      <c r="FF56" s="39"/>
      <c r="FG56" s="40"/>
      <c r="FH56" s="39"/>
      <c r="FI56" s="40"/>
      <c r="FJ56" s="39"/>
      <c r="FK56" s="40"/>
      <c r="FL56" s="39"/>
      <c r="FM56" s="40"/>
      <c r="FN56" s="39"/>
      <c r="FO56" s="40"/>
      <c r="FP56" s="39"/>
      <c r="FQ56" s="40"/>
      <c r="FR56" s="39"/>
      <c r="FS56" s="40"/>
      <c r="FT56" s="39"/>
      <c r="FU56" s="40"/>
      <c r="FV56" s="39"/>
      <c r="FW56" s="40"/>
      <c r="FX56" s="39"/>
      <c r="FY56" s="40"/>
      <c r="FZ56" s="39"/>
      <c r="GA56" s="40"/>
      <c r="GB56" s="39"/>
      <c r="GC56" s="40"/>
      <c r="GD56" s="39"/>
      <c r="GE56" s="40"/>
      <c r="GF56" s="39"/>
      <c r="GG56" s="40"/>
      <c r="GH56" s="39"/>
      <c r="GI56" s="40"/>
      <c r="GJ56" s="39"/>
      <c r="GK56" s="40"/>
      <c r="GL56" s="39"/>
      <c r="GM56" s="40"/>
      <c r="GN56" s="39"/>
      <c r="GO56" s="40"/>
      <c r="GP56" s="39"/>
      <c r="GQ56" s="40"/>
      <c r="GR56" s="39"/>
      <c r="GS56" s="40"/>
      <c r="GT56" s="39"/>
      <c r="GU56" s="40"/>
      <c r="GV56" s="39"/>
      <c r="GW56" s="40"/>
      <c r="GX56" s="39"/>
      <c r="GY56" s="40"/>
      <c r="GZ56" s="39"/>
      <c r="HA56" s="40"/>
      <c r="HB56" s="39"/>
      <c r="HC56" s="40"/>
      <c r="HD56" s="39"/>
      <c r="HE56" s="40"/>
      <c r="HF56" s="39"/>
      <c r="HG56" s="40"/>
      <c r="HH56" s="39"/>
      <c r="HI56" s="40"/>
      <c r="HJ56" s="39"/>
      <c r="HK56" s="40"/>
      <c r="HL56" s="39"/>
      <c r="HM56" s="40"/>
      <c r="HN56" s="39"/>
      <c r="HO56" s="40"/>
      <c r="HP56" s="39"/>
      <c r="HQ56" s="40"/>
      <c r="HR56" s="39"/>
      <c r="HS56" s="40"/>
      <c r="HT56" s="39"/>
      <c r="HU56" s="40"/>
      <c r="HV56" s="39"/>
      <c r="HW56" s="40"/>
      <c r="HX56" s="39"/>
      <c r="HY56" s="40"/>
      <c r="HZ56" s="39"/>
      <c r="IA56" s="40"/>
      <c r="IB56" s="39"/>
      <c r="IC56" s="1068"/>
      <c r="ID56" s="645"/>
      <c r="IE56" s="646"/>
      <c r="IF56" s="645"/>
      <c r="IG56" s="646"/>
      <c r="IH56" s="645"/>
      <c r="II56" s="646"/>
      <c r="IJ56" s="645"/>
      <c r="IK56" s="646"/>
      <c r="IL56" s="645"/>
      <c r="IM56" s="646"/>
      <c r="IN56" s="645"/>
      <c r="IO56" s="646"/>
      <c r="IP56" s="645"/>
      <c r="IQ56" s="646"/>
      <c r="IR56" s="645"/>
      <c r="IS56" s="646"/>
      <c r="IT56" s="645"/>
      <c r="IU56" s="646"/>
      <c r="IV56" s="645"/>
      <c r="IW56" s="646"/>
      <c r="IX56" s="645"/>
      <c r="IY56" s="646"/>
      <c r="IZ56" s="645"/>
      <c r="JA56" s="646"/>
      <c r="JB56" s="645"/>
      <c r="JC56" s="646"/>
      <c r="JD56" s="645"/>
      <c r="JE56" s="646"/>
      <c r="JF56" s="645"/>
      <c r="JG56" s="646"/>
      <c r="JH56" s="645"/>
      <c r="JI56" s="646"/>
      <c r="JJ56" s="645"/>
      <c r="JK56" s="646"/>
      <c r="JL56" s="645"/>
      <c r="JM56" s="646"/>
      <c r="JN56" s="645"/>
      <c r="JO56" s="646"/>
      <c r="JP56" s="645"/>
      <c r="JQ56" s="646"/>
      <c r="JR56" s="645"/>
      <c r="JS56" s="646"/>
      <c r="JT56" s="645"/>
      <c r="JU56" s="646"/>
      <c r="JV56" s="645"/>
      <c r="JW56" s="646"/>
      <c r="JX56" s="645"/>
      <c r="JY56" s="646"/>
      <c r="JZ56" s="645"/>
      <c r="KA56" s="646"/>
      <c r="KB56" s="645"/>
      <c r="KC56" s="646"/>
      <c r="KD56" s="645"/>
      <c r="KE56" s="646"/>
      <c r="KF56" s="645"/>
      <c r="KG56" s="646"/>
      <c r="KH56" s="645"/>
      <c r="KI56" s="646"/>
      <c r="KJ56" s="645"/>
      <c r="KK56" s="646"/>
      <c r="KL56" s="645"/>
      <c r="KM56" s="646"/>
      <c r="KN56" s="645"/>
      <c r="KO56" s="646"/>
      <c r="KP56" s="645"/>
      <c r="KQ56" s="646"/>
      <c r="KR56" s="645"/>
      <c r="KS56" s="646"/>
      <c r="KT56" s="645"/>
      <c r="KU56" s="646"/>
      <c r="KV56" s="645"/>
      <c r="KW56" s="646"/>
      <c r="KX56" s="645"/>
      <c r="KY56" s="646"/>
      <c r="KZ56" s="645"/>
      <c r="LA56" s="646"/>
      <c r="LB56" s="645"/>
      <c r="LC56" s="646"/>
      <c r="LD56" s="645"/>
      <c r="LE56" s="646"/>
      <c r="LF56" s="645"/>
      <c r="LG56" s="646"/>
      <c r="LH56" s="645"/>
      <c r="LI56" s="646"/>
      <c r="LJ56" s="645"/>
      <c r="LK56" s="646"/>
      <c r="LL56" s="645"/>
      <c r="LM56" s="646"/>
      <c r="LN56" s="645"/>
      <c r="LO56" s="646"/>
      <c r="LP56" s="645"/>
      <c r="LQ56" s="646"/>
      <c r="LR56" s="645"/>
      <c r="LS56" s="646"/>
      <c r="LT56" s="645"/>
      <c r="LU56" s="646"/>
      <c r="LV56" s="645"/>
      <c r="LW56" s="646"/>
      <c r="LX56" s="645"/>
      <c r="LY56" s="646"/>
      <c r="LZ56" s="645"/>
      <c r="MA56" s="646"/>
      <c r="MB56" s="645"/>
      <c r="MC56" s="646"/>
      <c r="MD56" s="645"/>
      <c r="ME56" s="646"/>
      <c r="MF56" s="645"/>
      <c r="MG56" s="646"/>
      <c r="MH56" s="645"/>
      <c r="MI56" s="646"/>
      <c r="MJ56" s="645"/>
      <c r="MK56" s="646"/>
      <c r="ML56" s="645"/>
      <c r="MM56" s="646"/>
      <c r="MN56" s="645"/>
      <c r="MO56" s="646"/>
      <c r="MP56" s="645"/>
      <c r="MQ56" s="646"/>
      <c r="MR56" s="645"/>
      <c r="MS56" s="646"/>
      <c r="MT56" s="645"/>
      <c r="MU56" s="646"/>
      <c r="MV56" s="645"/>
      <c r="MW56" s="646"/>
      <c r="MX56" s="645"/>
      <c r="MY56" s="646"/>
      <c r="MZ56" s="645"/>
      <c r="NA56" s="646"/>
      <c r="NB56" s="645"/>
      <c r="NC56" s="646"/>
      <c r="ND56" s="645"/>
      <c r="NE56" s="646"/>
      <c r="NF56" s="645"/>
      <c r="NG56" s="646"/>
      <c r="NH56" s="645"/>
      <c r="NI56" s="646"/>
      <c r="NJ56" s="645"/>
      <c r="NK56" s="646"/>
      <c r="NL56" s="645"/>
      <c r="NM56" s="646"/>
      <c r="NN56" s="645"/>
      <c r="NO56" s="646"/>
      <c r="NP56" s="645"/>
      <c r="NQ56" s="646"/>
      <c r="NR56" s="645"/>
      <c r="NS56" s="646"/>
      <c r="NT56" s="645"/>
      <c r="NU56" s="646"/>
      <c r="NV56" s="645"/>
      <c r="NW56" s="646"/>
      <c r="NX56" s="645"/>
      <c r="NY56" s="646"/>
      <c r="NZ56" s="645"/>
      <c r="OA56" s="646"/>
      <c r="OB56" s="645"/>
      <c r="OC56" s="646"/>
      <c r="OD56" s="645"/>
      <c r="OE56" s="646"/>
      <c r="OF56" s="645"/>
      <c r="OG56" s="646"/>
      <c r="OH56" s="645"/>
      <c r="OI56" s="646"/>
      <c r="OJ56" s="645"/>
      <c r="OK56" s="646"/>
      <c r="OL56" s="645"/>
      <c r="OM56" s="646"/>
      <c r="ON56" s="645"/>
      <c r="OO56" s="646"/>
      <c r="OP56" s="645"/>
      <c r="OQ56" s="646"/>
      <c r="OR56" s="645"/>
      <c r="OS56" s="646"/>
      <c r="OT56" s="645"/>
      <c r="OU56" s="646"/>
      <c r="OV56" s="645"/>
      <c r="OW56" s="646"/>
      <c r="OX56" s="645"/>
      <c r="OY56" s="646"/>
      <c r="OZ56" s="645"/>
      <c r="PA56" s="646"/>
      <c r="PB56" s="645"/>
      <c r="PC56" s="646"/>
      <c r="PD56" s="645"/>
      <c r="PE56" s="646"/>
      <c r="PF56" s="645"/>
      <c r="PG56" s="646"/>
      <c r="PH56" s="645"/>
      <c r="PI56" s="646"/>
      <c r="PJ56" s="645"/>
      <c r="PK56" s="646"/>
      <c r="PL56" s="645"/>
      <c r="PM56" s="646"/>
      <c r="PN56" s="645"/>
      <c r="PO56" s="646"/>
      <c r="PP56" s="645"/>
      <c r="PQ56" s="646"/>
      <c r="PR56" s="645"/>
      <c r="PS56" s="646"/>
      <c r="PT56" s="645"/>
      <c r="PU56" s="646"/>
      <c r="PV56" s="645"/>
      <c r="PW56" s="646"/>
      <c r="PX56" s="645"/>
      <c r="PY56" s="646"/>
      <c r="PZ56" s="645"/>
      <c r="QA56" s="646"/>
      <c r="QB56" s="645"/>
      <c r="QC56" s="646"/>
      <c r="QD56" s="645"/>
      <c r="QE56" s="646"/>
      <c r="QF56" s="645"/>
      <c r="QG56" s="646"/>
      <c r="QH56" s="645"/>
      <c r="QI56" s="646"/>
      <c r="QJ56" s="645"/>
      <c r="QK56" s="646"/>
      <c r="QL56" s="645"/>
      <c r="QM56" s="646"/>
      <c r="QN56" s="645"/>
      <c r="QO56" s="646"/>
      <c r="QP56" s="645"/>
      <c r="QQ56" s="646"/>
      <c r="QR56" s="645"/>
      <c r="QS56" s="646"/>
      <c r="QT56" s="645"/>
      <c r="QU56" s="646"/>
      <c r="QV56" s="645"/>
      <c r="QW56" s="646"/>
      <c r="QX56" s="645"/>
      <c r="QY56" s="646"/>
      <c r="QZ56" s="645"/>
      <c r="RA56" s="646"/>
      <c r="RB56" s="645"/>
      <c r="RC56" s="646"/>
      <c r="RD56" s="645"/>
      <c r="RE56" s="646"/>
      <c r="RF56" s="645"/>
      <c r="RG56" s="646"/>
      <c r="RH56" s="645"/>
      <c r="RI56" s="646"/>
      <c r="RJ56" s="645"/>
      <c r="RK56" s="646"/>
      <c r="RL56" s="645"/>
      <c r="RM56" s="646"/>
      <c r="RN56" s="645"/>
      <c r="RO56" s="646"/>
      <c r="RP56" s="645"/>
      <c r="RQ56" s="646"/>
      <c r="RR56" s="645"/>
      <c r="RS56" s="646"/>
      <c r="RT56" s="645"/>
      <c r="RU56" s="646"/>
      <c r="RV56" s="645"/>
      <c r="RW56" s="646"/>
      <c r="RX56" s="645"/>
      <c r="RY56" s="646"/>
      <c r="RZ56" s="645"/>
      <c r="SA56" s="646"/>
      <c r="SB56" s="645"/>
      <c r="SC56" s="646"/>
      <c r="SD56" s="645"/>
      <c r="SE56" s="646"/>
      <c r="SF56" s="645"/>
      <c r="SG56" s="646"/>
      <c r="SH56" s="645"/>
      <c r="SI56" s="646"/>
      <c r="SJ56" s="645"/>
      <c r="SK56" s="646"/>
      <c r="SL56" s="645"/>
      <c r="SM56" s="646"/>
      <c r="SN56" s="645"/>
      <c r="SO56" s="646"/>
      <c r="SP56" s="645"/>
      <c r="SQ56" s="646"/>
      <c r="SR56" s="645"/>
      <c r="SS56" s="646"/>
      <c r="ST56" s="645"/>
      <c r="SU56" s="646"/>
      <c r="SV56" s="645"/>
      <c r="SW56" s="646"/>
      <c r="SX56" s="645"/>
      <c r="SY56" s="646"/>
      <c r="SZ56" s="645"/>
      <c r="TA56" s="646"/>
      <c r="TB56" s="645"/>
      <c r="TC56" s="646"/>
      <c r="TD56" s="645"/>
      <c r="TE56" s="646"/>
      <c r="TF56" s="645"/>
      <c r="TG56" s="646"/>
      <c r="TH56" s="645"/>
      <c r="TI56" s="646"/>
      <c r="TJ56" s="645"/>
      <c r="TK56" s="646"/>
      <c r="TL56" s="645"/>
      <c r="TM56" s="646"/>
      <c r="TN56" s="645"/>
      <c r="TO56" s="646"/>
      <c r="TP56" s="645"/>
      <c r="TQ56" s="646"/>
      <c r="TR56" s="645"/>
      <c r="TS56" s="646"/>
      <c r="TT56" s="645"/>
      <c r="TU56" s="646"/>
      <c r="TV56" s="645"/>
      <c r="TW56" s="646"/>
      <c r="TX56" s="645"/>
      <c r="TY56" s="646"/>
      <c r="TZ56" s="645"/>
      <c r="UA56" s="646"/>
      <c r="UB56" s="645"/>
      <c r="UC56" s="646"/>
      <c r="UD56" s="645"/>
      <c r="UE56" s="646"/>
      <c r="UF56" s="645"/>
      <c r="UG56" s="646"/>
      <c r="UH56" s="645"/>
      <c r="UI56" s="646"/>
      <c r="UJ56" s="645"/>
      <c r="UK56" s="646"/>
      <c r="UL56" s="645"/>
      <c r="UM56" s="646"/>
      <c r="UN56" s="645"/>
      <c r="UO56" s="646"/>
      <c r="UP56" s="645"/>
      <c r="UQ56" s="646"/>
      <c r="UR56" s="645"/>
      <c r="US56" s="646"/>
      <c r="UT56" s="645"/>
      <c r="UU56" s="646"/>
      <c r="UV56" s="645"/>
      <c r="UW56" s="646"/>
      <c r="UX56" s="645"/>
      <c r="UY56" s="646"/>
      <c r="UZ56" s="645"/>
      <c r="VA56" s="646"/>
      <c r="VB56" s="645"/>
      <c r="VC56" s="646"/>
      <c r="VD56" s="645"/>
      <c r="VE56" s="646"/>
      <c r="VF56" s="645"/>
      <c r="VG56" s="646"/>
      <c r="VH56" s="645"/>
      <c r="VI56" s="646"/>
      <c r="VJ56" s="645"/>
      <c r="VK56" s="646"/>
      <c r="VL56" s="645"/>
      <c r="VM56" s="646"/>
      <c r="VN56" s="645"/>
      <c r="VO56" s="646"/>
      <c r="VP56" s="645"/>
      <c r="VQ56" s="646"/>
      <c r="VR56" s="645"/>
      <c r="VS56" s="646"/>
      <c r="VT56" s="645"/>
      <c r="VU56" s="646"/>
      <c r="VV56" s="645"/>
      <c r="VW56" s="646"/>
      <c r="VX56" s="645"/>
      <c r="VY56" s="646"/>
      <c r="VZ56" s="645"/>
      <c r="WA56" s="646"/>
      <c r="WB56" s="645"/>
      <c r="WC56" s="646"/>
      <c r="WD56" s="645"/>
      <c r="WE56" s="646"/>
      <c r="WF56" s="645"/>
      <c r="WG56" s="646"/>
      <c r="WH56" s="645"/>
      <c r="WI56" s="646"/>
      <c r="WJ56" s="645"/>
      <c r="WK56" s="646"/>
      <c r="WL56" s="645"/>
      <c r="WM56" s="646"/>
      <c r="WN56" s="645"/>
      <c r="WO56" s="646"/>
      <c r="WP56" s="645"/>
      <c r="WQ56" s="646"/>
      <c r="WR56" s="645"/>
      <c r="WS56" s="646"/>
      <c r="WT56" s="645"/>
      <c r="WU56" s="646"/>
      <c r="WV56" s="645"/>
      <c r="WW56" s="646"/>
      <c r="WX56" s="645"/>
      <c r="WY56" s="646"/>
      <c r="WZ56" s="645"/>
      <c r="XA56" s="646"/>
      <c r="XB56" s="645"/>
      <c r="XC56" s="646"/>
      <c r="XD56" s="645"/>
      <c r="XE56" s="646"/>
      <c r="XF56" s="645"/>
      <c r="XG56" s="646"/>
      <c r="XH56" s="645"/>
      <c r="XI56" s="646"/>
      <c r="XJ56" s="645"/>
      <c r="XK56" s="646"/>
      <c r="XL56" s="645"/>
      <c r="XM56" s="646"/>
      <c r="XN56" s="645"/>
      <c r="XO56" s="646"/>
      <c r="XP56" s="645"/>
      <c r="XQ56" s="646"/>
      <c r="XR56" s="645"/>
      <c r="XS56" s="646"/>
      <c r="XT56" s="645"/>
      <c r="XU56" s="646"/>
      <c r="XV56" s="645"/>
      <c r="XW56" s="646"/>
      <c r="XX56" s="645"/>
      <c r="XY56" s="646"/>
      <c r="XZ56" s="645"/>
      <c r="YA56" s="646"/>
      <c r="YB56" s="645"/>
      <c r="YC56" s="646"/>
      <c r="YD56" s="645"/>
      <c r="YE56" s="646"/>
      <c r="YF56" s="645"/>
      <c r="YG56" s="646"/>
      <c r="YH56" s="645"/>
      <c r="YI56" s="646"/>
      <c r="YJ56" s="645"/>
      <c r="YK56" s="646"/>
      <c r="YL56" s="645"/>
      <c r="YM56" s="646"/>
      <c r="YN56" s="645"/>
      <c r="YO56" s="646"/>
      <c r="YP56" s="645"/>
      <c r="YQ56" s="646"/>
      <c r="YR56" s="645"/>
      <c r="YS56" s="646"/>
      <c r="YT56" s="645"/>
      <c r="YU56" s="646"/>
      <c r="YV56" s="645"/>
      <c r="YW56" s="646"/>
      <c r="YX56" s="645"/>
      <c r="YY56" s="646"/>
      <c r="YZ56" s="645"/>
      <c r="ZA56" s="646"/>
      <c r="ZB56" s="645"/>
      <c r="ZC56" s="646"/>
      <c r="ZD56" s="645"/>
      <c r="ZE56" s="646"/>
      <c r="ZF56" s="645"/>
      <c r="ZG56" s="646"/>
      <c r="ZH56" s="645"/>
      <c r="ZI56" s="646"/>
      <c r="ZJ56" s="645"/>
      <c r="ZK56" s="646"/>
      <c r="ZL56" s="645"/>
      <c r="ZM56" s="646"/>
      <c r="ZN56" s="645"/>
      <c r="ZO56" s="646"/>
      <c r="ZP56" s="645"/>
      <c r="ZQ56" s="646"/>
      <c r="ZR56" s="645"/>
      <c r="ZS56" s="646"/>
      <c r="ZT56" s="645"/>
      <c r="ZU56" s="646"/>
      <c r="ZV56" s="645"/>
      <c r="ZW56" s="646"/>
      <c r="ZX56" s="645"/>
      <c r="ZY56" s="646"/>
      <c r="ZZ56" s="645"/>
      <c r="AAA56" s="646"/>
      <c r="AAB56" s="645"/>
      <c r="AAC56" s="646"/>
      <c r="AAD56" s="645"/>
      <c r="AAE56" s="646"/>
      <c r="AAF56" s="645"/>
      <c r="AAG56" s="646"/>
      <c r="AAH56" s="645"/>
      <c r="AAI56" s="646"/>
      <c r="AAJ56" s="645"/>
      <c r="AAK56" s="646"/>
      <c r="AAL56" s="645"/>
      <c r="AAM56" s="646"/>
      <c r="AAN56" s="645"/>
      <c r="AAO56" s="646"/>
      <c r="AAP56" s="645"/>
      <c r="AAQ56" s="646"/>
      <c r="AAR56" s="645"/>
      <c r="AAS56" s="646"/>
      <c r="AAT56" s="645"/>
      <c r="AAU56" s="646"/>
      <c r="AAV56" s="645"/>
      <c r="AAW56" s="646"/>
      <c r="AAX56" s="645"/>
      <c r="AAY56" s="646"/>
      <c r="AAZ56" s="645"/>
      <c r="ABA56" s="646"/>
      <c r="ABB56" s="645"/>
      <c r="ABC56" s="646"/>
      <c r="ABD56" s="645"/>
      <c r="ABE56" s="646"/>
      <c r="ABF56" s="645"/>
      <c r="ABG56" s="646"/>
      <c r="ABH56" s="645"/>
      <c r="ABI56" s="646"/>
      <c r="ABJ56" s="645"/>
      <c r="ABK56" s="646"/>
      <c r="ABL56" s="645"/>
      <c r="ABM56" s="646"/>
      <c r="ABN56" s="645"/>
      <c r="ABO56" s="646"/>
      <c r="ABP56" s="645"/>
      <c r="ABQ56" s="646"/>
      <c r="ABR56" s="645"/>
      <c r="ABS56" s="646"/>
      <c r="ABT56" s="645"/>
      <c r="ABU56" s="646"/>
      <c r="ABV56" s="645"/>
      <c r="ABW56" s="646"/>
      <c r="ABX56" s="645"/>
      <c r="ABY56" s="646"/>
      <c r="ABZ56" s="645"/>
      <c r="ACA56" s="646"/>
      <c r="ACB56" s="645"/>
      <c r="ACC56" s="646"/>
      <c r="ACD56" s="645"/>
      <c r="ACE56" s="646"/>
      <c r="ACF56" s="645"/>
      <c r="ACG56" s="646"/>
      <c r="ACH56" s="645"/>
      <c r="ACI56" s="646"/>
      <c r="ACJ56" s="645"/>
      <c r="ACK56" s="646"/>
      <c r="ACL56" s="645"/>
      <c r="ACM56" s="646"/>
      <c r="ACN56" s="645"/>
      <c r="ACO56" s="646"/>
      <c r="ACP56" s="645"/>
      <c r="ACQ56" s="646"/>
      <c r="ACR56" s="645"/>
      <c r="ACS56" s="646"/>
      <c r="ACT56" s="645"/>
      <c r="ACU56" s="646"/>
      <c r="ACV56" s="645"/>
      <c r="ACW56" s="646"/>
      <c r="ACX56" s="645"/>
      <c r="ACY56" s="646"/>
      <c r="ACZ56" s="645"/>
      <c r="ADA56" s="646"/>
      <c r="ADB56" s="645"/>
      <c r="ADC56" s="646"/>
      <c r="ADD56" s="645"/>
      <c r="ADE56" s="646"/>
      <c r="ADF56" s="645"/>
      <c r="ADG56" s="646"/>
      <c r="ADH56" s="645"/>
      <c r="ADI56" s="646"/>
      <c r="ADJ56" s="645"/>
      <c r="ADK56" s="646"/>
      <c r="ADL56" s="645"/>
      <c r="ADM56" s="646"/>
      <c r="ADN56" s="645"/>
      <c r="ADO56" s="646"/>
      <c r="ADP56" s="645"/>
      <c r="ADQ56" s="646"/>
      <c r="ADR56" s="645"/>
      <c r="ADS56" s="646"/>
      <c r="ADT56" s="645"/>
      <c r="ADU56" s="646"/>
      <c r="ADV56" s="645"/>
      <c r="ADW56" s="646"/>
      <c r="ADX56" s="645"/>
      <c r="ADY56" s="646"/>
      <c r="ADZ56" s="645"/>
      <c r="AEA56" s="646"/>
      <c r="AEB56" s="645"/>
      <c r="AEC56" s="646"/>
      <c r="AED56" s="645"/>
      <c r="AEE56" s="646"/>
      <c r="AEF56" s="645"/>
      <c r="AEG56" s="646"/>
      <c r="AEH56" s="645"/>
      <c r="AEI56" s="646"/>
      <c r="AEJ56" s="645"/>
      <c r="AEK56" s="646"/>
      <c r="AEL56" s="645"/>
      <c r="AEM56" s="646"/>
      <c r="AEN56" s="645"/>
      <c r="AEO56" s="646"/>
      <c r="AEP56" s="645"/>
      <c r="AEQ56" s="646"/>
      <c r="AER56" s="645"/>
      <c r="AES56" s="646"/>
      <c r="AET56" s="645"/>
      <c r="AEU56" s="646"/>
      <c r="AEV56" s="645"/>
      <c r="AEW56" s="646"/>
      <c r="AEX56" s="645"/>
      <c r="AEY56" s="646"/>
      <c r="AEZ56" s="645"/>
      <c r="AFA56" s="646"/>
      <c r="AFB56" s="645"/>
      <c r="AFC56" s="646"/>
      <c r="AFD56" s="645"/>
      <c r="AFE56" s="646"/>
      <c r="AFF56" s="645"/>
      <c r="AFG56" s="646"/>
      <c r="AFH56" s="645"/>
      <c r="AFI56" s="646"/>
      <c r="AFJ56" s="645"/>
      <c r="AFK56" s="646"/>
      <c r="AFL56" s="645"/>
      <c r="AFM56" s="646"/>
      <c r="AFN56" s="645"/>
      <c r="AFO56" s="646"/>
      <c r="AFP56" s="645"/>
      <c r="AFQ56" s="646"/>
      <c r="AFR56" s="645"/>
      <c r="AFS56" s="646"/>
      <c r="AFT56" s="645"/>
      <c r="AFU56" s="646"/>
      <c r="AFV56" s="645"/>
      <c r="AFW56" s="646"/>
      <c r="AFX56" s="645"/>
      <c r="AFY56" s="646"/>
      <c r="AFZ56" s="645"/>
      <c r="AGA56" s="646"/>
      <c r="AGB56" s="645"/>
      <c r="AGC56" s="646"/>
      <c r="AGD56" s="645"/>
      <c r="AGE56" s="646"/>
      <c r="AGF56" s="645"/>
      <c r="AGG56" s="646"/>
      <c r="AGH56" s="645"/>
      <c r="AGI56" s="646"/>
      <c r="AGJ56" s="645"/>
      <c r="AGK56" s="646"/>
      <c r="AGL56" s="645"/>
      <c r="AGM56" s="646"/>
      <c r="AGN56" s="645"/>
      <c r="AGO56" s="646"/>
      <c r="AGP56" s="645"/>
      <c r="AGQ56" s="646"/>
      <c r="AGR56" s="645"/>
      <c r="AGS56" s="646"/>
      <c r="AGT56" s="645"/>
      <c r="AGU56" s="646"/>
      <c r="AGV56" s="645"/>
      <c r="AGW56" s="646"/>
      <c r="AGX56" s="645"/>
      <c r="AGY56" s="646"/>
      <c r="AGZ56" s="645"/>
      <c r="AHA56" s="646"/>
      <c r="AHB56" s="645"/>
      <c r="AHC56" s="646"/>
      <c r="AHD56" s="645"/>
      <c r="AHE56" s="646"/>
      <c r="AHF56" s="645"/>
      <c r="AHG56" s="646"/>
      <c r="AHH56" s="645"/>
      <c r="AHI56" s="646"/>
      <c r="AHJ56" s="645"/>
      <c r="AHK56" s="646"/>
      <c r="AHL56" s="645"/>
      <c r="AHM56" s="646"/>
      <c r="AHN56" s="645"/>
      <c r="AHO56" s="646"/>
      <c r="AHP56" s="645"/>
      <c r="AHQ56" s="646"/>
      <c r="AHR56" s="645"/>
      <c r="AHS56" s="646"/>
      <c r="AHT56" s="645"/>
      <c r="AHU56" s="646"/>
      <c r="AHV56" s="645"/>
      <c r="AHW56" s="646"/>
      <c r="AHX56" s="645"/>
      <c r="AHY56" s="646"/>
      <c r="AHZ56" s="645"/>
      <c r="AIA56" s="646"/>
      <c r="AIB56" s="645"/>
      <c r="AIC56" s="646"/>
      <c r="AID56" s="645"/>
      <c r="AIE56" s="646"/>
      <c r="AIF56" s="645"/>
      <c r="AIG56" s="646"/>
      <c r="AIH56" s="645"/>
      <c r="AII56" s="646"/>
      <c r="AIJ56" s="645"/>
      <c r="AIK56" s="646"/>
      <c r="AIL56" s="645"/>
      <c r="AIM56" s="646"/>
      <c r="AIN56" s="645"/>
      <c r="AIO56" s="646"/>
      <c r="AIP56" s="645"/>
      <c r="AIQ56" s="645"/>
      <c r="AIR56" s="645"/>
      <c r="AIS56" s="645"/>
      <c r="AIT56" s="645"/>
      <c r="AIU56" s="645"/>
      <c r="AIV56" s="645"/>
      <c r="AIW56" s="645"/>
      <c r="AIX56" s="645"/>
      <c r="AIY56" s="645"/>
      <c r="AIZ56" s="645"/>
      <c r="AJA56" s="645"/>
      <c r="AJB56" s="645"/>
      <c r="AJC56" s="645"/>
      <c r="AJD56" s="645"/>
      <c r="AJE56" s="645"/>
      <c r="AJF56" s="645"/>
      <c r="AJG56" s="645"/>
      <c r="AJH56" s="645"/>
      <c r="AJI56" s="645"/>
      <c r="AJJ56" s="645"/>
      <c r="AJK56" s="645"/>
      <c r="AJL56" s="645"/>
      <c r="AJM56" s="645"/>
      <c r="AJN56" s="645"/>
      <c r="AJO56" s="645"/>
      <c r="AJP56" s="645"/>
      <c r="AJQ56" s="645"/>
      <c r="AJR56" s="645"/>
      <c r="AJS56" s="645"/>
      <c r="AJT56" s="645"/>
      <c r="AJU56" s="645"/>
      <c r="AJV56" s="645"/>
      <c r="AJW56" s="645"/>
      <c r="AJX56" s="645"/>
      <c r="AJY56" s="645"/>
      <c r="AJZ56" s="645"/>
      <c r="AKA56" s="645"/>
      <c r="AKB56" s="645"/>
      <c r="AKC56" s="645"/>
      <c r="AKD56" s="645"/>
      <c r="AKE56" s="645"/>
      <c r="AKF56" s="645"/>
      <c r="AKG56" s="645"/>
      <c r="AKH56" s="645"/>
      <c r="AKI56" s="645"/>
      <c r="AKJ56" s="645"/>
      <c r="AKK56" s="645"/>
      <c r="AKL56" s="645"/>
      <c r="AKM56" s="645"/>
      <c r="AKN56" s="645"/>
      <c r="AKO56" s="645"/>
      <c r="AKP56" s="645"/>
      <c r="AKQ56" s="645"/>
      <c r="AKR56" s="645"/>
      <c r="AKS56" s="645"/>
      <c r="AKT56" s="645"/>
      <c r="AKU56" s="645"/>
      <c r="AKV56" s="645"/>
      <c r="AKW56" s="645"/>
      <c r="AKX56" s="645"/>
      <c r="AKY56" s="645"/>
      <c r="AKZ56" s="645"/>
      <c r="ALA56" s="645"/>
      <c r="ALB56" s="645"/>
      <c r="ALC56" s="645"/>
      <c r="ALD56" s="645"/>
      <c r="ALE56" s="645"/>
      <c r="ALF56" s="645"/>
      <c r="ALG56" s="645"/>
      <c r="ALH56" s="645"/>
      <c r="ALI56" s="645"/>
      <c r="ALJ56" s="645"/>
      <c r="ALK56" s="645"/>
      <c r="ALL56" s="645"/>
      <c r="ALM56" s="645"/>
      <c r="ALN56" s="645"/>
      <c r="ALO56" s="645"/>
      <c r="ALP56" s="645"/>
      <c r="ALQ56" s="645"/>
      <c r="ALR56" s="645"/>
      <c r="ALS56" s="645"/>
      <c r="ALT56" s="645"/>
      <c r="ALU56" s="645"/>
      <c r="ALV56" s="645"/>
      <c r="ALW56" s="645"/>
      <c r="ALX56" s="645"/>
      <c r="ALY56" s="645"/>
      <c r="ALZ56" s="645"/>
      <c r="AMA56" s="645"/>
      <c r="AMB56" s="645"/>
      <c r="AMC56" s="645"/>
      <c r="AMD56" s="645"/>
      <c r="AME56" s="645"/>
      <c r="AMF56" s="645"/>
      <c r="AMG56" s="645"/>
      <c r="AMH56" s="645"/>
      <c r="AMI56" s="645"/>
      <c r="AMJ56" s="645"/>
    </row>
    <row r="57" spans="1:1024" s="37" customFormat="1" ht="15.75" customHeight="1" x14ac:dyDescent="0.35">
      <c r="A57" s="600"/>
      <c r="B57" s="644" t="s">
        <v>310</v>
      </c>
      <c r="C57" s="645"/>
      <c r="D57" s="646"/>
      <c r="E57" s="645"/>
      <c r="F57" s="646"/>
      <c r="G57" s="453" t="s">
        <v>311</v>
      </c>
      <c r="H57" s="643" t="s">
        <v>259</v>
      </c>
      <c r="I57" s="645"/>
      <c r="J57" s="38"/>
      <c r="K57" s="38"/>
      <c r="L57" s="39"/>
      <c r="M57" s="38"/>
      <c r="N57" s="39"/>
      <c r="O57" s="38"/>
      <c r="P57" s="39"/>
      <c r="Q57" s="38"/>
      <c r="R57" s="39"/>
      <c r="S57" s="38"/>
      <c r="T57" s="39"/>
      <c r="U57" s="38"/>
      <c r="V57" s="39"/>
      <c r="W57" s="38"/>
      <c r="X57" s="39"/>
      <c r="Y57" s="38"/>
      <c r="Z57" s="39"/>
      <c r="AA57" s="38"/>
      <c r="AB57" s="39"/>
      <c r="AC57" s="38"/>
      <c r="AD57" s="39"/>
      <c r="AE57" s="38"/>
      <c r="AF57" s="39"/>
      <c r="AG57" s="38"/>
      <c r="AH57" s="39"/>
      <c r="AI57" s="38"/>
      <c r="AJ57" s="39"/>
      <c r="AK57" s="40"/>
      <c r="AL57" s="39"/>
      <c r="AM57" s="40"/>
      <c r="AN57" s="39"/>
      <c r="AO57" s="40"/>
      <c r="AP57" s="39"/>
      <c r="AQ57" s="40"/>
      <c r="AR57" s="39"/>
      <c r="AS57" s="40"/>
      <c r="AT57" s="39"/>
      <c r="AU57" s="40"/>
      <c r="AV57" s="39"/>
      <c r="AW57" s="40"/>
      <c r="AX57" s="39"/>
      <c r="AY57" s="40"/>
      <c r="AZ57" s="39"/>
      <c r="BA57" s="40"/>
      <c r="BB57" s="39"/>
      <c r="BC57" s="40"/>
      <c r="BD57" s="39"/>
      <c r="BE57" s="40"/>
      <c r="BF57" s="39"/>
      <c r="BG57" s="40"/>
      <c r="BH57" s="39"/>
      <c r="BI57" s="40"/>
      <c r="BJ57" s="39"/>
      <c r="BK57" s="40"/>
      <c r="BL57" s="39"/>
      <c r="BM57" s="40"/>
      <c r="BN57" s="39"/>
      <c r="BO57" s="40"/>
      <c r="BP57" s="39"/>
      <c r="BQ57" s="40"/>
      <c r="BR57" s="39"/>
      <c r="BS57" s="40"/>
      <c r="BT57" s="39"/>
      <c r="BU57" s="40"/>
      <c r="BV57" s="39"/>
      <c r="BW57" s="40"/>
      <c r="BX57" s="39"/>
      <c r="BY57" s="40"/>
      <c r="BZ57" s="39"/>
      <c r="CA57" s="40"/>
      <c r="CB57" s="39"/>
      <c r="CC57" s="40"/>
      <c r="CD57" s="39"/>
      <c r="CE57" s="40"/>
      <c r="CF57" s="39"/>
      <c r="CG57" s="40"/>
      <c r="CH57" s="39"/>
      <c r="CI57" s="40"/>
      <c r="CJ57" s="39"/>
      <c r="CK57" s="40"/>
      <c r="CL57" s="39"/>
      <c r="CM57" s="40"/>
      <c r="CN57" s="39"/>
      <c r="CO57" s="40"/>
      <c r="CP57" s="39"/>
      <c r="CQ57" s="40"/>
      <c r="CR57" s="39"/>
      <c r="CS57" s="40"/>
      <c r="CT57" s="39"/>
      <c r="CU57" s="40"/>
      <c r="CV57" s="39"/>
      <c r="CW57" s="40"/>
      <c r="CX57" s="39"/>
      <c r="CY57" s="40"/>
      <c r="CZ57" s="39"/>
      <c r="DA57" s="40"/>
      <c r="DB57" s="39"/>
      <c r="DC57" s="40"/>
      <c r="DD57" s="39"/>
      <c r="DE57" s="40"/>
      <c r="DF57" s="39"/>
      <c r="DG57" s="40"/>
      <c r="DH57" s="39"/>
      <c r="DI57" s="40"/>
      <c r="DJ57" s="39"/>
      <c r="DK57" s="40"/>
      <c r="DL57" s="39"/>
      <c r="DM57" s="40"/>
      <c r="DN57" s="39"/>
      <c r="DO57" s="40"/>
      <c r="DP57" s="39"/>
      <c r="DQ57" s="40"/>
      <c r="DR57" s="39"/>
      <c r="DS57" s="40"/>
      <c r="DT57" s="39"/>
      <c r="DU57" s="40"/>
      <c r="DV57" s="39"/>
      <c r="DW57" s="40"/>
      <c r="DX57" s="39"/>
      <c r="DY57" s="40"/>
      <c r="DZ57" s="39"/>
      <c r="EA57" s="40"/>
      <c r="EB57" s="39"/>
      <c r="EC57" s="40"/>
      <c r="ED57" s="39"/>
      <c r="EE57" s="40"/>
      <c r="EF57" s="39"/>
      <c r="EG57" s="40"/>
      <c r="EH57" s="39"/>
      <c r="EI57" s="40"/>
      <c r="EJ57" s="39"/>
      <c r="EK57" s="40"/>
      <c r="EL57" s="39"/>
      <c r="EM57" s="40"/>
      <c r="EN57" s="39"/>
      <c r="EO57" s="40"/>
      <c r="EP57" s="39"/>
      <c r="EQ57" s="40"/>
      <c r="ER57" s="39"/>
      <c r="ES57" s="40"/>
      <c r="ET57" s="39"/>
      <c r="EU57" s="40"/>
      <c r="EV57" s="39"/>
      <c r="EW57" s="40"/>
      <c r="EX57" s="39"/>
      <c r="EY57" s="40"/>
      <c r="EZ57" s="39"/>
      <c r="FA57" s="40"/>
      <c r="FB57" s="39"/>
      <c r="FC57" s="40"/>
      <c r="FD57" s="39"/>
      <c r="FE57" s="40"/>
      <c r="FF57" s="39"/>
      <c r="FG57" s="40"/>
      <c r="FH57" s="39"/>
      <c r="FI57" s="40"/>
      <c r="FJ57" s="39"/>
      <c r="FK57" s="40"/>
      <c r="FL57" s="39"/>
      <c r="FM57" s="40"/>
      <c r="FN57" s="39"/>
      <c r="FO57" s="40"/>
      <c r="FP57" s="39"/>
      <c r="FQ57" s="40"/>
      <c r="FR57" s="39"/>
      <c r="FS57" s="40"/>
      <c r="FT57" s="39"/>
      <c r="FU57" s="40"/>
      <c r="FV57" s="39"/>
      <c r="FW57" s="40"/>
      <c r="FX57" s="39"/>
      <c r="FY57" s="40"/>
      <c r="FZ57" s="39"/>
      <c r="GA57" s="40"/>
      <c r="GB57" s="39"/>
      <c r="GC57" s="40"/>
      <c r="GD57" s="39"/>
      <c r="GE57" s="40"/>
      <c r="GF57" s="39"/>
      <c r="GG57" s="40"/>
      <c r="GH57" s="39"/>
      <c r="GI57" s="40"/>
      <c r="GJ57" s="39"/>
      <c r="GK57" s="40"/>
      <c r="GL57" s="39"/>
      <c r="GM57" s="40"/>
      <c r="GN57" s="39"/>
      <c r="GO57" s="40"/>
      <c r="GP57" s="39"/>
      <c r="GQ57" s="40"/>
      <c r="GR57" s="39"/>
      <c r="GS57" s="40"/>
      <c r="GT57" s="39"/>
      <c r="GU57" s="40"/>
      <c r="GV57" s="39"/>
      <c r="GW57" s="40"/>
      <c r="GX57" s="39"/>
      <c r="GY57" s="40"/>
      <c r="GZ57" s="39"/>
      <c r="HA57" s="40"/>
      <c r="HB57" s="39"/>
      <c r="HC57" s="40"/>
      <c r="HD57" s="39"/>
      <c r="HE57" s="40"/>
      <c r="HF57" s="39"/>
      <c r="HG57" s="40"/>
      <c r="HH57" s="39"/>
      <c r="HI57" s="40"/>
      <c r="HJ57" s="39"/>
      <c r="HK57" s="40"/>
      <c r="HL57" s="39"/>
      <c r="HM57" s="40"/>
      <c r="HN57" s="39"/>
      <c r="HO57" s="40"/>
      <c r="HP57" s="39"/>
      <c r="HQ57" s="40"/>
      <c r="HR57" s="39"/>
      <c r="HS57" s="40"/>
      <c r="HT57" s="39"/>
      <c r="HU57" s="40"/>
      <c r="HV57" s="39"/>
      <c r="HW57" s="40"/>
      <c r="HX57" s="39"/>
      <c r="HY57" s="40"/>
      <c r="HZ57" s="39"/>
      <c r="IA57" s="40"/>
      <c r="IB57" s="39"/>
      <c r="IC57" s="1068"/>
      <c r="ID57" s="645"/>
      <c r="IE57" s="646"/>
      <c r="IF57" s="645"/>
      <c r="IG57" s="646"/>
      <c r="IH57" s="645"/>
      <c r="II57" s="646"/>
      <c r="IJ57" s="645"/>
      <c r="IK57" s="646"/>
      <c r="IL57" s="645"/>
      <c r="IM57" s="646"/>
      <c r="IN57" s="645"/>
      <c r="IO57" s="646"/>
      <c r="IP57" s="645"/>
      <c r="IQ57" s="646"/>
      <c r="IR57" s="645"/>
      <c r="IS57" s="646"/>
      <c r="IT57" s="645"/>
      <c r="IU57" s="646"/>
      <c r="IV57" s="645"/>
      <c r="IW57" s="646"/>
      <c r="IX57" s="645"/>
      <c r="IY57" s="646"/>
      <c r="IZ57" s="645"/>
      <c r="JA57" s="646"/>
      <c r="JB57" s="645"/>
      <c r="JC57" s="646"/>
      <c r="JD57" s="645"/>
      <c r="JE57" s="646"/>
      <c r="JF57" s="645"/>
      <c r="JG57" s="646"/>
      <c r="JH57" s="645"/>
      <c r="JI57" s="646"/>
      <c r="JJ57" s="645"/>
      <c r="JK57" s="646"/>
      <c r="JL57" s="645"/>
      <c r="JM57" s="646"/>
      <c r="JN57" s="645"/>
      <c r="JO57" s="646"/>
      <c r="JP57" s="645"/>
      <c r="JQ57" s="646"/>
      <c r="JR57" s="645"/>
      <c r="JS57" s="646"/>
      <c r="JT57" s="645"/>
      <c r="JU57" s="646"/>
      <c r="JV57" s="645"/>
      <c r="JW57" s="646"/>
      <c r="JX57" s="645"/>
      <c r="JY57" s="646"/>
      <c r="JZ57" s="645"/>
      <c r="KA57" s="646"/>
      <c r="KB57" s="645"/>
      <c r="KC57" s="646"/>
      <c r="KD57" s="645"/>
      <c r="KE57" s="646"/>
      <c r="KF57" s="645"/>
      <c r="KG57" s="646"/>
      <c r="KH57" s="645"/>
      <c r="KI57" s="646"/>
      <c r="KJ57" s="645"/>
      <c r="KK57" s="646"/>
      <c r="KL57" s="645"/>
      <c r="KM57" s="646"/>
      <c r="KN57" s="645"/>
      <c r="KO57" s="646"/>
      <c r="KP57" s="645"/>
      <c r="KQ57" s="646"/>
      <c r="KR57" s="645"/>
      <c r="KS57" s="646"/>
      <c r="KT57" s="645"/>
      <c r="KU57" s="646"/>
      <c r="KV57" s="645"/>
      <c r="KW57" s="646"/>
      <c r="KX57" s="645"/>
      <c r="KY57" s="646"/>
      <c r="KZ57" s="645"/>
      <c r="LA57" s="646"/>
      <c r="LB57" s="645"/>
      <c r="LC57" s="646"/>
      <c r="LD57" s="645"/>
      <c r="LE57" s="646"/>
      <c r="LF57" s="645"/>
      <c r="LG57" s="646"/>
      <c r="LH57" s="645"/>
      <c r="LI57" s="646"/>
      <c r="LJ57" s="645"/>
      <c r="LK57" s="646"/>
      <c r="LL57" s="645"/>
      <c r="LM57" s="646"/>
      <c r="LN57" s="645"/>
      <c r="LO57" s="646"/>
      <c r="LP57" s="645"/>
      <c r="LQ57" s="646"/>
      <c r="LR57" s="645"/>
      <c r="LS57" s="646"/>
      <c r="LT57" s="645"/>
      <c r="LU57" s="646"/>
      <c r="LV57" s="645"/>
      <c r="LW57" s="646"/>
      <c r="LX57" s="645"/>
      <c r="LY57" s="646"/>
      <c r="LZ57" s="645"/>
      <c r="MA57" s="646"/>
      <c r="MB57" s="645"/>
      <c r="MC57" s="646"/>
      <c r="MD57" s="645"/>
      <c r="ME57" s="646"/>
      <c r="MF57" s="645"/>
      <c r="MG57" s="646"/>
      <c r="MH57" s="645"/>
      <c r="MI57" s="646"/>
      <c r="MJ57" s="645"/>
      <c r="MK57" s="646"/>
      <c r="ML57" s="645"/>
      <c r="MM57" s="646"/>
      <c r="MN57" s="645"/>
      <c r="MO57" s="646"/>
      <c r="MP57" s="645"/>
      <c r="MQ57" s="646"/>
      <c r="MR57" s="645"/>
      <c r="MS57" s="646"/>
      <c r="MT57" s="645"/>
      <c r="MU57" s="646"/>
      <c r="MV57" s="645"/>
      <c r="MW57" s="646"/>
      <c r="MX57" s="645"/>
      <c r="MY57" s="646"/>
      <c r="MZ57" s="645"/>
      <c r="NA57" s="646"/>
      <c r="NB57" s="645"/>
      <c r="NC57" s="646"/>
      <c r="ND57" s="645"/>
      <c r="NE57" s="646"/>
      <c r="NF57" s="645"/>
      <c r="NG57" s="646"/>
      <c r="NH57" s="645"/>
      <c r="NI57" s="646"/>
      <c r="NJ57" s="645"/>
      <c r="NK57" s="646"/>
      <c r="NL57" s="645"/>
      <c r="NM57" s="646"/>
      <c r="NN57" s="645"/>
      <c r="NO57" s="646"/>
      <c r="NP57" s="645"/>
      <c r="NQ57" s="646"/>
      <c r="NR57" s="645"/>
      <c r="NS57" s="646"/>
      <c r="NT57" s="645"/>
      <c r="NU57" s="646"/>
      <c r="NV57" s="645"/>
      <c r="NW57" s="646"/>
      <c r="NX57" s="645"/>
      <c r="NY57" s="646"/>
      <c r="NZ57" s="645"/>
      <c r="OA57" s="646"/>
      <c r="OB57" s="645"/>
      <c r="OC57" s="646"/>
      <c r="OD57" s="645"/>
      <c r="OE57" s="646"/>
      <c r="OF57" s="645"/>
      <c r="OG57" s="646"/>
      <c r="OH57" s="645"/>
      <c r="OI57" s="646"/>
      <c r="OJ57" s="645"/>
      <c r="OK57" s="646"/>
      <c r="OL57" s="645"/>
      <c r="OM57" s="646"/>
      <c r="ON57" s="645"/>
      <c r="OO57" s="646"/>
      <c r="OP57" s="645"/>
      <c r="OQ57" s="646"/>
      <c r="OR57" s="645"/>
      <c r="OS57" s="646"/>
      <c r="OT57" s="645"/>
      <c r="OU57" s="646"/>
      <c r="OV57" s="645"/>
      <c r="OW57" s="646"/>
      <c r="OX57" s="645"/>
      <c r="OY57" s="646"/>
      <c r="OZ57" s="645"/>
      <c r="PA57" s="646"/>
      <c r="PB57" s="645"/>
      <c r="PC57" s="646"/>
      <c r="PD57" s="645"/>
      <c r="PE57" s="646"/>
      <c r="PF57" s="645"/>
      <c r="PG57" s="646"/>
      <c r="PH57" s="645"/>
      <c r="PI57" s="646"/>
      <c r="PJ57" s="645"/>
      <c r="PK57" s="646"/>
      <c r="PL57" s="645"/>
      <c r="PM57" s="646"/>
      <c r="PN57" s="645"/>
      <c r="PO57" s="646"/>
      <c r="PP57" s="645"/>
      <c r="PQ57" s="646"/>
      <c r="PR57" s="645"/>
      <c r="PS57" s="646"/>
      <c r="PT57" s="645"/>
      <c r="PU57" s="646"/>
      <c r="PV57" s="645"/>
      <c r="PW57" s="646"/>
      <c r="PX57" s="645"/>
      <c r="PY57" s="646"/>
      <c r="PZ57" s="645"/>
      <c r="QA57" s="646"/>
      <c r="QB57" s="645"/>
      <c r="QC57" s="646"/>
      <c r="QD57" s="645"/>
      <c r="QE57" s="646"/>
      <c r="QF57" s="645"/>
      <c r="QG57" s="646"/>
      <c r="QH57" s="645"/>
      <c r="QI57" s="646"/>
      <c r="QJ57" s="645"/>
      <c r="QK57" s="646"/>
      <c r="QL57" s="645"/>
      <c r="QM57" s="646"/>
      <c r="QN57" s="645"/>
      <c r="QO57" s="646"/>
      <c r="QP57" s="645"/>
      <c r="QQ57" s="646"/>
      <c r="QR57" s="645"/>
      <c r="QS57" s="646"/>
      <c r="QT57" s="645"/>
      <c r="QU57" s="646"/>
      <c r="QV57" s="645"/>
      <c r="QW57" s="646"/>
      <c r="QX57" s="645"/>
      <c r="QY57" s="646"/>
      <c r="QZ57" s="645"/>
      <c r="RA57" s="646"/>
      <c r="RB57" s="645"/>
      <c r="RC57" s="646"/>
      <c r="RD57" s="645"/>
      <c r="RE57" s="646"/>
      <c r="RF57" s="645"/>
      <c r="RG57" s="646"/>
      <c r="RH57" s="645"/>
      <c r="RI57" s="646"/>
      <c r="RJ57" s="645"/>
      <c r="RK57" s="646"/>
      <c r="RL57" s="645"/>
      <c r="RM57" s="646"/>
      <c r="RN57" s="645"/>
      <c r="RO57" s="646"/>
      <c r="RP57" s="645"/>
      <c r="RQ57" s="646"/>
      <c r="RR57" s="645"/>
      <c r="RS57" s="646"/>
      <c r="RT57" s="645"/>
      <c r="RU57" s="646"/>
      <c r="RV57" s="645"/>
      <c r="RW57" s="646"/>
      <c r="RX57" s="645"/>
      <c r="RY57" s="646"/>
      <c r="RZ57" s="645"/>
      <c r="SA57" s="646"/>
      <c r="SB57" s="645"/>
      <c r="SC57" s="646"/>
      <c r="SD57" s="645"/>
      <c r="SE57" s="646"/>
      <c r="SF57" s="645"/>
      <c r="SG57" s="646"/>
      <c r="SH57" s="645"/>
      <c r="SI57" s="646"/>
      <c r="SJ57" s="645"/>
      <c r="SK57" s="646"/>
      <c r="SL57" s="645"/>
      <c r="SM57" s="646"/>
      <c r="SN57" s="645"/>
      <c r="SO57" s="646"/>
      <c r="SP57" s="645"/>
      <c r="SQ57" s="646"/>
      <c r="SR57" s="645"/>
      <c r="SS57" s="646"/>
      <c r="ST57" s="645"/>
      <c r="SU57" s="646"/>
      <c r="SV57" s="645"/>
      <c r="SW57" s="646"/>
      <c r="SX57" s="645"/>
      <c r="SY57" s="646"/>
      <c r="SZ57" s="645"/>
      <c r="TA57" s="646"/>
      <c r="TB57" s="645"/>
      <c r="TC57" s="646"/>
      <c r="TD57" s="645"/>
      <c r="TE57" s="646"/>
      <c r="TF57" s="645"/>
      <c r="TG57" s="646"/>
      <c r="TH57" s="645"/>
      <c r="TI57" s="646"/>
      <c r="TJ57" s="645"/>
      <c r="TK57" s="646"/>
      <c r="TL57" s="645"/>
      <c r="TM57" s="646"/>
      <c r="TN57" s="645"/>
      <c r="TO57" s="646"/>
      <c r="TP57" s="645"/>
      <c r="TQ57" s="646"/>
      <c r="TR57" s="645"/>
      <c r="TS57" s="646"/>
      <c r="TT57" s="645"/>
      <c r="TU57" s="646"/>
      <c r="TV57" s="645"/>
      <c r="TW57" s="646"/>
      <c r="TX57" s="645"/>
      <c r="TY57" s="646"/>
      <c r="TZ57" s="645"/>
      <c r="UA57" s="646"/>
      <c r="UB57" s="645"/>
      <c r="UC57" s="646"/>
      <c r="UD57" s="645"/>
      <c r="UE57" s="646"/>
      <c r="UF57" s="645"/>
      <c r="UG57" s="646"/>
      <c r="UH57" s="645"/>
      <c r="UI57" s="646"/>
      <c r="UJ57" s="645"/>
      <c r="UK57" s="646"/>
      <c r="UL57" s="645"/>
      <c r="UM57" s="646"/>
      <c r="UN57" s="645"/>
      <c r="UO57" s="646"/>
      <c r="UP57" s="645"/>
      <c r="UQ57" s="646"/>
      <c r="UR57" s="645"/>
      <c r="US57" s="646"/>
      <c r="UT57" s="645"/>
      <c r="UU57" s="646"/>
      <c r="UV57" s="645"/>
      <c r="UW57" s="646"/>
      <c r="UX57" s="645"/>
      <c r="UY57" s="646"/>
      <c r="UZ57" s="645"/>
      <c r="VA57" s="646"/>
      <c r="VB57" s="645"/>
      <c r="VC57" s="646"/>
      <c r="VD57" s="645"/>
      <c r="VE57" s="646"/>
      <c r="VF57" s="645"/>
      <c r="VG57" s="646"/>
      <c r="VH57" s="645"/>
      <c r="VI57" s="646"/>
      <c r="VJ57" s="645"/>
      <c r="VK57" s="646"/>
      <c r="VL57" s="645"/>
      <c r="VM57" s="646"/>
      <c r="VN57" s="645"/>
      <c r="VO57" s="646"/>
      <c r="VP57" s="645"/>
      <c r="VQ57" s="646"/>
      <c r="VR57" s="645"/>
      <c r="VS57" s="646"/>
      <c r="VT57" s="645"/>
      <c r="VU57" s="646"/>
      <c r="VV57" s="645"/>
      <c r="VW57" s="646"/>
      <c r="VX57" s="645"/>
      <c r="VY57" s="646"/>
      <c r="VZ57" s="645"/>
      <c r="WA57" s="646"/>
      <c r="WB57" s="645"/>
      <c r="WC57" s="646"/>
      <c r="WD57" s="645"/>
      <c r="WE57" s="646"/>
      <c r="WF57" s="645"/>
      <c r="WG57" s="646"/>
      <c r="WH57" s="645"/>
      <c r="WI57" s="646"/>
      <c r="WJ57" s="645"/>
      <c r="WK57" s="646"/>
      <c r="WL57" s="645"/>
      <c r="WM57" s="646"/>
      <c r="WN57" s="645"/>
      <c r="WO57" s="646"/>
      <c r="WP57" s="645"/>
      <c r="WQ57" s="646"/>
      <c r="WR57" s="645"/>
      <c r="WS57" s="646"/>
      <c r="WT57" s="645"/>
      <c r="WU57" s="646"/>
      <c r="WV57" s="645"/>
      <c r="WW57" s="646"/>
      <c r="WX57" s="645"/>
      <c r="WY57" s="646"/>
      <c r="WZ57" s="645"/>
      <c r="XA57" s="646"/>
      <c r="XB57" s="645"/>
      <c r="XC57" s="646"/>
      <c r="XD57" s="645"/>
      <c r="XE57" s="646"/>
      <c r="XF57" s="645"/>
      <c r="XG57" s="646"/>
      <c r="XH57" s="645"/>
      <c r="XI57" s="646"/>
      <c r="XJ57" s="645"/>
      <c r="XK57" s="646"/>
      <c r="XL57" s="645"/>
      <c r="XM57" s="646"/>
      <c r="XN57" s="645"/>
      <c r="XO57" s="646"/>
      <c r="XP57" s="645"/>
      <c r="XQ57" s="646"/>
      <c r="XR57" s="645"/>
      <c r="XS57" s="646"/>
      <c r="XT57" s="645"/>
      <c r="XU57" s="646"/>
      <c r="XV57" s="645"/>
      <c r="XW57" s="646"/>
      <c r="XX57" s="645"/>
      <c r="XY57" s="646"/>
      <c r="XZ57" s="645"/>
      <c r="YA57" s="646"/>
      <c r="YB57" s="645"/>
      <c r="YC57" s="646"/>
      <c r="YD57" s="645"/>
      <c r="YE57" s="646"/>
      <c r="YF57" s="645"/>
      <c r="YG57" s="646"/>
      <c r="YH57" s="645"/>
      <c r="YI57" s="646"/>
      <c r="YJ57" s="645"/>
      <c r="YK57" s="646"/>
      <c r="YL57" s="645"/>
      <c r="YM57" s="646"/>
      <c r="YN57" s="645"/>
      <c r="YO57" s="646"/>
      <c r="YP57" s="645"/>
      <c r="YQ57" s="646"/>
      <c r="YR57" s="645"/>
      <c r="YS57" s="646"/>
      <c r="YT57" s="645"/>
      <c r="YU57" s="646"/>
      <c r="YV57" s="645"/>
      <c r="YW57" s="646"/>
      <c r="YX57" s="645"/>
      <c r="YY57" s="646"/>
      <c r="YZ57" s="645"/>
      <c r="ZA57" s="646"/>
      <c r="ZB57" s="645"/>
      <c r="ZC57" s="646"/>
      <c r="ZD57" s="645"/>
      <c r="ZE57" s="646"/>
      <c r="ZF57" s="645"/>
      <c r="ZG57" s="646"/>
      <c r="ZH57" s="645"/>
      <c r="ZI57" s="646"/>
      <c r="ZJ57" s="645"/>
      <c r="ZK57" s="646"/>
      <c r="ZL57" s="645"/>
      <c r="ZM57" s="646"/>
      <c r="ZN57" s="645"/>
      <c r="ZO57" s="646"/>
      <c r="ZP57" s="645"/>
      <c r="ZQ57" s="646"/>
      <c r="ZR57" s="645"/>
      <c r="ZS57" s="646"/>
      <c r="ZT57" s="645"/>
      <c r="ZU57" s="646"/>
      <c r="ZV57" s="645"/>
      <c r="ZW57" s="646"/>
      <c r="ZX57" s="645"/>
      <c r="ZY57" s="646"/>
      <c r="ZZ57" s="645"/>
      <c r="AAA57" s="646"/>
      <c r="AAB57" s="645"/>
      <c r="AAC57" s="646"/>
      <c r="AAD57" s="645"/>
      <c r="AAE57" s="646"/>
      <c r="AAF57" s="645"/>
      <c r="AAG57" s="646"/>
      <c r="AAH57" s="645"/>
      <c r="AAI57" s="646"/>
      <c r="AAJ57" s="645"/>
      <c r="AAK57" s="646"/>
      <c r="AAL57" s="645"/>
      <c r="AAM57" s="646"/>
      <c r="AAN57" s="645"/>
      <c r="AAO57" s="646"/>
      <c r="AAP57" s="645"/>
      <c r="AAQ57" s="646"/>
      <c r="AAR57" s="645"/>
      <c r="AAS57" s="646"/>
      <c r="AAT57" s="645"/>
      <c r="AAU57" s="646"/>
      <c r="AAV57" s="645"/>
      <c r="AAW57" s="646"/>
      <c r="AAX57" s="645"/>
      <c r="AAY57" s="646"/>
      <c r="AAZ57" s="645"/>
      <c r="ABA57" s="646"/>
      <c r="ABB57" s="645"/>
      <c r="ABC57" s="646"/>
      <c r="ABD57" s="645"/>
      <c r="ABE57" s="646"/>
      <c r="ABF57" s="645"/>
      <c r="ABG57" s="646"/>
      <c r="ABH57" s="645"/>
      <c r="ABI57" s="646"/>
      <c r="ABJ57" s="645"/>
      <c r="ABK57" s="646"/>
      <c r="ABL57" s="645"/>
      <c r="ABM57" s="646"/>
      <c r="ABN57" s="645"/>
      <c r="ABO57" s="646"/>
      <c r="ABP57" s="645"/>
      <c r="ABQ57" s="646"/>
      <c r="ABR57" s="645"/>
      <c r="ABS57" s="646"/>
      <c r="ABT57" s="645"/>
      <c r="ABU57" s="646"/>
      <c r="ABV57" s="645"/>
      <c r="ABW57" s="646"/>
      <c r="ABX57" s="645"/>
      <c r="ABY57" s="646"/>
      <c r="ABZ57" s="645"/>
      <c r="ACA57" s="646"/>
      <c r="ACB57" s="645"/>
      <c r="ACC57" s="646"/>
      <c r="ACD57" s="645"/>
      <c r="ACE57" s="646"/>
      <c r="ACF57" s="645"/>
      <c r="ACG57" s="646"/>
      <c r="ACH57" s="645"/>
      <c r="ACI57" s="646"/>
      <c r="ACJ57" s="645"/>
      <c r="ACK57" s="646"/>
      <c r="ACL57" s="645"/>
      <c r="ACM57" s="646"/>
      <c r="ACN57" s="645"/>
      <c r="ACO57" s="646"/>
      <c r="ACP57" s="645"/>
      <c r="ACQ57" s="646"/>
      <c r="ACR57" s="645"/>
      <c r="ACS57" s="646"/>
      <c r="ACT57" s="645"/>
      <c r="ACU57" s="646"/>
      <c r="ACV57" s="645"/>
      <c r="ACW57" s="646"/>
      <c r="ACX57" s="645"/>
      <c r="ACY57" s="646"/>
      <c r="ACZ57" s="645"/>
      <c r="ADA57" s="646"/>
      <c r="ADB57" s="645"/>
      <c r="ADC57" s="646"/>
      <c r="ADD57" s="645"/>
      <c r="ADE57" s="646"/>
      <c r="ADF57" s="645"/>
      <c r="ADG57" s="646"/>
      <c r="ADH57" s="645"/>
      <c r="ADI57" s="646"/>
      <c r="ADJ57" s="645"/>
      <c r="ADK57" s="646"/>
      <c r="ADL57" s="645"/>
      <c r="ADM57" s="646"/>
      <c r="ADN57" s="645"/>
      <c r="ADO57" s="646"/>
      <c r="ADP57" s="645"/>
      <c r="ADQ57" s="646"/>
      <c r="ADR57" s="645"/>
      <c r="ADS57" s="646"/>
      <c r="ADT57" s="645"/>
      <c r="ADU57" s="646"/>
      <c r="ADV57" s="645"/>
      <c r="ADW57" s="646"/>
      <c r="ADX57" s="645"/>
      <c r="ADY57" s="646"/>
      <c r="ADZ57" s="645"/>
      <c r="AEA57" s="646"/>
      <c r="AEB57" s="645"/>
      <c r="AEC57" s="646"/>
      <c r="AED57" s="645"/>
      <c r="AEE57" s="646"/>
      <c r="AEF57" s="645"/>
      <c r="AEG57" s="646"/>
      <c r="AEH57" s="645"/>
      <c r="AEI57" s="646"/>
      <c r="AEJ57" s="645"/>
      <c r="AEK57" s="646"/>
      <c r="AEL57" s="645"/>
      <c r="AEM57" s="646"/>
      <c r="AEN57" s="645"/>
      <c r="AEO57" s="646"/>
      <c r="AEP57" s="645"/>
      <c r="AEQ57" s="646"/>
      <c r="AER57" s="645"/>
      <c r="AES57" s="646"/>
      <c r="AET57" s="645"/>
      <c r="AEU57" s="646"/>
      <c r="AEV57" s="645"/>
      <c r="AEW57" s="646"/>
      <c r="AEX57" s="645"/>
      <c r="AEY57" s="646"/>
      <c r="AEZ57" s="645"/>
      <c r="AFA57" s="646"/>
      <c r="AFB57" s="645"/>
      <c r="AFC57" s="646"/>
      <c r="AFD57" s="645"/>
      <c r="AFE57" s="646"/>
      <c r="AFF57" s="645"/>
      <c r="AFG57" s="646"/>
      <c r="AFH57" s="645"/>
      <c r="AFI57" s="646"/>
      <c r="AFJ57" s="645"/>
      <c r="AFK57" s="646"/>
      <c r="AFL57" s="645"/>
      <c r="AFM57" s="646"/>
      <c r="AFN57" s="645"/>
      <c r="AFO57" s="646"/>
      <c r="AFP57" s="645"/>
      <c r="AFQ57" s="646"/>
      <c r="AFR57" s="645"/>
      <c r="AFS57" s="646"/>
      <c r="AFT57" s="645"/>
      <c r="AFU57" s="646"/>
      <c r="AFV57" s="645"/>
      <c r="AFW57" s="646"/>
      <c r="AFX57" s="645"/>
      <c r="AFY57" s="646"/>
      <c r="AFZ57" s="645"/>
      <c r="AGA57" s="646"/>
      <c r="AGB57" s="645"/>
      <c r="AGC57" s="646"/>
      <c r="AGD57" s="645"/>
      <c r="AGE57" s="646"/>
      <c r="AGF57" s="645"/>
      <c r="AGG57" s="646"/>
      <c r="AGH57" s="645"/>
      <c r="AGI57" s="646"/>
      <c r="AGJ57" s="645"/>
      <c r="AGK57" s="646"/>
      <c r="AGL57" s="645"/>
      <c r="AGM57" s="646"/>
      <c r="AGN57" s="645"/>
      <c r="AGO57" s="646"/>
      <c r="AGP57" s="645"/>
      <c r="AGQ57" s="646"/>
      <c r="AGR57" s="645"/>
      <c r="AGS57" s="646"/>
      <c r="AGT57" s="645"/>
      <c r="AGU57" s="646"/>
      <c r="AGV57" s="645"/>
      <c r="AGW57" s="646"/>
      <c r="AGX57" s="645"/>
      <c r="AGY57" s="646"/>
      <c r="AGZ57" s="645"/>
      <c r="AHA57" s="646"/>
      <c r="AHB57" s="645"/>
      <c r="AHC57" s="646"/>
      <c r="AHD57" s="645"/>
      <c r="AHE57" s="646"/>
      <c r="AHF57" s="645"/>
      <c r="AHG57" s="646"/>
      <c r="AHH57" s="645"/>
      <c r="AHI57" s="646"/>
      <c r="AHJ57" s="645"/>
      <c r="AHK57" s="646"/>
      <c r="AHL57" s="645"/>
      <c r="AHM57" s="646"/>
      <c r="AHN57" s="645"/>
      <c r="AHO57" s="646"/>
      <c r="AHP57" s="645"/>
      <c r="AHQ57" s="646"/>
      <c r="AHR57" s="645"/>
      <c r="AHS57" s="646"/>
      <c r="AHT57" s="645"/>
      <c r="AHU57" s="646"/>
      <c r="AHV57" s="645"/>
      <c r="AHW57" s="646"/>
      <c r="AHX57" s="645"/>
      <c r="AHY57" s="646"/>
      <c r="AHZ57" s="645"/>
      <c r="AIA57" s="646"/>
      <c r="AIB57" s="645"/>
      <c r="AIC57" s="646"/>
      <c r="AID57" s="645"/>
      <c r="AIE57" s="646"/>
      <c r="AIF57" s="645"/>
      <c r="AIG57" s="646"/>
      <c r="AIH57" s="645"/>
      <c r="AII57" s="646"/>
      <c r="AIJ57" s="645"/>
      <c r="AIK57" s="646"/>
      <c r="AIL57" s="645"/>
      <c r="AIM57" s="646"/>
      <c r="AIN57" s="645"/>
      <c r="AIO57" s="646"/>
      <c r="AIP57" s="645"/>
      <c r="AIQ57" s="645"/>
      <c r="AIR57" s="645"/>
      <c r="AIS57" s="645"/>
      <c r="AIT57" s="645"/>
      <c r="AIU57" s="645"/>
      <c r="AIV57" s="645"/>
      <c r="AIW57" s="645"/>
      <c r="AIX57" s="645"/>
      <c r="AIY57" s="645"/>
      <c r="AIZ57" s="645"/>
      <c r="AJA57" s="645"/>
      <c r="AJB57" s="645"/>
      <c r="AJC57" s="645"/>
      <c r="AJD57" s="645"/>
      <c r="AJE57" s="645"/>
      <c r="AJF57" s="645"/>
      <c r="AJG57" s="645"/>
      <c r="AJH57" s="645"/>
      <c r="AJI57" s="645"/>
      <c r="AJJ57" s="645"/>
      <c r="AJK57" s="645"/>
      <c r="AJL57" s="645"/>
      <c r="AJM57" s="645"/>
      <c r="AJN57" s="645"/>
      <c r="AJO57" s="645"/>
      <c r="AJP57" s="645"/>
      <c r="AJQ57" s="645"/>
      <c r="AJR57" s="645"/>
      <c r="AJS57" s="645"/>
      <c r="AJT57" s="645"/>
      <c r="AJU57" s="645"/>
      <c r="AJV57" s="645"/>
      <c r="AJW57" s="645"/>
      <c r="AJX57" s="645"/>
      <c r="AJY57" s="645"/>
      <c r="AJZ57" s="645"/>
      <c r="AKA57" s="645"/>
      <c r="AKB57" s="645"/>
      <c r="AKC57" s="645"/>
      <c r="AKD57" s="645"/>
      <c r="AKE57" s="645"/>
      <c r="AKF57" s="645"/>
      <c r="AKG57" s="645"/>
      <c r="AKH57" s="645"/>
      <c r="AKI57" s="645"/>
      <c r="AKJ57" s="645"/>
      <c r="AKK57" s="645"/>
      <c r="AKL57" s="645"/>
      <c r="AKM57" s="645"/>
      <c r="AKN57" s="645"/>
      <c r="AKO57" s="645"/>
      <c r="AKP57" s="645"/>
      <c r="AKQ57" s="645"/>
      <c r="AKR57" s="645"/>
      <c r="AKS57" s="645"/>
      <c r="AKT57" s="645"/>
      <c r="AKU57" s="645"/>
      <c r="AKV57" s="645"/>
      <c r="AKW57" s="645"/>
      <c r="AKX57" s="645"/>
      <c r="AKY57" s="645"/>
      <c r="AKZ57" s="645"/>
      <c r="ALA57" s="645"/>
      <c r="ALB57" s="645"/>
      <c r="ALC57" s="645"/>
      <c r="ALD57" s="645"/>
      <c r="ALE57" s="645"/>
      <c r="ALF57" s="645"/>
      <c r="ALG57" s="645"/>
      <c r="ALH57" s="645"/>
      <c r="ALI57" s="645"/>
      <c r="ALJ57" s="645"/>
      <c r="ALK57" s="645"/>
      <c r="ALL57" s="645"/>
      <c r="ALM57" s="645"/>
      <c r="ALN57" s="645"/>
      <c r="ALO57" s="645"/>
      <c r="ALP57" s="645"/>
      <c r="ALQ57" s="645"/>
      <c r="ALR57" s="645"/>
      <c r="ALS57" s="645"/>
      <c r="ALT57" s="645"/>
      <c r="ALU57" s="645"/>
      <c r="ALV57" s="645"/>
      <c r="ALW57" s="645"/>
      <c r="ALX57" s="645"/>
      <c r="ALY57" s="645"/>
      <c r="ALZ57" s="645"/>
      <c r="AMA57" s="645"/>
      <c r="AMB57" s="645"/>
      <c r="AMC57" s="645"/>
      <c r="AMD57" s="645"/>
      <c r="AME57" s="645"/>
      <c r="AMF57" s="645"/>
      <c r="AMG57" s="645"/>
      <c r="AMH57" s="645"/>
      <c r="AMI57" s="645"/>
      <c r="AMJ57" s="645"/>
    </row>
    <row r="58" spans="1:1024" s="37" customFormat="1" ht="15.75" customHeight="1" x14ac:dyDescent="0.35">
      <c r="A58" s="600"/>
      <c r="B58" s="644" t="s">
        <v>312</v>
      </c>
      <c r="C58" s="645"/>
      <c r="D58" s="646"/>
      <c r="E58" s="645"/>
      <c r="F58" s="646"/>
      <c r="G58" s="453" t="s">
        <v>234</v>
      </c>
      <c r="H58" s="643" t="s">
        <v>259</v>
      </c>
      <c r="I58" s="645"/>
      <c r="J58" s="38"/>
      <c r="K58" s="38"/>
      <c r="L58" s="39"/>
      <c r="M58" s="38"/>
      <c r="N58" s="39"/>
      <c r="O58" s="38"/>
      <c r="P58" s="39"/>
      <c r="Q58" s="38"/>
      <c r="R58" s="39"/>
      <c r="S58" s="38"/>
      <c r="T58" s="39"/>
      <c r="U58" s="38"/>
      <c r="V58" s="39"/>
      <c r="W58" s="38"/>
      <c r="X58" s="39"/>
      <c r="Y58" s="38"/>
      <c r="Z58" s="39"/>
      <c r="AA58" s="38"/>
      <c r="AB58" s="39"/>
      <c r="AC58" s="38"/>
      <c r="AD58" s="39"/>
      <c r="AE58" s="38"/>
      <c r="AF58" s="39"/>
      <c r="AG58" s="38"/>
      <c r="AH58" s="39"/>
      <c r="AI58" s="38"/>
      <c r="AJ58" s="39"/>
      <c r="AK58" s="40"/>
      <c r="AL58" s="39"/>
      <c r="AM58" s="40"/>
      <c r="AN58" s="39"/>
      <c r="AO58" s="40"/>
      <c r="AP58" s="39"/>
      <c r="AQ58" s="40"/>
      <c r="AR58" s="39"/>
      <c r="AS58" s="40"/>
      <c r="AT58" s="39"/>
      <c r="AU58" s="40"/>
      <c r="AV58" s="39"/>
      <c r="AW58" s="40"/>
      <c r="AX58" s="39"/>
      <c r="AY58" s="40"/>
      <c r="AZ58" s="39"/>
      <c r="BA58" s="40"/>
      <c r="BB58" s="39"/>
      <c r="BC58" s="40"/>
      <c r="BD58" s="39"/>
      <c r="BE58" s="40"/>
      <c r="BF58" s="39"/>
      <c r="BG58" s="40"/>
      <c r="BH58" s="39"/>
      <c r="BI58" s="40"/>
      <c r="BJ58" s="39"/>
      <c r="BK58" s="40"/>
      <c r="BL58" s="39"/>
      <c r="BM58" s="40"/>
      <c r="BN58" s="39"/>
      <c r="BO58" s="40"/>
      <c r="BP58" s="39"/>
      <c r="BQ58" s="40"/>
      <c r="BR58" s="39"/>
      <c r="BS58" s="40"/>
      <c r="BT58" s="39"/>
      <c r="BU58" s="40"/>
      <c r="BV58" s="39"/>
      <c r="BW58" s="40"/>
      <c r="BX58" s="39"/>
      <c r="BY58" s="40"/>
      <c r="BZ58" s="39"/>
      <c r="CA58" s="40"/>
      <c r="CB58" s="39"/>
      <c r="CC58" s="40"/>
      <c r="CD58" s="39"/>
      <c r="CE58" s="40"/>
      <c r="CF58" s="39"/>
      <c r="CG58" s="40"/>
      <c r="CH58" s="39"/>
      <c r="CI58" s="40"/>
      <c r="CJ58" s="39"/>
      <c r="CK58" s="40"/>
      <c r="CL58" s="39"/>
      <c r="CM58" s="40"/>
      <c r="CN58" s="39"/>
      <c r="CO58" s="40"/>
      <c r="CP58" s="39"/>
      <c r="CQ58" s="40"/>
      <c r="CR58" s="39"/>
      <c r="CS58" s="40"/>
      <c r="CT58" s="39"/>
      <c r="CU58" s="40"/>
      <c r="CV58" s="39"/>
      <c r="CW58" s="40"/>
      <c r="CX58" s="39"/>
      <c r="CY58" s="40"/>
      <c r="CZ58" s="39"/>
      <c r="DA58" s="40"/>
      <c r="DB58" s="39"/>
      <c r="DC58" s="40"/>
      <c r="DD58" s="39"/>
      <c r="DE58" s="40"/>
      <c r="DF58" s="39"/>
      <c r="DG58" s="40"/>
      <c r="DH58" s="39"/>
      <c r="DI58" s="40"/>
      <c r="DJ58" s="39"/>
      <c r="DK58" s="40"/>
      <c r="DL58" s="39"/>
      <c r="DM58" s="40"/>
      <c r="DN58" s="39"/>
      <c r="DO58" s="40"/>
      <c r="DP58" s="39"/>
      <c r="DQ58" s="40"/>
      <c r="DR58" s="39"/>
      <c r="DS58" s="40"/>
      <c r="DT58" s="39"/>
      <c r="DU58" s="40"/>
      <c r="DV58" s="39"/>
      <c r="DW58" s="40"/>
      <c r="DX58" s="39"/>
      <c r="DY58" s="40"/>
      <c r="DZ58" s="39"/>
      <c r="EA58" s="40"/>
      <c r="EB58" s="39"/>
      <c r="EC58" s="40"/>
      <c r="ED58" s="39"/>
      <c r="EE58" s="40"/>
      <c r="EF58" s="39"/>
      <c r="EG58" s="40"/>
      <c r="EH58" s="39"/>
      <c r="EI58" s="40"/>
      <c r="EJ58" s="39"/>
      <c r="EK58" s="40"/>
      <c r="EL58" s="39"/>
      <c r="EM58" s="40"/>
      <c r="EN58" s="39"/>
      <c r="EO58" s="40"/>
      <c r="EP58" s="39"/>
      <c r="EQ58" s="40"/>
      <c r="ER58" s="39"/>
      <c r="ES58" s="40"/>
      <c r="ET58" s="39"/>
      <c r="EU58" s="40"/>
      <c r="EV58" s="39"/>
      <c r="EW58" s="40"/>
      <c r="EX58" s="39"/>
      <c r="EY58" s="40"/>
      <c r="EZ58" s="39"/>
      <c r="FA58" s="40"/>
      <c r="FB58" s="39"/>
      <c r="FC58" s="40"/>
      <c r="FD58" s="39"/>
      <c r="FE58" s="40"/>
      <c r="FF58" s="39"/>
      <c r="FG58" s="40"/>
      <c r="FH58" s="39"/>
      <c r="FI58" s="40"/>
      <c r="FJ58" s="39"/>
      <c r="FK58" s="40"/>
      <c r="FL58" s="39"/>
      <c r="FM58" s="40"/>
      <c r="FN58" s="39"/>
      <c r="FO58" s="40"/>
      <c r="FP58" s="39"/>
      <c r="FQ58" s="40"/>
      <c r="FR58" s="39"/>
      <c r="FS58" s="40"/>
      <c r="FT58" s="39"/>
      <c r="FU58" s="40"/>
      <c r="FV58" s="39"/>
      <c r="FW58" s="40"/>
      <c r="FX58" s="39"/>
      <c r="FY58" s="40"/>
      <c r="FZ58" s="39"/>
      <c r="GA58" s="40"/>
      <c r="GB58" s="39"/>
      <c r="GC58" s="40"/>
      <c r="GD58" s="39"/>
      <c r="GE58" s="40"/>
      <c r="GF58" s="39"/>
      <c r="GG58" s="40"/>
      <c r="GH58" s="39"/>
      <c r="GI58" s="40"/>
      <c r="GJ58" s="39"/>
      <c r="GK58" s="40"/>
      <c r="GL58" s="39"/>
      <c r="GM58" s="40"/>
      <c r="GN58" s="39"/>
      <c r="GO58" s="40"/>
      <c r="GP58" s="39"/>
      <c r="GQ58" s="40"/>
      <c r="GR58" s="39"/>
      <c r="GS58" s="40"/>
      <c r="GT58" s="39"/>
      <c r="GU58" s="40"/>
      <c r="GV58" s="39"/>
      <c r="GW58" s="40"/>
      <c r="GX58" s="39"/>
      <c r="GY58" s="40"/>
      <c r="GZ58" s="39"/>
      <c r="HA58" s="40"/>
      <c r="HB58" s="39"/>
      <c r="HC58" s="40"/>
      <c r="HD58" s="39"/>
      <c r="HE58" s="40"/>
      <c r="HF58" s="39"/>
      <c r="HG58" s="40"/>
      <c r="HH58" s="39"/>
      <c r="HI58" s="40"/>
      <c r="HJ58" s="39"/>
      <c r="HK58" s="40"/>
      <c r="HL58" s="39"/>
      <c r="HM58" s="40"/>
      <c r="HN58" s="39"/>
      <c r="HO58" s="40"/>
      <c r="HP58" s="39"/>
      <c r="HQ58" s="40"/>
      <c r="HR58" s="39"/>
      <c r="HS58" s="40"/>
      <c r="HT58" s="39"/>
      <c r="HU58" s="40"/>
      <c r="HV58" s="39"/>
      <c r="HW58" s="40"/>
      <c r="HX58" s="39"/>
      <c r="HY58" s="40"/>
      <c r="HZ58" s="39"/>
      <c r="IA58" s="40"/>
      <c r="IB58" s="39"/>
      <c r="IC58" s="1068"/>
      <c r="ID58" s="645"/>
      <c r="IE58" s="646"/>
      <c r="IF58" s="645"/>
      <c r="IG58" s="646"/>
      <c r="IH58" s="645"/>
      <c r="II58" s="646"/>
      <c r="IJ58" s="645"/>
      <c r="IK58" s="646"/>
      <c r="IL58" s="645"/>
      <c r="IM58" s="646"/>
      <c r="IN58" s="645"/>
      <c r="IO58" s="646"/>
      <c r="IP58" s="645"/>
      <c r="IQ58" s="646"/>
      <c r="IR58" s="645"/>
      <c r="IS58" s="646"/>
      <c r="IT58" s="645"/>
      <c r="IU58" s="646"/>
      <c r="IV58" s="645"/>
      <c r="IW58" s="646"/>
      <c r="IX58" s="645"/>
      <c r="IY58" s="646"/>
      <c r="IZ58" s="645"/>
      <c r="JA58" s="646"/>
      <c r="JB58" s="645"/>
      <c r="JC58" s="646"/>
      <c r="JD58" s="645"/>
      <c r="JE58" s="646"/>
      <c r="JF58" s="645"/>
      <c r="JG58" s="646"/>
      <c r="JH58" s="645"/>
      <c r="JI58" s="646"/>
      <c r="JJ58" s="645"/>
      <c r="JK58" s="646"/>
      <c r="JL58" s="645"/>
      <c r="JM58" s="646"/>
      <c r="JN58" s="645"/>
      <c r="JO58" s="646"/>
      <c r="JP58" s="645"/>
      <c r="JQ58" s="646"/>
      <c r="JR58" s="645"/>
      <c r="JS58" s="646"/>
      <c r="JT58" s="645"/>
      <c r="JU58" s="646"/>
      <c r="JV58" s="645"/>
      <c r="JW58" s="646"/>
      <c r="JX58" s="645"/>
      <c r="JY58" s="646"/>
      <c r="JZ58" s="645"/>
      <c r="KA58" s="646"/>
      <c r="KB58" s="645"/>
      <c r="KC58" s="646"/>
      <c r="KD58" s="645"/>
      <c r="KE58" s="646"/>
      <c r="KF58" s="645"/>
      <c r="KG58" s="646"/>
      <c r="KH58" s="645"/>
      <c r="KI58" s="646"/>
      <c r="KJ58" s="645"/>
      <c r="KK58" s="646"/>
      <c r="KL58" s="645"/>
      <c r="KM58" s="646"/>
      <c r="KN58" s="645"/>
      <c r="KO58" s="646"/>
      <c r="KP58" s="645"/>
      <c r="KQ58" s="646"/>
      <c r="KR58" s="645"/>
      <c r="KS58" s="646"/>
      <c r="KT58" s="645"/>
      <c r="KU58" s="646"/>
      <c r="KV58" s="645"/>
      <c r="KW58" s="646"/>
      <c r="KX58" s="645"/>
      <c r="KY58" s="646"/>
      <c r="KZ58" s="645"/>
      <c r="LA58" s="646"/>
      <c r="LB58" s="645"/>
      <c r="LC58" s="646"/>
      <c r="LD58" s="645"/>
      <c r="LE58" s="646"/>
      <c r="LF58" s="645"/>
      <c r="LG58" s="646"/>
      <c r="LH58" s="645"/>
      <c r="LI58" s="646"/>
      <c r="LJ58" s="645"/>
      <c r="LK58" s="646"/>
      <c r="LL58" s="645"/>
      <c r="LM58" s="646"/>
      <c r="LN58" s="645"/>
      <c r="LO58" s="646"/>
      <c r="LP58" s="645"/>
      <c r="LQ58" s="646"/>
      <c r="LR58" s="645"/>
      <c r="LS58" s="646"/>
      <c r="LT58" s="645"/>
      <c r="LU58" s="646"/>
      <c r="LV58" s="645"/>
      <c r="LW58" s="646"/>
      <c r="LX58" s="645"/>
      <c r="LY58" s="646"/>
      <c r="LZ58" s="645"/>
      <c r="MA58" s="646"/>
      <c r="MB58" s="645"/>
      <c r="MC58" s="646"/>
      <c r="MD58" s="645"/>
      <c r="ME58" s="646"/>
      <c r="MF58" s="645"/>
      <c r="MG58" s="646"/>
      <c r="MH58" s="645"/>
      <c r="MI58" s="646"/>
      <c r="MJ58" s="645"/>
      <c r="MK58" s="646"/>
      <c r="ML58" s="645"/>
      <c r="MM58" s="646"/>
      <c r="MN58" s="645"/>
      <c r="MO58" s="646"/>
      <c r="MP58" s="645"/>
      <c r="MQ58" s="646"/>
      <c r="MR58" s="645"/>
      <c r="MS58" s="646"/>
      <c r="MT58" s="645"/>
      <c r="MU58" s="646"/>
      <c r="MV58" s="645"/>
      <c r="MW58" s="646"/>
      <c r="MX58" s="645"/>
      <c r="MY58" s="646"/>
      <c r="MZ58" s="645"/>
      <c r="NA58" s="646"/>
      <c r="NB58" s="645"/>
      <c r="NC58" s="646"/>
      <c r="ND58" s="645"/>
      <c r="NE58" s="646"/>
      <c r="NF58" s="645"/>
      <c r="NG58" s="646"/>
      <c r="NH58" s="645"/>
      <c r="NI58" s="646"/>
      <c r="NJ58" s="645"/>
      <c r="NK58" s="646"/>
      <c r="NL58" s="645"/>
      <c r="NM58" s="646"/>
      <c r="NN58" s="645"/>
      <c r="NO58" s="646"/>
      <c r="NP58" s="645"/>
      <c r="NQ58" s="646"/>
      <c r="NR58" s="645"/>
      <c r="NS58" s="646"/>
      <c r="NT58" s="645"/>
      <c r="NU58" s="646"/>
      <c r="NV58" s="645"/>
      <c r="NW58" s="646"/>
      <c r="NX58" s="645"/>
      <c r="NY58" s="646"/>
      <c r="NZ58" s="645"/>
      <c r="OA58" s="646"/>
      <c r="OB58" s="645"/>
      <c r="OC58" s="646"/>
      <c r="OD58" s="645"/>
      <c r="OE58" s="646"/>
      <c r="OF58" s="645"/>
      <c r="OG58" s="646"/>
      <c r="OH58" s="645"/>
      <c r="OI58" s="646"/>
      <c r="OJ58" s="645"/>
      <c r="OK58" s="646"/>
      <c r="OL58" s="645"/>
      <c r="OM58" s="646"/>
      <c r="ON58" s="645"/>
      <c r="OO58" s="646"/>
      <c r="OP58" s="645"/>
      <c r="OQ58" s="646"/>
      <c r="OR58" s="645"/>
      <c r="OS58" s="646"/>
      <c r="OT58" s="645"/>
      <c r="OU58" s="646"/>
      <c r="OV58" s="645"/>
      <c r="OW58" s="646"/>
      <c r="OX58" s="645"/>
      <c r="OY58" s="646"/>
      <c r="OZ58" s="645"/>
      <c r="PA58" s="646"/>
      <c r="PB58" s="645"/>
      <c r="PC58" s="646"/>
      <c r="PD58" s="645"/>
      <c r="PE58" s="646"/>
      <c r="PF58" s="645"/>
      <c r="PG58" s="646"/>
      <c r="PH58" s="645"/>
      <c r="PI58" s="646"/>
      <c r="PJ58" s="645"/>
      <c r="PK58" s="646"/>
      <c r="PL58" s="645"/>
      <c r="PM58" s="646"/>
      <c r="PN58" s="645"/>
      <c r="PO58" s="646"/>
      <c r="PP58" s="645"/>
      <c r="PQ58" s="646"/>
      <c r="PR58" s="645"/>
      <c r="PS58" s="646"/>
      <c r="PT58" s="645"/>
      <c r="PU58" s="646"/>
      <c r="PV58" s="645"/>
      <c r="PW58" s="646"/>
      <c r="PX58" s="645"/>
      <c r="PY58" s="646"/>
      <c r="PZ58" s="645"/>
      <c r="QA58" s="646"/>
      <c r="QB58" s="645"/>
      <c r="QC58" s="646"/>
      <c r="QD58" s="645"/>
      <c r="QE58" s="646"/>
      <c r="QF58" s="645"/>
      <c r="QG58" s="646"/>
      <c r="QH58" s="645"/>
      <c r="QI58" s="646"/>
      <c r="QJ58" s="645"/>
      <c r="QK58" s="646"/>
      <c r="QL58" s="645"/>
      <c r="QM58" s="646"/>
      <c r="QN58" s="645"/>
      <c r="QO58" s="646"/>
      <c r="QP58" s="645"/>
      <c r="QQ58" s="646"/>
      <c r="QR58" s="645"/>
      <c r="QS58" s="646"/>
      <c r="QT58" s="645"/>
      <c r="QU58" s="646"/>
      <c r="QV58" s="645"/>
      <c r="QW58" s="646"/>
      <c r="QX58" s="645"/>
      <c r="QY58" s="646"/>
      <c r="QZ58" s="645"/>
      <c r="RA58" s="646"/>
      <c r="RB58" s="645"/>
      <c r="RC58" s="646"/>
      <c r="RD58" s="645"/>
      <c r="RE58" s="646"/>
      <c r="RF58" s="645"/>
      <c r="RG58" s="646"/>
      <c r="RH58" s="645"/>
      <c r="RI58" s="646"/>
      <c r="RJ58" s="645"/>
      <c r="RK58" s="646"/>
      <c r="RL58" s="645"/>
      <c r="RM58" s="646"/>
      <c r="RN58" s="645"/>
      <c r="RO58" s="646"/>
      <c r="RP58" s="645"/>
      <c r="RQ58" s="646"/>
      <c r="RR58" s="645"/>
      <c r="RS58" s="646"/>
      <c r="RT58" s="645"/>
      <c r="RU58" s="646"/>
      <c r="RV58" s="645"/>
      <c r="RW58" s="646"/>
      <c r="RX58" s="645"/>
      <c r="RY58" s="646"/>
      <c r="RZ58" s="645"/>
      <c r="SA58" s="646"/>
      <c r="SB58" s="645"/>
      <c r="SC58" s="646"/>
      <c r="SD58" s="645"/>
      <c r="SE58" s="646"/>
      <c r="SF58" s="645"/>
      <c r="SG58" s="646"/>
      <c r="SH58" s="645"/>
      <c r="SI58" s="646"/>
      <c r="SJ58" s="645"/>
      <c r="SK58" s="646"/>
      <c r="SL58" s="645"/>
      <c r="SM58" s="646"/>
      <c r="SN58" s="645"/>
      <c r="SO58" s="646"/>
      <c r="SP58" s="645"/>
      <c r="SQ58" s="646"/>
      <c r="SR58" s="645"/>
      <c r="SS58" s="646"/>
      <c r="ST58" s="645"/>
      <c r="SU58" s="646"/>
      <c r="SV58" s="645"/>
      <c r="SW58" s="646"/>
      <c r="SX58" s="645"/>
      <c r="SY58" s="646"/>
      <c r="SZ58" s="645"/>
      <c r="TA58" s="646"/>
      <c r="TB58" s="645"/>
      <c r="TC58" s="646"/>
      <c r="TD58" s="645"/>
      <c r="TE58" s="646"/>
      <c r="TF58" s="645"/>
      <c r="TG58" s="646"/>
      <c r="TH58" s="645"/>
      <c r="TI58" s="646"/>
      <c r="TJ58" s="645"/>
      <c r="TK58" s="646"/>
      <c r="TL58" s="645"/>
      <c r="TM58" s="646"/>
      <c r="TN58" s="645"/>
      <c r="TO58" s="646"/>
      <c r="TP58" s="645"/>
      <c r="TQ58" s="646"/>
      <c r="TR58" s="645"/>
      <c r="TS58" s="646"/>
      <c r="TT58" s="645"/>
      <c r="TU58" s="646"/>
      <c r="TV58" s="645"/>
      <c r="TW58" s="646"/>
      <c r="TX58" s="645"/>
      <c r="TY58" s="646"/>
      <c r="TZ58" s="645"/>
      <c r="UA58" s="646"/>
      <c r="UB58" s="645"/>
      <c r="UC58" s="646"/>
      <c r="UD58" s="645"/>
      <c r="UE58" s="646"/>
      <c r="UF58" s="645"/>
      <c r="UG58" s="646"/>
      <c r="UH58" s="645"/>
      <c r="UI58" s="646"/>
      <c r="UJ58" s="645"/>
      <c r="UK58" s="646"/>
      <c r="UL58" s="645"/>
      <c r="UM58" s="646"/>
      <c r="UN58" s="645"/>
      <c r="UO58" s="646"/>
      <c r="UP58" s="645"/>
      <c r="UQ58" s="646"/>
      <c r="UR58" s="645"/>
      <c r="US58" s="646"/>
      <c r="UT58" s="645"/>
      <c r="UU58" s="646"/>
      <c r="UV58" s="645"/>
      <c r="UW58" s="646"/>
      <c r="UX58" s="645"/>
      <c r="UY58" s="646"/>
      <c r="UZ58" s="645"/>
      <c r="VA58" s="646"/>
      <c r="VB58" s="645"/>
      <c r="VC58" s="646"/>
      <c r="VD58" s="645"/>
      <c r="VE58" s="646"/>
      <c r="VF58" s="645"/>
      <c r="VG58" s="646"/>
      <c r="VH58" s="645"/>
      <c r="VI58" s="646"/>
      <c r="VJ58" s="645"/>
      <c r="VK58" s="646"/>
      <c r="VL58" s="645"/>
      <c r="VM58" s="646"/>
      <c r="VN58" s="645"/>
      <c r="VO58" s="646"/>
      <c r="VP58" s="645"/>
      <c r="VQ58" s="646"/>
      <c r="VR58" s="645"/>
      <c r="VS58" s="646"/>
      <c r="VT58" s="645"/>
      <c r="VU58" s="646"/>
      <c r="VV58" s="645"/>
      <c r="VW58" s="646"/>
      <c r="VX58" s="645"/>
      <c r="VY58" s="646"/>
      <c r="VZ58" s="645"/>
      <c r="WA58" s="646"/>
      <c r="WB58" s="645"/>
      <c r="WC58" s="646"/>
      <c r="WD58" s="645"/>
      <c r="WE58" s="646"/>
      <c r="WF58" s="645"/>
      <c r="WG58" s="646"/>
      <c r="WH58" s="645"/>
      <c r="WI58" s="646"/>
      <c r="WJ58" s="645"/>
      <c r="WK58" s="646"/>
      <c r="WL58" s="645"/>
      <c r="WM58" s="646"/>
      <c r="WN58" s="645"/>
      <c r="WO58" s="646"/>
      <c r="WP58" s="645"/>
      <c r="WQ58" s="646"/>
      <c r="WR58" s="645"/>
      <c r="WS58" s="646"/>
      <c r="WT58" s="645"/>
      <c r="WU58" s="646"/>
      <c r="WV58" s="645"/>
      <c r="WW58" s="646"/>
      <c r="WX58" s="645"/>
      <c r="WY58" s="646"/>
      <c r="WZ58" s="645"/>
      <c r="XA58" s="646"/>
      <c r="XB58" s="645"/>
      <c r="XC58" s="646"/>
      <c r="XD58" s="645"/>
      <c r="XE58" s="646"/>
      <c r="XF58" s="645"/>
      <c r="XG58" s="646"/>
      <c r="XH58" s="645"/>
      <c r="XI58" s="646"/>
      <c r="XJ58" s="645"/>
      <c r="XK58" s="646"/>
      <c r="XL58" s="645"/>
      <c r="XM58" s="646"/>
      <c r="XN58" s="645"/>
      <c r="XO58" s="646"/>
      <c r="XP58" s="645"/>
      <c r="XQ58" s="646"/>
      <c r="XR58" s="645"/>
      <c r="XS58" s="646"/>
      <c r="XT58" s="645"/>
      <c r="XU58" s="646"/>
      <c r="XV58" s="645"/>
      <c r="XW58" s="646"/>
      <c r="XX58" s="645"/>
      <c r="XY58" s="646"/>
      <c r="XZ58" s="645"/>
      <c r="YA58" s="646"/>
      <c r="YB58" s="645"/>
      <c r="YC58" s="646"/>
      <c r="YD58" s="645"/>
      <c r="YE58" s="646"/>
      <c r="YF58" s="645"/>
      <c r="YG58" s="646"/>
      <c r="YH58" s="645"/>
      <c r="YI58" s="646"/>
      <c r="YJ58" s="645"/>
      <c r="YK58" s="646"/>
      <c r="YL58" s="645"/>
      <c r="YM58" s="646"/>
      <c r="YN58" s="645"/>
      <c r="YO58" s="646"/>
      <c r="YP58" s="645"/>
      <c r="YQ58" s="646"/>
      <c r="YR58" s="645"/>
      <c r="YS58" s="646"/>
      <c r="YT58" s="645"/>
      <c r="YU58" s="646"/>
      <c r="YV58" s="645"/>
      <c r="YW58" s="646"/>
      <c r="YX58" s="645"/>
      <c r="YY58" s="646"/>
      <c r="YZ58" s="645"/>
      <c r="ZA58" s="646"/>
      <c r="ZB58" s="645"/>
      <c r="ZC58" s="646"/>
      <c r="ZD58" s="645"/>
      <c r="ZE58" s="646"/>
      <c r="ZF58" s="645"/>
      <c r="ZG58" s="646"/>
      <c r="ZH58" s="645"/>
      <c r="ZI58" s="646"/>
      <c r="ZJ58" s="645"/>
      <c r="ZK58" s="646"/>
      <c r="ZL58" s="645"/>
      <c r="ZM58" s="646"/>
      <c r="ZN58" s="645"/>
      <c r="ZO58" s="646"/>
      <c r="ZP58" s="645"/>
      <c r="ZQ58" s="646"/>
      <c r="ZR58" s="645"/>
      <c r="ZS58" s="646"/>
      <c r="ZT58" s="645"/>
      <c r="ZU58" s="646"/>
      <c r="ZV58" s="645"/>
      <c r="ZW58" s="646"/>
      <c r="ZX58" s="645"/>
      <c r="ZY58" s="646"/>
      <c r="ZZ58" s="645"/>
      <c r="AAA58" s="646"/>
      <c r="AAB58" s="645"/>
      <c r="AAC58" s="646"/>
      <c r="AAD58" s="645"/>
      <c r="AAE58" s="646"/>
      <c r="AAF58" s="645"/>
      <c r="AAG58" s="646"/>
      <c r="AAH58" s="645"/>
      <c r="AAI58" s="646"/>
      <c r="AAJ58" s="645"/>
      <c r="AAK58" s="646"/>
      <c r="AAL58" s="645"/>
      <c r="AAM58" s="646"/>
      <c r="AAN58" s="645"/>
      <c r="AAO58" s="646"/>
      <c r="AAP58" s="645"/>
      <c r="AAQ58" s="646"/>
      <c r="AAR58" s="645"/>
      <c r="AAS58" s="646"/>
      <c r="AAT58" s="645"/>
      <c r="AAU58" s="646"/>
      <c r="AAV58" s="645"/>
      <c r="AAW58" s="646"/>
      <c r="AAX58" s="645"/>
      <c r="AAY58" s="646"/>
      <c r="AAZ58" s="645"/>
      <c r="ABA58" s="646"/>
      <c r="ABB58" s="645"/>
      <c r="ABC58" s="646"/>
      <c r="ABD58" s="645"/>
      <c r="ABE58" s="646"/>
      <c r="ABF58" s="645"/>
      <c r="ABG58" s="646"/>
      <c r="ABH58" s="645"/>
      <c r="ABI58" s="646"/>
      <c r="ABJ58" s="645"/>
      <c r="ABK58" s="646"/>
      <c r="ABL58" s="645"/>
      <c r="ABM58" s="646"/>
      <c r="ABN58" s="645"/>
      <c r="ABO58" s="646"/>
      <c r="ABP58" s="645"/>
      <c r="ABQ58" s="646"/>
      <c r="ABR58" s="645"/>
      <c r="ABS58" s="646"/>
      <c r="ABT58" s="645"/>
      <c r="ABU58" s="646"/>
      <c r="ABV58" s="645"/>
      <c r="ABW58" s="646"/>
      <c r="ABX58" s="645"/>
      <c r="ABY58" s="646"/>
      <c r="ABZ58" s="645"/>
      <c r="ACA58" s="646"/>
      <c r="ACB58" s="645"/>
      <c r="ACC58" s="646"/>
      <c r="ACD58" s="645"/>
      <c r="ACE58" s="646"/>
      <c r="ACF58" s="645"/>
      <c r="ACG58" s="646"/>
      <c r="ACH58" s="645"/>
      <c r="ACI58" s="646"/>
      <c r="ACJ58" s="645"/>
      <c r="ACK58" s="646"/>
      <c r="ACL58" s="645"/>
      <c r="ACM58" s="646"/>
      <c r="ACN58" s="645"/>
      <c r="ACO58" s="646"/>
      <c r="ACP58" s="645"/>
      <c r="ACQ58" s="646"/>
      <c r="ACR58" s="645"/>
      <c r="ACS58" s="646"/>
      <c r="ACT58" s="645"/>
      <c r="ACU58" s="646"/>
      <c r="ACV58" s="645"/>
      <c r="ACW58" s="646"/>
      <c r="ACX58" s="645"/>
      <c r="ACY58" s="646"/>
      <c r="ACZ58" s="645"/>
      <c r="ADA58" s="646"/>
      <c r="ADB58" s="645"/>
      <c r="ADC58" s="646"/>
      <c r="ADD58" s="645"/>
      <c r="ADE58" s="646"/>
      <c r="ADF58" s="645"/>
      <c r="ADG58" s="646"/>
      <c r="ADH58" s="645"/>
      <c r="ADI58" s="646"/>
      <c r="ADJ58" s="645"/>
      <c r="ADK58" s="646"/>
      <c r="ADL58" s="645"/>
      <c r="ADM58" s="646"/>
      <c r="ADN58" s="645"/>
      <c r="ADO58" s="646"/>
      <c r="ADP58" s="645"/>
      <c r="ADQ58" s="646"/>
      <c r="ADR58" s="645"/>
      <c r="ADS58" s="646"/>
      <c r="ADT58" s="645"/>
      <c r="ADU58" s="646"/>
      <c r="ADV58" s="645"/>
      <c r="ADW58" s="646"/>
      <c r="ADX58" s="645"/>
      <c r="ADY58" s="646"/>
      <c r="ADZ58" s="645"/>
      <c r="AEA58" s="646"/>
      <c r="AEB58" s="645"/>
      <c r="AEC58" s="646"/>
      <c r="AED58" s="645"/>
      <c r="AEE58" s="646"/>
      <c r="AEF58" s="645"/>
      <c r="AEG58" s="646"/>
      <c r="AEH58" s="645"/>
      <c r="AEI58" s="646"/>
      <c r="AEJ58" s="645"/>
      <c r="AEK58" s="646"/>
      <c r="AEL58" s="645"/>
      <c r="AEM58" s="646"/>
      <c r="AEN58" s="645"/>
      <c r="AEO58" s="646"/>
      <c r="AEP58" s="645"/>
      <c r="AEQ58" s="646"/>
      <c r="AER58" s="645"/>
      <c r="AES58" s="646"/>
      <c r="AET58" s="645"/>
      <c r="AEU58" s="646"/>
      <c r="AEV58" s="645"/>
      <c r="AEW58" s="646"/>
      <c r="AEX58" s="645"/>
      <c r="AEY58" s="646"/>
      <c r="AEZ58" s="645"/>
      <c r="AFA58" s="646"/>
      <c r="AFB58" s="645"/>
      <c r="AFC58" s="646"/>
      <c r="AFD58" s="645"/>
      <c r="AFE58" s="646"/>
      <c r="AFF58" s="645"/>
      <c r="AFG58" s="646"/>
      <c r="AFH58" s="645"/>
      <c r="AFI58" s="646"/>
      <c r="AFJ58" s="645"/>
      <c r="AFK58" s="646"/>
      <c r="AFL58" s="645"/>
      <c r="AFM58" s="646"/>
      <c r="AFN58" s="645"/>
      <c r="AFO58" s="646"/>
      <c r="AFP58" s="645"/>
      <c r="AFQ58" s="646"/>
      <c r="AFR58" s="645"/>
      <c r="AFS58" s="646"/>
      <c r="AFT58" s="645"/>
      <c r="AFU58" s="646"/>
      <c r="AFV58" s="645"/>
      <c r="AFW58" s="646"/>
      <c r="AFX58" s="645"/>
      <c r="AFY58" s="646"/>
      <c r="AFZ58" s="645"/>
      <c r="AGA58" s="646"/>
      <c r="AGB58" s="645"/>
      <c r="AGC58" s="646"/>
      <c r="AGD58" s="645"/>
      <c r="AGE58" s="646"/>
      <c r="AGF58" s="645"/>
      <c r="AGG58" s="646"/>
      <c r="AGH58" s="645"/>
      <c r="AGI58" s="646"/>
      <c r="AGJ58" s="645"/>
      <c r="AGK58" s="646"/>
      <c r="AGL58" s="645"/>
      <c r="AGM58" s="646"/>
      <c r="AGN58" s="645"/>
      <c r="AGO58" s="646"/>
      <c r="AGP58" s="645"/>
      <c r="AGQ58" s="646"/>
      <c r="AGR58" s="645"/>
      <c r="AGS58" s="646"/>
      <c r="AGT58" s="645"/>
      <c r="AGU58" s="646"/>
      <c r="AGV58" s="645"/>
      <c r="AGW58" s="646"/>
      <c r="AGX58" s="645"/>
      <c r="AGY58" s="646"/>
      <c r="AGZ58" s="645"/>
      <c r="AHA58" s="646"/>
      <c r="AHB58" s="645"/>
      <c r="AHC58" s="646"/>
      <c r="AHD58" s="645"/>
      <c r="AHE58" s="646"/>
      <c r="AHF58" s="645"/>
      <c r="AHG58" s="646"/>
      <c r="AHH58" s="645"/>
      <c r="AHI58" s="646"/>
      <c r="AHJ58" s="645"/>
      <c r="AHK58" s="646"/>
      <c r="AHL58" s="645"/>
      <c r="AHM58" s="646"/>
      <c r="AHN58" s="645"/>
      <c r="AHO58" s="646"/>
      <c r="AHP58" s="645"/>
      <c r="AHQ58" s="646"/>
      <c r="AHR58" s="645"/>
      <c r="AHS58" s="646"/>
      <c r="AHT58" s="645"/>
      <c r="AHU58" s="646"/>
      <c r="AHV58" s="645"/>
      <c r="AHW58" s="646"/>
      <c r="AHX58" s="645"/>
      <c r="AHY58" s="646"/>
      <c r="AHZ58" s="645"/>
      <c r="AIA58" s="646"/>
      <c r="AIB58" s="645"/>
      <c r="AIC58" s="646"/>
      <c r="AID58" s="645"/>
      <c r="AIE58" s="646"/>
      <c r="AIF58" s="645"/>
      <c r="AIG58" s="646"/>
      <c r="AIH58" s="645"/>
      <c r="AII58" s="646"/>
      <c r="AIJ58" s="645"/>
      <c r="AIK58" s="646"/>
      <c r="AIL58" s="645"/>
      <c r="AIM58" s="646"/>
      <c r="AIN58" s="645"/>
      <c r="AIO58" s="646"/>
      <c r="AIP58" s="645"/>
      <c r="AIQ58" s="645"/>
      <c r="AIR58" s="645"/>
      <c r="AIS58" s="645"/>
      <c r="AIT58" s="645"/>
      <c r="AIU58" s="645"/>
      <c r="AIV58" s="645"/>
      <c r="AIW58" s="645"/>
      <c r="AIX58" s="645"/>
      <c r="AIY58" s="645"/>
      <c r="AIZ58" s="645"/>
      <c r="AJA58" s="645"/>
      <c r="AJB58" s="645"/>
      <c r="AJC58" s="645"/>
      <c r="AJD58" s="645"/>
      <c r="AJE58" s="645"/>
      <c r="AJF58" s="645"/>
      <c r="AJG58" s="645"/>
      <c r="AJH58" s="645"/>
      <c r="AJI58" s="645"/>
      <c r="AJJ58" s="645"/>
      <c r="AJK58" s="645"/>
      <c r="AJL58" s="645"/>
      <c r="AJM58" s="645"/>
      <c r="AJN58" s="645"/>
      <c r="AJO58" s="645"/>
      <c r="AJP58" s="645"/>
      <c r="AJQ58" s="645"/>
      <c r="AJR58" s="645"/>
      <c r="AJS58" s="645"/>
      <c r="AJT58" s="645"/>
      <c r="AJU58" s="645"/>
      <c r="AJV58" s="645"/>
      <c r="AJW58" s="645"/>
      <c r="AJX58" s="645"/>
      <c r="AJY58" s="645"/>
      <c r="AJZ58" s="645"/>
      <c r="AKA58" s="645"/>
      <c r="AKB58" s="645"/>
      <c r="AKC58" s="645"/>
      <c r="AKD58" s="645"/>
      <c r="AKE58" s="645"/>
      <c r="AKF58" s="645"/>
      <c r="AKG58" s="645"/>
      <c r="AKH58" s="645"/>
      <c r="AKI58" s="645"/>
      <c r="AKJ58" s="645"/>
      <c r="AKK58" s="645"/>
      <c r="AKL58" s="645"/>
      <c r="AKM58" s="645"/>
      <c r="AKN58" s="645"/>
      <c r="AKO58" s="645"/>
      <c r="AKP58" s="645"/>
      <c r="AKQ58" s="645"/>
      <c r="AKR58" s="645"/>
      <c r="AKS58" s="645"/>
      <c r="AKT58" s="645"/>
      <c r="AKU58" s="645"/>
      <c r="AKV58" s="645"/>
      <c r="AKW58" s="645"/>
      <c r="AKX58" s="645"/>
      <c r="AKY58" s="645"/>
      <c r="AKZ58" s="645"/>
      <c r="ALA58" s="645"/>
      <c r="ALB58" s="645"/>
      <c r="ALC58" s="645"/>
      <c r="ALD58" s="645"/>
      <c r="ALE58" s="645"/>
      <c r="ALF58" s="645"/>
      <c r="ALG58" s="645"/>
      <c r="ALH58" s="645"/>
      <c r="ALI58" s="645"/>
      <c r="ALJ58" s="645"/>
      <c r="ALK58" s="645"/>
      <c r="ALL58" s="645"/>
      <c r="ALM58" s="645"/>
      <c r="ALN58" s="645"/>
      <c r="ALO58" s="645"/>
      <c r="ALP58" s="645"/>
      <c r="ALQ58" s="645"/>
      <c r="ALR58" s="645"/>
      <c r="ALS58" s="645"/>
      <c r="ALT58" s="645"/>
      <c r="ALU58" s="645"/>
      <c r="ALV58" s="645"/>
      <c r="ALW58" s="645"/>
      <c r="ALX58" s="645"/>
      <c r="ALY58" s="645"/>
      <c r="ALZ58" s="645"/>
      <c r="AMA58" s="645"/>
      <c r="AMB58" s="645"/>
      <c r="AMC58" s="645"/>
      <c r="AMD58" s="645"/>
      <c r="AME58" s="645"/>
      <c r="AMF58" s="645"/>
      <c r="AMG58" s="645"/>
      <c r="AMH58" s="645"/>
      <c r="AMI58" s="645"/>
      <c r="AMJ58" s="645"/>
    </row>
    <row r="59" spans="1:1024" s="37" customFormat="1" ht="15.75" customHeight="1" x14ac:dyDescent="0.35">
      <c r="A59" s="600"/>
      <c r="B59" s="644" t="s">
        <v>313</v>
      </c>
      <c r="C59" s="645"/>
      <c r="D59" s="646"/>
      <c r="E59" s="645"/>
      <c r="F59" s="646"/>
      <c r="G59" s="453" t="s">
        <v>234</v>
      </c>
      <c r="H59" s="643" t="s">
        <v>259</v>
      </c>
      <c r="I59" s="645"/>
      <c r="J59" s="38"/>
      <c r="K59" s="38"/>
      <c r="L59" s="39"/>
      <c r="M59" s="38"/>
      <c r="N59" s="39"/>
      <c r="O59" s="38"/>
      <c r="P59" s="39"/>
      <c r="Q59" s="38"/>
      <c r="R59" s="39"/>
      <c r="S59" s="38"/>
      <c r="T59" s="39"/>
      <c r="U59" s="38"/>
      <c r="V59" s="39"/>
      <c r="W59" s="38"/>
      <c r="X59" s="39"/>
      <c r="Y59" s="38"/>
      <c r="Z59" s="39"/>
      <c r="AA59" s="38"/>
      <c r="AB59" s="39"/>
      <c r="AC59" s="38"/>
      <c r="AD59" s="39"/>
      <c r="AE59" s="38"/>
      <c r="AF59" s="39"/>
      <c r="AG59" s="38"/>
      <c r="AH59" s="39"/>
      <c r="AI59" s="38"/>
      <c r="AJ59" s="39"/>
      <c r="AK59" s="40"/>
      <c r="AL59" s="39"/>
      <c r="AM59" s="40"/>
      <c r="AN59" s="39"/>
      <c r="AO59" s="40"/>
      <c r="AP59" s="39"/>
      <c r="AQ59" s="40"/>
      <c r="AR59" s="39"/>
      <c r="AS59" s="40"/>
      <c r="AT59" s="39"/>
      <c r="AU59" s="40"/>
      <c r="AV59" s="39"/>
      <c r="AW59" s="40"/>
      <c r="AX59" s="39"/>
      <c r="AY59" s="40"/>
      <c r="AZ59" s="39"/>
      <c r="BA59" s="40"/>
      <c r="BB59" s="39"/>
      <c r="BC59" s="40"/>
      <c r="BD59" s="39"/>
      <c r="BE59" s="40"/>
      <c r="BF59" s="39"/>
      <c r="BG59" s="40"/>
      <c r="BH59" s="39"/>
      <c r="BI59" s="40"/>
      <c r="BJ59" s="39"/>
      <c r="BK59" s="40"/>
      <c r="BL59" s="39"/>
      <c r="BM59" s="40"/>
      <c r="BN59" s="39"/>
      <c r="BO59" s="40"/>
      <c r="BP59" s="39"/>
      <c r="BQ59" s="40"/>
      <c r="BR59" s="39"/>
      <c r="BS59" s="40"/>
      <c r="BT59" s="39"/>
      <c r="BU59" s="40"/>
      <c r="BV59" s="39"/>
      <c r="BW59" s="40"/>
      <c r="BX59" s="39"/>
      <c r="BY59" s="40"/>
      <c r="BZ59" s="39"/>
      <c r="CA59" s="40"/>
      <c r="CB59" s="39"/>
      <c r="CC59" s="40"/>
      <c r="CD59" s="39"/>
      <c r="CE59" s="40"/>
      <c r="CF59" s="39"/>
      <c r="CG59" s="40"/>
      <c r="CH59" s="39"/>
      <c r="CI59" s="40"/>
      <c r="CJ59" s="39"/>
      <c r="CK59" s="40"/>
      <c r="CL59" s="39"/>
      <c r="CM59" s="40"/>
      <c r="CN59" s="39"/>
      <c r="CO59" s="40"/>
      <c r="CP59" s="39"/>
      <c r="CQ59" s="40"/>
      <c r="CR59" s="39"/>
      <c r="CS59" s="40"/>
      <c r="CT59" s="39"/>
      <c r="CU59" s="40"/>
      <c r="CV59" s="39"/>
      <c r="CW59" s="40"/>
      <c r="CX59" s="39"/>
      <c r="CY59" s="40"/>
      <c r="CZ59" s="39"/>
      <c r="DA59" s="40"/>
      <c r="DB59" s="39"/>
      <c r="DC59" s="40"/>
      <c r="DD59" s="39"/>
      <c r="DE59" s="40"/>
      <c r="DF59" s="39"/>
      <c r="DG59" s="40"/>
      <c r="DH59" s="39"/>
      <c r="DI59" s="40"/>
      <c r="DJ59" s="39"/>
      <c r="DK59" s="40"/>
      <c r="DL59" s="39"/>
      <c r="DM59" s="40"/>
      <c r="DN59" s="39"/>
      <c r="DO59" s="40"/>
      <c r="DP59" s="39"/>
      <c r="DQ59" s="40"/>
      <c r="DR59" s="39"/>
      <c r="DS59" s="40"/>
      <c r="DT59" s="39"/>
      <c r="DU59" s="40"/>
      <c r="DV59" s="39"/>
      <c r="DW59" s="40"/>
      <c r="DX59" s="39"/>
      <c r="DY59" s="40"/>
      <c r="DZ59" s="39"/>
      <c r="EA59" s="40"/>
      <c r="EB59" s="39"/>
      <c r="EC59" s="40"/>
      <c r="ED59" s="39"/>
      <c r="EE59" s="40"/>
      <c r="EF59" s="39"/>
      <c r="EG59" s="40"/>
      <c r="EH59" s="39"/>
      <c r="EI59" s="40"/>
      <c r="EJ59" s="39"/>
      <c r="EK59" s="40"/>
      <c r="EL59" s="39"/>
      <c r="EM59" s="40"/>
      <c r="EN59" s="39"/>
      <c r="EO59" s="40"/>
      <c r="EP59" s="39"/>
      <c r="EQ59" s="40"/>
      <c r="ER59" s="39"/>
      <c r="ES59" s="40"/>
      <c r="ET59" s="39"/>
      <c r="EU59" s="40"/>
      <c r="EV59" s="39"/>
      <c r="EW59" s="40"/>
      <c r="EX59" s="39"/>
      <c r="EY59" s="40"/>
      <c r="EZ59" s="39"/>
      <c r="FA59" s="40"/>
      <c r="FB59" s="39"/>
      <c r="FC59" s="40"/>
      <c r="FD59" s="39"/>
      <c r="FE59" s="40"/>
      <c r="FF59" s="39"/>
      <c r="FG59" s="40"/>
      <c r="FH59" s="39"/>
      <c r="FI59" s="40"/>
      <c r="FJ59" s="39"/>
      <c r="FK59" s="40"/>
      <c r="FL59" s="39"/>
      <c r="FM59" s="40"/>
      <c r="FN59" s="39"/>
      <c r="FO59" s="40"/>
      <c r="FP59" s="39"/>
      <c r="FQ59" s="40"/>
      <c r="FR59" s="39"/>
      <c r="FS59" s="40"/>
      <c r="FT59" s="39"/>
      <c r="FU59" s="40"/>
      <c r="FV59" s="39"/>
      <c r="FW59" s="40"/>
      <c r="FX59" s="39"/>
      <c r="FY59" s="40"/>
      <c r="FZ59" s="39"/>
      <c r="GA59" s="40"/>
      <c r="GB59" s="39"/>
      <c r="GC59" s="40"/>
      <c r="GD59" s="39"/>
      <c r="GE59" s="40"/>
      <c r="GF59" s="39"/>
      <c r="GG59" s="40"/>
      <c r="GH59" s="39"/>
      <c r="GI59" s="40"/>
      <c r="GJ59" s="39"/>
      <c r="GK59" s="40"/>
      <c r="GL59" s="39"/>
      <c r="GM59" s="40"/>
      <c r="GN59" s="39"/>
      <c r="GO59" s="40"/>
      <c r="GP59" s="39"/>
      <c r="GQ59" s="40"/>
      <c r="GR59" s="39"/>
      <c r="GS59" s="40"/>
      <c r="GT59" s="39"/>
      <c r="GU59" s="40"/>
      <c r="GV59" s="39"/>
      <c r="GW59" s="40"/>
      <c r="GX59" s="39"/>
      <c r="GY59" s="40"/>
      <c r="GZ59" s="39"/>
      <c r="HA59" s="40"/>
      <c r="HB59" s="39"/>
      <c r="HC59" s="40"/>
      <c r="HD59" s="39"/>
      <c r="HE59" s="40"/>
      <c r="HF59" s="39"/>
      <c r="HG59" s="40"/>
      <c r="HH59" s="39"/>
      <c r="HI59" s="40"/>
      <c r="HJ59" s="39"/>
      <c r="HK59" s="40"/>
      <c r="HL59" s="39"/>
      <c r="HM59" s="40"/>
      <c r="HN59" s="39"/>
      <c r="HO59" s="40"/>
      <c r="HP59" s="39"/>
      <c r="HQ59" s="40"/>
      <c r="HR59" s="39"/>
      <c r="HS59" s="40"/>
      <c r="HT59" s="39"/>
      <c r="HU59" s="40"/>
      <c r="HV59" s="39"/>
      <c r="HW59" s="40"/>
      <c r="HX59" s="39"/>
      <c r="HY59" s="40"/>
      <c r="HZ59" s="39"/>
      <c r="IA59" s="40"/>
      <c r="IB59" s="39"/>
      <c r="IC59" s="1068"/>
      <c r="ID59" s="645"/>
      <c r="IE59" s="646"/>
      <c r="IF59" s="645"/>
      <c r="IG59" s="646"/>
      <c r="IH59" s="645"/>
      <c r="II59" s="646"/>
      <c r="IJ59" s="645"/>
      <c r="IK59" s="646"/>
      <c r="IL59" s="645"/>
      <c r="IM59" s="646"/>
      <c r="IN59" s="645"/>
      <c r="IO59" s="646"/>
      <c r="IP59" s="645"/>
      <c r="IQ59" s="646"/>
      <c r="IR59" s="645"/>
      <c r="IS59" s="646"/>
      <c r="IT59" s="645"/>
      <c r="IU59" s="646"/>
      <c r="IV59" s="645"/>
      <c r="IW59" s="646"/>
      <c r="IX59" s="645"/>
      <c r="IY59" s="646"/>
      <c r="IZ59" s="645"/>
      <c r="JA59" s="646"/>
      <c r="JB59" s="645"/>
      <c r="JC59" s="646"/>
      <c r="JD59" s="645"/>
      <c r="JE59" s="646"/>
      <c r="JF59" s="645"/>
      <c r="JG59" s="646"/>
      <c r="JH59" s="645"/>
      <c r="JI59" s="646"/>
      <c r="JJ59" s="645"/>
      <c r="JK59" s="646"/>
      <c r="JL59" s="645"/>
      <c r="JM59" s="646"/>
      <c r="JN59" s="645"/>
      <c r="JO59" s="646"/>
      <c r="JP59" s="645"/>
      <c r="JQ59" s="646"/>
      <c r="JR59" s="645"/>
      <c r="JS59" s="646"/>
      <c r="JT59" s="645"/>
      <c r="JU59" s="646"/>
      <c r="JV59" s="645"/>
      <c r="JW59" s="646"/>
      <c r="JX59" s="645"/>
      <c r="JY59" s="646"/>
      <c r="JZ59" s="645"/>
      <c r="KA59" s="646"/>
      <c r="KB59" s="645"/>
      <c r="KC59" s="646"/>
      <c r="KD59" s="645"/>
      <c r="KE59" s="646"/>
      <c r="KF59" s="645"/>
      <c r="KG59" s="646"/>
      <c r="KH59" s="645"/>
      <c r="KI59" s="646"/>
      <c r="KJ59" s="645"/>
      <c r="KK59" s="646"/>
      <c r="KL59" s="645"/>
      <c r="KM59" s="646"/>
      <c r="KN59" s="645"/>
      <c r="KO59" s="646"/>
      <c r="KP59" s="645"/>
      <c r="KQ59" s="646"/>
      <c r="KR59" s="645"/>
      <c r="KS59" s="646"/>
      <c r="KT59" s="645"/>
      <c r="KU59" s="646"/>
      <c r="KV59" s="645"/>
      <c r="KW59" s="646"/>
      <c r="KX59" s="645"/>
      <c r="KY59" s="646"/>
      <c r="KZ59" s="645"/>
      <c r="LA59" s="646"/>
      <c r="LB59" s="645"/>
      <c r="LC59" s="646"/>
      <c r="LD59" s="645"/>
      <c r="LE59" s="646"/>
      <c r="LF59" s="645"/>
      <c r="LG59" s="646"/>
      <c r="LH59" s="645"/>
      <c r="LI59" s="646"/>
      <c r="LJ59" s="645"/>
      <c r="LK59" s="646"/>
      <c r="LL59" s="645"/>
      <c r="LM59" s="646"/>
      <c r="LN59" s="645"/>
      <c r="LO59" s="646"/>
      <c r="LP59" s="645"/>
      <c r="LQ59" s="646"/>
      <c r="LR59" s="645"/>
      <c r="LS59" s="646"/>
      <c r="LT59" s="645"/>
      <c r="LU59" s="646"/>
      <c r="LV59" s="645"/>
      <c r="LW59" s="646"/>
      <c r="LX59" s="645"/>
      <c r="LY59" s="646"/>
      <c r="LZ59" s="645"/>
      <c r="MA59" s="646"/>
      <c r="MB59" s="645"/>
      <c r="MC59" s="646"/>
      <c r="MD59" s="645"/>
      <c r="ME59" s="646"/>
      <c r="MF59" s="645"/>
      <c r="MG59" s="646"/>
      <c r="MH59" s="645"/>
      <c r="MI59" s="646"/>
      <c r="MJ59" s="645"/>
      <c r="MK59" s="646"/>
      <c r="ML59" s="645"/>
      <c r="MM59" s="646"/>
      <c r="MN59" s="645"/>
      <c r="MO59" s="646"/>
      <c r="MP59" s="645"/>
      <c r="MQ59" s="646"/>
      <c r="MR59" s="645"/>
      <c r="MS59" s="646"/>
      <c r="MT59" s="645"/>
      <c r="MU59" s="646"/>
      <c r="MV59" s="645"/>
      <c r="MW59" s="646"/>
      <c r="MX59" s="645"/>
      <c r="MY59" s="646"/>
      <c r="MZ59" s="645"/>
      <c r="NA59" s="646"/>
      <c r="NB59" s="645"/>
      <c r="NC59" s="646"/>
      <c r="ND59" s="645"/>
      <c r="NE59" s="646"/>
      <c r="NF59" s="645"/>
      <c r="NG59" s="646"/>
      <c r="NH59" s="645"/>
      <c r="NI59" s="646"/>
      <c r="NJ59" s="645"/>
      <c r="NK59" s="646"/>
      <c r="NL59" s="645"/>
      <c r="NM59" s="646"/>
      <c r="NN59" s="645"/>
      <c r="NO59" s="646"/>
      <c r="NP59" s="645"/>
      <c r="NQ59" s="646"/>
      <c r="NR59" s="645"/>
      <c r="NS59" s="646"/>
      <c r="NT59" s="645"/>
      <c r="NU59" s="646"/>
      <c r="NV59" s="645"/>
      <c r="NW59" s="646"/>
      <c r="NX59" s="645"/>
      <c r="NY59" s="646"/>
      <c r="NZ59" s="645"/>
      <c r="OA59" s="646"/>
      <c r="OB59" s="645"/>
      <c r="OC59" s="646"/>
      <c r="OD59" s="645"/>
      <c r="OE59" s="646"/>
      <c r="OF59" s="645"/>
      <c r="OG59" s="646"/>
      <c r="OH59" s="645"/>
      <c r="OI59" s="646"/>
      <c r="OJ59" s="645"/>
      <c r="OK59" s="646"/>
      <c r="OL59" s="645"/>
      <c r="OM59" s="646"/>
      <c r="ON59" s="645"/>
      <c r="OO59" s="646"/>
      <c r="OP59" s="645"/>
      <c r="OQ59" s="646"/>
      <c r="OR59" s="645"/>
      <c r="OS59" s="646"/>
      <c r="OT59" s="645"/>
      <c r="OU59" s="646"/>
      <c r="OV59" s="645"/>
      <c r="OW59" s="646"/>
      <c r="OX59" s="645"/>
      <c r="OY59" s="646"/>
      <c r="OZ59" s="645"/>
      <c r="PA59" s="646"/>
      <c r="PB59" s="645"/>
      <c r="PC59" s="646"/>
      <c r="PD59" s="645"/>
      <c r="PE59" s="646"/>
      <c r="PF59" s="645"/>
      <c r="PG59" s="646"/>
      <c r="PH59" s="645"/>
      <c r="PI59" s="646"/>
      <c r="PJ59" s="645"/>
      <c r="PK59" s="646"/>
      <c r="PL59" s="645"/>
      <c r="PM59" s="646"/>
      <c r="PN59" s="645"/>
      <c r="PO59" s="646"/>
      <c r="PP59" s="645"/>
      <c r="PQ59" s="646"/>
      <c r="PR59" s="645"/>
      <c r="PS59" s="646"/>
      <c r="PT59" s="645"/>
      <c r="PU59" s="646"/>
      <c r="PV59" s="645"/>
      <c r="PW59" s="646"/>
      <c r="PX59" s="645"/>
      <c r="PY59" s="646"/>
      <c r="PZ59" s="645"/>
      <c r="QA59" s="646"/>
      <c r="QB59" s="645"/>
      <c r="QC59" s="646"/>
      <c r="QD59" s="645"/>
      <c r="QE59" s="646"/>
      <c r="QF59" s="645"/>
      <c r="QG59" s="646"/>
      <c r="QH59" s="645"/>
      <c r="QI59" s="646"/>
      <c r="QJ59" s="645"/>
      <c r="QK59" s="646"/>
      <c r="QL59" s="645"/>
      <c r="QM59" s="646"/>
      <c r="QN59" s="645"/>
      <c r="QO59" s="646"/>
      <c r="QP59" s="645"/>
      <c r="QQ59" s="646"/>
      <c r="QR59" s="645"/>
      <c r="QS59" s="646"/>
      <c r="QT59" s="645"/>
      <c r="QU59" s="646"/>
      <c r="QV59" s="645"/>
      <c r="QW59" s="646"/>
      <c r="QX59" s="645"/>
      <c r="QY59" s="646"/>
      <c r="QZ59" s="645"/>
      <c r="RA59" s="646"/>
      <c r="RB59" s="645"/>
      <c r="RC59" s="646"/>
      <c r="RD59" s="645"/>
      <c r="RE59" s="646"/>
      <c r="RF59" s="645"/>
      <c r="RG59" s="646"/>
      <c r="RH59" s="645"/>
      <c r="RI59" s="646"/>
      <c r="RJ59" s="645"/>
      <c r="RK59" s="646"/>
      <c r="RL59" s="645"/>
      <c r="RM59" s="646"/>
      <c r="RN59" s="645"/>
      <c r="RO59" s="646"/>
      <c r="RP59" s="645"/>
      <c r="RQ59" s="646"/>
      <c r="RR59" s="645"/>
      <c r="RS59" s="646"/>
      <c r="RT59" s="645"/>
      <c r="RU59" s="646"/>
      <c r="RV59" s="645"/>
      <c r="RW59" s="646"/>
      <c r="RX59" s="645"/>
      <c r="RY59" s="646"/>
      <c r="RZ59" s="645"/>
      <c r="SA59" s="646"/>
      <c r="SB59" s="645"/>
      <c r="SC59" s="646"/>
      <c r="SD59" s="645"/>
      <c r="SE59" s="646"/>
      <c r="SF59" s="645"/>
      <c r="SG59" s="646"/>
      <c r="SH59" s="645"/>
      <c r="SI59" s="646"/>
      <c r="SJ59" s="645"/>
      <c r="SK59" s="646"/>
      <c r="SL59" s="645"/>
      <c r="SM59" s="646"/>
      <c r="SN59" s="645"/>
      <c r="SO59" s="646"/>
      <c r="SP59" s="645"/>
      <c r="SQ59" s="646"/>
      <c r="SR59" s="645"/>
      <c r="SS59" s="646"/>
      <c r="ST59" s="645"/>
      <c r="SU59" s="646"/>
      <c r="SV59" s="645"/>
      <c r="SW59" s="646"/>
      <c r="SX59" s="645"/>
      <c r="SY59" s="646"/>
      <c r="SZ59" s="645"/>
      <c r="TA59" s="646"/>
      <c r="TB59" s="645"/>
      <c r="TC59" s="646"/>
      <c r="TD59" s="645"/>
      <c r="TE59" s="646"/>
      <c r="TF59" s="645"/>
      <c r="TG59" s="646"/>
      <c r="TH59" s="645"/>
      <c r="TI59" s="646"/>
      <c r="TJ59" s="645"/>
      <c r="TK59" s="646"/>
      <c r="TL59" s="645"/>
      <c r="TM59" s="646"/>
      <c r="TN59" s="645"/>
      <c r="TO59" s="646"/>
      <c r="TP59" s="645"/>
      <c r="TQ59" s="646"/>
      <c r="TR59" s="645"/>
      <c r="TS59" s="646"/>
      <c r="TT59" s="645"/>
      <c r="TU59" s="646"/>
      <c r="TV59" s="645"/>
      <c r="TW59" s="646"/>
      <c r="TX59" s="645"/>
      <c r="TY59" s="646"/>
      <c r="TZ59" s="645"/>
      <c r="UA59" s="646"/>
      <c r="UB59" s="645"/>
      <c r="UC59" s="646"/>
      <c r="UD59" s="645"/>
      <c r="UE59" s="646"/>
      <c r="UF59" s="645"/>
      <c r="UG59" s="646"/>
      <c r="UH59" s="645"/>
      <c r="UI59" s="646"/>
      <c r="UJ59" s="645"/>
      <c r="UK59" s="646"/>
      <c r="UL59" s="645"/>
      <c r="UM59" s="646"/>
      <c r="UN59" s="645"/>
      <c r="UO59" s="646"/>
      <c r="UP59" s="645"/>
      <c r="UQ59" s="646"/>
      <c r="UR59" s="645"/>
      <c r="US59" s="646"/>
      <c r="UT59" s="645"/>
      <c r="UU59" s="646"/>
      <c r="UV59" s="645"/>
      <c r="UW59" s="646"/>
      <c r="UX59" s="645"/>
      <c r="UY59" s="646"/>
      <c r="UZ59" s="645"/>
      <c r="VA59" s="646"/>
      <c r="VB59" s="645"/>
      <c r="VC59" s="646"/>
      <c r="VD59" s="645"/>
      <c r="VE59" s="646"/>
      <c r="VF59" s="645"/>
      <c r="VG59" s="646"/>
      <c r="VH59" s="645"/>
      <c r="VI59" s="646"/>
      <c r="VJ59" s="645"/>
      <c r="VK59" s="646"/>
      <c r="VL59" s="645"/>
      <c r="VM59" s="646"/>
      <c r="VN59" s="645"/>
      <c r="VO59" s="646"/>
      <c r="VP59" s="645"/>
      <c r="VQ59" s="646"/>
      <c r="VR59" s="645"/>
      <c r="VS59" s="646"/>
      <c r="VT59" s="645"/>
      <c r="VU59" s="646"/>
      <c r="VV59" s="645"/>
      <c r="VW59" s="646"/>
      <c r="VX59" s="645"/>
      <c r="VY59" s="646"/>
      <c r="VZ59" s="645"/>
      <c r="WA59" s="646"/>
      <c r="WB59" s="645"/>
      <c r="WC59" s="646"/>
      <c r="WD59" s="645"/>
      <c r="WE59" s="646"/>
      <c r="WF59" s="645"/>
      <c r="WG59" s="646"/>
      <c r="WH59" s="645"/>
      <c r="WI59" s="646"/>
      <c r="WJ59" s="645"/>
      <c r="WK59" s="646"/>
      <c r="WL59" s="645"/>
      <c r="WM59" s="646"/>
      <c r="WN59" s="645"/>
      <c r="WO59" s="646"/>
      <c r="WP59" s="645"/>
      <c r="WQ59" s="646"/>
      <c r="WR59" s="645"/>
      <c r="WS59" s="646"/>
      <c r="WT59" s="645"/>
      <c r="WU59" s="646"/>
      <c r="WV59" s="645"/>
      <c r="WW59" s="646"/>
      <c r="WX59" s="645"/>
      <c r="WY59" s="646"/>
      <c r="WZ59" s="645"/>
      <c r="XA59" s="646"/>
      <c r="XB59" s="645"/>
      <c r="XC59" s="646"/>
      <c r="XD59" s="645"/>
      <c r="XE59" s="646"/>
      <c r="XF59" s="645"/>
      <c r="XG59" s="646"/>
      <c r="XH59" s="645"/>
      <c r="XI59" s="646"/>
      <c r="XJ59" s="645"/>
      <c r="XK59" s="646"/>
      <c r="XL59" s="645"/>
      <c r="XM59" s="646"/>
      <c r="XN59" s="645"/>
      <c r="XO59" s="646"/>
      <c r="XP59" s="645"/>
      <c r="XQ59" s="646"/>
      <c r="XR59" s="645"/>
      <c r="XS59" s="646"/>
      <c r="XT59" s="645"/>
      <c r="XU59" s="646"/>
      <c r="XV59" s="645"/>
      <c r="XW59" s="646"/>
      <c r="XX59" s="645"/>
      <c r="XY59" s="646"/>
      <c r="XZ59" s="645"/>
      <c r="YA59" s="646"/>
      <c r="YB59" s="645"/>
      <c r="YC59" s="646"/>
      <c r="YD59" s="645"/>
      <c r="YE59" s="646"/>
      <c r="YF59" s="645"/>
      <c r="YG59" s="646"/>
      <c r="YH59" s="645"/>
      <c r="YI59" s="646"/>
      <c r="YJ59" s="645"/>
      <c r="YK59" s="646"/>
      <c r="YL59" s="645"/>
      <c r="YM59" s="646"/>
      <c r="YN59" s="645"/>
      <c r="YO59" s="646"/>
      <c r="YP59" s="645"/>
      <c r="YQ59" s="646"/>
      <c r="YR59" s="645"/>
      <c r="YS59" s="646"/>
      <c r="YT59" s="645"/>
      <c r="YU59" s="646"/>
      <c r="YV59" s="645"/>
      <c r="YW59" s="646"/>
      <c r="YX59" s="645"/>
      <c r="YY59" s="646"/>
      <c r="YZ59" s="645"/>
      <c r="ZA59" s="646"/>
      <c r="ZB59" s="645"/>
      <c r="ZC59" s="646"/>
      <c r="ZD59" s="645"/>
      <c r="ZE59" s="646"/>
      <c r="ZF59" s="645"/>
      <c r="ZG59" s="646"/>
      <c r="ZH59" s="645"/>
      <c r="ZI59" s="646"/>
      <c r="ZJ59" s="645"/>
      <c r="ZK59" s="646"/>
      <c r="ZL59" s="645"/>
      <c r="ZM59" s="646"/>
      <c r="ZN59" s="645"/>
      <c r="ZO59" s="646"/>
      <c r="ZP59" s="645"/>
      <c r="ZQ59" s="646"/>
      <c r="ZR59" s="645"/>
      <c r="ZS59" s="646"/>
      <c r="ZT59" s="645"/>
      <c r="ZU59" s="646"/>
      <c r="ZV59" s="645"/>
      <c r="ZW59" s="646"/>
      <c r="ZX59" s="645"/>
      <c r="ZY59" s="646"/>
      <c r="ZZ59" s="645"/>
      <c r="AAA59" s="646"/>
      <c r="AAB59" s="645"/>
      <c r="AAC59" s="646"/>
      <c r="AAD59" s="645"/>
      <c r="AAE59" s="646"/>
      <c r="AAF59" s="645"/>
      <c r="AAG59" s="646"/>
      <c r="AAH59" s="645"/>
      <c r="AAI59" s="646"/>
      <c r="AAJ59" s="645"/>
      <c r="AAK59" s="646"/>
      <c r="AAL59" s="645"/>
      <c r="AAM59" s="646"/>
      <c r="AAN59" s="645"/>
      <c r="AAO59" s="646"/>
      <c r="AAP59" s="645"/>
      <c r="AAQ59" s="646"/>
      <c r="AAR59" s="645"/>
      <c r="AAS59" s="646"/>
      <c r="AAT59" s="645"/>
      <c r="AAU59" s="646"/>
      <c r="AAV59" s="645"/>
      <c r="AAW59" s="646"/>
      <c r="AAX59" s="645"/>
      <c r="AAY59" s="646"/>
      <c r="AAZ59" s="645"/>
      <c r="ABA59" s="646"/>
      <c r="ABB59" s="645"/>
      <c r="ABC59" s="646"/>
      <c r="ABD59" s="645"/>
      <c r="ABE59" s="646"/>
      <c r="ABF59" s="645"/>
      <c r="ABG59" s="646"/>
      <c r="ABH59" s="645"/>
      <c r="ABI59" s="646"/>
      <c r="ABJ59" s="645"/>
      <c r="ABK59" s="646"/>
      <c r="ABL59" s="645"/>
      <c r="ABM59" s="646"/>
      <c r="ABN59" s="645"/>
      <c r="ABO59" s="646"/>
      <c r="ABP59" s="645"/>
      <c r="ABQ59" s="646"/>
      <c r="ABR59" s="645"/>
      <c r="ABS59" s="646"/>
      <c r="ABT59" s="645"/>
      <c r="ABU59" s="646"/>
      <c r="ABV59" s="645"/>
      <c r="ABW59" s="646"/>
      <c r="ABX59" s="645"/>
      <c r="ABY59" s="646"/>
      <c r="ABZ59" s="645"/>
      <c r="ACA59" s="646"/>
      <c r="ACB59" s="645"/>
      <c r="ACC59" s="646"/>
      <c r="ACD59" s="645"/>
      <c r="ACE59" s="646"/>
      <c r="ACF59" s="645"/>
      <c r="ACG59" s="646"/>
      <c r="ACH59" s="645"/>
      <c r="ACI59" s="646"/>
      <c r="ACJ59" s="645"/>
      <c r="ACK59" s="646"/>
      <c r="ACL59" s="645"/>
      <c r="ACM59" s="646"/>
      <c r="ACN59" s="645"/>
      <c r="ACO59" s="646"/>
      <c r="ACP59" s="645"/>
      <c r="ACQ59" s="646"/>
      <c r="ACR59" s="645"/>
      <c r="ACS59" s="646"/>
      <c r="ACT59" s="645"/>
      <c r="ACU59" s="646"/>
      <c r="ACV59" s="645"/>
      <c r="ACW59" s="646"/>
      <c r="ACX59" s="645"/>
      <c r="ACY59" s="646"/>
      <c r="ACZ59" s="645"/>
      <c r="ADA59" s="646"/>
      <c r="ADB59" s="645"/>
      <c r="ADC59" s="646"/>
      <c r="ADD59" s="645"/>
      <c r="ADE59" s="646"/>
      <c r="ADF59" s="645"/>
      <c r="ADG59" s="646"/>
      <c r="ADH59" s="645"/>
      <c r="ADI59" s="646"/>
      <c r="ADJ59" s="645"/>
      <c r="ADK59" s="646"/>
      <c r="ADL59" s="645"/>
      <c r="ADM59" s="646"/>
      <c r="ADN59" s="645"/>
      <c r="ADO59" s="646"/>
      <c r="ADP59" s="645"/>
      <c r="ADQ59" s="646"/>
      <c r="ADR59" s="645"/>
      <c r="ADS59" s="646"/>
      <c r="ADT59" s="645"/>
      <c r="ADU59" s="646"/>
      <c r="ADV59" s="645"/>
      <c r="ADW59" s="646"/>
      <c r="ADX59" s="645"/>
      <c r="ADY59" s="646"/>
      <c r="ADZ59" s="645"/>
      <c r="AEA59" s="646"/>
      <c r="AEB59" s="645"/>
      <c r="AEC59" s="646"/>
      <c r="AED59" s="645"/>
      <c r="AEE59" s="646"/>
      <c r="AEF59" s="645"/>
      <c r="AEG59" s="646"/>
      <c r="AEH59" s="645"/>
      <c r="AEI59" s="646"/>
      <c r="AEJ59" s="645"/>
      <c r="AEK59" s="646"/>
      <c r="AEL59" s="645"/>
      <c r="AEM59" s="646"/>
      <c r="AEN59" s="645"/>
      <c r="AEO59" s="646"/>
      <c r="AEP59" s="645"/>
      <c r="AEQ59" s="646"/>
      <c r="AER59" s="645"/>
      <c r="AES59" s="646"/>
      <c r="AET59" s="645"/>
      <c r="AEU59" s="646"/>
      <c r="AEV59" s="645"/>
      <c r="AEW59" s="646"/>
      <c r="AEX59" s="645"/>
      <c r="AEY59" s="646"/>
      <c r="AEZ59" s="645"/>
      <c r="AFA59" s="646"/>
      <c r="AFB59" s="645"/>
      <c r="AFC59" s="646"/>
      <c r="AFD59" s="645"/>
      <c r="AFE59" s="646"/>
      <c r="AFF59" s="645"/>
      <c r="AFG59" s="646"/>
      <c r="AFH59" s="645"/>
      <c r="AFI59" s="646"/>
      <c r="AFJ59" s="645"/>
      <c r="AFK59" s="646"/>
      <c r="AFL59" s="645"/>
      <c r="AFM59" s="646"/>
      <c r="AFN59" s="645"/>
      <c r="AFO59" s="646"/>
      <c r="AFP59" s="645"/>
      <c r="AFQ59" s="646"/>
      <c r="AFR59" s="645"/>
      <c r="AFS59" s="646"/>
      <c r="AFT59" s="645"/>
      <c r="AFU59" s="646"/>
      <c r="AFV59" s="645"/>
      <c r="AFW59" s="646"/>
      <c r="AFX59" s="645"/>
      <c r="AFY59" s="646"/>
      <c r="AFZ59" s="645"/>
      <c r="AGA59" s="646"/>
      <c r="AGB59" s="645"/>
      <c r="AGC59" s="646"/>
      <c r="AGD59" s="645"/>
      <c r="AGE59" s="646"/>
      <c r="AGF59" s="645"/>
      <c r="AGG59" s="646"/>
      <c r="AGH59" s="645"/>
      <c r="AGI59" s="646"/>
      <c r="AGJ59" s="645"/>
      <c r="AGK59" s="646"/>
      <c r="AGL59" s="645"/>
      <c r="AGM59" s="646"/>
      <c r="AGN59" s="645"/>
      <c r="AGO59" s="646"/>
      <c r="AGP59" s="645"/>
      <c r="AGQ59" s="646"/>
      <c r="AGR59" s="645"/>
      <c r="AGS59" s="646"/>
      <c r="AGT59" s="645"/>
      <c r="AGU59" s="646"/>
      <c r="AGV59" s="645"/>
      <c r="AGW59" s="646"/>
      <c r="AGX59" s="645"/>
      <c r="AGY59" s="646"/>
      <c r="AGZ59" s="645"/>
      <c r="AHA59" s="646"/>
      <c r="AHB59" s="645"/>
      <c r="AHC59" s="646"/>
      <c r="AHD59" s="645"/>
      <c r="AHE59" s="646"/>
      <c r="AHF59" s="645"/>
      <c r="AHG59" s="646"/>
      <c r="AHH59" s="645"/>
      <c r="AHI59" s="646"/>
      <c r="AHJ59" s="645"/>
      <c r="AHK59" s="646"/>
      <c r="AHL59" s="645"/>
      <c r="AHM59" s="646"/>
      <c r="AHN59" s="645"/>
      <c r="AHO59" s="646"/>
      <c r="AHP59" s="645"/>
      <c r="AHQ59" s="646"/>
      <c r="AHR59" s="645"/>
      <c r="AHS59" s="646"/>
      <c r="AHT59" s="645"/>
      <c r="AHU59" s="646"/>
      <c r="AHV59" s="645"/>
      <c r="AHW59" s="646"/>
      <c r="AHX59" s="645"/>
      <c r="AHY59" s="646"/>
      <c r="AHZ59" s="645"/>
      <c r="AIA59" s="646"/>
      <c r="AIB59" s="645"/>
      <c r="AIC59" s="646"/>
      <c r="AID59" s="645"/>
      <c r="AIE59" s="646"/>
      <c r="AIF59" s="645"/>
      <c r="AIG59" s="646"/>
      <c r="AIH59" s="645"/>
      <c r="AII59" s="646"/>
      <c r="AIJ59" s="645"/>
      <c r="AIK59" s="646"/>
      <c r="AIL59" s="645"/>
      <c r="AIM59" s="646"/>
      <c r="AIN59" s="645"/>
      <c r="AIO59" s="646"/>
      <c r="AIP59" s="645"/>
      <c r="AIQ59" s="645"/>
      <c r="AIR59" s="645"/>
      <c r="AIS59" s="645"/>
      <c r="AIT59" s="645"/>
      <c r="AIU59" s="645"/>
      <c r="AIV59" s="645"/>
      <c r="AIW59" s="645"/>
      <c r="AIX59" s="645"/>
      <c r="AIY59" s="645"/>
      <c r="AIZ59" s="645"/>
      <c r="AJA59" s="645"/>
      <c r="AJB59" s="645"/>
      <c r="AJC59" s="645"/>
      <c r="AJD59" s="645"/>
      <c r="AJE59" s="645"/>
      <c r="AJF59" s="645"/>
      <c r="AJG59" s="645"/>
      <c r="AJH59" s="645"/>
      <c r="AJI59" s="645"/>
      <c r="AJJ59" s="645"/>
      <c r="AJK59" s="645"/>
      <c r="AJL59" s="645"/>
      <c r="AJM59" s="645"/>
      <c r="AJN59" s="645"/>
      <c r="AJO59" s="645"/>
      <c r="AJP59" s="645"/>
      <c r="AJQ59" s="645"/>
      <c r="AJR59" s="645"/>
      <c r="AJS59" s="645"/>
      <c r="AJT59" s="645"/>
      <c r="AJU59" s="645"/>
      <c r="AJV59" s="645"/>
      <c r="AJW59" s="645"/>
      <c r="AJX59" s="645"/>
      <c r="AJY59" s="645"/>
      <c r="AJZ59" s="645"/>
      <c r="AKA59" s="645"/>
      <c r="AKB59" s="645"/>
      <c r="AKC59" s="645"/>
      <c r="AKD59" s="645"/>
      <c r="AKE59" s="645"/>
      <c r="AKF59" s="645"/>
      <c r="AKG59" s="645"/>
      <c r="AKH59" s="645"/>
      <c r="AKI59" s="645"/>
      <c r="AKJ59" s="645"/>
      <c r="AKK59" s="645"/>
      <c r="AKL59" s="645"/>
      <c r="AKM59" s="645"/>
      <c r="AKN59" s="645"/>
      <c r="AKO59" s="645"/>
      <c r="AKP59" s="645"/>
      <c r="AKQ59" s="645"/>
      <c r="AKR59" s="645"/>
      <c r="AKS59" s="645"/>
      <c r="AKT59" s="645"/>
      <c r="AKU59" s="645"/>
      <c r="AKV59" s="645"/>
      <c r="AKW59" s="645"/>
      <c r="AKX59" s="645"/>
      <c r="AKY59" s="645"/>
      <c r="AKZ59" s="645"/>
      <c r="ALA59" s="645"/>
      <c r="ALB59" s="645"/>
      <c r="ALC59" s="645"/>
      <c r="ALD59" s="645"/>
      <c r="ALE59" s="645"/>
      <c r="ALF59" s="645"/>
      <c r="ALG59" s="645"/>
      <c r="ALH59" s="645"/>
      <c r="ALI59" s="645"/>
      <c r="ALJ59" s="645"/>
      <c r="ALK59" s="645"/>
      <c r="ALL59" s="645"/>
      <c r="ALM59" s="645"/>
      <c r="ALN59" s="645"/>
      <c r="ALO59" s="645"/>
      <c r="ALP59" s="645"/>
      <c r="ALQ59" s="645"/>
      <c r="ALR59" s="645"/>
      <c r="ALS59" s="645"/>
      <c r="ALT59" s="645"/>
      <c r="ALU59" s="645"/>
      <c r="ALV59" s="645"/>
      <c r="ALW59" s="645"/>
      <c r="ALX59" s="645"/>
      <c r="ALY59" s="645"/>
      <c r="ALZ59" s="645"/>
      <c r="AMA59" s="645"/>
      <c r="AMB59" s="645"/>
      <c r="AMC59" s="645"/>
      <c r="AMD59" s="645"/>
      <c r="AME59" s="645"/>
      <c r="AMF59" s="645"/>
      <c r="AMG59" s="645"/>
      <c r="AMH59" s="645"/>
      <c r="AMI59" s="645"/>
      <c r="AMJ59" s="645"/>
    </row>
    <row r="60" spans="1:1024" s="29" customFormat="1" ht="15.75" customHeight="1" x14ac:dyDescent="0.3">
      <c r="A60" s="593" t="s">
        <v>314</v>
      </c>
      <c r="B60" s="594" t="s">
        <v>315</v>
      </c>
      <c r="C60" s="638"/>
      <c r="D60" s="605"/>
      <c r="E60" s="605"/>
      <c r="F60" s="639"/>
      <c r="G60" s="640"/>
      <c r="H60" s="640"/>
      <c r="I60" s="608"/>
      <c r="J60" s="30"/>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c r="AS60" s="28"/>
      <c r="AT60" s="28"/>
      <c r="AU60" s="28"/>
      <c r="AV60" s="28"/>
      <c r="AW60" s="28"/>
      <c r="AX60" s="28"/>
      <c r="AY60" s="28"/>
      <c r="AZ60" s="28"/>
      <c r="BA60" s="28"/>
      <c r="BB60" s="28"/>
      <c r="BC60" s="28"/>
      <c r="BD60" s="28"/>
      <c r="BE60" s="28"/>
      <c r="BF60" s="28"/>
      <c r="BG60" s="28"/>
      <c r="BH60" s="28"/>
      <c r="BI60" s="28"/>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AIQ60" s="28"/>
      <c r="AIR60" s="28"/>
      <c r="AIS60" s="28"/>
      <c r="AIT60" s="28"/>
      <c r="AIU60" s="28"/>
      <c r="AIV60" s="28"/>
      <c r="AIW60" s="28"/>
      <c r="AIX60" s="28"/>
      <c r="AIY60" s="28"/>
      <c r="AIZ60" s="28"/>
      <c r="AJA60" s="28"/>
      <c r="AJB60" s="28"/>
      <c r="AJC60" s="28"/>
      <c r="AJD60" s="28"/>
      <c r="AJE60" s="28"/>
      <c r="AJF60" s="28"/>
      <c r="AJG60" s="28"/>
      <c r="AJH60" s="28"/>
      <c r="AJI60" s="28"/>
      <c r="AJJ60" s="28"/>
      <c r="AJK60" s="28"/>
      <c r="AJL60" s="28"/>
      <c r="AJM60" s="28"/>
      <c r="AJN60" s="28"/>
      <c r="AJO60" s="28"/>
      <c r="AJP60" s="28"/>
      <c r="AJQ60" s="28"/>
      <c r="AJR60" s="28"/>
      <c r="AJS60" s="28"/>
      <c r="AJT60" s="28"/>
      <c r="AJU60" s="28"/>
      <c r="AJV60" s="28"/>
      <c r="AJW60" s="28"/>
      <c r="AJX60" s="28"/>
      <c r="AJY60" s="28"/>
      <c r="AJZ60" s="28"/>
      <c r="AKA60" s="28"/>
      <c r="AKB60" s="28"/>
      <c r="AKC60" s="28"/>
      <c r="AKD60" s="28"/>
      <c r="AKE60" s="28"/>
      <c r="AKF60" s="28"/>
      <c r="AKG60" s="28"/>
      <c r="AKH60" s="28"/>
      <c r="AKI60" s="28"/>
      <c r="AKJ60" s="28"/>
      <c r="AKK60" s="28"/>
      <c r="AKL60" s="28"/>
      <c r="AKM60" s="28"/>
      <c r="AKN60" s="28"/>
      <c r="AKO60" s="28"/>
      <c r="AKP60" s="28"/>
      <c r="AKQ60" s="28"/>
      <c r="AKR60" s="28"/>
      <c r="AKS60" s="28"/>
      <c r="AKT60" s="28"/>
      <c r="AKU60" s="28"/>
      <c r="AKV60" s="28"/>
      <c r="AKW60" s="28"/>
      <c r="AKX60" s="28"/>
      <c r="AKY60" s="28"/>
      <c r="AKZ60" s="28"/>
      <c r="ALA60" s="28"/>
      <c r="ALB60" s="28"/>
      <c r="ALC60" s="28"/>
      <c r="ALD60" s="28"/>
      <c r="ALE60" s="28"/>
      <c r="ALF60" s="28"/>
      <c r="ALG60" s="28"/>
      <c r="ALH60" s="28"/>
      <c r="ALI60" s="28"/>
      <c r="ALJ60" s="28"/>
      <c r="ALK60" s="28"/>
      <c r="ALL60" s="28"/>
      <c r="ALM60" s="28"/>
      <c r="ALN60" s="28"/>
      <c r="ALO60" s="28"/>
      <c r="ALP60" s="28"/>
      <c r="ALQ60" s="28"/>
      <c r="ALR60" s="28"/>
      <c r="ALS60" s="28"/>
      <c r="ALT60" s="28"/>
      <c r="ALU60" s="28"/>
      <c r="ALV60" s="28"/>
      <c r="ALW60" s="28"/>
      <c r="ALX60" s="28"/>
      <c r="ALY60" s="28"/>
      <c r="ALZ60" s="28"/>
      <c r="AMA60" s="28"/>
      <c r="AMB60" s="28"/>
      <c r="AMC60" s="28"/>
      <c r="AMD60" s="28"/>
      <c r="AME60" s="28"/>
      <c r="AMF60" s="28"/>
      <c r="AMG60" s="28"/>
      <c r="AMH60" s="28"/>
      <c r="AMI60" s="28"/>
      <c r="AMJ60" s="28"/>
    </row>
    <row r="61" spans="1:1024" s="37" customFormat="1" ht="15.75" customHeight="1" x14ac:dyDescent="0.35">
      <c r="A61" s="600"/>
      <c r="B61" s="644" t="s">
        <v>316</v>
      </c>
      <c r="C61" s="645"/>
      <c r="D61" s="646"/>
      <c r="E61" s="645"/>
      <c r="F61" s="646"/>
      <c r="G61" s="647" t="s">
        <v>243</v>
      </c>
      <c r="H61" s="643"/>
      <c r="I61" s="645"/>
      <c r="J61" s="38"/>
      <c r="K61" s="38"/>
      <c r="L61" s="39"/>
      <c r="M61" s="38"/>
      <c r="N61" s="39"/>
      <c r="O61" s="38"/>
      <c r="P61" s="39"/>
      <c r="Q61" s="38"/>
      <c r="R61" s="39"/>
      <c r="S61" s="38"/>
      <c r="T61" s="39"/>
      <c r="U61" s="38"/>
      <c r="V61" s="39"/>
      <c r="W61" s="38"/>
      <c r="X61" s="39"/>
      <c r="Y61" s="38"/>
      <c r="Z61" s="39"/>
      <c r="AA61" s="38"/>
      <c r="AB61" s="39"/>
      <c r="AC61" s="38"/>
      <c r="AD61" s="39"/>
      <c r="AE61" s="38"/>
      <c r="AF61" s="39"/>
      <c r="AG61" s="38"/>
      <c r="AH61" s="39"/>
      <c r="AI61" s="38"/>
      <c r="AJ61" s="39"/>
      <c r="AK61" s="40"/>
      <c r="AL61" s="39"/>
      <c r="AM61" s="40"/>
      <c r="AN61" s="39"/>
      <c r="AO61" s="40"/>
      <c r="AP61" s="39"/>
      <c r="AQ61" s="40"/>
      <c r="AR61" s="39"/>
      <c r="AS61" s="40"/>
      <c r="AT61" s="39"/>
      <c r="AU61" s="40"/>
      <c r="AV61" s="39"/>
      <c r="AW61" s="40"/>
      <c r="AX61" s="39"/>
      <c r="AY61" s="40"/>
      <c r="AZ61" s="39"/>
      <c r="BA61" s="40"/>
      <c r="BB61" s="39"/>
      <c r="BC61" s="40"/>
      <c r="BD61" s="39"/>
      <c r="BE61" s="40"/>
      <c r="BF61" s="39"/>
      <c r="BG61" s="40"/>
      <c r="BH61" s="39"/>
      <c r="BI61" s="40"/>
      <c r="BJ61" s="39"/>
      <c r="BK61" s="40"/>
      <c r="BL61" s="39"/>
      <c r="BM61" s="40"/>
      <c r="BN61" s="39"/>
      <c r="BO61" s="40"/>
      <c r="BP61" s="39"/>
      <c r="BQ61" s="40"/>
      <c r="BR61" s="39"/>
      <c r="BS61" s="40"/>
      <c r="BT61" s="39"/>
      <c r="BU61" s="40"/>
      <c r="BV61" s="39"/>
      <c r="BW61" s="40"/>
      <c r="BX61" s="39"/>
      <c r="BY61" s="40"/>
      <c r="BZ61" s="39"/>
      <c r="CA61" s="40"/>
      <c r="CB61" s="39"/>
      <c r="CC61" s="40"/>
      <c r="CD61" s="39"/>
      <c r="CE61" s="40"/>
      <c r="CF61" s="39"/>
      <c r="CG61" s="40"/>
      <c r="CH61" s="39"/>
      <c r="CI61" s="40"/>
      <c r="CJ61" s="39"/>
      <c r="CK61" s="40"/>
      <c r="CL61" s="39"/>
      <c r="CM61" s="40"/>
      <c r="CN61" s="39"/>
      <c r="CO61" s="40"/>
      <c r="CP61" s="39"/>
      <c r="CQ61" s="40"/>
      <c r="CR61" s="39"/>
      <c r="CS61" s="40"/>
      <c r="CT61" s="39"/>
      <c r="CU61" s="40"/>
      <c r="CV61" s="39"/>
      <c r="CW61" s="40"/>
      <c r="CX61" s="39"/>
      <c r="CY61" s="40"/>
      <c r="CZ61" s="39"/>
      <c r="DA61" s="40"/>
      <c r="DB61" s="39"/>
      <c r="DC61" s="40"/>
      <c r="DD61" s="39"/>
      <c r="DE61" s="40"/>
      <c r="DF61" s="39"/>
      <c r="DG61" s="40"/>
      <c r="DH61" s="39"/>
      <c r="DI61" s="40"/>
      <c r="DJ61" s="39"/>
      <c r="DK61" s="40"/>
      <c r="DL61" s="39"/>
      <c r="DM61" s="40"/>
      <c r="DN61" s="39"/>
      <c r="DO61" s="40"/>
      <c r="DP61" s="39"/>
      <c r="DQ61" s="40"/>
      <c r="DR61" s="39"/>
      <c r="DS61" s="40"/>
      <c r="DT61" s="39"/>
      <c r="DU61" s="40"/>
      <c r="DV61" s="39"/>
      <c r="DW61" s="40"/>
      <c r="DX61" s="39"/>
      <c r="DY61" s="40"/>
      <c r="DZ61" s="39"/>
      <c r="EA61" s="40"/>
      <c r="EB61" s="39"/>
      <c r="EC61" s="40"/>
      <c r="ED61" s="39"/>
      <c r="EE61" s="40"/>
      <c r="EF61" s="39"/>
      <c r="EG61" s="40"/>
      <c r="EH61" s="39"/>
      <c r="EI61" s="40"/>
      <c r="EJ61" s="39"/>
      <c r="EK61" s="40"/>
      <c r="EL61" s="39"/>
      <c r="EM61" s="40"/>
      <c r="EN61" s="39"/>
      <c r="EO61" s="40"/>
      <c r="EP61" s="39"/>
      <c r="EQ61" s="40"/>
      <c r="ER61" s="39"/>
      <c r="ES61" s="40"/>
      <c r="ET61" s="39"/>
      <c r="EU61" s="40"/>
      <c r="EV61" s="39"/>
      <c r="EW61" s="40"/>
      <c r="EX61" s="39"/>
      <c r="EY61" s="40"/>
      <c r="EZ61" s="39"/>
      <c r="FA61" s="40"/>
      <c r="FB61" s="39"/>
      <c r="FC61" s="40"/>
      <c r="FD61" s="39"/>
      <c r="FE61" s="40"/>
      <c r="FF61" s="39"/>
      <c r="FG61" s="40"/>
      <c r="FH61" s="39"/>
      <c r="FI61" s="40"/>
      <c r="FJ61" s="39"/>
      <c r="FK61" s="40"/>
      <c r="FL61" s="39"/>
      <c r="FM61" s="40"/>
      <c r="FN61" s="39"/>
      <c r="FO61" s="40"/>
      <c r="FP61" s="39"/>
      <c r="FQ61" s="40"/>
      <c r="FR61" s="39"/>
      <c r="FS61" s="40"/>
      <c r="FT61" s="39"/>
      <c r="FU61" s="40"/>
      <c r="FV61" s="39"/>
      <c r="FW61" s="40"/>
      <c r="FX61" s="39"/>
      <c r="FY61" s="40"/>
      <c r="FZ61" s="39"/>
      <c r="GA61" s="40"/>
      <c r="GB61" s="39"/>
      <c r="GC61" s="40"/>
      <c r="GD61" s="39"/>
      <c r="GE61" s="40"/>
      <c r="GF61" s="39"/>
      <c r="GG61" s="40"/>
      <c r="GH61" s="39"/>
      <c r="GI61" s="40"/>
      <c r="GJ61" s="39"/>
      <c r="GK61" s="40"/>
      <c r="GL61" s="39"/>
      <c r="GM61" s="40"/>
      <c r="GN61" s="39"/>
      <c r="GO61" s="40"/>
      <c r="GP61" s="39"/>
      <c r="GQ61" s="40"/>
      <c r="GR61" s="39"/>
      <c r="GS61" s="40"/>
      <c r="GT61" s="39"/>
      <c r="GU61" s="40"/>
      <c r="GV61" s="39"/>
      <c r="GW61" s="40"/>
      <c r="GX61" s="39"/>
      <c r="GY61" s="40"/>
      <c r="GZ61" s="39"/>
      <c r="HA61" s="40"/>
      <c r="HB61" s="39"/>
      <c r="HC61" s="40"/>
      <c r="HD61" s="39"/>
      <c r="HE61" s="40"/>
      <c r="HF61" s="39"/>
      <c r="HG61" s="40"/>
      <c r="HH61" s="39"/>
      <c r="HI61" s="40"/>
      <c r="HJ61" s="39"/>
      <c r="HK61" s="40"/>
      <c r="HL61" s="39"/>
      <c r="HM61" s="40"/>
      <c r="HN61" s="39"/>
      <c r="HO61" s="40"/>
      <c r="HP61" s="39"/>
      <c r="HQ61" s="40"/>
      <c r="HR61" s="39"/>
      <c r="HS61" s="40"/>
      <c r="HT61" s="39"/>
      <c r="HU61" s="40"/>
      <c r="HV61" s="39"/>
      <c r="HW61" s="40"/>
      <c r="HX61" s="39"/>
      <c r="HY61" s="40"/>
      <c r="HZ61" s="39"/>
      <c r="IA61" s="40"/>
      <c r="IB61" s="39"/>
      <c r="IC61" s="1068"/>
      <c r="ID61" s="645"/>
      <c r="IE61" s="646"/>
      <c r="IF61" s="645"/>
      <c r="IG61" s="646"/>
      <c r="IH61" s="645"/>
      <c r="II61" s="646"/>
      <c r="IJ61" s="645"/>
      <c r="IK61" s="646"/>
      <c r="IL61" s="645"/>
      <c r="IM61" s="646"/>
      <c r="IN61" s="645"/>
      <c r="IO61" s="646"/>
      <c r="IP61" s="645"/>
      <c r="IQ61" s="646"/>
      <c r="IR61" s="645"/>
      <c r="IS61" s="646"/>
      <c r="IT61" s="645"/>
      <c r="IU61" s="646"/>
      <c r="IV61" s="645"/>
      <c r="IW61" s="646"/>
      <c r="IX61" s="645"/>
      <c r="IY61" s="646"/>
      <c r="IZ61" s="645"/>
      <c r="JA61" s="646"/>
      <c r="JB61" s="645"/>
      <c r="JC61" s="646"/>
      <c r="JD61" s="645"/>
      <c r="JE61" s="646"/>
      <c r="JF61" s="645"/>
      <c r="JG61" s="646"/>
      <c r="JH61" s="645"/>
      <c r="JI61" s="646"/>
      <c r="JJ61" s="645"/>
      <c r="JK61" s="646"/>
      <c r="JL61" s="645"/>
      <c r="JM61" s="646"/>
      <c r="JN61" s="645"/>
      <c r="JO61" s="646"/>
      <c r="JP61" s="645"/>
      <c r="JQ61" s="646"/>
      <c r="JR61" s="645"/>
      <c r="JS61" s="646"/>
      <c r="JT61" s="645"/>
      <c r="JU61" s="646"/>
      <c r="JV61" s="645"/>
      <c r="JW61" s="646"/>
      <c r="JX61" s="645"/>
      <c r="JY61" s="646"/>
      <c r="JZ61" s="645"/>
      <c r="KA61" s="646"/>
      <c r="KB61" s="645"/>
      <c r="KC61" s="646"/>
      <c r="KD61" s="645"/>
      <c r="KE61" s="646"/>
      <c r="KF61" s="645"/>
      <c r="KG61" s="646"/>
      <c r="KH61" s="645"/>
      <c r="KI61" s="646"/>
      <c r="KJ61" s="645"/>
      <c r="KK61" s="646"/>
      <c r="KL61" s="645"/>
      <c r="KM61" s="646"/>
      <c r="KN61" s="645"/>
      <c r="KO61" s="646"/>
      <c r="KP61" s="645"/>
      <c r="KQ61" s="646"/>
      <c r="KR61" s="645"/>
      <c r="KS61" s="646"/>
      <c r="KT61" s="645"/>
      <c r="KU61" s="646"/>
      <c r="KV61" s="645"/>
      <c r="KW61" s="646"/>
      <c r="KX61" s="645"/>
      <c r="KY61" s="646"/>
      <c r="KZ61" s="645"/>
      <c r="LA61" s="646"/>
      <c r="LB61" s="645"/>
      <c r="LC61" s="646"/>
      <c r="LD61" s="645"/>
      <c r="LE61" s="646"/>
      <c r="LF61" s="645"/>
      <c r="LG61" s="646"/>
      <c r="LH61" s="645"/>
      <c r="LI61" s="646"/>
      <c r="LJ61" s="645"/>
      <c r="LK61" s="646"/>
      <c r="LL61" s="645"/>
      <c r="LM61" s="646"/>
      <c r="LN61" s="645"/>
      <c r="LO61" s="646"/>
      <c r="LP61" s="645"/>
      <c r="LQ61" s="646"/>
      <c r="LR61" s="645"/>
      <c r="LS61" s="646"/>
      <c r="LT61" s="645"/>
      <c r="LU61" s="646"/>
      <c r="LV61" s="645"/>
      <c r="LW61" s="646"/>
      <c r="LX61" s="645"/>
      <c r="LY61" s="646"/>
      <c r="LZ61" s="645"/>
      <c r="MA61" s="646"/>
      <c r="MB61" s="645"/>
      <c r="MC61" s="646"/>
      <c r="MD61" s="645"/>
      <c r="ME61" s="646"/>
      <c r="MF61" s="645"/>
      <c r="MG61" s="646"/>
      <c r="MH61" s="645"/>
      <c r="MI61" s="646"/>
      <c r="MJ61" s="645"/>
      <c r="MK61" s="646"/>
      <c r="ML61" s="645"/>
      <c r="MM61" s="646"/>
      <c r="MN61" s="645"/>
      <c r="MO61" s="646"/>
      <c r="MP61" s="645"/>
      <c r="MQ61" s="646"/>
      <c r="MR61" s="645"/>
      <c r="MS61" s="646"/>
      <c r="MT61" s="645"/>
      <c r="MU61" s="646"/>
      <c r="MV61" s="645"/>
      <c r="MW61" s="646"/>
      <c r="MX61" s="645"/>
      <c r="MY61" s="646"/>
      <c r="MZ61" s="645"/>
      <c r="NA61" s="646"/>
      <c r="NB61" s="645"/>
      <c r="NC61" s="646"/>
      <c r="ND61" s="645"/>
      <c r="NE61" s="646"/>
      <c r="NF61" s="645"/>
      <c r="NG61" s="646"/>
      <c r="NH61" s="645"/>
      <c r="NI61" s="646"/>
      <c r="NJ61" s="645"/>
      <c r="NK61" s="646"/>
      <c r="NL61" s="645"/>
      <c r="NM61" s="646"/>
      <c r="NN61" s="645"/>
      <c r="NO61" s="646"/>
      <c r="NP61" s="645"/>
      <c r="NQ61" s="646"/>
      <c r="NR61" s="645"/>
      <c r="NS61" s="646"/>
      <c r="NT61" s="645"/>
      <c r="NU61" s="646"/>
      <c r="NV61" s="645"/>
      <c r="NW61" s="646"/>
      <c r="NX61" s="645"/>
      <c r="NY61" s="646"/>
      <c r="NZ61" s="645"/>
      <c r="OA61" s="646"/>
      <c r="OB61" s="645"/>
      <c r="OC61" s="646"/>
      <c r="OD61" s="645"/>
      <c r="OE61" s="646"/>
      <c r="OF61" s="645"/>
      <c r="OG61" s="646"/>
      <c r="OH61" s="645"/>
      <c r="OI61" s="646"/>
      <c r="OJ61" s="645"/>
      <c r="OK61" s="646"/>
      <c r="OL61" s="645"/>
      <c r="OM61" s="646"/>
      <c r="ON61" s="645"/>
      <c r="OO61" s="646"/>
      <c r="OP61" s="645"/>
      <c r="OQ61" s="646"/>
      <c r="OR61" s="645"/>
      <c r="OS61" s="646"/>
      <c r="OT61" s="645"/>
      <c r="OU61" s="646"/>
      <c r="OV61" s="645"/>
      <c r="OW61" s="646"/>
      <c r="OX61" s="645"/>
      <c r="OY61" s="646"/>
      <c r="OZ61" s="645"/>
      <c r="PA61" s="646"/>
      <c r="PB61" s="645"/>
      <c r="PC61" s="646"/>
      <c r="PD61" s="645"/>
      <c r="PE61" s="646"/>
      <c r="PF61" s="645"/>
      <c r="PG61" s="646"/>
      <c r="PH61" s="645"/>
      <c r="PI61" s="646"/>
      <c r="PJ61" s="645"/>
      <c r="PK61" s="646"/>
      <c r="PL61" s="645"/>
      <c r="PM61" s="646"/>
      <c r="PN61" s="645"/>
      <c r="PO61" s="646"/>
      <c r="PP61" s="645"/>
      <c r="PQ61" s="646"/>
      <c r="PR61" s="645"/>
      <c r="PS61" s="646"/>
      <c r="PT61" s="645"/>
      <c r="PU61" s="646"/>
      <c r="PV61" s="645"/>
      <c r="PW61" s="646"/>
      <c r="PX61" s="645"/>
      <c r="PY61" s="646"/>
      <c r="PZ61" s="645"/>
      <c r="QA61" s="646"/>
      <c r="QB61" s="645"/>
      <c r="QC61" s="646"/>
      <c r="QD61" s="645"/>
      <c r="QE61" s="646"/>
      <c r="QF61" s="645"/>
      <c r="QG61" s="646"/>
      <c r="QH61" s="645"/>
      <c r="QI61" s="646"/>
      <c r="QJ61" s="645"/>
      <c r="QK61" s="646"/>
      <c r="QL61" s="645"/>
      <c r="QM61" s="646"/>
      <c r="QN61" s="645"/>
      <c r="QO61" s="646"/>
      <c r="QP61" s="645"/>
      <c r="QQ61" s="646"/>
      <c r="QR61" s="645"/>
      <c r="QS61" s="646"/>
      <c r="QT61" s="645"/>
      <c r="QU61" s="646"/>
      <c r="QV61" s="645"/>
      <c r="QW61" s="646"/>
      <c r="QX61" s="645"/>
      <c r="QY61" s="646"/>
      <c r="QZ61" s="645"/>
      <c r="RA61" s="646"/>
      <c r="RB61" s="645"/>
      <c r="RC61" s="646"/>
      <c r="RD61" s="645"/>
      <c r="RE61" s="646"/>
      <c r="RF61" s="645"/>
      <c r="RG61" s="646"/>
      <c r="RH61" s="645"/>
      <c r="RI61" s="646"/>
      <c r="RJ61" s="645"/>
      <c r="RK61" s="646"/>
      <c r="RL61" s="645"/>
      <c r="RM61" s="646"/>
      <c r="RN61" s="645"/>
      <c r="RO61" s="646"/>
      <c r="RP61" s="645"/>
      <c r="RQ61" s="646"/>
      <c r="RR61" s="645"/>
      <c r="RS61" s="646"/>
      <c r="RT61" s="645"/>
      <c r="RU61" s="646"/>
      <c r="RV61" s="645"/>
      <c r="RW61" s="646"/>
      <c r="RX61" s="645"/>
      <c r="RY61" s="646"/>
      <c r="RZ61" s="645"/>
      <c r="SA61" s="646"/>
      <c r="SB61" s="645"/>
      <c r="SC61" s="646"/>
      <c r="SD61" s="645"/>
      <c r="SE61" s="646"/>
      <c r="SF61" s="645"/>
      <c r="SG61" s="646"/>
      <c r="SH61" s="645"/>
      <c r="SI61" s="646"/>
      <c r="SJ61" s="645"/>
      <c r="SK61" s="646"/>
      <c r="SL61" s="645"/>
      <c r="SM61" s="646"/>
      <c r="SN61" s="645"/>
      <c r="SO61" s="646"/>
      <c r="SP61" s="645"/>
      <c r="SQ61" s="646"/>
      <c r="SR61" s="645"/>
      <c r="SS61" s="646"/>
      <c r="ST61" s="645"/>
      <c r="SU61" s="646"/>
      <c r="SV61" s="645"/>
      <c r="SW61" s="646"/>
      <c r="SX61" s="645"/>
      <c r="SY61" s="646"/>
      <c r="SZ61" s="645"/>
      <c r="TA61" s="646"/>
      <c r="TB61" s="645"/>
      <c r="TC61" s="646"/>
      <c r="TD61" s="645"/>
      <c r="TE61" s="646"/>
      <c r="TF61" s="645"/>
      <c r="TG61" s="646"/>
      <c r="TH61" s="645"/>
      <c r="TI61" s="646"/>
      <c r="TJ61" s="645"/>
      <c r="TK61" s="646"/>
      <c r="TL61" s="645"/>
      <c r="TM61" s="646"/>
      <c r="TN61" s="645"/>
      <c r="TO61" s="646"/>
      <c r="TP61" s="645"/>
      <c r="TQ61" s="646"/>
      <c r="TR61" s="645"/>
      <c r="TS61" s="646"/>
      <c r="TT61" s="645"/>
      <c r="TU61" s="646"/>
      <c r="TV61" s="645"/>
      <c r="TW61" s="646"/>
      <c r="TX61" s="645"/>
      <c r="TY61" s="646"/>
      <c r="TZ61" s="645"/>
      <c r="UA61" s="646"/>
      <c r="UB61" s="645"/>
      <c r="UC61" s="646"/>
      <c r="UD61" s="645"/>
      <c r="UE61" s="646"/>
      <c r="UF61" s="645"/>
      <c r="UG61" s="646"/>
      <c r="UH61" s="645"/>
      <c r="UI61" s="646"/>
      <c r="UJ61" s="645"/>
      <c r="UK61" s="646"/>
      <c r="UL61" s="645"/>
      <c r="UM61" s="646"/>
      <c r="UN61" s="645"/>
      <c r="UO61" s="646"/>
      <c r="UP61" s="645"/>
      <c r="UQ61" s="646"/>
      <c r="UR61" s="645"/>
      <c r="US61" s="646"/>
      <c r="UT61" s="645"/>
      <c r="UU61" s="646"/>
      <c r="UV61" s="645"/>
      <c r="UW61" s="646"/>
      <c r="UX61" s="645"/>
      <c r="UY61" s="646"/>
      <c r="UZ61" s="645"/>
      <c r="VA61" s="646"/>
      <c r="VB61" s="645"/>
      <c r="VC61" s="646"/>
      <c r="VD61" s="645"/>
      <c r="VE61" s="646"/>
      <c r="VF61" s="645"/>
      <c r="VG61" s="646"/>
      <c r="VH61" s="645"/>
      <c r="VI61" s="646"/>
      <c r="VJ61" s="645"/>
      <c r="VK61" s="646"/>
      <c r="VL61" s="645"/>
      <c r="VM61" s="646"/>
      <c r="VN61" s="645"/>
      <c r="VO61" s="646"/>
      <c r="VP61" s="645"/>
      <c r="VQ61" s="646"/>
      <c r="VR61" s="645"/>
      <c r="VS61" s="646"/>
      <c r="VT61" s="645"/>
      <c r="VU61" s="646"/>
      <c r="VV61" s="645"/>
      <c r="VW61" s="646"/>
      <c r="VX61" s="645"/>
      <c r="VY61" s="646"/>
      <c r="VZ61" s="645"/>
      <c r="WA61" s="646"/>
      <c r="WB61" s="645"/>
      <c r="WC61" s="646"/>
      <c r="WD61" s="645"/>
      <c r="WE61" s="646"/>
      <c r="WF61" s="645"/>
      <c r="WG61" s="646"/>
      <c r="WH61" s="645"/>
      <c r="WI61" s="646"/>
      <c r="WJ61" s="645"/>
      <c r="WK61" s="646"/>
      <c r="WL61" s="645"/>
      <c r="WM61" s="646"/>
      <c r="WN61" s="645"/>
      <c r="WO61" s="646"/>
      <c r="WP61" s="645"/>
      <c r="WQ61" s="646"/>
      <c r="WR61" s="645"/>
      <c r="WS61" s="646"/>
      <c r="WT61" s="645"/>
      <c r="WU61" s="646"/>
      <c r="WV61" s="645"/>
      <c r="WW61" s="646"/>
      <c r="WX61" s="645"/>
      <c r="WY61" s="646"/>
      <c r="WZ61" s="645"/>
      <c r="XA61" s="646"/>
      <c r="XB61" s="645"/>
      <c r="XC61" s="646"/>
      <c r="XD61" s="645"/>
      <c r="XE61" s="646"/>
      <c r="XF61" s="645"/>
      <c r="XG61" s="646"/>
      <c r="XH61" s="645"/>
      <c r="XI61" s="646"/>
      <c r="XJ61" s="645"/>
      <c r="XK61" s="646"/>
      <c r="XL61" s="645"/>
      <c r="XM61" s="646"/>
      <c r="XN61" s="645"/>
      <c r="XO61" s="646"/>
      <c r="XP61" s="645"/>
      <c r="XQ61" s="646"/>
      <c r="XR61" s="645"/>
      <c r="XS61" s="646"/>
      <c r="XT61" s="645"/>
      <c r="XU61" s="646"/>
      <c r="XV61" s="645"/>
      <c r="XW61" s="646"/>
      <c r="XX61" s="645"/>
      <c r="XY61" s="646"/>
      <c r="XZ61" s="645"/>
      <c r="YA61" s="646"/>
      <c r="YB61" s="645"/>
      <c r="YC61" s="646"/>
      <c r="YD61" s="645"/>
      <c r="YE61" s="646"/>
      <c r="YF61" s="645"/>
      <c r="YG61" s="646"/>
      <c r="YH61" s="645"/>
      <c r="YI61" s="646"/>
      <c r="YJ61" s="645"/>
      <c r="YK61" s="646"/>
      <c r="YL61" s="645"/>
      <c r="YM61" s="646"/>
      <c r="YN61" s="645"/>
      <c r="YO61" s="646"/>
      <c r="YP61" s="645"/>
      <c r="YQ61" s="646"/>
      <c r="YR61" s="645"/>
      <c r="YS61" s="646"/>
      <c r="YT61" s="645"/>
      <c r="YU61" s="646"/>
      <c r="YV61" s="645"/>
      <c r="YW61" s="646"/>
      <c r="YX61" s="645"/>
      <c r="YY61" s="646"/>
      <c r="YZ61" s="645"/>
      <c r="ZA61" s="646"/>
      <c r="ZB61" s="645"/>
      <c r="ZC61" s="646"/>
      <c r="ZD61" s="645"/>
      <c r="ZE61" s="646"/>
      <c r="ZF61" s="645"/>
      <c r="ZG61" s="646"/>
      <c r="ZH61" s="645"/>
      <c r="ZI61" s="646"/>
      <c r="ZJ61" s="645"/>
      <c r="ZK61" s="646"/>
      <c r="ZL61" s="645"/>
      <c r="ZM61" s="646"/>
      <c r="ZN61" s="645"/>
      <c r="ZO61" s="646"/>
      <c r="ZP61" s="645"/>
      <c r="ZQ61" s="646"/>
      <c r="ZR61" s="645"/>
      <c r="ZS61" s="646"/>
      <c r="ZT61" s="645"/>
      <c r="ZU61" s="646"/>
      <c r="ZV61" s="645"/>
      <c r="ZW61" s="646"/>
      <c r="ZX61" s="645"/>
      <c r="ZY61" s="646"/>
      <c r="ZZ61" s="645"/>
      <c r="AAA61" s="646"/>
      <c r="AAB61" s="645"/>
      <c r="AAC61" s="646"/>
      <c r="AAD61" s="645"/>
      <c r="AAE61" s="646"/>
      <c r="AAF61" s="645"/>
      <c r="AAG61" s="646"/>
      <c r="AAH61" s="645"/>
      <c r="AAI61" s="646"/>
      <c r="AAJ61" s="645"/>
      <c r="AAK61" s="646"/>
      <c r="AAL61" s="645"/>
      <c r="AAM61" s="646"/>
      <c r="AAN61" s="645"/>
      <c r="AAO61" s="646"/>
      <c r="AAP61" s="645"/>
      <c r="AAQ61" s="646"/>
      <c r="AAR61" s="645"/>
      <c r="AAS61" s="646"/>
      <c r="AAT61" s="645"/>
      <c r="AAU61" s="646"/>
      <c r="AAV61" s="645"/>
      <c r="AAW61" s="646"/>
      <c r="AAX61" s="645"/>
      <c r="AAY61" s="646"/>
      <c r="AAZ61" s="645"/>
      <c r="ABA61" s="646"/>
      <c r="ABB61" s="645"/>
      <c r="ABC61" s="646"/>
      <c r="ABD61" s="645"/>
      <c r="ABE61" s="646"/>
      <c r="ABF61" s="645"/>
      <c r="ABG61" s="646"/>
      <c r="ABH61" s="645"/>
      <c r="ABI61" s="646"/>
      <c r="ABJ61" s="645"/>
      <c r="ABK61" s="646"/>
      <c r="ABL61" s="645"/>
      <c r="ABM61" s="646"/>
      <c r="ABN61" s="645"/>
      <c r="ABO61" s="646"/>
      <c r="ABP61" s="645"/>
      <c r="ABQ61" s="646"/>
      <c r="ABR61" s="645"/>
      <c r="ABS61" s="646"/>
      <c r="ABT61" s="645"/>
      <c r="ABU61" s="646"/>
      <c r="ABV61" s="645"/>
      <c r="ABW61" s="646"/>
      <c r="ABX61" s="645"/>
      <c r="ABY61" s="646"/>
      <c r="ABZ61" s="645"/>
      <c r="ACA61" s="646"/>
      <c r="ACB61" s="645"/>
      <c r="ACC61" s="646"/>
      <c r="ACD61" s="645"/>
      <c r="ACE61" s="646"/>
      <c r="ACF61" s="645"/>
      <c r="ACG61" s="646"/>
      <c r="ACH61" s="645"/>
      <c r="ACI61" s="646"/>
      <c r="ACJ61" s="645"/>
      <c r="ACK61" s="646"/>
      <c r="ACL61" s="645"/>
      <c r="ACM61" s="646"/>
      <c r="ACN61" s="645"/>
      <c r="ACO61" s="646"/>
      <c r="ACP61" s="645"/>
      <c r="ACQ61" s="646"/>
      <c r="ACR61" s="645"/>
      <c r="ACS61" s="646"/>
      <c r="ACT61" s="645"/>
      <c r="ACU61" s="646"/>
      <c r="ACV61" s="645"/>
      <c r="ACW61" s="646"/>
      <c r="ACX61" s="645"/>
      <c r="ACY61" s="646"/>
      <c r="ACZ61" s="645"/>
      <c r="ADA61" s="646"/>
      <c r="ADB61" s="645"/>
      <c r="ADC61" s="646"/>
      <c r="ADD61" s="645"/>
      <c r="ADE61" s="646"/>
      <c r="ADF61" s="645"/>
      <c r="ADG61" s="646"/>
      <c r="ADH61" s="645"/>
      <c r="ADI61" s="646"/>
      <c r="ADJ61" s="645"/>
      <c r="ADK61" s="646"/>
      <c r="ADL61" s="645"/>
      <c r="ADM61" s="646"/>
      <c r="ADN61" s="645"/>
      <c r="ADO61" s="646"/>
      <c r="ADP61" s="645"/>
      <c r="ADQ61" s="646"/>
      <c r="ADR61" s="645"/>
      <c r="ADS61" s="646"/>
      <c r="ADT61" s="645"/>
      <c r="ADU61" s="646"/>
      <c r="ADV61" s="645"/>
      <c r="ADW61" s="646"/>
      <c r="ADX61" s="645"/>
      <c r="ADY61" s="646"/>
      <c r="ADZ61" s="645"/>
      <c r="AEA61" s="646"/>
      <c r="AEB61" s="645"/>
      <c r="AEC61" s="646"/>
      <c r="AED61" s="645"/>
      <c r="AEE61" s="646"/>
      <c r="AEF61" s="645"/>
      <c r="AEG61" s="646"/>
      <c r="AEH61" s="645"/>
      <c r="AEI61" s="646"/>
      <c r="AEJ61" s="645"/>
      <c r="AEK61" s="646"/>
      <c r="AEL61" s="645"/>
      <c r="AEM61" s="646"/>
      <c r="AEN61" s="645"/>
      <c r="AEO61" s="646"/>
      <c r="AEP61" s="645"/>
      <c r="AEQ61" s="646"/>
      <c r="AER61" s="645"/>
      <c r="AES61" s="646"/>
      <c r="AET61" s="645"/>
      <c r="AEU61" s="646"/>
      <c r="AEV61" s="645"/>
      <c r="AEW61" s="646"/>
      <c r="AEX61" s="645"/>
      <c r="AEY61" s="646"/>
      <c r="AEZ61" s="645"/>
      <c r="AFA61" s="646"/>
      <c r="AFB61" s="645"/>
      <c r="AFC61" s="646"/>
      <c r="AFD61" s="645"/>
      <c r="AFE61" s="646"/>
      <c r="AFF61" s="645"/>
      <c r="AFG61" s="646"/>
      <c r="AFH61" s="645"/>
      <c r="AFI61" s="646"/>
      <c r="AFJ61" s="645"/>
      <c r="AFK61" s="646"/>
      <c r="AFL61" s="645"/>
      <c r="AFM61" s="646"/>
      <c r="AFN61" s="645"/>
      <c r="AFO61" s="646"/>
      <c r="AFP61" s="645"/>
      <c r="AFQ61" s="646"/>
      <c r="AFR61" s="645"/>
      <c r="AFS61" s="646"/>
      <c r="AFT61" s="645"/>
      <c r="AFU61" s="646"/>
      <c r="AFV61" s="645"/>
      <c r="AFW61" s="646"/>
      <c r="AFX61" s="645"/>
      <c r="AFY61" s="646"/>
      <c r="AFZ61" s="645"/>
      <c r="AGA61" s="646"/>
      <c r="AGB61" s="645"/>
      <c r="AGC61" s="646"/>
      <c r="AGD61" s="645"/>
      <c r="AGE61" s="646"/>
      <c r="AGF61" s="645"/>
      <c r="AGG61" s="646"/>
      <c r="AGH61" s="645"/>
      <c r="AGI61" s="646"/>
      <c r="AGJ61" s="645"/>
      <c r="AGK61" s="646"/>
      <c r="AGL61" s="645"/>
      <c r="AGM61" s="646"/>
      <c r="AGN61" s="645"/>
      <c r="AGO61" s="646"/>
      <c r="AGP61" s="645"/>
      <c r="AGQ61" s="646"/>
      <c r="AGR61" s="645"/>
      <c r="AGS61" s="646"/>
      <c r="AGT61" s="645"/>
      <c r="AGU61" s="646"/>
      <c r="AGV61" s="645"/>
      <c r="AGW61" s="646"/>
      <c r="AGX61" s="645"/>
      <c r="AGY61" s="646"/>
      <c r="AGZ61" s="645"/>
      <c r="AHA61" s="646"/>
      <c r="AHB61" s="645"/>
      <c r="AHC61" s="646"/>
      <c r="AHD61" s="645"/>
      <c r="AHE61" s="646"/>
      <c r="AHF61" s="645"/>
      <c r="AHG61" s="646"/>
      <c r="AHH61" s="645"/>
      <c r="AHI61" s="646"/>
      <c r="AHJ61" s="645"/>
      <c r="AHK61" s="646"/>
      <c r="AHL61" s="645"/>
      <c r="AHM61" s="646"/>
      <c r="AHN61" s="645"/>
      <c r="AHO61" s="646"/>
      <c r="AHP61" s="645"/>
      <c r="AHQ61" s="646"/>
      <c r="AHR61" s="645"/>
      <c r="AHS61" s="646"/>
      <c r="AHT61" s="645"/>
      <c r="AHU61" s="646"/>
      <c r="AHV61" s="645"/>
      <c r="AHW61" s="646"/>
      <c r="AHX61" s="645"/>
      <c r="AHY61" s="646"/>
      <c r="AHZ61" s="645"/>
      <c r="AIA61" s="646"/>
      <c r="AIB61" s="645"/>
      <c r="AIC61" s="646"/>
      <c r="AID61" s="645"/>
      <c r="AIE61" s="646"/>
      <c r="AIF61" s="645"/>
      <c r="AIG61" s="646"/>
      <c r="AIH61" s="645"/>
      <c r="AII61" s="646"/>
      <c r="AIJ61" s="645"/>
      <c r="AIK61" s="646"/>
      <c r="AIL61" s="645"/>
      <c r="AIM61" s="646"/>
      <c r="AIN61" s="645"/>
      <c r="AIO61" s="646"/>
      <c r="AIP61" s="645"/>
      <c r="AIQ61" s="645"/>
      <c r="AIR61" s="645"/>
      <c r="AIS61" s="645"/>
      <c r="AIT61" s="645"/>
      <c r="AIU61" s="645"/>
      <c r="AIV61" s="645"/>
      <c r="AIW61" s="645"/>
      <c r="AIX61" s="645"/>
      <c r="AIY61" s="645"/>
      <c r="AIZ61" s="645"/>
      <c r="AJA61" s="645"/>
      <c r="AJB61" s="645"/>
      <c r="AJC61" s="645"/>
      <c r="AJD61" s="645"/>
      <c r="AJE61" s="645"/>
      <c r="AJF61" s="645"/>
      <c r="AJG61" s="645"/>
      <c r="AJH61" s="645"/>
      <c r="AJI61" s="645"/>
      <c r="AJJ61" s="645"/>
      <c r="AJK61" s="645"/>
      <c r="AJL61" s="645"/>
      <c r="AJM61" s="645"/>
      <c r="AJN61" s="645"/>
      <c r="AJO61" s="645"/>
      <c r="AJP61" s="645"/>
      <c r="AJQ61" s="645"/>
      <c r="AJR61" s="645"/>
      <c r="AJS61" s="645"/>
      <c r="AJT61" s="645"/>
      <c r="AJU61" s="645"/>
      <c r="AJV61" s="645"/>
      <c r="AJW61" s="645"/>
      <c r="AJX61" s="645"/>
      <c r="AJY61" s="645"/>
      <c r="AJZ61" s="645"/>
      <c r="AKA61" s="645"/>
      <c r="AKB61" s="645"/>
      <c r="AKC61" s="645"/>
      <c r="AKD61" s="645"/>
      <c r="AKE61" s="645"/>
      <c r="AKF61" s="645"/>
      <c r="AKG61" s="645"/>
      <c r="AKH61" s="645"/>
      <c r="AKI61" s="645"/>
      <c r="AKJ61" s="645"/>
      <c r="AKK61" s="645"/>
      <c r="AKL61" s="645"/>
      <c r="AKM61" s="645"/>
      <c r="AKN61" s="645"/>
      <c r="AKO61" s="645"/>
      <c r="AKP61" s="645"/>
      <c r="AKQ61" s="645"/>
      <c r="AKR61" s="645"/>
      <c r="AKS61" s="645"/>
      <c r="AKT61" s="645"/>
      <c r="AKU61" s="645"/>
      <c r="AKV61" s="645"/>
      <c r="AKW61" s="645"/>
      <c r="AKX61" s="645"/>
      <c r="AKY61" s="645"/>
      <c r="AKZ61" s="645"/>
      <c r="ALA61" s="645"/>
      <c r="ALB61" s="645"/>
      <c r="ALC61" s="645"/>
      <c r="ALD61" s="645"/>
      <c r="ALE61" s="645"/>
      <c r="ALF61" s="645"/>
      <c r="ALG61" s="645"/>
      <c r="ALH61" s="645"/>
      <c r="ALI61" s="645"/>
      <c r="ALJ61" s="645"/>
      <c r="ALK61" s="645"/>
      <c r="ALL61" s="645"/>
      <c r="ALM61" s="645"/>
      <c r="ALN61" s="645"/>
      <c r="ALO61" s="645"/>
      <c r="ALP61" s="645"/>
      <c r="ALQ61" s="645"/>
      <c r="ALR61" s="645"/>
      <c r="ALS61" s="645"/>
      <c r="ALT61" s="645"/>
      <c r="ALU61" s="645"/>
      <c r="ALV61" s="645"/>
      <c r="ALW61" s="645"/>
      <c r="ALX61" s="645"/>
      <c r="ALY61" s="645"/>
      <c r="ALZ61" s="645"/>
      <c r="AMA61" s="645"/>
      <c r="AMB61" s="645"/>
      <c r="AMC61" s="645"/>
      <c r="AMD61" s="645"/>
      <c r="AME61" s="645"/>
      <c r="AMF61" s="645"/>
      <c r="AMG61" s="645"/>
      <c r="AMH61" s="645"/>
      <c r="AMI61" s="645"/>
      <c r="AMJ61" s="645"/>
    </row>
    <row r="62" spans="1:1024" s="37" customFormat="1" ht="15.75" customHeight="1" x14ac:dyDescent="0.35">
      <c r="A62" s="600"/>
      <c r="B62" s="644" t="s">
        <v>317</v>
      </c>
      <c r="C62" s="645"/>
      <c r="D62" s="646"/>
      <c r="E62" s="645"/>
      <c r="F62" s="646"/>
      <c r="G62" s="647" t="s">
        <v>243</v>
      </c>
      <c r="H62" s="643"/>
      <c r="I62" s="645"/>
      <c r="J62" s="38"/>
      <c r="K62" s="38"/>
      <c r="L62" s="39"/>
      <c r="M62" s="38"/>
      <c r="N62" s="39"/>
      <c r="O62" s="38"/>
      <c r="P62" s="39"/>
      <c r="Q62" s="38"/>
      <c r="R62" s="39"/>
      <c r="S62" s="38"/>
      <c r="T62" s="39"/>
      <c r="U62" s="38"/>
      <c r="V62" s="39"/>
      <c r="W62" s="38"/>
      <c r="X62" s="39"/>
      <c r="Y62" s="38"/>
      <c r="Z62" s="39"/>
      <c r="AA62" s="38"/>
      <c r="AB62" s="39"/>
      <c r="AC62" s="38"/>
      <c r="AD62" s="39"/>
      <c r="AE62" s="38"/>
      <c r="AF62" s="39"/>
      <c r="AG62" s="38"/>
      <c r="AH62" s="39"/>
      <c r="AI62" s="38"/>
      <c r="AJ62" s="39"/>
      <c r="AK62" s="40"/>
      <c r="AL62" s="39"/>
      <c r="AM62" s="40"/>
      <c r="AN62" s="39"/>
      <c r="AO62" s="40"/>
      <c r="AP62" s="39"/>
      <c r="AQ62" s="40"/>
      <c r="AR62" s="39"/>
      <c r="AS62" s="40"/>
      <c r="AT62" s="39"/>
      <c r="AU62" s="40"/>
      <c r="AV62" s="39"/>
      <c r="AW62" s="40"/>
      <c r="AX62" s="39"/>
      <c r="AY62" s="40"/>
      <c r="AZ62" s="39"/>
      <c r="BA62" s="40"/>
      <c r="BB62" s="39"/>
      <c r="BC62" s="40"/>
      <c r="BD62" s="39"/>
      <c r="BE62" s="40"/>
      <c r="BF62" s="39"/>
      <c r="BG62" s="40"/>
      <c r="BH62" s="39"/>
      <c r="BI62" s="40"/>
      <c r="BJ62" s="39"/>
      <c r="BK62" s="40"/>
      <c r="BL62" s="39"/>
      <c r="BM62" s="40"/>
      <c r="BN62" s="39"/>
      <c r="BO62" s="40"/>
      <c r="BP62" s="39"/>
      <c r="BQ62" s="40"/>
      <c r="BR62" s="39"/>
      <c r="BS62" s="40"/>
      <c r="BT62" s="39"/>
      <c r="BU62" s="40"/>
      <c r="BV62" s="39"/>
      <c r="BW62" s="40"/>
      <c r="BX62" s="39"/>
      <c r="BY62" s="40"/>
      <c r="BZ62" s="39"/>
      <c r="CA62" s="40"/>
      <c r="CB62" s="39"/>
      <c r="CC62" s="40"/>
      <c r="CD62" s="39"/>
      <c r="CE62" s="40"/>
      <c r="CF62" s="39"/>
      <c r="CG62" s="40"/>
      <c r="CH62" s="39"/>
      <c r="CI62" s="40"/>
      <c r="CJ62" s="39"/>
      <c r="CK62" s="40"/>
      <c r="CL62" s="39"/>
      <c r="CM62" s="40"/>
      <c r="CN62" s="39"/>
      <c r="CO62" s="40"/>
      <c r="CP62" s="39"/>
      <c r="CQ62" s="40"/>
      <c r="CR62" s="39"/>
      <c r="CS62" s="40"/>
      <c r="CT62" s="39"/>
      <c r="CU62" s="40"/>
      <c r="CV62" s="39"/>
      <c r="CW62" s="40"/>
      <c r="CX62" s="39"/>
      <c r="CY62" s="40"/>
      <c r="CZ62" s="39"/>
      <c r="DA62" s="40"/>
      <c r="DB62" s="39"/>
      <c r="DC62" s="40"/>
      <c r="DD62" s="39"/>
      <c r="DE62" s="40"/>
      <c r="DF62" s="39"/>
      <c r="DG62" s="40"/>
      <c r="DH62" s="39"/>
      <c r="DI62" s="40"/>
      <c r="DJ62" s="39"/>
      <c r="DK62" s="40"/>
      <c r="DL62" s="39"/>
      <c r="DM62" s="40"/>
      <c r="DN62" s="39"/>
      <c r="DO62" s="40"/>
      <c r="DP62" s="39"/>
      <c r="DQ62" s="40"/>
      <c r="DR62" s="39"/>
      <c r="DS62" s="40"/>
      <c r="DT62" s="39"/>
      <c r="DU62" s="40"/>
      <c r="DV62" s="39"/>
      <c r="DW62" s="40"/>
      <c r="DX62" s="39"/>
      <c r="DY62" s="40"/>
      <c r="DZ62" s="39"/>
      <c r="EA62" s="40"/>
      <c r="EB62" s="39"/>
      <c r="EC62" s="40"/>
      <c r="ED62" s="39"/>
      <c r="EE62" s="40"/>
      <c r="EF62" s="39"/>
      <c r="EG62" s="40"/>
      <c r="EH62" s="39"/>
      <c r="EI62" s="40"/>
      <c r="EJ62" s="39"/>
      <c r="EK62" s="40"/>
      <c r="EL62" s="39"/>
      <c r="EM62" s="40"/>
      <c r="EN62" s="39"/>
      <c r="EO62" s="40"/>
      <c r="EP62" s="39"/>
      <c r="EQ62" s="40"/>
      <c r="ER62" s="39"/>
      <c r="ES62" s="40"/>
      <c r="ET62" s="39"/>
      <c r="EU62" s="40"/>
      <c r="EV62" s="39"/>
      <c r="EW62" s="40"/>
      <c r="EX62" s="39"/>
      <c r="EY62" s="40"/>
      <c r="EZ62" s="39"/>
      <c r="FA62" s="40"/>
      <c r="FB62" s="39"/>
      <c r="FC62" s="40"/>
      <c r="FD62" s="39"/>
      <c r="FE62" s="40"/>
      <c r="FF62" s="39"/>
      <c r="FG62" s="40"/>
      <c r="FH62" s="39"/>
      <c r="FI62" s="40"/>
      <c r="FJ62" s="39"/>
      <c r="FK62" s="40"/>
      <c r="FL62" s="39"/>
      <c r="FM62" s="40"/>
      <c r="FN62" s="39"/>
      <c r="FO62" s="40"/>
      <c r="FP62" s="39"/>
      <c r="FQ62" s="40"/>
      <c r="FR62" s="39"/>
      <c r="FS62" s="40"/>
      <c r="FT62" s="39"/>
      <c r="FU62" s="40"/>
      <c r="FV62" s="39"/>
      <c r="FW62" s="40"/>
      <c r="FX62" s="39"/>
      <c r="FY62" s="40"/>
      <c r="FZ62" s="39"/>
      <c r="GA62" s="40"/>
      <c r="GB62" s="39"/>
      <c r="GC62" s="40"/>
      <c r="GD62" s="39"/>
      <c r="GE62" s="40"/>
      <c r="GF62" s="39"/>
      <c r="GG62" s="40"/>
      <c r="GH62" s="39"/>
      <c r="GI62" s="40"/>
      <c r="GJ62" s="39"/>
      <c r="GK62" s="40"/>
      <c r="GL62" s="39"/>
      <c r="GM62" s="40"/>
      <c r="GN62" s="39"/>
      <c r="GO62" s="40"/>
      <c r="GP62" s="39"/>
      <c r="GQ62" s="40"/>
      <c r="GR62" s="39"/>
      <c r="GS62" s="40"/>
      <c r="GT62" s="39"/>
      <c r="GU62" s="40"/>
      <c r="GV62" s="39"/>
      <c r="GW62" s="40"/>
      <c r="GX62" s="39"/>
      <c r="GY62" s="40"/>
      <c r="GZ62" s="39"/>
      <c r="HA62" s="40"/>
      <c r="HB62" s="39"/>
      <c r="HC62" s="40"/>
      <c r="HD62" s="39"/>
      <c r="HE62" s="40"/>
      <c r="HF62" s="39"/>
      <c r="HG62" s="40"/>
      <c r="HH62" s="39"/>
      <c r="HI62" s="40"/>
      <c r="HJ62" s="39"/>
      <c r="HK62" s="40"/>
      <c r="HL62" s="39"/>
      <c r="HM62" s="40"/>
      <c r="HN62" s="39"/>
      <c r="HO62" s="40"/>
      <c r="HP62" s="39"/>
      <c r="HQ62" s="40"/>
      <c r="HR62" s="39"/>
      <c r="HS62" s="40"/>
      <c r="HT62" s="39"/>
      <c r="HU62" s="40"/>
      <c r="HV62" s="39"/>
      <c r="HW62" s="40"/>
      <c r="HX62" s="39"/>
      <c r="HY62" s="40"/>
      <c r="HZ62" s="39"/>
      <c r="IA62" s="40"/>
      <c r="IB62" s="39"/>
      <c r="IC62" s="1068"/>
      <c r="ID62" s="645"/>
      <c r="IE62" s="646"/>
      <c r="IF62" s="645"/>
      <c r="IG62" s="646"/>
      <c r="IH62" s="645"/>
      <c r="II62" s="646"/>
      <c r="IJ62" s="645"/>
      <c r="IK62" s="646"/>
      <c r="IL62" s="645"/>
      <c r="IM62" s="646"/>
      <c r="IN62" s="645"/>
      <c r="IO62" s="646"/>
      <c r="IP62" s="645"/>
      <c r="IQ62" s="646"/>
      <c r="IR62" s="645"/>
      <c r="IS62" s="646"/>
      <c r="IT62" s="645"/>
      <c r="IU62" s="646"/>
      <c r="IV62" s="645"/>
      <c r="IW62" s="646"/>
      <c r="IX62" s="645"/>
      <c r="IY62" s="646"/>
      <c r="IZ62" s="645"/>
      <c r="JA62" s="646"/>
      <c r="JB62" s="645"/>
      <c r="JC62" s="646"/>
      <c r="JD62" s="645"/>
      <c r="JE62" s="646"/>
      <c r="JF62" s="645"/>
      <c r="JG62" s="646"/>
      <c r="JH62" s="645"/>
      <c r="JI62" s="646"/>
      <c r="JJ62" s="645"/>
      <c r="JK62" s="646"/>
      <c r="JL62" s="645"/>
      <c r="JM62" s="646"/>
      <c r="JN62" s="645"/>
      <c r="JO62" s="646"/>
      <c r="JP62" s="645"/>
      <c r="JQ62" s="646"/>
      <c r="JR62" s="645"/>
      <c r="JS62" s="646"/>
      <c r="JT62" s="645"/>
      <c r="JU62" s="646"/>
      <c r="JV62" s="645"/>
      <c r="JW62" s="646"/>
      <c r="JX62" s="645"/>
      <c r="JY62" s="646"/>
      <c r="JZ62" s="645"/>
      <c r="KA62" s="646"/>
      <c r="KB62" s="645"/>
      <c r="KC62" s="646"/>
      <c r="KD62" s="645"/>
      <c r="KE62" s="646"/>
      <c r="KF62" s="645"/>
      <c r="KG62" s="646"/>
      <c r="KH62" s="645"/>
      <c r="KI62" s="646"/>
      <c r="KJ62" s="645"/>
      <c r="KK62" s="646"/>
      <c r="KL62" s="645"/>
      <c r="KM62" s="646"/>
      <c r="KN62" s="645"/>
      <c r="KO62" s="646"/>
      <c r="KP62" s="645"/>
      <c r="KQ62" s="646"/>
      <c r="KR62" s="645"/>
      <c r="KS62" s="646"/>
      <c r="KT62" s="645"/>
      <c r="KU62" s="646"/>
      <c r="KV62" s="645"/>
      <c r="KW62" s="646"/>
      <c r="KX62" s="645"/>
      <c r="KY62" s="646"/>
      <c r="KZ62" s="645"/>
      <c r="LA62" s="646"/>
      <c r="LB62" s="645"/>
      <c r="LC62" s="646"/>
      <c r="LD62" s="645"/>
      <c r="LE62" s="646"/>
      <c r="LF62" s="645"/>
      <c r="LG62" s="646"/>
      <c r="LH62" s="645"/>
      <c r="LI62" s="646"/>
      <c r="LJ62" s="645"/>
      <c r="LK62" s="646"/>
      <c r="LL62" s="645"/>
      <c r="LM62" s="646"/>
      <c r="LN62" s="645"/>
      <c r="LO62" s="646"/>
      <c r="LP62" s="645"/>
      <c r="LQ62" s="646"/>
      <c r="LR62" s="645"/>
      <c r="LS62" s="646"/>
      <c r="LT62" s="645"/>
      <c r="LU62" s="646"/>
      <c r="LV62" s="645"/>
      <c r="LW62" s="646"/>
      <c r="LX62" s="645"/>
      <c r="LY62" s="646"/>
      <c r="LZ62" s="645"/>
      <c r="MA62" s="646"/>
      <c r="MB62" s="645"/>
      <c r="MC62" s="646"/>
      <c r="MD62" s="645"/>
      <c r="ME62" s="646"/>
      <c r="MF62" s="645"/>
      <c r="MG62" s="646"/>
      <c r="MH62" s="645"/>
      <c r="MI62" s="646"/>
      <c r="MJ62" s="645"/>
      <c r="MK62" s="646"/>
      <c r="ML62" s="645"/>
      <c r="MM62" s="646"/>
      <c r="MN62" s="645"/>
      <c r="MO62" s="646"/>
      <c r="MP62" s="645"/>
      <c r="MQ62" s="646"/>
      <c r="MR62" s="645"/>
      <c r="MS62" s="646"/>
      <c r="MT62" s="645"/>
      <c r="MU62" s="646"/>
      <c r="MV62" s="645"/>
      <c r="MW62" s="646"/>
      <c r="MX62" s="645"/>
      <c r="MY62" s="646"/>
      <c r="MZ62" s="645"/>
      <c r="NA62" s="646"/>
      <c r="NB62" s="645"/>
      <c r="NC62" s="646"/>
      <c r="ND62" s="645"/>
      <c r="NE62" s="646"/>
      <c r="NF62" s="645"/>
      <c r="NG62" s="646"/>
      <c r="NH62" s="645"/>
      <c r="NI62" s="646"/>
      <c r="NJ62" s="645"/>
      <c r="NK62" s="646"/>
      <c r="NL62" s="645"/>
      <c r="NM62" s="646"/>
      <c r="NN62" s="645"/>
      <c r="NO62" s="646"/>
      <c r="NP62" s="645"/>
      <c r="NQ62" s="646"/>
      <c r="NR62" s="645"/>
      <c r="NS62" s="646"/>
      <c r="NT62" s="645"/>
      <c r="NU62" s="646"/>
      <c r="NV62" s="645"/>
      <c r="NW62" s="646"/>
      <c r="NX62" s="645"/>
      <c r="NY62" s="646"/>
      <c r="NZ62" s="645"/>
      <c r="OA62" s="646"/>
      <c r="OB62" s="645"/>
      <c r="OC62" s="646"/>
      <c r="OD62" s="645"/>
      <c r="OE62" s="646"/>
      <c r="OF62" s="645"/>
      <c r="OG62" s="646"/>
      <c r="OH62" s="645"/>
      <c r="OI62" s="646"/>
      <c r="OJ62" s="645"/>
      <c r="OK62" s="646"/>
      <c r="OL62" s="645"/>
      <c r="OM62" s="646"/>
      <c r="ON62" s="645"/>
      <c r="OO62" s="646"/>
      <c r="OP62" s="645"/>
      <c r="OQ62" s="646"/>
      <c r="OR62" s="645"/>
      <c r="OS62" s="646"/>
      <c r="OT62" s="645"/>
      <c r="OU62" s="646"/>
      <c r="OV62" s="645"/>
      <c r="OW62" s="646"/>
      <c r="OX62" s="645"/>
      <c r="OY62" s="646"/>
      <c r="OZ62" s="645"/>
      <c r="PA62" s="646"/>
      <c r="PB62" s="645"/>
      <c r="PC62" s="646"/>
      <c r="PD62" s="645"/>
      <c r="PE62" s="646"/>
      <c r="PF62" s="645"/>
      <c r="PG62" s="646"/>
      <c r="PH62" s="645"/>
      <c r="PI62" s="646"/>
      <c r="PJ62" s="645"/>
      <c r="PK62" s="646"/>
      <c r="PL62" s="645"/>
      <c r="PM62" s="646"/>
      <c r="PN62" s="645"/>
      <c r="PO62" s="646"/>
      <c r="PP62" s="645"/>
      <c r="PQ62" s="646"/>
      <c r="PR62" s="645"/>
      <c r="PS62" s="646"/>
      <c r="PT62" s="645"/>
      <c r="PU62" s="646"/>
      <c r="PV62" s="645"/>
      <c r="PW62" s="646"/>
      <c r="PX62" s="645"/>
      <c r="PY62" s="646"/>
      <c r="PZ62" s="645"/>
      <c r="QA62" s="646"/>
      <c r="QB62" s="645"/>
      <c r="QC62" s="646"/>
      <c r="QD62" s="645"/>
      <c r="QE62" s="646"/>
      <c r="QF62" s="645"/>
      <c r="QG62" s="646"/>
      <c r="QH62" s="645"/>
      <c r="QI62" s="646"/>
      <c r="QJ62" s="645"/>
      <c r="QK62" s="646"/>
      <c r="QL62" s="645"/>
      <c r="QM62" s="646"/>
      <c r="QN62" s="645"/>
      <c r="QO62" s="646"/>
      <c r="QP62" s="645"/>
      <c r="QQ62" s="646"/>
      <c r="QR62" s="645"/>
      <c r="QS62" s="646"/>
      <c r="QT62" s="645"/>
      <c r="QU62" s="646"/>
      <c r="QV62" s="645"/>
      <c r="QW62" s="646"/>
      <c r="QX62" s="645"/>
      <c r="QY62" s="646"/>
      <c r="QZ62" s="645"/>
      <c r="RA62" s="646"/>
      <c r="RB62" s="645"/>
      <c r="RC62" s="646"/>
      <c r="RD62" s="645"/>
      <c r="RE62" s="646"/>
      <c r="RF62" s="645"/>
      <c r="RG62" s="646"/>
      <c r="RH62" s="645"/>
      <c r="RI62" s="646"/>
      <c r="RJ62" s="645"/>
      <c r="RK62" s="646"/>
      <c r="RL62" s="645"/>
      <c r="RM62" s="646"/>
      <c r="RN62" s="645"/>
      <c r="RO62" s="646"/>
      <c r="RP62" s="645"/>
      <c r="RQ62" s="646"/>
      <c r="RR62" s="645"/>
      <c r="RS62" s="646"/>
      <c r="RT62" s="645"/>
      <c r="RU62" s="646"/>
      <c r="RV62" s="645"/>
      <c r="RW62" s="646"/>
      <c r="RX62" s="645"/>
      <c r="RY62" s="646"/>
      <c r="RZ62" s="645"/>
      <c r="SA62" s="646"/>
      <c r="SB62" s="645"/>
      <c r="SC62" s="646"/>
      <c r="SD62" s="645"/>
      <c r="SE62" s="646"/>
      <c r="SF62" s="645"/>
      <c r="SG62" s="646"/>
      <c r="SH62" s="645"/>
      <c r="SI62" s="646"/>
      <c r="SJ62" s="645"/>
      <c r="SK62" s="646"/>
      <c r="SL62" s="645"/>
      <c r="SM62" s="646"/>
      <c r="SN62" s="645"/>
      <c r="SO62" s="646"/>
      <c r="SP62" s="645"/>
      <c r="SQ62" s="646"/>
      <c r="SR62" s="645"/>
      <c r="SS62" s="646"/>
      <c r="ST62" s="645"/>
      <c r="SU62" s="646"/>
      <c r="SV62" s="645"/>
      <c r="SW62" s="646"/>
      <c r="SX62" s="645"/>
      <c r="SY62" s="646"/>
      <c r="SZ62" s="645"/>
      <c r="TA62" s="646"/>
      <c r="TB62" s="645"/>
      <c r="TC62" s="646"/>
      <c r="TD62" s="645"/>
      <c r="TE62" s="646"/>
      <c r="TF62" s="645"/>
      <c r="TG62" s="646"/>
      <c r="TH62" s="645"/>
      <c r="TI62" s="646"/>
      <c r="TJ62" s="645"/>
      <c r="TK62" s="646"/>
      <c r="TL62" s="645"/>
      <c r="TM62" s="646"/>
      <c r="TN62" s="645"/>
      <c r="TO62" s="646"/>
      <c r="TP62" s="645"/>
      <c r="TQ62" s="646"/>
      <c r="TR62" s="645"/>
      <c r="TS62" s="646"/>
      <c r="TT62" s="645"/>
      <c r="TU62" s="646"/>
      <c r="TV62" s="645"/>
      <c r="TW62" s="646"/>
      <c r="TX62" s="645"/>
      <c r="TY62" s="646"/>
      <c r="TZ62" s="645"/>
      <c r="UA62" s="646"/>
      <c r="UB62" s="645"/>
      <c r="UC62" s="646"/>
      <c r="UD62" s="645"/>
      <c r="UE62" s="646"/>
      <c r="UF62" s="645"/>
      <c r="UG62" s="646"/>
      <c r="UH62" s="645"/>
      <c r="UI62" s="646"/>
      <c r="UJ62" s="645"/>
      <c r="UK62" s="646"/>
      <c r="UL62" s="645"/>
      <c r="UM62" s="646"/>
      <c r="UN62" s="645"/>
      <c r="UO62" s="646"/>
      <c r="UP62" s="645"/>
      <c r="UQ62" s="646"/>
      <c r="UR62" s="645"/>
      <c r="US62" s="646"/>
      <c r="UT62" s="645"/>
      <c r="UU62" s="646"/>
      <c r="UV62" s="645"/>
      <c r="UW62" s="646"/>
      <c r="UX62" s="645"/>
      <c r="UY62" s="646"/>
      <c r="UZ62" s="645"/>
      <c r="VA62" s="646"/>
      <c r="VB62" s="645"/>
      <c r="VC62" s="646"/>
      <c r="VD62" s="645"/>
      <c r="VE62" s="646"/>
      <c r="VF62" s="645"/>
      <c r="VG62" s="646"/>
      <c r="VH62" s="645"/>
      <c r="VI62" s="646"/>
      <c r="VJ62" s="645"/>
      <c r="VK62" s="646"/>
      <c r="VL62" s="645"/>
      <c r="VM62" s="646"/>
      <c r="VN62" s="645"/>
      <c r="VO62" s="646"/>
      <c r="VP62" s="645"/>
      <c r="VQ62" s="646"/>
      <c r="VR62" s="645"/>
      <c r="VS62" s="646"/>
      <c r="VT62" s="645"/>
      <c r="VU62" s="646"/>
      <c r="VV62" s="645"/>
      <c r="VW62" s="646"/>
      <c r="VX62" s="645"/>
      <c r="VY62" s="646"/>
      <c r="VZ62" s="645"/>
      <c r="WA62" s="646"/>
      <c r="WB62" s="645"/>
      <c r="WC62" s="646"/>
      <c r="WD62" s="645"/>
      <c r="WE62" s="646"/>
      <c r="WF62" s="645"/>
      <c r="WG62" s="646"/>
      <c r="WH62" s="645"/>
      <c r="WI62" s="646"/>
      <c r="WJ62" s="645"/>
      <c r="WK62" s="646"/>
      <c r="WL62" s="645"/>
      <c r="WM62" s="646"/>
      <c r="WN62" s="645"/>
      <c r="WO62" s="646"/>
      <c r="WP62" s="645"/>
      <c r="WQ62" s="646"/>
      <c r="WR62" s="645"/>
      <c r="WS62" s="646"/>
      <c r="WT62" s="645"/>
      <c r="WU62" s="646"/>
      <c r="WV62" s="645"/>
      <c r="WW62" s="646"/>
      <c r="WX62" s="645"/>
      <c r="WY62" s="646"/>
      <c r="WZ62" s="645"/>
      <c r="XA62" s="646"/>
      <c r="XB62" s="645"/>
      <c r="XC62" s="646"/>
      <c r="XD62" s="645"/>
      <c r="XE62" s="646"/>
      <c r="XF62" s="645"/>
      <c r="XG62" s="646"/>
      <c r="XH62" s="645"/>
      <c r="XI62" s="646"/>
      <c r="XJ62" s="645"/>
      <c r="XK62" s="646"/>
      <c r="XL62" s="645"/>
      <c r="XM62" s="646"/>
      <c r="XN62" s="645"/>
      <c r="XO62" s="646"/>
      <c r="XP62" s="645"/>
      <c r="XQ62" s="646"/>
      <c r="XR62" s="645"/>
      <c r="XS62" s="646"/>
      <c r="XT62" s="645"/>
      <c r="XU62" s="646"/>
      <c r="XV62" s="645"/>
      <c r="XW62" s="646"/>
      <c r="XX62" s="645"/>
      <c r="XY62" s="646"/>
      <c r="XZ62" s="645"/>
      <c r="YA62" s="646"/>
      <c r="YB62" s="645"/>
      <c r="YC62" s="646"/>
      <c r="YD62" s="645"/>
      <c r="YE62" s="646"/>
      <c r="YF62" s="645"/>
      <c r="YG62" s="646"/>
      <c r="YH62" s="645"/>
      <c r="YI62" s="646"/>
      <c r="YJ62" s="645"/>
      <c r="YK62" s="646"/>
      <c r="YL62" s="645"/>
      <c r="YM62" s="646"/>
      <c r="YN62" s="645"/>
      <c r="YO62" s="646"/>
      <c r="YP62" s="645"/>
      <c r="YQ62" s="646"/>
      <c r="YR62" s="645"/>
      <c r="YS62" s="646"/>
      <c r="YT62" s="645"/>
      <c r="YU62" s="646"/>
      <c r="YV62" s="645"/>
      <c r="YW62" s="646"/>
      <c r="YX62" s="645"/>
      <c r="YY62" s="646"/>
      <c r="YZ62" s="645"/>
      <c r="ZA62" s="646"/>
      <c r="ZB62" s="645"/>
      <c r="ZC62" s="646"/>
      <c r="ZD62" s="645"/>
      <c r="ZE62" s="646"/>
      <c r="ZF62" s="645"/>
      <c r="ZG62" s="646"/>
      <c r="ZH62" s="645"/>
      <c r="ZI62" s="646"/>
      <c r="ZJ62" s="645"/>
      <c r="ZK62" s="646"/>
      <c r="ZL62" s="645"/>
      <c r="ZM62" s="646"/>
      <c r="ZN62" s="645"/>
      <c r="ZO62" s="646"/>
      <c r="ZP62" s="645"/>
      <c r="ZQ62" s="646"/>
      <c r="ZR62" s="645"/>
      <c r="ZS62" s="646"/>
      <c r="ZT62" s="645"/>
      <c r="ZU62" s="646"/>
      <c r="ZV62" s="645"/>
      <c r="ZW62" s="646"/>
      <c r="ZX62" s="645"/>
      <c r="ZY62" s="646"/>
      <c r="ZZ62" s="645"/>
      <c r="AAA62" s="646"/>
      <c r="AAB62" s="645"/>
      <c r="AAC62" s="646"/>
      <c r="AAD62" s="645"/>
      <c r="AAE62" s="646"/>
      <c r="AAF62" s="645"/>
      <c r="AAG62" s="646"/>
      <c r="AAH62" s="645"/>
      <c r="AAI62" s="646"/>
      <c r="AAJ62" s="645"/>
      <c r="AAK62" s="646"/>
      <c r="AAL62" s="645"/>
      <c r="AAM62" s="646"/>
      <c r="AAN62" s="645"/>
      <c r="AAO62" s="646"/>
      <c r="AAP62" s="645"/>
      <c r="AAQ62" s="646"/>
      <c r="AAR62" s="645"/>
      <c r="AAS62" s="646"/>
      <c r="AAT62" s="645"/>
      <c r="AAU62" s="646"/>
      <c r="AAV62" s="645"/>
      <c r="AAW62" s="646"/>
      <c r="AAX62" s="645"/>
      <c r="AAY62" s="646"/>
      <c r="AAZ62" s="645"/>
      <c r="ABA62" s="646"/>
      <c r="ABB62" s="645"/>
      <c r="ABC62" s="646"/>
      <c r="ABD62" s="645"/>
      <c r="ABE62" s="646"/>
      <c r="ABF62" s="645"/>
      <c r="ABG62" s="646"/>
      <c r="ABH62" s="645"/>
      <c r="ABI62" s="646"/>
      <c r="ABJ62" s="645"/>
      <c r="ABK62" s="646"/>
      <c r="ABL62" s="645"/>
      <c r="ABM62" s="646"/>
      <c r="ABN62" s="645"/>
      <c r="ABO62" s="646"/>
      <c r="ABP62" s="645"/>
      <c r="ABQ62" s="646"/>
      <c r="ABR62" s="645"/>
      <c r="ABS62" s="646"/>
      <c r="ABT62" s="645"/>
      <c r="ABU62" s="646"/>
      <c r="ABV62" s="645"/>
      <c r="ABW62" s="646"/>
      <c r="ABX62" s="645"/>
      <c r="ABY62" s="646"/>
      <c r="ABZ62" s="645"/>
      <c r="ACA62" s="646"/>
      <c r="ACB62" s="645"/>
      <c r="ACC62" s="646"/>
      <c r="ACD62" s="645"/>
      <c r="ACE62" s="646"/>
      <c r="ACF62" s="645"/>
      <c r="ACG62" s="646"/>
      <c r="ACH62" s="645"/>
      <c r="ACI62" s="646"/>
      <c r="ACJ62" s="645"/>
      <c r="ACK62" s="646"/>
      <c r="ACL62" s="645"/>
      <c r="ACM62" s="646"/>
      <c r="ACN62" s="645"/>
      <c r="ACO62" s="646"/>
      <c r="ACP62" s="645"/>
      <c r="ACQ62" s="646"/>
      <c r="ACR62" s="645"/>
      <c r="ACS62" s="646"/>
      <c r="ACT62" s="645"/>
      <c r="ACU62" s="646"/>
      <c r="ACV62" s="645"/>
      <c r="ACW62" s="646"/>
      <c r="ACX62" s="645"/>
      <c r="ACY62" s="646"/>
      <c r="ACZ62" s="645"/>
      <c r="ADA62" s="646"/>
      <c r="ADB62" s="645"/>
      <c r="ADC62" s="646"/>
      <c r="ADD62" s="645"/>
      <c r="ADE62" s="646"/>
      <c r="ADF62" s="645"/>
      <c r="ADG62" s="646"/>
      <c r="ADH62" s="645"/>
      <c r="ADI62" s="646"/>
      <c r="ADJ62" s="645"/>
      <c r="ADK62" s="646"/>
      <c r="ADL62" s="645"/>
      <c r="ADM62" s="646"/>
      <c r="ADN62" s="645"/>
      <c r="ADO62" s="646"/>
      <c r="ADP62" s="645"/>
      <c r="ADQ62" s="646"/>
      <c r="ADR62" s="645"/>
      <c r="ADS62" s="646"/>
      <c r="ADT62" s="645"/>
      <c r="ADU62" s="646"/>
      <c r="ADV62" s="645"/>
      <c r="ADW62" s="646"/>
      <c r="ADX62" s="645"/>
      <c r="ADY62" s="646"/>
      <c r="ADZ62" s="645"/>
      <c r="AEA62" s="646"/>
      <c r="AEB62" s="645"/>
      <c r="AEC62" s="646"/>
      <c r="AED62" s="645"/>
      <c r="AEE62" s="646"/>
      <c r="AEF62" s="645"/>
      <c r="AEG62" s="646"/>
      <c r="AEH62" s="645"/>
      <c r="AEI62" s="646"/>
      <c r="AEJ62" s="645"/>
      <c r="AEK62" s="646"/>
      <c r="AEL62" s="645"/>
      <c r="AEM62" s="646"/>
      <c r="AEN62" s="645"/>
      <c r="AEO62" s="646"/>
      <c r="AEP62" s="645"/>
      <c r="AEQ62" s="646"/>
      <c r="AER62" s="645"/>
      <c r="AES62" s="646"/>
      <c r="AET62" s="645"/>
      <c r="AEU62" s="646"/>
      <c r="AEV62" s="645"/>
      <c r="AEW62" s="646"/>
      <c r="AEX62" s="645"/>
      <c r="AEY62" s="646"/>
      <c r="AEZ62" s="645"/>
      <c r="AFA62" s="646"/>
      <c r="AFB62" s="645"/>
      <c r="AFC62" s="646"/>
      <c r="AFD62" s="645"/>
      <c r="AFE62" s="646"/>
      <c r="AFF62" s="645"/>
      <c r="AFG62" s="646"/>
      <c r="AFH62" s="645"/>
      <c r="AFI62" s="646"/>
      <c r="AFJ62" s="645"/>
      <c r="AFK62" s="646"/>
      <c r="AFL62" s="645"/>
      <c r="AFM62" s="646"/>
      <c r="AFN62" s="645"/>
      <c r="AFO62" s="646"/>
      <c r="AFP62" s="645"/>
      <c r="AFQ62" s="646"/>
      <c r="AFR62" s="645"/>
      <c r="AFS62" s="646"/>
      <c r="AFT62" s="645"/>
      <c r="AFU62" s="646"/>
      <c r="AFV62" s="645"/>
      <c r="AFW62" s="646"/>
      <c r="AFX62" s="645"/>
      <c r="AFY62" s="646"/>
      <c r="AFZ62" s="645"/>
      <c r="AGA62" s="646"/>
      <c r="AGB62" s="645"/>
      <c r="AGC62" s="646"/>
      <c r="AGD62" s="645"/>
      <c r="AGE62" s="646"/>
      <c r="AGF62" s="645"/>
      <c r="AGG62" s="646"/>
      <c r="AGH62" s="645"/>
      <c r="AGI62" s="646"/>
      <c r="AGJ62" s="645"/>
      <c r="AGK62" s="646"/>
      <c r="AGL62" s="645"/>
      <c r="AGM62" s="646"/>
      <c r="AGN62" s="645"/>
      <c r="AGO62" s="646"/>
      <c r="AGP62" s="645"/>
      <c r="AGQ62" s="646"/>
      <c r="AGR62" s="645"/>
      <c r="AGS62" s="646"/>
      <c r="AGT62" s="645"/>
      <c r="AGU62" s="646"/>
      <c r="AGV62" s="645"/>
      <c r="AGW62" s="646"/>
      <c r="AGX62" s="645"/>
      <c r="AGY62" s="646"/>
      <c r="AGZ62" s="645"/>
      <c r="AHA62" s="646"/>
      <c r="AHB62" s="645"/>
      <c r="AHC62" s="646"/>
      <c r="AHD62" s="645"/>
      <c r="AHE62" s="646"/>
      <c r="AHF62" s="645"/>
      <c r="AHG62" s="646"/>
      <c r="AHH62" s="645"/>
      <c r="AHI62" s="646"/>
      <c r="AHJ62" s="645"/>
      <c r="AHK62" s="646"/>
      <c r="AHL62" s="645"/>
      <c r="AHM62" s="646"/>
      <c r="AHN62" s="645"/>
      <c r="AHO62" s="646"/>
      <c r="AHP62" s="645"/>
      <c r="AHQ62" s="646"/>
      <c r="AHR62" s="645"/>
      <c r="AHS62" s="646"/>
      <c r="AHT62" s="645"/>
      <c r="AHU62" s="646"/>
      <c r="AHV62" s="645"/>
      <c r="AHW62" s="646"/>
      <c r="AHX62" s="645"/>
      <c r="AHY62" s="646"/>
      <c r="AHZ62" s="645"/>
      <c r="AIA62" s="646"/>
      <c r="AIB62" s="645"/>
      <c r="AIC62" s="646"/>
      <c r="AID62" s="645"/>
      <c r="AIE62" s="646"/>
      <c r="AIF62" s="645"/>
      <c r="AIG62" s="646"/>
      <c r="AIH62" s="645"/>
      <c r="AII62" s="646"/>
      <c r="AIJ62" s="645"/>
      <c r="AIK62" s="646"/>
      <c r="AIL62" s="645"/>
      <c r="AIM62" s="646"/>
      <c r="AIN62" s="645"/>
      <c r="AIO62" s="646"/>
      <c r="AIP62" s="645"/>
      <c r="AIQ62" s="645"/>
      <c r="AIR62" s="645"/>
      <c r="AIS62" s="645"/>
      <c r="AIT62" s="645"/>
      <c r="AIU62" s="645"/>
      <c r="AIV62" s="645"/>
      <c r="AIW62" s="645"/>
      <c r="AIX62" s="645"/>
      <c r="AIY62" s="645"/>
      <c r="AIZ62" s="645"/>
      <c r="AJA62" s="645"/>
      <c r="AJB62" s="645"/>
      <c r="AJC62" s="645"/>
      <c r="AJD62" s="645"/>
      <c r="AJE62" s="645"/>
      <c r="AJF62" s="645"/>
      <c r="AJG62" s="645"/>
      <c r="AJH62" s="645"/>
      <c r="AJI62" s="645"/>
      <c r="AJJ62" s="645"/>
      <c r="AJK62" s="645"/>
      <c r="AJL62" s="645"/>
      <c r="AJM62" s="645"/>
      <c r="AJN62" s="645"/>
      <c r="AJO62" s="645"/>
      <c r="AJP62" s="645"/>
      <c r="AJQ62" s="645"/>
      <c r="AJR62" s="645"/>
      <c r="AJS62" s="645"/>
      <c r="AJT62" s="645"/>
      <c r="AJU62" s="645"/>
      <c r="AJV62" s="645"/>
      <c r="AJW62" s="645"/>
      <c r="AJX62" s="645"/>
      <c r="AJY62" s="645"/>
      <c r="AJZ62" s="645"/>
      <c r="AKA62" s="645"/>
      <c r="AKB62" s="645"/>
      <c r="AKC62" s="645"/>
      <c r="AKD62" s="645"/>
      <c r="AKE62" s="645"/>
      <c r="AKF62" s="645"/>
      <c r="AKG62" s="645"/>
      <c r="AKH62" s="645"/>
      <c r="AKI62" s="645"/>
      <c r="AKJ62" s="645"/>
      <c r="AKK62" s="645"/>
      <c r="AKL62" s="645"/>
      <c r="AKM62" s="645"/>
      <c r="AKN62" s="645"/>
      <c r="AKO62" s="645"/>
      <c r="AKP62" s="645"/>
      <c r="AKQ62" s="645"/>
      <c r="AKR62" s="645"/>
      <c r="AKS62" s="645"/>
      <c r="AKT62" s="645"/>
      <c r="AKU62" s="645"/>
      <c r="AKV62" s="645"/>
      <c r="AKW62" s="645"/>
      <c r="AKX62" s="645"/>
      <c r="AKY62" s="645"/>
      <c r="AKZ62" s="645"/>
      <c r="ALA62" s="645"/>
      <c r="ALB62" s="645"/>
      <c r="ALC62" s="645"/>
      <c r="ALD62" s="645"/>
      <c r="ALE62" s="645"/>
      <c r="ALF62" s="645"/>
      <c r="ALG62" s="645"/>
      <c r="ALH62" s="645"/>
      <c r="ALI62" s="645"/>
      <c r="ALJ62" s="645"/>
      <c r="ALK62" s="645"/>
      <c r="ALL62" s="645"/>
      <c r="ALM62" s="645"/>
      <c r="ALN62" s="645"/>
      <c r="ALO62" s="645"/>
      <c r="ALP62" s="645"/>
      <c r="ALQ62" s="645"/>
      <c r="ALR62" s="645"/>
      <c r="ALS62" s="645"/>
      <c r="ALT62" s="645"/>
      <c r="ALU62" s="645"/>
      <c r="ALV62" s="645"/>
      <c r="ALW62" s="645"/>
      <c r="ALX62" s="645"/>
      <c r="ALY62" s="645"/>
      <c r="ALZ62" s="645"/>
      <c r="AMA62" s="645"/>
      <c r="AMB62" s="645"/>
      <c r="AMC62" s="645"/>
      <c r="AMD62" s="645"/>
      <c r="AME62" s="645"/>
      <c r="AMF62" s="645"/>
      <c r="AMG62" s="645"/>
      <c r="AMH62" s="645"/>
      <c r="AMI62" s="645"/>
      <c r="AMJ62" s="645"/>
    </row>
    <row r="63" spans="1:1024" s="37" customFormat="1" ht="15.75" customHeight="1" x14ac:dyDescent="0.35">
      <c r="A63" s="600"/>
      <c r="B63" s="644" t="s">
        <v>318</v>
      </c>
      <c r="C63" s="645"/>
      <c r="D63" s="646"/>
      <c r="E63" s="645"/>
      <c r="F63" s="646"/>
      <c r="G63" s="647" t="s">
        <v>241</v>
      </c>
      <c r="H63" s="643"/>
      <c r="I63" s="645"/>
      <c r="J63" s="38"/>
      <c r="K63" s="38"/>
      <c r="L63" s="39"/>
      <c r="M63" s="38"/>
      <c r="N63" s="39"/>
      <c r="O63" s="38"/>
      <c r="P63" s="39"/>
      <c r="Q63" s="38"/>
      <c r="R63" s="39"/>
      <c r="S63" s="38"/>
      <c r="T63" s="39"/>
      <c r="U63" s="38"/>
      <c r="V63" s="39"/>
      <c r="W63" s="38"/>
      <c r="X63" s="39"/>
      <c r="Y63" s="38"/>
      <c r="Z63" s="39"/>
      <c r="AA63" s="38"/>
      <c r="AB63" s="39"/>
      <c r="AC63" s="38"/>
      <c r="AD63" s="39"/>
      <c r="AE63" s="38"/>
      <c r="AF63" s="39"/>
      <c r="AG63" s="38"/>
      <c r="AH63" s="39"/>
      <c r="AI63" s="38"/>
      <c r="AJ63" s="39"/>
      <c r="AK63" s="40"/>
      <c r="AL63" s="39"/>
      <c r="AM63" s="40"/>
      <c r="AN63" s="39"/>
      <c r="AO63" s="40"/>
      <c r="AP63" s="39"/>
      <c r="AQ63" s="40"/>
      <c r="AR63" s="39"/>
      <c r="AS63" s="40"/>
      <c r="AT63" s="39"/>
      <c r="AU63" s="40"/>
      <c r="AV63" s="39"/>
      <c r="AW63" s="40"/>
      <c r="AX63" s="39"/>
      <c r="AY63" s="40"/>
      <c r="AZ63" s="39"/>
      <c r="BA63" s="40"/>
      <c r="BB63" s="39"/>
      <c r="BC63" s="40"/>
      <c r="BD63" s="39"/>
      <c r="BE63" s="40"/>
      <c r="BF63" s="39"/>
      <c r="BG63" s="40"/>
      <c r="BH63" s="39"/>
      <c r="BI63" s="40"/>
      <c r="BJ63" s="39"/>
      <c r="BK63" s="40"/>
      <c r="BL63" s="39"/>
      <c r="BM63" s="40"/>
      <c r="BN63" s="39"/>
      <c r="BO63" s="40"/>
      <c r="BP63" s="39"/>
      <c r="BQ63" s="40"/>
      <c r="BR63" s="39"/>
      <c r="BS63" s="40"/>
      <c r="BT63" s="39"/>
      <c r="BU63" s="40"/>
      <c r="BV63" s="39"/>
      <c r="BW63" s="40"/>
      <c r="BX63" s="39"/>
      <c r="BY63" s="40"/>
      <c r="BZ63" s="39"/>
      <c r="CA63" s="40"/>
      <c r="CB63" s="39"/>
      <c r="CC63" s="40"/>
      <c r="CD63" s="39"/>
      <c r="CE63" s="40"/>
      <c r="CF63" s="39"/>
      <c r="CG63" s="40"/>
      <c r="CH63" s="39"/>
      <c r="CI63" s="40"/>
      <c r="CJ63" s="39"/>
      <c r="CK63" s="40"/>
      <c r="CL63" s="39"/>
      <c r="CM63" s="40"/>
      <c r="CN63" s="39"/>
      <c r="CO63" s="40"/>
      <c r="CP63" s="39"/>
      <c r="CQ63" s="40"/>
      <c r="CR63" s="39"/>
      <c r="CS63" s="40"/>
      <c r="CT63" s="39"/>
      <c r="CU63" s="40"/>
      <c r="CV63" s="39"/>
      <c r="CW63" s="40"/>
      <c r="CX63" s="39"/>
      <c r="CY63" s="40"/>
      <c r="CZ63" s="39"/>
      <c r="DA63" s="40"/>
      <c r="DB63" s="39"/>
      <c r="DC63" s="40"/>
      <c r="DD63" s="39"/>
      <c r="DE63" s="40"/>
      <c r="DF63" s="39"/>
      <c r="DG63" s="40"/>
      <c r="DH63" s="39"/>
      <c r="DI63" s="40"/>
      <c r="DJ63" s="39"/>
      <c r="DK63" s="40"/>
      <c r="DL63" s="39"/>
      <c r="DM63" s="40"/>
      <c r="DN63" s="39"/>
      <c r="DO63" s="40"/>
      <c r="DP63" s="39"/>
      <c r="DQ63" s="40"/>
      <c r="DR63" s="39"/>
      <c r="DS63" s="40"/>
      <c r="DT63" s="39"/>
      <c r="DU63" s="40"/>
      <c r="DV63" s="39"/>
      <c r="DW63" s="40"/>
      <c r="DX63" s="39"/>
      <c r="DY63" s="40"/>
      <c r="DZ63" s="39"/>
      <c r="EA63" s="40"/>
      <c r="EB63" s="39"/>
      <c r="EC63" s="40"/>
      <c r="ED63" s="39"/>
      <c r="EE63" s="40"/>
      <c r="EF63" s="39"/>
      <c r="EG63" s="40"/>
      <c r="EH63" s="39"/>
      <c r="EI63" s="40"/>
      <c r="EJ63" s="39"/>
      <c r="EK63" s="40"/>
      <c r="EL63" s="39"/>
      <c r="EM63" s="40"/>
      <c r="EN63" s="39"/>
      <c r="EO63" s="40"/>
      <c r="EP63" s="39"/>
      <c r="EQ63" s="40"/>
      <c r="ER63" s="39"/>
      <c r="ES63" s="40"/>
      <c r="ET63" s="39"/>
      <c r="EU63" s="40"/>
      <c r="EV63" s="39"/>
      <c r="EW63" s="40"/>
      <c r="EX63" s="39"/>
      <c r="EY63" s="40"/>
      <c r="EZ63" s="39"/>
      <c r="FA63" s="40"/>
      <c r="FB63" s="39"/>
      <c r="FC63" s="40"/>
      <c r="FD63" s="39"/>
      <c r="FE63" s="40"/>
      <c r="FF63" s="39"/>
      <c r="FG63" s="40"/>
      <c r="FH63" s="39"/>
      <c r="FI63" s="40"/>
      <c r="FJ63" s="39"/>
      <c r="FK63" s="40"/>
      <c r="FL63" s="39"/>
      <c r="FM63" s="40"/>
      <c r="FN63" s="39"/>
      <c r="FO63" s="40"/>
      <c r="FP63" s="39"/>
      <c r="FQ63" s="40"/>
      <c r="FR63" s="39"/>
      <c r="FS63" s="40"/>
      <c r="FT63" s="39"/>
      <c r="FU63" s="40"/>
      <c r="FV63" s="39"/>
      <c r="FW63" s="40"/>
      <c r="FX63" s="39"/>
      <c r="FY63" s="40"/>
      <c r="FZ63" s="39"/>
      <c r="GA63" s="40"/>
      <c r="GB63" s="39"/>
      <c r="GC63" s="40"/>
      <c r="GD63" s="39"/>
      <c r="GE63" s="40"/>
      <c r="GF63" s="39"/>
      <c r="GG63" s="40"/>
      <c r="GH63" s="39"/>
      <c r="GI63" s="40"/>
      <c r="GJ63" s="39"/>
      <c r="GK63" s="40"/>
      <c r="GL63" s="39"/>
      <c r="GM63" s="40"/>
      <c r="GN63" s="39"/>
      <c r="GO63" s="40"/>
      <c r="GP63" s="39"/>
      <c r="GQ63" s="40"/>
      <c r="GR63" s="39"/>
      <c r="GS63" s="40"/>
      <c r="GT63" s="39"/>
      <c r="GU63" s="40"/>
      <c r="GV63" s="39"/>
      <c r="GW63" s="40"/>
      <c r="GX63" s="39"/>
      <c r="GY63" s="40"/>
      <c r="GZ63" s="39"/>
      <c r="HA63" s="40"/>
      <c r="HB63" s="39"/>
      <c r="HC63" s="40"/>
      <c r="HD63" s="39"/>
      <c r="HE63" s="40"/>
      <c r="HF63" s="39"/>
      <c r="HG63" s="40"/>
      <c r="HH63" s="39"/>
      <c r="HI63" s="40"/>
      <c r="HJ63" s="39"/>
      <c r="HK63" s="40"/>
      <c r="HL63" s="39"/>
      <c r="HM63" s="40"/>
      <c r="HN63" s="39"/>
      <c r="HO63" s="40"/>
      <c r="HP63" s="39"/>
      <c r="HQ63" s="40"/>
      <c r="HR63" s="39"/>
      <c r="HS63" s="40"/>
      <c r="HT63" s="39"/>
      <c r="HU63" s="40"/>
      <c r="HV63" s="39"/>
      <c r="HW63" s="40"/>
      <c r="HX63" s="39"/>
      <c r="HY63" s="40"/>
      <c r="HZ63" s="39"/>
      <c r="IA63" s="40"/>
      <c r="IB63" s="39"/>
      <c r="IC63" s="1068"/>
      <c r="ID63" s="645"/>
      <c r="IE63" s="646"/>
      <c r="IF63" s="645"/>
      <c r="IG63" s="646"/>
      <c r="IH63" s="645"/>
      <c r="II63" s="646"/>
      <c r="IJ63" s="645"/>
      <c r="IK63" s="646"/>
      <c r="IL63" s="645"/>
      <c r="IM63" s="646"/>
      <c r="IN63" s="645"/>
      <c r="IO63" s="646"/>
      <c r="IP63" s="645"/>
      <c r="IQ63" s="646"/>
      <c r="IR63" s="645"/>
      <c r="IS63" s="646"/>
      <c r="IT63" s="645"/>
      <c r="IU63" s="646"/>
      <c r="IV63" s="645"/>
      <c r="IW63" s="646"/>
      <c r="IX63" s="645"/>
      <c r="IY63" s="646"/>
      <c r="IZ63" s="645"/>
      <c r="JA63" s="646"/>
      <c r="JB63" s="645"/>
      <c r="JC63" s="646"/>
      <c r="JD63" s="645"/>
      <c r="JE63" s="646"/>
      <c r="JF63" s="645"/>
      <c r="JG63" s="646"/>
      <c r="JH63" s="645"/>
      <c r="JI63" s="646"/>
      <c r="JJ63" s="645"/>
      <c r="JK63" s="646"/>
      <c r="JL63" s="645"/>
      <c r="JM63" s="646"/>
      <c r="JN63" s="645"/>
      <c r="JO63" s="646"/>
      <c r="JP63" s="645"/>
      <c r="JQ63" s="646"/>
      <c r="JR63" s="645"/>
      <c r="JS63" s="646"/>
      <c r="JT63" s="645"/>
      <c r="JU63" s="646"/>
      <c r="JV63" s="645"/>
      <c r="JW63" s="646"/>
      <c r="JX63" s="645"/>
      <c r="JY63" s="646"/>
      <c r="JZ63" s="645"/>
      <c r="KA63" s="646"/>
      <c r="KB63" s="645"/>
      <c r="KC63" s="646"/>
      <c r="KD63" s="645"/>
      <c r="KE63" s="646"/>
      <c r="KF63" s="645"/>
      <c r="KG63" s="646"/>
      <c r="KH63" s="645"/>
      <c r="KI63" s="646"/>
      <c r="KJ63" s="645"/>
      <c r="KK63" s="646"/>
      <c r="KL63" s="645"/>
      <c r="KM63" s="646"/>
      <c r="KN63" s="645"/>
      <c r="KO63" s="646"/>
      <c r="KP63" s="645"/>
      <c r="KQ63" s="646"/>
      <c r="KR63" s="645"/>
      <c r="KS63" s="646"/>
      <c r="KT63" s="645"/>
      <c r="KU63" s="646"/>
      <c r="KV63" s="645"/>
      <c r="KW63" s="646"/>
      <c r="KX63" s="645"/>
      <c r="KY63" s="646"/>
      <c r="KZ63" s="645"/>
      <c r="LA63" s="646"/>
      <c r="LB63" s="645"/>
      <c r="LC63" s="646"/>
      <c r="LD63" s="645"/>
      <c r="LE63" s="646"/>
      <c r="LF63" s="645"/>
      <c r="LG63" s="646"/>
      <c r="LH63" s="645"/>
      <c r="LI63" s="646"/>
      <c r="LJ63" s="645"/>
      <c r="LK63" s="646"/>
      <c r="LL63" s="645"/>
      <c r="LM63" s="646"/>
      <c r="LN63" s="645"/>
      <c r="LO63" s="646"/>
      <c r="LP63" s="645"/>
      <c r="LQ63" s="646"/>
      <c r="LR63" s="645"/>
      <c r="LS63" s="646"/>
      <c r="LT63" s="645"/>
      <c r="LU63" s="646"/>
      <c r="LV63" s="645"/>
      <c r="LW63" s="646"/>
      <c r="LX63" s="645"/>
      <c r="LY63" s="646"/>
      <c r="LZ63" s="645"/>
      <c r="MA63" s="646"/>
      <c r="MB63" s="645"/>
      <c r="MC63" s="646"/>
      <c r="MD63" s="645"/>
      <c r="ME63" s="646"/>
      <c r="MF63" s="645"/>
      <c r="MG63" s="646"/>
      <c r="MH63" s="645"/>
      <c r="MI63" s="646"/>
      <c r="MJ63" s="645"/>
      <c r="MK63" s="646"/>
      <c r="ML63" s="645"/>
      <c r="MM63" s="646"/>
      <c r="MN63" s="645"/>
      <c r="MO63" s="646"/>
      <c r="MP63" s="645"/>
      <c r="MQ63" s="646"/>
      <c r="MR63" s="645"/>
      <c r="MS63" s="646"/>
      <c r="MT63" s="645"/>
      <c r="MU63" s="646"/>
      <c r="MV63" s="645"/>
      <c r="MW63" s="646"/>
      <c r="MX63" s="645"/>
      <c r="MY63" s="646"/>
      <c r="MZ63" s="645"/>
      <c r="NA63" s="646"/>
      <c r="NB63" s="645"/>
      <c r="NC63" s="646"/>
      <c r="ND63" s="645"/>
      <c r="NE63" s="646"/>
      <c r="NF63" s="645"/>
      <c r="NG63" s="646"/>
      <c r="NH63" s="645"/>
      <c r="NI63" s="646"/>
      <c r="NJ63" s="645"/>
      <c r="NK63" s="646"/>
      <c r="NL63" s="645"/>
      <c r="NM63" s="646"/>
      <c r="NN63" s="645"/>
      <c r="NO63" s="646"/>
      <c r="NP63" s="645"/>
      <c r="NQ63" s="646"/>
      <c r="NR63" s="645"/>
      <c r="NS63" s="646"/>
      <c r="NT63" s="645"/>
      <c r="NU63" s="646"/>
      <c r="NV63" s="645"/>
      <c r="NW63" s="646"/>
      <c r="NX63" s="645"/>
      <c r="NY63" s="646"/>
      <c r="NZ63" s="645"/>
      <c r="OA63" s="646"/>
      <c r="OB63" s="645"/>
      <c r="OC63" s="646"/>
      <c r="OD63" s="645"/>
      <c r="OE63" s="646"/>
      <c r="OF63" s="645"/>
      <c r="OG63" s="646"/>
      <c r="OH63" s="645"/>
      <c r="OI63" s="646"/>
      <c r="OJ63" s="645"/>
      <c r="OK63" s="646"/>
      <c r="OL63" s="645"/>
      <c r="OM63" s="646"/>
      <c r="ON63" s="645"/>
      <c r="OO63" s="646"/>
      <c r="OP63" s="645"/>
      <c r="OQ63" s="646"/>
      <c r="OR63" s="645"/>
      <c r="OS63" s="646"/>
      <c r="OT63" s="645"/>
      <c r="OU63" s="646"/>
      <c r="OV63" s="645"/>
      <c r="OW63" s="646"/>
      <c r="OX63" s="645"/>
      <c r="OY63" s="646"/>
      <c r="OZ63" s="645"/>
      <c r="PA63" s="646"/>
      <c r="PB63" s="645"/>
      <c r="PC63" s="646"/>
      <c r="PD63" s="645"/>
      <c r="PE63" s="646"/>
      <c r="PF63" s="645"/>
      <c r="PG63" s="646"/>
      <c r="PH63" s="645"/>
      <c r="PI63" s="646"/>
      <c r="PJ63" s="645"/>
      <c r="PK63" s="646"/>
      <c r="PL63" s="645"/>
      <c r="PM63" s="646"/>
      <c r="PN63" s="645"/>
      <c r="PO63" s="646"/>
      <c r="PP63" s="645"/>
      <c r="PQ63" s="646"/>
      <c r="PR63" s="645"/>
      <c r="PS63" s="646"/>
      <c r="PT63" s="645"/>
      <c r="PU63" s="646"/>
      <c r="PV63" s="645"/>
      <c r="PW63" s="646"/>
      <c r="PX63" s="645"/>
      <c r="PY63" s="646"/>
      <c r="PZ63" s="645"/>
      <c r="QA63" s="646"/>
      <c r="QB63" s="645"/>
      <c r="QC63" s="646"/>
      <c r="QD63" s="645"/>
      <c r="QE63" s="646"/>
      <c r="QF63" s="645"/>
      <c r="QG63" s="646"/>
      <c r="QH63" s="645"/>
      <c r="QI63" s="646"/>
      <c r="QJ63" s="645"/>
      <c r="QK63" s="646"/>
      <c r="QL63" s="645"/>
      <c r="QM63" s="646"/>
      <c r="QN63" s="645"/>
      <c r="QO63" s="646"/>
      <c r="QP63" s="645"/>
      <c r="QQ63" s="646"/>
      <c r="QR63" s="645"/>
      <c r="QS63" s="646"/>
      <c r="QT63" s="645"/>
      <c r="QU63" s="646"/>
      <c r="QV63" s="645"/>
      <c r="QW63" s="646"/>
      <c r="QX63" s="645"/>
      <c r="QY63" s="646"/>
      <c r="QZ63" s="645"/>
      <c r="RA63" s="646"/>
      <c r="RB63" s="645"/>
      <c r="RC63" s="646"/>
      <c r="RD63" s="645"/>
      <c r="RE63" s="646"/>
      <c r="RF63" s="645"/>
      <c r="RG63" s="646"/>
      <c r="RH63" s="645"/>
      <c r="RI63" s="646"/>
      <c r="RJ63" s="645"/>
      <c r="RK63" s="646"/>
      <c r="RL63" s="645"/>
      <c r="RM63" s="646"/>
      <c r="RN63" s="645"/>
      <c r="RO63" s="646"/>
      <c r="RP63" s="645"/>
      <c r="RQ63" s="646"/>
      <c r="RR63" s="645"/>
      <c r="RS63" s="646"/>
      <c r="RT63" s="645"/>
      <c r="RU63" s="646"/>
      <c r="RV63" s="645"/>
      <c r="RW63" s="646"/>
      <c r="RX63" s="645"/>
      <c r="RY63" s="646"/>
      <c r="RZ63" s="645"/>
      <c r="SA63" s="646"/>
      <c r="SB63" s="645"/>
      <c r="SC63" s="646"/>
      <c r="SD63" s="645"/>
      <c r="SE63" s="646"/>
      <c r="SF63" s="645"/>
      <c r="SG63" s="646"/>
      <c r="SH63" s="645"/>
      <c r="SI63" s="646"/>
      <c r="SJ63" s="645"/>
      <c r="SK63" s="646"/>
      <c r="SL63" s="645"/>
      <c r="SM63" s="646"/>
      <c r="SN63" s="645"/>
      <c r="SO63" s="646"/>
      <c r="SP63" s="645"/>
      <c r="SQ63" s="646"/>
      <c r="SR63" s="645"/>
      <c r="SS63" s="646"/>
      <c r="ST63" s="645"/>
      <c r="SU63" s="646"/>
      <c r="SV63" s="645"/>
      <c r="SW63" s="646"/>
      <c r="SX63" s="645"/>
      <c r="SY63" s="646"/>
      <c r="SZ63" s="645"/>
      <c r="TA63" s="646"/>
      <c r="TB63" s="645"/>
      <c r="TC63" s="646"/>
      <c r="TD63" s="645"/>
      <c r="TE63" s="646"/>
      <c r="TF63" s="645"/>
      <c r="TG63" s="646"/>
      <c r="TH63" s="645"/>
      <c r="TI63" s="646"/>
      <c r="TJ63" s="645"/>
      <c r="TK63" s="646"/>
      <c r="TL63" s="645"/>
      <c r="TM63" s="646"/>
      <c r="TN63" s="645"/>
      <c r="TO63" s="646"/>
      <c r="TP63" s="645"/>
      <c r="TQ63" s="646"/>
      <c r="TR63" s="645"/>
      <c r="TS63" s="646"/>
      <c r="TT63" s="645"/>
      <c r="TU63" s="646"/>
      <c r="TV63" s="645"/>
      <c r="TW63" s="646"/>
      <c r="TX63" s="645"/>
      <c r="TY63" s="646"/>
      <c r="TZ63" s="645"/>
      <c r="UA63" s="646"/>
      <c r="UB63" s="645"/>
      <c r="UC63" s="646"/>
      <c r="UD63" s="645"/>
      <c r="UE63" s="646"/>
      <c r="UF63" s="645"/>
      <c r="UG63" s="646"/>
      <c r="UH63" s="645"/>
      <c r="UI63" s="646"/>
      <c r="UJ63" s="645"/>
      <c r="UK63" s="646"/>
      <c r="UL63" s="645"/>
      <c r="UM63" s="646"/>
      <c r="UN63" s="645"/>
      <c r="UO63" s="646"/>
      <c r="UP63" s="645"/>
      <c r="UQ63" s="646"/>
      <c r="UR63" s="645"/>
      <c r="US63" s="646"/>
      <c r="UT63" s="645"/>
      <c r="UU63" s="646"/>
      <c r="UV63" s="645"/>
      <c r="UW63" s="646"/>
      <c r="UX63" s="645"/>
      <c r="UY63" s="646"/>
      <c r="UZ63" s="645"/>
      <c r="VA63" s="646"/>
      <c r="VB63" s="645"/>
      <c r="VC63" s="646"/>
      <c r="VD63" s="645"/>
      <c r="VE63" s="646"/>
      <c r="VF63" s="645"/>
      <c r="VG63" s="646"/>
      <c r="VH63" s="645"/>
      <c r="VI63" s="646"/>
      <c r="VJ63" s="645"/>
      <c r="VK63" s="646"/>
      <c r="VL63" s="645"/>
      <c r="VM63" s="646"/>
      <c r="VN63" s="645"/>
      <c r="VO63" s="646"/>
      <c r="VP63" s="645"/>
      <c r="VQ63" s="646"/>
      <c r="VR63" s="645"/>
      <c r="VS63" s="646"/>
      <c r="VT63" s="645"/>
      <c r="VU63" s="646"/>
      <c r="VV63" s="645"/>
      <c r="VW63" s="646"/>
      <c r="VX63" s="645"/>
      <c r="VY63" s="646"/>
      <c r="VZ63" s="645"/>
      <c r="WA63" s="646"/>
      <c r="WB63" s="645"/>
      <c r="WC63" s="646"/>
      <c r="WD63" s="645"/>
      <c r="WE63" s="646"/>
      <c r="WF63" s="645"/>
      <c r="WG63" s="646"/>
      <c r="WH63" s="645"/>
      <c r="WI63" s="646"/>
      <c r="WJ63" s="645"/>
      <c r="WK63" s="646"/>
      <c r="WL63" s="645"/>
      <c r="WM63" s="646"/>
      <c r="WN63" s="645"/>
      <c r="WO63" s="646"/>
      <c r="WP63" s="645"/>
      <c r="WQ63" s="646"/>
      <c r="WR63" s="645"/>
      <c r="WS63" s="646"/>
      <c r="WT63" s="645"/>
      <c r="WU63" s="646"/>
      <c r="WV63" s="645"/>
      <c r="WW63" s="646"/>
      <c r="WX63" s="645"/>
      <c r="WY63" s="646"/>
      <c r="WZ63" s="645"/>
      <c r="XA63" s="646"/>
      <c r="XB63" s="645"/>
      <c r="XC63" s="646"/>
      <c r="XD63" s="645"/>
      <c r="XE63" s="646"/>
      <c r="XF63" s="645"/>
      <c r="XG63" s="646"/>
      <c r="XH63" s="645"/>
      <c r="XI63" s="646"/>
      <c r="XJ63" s="645"/>
      <c r="XK63" s="646"/>
      <c r="XL63" s="645"/>
      <c r="XM63" s="646"/>
      <c r="XN63" s="645"/>
      <c r="XO63" s="646"/>
      <c r="XP63" s="645"/>
      <c r="XQ63" s="646"/>
      <c r="XR63" s="645"/>
      <c r="XS63" s="646"/>
      <c r="XT63" s="645"/>
      <c r="XU63" s="646"/>
      <c r="XV63" s="645"/>
      <c r="XW63" s="646"/>
      <c r="XX63" s="645"/>
      <c r="XY63" s="646"/>
      <c r="XZ63" s="645"/>
      <c r="YA63" s="646"/>
      <c r="YB63" s="645"/>
      <c r="YC63" s="646"/>
      <c r="YD63" s="645"/>
      <c r="YE63" s="646"/>
      <c r="YF63" s="645"/>
      <c r="YG63" s="646"/>
      <c r="YH63" s="645"/>
      <c r="YI63" s="646"/>
      <c r="YJ63" s="645"/>
      <c r="YK63" s="646"/>
      <c r="YL63" s="645"/>
      <c r="YM63" s="646"/>
      <c r="YN63" s="645"/>
      <c r="YO63" s="646"/>
      <c r="YP63" s="645"/>
      <c r="YQ63" s="646"/>
      <c r="YR63" s="645"/>
      <c r="YS63" s="646"/>
      <c r="YT63" s="645"/>
      <c r="YU63" s="646"/>
      <c r="YV63" s="645"/>
      <c r="YW63" s="646"/>
      <c r="YX63" s="645"/>
      <c r="YY63" s="646"/>
      <c r="YZ63" s="645"/>
      <c r="ZA63" s="646"/>
      <c r="ZB63" s="645"/>
      <c r="ZC63" s="646"/>
      <c r="ZD63" s="645"/>
      <c r="ZE63" s="646"/>
      <c r="ZF63" s="645"/>
      <c r="ZG63" s="646"/>
      <c r="ZH63" s="645"/>
      <c r="ZI63" s="646"/>
      <c r="ZJ63" s="645"/>
      <c r="ZK63" s="646"/>
      <c r="ZL63" s="645"/>
      <c r="ZM63" s="646"/>
      <c r="ZN63" s="645"/>
      <c r="ZO63" s="646"/>
      <c r="ZP63" s="645"/>
      <c r="ZQ63" s="646"/>
      <c r="ZR63" s="645"/>
      <c r="ZS63" s="646"/>
      <c r="ZT63" s="645"/>
      <c r="ZU63" s="646"/>
      <c r="ZV63" s="645"/>
      <c r="ZW63" s="646"/>
      <c r="ZX63" s="645"/>
      <c r="ZY63" s="646"/>
      <c r="ZZ63" s="645"/>
      <c r="AAA63" s="646"/>
      <c r="AAB63" s="645"/>
      <c r="AAC63" s="646"/>
      <c r="AAD63" s="645"/>
      <c r="AAE63" s="646"/>
      <c r="AAF63" s="645"/>
      <c r="AAG63" s="646"/>
      <c r="AAH63" s="645"/>
      <c r="AAI63" s="646"/>
      <c r="AAJ63" s="645"/>
      <c r="AAK63" s="646"/>
      <c r="AAL63" s="645"/>
      <c r="AAM63" s="646"/>
      <c r="AAN63" s="645"/>
      <c r="AAO63" s="646"/>
      <c r="AAP63" s="645"/>
      <c r="AAQ63" s="646"/>
      <c r="AAR63" s="645"/>
      <c r="AAS63" s="646"/>
      <c r="AAT63" s="645"/>
      <c r="AAU63" s="646"/>
      <c r="AAV63" s="645"/>
      <c r="AAW63" s="646"/>
      <c r="AAX63" s="645"/>
      <c r="AAY63" s="646"/>
      <c r="AAZ63" s="645"/>
      <c r="ABA63" s="646"/>
      <c r="ABB63" s="645"/>
      <c r="ABC63" s="646"/>
      <c r="ABD63" s="645"/>
      <c r="ABE63" s="646"/>
      <c r="ABF63" s="645"/>
      <c r="ABG63" s="646"/>
      <c r="ABH63" s="645"/>
      <c r="ABI63" s="646"/>
      <c r="ABJ63" s="645"/>
      <c r="ABK63" s="646"/>
      <c r="ABL63" s="645"/>
      <c r="ABM63" s="646"/>
      <c r="ABN63" s="645"/>
      <c r="ABO63" s="646"/>
      <c r="ABP63" s="645"/>
      <c r="ABQ63" s="646"/>
      <c r="ABR63" s="645"/>
      <c r="ABS63" s="646"/>
      <c r="ABT63" s="645"/>
      <c r="ABU63" s="646"/>
      <c r="ABV63" s="645"/>
      <c r="ABW63" s="646"/>
      <c r="ABX63" s="645"/>
      <c r="ABY63" s="646"/>
      <c r="ABZ63" s="645"/>
      <c r="ACA63" s="646"/>
      <c r="ACB63" s="645"/>
      <c r="ACC63" s="646"/>
      <c r="ACD63" s="645"/>
      <c r="ACE63" s="646"/>
      <c r="ACF63" s="645"/>
      <c r="ACG63" s="646"/>
      <c r="ACH63" s="645"/>
      <c r="ACI63" s="646"/>
      <c r="ACJ63" s="645"/>
      <c r="ACK63" s="646"/>
      <c r="ACL63" s="645"/>
      <c r="ACM63" s="646"/>
      <c r="ACN63" s="645"/>
      <c r="ACO63" s="646"/>
      <c r="ACP63" s="645"/>
      <c r="ACQ63" s="646"/>
      <c r="ACR63" s="645"/>
      <c r="ACS63" s="646"/>
      <c r="ACT63" s="645"/>
      <c r="ACU63" s="646"/>
      <c r="ACV63" s="645"/>
      <c r="ACW63" s="646"/>
      <c r="ACX63" s="645"/>
      <c r="ACY63" s="646"/>
      <c r="ACZ63" s="645"/>
      <c r="ADA63" s="646"/>
      <c r="ADB63" s="645"/>
      <c r="ADC63" s="646"/>
      <c r="ADD63" s="645"/>
      <c r="ADE63" s="646"/>
      <c r="ADF63" s="645"/>
      <c r="ADG63" s="646"/>
      <c r="ADH63" s="645"/>
      <c r="ADI63" s="646"/>
      <c r="ADJ63" s="645"/>
      <c r="ADK63" s="646"/>
      <c r="ADL63" s="645"/>
      <c r="ADM63" s="646"/>
      <c r="ADN63" s="645"/>
      <c r="ADO63" s="646"/>
      <c r="ADP63" s="645"/>
      <c r="ADQ63" s="646"/>
      <c r="ADR63" s="645"/>
      <c r="ADS63" s="646"/>
      <c r="ADT63" s="645"/>
      <c r="ADU63" s="646"/>
      <c r="ADV63" s="645"/>
      <c r="ADW63" s="646"/>
      <c r="ADX63" s="645"/>
      <c r="ADY63" s="646"/>
      <c r="ADZ63" s="645"/>
      <c r="AEA63" s="646"/>
      <c r="AEB63" s="645"/>
      <c r="AEC63" s="646"/>
      <c r="AED63" s="645"/>
      <c r="AEE63" s="646"/>
      <c r="AEF63" s="645"/>
      <c r="AEG63" s="646"/>
      <c r="AEH63" s="645"/>
      <c r="AEI63" s="646"/>
      <c r="AEJ63" s="645"/>
      <c r="AEK63" s="646"/>
      <c r="AEL63" s="645"/>
      <c r="AEM63" s="646"/>
      <c r="AEN63" s="645"/>
      <c r="AEO63" s="646"/>
      <c r="AEP63" s="645"/>
      <c r="AEQ63" s="646"/>
      <c r="AER63" s="645"/>
      <c r="AES63" s="646"/>
      <c r="AET63" s="645"/>
      <c r="AEU63" s="646"/>
      <c r="AEV63" s="645"/>
      <c r="AEW63" s="646"/>
      <c r="AEX63" s="645"/>
      <c r="AEY63" s="646"/>
      <c r="AEZ63" s="645"/>
      <c r="AFA63" s="646"/>
      <c r="AFB63" s="645"/>
      <c r="AFC63" s="646"/>
      <c r="AFD63" s="645"/>
      <c r="AFE63" s="646"/>
      <c r="AFF63" s="645"/>
      <c r="AFG63" s="646"/>
      <c r="AFH63" s="645"/>
      <c r="AFI63" s="646"/>
      <c r="AFJ63" s="645"/>
      <c r="AFK63" s="646"/>
      <c r="AFL63" s="645"/>
      <c r="AFM63" s="646"/>
      <c r="AFN63" s="645"/>
      <c r="AFO63" s="646"/>
      <c r="AFP63" s="645"/>
      <c r="AFQ63" s="646"/>
      <c r="AFR63" s="645"/>
      <c r="AFS63" s="646"/>
      <c r="AFT63" s="645"/>
      <c r="AFU63" s="646"/>
      <c r="AFV63" s="645"/>
      <c r="AFW63" s="646"/>
      <c r="AFX63" s="645"/>
      <c r="AFY63" s="646"/>
      <c r="AFZ63" s="645"/>
      <c r="AGA63" s="646"/>
      <c r="AGB63" s="645"/>
      <c r="AGC63" s="646"/>
      <c r="AGD63" s="645"/>
      <c r="AGE63" s="646"/>
      <c r="AGF63" s="645"/>
      <c r="AGG63" s="646"/>
      <c r="AGH63" s="645"/>
      <c r="AGI63" s="646"/>
      <c r="AGJ63" s="645"/>
      <c r="AGK63" s="646"/>
      <c r="AGL63" s="645"/>
      <c r="AGM63" s="646"/>
      <c r="AGN63" s="645"/>
      <c r="AGO63" s="646"/>
      <c r="AGP63" s="645"/>
      <c r="AGQ63" s="646"/>
      <c r="AGR63" s="645"/>
      <c r="AGS63" s="646"/>
      <c r="AGT63" s="645"/>
      <c r="AGU63" s="646"/>
      <c r="AGV63" s="645"/>
      <c r="AGW63" s="646"/>
      <c r="AGX63" s="645"/>
      <c r="AGY63" s="646"/>
      <c r="AGZ63" s="645"/>
      <c r="AHA63" s="646"/>
      <c r="AHB63" s="645"/>
      <c r="AHC63" s="646"/>
      <c r="AHD63" s="645"/>
      <c r="AHE63" s="646"/>
      <c r="AHF63" s="645"/>
      <c r="AHG63" s="646"/>
      <c r="AHH63" s="645"/>
      <c r="AHI63" s="646"/>
      <c r="AHJ63" s="645"/>
      <c r="AHK63" s="646"/>
      <c r="AHL63" s="645"/>
      <c r="AHM63" s="646"/>
      <c r="AHN63" s="645"/>
      <c r="AHO63" s="646"/>
      <c r="AHP63" s="645"/>
      <c r="AHQ63" s="646"/>
      <c r="AHR63" s="645"/>
      <c r="AHS63" s="646"/>
      <c r="AHT63" s="645"/>
      <c r="AHU63" s="646"/>
      <c r="AHV63" s="645"/>
      <c r="AHW63" s="646"/>
      <c r="AHX63" s="645"/>
      <c r="AHY63" s="646"/>
      <c r="AHZ63" s="645"/>
      <c r="AIA63" s="646"/>
      <c r="AIB63" s="645"/>
      <c r="AIC63" s="646"/>
      <c r="AID63" s="645"/>
      <c r="AIE63" s="646"/>
      <c r="AIF63" s="645"/>
      <c r="AIG63" s="646"/>
      <c r="AIH63" s="645"/>
      <c r="AII63" s="646"/>
      <c r="AIJ63" s="645"/>
      <c r="AIK63" s="646"/>
      <c r="AIL63" s="645"/>
      <c r="AIM63" s="646"/>
      <c r="AIN63" s="645"/>
      <c r="AIO63" s="646"/>
      <c r="AIP63" s="645"/>
      <c r="AIQ63" s="645"/>
      <c r="AIR63" s="645"/>
      <c r="AIS63" s="645"/>
      <c r="AIT63" s="645"/>
      <c r="AIU63" s="645"/>
      <c r="AIV63" s="645"/>
      <c r="AIW63" s="645"/>
      <c r="AIX63" s="645"/>
      <c r="AIY63" s="645"/>
      <c r="AIZ63" s="645"/>
      <c r="AJA63" s="645"/>
      <c r="AJB63" s="645"/>
      <c r="AJC63" s="645"/>
      <c r="AJD63" s="645"/>
      <c r="AJE63" s="645"/>
      <c r="AJF63" s="645"/>
      <c r="AJG63" s="645"/>
      <c r="AJH63" s="645"/>
      <c r="AJI63" s="645"/>
      <c r="AJJ63" s="645"/>
      <c r="AJK63" s="645"/>
      <c r="AJL63" s="645"/>
      <c r="AJM63" s="645"/>
      <c r="AJN63" s="645"/>
      <c r="AJO63" s="645"/>
      <c r="AJP63" s="645"/>
      <c r="AJQ63" s="645"/>
      <c r="AJR63" s="645"/>
      <c r="AJS63" s="645"/>
      <c r="AJT63" s="645"/>
      <c r="AJU63" s="645"/>
      <c r="AJV63" s="645"/>
      <c r="AJW63" s="645"/>
      <c r="AJX63" s="645"/>
      <c r="AJY63" s="645"/>
      <c r="AJZ63" s="645"/>
      <c r="AKA63" s="645"/>
      <c r="AKB63" s="645"/>
      <c r="AKC63" s="645"/>
      <c r="AKD63" s="645"/>
      <c r="AKE63" s="645"/>
      <c r="AKF63" s="645"/>
      <c r="AKG63" s="645"/>
      <c r="AKH63" s="645"/>
      <c r="AKI63" s="645"/>
      <c r="AKJ63" s="645"/>
      <c r="AKK63" s="645"/>
      <c r="AKL63" s="645"/>
      <c r="AKM63" s="645"/>
      <c r="AKN63" s="645"/>
      <c r="AKO63" s="645"/>
      <c r="AKP63" s="645"/>
      <c r="AKQ63" s="645"/>
      <c r="AKR63" s="645"/>
      <c r="AKS63" s="645"/>
      <c r="AKT63" s="645"/>
      <c r="AKU63" s="645"/>
      <c r="AKV63" s="645"/>
      <c r="AKW63" s="645"/>
      <c r="AKX63" s="645"/>
      <c r="AKY63" s="645"/>
      <c r="AKZ63" s="645"/>
      <c r="ALA63" s="645"/>
      <c r="ALB63" s="645"/>
      <c r="ALC63" s="645"/>
      <c r="ALD63" s="645"/>
      <c r="ALE63" s="645"/>
      <c r="ALF63" s="645"/>
      <c r="ALG63" s="645"/>
      <c r="ALH63" s="645"/>
      <c r="ALI63" s="645"/>
      <c r="ALJ63" s="645"/>
      <c r="ALK63" s="645"/>
      <c r="ALL63" s="645"/>
      <c r="ALM63" s="645"/>
      <c r="ALN63" s="645"/>
      <c r="ALO63" s="645"/>
      <c r="ALP63" s="645"/>
      <c r="ALQ63" s="645"/>
      <c r="ALR63" s="645"/>
      <c r="ALS63" s="645"/>
      <c r="ALT63" s="645"/>
      <c r="ALU63" s="645"/>
      <c r="ALV63" s="645"/>
      <c r="ALW63" s="645"/>
      <c r="ALX63" s="645"/>
      <c r="ALY63" s="645"/>
      <c r="ALZ63" s="645"/>
      <c r="AMA63" s="645"/>
      <c r="AMB63" s="645"/>
      <c r="AMC63" s="645"/>
      <c r="AMD63" s="645"/>
      <c r="AME63" s="645"/>
      <c r="AMF63" s="645"/>
      <c r="AMG63" s="645"/>
      <c r="AMH63" s="645"/>
      <c r="AMI63" s="645"/>
      <c r="AMJ63" s="645"/>
    </row>
    <row r="64" spans="1:1024" s="37" customFormat="1" ht="15.75" customHeight="1" x14ac:dyDescent="0.35">
      <c r="A64" s="600"/>
      <c r="B64" s="644" t="s">
        <v>319</v>
      </c>
      <c r="C64" s="645"/>
      <c r="D64" s="646"/>
      <c r="E64" s="645"/>
      <c r="F64" s="646"/>
      <c r="G64" s="647" t="s">
        <v>243</v>
      </c>
      <c r="H64" s="643"/>
      <c r="I64" s="645"/>
      <c r="J64" s="38"/>
      <c r="K64" s="38"/>
      <c r="L64" s="39"/>
      <c r="M64" s="38"/>
      <c r="N64" s="39"/>
      <c r="O64" s="38"/>
      <c r="P64" s="39"/>
      <c r="Q64" s="38"/>
      <c r="R64" s="39"/>
      <c r="S64" s="38"/>
      <c r="T64" s="39"/>
      <c r="U64" s="38"/>
      <c r="V64" s="39"/>
      <c r="W64" s="38"/>
      <c r="X64" s="39"/>
      <c r="Y64" s="38"/>
      <c r="Z64" s="39"/>
      <c r="AA64" s="38"/>
      <c r="AB64" s="39"/>
      <c r="AC64" s="38"/>
      <c r="AD64" s="39"/>
      <c r="AE64" s="38"/>
      <c r="AF64" s="39"/>
      <c r="AG64" s="38"/>
      <c r="AH64" s="39"/>
      <c r="AI64" s="38"/>
      <c r="AJ64" s="39"/>
      <c r="AK64" s="40"/>
      <c r="AL64" s="39"/>
      <c r="AM64" s="40"/>
      <c r="AN64" s="39"/>
      <c r="AO64" s="40"/>
      <c r="AP64" s="39"/>
      <c r="AQ64" s="40"/>
      <c r="AR64" s="39"/>
      <c r="AS64" s="40"/>
      <c r="AT64" s="39"/>
      <c r="AU64" s="40"/>
      <c r="AV64" s="39"/>
      <c r="AW64" s="40"/>
      <c r="AX64" s="39"/>
      <c r="AY64" s="40"/>
      <c r="AZ64" s="39"/>
      <c r="BA64" s="40"/>
      <c r="BB64" s="39"/>
      <c r="BC64" s="40"/>
      <c r="BD64" s="39"/>
      <c r="BE64" s="40"/>
      <c r="BF64" s="39"/>
      <c r="BG64" s="40"/>
      <c r="BH64" s="39"/>
      <c r="BI64" s="40"/>
      <c r="BJ64" s="39"/>
      <c r="BK64" s="40"/>
      <c r="BL64" s="39"/>
      <c r="BM64" s="40"/>
      <c r="BN64" s="39"/>
      <c r="BO64" s="40"/>
      <c r="BP64" s="39"/>
      <c r="BQ64" s="40"/>
      <c r="BR64" s="39"/>
      <c r="BS64" s="40"/>
      <c r="BT64" s="39"/>
      <c r="BU64" s="40"/>
      <c r="BV64" s="39"/>
      <c r="BW64" s="40"/>
      <c r="BX64" s="39"/>
      <c r="BY64" s="40"/>
      <c r="BZ64" s="39"/>
      <c r="CA64" s="40"/>
      <c r="CB64" s="39"/>
      <c r="CC64" s="40"/>
      <c r="CD64" s="39"/>
      <c r="CE64" s="40"/>
      <c r="CF64" s="39"/>
      <c r="CG64" s="40"/>
      <c r="CH64" s="39"/>
      <c r="CI64" s="40"/>
      <c r="CJ64" s="39"/>
      <c r="CK64" s="40"/>
      <c r="CL64" s="39"/>
      <c r="CM64" s="40"/>
      <c r="CN64" s="39"/>
      <c r="CO64" s="40"/>
      <c r="CP64" s="39"/>
      <c r="CQ64" s="40"/>
      <c r="CR64" s="39"/>
      <c r="CS64" s="40"/>
      <c r="CT64" s="39"/>
      <c r="CU64" s="40"/>
      <c r="CV64" s="39"/>
      <c r="CW64" s="40"/>
      <c r="CX64" s="39"/>
      <c r="CY64" s="40"/>
      <c r="CZ64" s="39"/>
      <c r="DA64" s="40"/>
      <c r="DB64" s="39"/>
      <c r="DC64" s="40"/>
      <c r="DD64" s="39"/>
      <c r="DE64" s="40"/>
      <c r="DF64" s="39"/>
      <c r="DG64" s="40"/>
      <c r="DH64" s="39"/>
      <c r="DI64" s="40"/>
      <c r="DJ64" s="39"/>
      <c r="DK64" s="40"/>
      <c r="DL64" s="39"/>
      <c r="DM64" s="40"/>
      <c r="DN64" s="39"/>
      <c r="DO64" s="40"/>
      <c r="DP64" s="39"/>
      <c r="DQ64" s="40"/>
      <c r="DR64" s="39"/>
      <c r="DS64" s="40"/>
      <c r="DT64" s="39"/>
      <c r="DU64" s="40"/>
      <c r="DV64" s="39"/>
      <c r="DW64" s="40"/>
      <c r="DX64" s="39"/>
      <c r="DY64" s="40"/>
      <c r="DZ64" s="39"/>
      <c r="EA64" s="40"/>
      <c r="EB64" s="39"/>
      <c r="EC64" s="40"/>
      <c r="ED64" s="39"/>
      <c r="EE64" s="40"/>
      <c r="EF64" s="39"/>
      <c r="EG64" s="40"/>
      <c r="EH64" s="39"/>
      <c r="EI64" s="40"/>
      <c r="EJ64" s="39"/>
      <c r="EK64" s="40"/>
      <c r="EL64" s="39"/>
      <c r="EM64" s="40"/>
      <c r="EN64" s="39"/>
      <c r="EO64" s="40"/>
      <c r="EP64" s="39"/>
      <c r="EQ64" s="40"/>
      <c r="ER64" s="39"/>
      <c r="ES64" s="40"/>
      <c r="ET64" s="39"/>
      <c r="EU64" s="40"/>
      <c r="EV64" s="39"/>
      <c r="EW64" s="40"/>
      <c r="EX64" s="39"/>
      <c r="EY64" s="40"/>
      <c r="EZ64" s="39"/>
      <c r="FA64" s="40"/>
      <c r="FB64" s="39"/>
      <c r="FC64" s="40"/>
      <c r="FD64" s="39"/>
      <c r="FE64" s="40"/>
      <c r="FF64" s="39"/>
      <c r="FG64" s="40"/>
      <c r="FH64" s="39"/>
      <c r="FI64" s="40"/>
      <c r="FJ64" s="39"/>
      <c r="FK64" s="40"/>
      <c r="FL64" s="39"/>
      <c r="FM64" s="40"/>
      <c r="FN64" s="39"/>
      <c r="FO64" s="40"/>
      <c r="FP64" s="39"/>
      <c r="FQ64" s="40"/>
      <c r="FR64" s="39"/>
      <c r="FS64" s="40"/>
      <c r="FT64" s="39"/>
      <c r="FU64" s="40"/>
      <c r="FV64" s="39"/>
      <c r="FW64" s="40"/>
      <c r="FX64" s="39"/>
      <c r="FY64" s="40"/>
      <c r="FZ64" s="39"/>
      <c r="GA64" s="40"/>
      <c r="GB64" s="39"/>
      <c r="GC64" s="40"/>
      <c r="GD64" s="39"/>
      <c r="GE64" s="40"/>
      <c r="GF64" s="39"/>
      <c r="GG64" s="40"/>
      <c r="GH64" s="39"/>
      <c r="GI64" s="40"/>
      <c r="GJ64" s="39"/>
      <c r="GK64" s="40"/>
      <c r="GL64" s="39"/>
      <c r="GM64" s="40"/>
      <c r="GN64" s="39"/>
      <c r="GO64" s="40"/>
      <c r="GP64" s="39"/>
      <c r="GQ64" s="40"/>
      <c r="GR64" s="39"/>
      <c r="GS64" s="40"/>
      <c r="GT64" s="39"/>
      <c r="GU64" s="40"/>
      <c r="GV64" s="39"/>
      <c r="GW64" s="40"/>
      <c r="GX64" s="39"/>
      <c r="GY64" s="40"/>
      <c r="GZ64" s="39"/>
      <c r="HA64" s="40"/>
      <c r="HB64" s="39"/>
      <c r="HC64" s="40"/>
      <c r="HD64" s="39"/>
      <c r="HE64" s="40"/>
      <c r="HF64" s="39"/>
      <c r="HG64" s="40"/>
      <c r="HH64" s="39"/>
      <c r="HI64" s="40"/>
      <c r="HJ64" s="39"/>
      <c r="HK64" s="40"/>
      <c r="HL64" s="39"/>
      <c r="HM64" s="40"/>
      <c r="HN64" s="39"/>
      <c r="HO64" s="40"/>
      <c r="HP64" s="39"/>
      <c r="HQ64" s="40"/>
      <c r="HR64" s="39"/>
      <c r="HS64" s="40"/>
      <c r="HT64" s="39"/>
      <c r="HU64" s="40"/>
      <c r="HV64" s="39"/>
      <c r="HW64" s="40"/>
      <c r="HX64" s="39"/>
      <c r="HY64" s="40"/>
      <c r="HZ64" s="39"/>
      <c r="IA64" s="40"/>
      <c r="IB64" s="39"/>
      <c r="IC64" s="1068"/>
      <c r="ID64" s="645"/>
      <c r="IE64" s="646"/>
      <c r="IF64" s="645"/>
      <c r="IG64" s="646"/>
      <c r="IH64" s="645"/>
      <c r="II64" s="646"/>
      <c r="IJ64" s="645"/>
      <c r="IK64" s="646"/>
      <c r="IL64" s="645"/>
      <c r="IM64" s="646"/>
      <c r="IN64" s="645"/>
      <c r="IO64" s="646"/>
      <c r="IP64" s="645"/>
      <c r="IQ64" s="646"/>
      <c r="IR64" s="645"/>
      <c r="IS64" s="646"/>
      <c r="IT64" s="645"/>
      <c r="IU64" s="646"/>
      <c r="IV64" s="645"/>
      <c r="IW64" s="646"/>
      <c r="IX64" s="645"/>
      <c r="IY64" s="646"/>
      <c r="IZ64" s="645"/>
      <c r="JA64" s="646"/>
      <c r="JB64" s="645"/>
      <c r="JC64" s="646"/>
      <c r="JD64" s="645"/>
      <c r="JE64" s="646"/>
      <c r="JF64" s="645"/>
      <c r="JG64" s="646"/>
      <c r="JH64" s="645"/>
      <c r="JI64" s="646"/>
      <c r="JJ64" s="645"/>
      <c r="JK64" s="646"/>
      <c r="JL64" s="645"/>
      <c r="JM64" s="646"/>
      <c r="JN64" s="645"/>
      <c r="JO64" s="646"/>
      <c r="JP64" s="645"/>
      <c r="JQ64" s="646"/>
      <c r="JR64" s="645"/>
      <c r="JS64" s="646"/>
      <c r="JT64" s="645"/>
      <c r="JU64" s="646"/>
      <c r="JV64" s="645"/>
      <c r="JW64" s="646"/>
      <c r="JX64" s="645"/>
      <c r="JY64" s="646"/>
      <c r="JZ64" s="645"/>
      <c r="KA64" s="646"/>
      <c r="KB64" s="645"/>
      <c r="KC64" s="646"/>
      <c r="KD64" s="645"/>
      <c r="KE64" s="646"/>
      <c r="KF64" s="645"/>
      <c r="KG64" s="646"/>
      <c r="KH64" s="645"/>
      <c r="KI64" s="646"/>
      <c r="KJ64" s="645"/>
      <c r="KK64" s="646"/>
      <c r="KL64" s="645"/>
      <c r="KM64" s="646"/>
      <c r="KN64" s="645"/>
      <c r="KO64" s="646"/>
      <c r="KP64" s="645"/>
      <c r="KQ64" s="646"/>
      <c r="KR64" s="645"/>
      <c r="KS64" s="646"/>
      <c r="KT64" s="645"/>
      <c r="KU64" s="646"/>
      <c r="KV64" s="645"/>
      <c r="KW64" s="646"/>
      <c r="KX64" s="645"/>
      <c r="KY64" s="646"/>
      <c r="KZ64" s="645"/>
      <c r="LA64" s="646"/>
      <c r="LB64" s="645"/>
      <c r="LC64" s="646"/>
      <c r="LD64" s="645"/>
      <c r="LE64" s="646"/>
      <c r="LF64" s="645"/>
      <c r="LG64" s="646"/>
      <c r="LH64" s="645"/>
      <c r="LI64" s="646"/>
      <c r="LJ64" s="645"/>
      <c r="LK64" s="646"/>
      <c r="LL64" s="645"/>
      <c r="LM64" s="646"/>
      <c r="LN64" s="645"/>
      <c r="LO64" s="646"/>
      <c r="LP64" s="645"/>
      <c r="LQ64" s="646"/>
      <c r="LR64" s="645"/>
      <c r="LS64" s="646"/>
      <c r="LT64" s="645"/>
      <c r="LU64" s="646"/>
      <c r="LV64" s="645"/>
      <c r="LW64" s="646"/>
      <c r="LX64" s="645"/>
      <c r="LY64" s="646"/>
      <c r="LZ64" s="645"/>
      <c r="MA64" s="646"/>
      <c r="MB64" s="645"/>
      <c r="MC64" s="646"/>
      <c r="MD64" s="645"/>
      <c r="ME64" s="646"/>
      <c r="MF64" s="645"/>
      <c r="MG64" s="646"/>
      <c r="MH64" s="645"/>
      <c r="MI64" s="646"/>
      <c r="MJ64" s="645"/>
      <c r="MK64" s="646"/>
      <c r="ML64" s="645"/>
      <c r="MM64" s="646"/>
      <c r="MN64" s="645"/>
      <c r="MO64" s="646"/>
      <c r="MP64" s="645"/>
      <c r="MQ64" s="646"/>
      <c r="MR64" s="645"/>
      <c r="MS64" s="646"/>
      <c r="MT64" s="645"/>
      <c r="MU64" s="646"/>
      <c r="MV64" s="645"/>
      <c r="MW64" s="646"/>
      <c r="MX64" s="645"/>
      <c r="MY64" s="646"/>
      <c r="MZ64" s="645"/>
      <c r="NA64" s="646"/>
      <c r="NB64" s="645"/>
      <c r="NC64" s="646"/>
      <c r="ND64" s="645"/>
      <c r="NE64" s="646"/>
      <c r="NF64" s="645"/>
      <c r="NG64" s="646"/>
      <c r="NH64" s="645"/>
      <c r="NI64" s="646"/>
      <c r="NJ64" s="645"/>
      <c r="NK64" s="646"/>
      <c r="NL64" s="645"/>
      <c r="NM64" s="646"/>
      <c r="NN64" s="645"/>
      <c r="NO64" s="646"/>
      <c r="NP64" s="645"/>
      <c r="NQ64" s="646"/>
      <c r="NR64" s="645"/>
      <c r="NS64" s="646"/>
      <c r="NT64" s="645"/>
      <c r="NU64" s="646"/>
      <c r="NV64" s="645"/>
      <c r="NW64" s="646"/>
      <c r="NX64" s="645"/>
      <c r="NY64" s="646"/>
      <c r="NZ64" s="645"/>
      <c r="OA64" s="646"/>
      <c r="OB64" s="645"/>
      <c r="OC64" s="646"/>
      <c r="OD64" s="645"/>
      <c r="OE64" s="646"/>
      <c r="OF64" s="645"/>
      <c r="OG64" s="646"/>
      <c r="OH64" s="645"/>
      <c r="OI64" s="646"/>
      <c r="OJ64" s="645"/>
      <c r="OK64" s="646"/>
      <c r="OL64" s="645"/>
      <c r="OM64" s="646"/>
      <c r="ON64" s="645"/>
      <c r="OO64" s="646"/>
      <c r="OP64" s="645"/>
      <c r="OQ64" s="646"/>
      <c r="OR64" s="645"/>
      <c r="OS64" s="646"/>
      <c r="OT64" s="645"/>
      <c r="OU64" s="646"/>
      <c r="OV64" s="645"/>
      <c r="OW64" s="646"/>
      <c r="OX64" s="645"/>
      <c r="OY64" s="646"/>
      <c r="OZ64" s="645"/>
      <c r="PA64" s="646"/>
      <c r="PB64" s="645"/>
      <c r="PC64" s="646"/>
      <c r="PD64" s="645"/>
      <c r="PE64" s="646"/>
      <c r="PF64" s="645"/>
      <c r="PG64" s="646"/>
      <c r="PH64" s="645"/>
      <c r="PI64" s="646"/>
      <c r="PJ64" s="645"/>
      <c r="PK64" s="646"/>
      <c r="PL64" s="645"/>
      <c r="PM64" s="646"/>
      <c r="PN64" s="645"/>
      <c r="PO64" s="646"/>
      <c r="PP64" s="645"/>
      <c r="PQ64" s="646"/>
      <c r="PR64" s="645"/>
      <c r="PS64" s="646"/>
      <c r="PT64" s="645"/>
      <c r="PU64" s="646"/>
      <c r="PV64" s="645"/>
      <c r="PW64" s="646"/>
      <c r="PX64" s="645"/>
      <c r="PY64" s="646"/>
      <c r="PZ64" s="645"/>
      <c r="QA64" s="646"/>
      <c r="QB64" s="645"/>
      <c r="QC64" s="646"/>
      <c r="QD64" s="645"/>
      <c r="QE64" s="646"/>
      <c r="QF64" s="645"/>
      <c r="QG64" s="646"/>
      <c r="QH64" s="645"/>
      <c r="QI64" s="646"/>
      <c r="QJ64" s="645"/>
      <c r="QK64" s="646"/>
      <c r="QL64" s="645"/>
      <c r="QM64" s="646"/>
      <c r="QN64" s="645"/>
      <c r="QO64" s="646"/>
      <c r="QP64" s="645"/>
      <c r="QQ64" s="646"/>
      <c r="QR64" s="645"/>
      <c r="QS64" s="646"/>
      <c r="QT64" s="645"/>
      <c r="QU64" s="646"/>
      <c r="QV64" s="645"/>
      <c r="QW64" s="646"/>
      <c r="QX64" s="645"/>
      <c r="QY64" s="646"/>
      <c r="QZ64" s="645"/>
      <c r="RA64" s="646"/>
      <c r="RB64" s="645"/>
      <c r="RC64" s="646"/>
      <c r="RD64" s="645"/>
      <c r="RE64" s="646"/>
      <c r="RF64" s="645"/>
      <c r="RG64" s="646"/>
      <c r="RH64" s="645"/>
      <c r="RI64" s="646"/>
      <c r="RJ64" s="645"/>
      <c r="RK64" s="646"/>
      <c r="RL64" s="645"/>
      <c r="RM64" s="646"/>
      <c r="RN64" s="645"/>
      <c r="RO64" s="646"/>
      <c r="RP64" s="645"/>
      <c r="RQ64" s="646"/>
      <c r="RR64" s="645"/>
      <c r="RS64" s="646"/>
      <c r="RT64" s="645"/>
      <c r="RU64" s="646"/>
      <c r="RV64" s="645"/>
      <c r="RW64" s="646"/>
      <c r="RX64" s="645"/>
      <c r="RY64" s="646"/>
      <c r="RZ64" s="645"/>
      <c r="SA64" s="646"/>
      <c r="SB64" s="645"/>
      <c r="SC64" s="646"/>
      <c r="SD64" s="645"/>
      <c r="SE64" s="646"/>
      <c r="SF64" s="645"/>
      <c r="SG64" s="646"/>
      <c r="SH64" s="645"/>
      <c r="SI64" s="646"/>
      <c r="SJ64" s="645"/>
      <c r="SK64" s="646"/>
      <c r="SL64" s="645"/>
      <c r="SM64" s="646"/>
      <c r="SN64" s="645"/>
      <c r="SO64" s="646"/>
      <c r="SP64" s="645"/>
      <c r="SQ64" s="646"/>
      <c r="SR64" s="645"/>
      <c r="SS64" s="646"/>
      <c r="ST64" s="645"/>
      <c r="SU64" s="646"/>
      <c r="SV64" s="645"/>
      <c r="SW64" s="646"/>
      <c r="SX64" s="645"/>
      <c r="SY64" s="646"/>
      <c r="SZ64" s="645"/>
      <c r="TA64" s="646"/>
      <c r="TB64" s="645"/>
      <c r="TC64" s="646"/>
      <c r="TD64" s="645"/>
      <c r="TE64" s="646"/>
      <c r="TF64" s="645"/>
      <c r="TG64" s="646"/>
      <c r="TH64" s="645"/>
      <c r="TI64" s="646"/>
      <c r="TJ64" s="645"/>
      <c r="TK64" s="646"/>
      <c r="TL64" s="645"/>
      <c r="TM64" s="646"/>
      <c r="TN64" s="645"/>
      <c r="TO64" s="646"/>
      <c r="TP64" s="645"/>
      <c r="TQ64" s="646"/>
      <c r="TR64" s="645"/>
      <c r="TS64" s="646"/>
      <c r="TT64" s="645"/>
      <c r="TU64" s="646"/>
      <c r="TV64" s="645"/>
      <c r="TW64" s="646"/>
      <c r="TX64" s="645"/>
      <c r="TY64" s="646"/>
      <c r="TZ64" s="645"/>
      <c r="UA64" s="646"/>
      <c r="UB64" s="645"/>
      <c r="UC64" s="646"/>
      <c r="UD64" s="645"/>
      <c r="UE64" s="646"/>
      <c r="UF64" s="645"/>
      <c r="UG64" s="646"/>
      <c r="UH64" s="645"/>
      <c r="UI64" s="646"/>
      <c r="UJ64" s="645"/>
      <c r="UK64" s="646"/>
      <c r="UL64" s="645"/>
      <c r="UM64" s="646"/>
      <c r="UN64" s="645"/>
      <c r="UO64" s="646"/>
      <c r="UP64" s="645"/>
      <c r="UQ64" s="646"/>
      <c r="UR64" s="645"/>
      <c r="US64" s="646"/>
      <c r="UT64" s="645"/>
      <c r="UU64" s="646"/>
      <c r="UV64" s="645"/>
      <c r="UW64" s="646"/>
      <c r="UX64" s="645"/>
      <c r="UY64" s="646"/>
      <c r="UZ64" s="645"/>
      <c r="VA64" s="646"/>
      <c r="VB64" s="645"/>
      <c r="VC64" s="646"/>
      <c r="VD64" s="645"/>
      <c r="VE64" s="646"/>
      <c r="VF64" s="645"/>
      <c r="VG64" s="646"/>
      <c r="VH64" s="645"/>
      <c r="VI64" s="646"/>
      <c r="VJ64" s="645"/>
      <c r="VK64" s="646"/>
      <c r="VL64" s="645"/>
      <c r="VM64" s="646"/>
      <c r="VN64" s="645"/>
      <c r="VO64" s="646"/>
      <c r="VP64" s="645"/>
      <c r="VQ64" s="646"/>
      <c r="VR64" s="645"/>
      <c r="VS64" s="646"/>
      <c r="VT64" s="645"/>
      <c r="VU64" s="646"/>
      <c r="VV64" s="645"/>
      <c r="VW64" s="646"/>
      <c r="VX64" s="645"/>
      <c r="VY64" s="646"/>
      <c r="VZ64" s="645"/>
      <c r="WA64" s="646"/>
      <c r="WB64" s="645"/>
      <c r="WC64" s="646"/>
      <c r="WD64" s="645"/>
      <c r="WE64" s="646"/>
      <c r="WF64" s="645"/>
      <c r="WG64" s="646"/>
      <c r="WH64" s="645"/>
      <c r="WI64" s="646"/>
      <c r="WJ64" s="645"/>
      <c r="WK64" s="646"/>
      <c r="WL64" s="645"/>
      <c r="WM64" s="646"/>
      <c r="WN64" s="645"/>
      <c r="WO64" s="646"/>
      <c r="WP64" s="645"/>
      <c r="WQ64" s="646"/>
      <c r="WR64" s="645"/>
      <c r="WS64" s="646"/>
      <c r="WT64" s="645"/>
      <c r="WU64" s="646"/>
      <c r="WV64" s="645"/>
      <c r="WW64" s="646"/>
      <c r="WX64" s="645"/>
      <c r="WY64" s="646"/>
      <c r="WZ64" s="645"/>
      <c r="XA64" s="646"/>
      <c r="XB64" s="645"/>
      <c r="XC64" s="646"/>
      <c r="XD64" s="645"/>
      <c r="XE64" s="646"/>
      <c r="XF64" s="645"/>
      <c r="XG64" s="646"/>
      <c r="XH64" s="645"/>
      <c r="XI64" s="646"/>
      <c r="XJ64" s="645"/>
      <c r="XK64" s="646"/>
      <c r="XL64" s="645"/>
      <c r="XM64" s="646"/>
      <c r="XN64" s="645"/>
      <c r="XO64" s="646"/>
      <c r="XP64" s="645"/>
      <c r="XQ64" s="646"/>
      <c r="XR64" s="645"/>
      <c r="XS64" s="646"/>
      <c r="XT64" s="645"/>
      <c r="XU64" s="646"/>
      <c r="XV64" s="645"/>
      <c r="XW64" s="646"/>
      <c r="XX64" s="645"/>
      <c r="XY64" s="646"/>
      <c r="XZ64" s="645"/>
      <c r="YA64" s="646"/>
      <c r="YB64" s="645"/>
      <c r="YC64" s="646"/>
      <c r="YD64" s="645"/>
      <c r="YE64" s="646"/>
      <c r="YF64" s="645"/>
      <c r="YG64" s="646"/>
      <c r="YH64" s="645"/>
      <c r="YI64" s="646"/>
      <c r="YJ64" s="645"/>
      <c r="YK64" s="646"/>
      <c r="YL64" s="645"/>
      <c r="YM64" s="646"/>
      <c r="YN64" s="645"/>
      <c r="YO64" s="646"/>
      <c r="YP64" s="645"/>
      <c r="YQ64" s="646"/>
      <c r="YR64" s="645"/>
      <c r="YS64" s="646"/>
      <c r="YT64" s="645"/>
      <c r="YU64" s="646"/>
      <c r="YV64" s="645"/>
      <c r="YW64" s="646"/>
      <c r="YX64" s="645"/>
      <c r="YY64" s="646"/>
      <c r="YZ64" s="645"/>
      <c r="ZA64" s="646"/>
      <c r="ZB64" s="645"/>
      <c r="ZC64" s="646"/>
      <c r="ZD64" s="645"/>
      <c r="ZE64" s="646"/>
      <c r="ZF64" s="645"/>
      <c r="ZG64" s="646"/>
      <c r="ZH64" s="645"/>
      <c r="ZI64" s="646"/>
      <c r="ZJ64" s="645"/>
      <c r="ZK64" s="646"/>
      <c r="ZL64" s="645"/>
      <c r="ZM64" s="646"/>
      <c r="ZN64" s="645"/>
      <c r="ZO64" s="646"/>
      <c r="ZP64" s="645"/>
      <c r="ZQ64" s="646"/>
      <c r="ZR64" s="645"/>
      <c r="ZS64" s="646"/>
      <c r="ZT64" s="645"/>
      <c r="ZU64" s="646"/>
      <c r="ZV64" s="645"/>
      <c r="ZW64" s="646"/>
      <c r="ZX64" s="645"/>
      <c r="ZY64" s="646"/>
      <c r="ZZ64" s="645"/>
      <c r="AAA64" s="646"/>
      <c r="AAB64" s="645"/>
      <c r="AAC64" s="646"/>
      <c r="AAD64" s="645"/>
      <c r="AAE64" s="646"/>
      <c r="AAF64" s="645"/>
      <c r="AAG64" s="646"/>
      <c r="AAH64" s="645"/>
      <c r="AAI64" s="646"/>
      <c r="AAJ64" s="645"/>
      <c r="AAK64" s="646"/>
      <c r="AAL64" s="645"/>
      <c r="AAM64" s="646"/>
      <c r="AAN64" s="645"/>
      <c r="AAO64" s="646"/>
      <c r="AAP64" s="645"/>
      <c r="AAQ64" s="646"/>
      <c r="AAR64" s="645"/>
      <c r="AAS64" s="646"/>
      <c r="AAT64" s="645"/>
      <c r="AAU64" s="646"/>
      <c r="AAV64" s="645"/>
      <c r="AAW64" s="646"/>
      <c r="AAX64" s="645"/>
      <c r="AAY64" s="646"/>
      <c r="AAZ64" s="645"/>
      <c r="ABA64" s="646"/>
      <c r="ABB64" s="645"/>
      <c r="ABC64" s="646"/>
      <c r="ABD64" s="645"/>
      <c r="ABE64" s="646"/>
      <c r="ABF64" s="645"/>
      <c r="ABG64" s="646"/>
      <c r="ABH64" s="645"/>
      <c r="ABI64" s="646"/>
      <c r="ABJ64" s="645"/>
      <c r="ABK64" s="646"/>
      <c r="ABL64" s="645"/>
      <c r="ABM64" s="646"/>
      <c r="ABN64" s="645"/>
      <c r="ABO64" s="646"/>
      <c r="ABP64" s="645"/>
      <c r="ABQ64" s="646"/>
      <c r="ABR64" s="645"/>
      <c r="ABS64" s="646"/>
      <c r="ABT64" s="645"/>
      <c r="ABU64" s="646"/>
      <c r="ABV64" s="645"/>
      <c r="ABW64" s="646"/>
      <c r="ABX64" s="645"/>
      <c r="ABY64" s="646"/>
      <c r="ABZ64" s="645"/>
      <c r="ACA64" s="646"/>
      <c r="ACB64" s="645"/>
      <c r="ACC64" s="646"/>
      <c r="ACD64" s="645"/>
      <c r="ACE64" s="646"/>
      <c r="ACF64" s="645"/>
      <c r="ACG64" s="646"/>
      <c r="ACH64" s="645"/>
      <c r="ACI64" s="646"/>
      <c r="ACJ64" s="645"/>
      <c r="ACK64" s="646"/>
      <c r="ACL64" s="645"/>
      <c r="ACM64" s="646"/>
      <c r="ACN64" s="645"/>
      <c r="ACO64" s="646"/>
      <c r="ACP64" s="645"/>
      <c r="ACQ64" s="646"/>
      <c r="ACR64" s="645"/>
      <c r="ACS64" s="646"/>
      <c r="ACT64" s="645"/>
      <c r="ACU64" s="646"/>
      <c r="ACV64" s="645"/>
      <c r="ACW64" s="646"/>
      <c r="ACX64" s="645"/>
      <c r="ACY64" s="646"/>
      <c r="ACZ64" s="645"/>
      <c r="ADA64" s="646"/>
      <c r="ADB64" s="645"/>
      <c r="ADC64" s="646"/>
      <c r="ADD64" s="645"/>
      <c r="ADE64" s="646"/>
      <c r="ADF64" s="645"/>
      <c r="ADG64" s="646"/>
      <c r="ADH64" s="645"/>
      <c r="ADI64" s="646"/>
      <c r="ADJ64" s="645"/>
      <c r="ADK64" s="646"/>
      <c r="ADL64" s="645"/>
      <c r="ADM64" s="646"/>
      <c r="ADN64" s="645"/>
      <c r="ADO64" s="646"/>
      <c r="ADP64" s="645"/>
      <c r="ADQ64" s="646"/>
      <c r="ADR64" s="645"/>
      <c r="ADS64" s="646"/>
      <c r="ADT64" s="645"/>
      <c r="ADU64" s="646"/>
      <c r="ADV64" s="645"/>
      <c r="ADW64" s="646"/>
      <c r="ADX64" s="645"/>
      <c r="ADY64" s="646"/>
      <c r="ADZ64" s="645"/>
      <c r="AEA64" s="646"/>
      <c r="AEB64" s="645"/>
      <c r="AEC64" s="646"/>
      <c r="AED64" s="645"/>
      <c r="AEE64" s="646"/>
      <c r="AEF64" s="645"/>
      <c r="AEG64" s="646"/>
      <c r="AEH64" s="645"/>
      <c r="AEI64" s="646"/>
      <c r="AEJ64" s="645"/>
      <c r="AEK64" s="646"/>
      <c r="AEL64" s="645"/>
      <c r="AEM64" s="646"/>
      <c r="AEN64" s="645"/>
      <c r="AEO64" s="646"/>
      <c r="AEP64" s="645"/>
      <c r="AEQ64" s="646"/>
      <c r="AER64" s="645"/>
      <c r="AES64" s="646"/>
      <c r="AET64" s="645"/>
      <c r="AEU64" s="646"/>
      <c r="AEV64" s="645"/>
      <c r="AEW64" s="646"/>
      <c r="AEX64" s="645"/>
      <c r="AEY64" s="646"/>
      <c r="AEZ64" s="645"/>
      <c r="AFA64" s="646"/>
      <c r="AFB64" s="645"/>
      <c r="AFC64" s="646"/>
      <c r="AFD64" s="645"/>
      <c r="AFE64" s="646"/>
      <c r="AFF64" s="645"/>
      <c r="AFG64" s="646"/>
      <c r="AFH64" s="645"/>
      <c r="AFI64" s="646"/>
      <c r="AFJ64" s="645"/>
      <c r="AFK64" s="646"/>
      <c r="AFL64" s="645"/>
      <c r="AFM64" s="646"/>
      <c r="AFN64" s="645"/>
      <c r="AFO64" s="646"/>
      <c r="AFP64" s="645"/>
      <c r="AFQ64" s="646"/>
      <c r="AFR64" s="645"/>
      <c r="AFS64" s="646"/>
      <c r="AFT64" s="645"/>
      <c r="AFU64" s="646"/>
      <c r="AFV64" s="645"/>
      <c r="AFW64" s="646"/>
      <c r="AFX64" s="645"/>
      <c r="AFY64" s="646"/>
      <c r="AFZ64" s="645"/>
      <c r="AGA64" s="646"/>
      <c r="AGB64" s="645"/>
      <c r="AGC64" s="646"/>
      <c r="AGD64" s="645"/>
      <c r="AGE64" s="646"/>
      <c r="AGF64" s="645"/>
      <c r="AGG64" s="646"/>
      <c r="AGH64" s="645"/>
      <c r="AGI64" s="646"/>
      <c r="AGJ64" s="645"/>
      <c r="AGK64" s="646"/>
      <c r="AGL64" s="645"/>
      <c r="AGM64" s="646"/>
      <c r="AGN64" s="645"/>
      <c r="AGO64" s="646"/>
      <c r="AGP64" s="645"/>
      <c r="AGQ64" s="646"/>
      <c r="AGR64" s="645"/>
      <c r="AGS64" s="646"/>
      <c r="AGT64" s="645"/>
      <c r="AGU64" s="646"/>
      <c r="AGV64" s="645"/>
      <c r="AGW64" s="646"/>
      <c r="AGX64" s="645"/>
      <c r="AGY64" s="646"/>
      <c r="AGZ64" s="645"/>
      <c r="AHA64" s="646"/>
      <c r="AHB64" s="645"/>
      <c r="AHC64" s="646"/>
      <c r="AHD64" s="645"/>
      <c r="AHE64" s="646"/>
      <c r="AHF64" s="645"/>
      <c r="AHG64" s="646"/>
      <c r="AHH64" s="645"/>
      <c r="AHI64" s="646"/>
      <c r="AHJ64" s="645"/>
      <c r="AHK64" s="646"/>
      <c r="AHL64" s="645"/>
      <c r="AHM64" s="646"/>
      <c r="AHN64" s="645"/>
      <c r="AHO64" s="646"/>
      <c r="AHP64" s="645"/>
      <c r="AHQ64" s="646"/>
      <c r="AHR64" s="645"/>
      <c r="AHS64" s="646"/>
      <c r="AHT64" s="645"/>
      <c r="AHU64" s="646"/>
      <c r="AHV64" s="645"/>
      <c r="AHW64" s="646"/>
      <c r="AHX64" s="645"/>
      <c r="AHY64" s="646"/>
      <c r="AHZ64" s="645"/>
      <c r="AIA64" s="646"/>
      <c r="AIB64" s="645"/>
      <c r="AIC64" s="646"/>
      <c r="AID64" s="645"/>
      <c r="AIE64" s="646"/>
      <c r="AIF64" s="645"/>
      <c r="AIG64" s="646"/>
      <c r="AIH64" s="645"/>
      <c r="AII64" s="646"/>
      <c r="AIJ64" s="645"/>
      <c r="AIK64" s="646"/>
      <c r="AIL64" s="645"/>
      <c r="AIM64" s="646"/>
      <c r="AIN64" s="645"/>
      <c r="AIO64" s="646"/>
      <c r="AIP64" s="645"/>
      <c r="AIQ64" s="645"/>
      <c r="AIR64" s="645"/>
      <c r="AIS64" s="645"/>
      <c r="AIT64" s="645"/>
      <c r="AIU64" s="645"/>
      <c r="AIV64" s="645"/>
      <c r="AIW64" s="645"/>
      <c r="AIX64" s="645"/>
      <c r="AIY64" s="645"/>
      <c r="AIZ64" s="645"/>
      <c r="AJA64" s="645"/>
      <c r="AJB64" s="645"/>
      <c r="AJC64" s="645"/>
      <c r="AJD64" s="645"/>
      <c r="AJE64" s="645"/>
      <c r="AJF64" s="645"/>
      <c r="AJG64" s="645"/>
      <c r="AJH64" s="645"/>
      <c r="AJI64" s="645"/>
      <c r="AJJ64" s="645"/>
      <c r="AJK64" s="645"/>
      <c r="AJL64" s="645"/>
      <c r="AJM64" s="645"/>
      <c r="AJN64" s="645"/>
      <c r="AJO64" s="645"/>
      <c r="AJP64" s="645"/>
      <c r="AJQ64" s="645"/>
      <c r="AJR64" s="645"/>
      <c r="AJS64" s="645"/>
      <c r="AJT64" s="645"/>
      <c r="AJU64" s="645"/>
      <c r="AJV64" s="645"/>
      <c r="AJW64" s="645"/>
      <c r="AJX64" s="645"/>
      <c r="AJY64" s="645"/>
      <c r="AJZ64" s="645"/>
      <c r="AKA64" s="645"/>
      <c r="AKB64" s="645"/>
      <c r="AKC64" s="645"/>
      <c r="AKD64" s="645"/>
      <c r="AKE64" s="645"/>
      <c r="AKF64" s="645"/>
      <c r="AKG64" s="645"/>
      <c r="AKH64" s="645"/>
      <c r="AKI64" s="645"/>
      <c r="AKJ64" s="645"/>
      <c r="AKK64" s="645"/>
      <c r="AKL64" s="645"/>
      <c r="AKM64" s="645"/>
      <c r="AKN64" s="645"/>
      <c r="AKO64" s="645"/>
      <c r="AKP64" s="645"/>
      <c r="AKQ64" s="645"/>
      <c r="AKR64" s="645"/>
      <c r="AKS64" s="645"/>
      <c r="AKT64" s="645"/>
      <c r="AKU64" s="645"/>
      <c r="AKV64" s="645"/>
      <c r="AKW64" s="645"/>
      <c r="AKX64" s="645"/>
      <c r="AKY64" s="645"/>
      <c r="AKZ64" s="645"/>
      <c r="ALA64" s="645"/>
      <c r="ALB64" s="645"/>
      <c r="ALC64" s="645"/>
      <c r="ALD64" s="645"/>
      <c r="ALE64" s="645"/>
      <c r="ALF64" s="645"/>
      <c r="ALG64" s="645"/>
      <c r="ALH64" s="645"/>
      <c r="ALI64" s="645"/>
      <c r="ALJ64" s="645"/>
      <c r="ALK64" s="645"/>
      <c r="ALL64" s="645"/>
      <c r="ALM64" s="645"/>
      <c r="ALN64" s="645"/>
      <c r="ALO64" s="645"/>
      <c r="ALP64" s="645"/>
      <c r="ALQ64" s="645"/>
      <c r="ALR64" s="645"/>
      <c r="ALS64" s="645"/>
      <c r="ALT64" s="645"/>
      <c r="ALU64" s="645"/>
      <c r="ALV64" s="645"/>
      <c r="ALW64" s="645"/>
      <c r="ALX64" s="645"/>
      <c r="ALY64" s="645"/>
      <c r="ALZ64" s="645"/>
      <c r="AMA64" s="645"/>
      <c r="AMB64" s="645"/>
      <c r="AMC64" s="645"/>
      <c r="AMD64" s="645"/>
      <c r="AME64" s="645"/>
      <c r="AMF64" s="645"/>
      <c r="AMG64" s="645"/>
      <c r="AMH64" s="645"/>
      <c r="AMI64" s="645"/>
      <c r="AMJ64" s="645"/>
    </row>
    <row r="65" spans="1:1024" s="37" customFormat="1" ht="15.75" customHeight="1" x14ac:dyDescent="0.35">
      <c r="A65" s="600"/>
      <c r="B65" s="644" t="s">
        <v>320</v>
      </c>
      <c r="C65" s="645"/>
      <c r="D65" s="646"/>
      <c r="E65" s="645"/>
      <c r="F65" s="646"/>
      <c r="G65" s="647" t="s">
        <v>241</v>
      </c>
      <c r="H65" s="643"/>
      <c r="I65" s="645"/>
      <c r="J65" s="38"/>
      <c r="K65" s="38"/>
      <c r="L65" s="39"/>
      <c r="M65" s="38"/>
      <c r="N65" s="39"/>
      <c r="O65" s="38"/>
      <c r="P65" s="39"/>
      <c r="Q65" s="38"/>
      <c r="R65" s="39"/>
      <c r="S65" s="38"/>
      <c r="T65" s="39"/>
      <c r="U65" s="38"/>
      <c r="V65" s="39"/>
      <c r="W65" s="38"/>
      <c r="X65" s="39"/>
      <c r="Y65" s="38"/>
      <c r="Z65" s="39"/>
      <c r="AA65" s="38"/>
      <c r="AB65" s="39"/>
      <c r="AC65" s="38"/>
      <c r="AD65" s="39"/>
      <c r="AE65" s="38"/>
      <c r="AF65" s="39"/>
      <c r="AG65" s="38"/>
      <c r="AH65" s="39"/>
      <c r="AI65" s="38"/>
      <c r="AJ65" s="39"/>
      <c r="AK65" s="40"/>
      <c r="AL65" s="39"/>
      <c r="AM65" s="40"/>
      <c r="AN65" s="39"/>
      <c r="AO65" s="40"/>
      <c r="AP65" s="39"/>
      <c r="AQ65" s="40"/>
      <c r="AR65" s="39"/>
      <c r="AS65" s="40"/>
      <c r="AT65" s="39"/>
      <c r="AU65" s="40"/>
      <c r="AV65" s="39"/>
      <c r="AW65" s="40"/>
      <c r="AX65" s="39"/>
      <c r="AY65" s="40"/>
      <c r="AZ65" s="39"/>
      <c r="BA65" s="40"/>
      <c r="BB65" s="39"/>
      <c r="BC65" s="40"/>
      <c r="BD65" s="39"/>
      <c r="BE65" s="40"/>
      <c r="BF65" s="39"/>
      <c r="BG65" s="40"/>
      <c r="BH65" s="39"/>
      <c r="BI65" s="40"/>
      <c r="BJ65" s="39"/>
      <c r="BK65" s="40"/>
      <c r="BL65" s="39"/>
      <c r="BM65" s="40"/>
      <c r="BN65" s="39"/>
      <c r="BO65" s="40"/>
      <c r="BP65" s="39"/>
      <c r="BQ65" s="40"/>
      <c r="BR65" s="39"/>
      <c r="BS65" s="40"/>
      <c r="BT65" s="39"/>
      <c r="BU65" s="40"/>
      <c r="BV65" s="39"/>
      <c r="BW65" s="40"/>
      <c r="BX65" s="39"/>
      <c r="BY65" s="40"/>
      <c r="BZ65" s="39"/>
      <c r="CA65" s="40"/>
      <c r="CB65" s="39"/>
      <c r="CC65" s="40"/>
      <c r="CD65" s="39"/>
      <c r="CE65" s="40"/>
      <c r="CF65" s="39"/>
      <c r="CG65" s="40"/>
      <c r="CH65" s="39"/>
      <c r="CI65" s="40"/>
      <c r="CJ65" s="39"/>
      <c r="CK65" s="40"/>
      <c r="CL65" s="39"/>
      <c r="CM65" s="40"/>
      <c r="CN65" s="39"/>
      <c r="CO65" s="40"/>
      <c r="CP65" s="39"/>
      <c r="CQ65" s="40"/>
      <c r="CR65" s="39"/>
      <c r="CS65" s="40"/>
      <c r="CT65" s="39"/>
      <c r="CU65" s="40"/>
      <c r="CV65" s="39"/>
      <c r="CW65" s="40"/>
      <c r="CX65" s="39"/>
      <c r="CY65" s="40"/>
      <c r="CZ65" s="39"/>
      <c r="DA65" s="40"/>
      <c r="DB65" s="39"/>
      <c r="DC65" s="40"/>
      <c r="DD65" s="39"/>
      <c r="DE65" s="40"/>
      <c r="DF65" s="39"/>
      <c r="DG65" s="40"/>
      <c r="DH65" s="39"/>
      <c r="DI65" s="40"/>
      <c r="DJ65" s="39"/>
      <c r="DK65" s="40"/>
      <c r="DL65" s="39"/>
      <c r="DM65" s="40"/>
      <c r="DN65" s="39"/>
      <c r="DO65" s="40"/>
      <c r="DP65" s="39"/>
      <c r="DQ65" s="40"/>
      <c r="DR65" s="39"/>
      <c r="DS65" s="40"/>
      <c r="DT65" s="39"/>
      <c r="DU65" s="40"/>
      <c r="DV65" s="39"/>
      <c r="DW65" s="40"/>
      <c r="DX65" s="39"/>
      <c r="DY65" s="40"/>
      <c r="DZ65" s="39"/>
      <c r="EA65" s="40"/>
      <c r="EB65" s="39"/>
      <c r="EC65" s="40"/>
      <c r="ED65" s="39"/>
      <c r="EE65" s="40"/>
      <c r="EF65" s="39"/>
      <c r="EG65" s="40"/>
      <c r="EH65" s="39"/>
      <c r="EI65" s="40"/>
      <c r="EJ65" s="39"/>
      <c r="EK65" s="40"/>
      <c r="EL65" s="39"/>
      <c r="EM65" s="40"/>
      <c r="EN65" s="39"/>
      <c r="EO65" s="40"/>
      <c r="EP65" s="39"/>
      <c r="EQ65" s="40"/>
      <c r="ER65" s="39"/>
      <c r="ES65" s="40"/>
      <c r="ET65" s="39"/>
      <c r="EU65" s="40"/>
      <c r="EV65" s="39"/>
      <c r="EW65" s="40"/>
      <c r="EX65" s="39"/>
      <c r="EY65" s="40"/>
      <c r="EZ65" s="39"/>
      <c r="FA65" s="40"/>
      <c r="FB65" s="39"/>
      <c r="FC65" s="40"/>
      <c r="FD65" s="39"/>
      <c r="FE65" s="40"/>
      <c r="FF65" s="39"/>
      <c r="FG65" s="40"/>
      <c r="FH65" s="39"/>
      <c r="FI65" s="40"/>
      <c r="FJ65" s="39"/>
      <c r="FK65" s="40"/>
      <c r="FL65" s="39"/>
      <c r="FM65" s="40"/>
      <c r="FN65" s="39"/>
      <c r="FO65" s="40"/>
      <c r="FP65" s="39"/>
      <c r="FQ65" s="40"/>
      <c r="FR65" s="39"/>
      <c r="FS65" s="40"/>
      <c r="FT65" s="39"/>
      <c r="FU65" s="40"/>
      <c r="FV65" s="39"/>
      <c r="FW65" s="40"/>
      <c r="FX65" s="39"/>
      <c r="FY65" s="40"/>
      <c r="FZ65" s="39"/>
      <c r="GA65" s="40"/>
      <c r="GB65" s="39"/>
      <c r="GC65" s="40"/>
      <c r="GD65" s="39"/>
      <c r="GE65" s="40"/>
      <c r="GF65" s="39"/>
      <c r="GG65" s="40"/>
      <c r="GH65" s="39"/>
      <c r="GI65" s="40"/>
      <c r="GJ65" s="39"/>
      <c r="GK65" s="40"/>
      <c r="GL65" s="39"/>
      <c r="GM65" s="40"/>
      <c r="GN65" s="39"/>
      <c r="GO65" s="40"/>
      <c r="GP65" s="39"/>
      <c r="GQ65" s="40"/>
      <c r="GR65" s="39"/>
      <c r="GS65" s="40"/>
      <c r="GT65" s="39"/>
      <c r="GU65" s="40"/>
      <c r="GV65" s="39"/>
      <c r="GW65" s="40"/>
      <c r="GX65" s="39"/>
      <c r="GY65" s="40"/>
      <c r="GZ65" s="39"/>
      <c r="HA65" s="40"/>
      <c r="HB65" s="39"/>
      <c r="HC65" s="40"/>
      <c r="HD65" s="39"/>
      <c r="HE65" s="40"/>
      <c r="HF65" s="39"/>
      <c r="HG65" s="40"/>
      <c r="HH65" s="39"/>
      <c r="HI65" s="40"/>
      <c r="HJ65" s="39"/>
      <c r="HK65" s="40"/>
      <c r="HL65" s="39"/>
      <c r="HM65" s="40"/>
      <c r="HN65" s="39"/>
      <c r="HO65" s="40"/>
      <c r="HP65" s="39"/>
      <c r="HQ65" s="40"/>
      <c r="HR65" s="39"/>
      <c r="HS65" s="40"/>
      <c r="HT65" s="39"/>
      <c r="HU65" s="40"/>
      <c r="HV65" s="39"/>
      <c r="HW65" s="40"/>
      <c r="HX65" s="39"/>
      <c r="HY65" s="40"/>
      <c r="HZ65" s="39"/>
      <c r="IA65" s="40"/>
      <c r="IB65" s="39"/>
      <c r="IC65" s="1068"/>
      <c r="ID65" s="645"/>
      <c r="IE65" s="646"/>
      <c r="IF65" s="645"/>
      <c r="IG65" s="646"/>
      <c r="IH65" s="645"/>
      <c r="II65" s="646"/>
      <c r="IJ65" s="645"/>
      <c r="IK65" s="646"/>
      <c r="IL65" s="645"/>
      <c r="IM65" s="646"/>
      <c r="IN65" s="645"/>
      <c r="IO65" s="646"/>
      <c r="IP65" s="645"/>
      <c r="IQ65" s="646"/>
      <c r="IR65" s="645"/>
      <c r="IS65" s="646"/>
      <c r="IT65" s="645"/>
      <c r="IU65" s="646"/>
      <c r="IV65" s="645"/>
      <c r="IW65" s="646"/>
      <c r="IX65" s="645"/>
      <c r="IY65" s="646"/>
      <c r="IZ65" s="645"/>
      <c r="JA65" s="646"/>
      <c r="JB65" s="645"/>
      <c r="JC65" s="646"/>
      <c r="JD65" s="645"/>
      <c r="JE65" s="646"/>
      <c r="JF65" s="645"/>
      <c r="JG65" s="646"/>
      <c r="JH65" s="645"/>
      <c r="JI65" s="646"/>
      <c r="JJ65" s="645"/>
      <c r="JK65" s="646"/>
      <c r="JL65" s="645"/>
      <c r="JM65" s="646"/>
      <c r="JN65" s="645"/>
      <c r="JO65" s="646"/>
      <c r="JP65" s="645"/>
      <c r="JQ65" s="646"/>
      <c r="JR65" s="645"/>
      <c r="JS65" s="646"/>
      <c r="JT65" s="645"/>
      <c r="JU65" s="646"/>
      <c r="JV65" s="645"/>
      <c r="JW65" s="646"/>
      <c r="JX65" s="645"/>
      <c r="JY65" s="646"/>
      <c r="JZ65" s="645"/>
      <c r="KA65" s="646"/>
      <c r="KB65" s="645"/>
      <c r="KC65" s="646"/>
      <c r="KD65" s="645"/>
      <c r="KE65" s="646"/>
      <c r="KF65" s="645"/>
      <c r="KG65" s="646"/>
      <c r="KH65" s="645"/>
      <c r="KI65" s="646"/>
      <c r="KJ65" s="645"/>
      <c r="KK65" s="646"/>
      <c r="KL65" s="645"/>
      <c r="KM65" s="646"/>
      <c r="KN65" s="645"/>
      <c r="KO65" s="646"/>
      <c r="KP65" s="645"/>
      <c r="KQ65" s="646"/>
      <c r="KR65" s="645"/>
      <c r="KS65" s="646"/>
      <c r="KT65" s="645"/>
      <c r="KU65" s="646"/>
      <c r="KV65" s="645"/>
      <c r="KW65" s="646"/>
      <c r="KX65" s="645"/>
      <c r="KY65" s="646"/>
      <c r="KZ65" s="645"/>
      <c r="LA65" s="646"/>
      <c r="LB65" s="645"/>
      <c r="LC65" s="646"/>
      <c r="LD65" s="645"/>
      <c r="LE65" s="646"/>
      <c r="LF65" s="645"/>
      <c r="LG65" s="646"/>
      <c r="LH65" s="645"/>
      <c r="LI65" s="646"/>
      <c r="LJ65" s="645"/>
      <c r="LK65" s="646"/>
      <c r="LL65" s="645"/>
      <c r="LM65" s="646"/>
      <c r="LN65" s="645"/>
      <c r="LO65" s="646"/>
      <c r="LP65" s="645"/>
      <c r="LQ65" s="646"/>
      <c r="LR65" s="645"/>
      <c r="LS65" s="646"/>
      <c r="LT65" s="645"/>
      <c r="LU65" s="646"/>
      <c r="LV65" s="645"/>
      <c r="LW65" s="646"/>
      <c r="LX65" s="645"/>
      <c r="LY65" s="646"/>
      <c r="LZ65" s="645"/>
      <c r="MA65" s="646"/>
      <c r="MB65" s="645"/>
      <c r="MC65" s="646"/>
      <c r="MD65" s="645"/>
      <c r="ME65" s="646"/>
      <c r="MF65" s="645"/>
      <c r="MG65" s="646"/>
      <c r="MH65" s="645"/>
      <c r="MI65" s="646"/>
      <c r="MJ65" s="645"/>
      <c r="MK65" s="646"/>
      <c r="ML65" s="645"/>
      <c r="MM65" s="646"/>
      <c r="MN65" s="645"/>
      <c r="MO65" s="646"/>
      <c r="MP65" s="645"/>
      <c r="MQ65" s="646"/>
      <c r="MR65" s="645"/>
      <c r="MS65" s="646"/>
      <c r="MT65" s="645"/>
      <c r="MU65" s="646"/>
      <c r="MV65" s="645"/>
      <c r="MW65" s="646"/>
      <c r="MX65" s="645"/>
      <c r="MY65" s="646"/>
      <c r="MZ65" s="645"/>
      <c r="NA65" s="646"/>
      <c r="NB65" s="645"/>
      <c r="NC65" s="646"/>
      <c r="ND65" s="645"/>
      <c r="NE65" s="646"/>
      <c r="NF65" s="645"/>
      <c r="NG65" s="646"/>
      <c r="NH65" s="645"/>
      <c r="NI65" s="646"/>
      <c r="NJ65" s="645"/>
      <c r="NK65" s="646"/>
      <c r="NL65" s="645"/>
      <c r="NM65" s="646"/>
      <c r="NN65" s="645"/>
      <c r="NO65" s="646"/>
      <c r="NP65" s="645"/>
      <c r="NQ65" s="646"/>
      <c r="NR65" s="645"/>
      <c r="NS65" s="646"/>
      <c r="NT65" s="645"/>
      <c r="NU65" s="646"/>
      <c r="NV65" s="645"/>
      <c r="NW65" s="646"/>
      <c r="NX65" s="645"/>
      <c r="NY65" s="646"/>
      <c r="NZ65" s="645"/>
      <c r="OA65" s="646"/>
      <c r="OB65" s="645"/>
      <c r="OC65" s="646"/>
      <c r="OD65" s="645"/>
      <c r="OE65" s="646"/>
      <c r="OF65" s="645"/>
      <c r="OG65" s="646"/>
      <c r="OH65" s="645"/>
      <c r="OI65" s="646"/>
      <c r="OJ65" s="645"/>
      <c r="OK65" s="646"/>
      <c r="OL65" s="645"/>
      <c r="OM65" s="646"/>
      <c r="ON65" s="645"/>
      <c r="OO65" s="646"/>
      <c r="OP65" s="645"/>
      <c r="OQ65" s="646"/>
      <c r="OR65" s="645"/>
      <c r="OS65" s="646"/>
      <c r="OT65" s="645"/>
      <c r="OU65" s="646"/>
      <c r="OV65" s="645"/>
      <c r="OW65" s="646"/>
      <c r="OX65" s="645"/>
      <c r="OY65" s="646"/>
      <c r="OZ65" s="645"/>
      <c r="PA65" s="646"/>
      <c r="PB65" s="645"/>
      <c r="PC65" s="646"/>
      <c r="PD65" s="645"/>
      <c r="PE65" s="646"/>
      <c r="PF65" s="645"/>
      <c r="PG65" s="646"/>
      <c r="PH65" s="645"/>
      <c r="PI65" s="646"/>
      <c r="PJ65" s="645"/>
      <c r="PK65" s="646"/>
      <c r="PL65" s="645"/>
      <c r="PM65" s="646"/>
      <c r="PN65" s="645"/>
      <c r="PO65" s="646"/>
      <c r="PP65" s="645"/>
      <c r="PQ65" s="646"/>
      <c r="PR65" s="645"/>
      <c r="PS65" s="646"/>
      <c r="PT65" s="645"/>
      <c r="PU65" s="646"/>
      <c r="PV65" s="645"/>
      <c r="PW65" s="646"/>
      <c r="PX65" s="645"/>
      <c r="PY65" s="646"/>
      <c r="PZ65" s="645"/>
      <c r="QA65" s="646"/>
      <c r="QB65" s="645"/>
      <c r="QC65" s="646"/>
      <c r="QD65" s="645"/>
      <c r="QE65" s="646"/>
      <c r="QF65" s="645"/>
      <c r="QG65" s="646"/>
      <c r="QH65" s="645"/>
      <c r="QI65" s="646"/>
      <c r="QJ65" s="645"/>
      <c r="QK65" s="646"/>
      <c r="QL65" s="645"/>
      <c r="QM65" s="646"/>
      <c r="QN65" s="645"/>
      <c r="QO65" s="646"/>
      <c r="QP65" s="645"/>
      <c r="QQ65" s="646"/>
      <c r="QR65" s="645"/>
      <c r="QS65" s="646"/>
      <c r="QT65" s="645"/>
      <c r="QU65" s="646"/>
      <c r="QV65" s="645"/>
      <c r="QW65" s="646"/>
      <c r="QX65" s="645"/>
      <c r="QY65" s="646"/>
      <c r="QZ65" s="645"/>
      <c r="RA65" s="646"/>
      <c r="RB65" s="645"/>
      <c r="RC65" s="646"/>
      <c r="RD65" s="645"/>
      <c r="RE65" s="646"/>
      <c r="RF65" s="645"/>
      <c r="RG65" s="646"/>
      <c r="RH65" s="645"/>
      <c r="RI65" s="646"/>
      <c r="RJ65" s="645"/>
      <c r="RK65" s="646"/>
      <c r="RL65" s="645"/>
      <c r="RM65" s="646"/>
      <c r="RN65" s="645"/>
      <c r="RO65" s="646"/>
      <c r="RP65" s="645"/>
      <c r="RQ65" s="646"/>
      <c r="RR65" s="645"/>
      <c r="RS65" s="646"/>
      <c r="RT65" s="645"/>
      <c r="RU65" s="646"/>
      <c r="RV65" s="645"/>
      <c r="RW65" s="646"/>
      <c r="RX65" s="645"/>
      <c r="RY65" s="646"/>
      <c r="RZ65" s="645"/>
      <c r="SA65" s="646"/>
      <c r="SB65" s="645"/>
      <c r="SC65" s="646"/>
      <c r="SD65" s="645"/>
      <c r="SE65" s="646"/>
      <c r="SF65" s="645"/>
      <c r="SG65" s="646"/>
      <c r="SH65" s="645"/>
      <c r="SI65" s="646"/>
      <c r="SJ65" s="645"/>
      <c r="SK65" s="646"/>
      <c r="SL65" s="645"/>
      <c r="SM65" s="646"/>
      <c r="SN65" s="645"/>
      <c r="SO65" s="646"/>
      <c r="SP65" s="645"/>
      <c r="SQ65" s="646"/>
      <c r="SR65" s="645"/>
      <c r="SS65" s="646"/>
      <c r="ST65" s="645"/>
      <c r="SU65" s="646"/>
      <c r="SV65" s="645"/>
      <c r="SW65" s="646"/>
      <c r="SX65" s="645"/>
      <c r="SY65" s="646"/>
      <c r="SZ65" s="645"/>
      <c r="TA65" s="646"/>
      <c r="TB65" s="645"/>
      <c r="TC65" s="646"/>
      <c r="TD65" s="645"/>
      <c r="TE65" s="646"/>
      <c r="TF65" s="645"/>
      <c r="TG65" s="646"/>
      <c r="TH65" s="645"/>
      <c r="TI65" s="646"/>
      <c r="TJ65" s="645"/>
      <c r="TK65" s="646"/>
      <c r="TL65" s="645"/>
      <c r="TM65" s="646"/>
      <c r="TN65" s="645"/>
      <c r="TO65" s="646"/>
      <c r="TP65" s="645"/>
      <c r="TQ65" s="646"/>
      <c r="TR65" s="645"/>
      <c r="TS65" s="646"/>
      <c r="TT65" s="645"/>
      <c r="TU65" s="646"/>
      <c r="TV65" s="645"/>
      <c r="TW65" s="646"/>
      <c r="TX65" s="645"/>
      <c r="TY65" s="646"/>
      <c r="TZ65" s="645"/>
      <c r="UA65" s="646"/>
      <c r="UB65" s="645"/>
      <c r="UC65" s="646"/>
      <c r="UD65" s="645"/>
      <c r="UE65" s="646"/>
      <c r="UF65" s="645"/>
      <c r="UG65" s="646"/>
      <c r="UH65" s="645"/>
      <c r="UI65" s="646"/>
      <c r="UJ65" s="645"/>
      <c r="UK65" s="646"/>
      <c r="UL65" s="645"/>
      <c r="UM65" s="646"/>
      <c r="UN65" s="645"/>
      <c r="UO65" s="646"/>
      <c r="UP65" s="645"/>
      <c r="UQ65" s="646"/>
      <c r="UR65" s="645"/>
      <c r="US65" s="646"/>
      <c r="UT65" s="645"/>
      <c r="UU65" s="646"/>
      <c r="UV65" s="645"/>
      <c r="UW65" s="646"/>
      <c r="UX65" s="645"/>
      <c r="UY65" s="646"/>
      <c r="UZ65" s="645"/>
      <c r="VA65" s="646"/>
      <c r="VB65" s="645"/>
      <c r="VC65" s="646"/>
      <c r="VD65" s="645"/>
      <c r="VE65" s="646"/>
      <c r="VF65" s="645"/>
      <c r="VG65" s="646"/>
      <c r="VH65" s="645"/>
      <c r="VI65" s="646"/>
      <c r="VJ65" s="645"/>
      <c r="VK65" s="646"/>
      <c r="VL65" s="645"/>
      <c r="VM65" s="646"/>
      <c r="VN65" s="645"/>
      <c r="VO65" s="646"/>
      <c r="VP65" s="645"/>
      <c r="VQ65" s="646"/>
      <c r="VR65" s="645"/>
      <c r="VS65" s="646"/>
      <c r="VT65" s="645"/>
      <c r="VU65" s="646"/>
      <c r="VV65" s="645"/>
      <c r="VW65" s="646"/>
      <c r="VX65" s="645"/>
      <c r="VY65" s="646"/>
      <c r="VZ65" s="645"/>
      <c r="WA65" s="646"/>
      <c r="WB65" s="645"/>
      <c r="WC65" s="646"/>
      <c r="WD65" s="645"/>
      <c r="WE65" s="646"/>
      <c r="WF65" s="645"/>
      <c r="WG65" s="646"/>
      <c r="WH65" s="645"/>
      <c r="WI65" s="646"/>
      <c r="WJ65" s="645"/>
      <c r="WK65" s="646"/>
      <c r="WL65" s="645"/>
      <c r="WM65" s="646"/>
      <c r="WN65" s="645"/>
      <c r="WO65" s="646"/>
      <c r="WP65" s="645"/>
      <c r="WQ65" s="646"/>
      <c r="WR65" s="645"/>
      <c r="WS65" s="646"/>
      <c r="WT65" s="645"/>
      <c r="WU65" s="646"/>
      <c r="WV65" s="645"/>
      <c r="WW65" s="646"/>
      <c r="WX65" s="645"/>
      <c r="WY65" s="646"/>
      <c r="WZ65" s="645"/>
      <c r="XA65" s="646"/>
      <c r="XB65" s="645"/>
      <c r="XC65" s="646"/>
      <c r="XD65" s="645"/>
      <c r="XE65" s="646"/>
      <c r="XF65" s="645"/>
      <c r="XG65" s="646"/>
      <c r="XH65" s="645"/>
      <c r="XI65" s="646"/>
      <c r="XJ65" s="645"/>
      <c r="XK65" s="646"/>
      <c r="XL65" s="645"/>
      <c r="XM65" s="646"/>
      <c r="XN65" s="645"/>
      <c r="XO65" s="646"/>
      <c r="XP65" s="645"/>
      <c r="XQ65" s="646"/>
      <c r="XR65" s="645"/>
      <c r="XS65" s="646"/>
      <c r="XT65" s="645"/>
      <c r="XU65" s="646"/>
      <c r="XV65" s="645"/>
      <c r="XW65" s="646"/>
      <c r="XX65" s="645"/>
      <c r="XY65" s="646"/>
      <c r="XZ65" s="645"/>
      <c r="YA65" s="646"/>
      <c r="YB65" s="645"/>
      <c r="YC65" s="646"/>
      <c r="YD65" s="645"/>
      <c r="YE65" s="646"/>
      <c r="YF65" s="645"/>
      <c r="YG65" s="646"/>
      <c r="YH65" s="645"/>
      <c r="YI65" s="646"/>
      <c r="YJ65" s="645"/>
      <c r="YK65" s="646"/>
      <c r="YL65" s="645"/>
      <c r="YM65" s="646"/>
      <c r="YN65" s="645"/>
      <c r="YO65" s="646"/>
      <c r="YP65" s="645"/>
      <c r="YQ65" s="646"/>
      <c r="YR65" s="645"/>
      <c r="YS65" s="646"/>
      <c r="YT65" s="645"/>
      <c r="YU65" s="646"/>
      <c r="YV65" s="645"/>
      <c r="YW65" s="646"/>
      <c r="YX65" s="645"/>
      <c r="YY65" s="646"/>
      <c r="YZ65" s="645"/>
      <c r="ZA65" s="646"/>
      <c r="ZB65" s="645"/>
      <c r="ZC65" s="646"/>
      <c r="ZD65" s="645"/>
      <c r="ZE65" s="646"/>
      <c r="ZF65" s="645"/>
      <c r="ZG65" s="646"/>
      <c r="ZH65" s="645"/>
      <c r="ZI65" s="646"/>
      <c r="ZJ65" s="645"/>
      <c r="ZK65" s="646"/>
      <c r="ZL65" s="645"/>
      <c r="ZM65" s="646"/>
      <c r="ZN65" s="645"/>
      <c r="ZO65" s="646"/>
      <c r="ZP65" s="645"/>
      <c r="ZQ65" s="646"/>
      <c r="ZR65" s="645"/>
      <c r="ZS65" s="646"/>
      <c r="ZT65" s="645"/>
      <c r="ZU65" s="646"/>
      <c r="ZV65" s="645"/>
      <c r="ZW65" s="646"/>
      <c r="ZX65" s="645"/>
      <c r="ZY65" s="646"/>
      <c r="ZZ65" s="645"/>
      <c r="AAA65" s="646"/>
      <c r="AAB65" s="645"/>
      <c r="AAC65" s="646"/>
      <c r="AAD65" s="645"/>
      <c r="AAE65" s="646"/>
      <c r="AAF65" s="645"/>
      <c r="AAG65" s="646"/>
      <c r="AAH65" s="645"/>
      <c r="AAI65" s="646"/>
      <c r="AAJ65" s="645"/>
      <c r="AAK65" s="646"/>
      <c r="AAL65" s="645"/>
      <c r="AAM65" s="646"/>
      <c r="AAN65" s="645"/>
      <c r="AAO65" s="646"/>
      <c r="AAP65" s="645"/>
      <c r="AAQ65" s="646"/>
      <c r="AAR65" s="645"/>
      <c r="AAS65" s="646"/>
      <c r="AAT65" s="645"/>
      <c r="AAU65" s="646"/>
      <c r="AAV65" s="645"/>
      <c r="AAW65" s="646"/>
      <c r="AAX65" s="645"/>
      <c r="AAY65" s="646"/>
      <c r="AAZ65" s="645"/>
      <c r="ABA65" s="646"/>
      <c r="ABB65" s="645"/>
      <c r="ABC65" s="646"/>
      <c r="ABD65" s="645"/>
      <c r="ABE65" s="646"/>
      <c r="ABF65" s="645"/>
      <c r="ABG65" s="646"/>
      <c r="ABH65" s="645"/>
      <c r="ABI65" s="646"/>
      <c r="ABJ65" s="645"/>
      <c r="ABK65" s="646"/>
      <c r="ABL65" s="645"/>
      <c r="ABM65" s="646"/>
      <c r="ABN65" s="645"/>
      <c r="ABO65" s="646"/>
      <c r="ABP65" s="645"/>
      <c r="ABQ65" s="646"/>
      <c r="ABR65" s="645"/>
      <c r="ABS65" s="646"/>
      <c r="ABT65" s="645"/>
      <c r="ABU65" s="646"/>
      <c r="ABV65" s="645"/>
      <c r="ABW65" s="646"/>
      <c r="ABX65" s="645"/>
      <c r="ABY65" s="646"/>
      <c r="ABZ65" s="645"/>
      <c r="ACA65" s="646"/>
      <c r="ACB65" s="645"/>
      <c r="ACC65" s="646"/>
      <c r="ACD65" s="645"/>
      <c r="ACE65" s="646"/>
      <c r="ACF65" s="645"/>
      <c r="ACG65" s="646"/>
      <c r="ACH65" s="645"/>
      <c r="ACI65" s="646"/>
      <c r="ACJ65" s="645"/>
      <c r="ACK65" s="646"/>
      <c r="ACL65" s="645"/>
      <c r="ACM65" s="646"/>
      <c r="ACN65" s="645"/>
      <c r="ACO65" s="646"/>
      <c r="ACP65" s="645"/>
      <c r="ACQ65" s="646"/>
      <c r="ACR65" s="645"/>
      <c r="ACS65" s="646"/>
      <c r="ACT65" s="645"/>
      <c r="ACU65" s="646"/>
      <c r="ACV65" s="645"/>
      <c r="ACW65" s="646"/>
      <c r="ACX65" s="645"/>
      <c r="ACY65" s="646"/>
      <c r="ACZ65" s="645"/>
      <c r="ADA65" s="646"/>
      <c r="ADB65" s="645"/>
      <c r="ADC65" s="646"/>
      <c r="ADD65" s="645"/>
      <c r="ADE65" s="646"/>
      <c r="ADF65" s="645"/>
      <c r="ADG65" s="646"/>
      <c r="ADH65" s="645"/>
      <c r="ADI65" s="646"/>
      <c r="ADJ65" s="645"/>
      <c r="ADK65" s="646"/>
      <c r="ADL65" s="645"/>
      <c r="ADM65" s="646"/>
      <c r="ADN65" s="645"/>
      <c r="ADO65" s="646"/>
      <c r="ADP65" s="645"/>
      <c r="ADQ65" s="646"/>
      <c r="ADR65" s="645"/>
      <c r="ADS65" s="646"/>
      <c r="ADT65" s="645"/>
      <c r="ADU65" s="646"/>
      <c r="ADV65" s="645"/>
      <c r="ADW65" s="646"/>
      <c r="ADX65" s="645"/>
      <c r="ADY65" s="646"/>
      <c r="ADZ65" s="645"/>
      <c r="AEA65" s="646"/>
      <c r="AEB65" s="645"/>
      <c r="AEC65" s="646"/>
      <c r="AED65" s="645"/>
      <c r="AEE65" s="646"/>
      <c r="AEF65" s="645"/>
      <c r="AEG65" s="646"/>
      <c r="AEH65" s="645"/>
      <c r="AEI65" s="646"/>
      <c r="AEJ65" s="645"/>
      <c r="AEK65" s="646"/>
      <c r="AEL65" s="645"/>
      <c r="AEM65" s="646"/>
      <c r="AEN65" s="645"/>
      <c r="AEO65" s="646"/>
      <c r="AEP65" s="645"/>
      <c r="AEQ65" s="646"/>
      <c r="AER65" s="645"/>
      <c r="AES65" s="646"/>
      <c r="AET65" s="645"/>
      <c r="AEU65" s="646"/>
      <c r="AEV65" s="645"/>
      <c r="AEW65" s="646"/>
      <c r="AEX65" s="645"/>
      <c r="AEY65" s="646"/>
      <c r="AEZ65" s="645"/>
      <c r="AFA65" s="646"/>
      <c r="AFB65" s="645"/>
      <c r="AFC65" s="646"/>
      <c r="AFD65" s="645"/>
      <c r="AFE65" s="646"/>
      <c r="AFF65" s="645"/>
      <c r="AFG65" s="646"/>
      <c r="AFH65" s="645"/>
      <c r="AFI65" s="646"/>
      <c r="AFJ65" s="645"/>
      <c r="AFK65" s="646"/>
      <c r="AFL65" s="645"/>
      <c r="AFM65" s="646"/>
      <c r="AFN65" s="645"/>
      <c r="AFO65" s="646"/>
      <c r="AFP65" s="645"/>
      <c r="AFQ65" s="646"/>
      <c r="AFR65" s="645"/>
      <c r="AFS65" s="646"/>
      <c r="AFT65" s="645"/>
      <c r="AFU65" s="646"/>
      <c r="AFV65" s="645"/>
      <c r="AFW65" s="646"/>
      <c r="AFX65" s="645"/>
      <c r="AFY65" s="646"/>
      <c r="AFZ65" s="645"/>
      <c r="AGA65" s="646"/>
      <c r="AGB65" s="645"/>
      <c r="AGC65" s="646"/>
      <c r="AGD65" s="645"/>
      <c r="AGE65" s="646"/>
      <c r="AGF65" s="645"/>
      <c r="AGG65" s="646"/>
      <c r="AGH65" s="645"/>
      <c r="AGI65" s="646"/>
      <c r="AGJ65" s="645"/>
      <c r="AGK65" s="646"/>
      <c r="AGL65" s="645"/>
      <c r="AGM65" s="646"/>
      <c r="AGN65" s="645"/>
      <c r="AGO65" s="646"/>
      <c r="AGP65" s="645"/>
      <c r="AGQ65" s="646"/>
      <c r="AGR65" s="645"/>
      <c r="AGS65" s="646"/>
      <c r="AGT65" s="645"/>
      <c r="AGU65" s="646"/>
      <c r="AGV65" s="645"/>
      <c r="AGW65" s="646"/>
      <c r="AGX65" s="645"/>
      <c r="AGY65" s="646"/>
      <c r="AGZ65" s="645"/>
      <c r="AHA65" s="646"/>
      <c r="AHB65" s="645"/>
      <c r="AHC65" s="646"/>
      <c r="AHD65" s="645"/>
      <c r="AHE65" s="646"/>
      <c r="AHF65" s="645"/>
      <c r="AHG65" s="646"/>
      <c r="AHH65" s="645"/>
      <c r="AHI65" s="646"/>
      <c r="AHJ65" s="645"/>
      <c r="AHK65" s="646"/>
      <c r="AHL65" s="645"/>
      <c r="AHM65" s="646"/>
      <c r="AHN65" s="645"/>
      <c r="AHO65" s="646"/>
      <c r="AHP65" s="645"/>
      <c r="AHQ65" s="646"/>
      <c r="AHR65" s="645"/>
      <c r="AHS65" s="646"/>
      <c r="AHT65" s="645"/>
      <c r="AHU65" s="646"/>
      <c r="AHV65" s="645"/>
      <c r="AHW65" s="646"/>
      <c r="AHX65" s="645"/>
      <c r="AHY65" s="646"/>
      <c r="AHZ65" s="645"/>
      <c r="AIA65" s="646"/>
      <c r="AIB65" s="645"/>
      <c r="AIC65" s="646"/>
      <c r="AID65" s="645"/>
      <c r="AIE65" s="646"/>
      <c r="AIF65" s="645"/>
      <c r="AIG65" s="646"/>
      <c r="AIH65" s="645"/>
      <c r="AII65" s="646"/>
      <c r="AIJ65" s="645"/>
      <c r="AIK65" s="646"/>
      <c r="AIL65" s="645"/>
      <c r="AIM65" s="646"/>
      <c r="AIN65" s="645"/>
      <c r="AIO65" s="646"/>
      <c r="AIP65" s="645"/>
      <c r="AIQ65" s="645"/>
      <c r="AIR65" s="645"/>
      <c r="AIS65" s="645"/>
      <c r="AIT65" s="645"/>
      <c r="AIU65" s="645"/>
      <c r="AIV65" s="645"/>
      <c r="AIW65" s="645"/>
      <c r="AIX65" s="645"/>
      <c r="AIY65" s="645"/>
      <c r="AIZ65" s="645"/>
      <c r="AJA65" s="645"/>
      <c r="AJB65" s="645"/>
      <c r="AJC65" s="645"/>
      <c r="AJD65" s="645"/>
      <c r="AJE65" s="645"/>
      <c r="AJF65" s="645"/>
      <c r="AJG65" s="645"/>
      <c r="AJH65" s="645"/>
      <c r="AJI65" s="645"/>
      <c r="AJJ65" s="645"/>
      <c r="AJK65" s="645"/>
      <c r="AJL65" s="645"/>
      <c r="AJM65" s="645"/>
      <c r="AJN65" s="645"/>
      <c r="AJO65" s="645"/>
      <c r="AJP65" s="645"/>
      <c r="AJQ65" s="645"/>
      <c r="AJR65" s="645"/>
      <c r="AJS65" s="645"/>
      <c r="AJT65" s="645"/>
      <c r="AJU65" s="645"/>
      <c r="AJV65" s="645"/>
      <c r="AJW65" s="645"/>
      <c r="AJX65" s="645"/>
      <c r="AJY65" s="645"/>
      <c r="AJZ65" s="645"/>
      <c r="AKA65" s="645"/>
      <c r="AKB65" s="645"/>
      <c r="AKC65" s="645"/>
      <c r="AKD65" s="645"/>
      <c r="AKE65" s="645"/>
      <c r="AKF65" s="645"/>
      <c r="AKG65" s="645"/>
      <c r="AKH65" s="645"/>
      <c r="AKI65" s="645"/>
      <c r="AKJ65" s="645"/>
      <c r="AKK65" s="645"/>
      <c r="AKL65" s="645"/>
      <c r="AKM65" s="645"/>
      <c r="AKN65" s="645"/>
      <c r="AKO65" s="645"/>
      <c r="AKP65" s="645"/>
      <c r="AKQ65" s="645"/>
      <c r="AKR65" s="645"/>
      <c r="AKS65" s="645"/>
      <c r="AKT65" s="645"/>
      <c r="AKU65" s="645"/>
      <c r="AKV65" s="645"/>
      <c r="AKW65" s="645"/>
      <c r="AKX65" s="645"/>
      <c r="AKY65" s="645"/>
      <c r="AKZ65" s="645"/>
      <c r="ALA65" s="645"/>
      <c r="ALB65" s="645"/>
      <c r="ALC65" s="645"/>
      <c r="ALD65" s="645"/>
      <c r="ALE65" s="645"/>
      <c r="ALF65" s="645"/>
      <c r="ALG65" s="645"/>
      <c r="ALH65" s="645"/>
      <c r="ALI65" s="645"/>
      <c r="ALJ65" s="645"/>
      <c r="ALK65" s="645"/>
      <c r="ALL65" s="645"/>
      <c r="ALM65" s="645"/>
      <c r="ALN65" s="645"/>
      <c r="ALO65" s="645"/>
      <c r="ALP65" s="645"/>
      <c r="ALQ65" s="645"/>
      <c r="ALR65" s="645"/>
      <c r="ALS65" s="645"/>
      <c r="ALT65" s="645"/>
      <c r="ALU65" s="645"/>
      <c r="ALV65" s="645"/>
      <c r="ALW65" s="645"/>
      <c r="ALX65" s="645"/>
      <c r="ALY65" s="645"/>
      <c r="ALZ65" s="645"/>
      <c r="AMA65" s="645"/>
      <c r="AMB65" s="645"/>
      <c r="AMC65" s="645"/>
      <c r="AMD65" s="645"/>
      <c r="AME65" s="645"/>
      <c r="AMF65" s="645"/>
      <c r="AMG65" s="645"/>
      <c r="AMH65" s="645"/>
      <c r="AMI65" s="645"/>
      <c r="AMJ65" s="645"/>
    </row>
    <row r="66" spans="1:1024" s="27" customFormat="1" ht="15.75" customHeight="1" x14ac:dyDescent="0.35">
      <c r="A66" s="593" t="s">
        <v>321</v>
      </c>
      <c r="B66" s="594" t="s">
        <v>322</v>
      </c>
      <c r="C66" s="593"/>
      <c r="D66" s="594"/>
      <c r="E66" s="593"/>
      <c r="F66" s="594"/>
      <c r="G66" s="593"/>
      <c r="H66" s="594"/>
      <c r="I66" s="593"/>
      <c r="J66" s="594"/>
      <c r="K66" s="593"/>
      <c r="L66" s="594"/>
      <c r="M66" s="593"/>
      <c r="N66" s="594"/>
      <c r="O66" s="593"/>
      <c r="P66" s="594"/>
      <c r="Q66" s="593"/>
      <c r="R66" s="594"/>
      <c r="S66" s="593"/>
      <c r="T66" s="594"/>
      <c r="U66" s="593"/>
      <c r="V66" s="594"/>
      <c r="W66" s="593"/>
      <c r="X66" s="594"/>
      <c r="Y66" s="593"/>
      <c r="Z66" s="594"/>
      <c r="AA66" s="593"/>
      <c r="AB66" s="594"/>
      <c r="AC66" s="593"/>
      <c r="AD66" s="594"/>
      <c r="AE66" s="593"/>
      <c r="AF66" s="594"/>
      <c r="AG66" s="593"/>
      <c r="AH66" s="594"/>
      <c r="AI66" s="593"/>
      <c r="AJ66" s="594"/>
      <c r="AK66" s="593"/>
      <c r="AL66" s="594"/>
      <c r="AM66" s="593"/>
      <c r="AN66" s="594"/>
      <c r="AO66" s="593"/>
      <c r="AP66" s="594"/>
      <c r="AQ66" s="593"/>
      <c r="AR66" s="594"/>
      <c r="AS66" s="593"/>
      <c r="AT66" s="594"/>
      <c r="AU66" s="593"/>
      <c r="AV66" s="594"/>
      <c r="AW66" s="593"/>
      <c r="AX66" s="594"/>
      <c r="AY66" s="593"/>
      <c r="AZ66" s="594"/>
      <c r="BA66" s="593"/>
      <c r="BB66" s="594"/>
      <c r="BC66" s="593"/>
      <c r="BD66" s="594"/>
      <c r="BE66" s="593"/>
      <c r="BF66" s="594"/>
      <c r="BG66" s="593"/>
      <c r="BH66" s="594"/>
      <c r="BI66" s="593"/>
      <c r="BJ66" s="594"/>
      <c r="BK66" s="593"/>
      <c r="BL66" s="594"/>
      <c r="BM66" s="593"/>
      <c r="BN66" s="594"/>
      <c r="BO66" s="593"/>
      <c r="BP66" s="594"/>
      <c r="BQ66" s="593"/>
      <c r="BR66" s="594"/>
      <c r="BS66" s="593"/>
      <c r="BT66" s="594"/>
      <c r="BU66" s="593"/>
      <c r="BV66" s="594"/>
      <c r="BW66" s="593"/>
      <c r="BX66" s="594"/>
      <c r="BY66" s="593"/>
      <c r="BZ66" s="594"/>
      <c r="CA66" s="593"/>
      <c r="CB66" s="594"/>
      <c r="CC66" s="593"/>
      <c r="CD66" s="594"/>
      <c r="CE66" s="593"/>
      <c r="CF66" s="594"/>
      <c r="CG66" s="593"/>
      <c r="CH66" s="594"/>
      <c r="CI66" s="593"/>
      <c r="CJ66" s="594"/>
      <c r="CK66" s="593"/>
      <c r="CL66" s="594"/>
      <c r="CM66" s="593"/>
      <c r="CN66" s="594"/>
      <c r="CO66" s="593"/>
      <c r="CP66" s="594"/>
      <c r="CQ66" s="593"/>
      <c r="CR66" s="594"/>
      <c r="CS66" s="593"/>
      <c r="CT66" s="594"/>
      <c r="CU66" s="593"/>
      <c r="CV66" s="594"/>
      <c r="CW66" s="593"/>
      <c r="CX66" s="594"/>
      <c r="CY66" s="593"/>
      <c r="CZ66" s="594"/>
      <c r="DA66" s="593"/>
      <c r="DB66" s="594"/>
      <c r="DC66" s="593"/>
      <c r="DD66" s="594"/>
      <c r="DE66" s="593"/>
      <c r="DF66" s="594"/>
      <c r="DG66" s="593"/>
      <c r="DH66" s="594"/>
      <c r="DI66" s="593"/>
      <c r="DJ66" s="594"/>
      <c r="DK66" s="593"/>
      <c r="DL66" s="594"/>
      <c r="DM66" s="593"/>
      <c r="DN66" s="594"/>
      <c r="DO66" s="593"/>
      <c r="DP66" s="594"/>
      <c r="DQ66" s="593"/>
      <c r="DR66" s="594"/>
      <c r="DS66" s="593"/>
      <c r="DT66" s="594"/>
      <c r="DU66" s="593"/>
      <c r="DV66" s="594"/>
      <c r="DW66" s="593"/>
      <c r="DX66" s="594"/>
      <c r="DY66" s="593"/>
      <c r="DZ66" s="594"/>
      <c r="EA66" s="593"/>
      <c r="EB66" s="594"/>
      <c r="EC66" s="593"/>
      <c r="ED66" s="594"/>
      <c r="EE66" s="593"/>
      <c r="EF66" s="594"/>
      <c r="EG66" s="593"/>
      <c r="EH66" s="594"/>
      <c r="EI66" s="593"/>
      <c r="EJ66" s="594"/>
      <c r="EK66" s="593"/>
      <c r="EL66" s="594"/>
      <c r="EM66" s="593"/>
      <c r="EN66" s="594"/>
      <c r="EO66" s="593"/>
      <c r="EP66" s="594"/>
      <c r="EQ66" s="593"/>
      <c r="ER66" s="594"/>
      <c r="ES66" s="593"/>
      <c r="ET66" s="594"/>
      <c r="EU66" s="593"/>
      <c r="EV66" s="594"/>
      <c r="EW66" s="593"/>
      <c r="EX66" s="594"/>
      <c r="EY66" s="593"/>
      <c r="EZ66" s="594"/>
      <c r="FA66" s="593"/>
      <c r="FB66" s="594"/>
      <c r="FC66" s="593"/>
      <c r="FD66" s="594"/>
      <c r="FE66" s="593"/>
      <c r="FF66" s="594"/>
      <c r="FG66" s="593"/>
      <c r="FH66" s="594"/>
      <c r="FI66" s="593"/>
      <c r="FJ66" s="594"/>
      <c r="FK66" s="593"/>
      <c r="FL66" s="594"/>
      <c r="FM66" s="593"/>
      <c r="FN66" s="594"/>
      <c r="FO66" s="593"/>
      <c r="FP66" s="594"/>
      <c r="FQ66" s="593"/>
      <c r="FR66" s="594"/>
      <c r="FS66" s="593"/>
      <c r="FT66" s="594"/>
      <c r="FU66" s="593"/>
      <c r="FV66" s="594"/>
      <c r="FW66" s="593"/>
      <c r="FX66" s="594"/>
      <c r="FY66" s="593"/>
      <c r="FZ66" s="594"/>
      <c r="GA66" s="593"/>
      <c r="GB66" s="594"/>
      <c r="GC66" s="593"/>
      <c r="GD66" s="594"/>
      <c r="GE66" s="593"/>
      <c r="GF66" s="594"/>
      <c r="GG66" s="593"/>
      <c r="GH66" s="594"/>
      <c r="GI66" s="593"/>
      <c r="GJ66" s="594"/>
      <c r="GK66" s="593"/>
      <c r="GL66" s="594"/>
      <c r="GM66" s="593"/>
      <c r="GN66" s="594"/>
      <c r="GO66" s="593"/>
      <c r="GP66" s="594"/>
      <c r="GQ66" s="593"/>
      <c r="GR66" s="594"/>
      <c r="GS66" s="593"/>
      <c r="GT66" s="594"/>
      <c r="GU66" s="593"/>
      <c r="GV66" s="594"/>
      <c r="GW66" s="593"/>
      <c r="GX66" s="594"/>
      <c r="GY66" s="593"/>
      <c r="GZ66" s="594"/>
      <c r="HA66" s="593"/>
      <c r="HB66" s="594"/>
      <c r="HC66" s="593"/>
      <c r="HD66" s="594"/>
      <c r="HE66" s="593"/>
      <c r="HF66" s="594"/>
      <c r="HG66" s="593"/>
      <c r="HH66" s="594"/>
      <c r="HI66" s="593"/>
      <c r="HJ66" s="594"/>
      <c r="HK66" s="593"/>
      <c r="HL66" s="594"/>
      <c r="HM66" s="593"/>
      <c r="HN66" s="594"/>
      <c r="HO66" s="593"/>
      <c r="HP66" s="594"/>
      <c r="HQ66" s="593"/>
      <c r="HR66" s="594"/>
      <c r="HS66" s="593"/>
      <c r="HT66" s="594"/>
      <c r="HU66" s="593"/>
      <c r="HV66" s="594"/>
      <c r="HW66" s="593"/>
      <c r="HX66" s="594"/>
      <c r="HY66" s="593"/>
      <c r="HZ66" s="594"/>
      <c r="IA66" s="593"/>
      <c r="IB66" s="594"/>
      <c r="IC66" s="593"/>
      <c r="ID66" s="594"/>
      <c r="IE66" s="593"/>
      <c r="IF66" s="594"/>
      <c r="IG66" s="593"/>
      <c r="IH66" s="594"/>
      <c r="II66" s="593"/>
      <c r="IJ66" s="594"/>
      <c r="IK66" s="593"/>
      <c r="IL66" s="594"/>
      <c r="IM66" s="593"/>
      <c r="IN66" s="594"/>
      <c r="IO66" s="593"/>
      <c r="IP66" s="594"/>
      <c r="IQ66" s="593"/>
      <c r="IR66" s="594"/>
      <c r="IS66" s="593"/>
      <c r="IT66" s="594"/>
      <c r="IU66" s="593"/>
      <c r="IV66" s="594"/>
      <c r="IW66" s="593"/>
      <c r="IX66" s="594"/>
      <c r="IY66" s="593"/>
      <c r="IZ66" s="594"/>
      <c r="JA66" s="593"/>
      <c r="JB66" s="594"/>
      <c r="JC66" s="593"/>
      <c r="JD66" s="594"/>
      <c r="JE66" s="593"/>
      <c r="JF66" s="594"/>
      <c r="JG66" s="593"/>
      <c r="JH66" s="594"/>
      <c r="JI66" s="593"/>
      <c r="JJ66" s="594"/>
      <c r="JK66" s="593"/>
      <c r="JL66" s="594"/>
      <c r="JM66" s="593"/>
      <c r="JN66" s="594"/>
      <c r="JO66" s="593"/>
      <c r="JP66" s="594"/>
      <c r="JQ66" s="593"/>
      <c r="JR66" s="594"/>
      <c r="JS66" s="593"/>
      <c r="JT66" s="594"/>
      <c r="JU66" s="593"/>
      <c r="JV66" s="594"/>
      <c r="JW66" s="593"/>
      <c r="JX66" s="594"/>
      <c r="JY66" s="593"/>
      <c r="JZ66" s="594"/>
      <c r="KA66" s="593"/>
      <c r="KB66" s="594"/>
      <c r="KC66" s="593"/>
      <c r="KD66" s="594"/>
      <c r="KE66" s="593"/>
      <c r="KF66" s="594"/>
      <c r="KG66" s="593"/>
      <c r="KH66" s="594"/>
      <c r="KI66" s="593"/>
      <c r="KJ66" s="594"/>
      <c r="KK66" s="593"/>
      <c r="KL66" s="594"/>
      <c r="KM66" s="593"/>
      <c r="KN66" s="594"/>
      <c r="KO66" s="593"/>
      <c r="KP66" s="594"/>
      <c r="KQ66" s="593"/>
      <c r="KR66" s="594"/>
      <c r="KS66" s="593"/>
      <c r="KT66" s="594"/>
      <c r="KU66" s="593"/>
      <c r="KV66" s="594"/>
      <c r="KW66" s="593"/>
      <c r="KX66" s="594"/>
      <c r="KY66" s="593"/>
      <c r="KZ66" s="594"/>
      <c r="LA66" s="593"/>
      <c r="LB66" s="594"/>
      <c r="LC66" s="593"/>
      <c r="LD66" s="594"/>
      <c r="LE66" s="593"/>
      <c r="LF66" s="594"/>
      <c r="LG66" s="593"/>
      <c r="LH66" s="594"/>
      <c r="LI66" s="593"/>
      <c r="LJ66" s="594"/>
      <c r="LK66" s="593"/>
      <c r="LL66" s="594"/>
      <c r="LM66" s="593"/>
      <c r="LN66" s="594"/>
      <c r="LO66" s="593"/>
      <c r="LP66" s="594"/>
      <c r="LQ66" s="593"/>
      <c r="LR66" s="594"/>
      <c r="LS66" s="593"/>
      <c r="LT66" s="594"/>
      <c r="LU66" s="593"/>
      <c r="LV66" s="594"/>
      <c r="LW66" s="593"/>
      <c r="LX66" s="594"/>
      <c r="LY66" s="593"/>
      <c r="LZ66" s="594"/>
      <c r="MA66" s="593"/>
      <c r="MB66" s="594"/>
      <c r="MC66" s="593"/>
      <c r="MD66" s="594"/>
      <c r="ME66" s="593"/>
      <c r="MF66" s="594"/>
      <c r="MG66" s="593"/>
      <c r="MH66" s="594"/>
      <c r="MI66" s="593"/>
      <c r="MJ66" s="594"/>
      <c r="MK66" s="593"/>
      <c r="ML66" s="594"/>
      <c r="MM66" s="593"/>
      <c r="MN66" s="594"/>
      <c r="MO66" s="593"/>
      <c r="MP66" s="594"/>
      <c r="MQ66" s="593"/>
      <c r="MR66" s="594"/>
      <c r="MS66" s="593"/>
      <c r="MT66" s="594"/>
      <c r="MU66" s="593"/>
      <c r="MV66" s="594"/>
      <c r="MW66" s="593"/>
      <c r="MX66" s="594"/>
      <c r="MY66" s="593"/>
      <c r="MZ66" s="594"/>
      <c r="NA66" s="593"/>
      <c r="NB66" s="594"/>
      <c r="NC66" s="593"/>
      <c r="ND66" s="594"/>
      <c r="NE66" s="593"/>
      <c r="NF66" s="594"/>
      <c r="NG66" s="593"/>
      <c r="NH66" s="594"/>
      <c r="NI66" s="593"/>
      <c r="NJ66" s="594"/>
      <c r="NK66" s="593"/>
      <c r="NL66" s="594"/>
      <c r="NM66" s="593"/>
      <c r="NN66" s="594"/>
      <c r="NO66" s="593"/>
      <c r="NP66" s="594"/>
      <c r="NQ66" s="593"/>
      <c r="NR66" s="594"/>
      <c r="NS66" s="593"/>
      <c r="NT66" s="594"/>
      <c r="NU66" s="593"/>
      <c r="NV66" s="594"/>
      <c r="NW66" s="593"/>
      <c r="NX66" s="594"/>
      <c r="NY66" s="593"/>
      <c r="NZ66" s="594"/>
      <c r="OA66" s="593"/>
      <c r="OB66" s="594"/>
      <c r="OC66" s="593"/>
      <c r="OD66" s="594"/>
      <c r="OE66" s="593"/>
      <c r="OF66" s="594"/>
      <c r="OG66" s="593"/>
      <c r="OH66" s="594"/>
      <c r="OI66" s="593"/>
      <c r="OJ66" s="594"/>
      <c r="OK66" s="593"/>
      <c r="OL66" s="594"/>
      <c r="OM66" s="593"/>
      <c r="ON66" s="594"/>
      <c r="OO66" s="593"/>
      <c r="OP66" s="594"/>
      <c r="OQ66" s="593"/>
      <c r="OR66" s="594"/>
      <c r="OS66" s="593"/>
      <c r="OT66" s="594"/>
      <c r="OU66" s="593"/>
      <c r="OV66" s="594"/>
      <c r="OW66" s="593"/>
      <c r="OX66" s="594"/>
      <c r="OY66" s="593"/>
      <c r="OZ66" s="594"/>
      <c r="PA66" s="593"/>
      <c r="PB66" s="594"/>
      <c r="PC66" s="593"/>
      <c r="PD66" s="594"/>
      <c r="PE66" s="593"/>
      <c r="PF66" s="594"/>
      <c r="PG66" s="593"/>
      <c r="PH66" s="594"/>
      <c r="PI66" s="593"/>
      <c r="PJ66" s="594"/>
      <c r="PK66" s="593"/>
      <c r="PL66" s="594"/>
      <c r="PM66" s="593"/>
      <c r="PN66" s="594"/>
      <c r="PO66" s="593"/>
      <c r="PP66" s="594"/>
      <c r="PQ66" s="593"/>
      <c r="PR66" s="594"/>
      <c r="PS66" s="593"/>
      <c r="PT66" s="594"/>
      <c r="PU66" s="593"/>
      <c r="PV66" s="594"/>
      <c r="PW66" s="593"/>
      <c r="PX66" s="594"/>
      <c r="PY66" s="593"/>
      <c r="PZ66" s="594"/>
      <c r="QA66" s="593"/>
      <c r="QB66" s="594"/>
      <c r="QC66" s="593"/>
      <c r="QD66" s="594"/>
      <c r="QE66" s="593"/>
      <c r="QF66" s="594"/>
      <c r="QG66" s="593"/>
      <c r="QH66" s="594"/>
      <c r="QI66" s="593"/>
      <c r="QJ66" s="594"/>
      <c r="QK66" s="593"/>
      <c r="QL66" s="594"/>
      <c r="QM66" s="593"/>
      <c r="QN66" s="594"/>
      <c r="QO66" s="593"/>
      <c r="QP66" s="594"/>
      <c r="QQ66" s="593"/>
      <c r="QR66" s="594"/>
      <c r="QS66" s="593"/>
      <c r="QT66" s="594"/>
      <c r="QU66" s="593"/>
      <c r="QV66" s="594"/>
      <c r="QW66" s="593"/>
      <c r="QX66" s="594"/>
      <c r="QY66" s="593"/>
      <c r="QZ66" s="594"/>
      <c r="RA66" s="593"/>
      <c r="RB66" s="594"/>
      <c r="RC66" s="593"/>
      <c r="RD66" s="594"/>
      <c r="RE66" s="593"/>
      <c r="RF66" s="594"/>
      <c r="RG66" s="593"/>
      <c r="RH66" s="594"/>
      <c r="RI66" s="593"/>
      <c r="RJ66" s="594"/>
      <c r="RK66" s="593"/>
      <c r="RL66" s="594"/>
      <c r="RM66" s="593"/>
      <c r="RN66" s="594"/>
      <c r="RO66" s="593"/>
      <c r="RP66" s="594"/>
      <c r="RQ66" s="593"/>
      <c r="RR66" s="594"/>
      <c r="RS66" s="593"/>
      <c r="RT66" s="594"/>
      <c r="RU66" s="593"/>
      <c r="RV66" s="594"/>
      <c r="RW66" s="593"/>
      <c r="RX66" s="594"/>
      <c r="RY66" s="593"/>
      <c r="RZ66" s="594"/>
      <c r="SA66" s="593"/>
      <c r="SB66" s="594"/>
      <c r="SC66" s="593"/>
      <c r="SD66" s="594"/>
      <c r="SE66" s="593"/>
      <c r="SF66" s="594"/>
      <c r="SG66" s="593"/>
      <c r="SH66" s="594"/>
      <c r="SI66" s="593"/>
      <c r="SJ66" s="594"/>
      <c r="SK66" s="593"/>
      <c r="SL66" s="594"/>
      <c r="SM66" s="593"/>
      <c r="SN66" s="594"/>
      <c r="SO66" s="593"/>
      <c r="SP66" s="594"/>
      <c r="SQ66" s="593"/>
      <c r="SR66" s="594"/>
      <c r="SS66" s="593"/>
      <c r="ST66" s="594"/>
      <c r="SU66" s="593"/>
      <c r="SV66" s="594"/>
      <c r="SW66" s="593"/>
      <c r="SX66" s="594"/>
      <c r="SY66" s="593"/>
      <c r="SZ66" s="594"/>
      <c r="TA66" s="593"/>
      <c r="TB66" s="594"/>
      <c r="TC66" s="593"/>
      <c r="TD66" s="594"/>
      <c r="TE66" s="593"/>
      <c r="TF66" s="594"/>
      <c r="TG66" s="593"/>
      <c r="TH66" s="594"/>
      <c r="TI66" s="593"/>
      <c r="TJ66" s="594"/>
      <c r="TK66" s="593"/>
      <c r="TL66" s="594"/>
      <c r="TM66" s="593"/>
      <c r="TN66" s="594"/>
      <c r="TO66" s="593"/>
      <c r="TP66" s="594"/>
      <c r="TQ66" s="593"/>
      <c r="TR66" s="594"/>
      <c r="TS66" s="593"/>
      <c r="TT66" s="594"/>
      <c r="TU66" s="593"/>
      <c r="TV66" s="594"/>
      <c r="TW66" s="593"/>
      <c r="TX66" s="594"/>
      <c r="TY66" s="593"/>
      <c r="TZ66" s="594"/>
      <c r="UA66" s="593"/>
      <c r="UB66" s="594"/>
      <c r="UC66" s="593"/>
      <c r="UD66" s="594"/>
      <c r="UE66" s="593"/>
      <c r="UF66" s="594"/>
      <c r="UG66" s="593"/>
      <c r="UH66" s="594"/>
      <c r="UI66" s="593"/>
      <c r="UJ66" s="594"/>
      <c r="UK66" s="593"/>
      <c r="UL66" s="594"/>
      <c r="UM66" s="593"/>
      <c r="UN66" s="594"/>
      <c r="UO66" s="593"/>
      <c r="UP66" s="594"/>
      <c r="UQ66" s="593"/>
      <c r="UR66" s="594"/>
      <c r="US66" s="593"/>
      <c r="UT66" s="594"/>
      <c r="UU66" s="593"/>
      <c r="UV66" s="594"/>
      <c r="UW66" s="593"/>
      <c r="UX66" s="594"/>
      <c r="UY66" s="593"/>
      <c r="UZ66" s="594"/>
      <c r="VA66" s="593"/>
      <c r="VB66" s="594"/>
      <c r="VC66" s="593"/>
      <c r="VD66" s="594"/>
      <c r="VE66" s="593"/>
      <c r="VF66" s="594"/>
      <c r="VG66" s="593"/>
      <c r="VH66" s="594"/>
      <c r="VI66" s="593"/>
      <c r="VJ66" s="594"/>
      <c r="VK66" s="593"/>
      <c r="VL66" s="594"/>
      <c r="VM66" s="593"/>
      <c r="VN66" s="594"/>
      <c r="VO66" s="593"/>
      <c r="VP66" s="594"/>
      <c r="VQ66" s="593"/>
      <c r="VR66" s="594"/>
      <c r="VS66" s="593"/>
      <c r="VT66" s="594"/>
      <c r="VU66" s="593"/>
      <c r="VV66" s="594"/>
      <c r="VW66" s="593"/>
      <c r="VX66" s="594"/>
      <c r="VY66" s="593"/>
      <c r="VZ66" s="594"/>
      <c r="WA66" s="593"/>
      <c r="WB66" s="594"/>
      <c r="WC66" s="593"/>
      <c r="WD66" s="594"/>
      <c r="WE66" s="593"/>
      <c r="WF66" s="594"/>
      <c r="WG66" s="593"/>
      <c r="WH66" s="594"/>
      <c r="WI66" s="593"/>
      <c r="WJ66" s="594"/>
      <c r="WK66" s="593"/>
      <c r="WL66" s="594"/>
      <c r="WM66" s="593"/>
      <c r="WN66" s="594"/>
      <c r="WO66" s="593"/>
      <c r="WP66" s="594"/>
      <c r="WQ66" s="593"/>
      <c r="WR66" s="594"/>
      <c r="WS66" s="593"/>
      <c r="WT66" s="594"/>
      <c r="WU66" s="593"/>
      <c r="WV66" s="594"/>
      <c r="WW66" s="593"/>
      <c r="WX66" s="594"/>
      <c r="WY66" s="593"/>
      <c r="WZ66" s="594"/>
      <c r="XA66" s="593"/>
      <c r="XB66" s="594"/>
      <c r="XC66" s="593"/>
      <c r="XD66" s="594"/>
      <c r="XE66" s="593"/>
      <c r="XF66" s="594"/>
      <c r="XG66" s="593"/>
      <c r="XH66" s="594"/>
      <c r="XI66" s="593"/>
      <c r="XJ66" s="594"/>
      <c r="XK66" s="593"/>
      <c r="XL66" s="594"/>
      <c r="XM66" s="593"/>
      <c r="XN66" s="594"/>
      <c r="XO66" s="593"/>
      <c r="XP66" s="594"/>
      <c r="XQ66" s="593"/>
      <c r="XR66" s="594"/>
      <c r="XS66" s="593"/>
      <c r="XT66" s="594"/>
      <c r="XU66" s="593"/>
      <c r="XV66" s="594"/>
      <c r="XW66" s="593"/>
      <c r="XX66" s="594"/>
      <c r="XY66" s="593"/>
      <c r="XZ66" s="594"/>
      <c r="YA66" s="593"/>
      <c r="YB66" s="594"/>
      <c r="YC66" s="593"/>
      <c r="YD66" s="594"/>
      <c r="YE66" s="593"/>
      <c r="YF66" s="594"/>
      <c r="YG66" s="593"/>
      <c r="YH66" s="594"/>
      <c r="YI66" s="593"/>
      <c r="YJ66" s="594"/>
      <c r="YK66" s="593"/>
      <c r="YL66" s="594"/>
      <c r="YM66" s="593"/>
      <c r="YN66" s="594"/>
      <c r="YO66" s="593"/>
      <c r="YP66" s="594"/>
      <c r="YQ66" s="593"/>
      <c r="YR66" s="594"/>
      <c r="YS66" s="593"/>
      <c r="YT66" s="594"/>
      <c r="YU66" s="593"/>
      <c r="YV66" s="594"/>
      <c r="YW66" s="593"/>
      <c r="YX66" s="594"/>
      <c r="YY66" s="593"/>
      <c r="YZ66" s="594"/>
      <c r="ZA66" s="593"/>
      <c r="ZB66" s="594"/>
      <c r="ZC66" s="593"/>
      <c r="ZD66" s="594"/>
      <c r="ZE66" s="593"/>
      <c r="ZF66" s="594"/>
      <c r="ZG66" s="593"/>
      <c r="ZH66" s="594"/>
      <c r="ZI66" s="593"/>
      <c r="ZJ66" s="594"/>
      <c r="ZK66" s="593"/>
      <c r="ZL66" s="594"/>
      <c r="ZM66" s="593"/>
      <c r="ZN66" s="594"/>
      <c r="ZO66" s="593"/>
      <c r="ZP66" s="594"/>
      <c r="ZQ66" s="593"/>
      <c r="ZR66" s="594"/>
      <c r="ZS66" s="593"/>
      <c r="ZT66" s="594"/>
      <c r="ZU66" s="593"/>
      <c r="ZV66" s="594"/>
      <c r="ZW66" s="593"/>
      <c r="ZX66" s="594"/>
      <c r="ZY66" s="593"/>
      <c r="ZZ66" s="594"/>
      <c r="AAA66" s="593"/>
      <c r="AAB66" s="594"/>
      <c r="AAC66" s="593"/>
      <c r="AAD66" s="594"/>
      <c r="AAE66" s="593"/>
      <c r="AAF66" s="594"/>
      <c r="AAG66" s="593"/>
      <c r="AAH66" s="594"/>
      <c r="AAI66" s="593"/>
      <c r="AAJ66" s="594"/>
      <c r="AAK66" s="593"/>
      <c r="AAL66" s="594"/>
      <c r="AAM66" s="593"/>
      <c r="AAN66" s="594"/>
      <c r="AAO66" s="593"/>
      <c r="AAP66" s="594"/>
      <c r="AAQ66" s="593"/>
      <c r="AAR66" s="594"/>
      <c r="AAS66" s="593"/>
      <c r="AAT66" s="594"/>
      <c r="AAU66" s="593"/>
      <c r="AAV66" s="594"/>
      <c r="AAW66" s="593"/>
      <c r="AAX66" s="594"/>
      <c r="AAY66" s="593"/>
      <c r="AAZ66" s="594"/>
      <c r="ABA66" s="593"/>
      <c r="ABB66" s="594"/>
      <c r="ABC66" s="593"/>
      <c r="ABD66" s="594"/>
      <c r="ABE66" s="593"/>
      <c r="ABF66" s="594"/>
      <c r="ABG66" s="593"/>
      <c r="ABH66" s="594"/>
      <c r="ABI66" s="593"/>
      <c r="ABJ66" s="594"/>
      <c r="ABK66" s="593"/>
      <c r="ABL66" s="594"/>
      <c r="ABM66" s="593"/>
      <c r="ABN66" s="594"/>
      <c r="ABO66" s="593"/>
      <c r="ABP66" s="594"/>
      <c r="ABQ66" s="593"/>
      <c r="ABR66" s="594"/>
      <c r="ABS66" s="593"/>
      <c r="ABT66" s="594"/>
      <c r="ABU66" s="593"/>
      <c r="ABV66" s="594"/>
      <c r="ABW66" s="593"/>
      <c r="ABX66" s="594"/>
      <c r="ABY66" s="593"/>
      <c r="ABZ66" s="594"/>
      <c r="ACA66" s="593"/>
      <c r="ACB66" s="594"/>
      <c r="ACC66" s="593"/>
      <c r="ACD66" s="594"/>
      <c r="ACE66" s="593"/>
      <c r="ACF66" s="594"/>
      <c r="ACG66" s="593"/>
      <c r="ACH66" s="594"/>
      <c r="ACI66" s="593"/>
      <c r="ACJ66" s="594"/>
      <c r="ACK66" s="593"/>
      <c r="ACL66" s="594"/>
      <c r="ACM66" s="593"/>
      <c r="ACN66" s="594"/>
      <c r="ACO66" s="593"/>
      <c r="ACP66" s="594"/>
      <c r="ACQ66" s="593"/>
      <c r="ACR66" s="594"/>
      <c r="ACS66" s="593"/>
      <c r="ACT66" s="594"/>
      <c r="ACU66" s="593"/>
      <c r="ACV66" s="594"/>
      <c r="ACW66" s="593"/>
      <c r="ACX66" s="594"/>
      <c r="ACY66" s="593"/>
      <c r="ACZ66" s="594"/>
      <c r="ADA66" s="593"/>
      <c r="ADB66" s="594"/>
      <c r="ADC66" s="593"/>
      <c r="ADD66" s="594"/>
      <c r="ADE66" s="593"/>
      <c r="ADF66" s="594"/>
      <c r="ADG66" s="593"/>
      <c r="ADH66" s="594"/>
      <c r="ADI66" s="593"/>
      <c r="ADJ66" s="594"/>
      <c r="ADK66" s="593"/>
      <c r="ADL66" s="594"/>
      <c r="ADM66" s="593"/>
      <c r="ADN66" s="594"/>
      <c r="ADO66" s="593"/>
      <c r="ADP66" s="594"/>
      <c r="ADQ66" s="593"/>
      <c r="ADR66" s="594"/>
      <c r="ADS66" s="593"/>
      <c r="ADT66" s="594"/>
      <c r="ADU66" s="593"/>
      <c r="ADV66" s="594"/>
      <c r="ADW66" s="593"/>
      <c r="ADX66" s="594"/>
      <c r="ADY66" s="593"/>
      <c r="ADZ66" s="594"/>
      <c r="AEA66" s="593"/>
      <c r="AEB66" s="594"/>
      <c r="AEC66" s="593"/>
      <c r="AED66" s="594"/>
      <c r="AEE66" s="593"/>
      <c r="AEF66" s="594"/>
      <c r="AEG66" s="593"/>
      <c r="AEH66" s="594"/>
      <c r="AEI66" s="593"/>
      <c r="AEJ66" s="594"/>
      <c r="AEK66" s="593"/>
      <c r="AEL66" s="594"/>
      <c r="AEM66" s="593"/>
      <c r="AEN66" s="594"/>
      <c r="AEO66" s="593"/>
      <c r="AEP66" s="594"/>
      <c r="AEQ66" s="593"/>
      <c r="AER66" s="594"/>
      <c r="AES66" s="593"/>
      <c r="AET66" s="594"/>
      <c r="AEU66" s="593"/>
      <c r="AEV66" s="594"/>
      <c r="AEW66" s="593"/>
      <c r="AEX66" s="594"/>
      <c r="AEY66" s="593"/>
      <c r="AEZ66" s="594"/>
      <c r="AFA66" s="593"/>
      <c r="AFB66" s="594"/>
      <c r="AFC66" s="593"/>
      <c r="AFD66" s="594"/>
      <c r="AFE66" s="593"/>
      <c r="AFF66" s="594"/>
      <c r="AFG66" s="593"/>
      <c r="AFH66" s="594"/>
      <c r="AFI66" s="593"/>
      <c r="AFJ66" s="594"/>
      <c r="AFK66" s="593"/>
      <c r="AFL66" s="594"/>
      <c r="AFM66" s="593"/>
      <c r="AFN66" s="594"/>
      <c r="AFO66" s="593"/>
      <c r="AFP66" s="594"/>
      <c r="AFQ66" s="593"/>
      <c r="AFR66" s="594"/>
      <c r="AFS66" s="593"/>
      <c r="AFT66" s="594"/>
      <c r="AFU66" s="593"/>
      <c r="AFV66" s="594"/>
      <c r="AFW66" s="593"/>
      <c r="AFX66" s="594"/>
      <c r="AFY66" s="593"/>
      <c r="AFZ66" s="594"/>
      <c r="AGA66" s="593"/>
      <c r="AGB66" s="594"/>
      <c r="AGC66" s="593"/>
      <c r="AGD66" s="594"/>
      <c r="AGE66" s="593"/>
      <c r="AGF66" s="594"/>
      <c r="AGG66" s="593"/>
      <c r="AGH66" s="594"/>
      <c r="AGI66" s="593"/>
      <c r="AGJ66" s="594"/>
      <c r="AGK66" s="593"/>
      <c r="AGL66" s="594"/>
      <c r="AGM66" s="593"/>
      <c r="AGN66" s="594"/>
      <c r="AGO66" s="593"/>
      <c r="AGP66" s="594"/>
      <c r="AGQ66" s="593"/>
      <c r="AGR66" s="594"/>
      <c r="AGS66" s="593"/>
      <c r="AGT66" s="594"/>
      <c r="AGU66" s="593"/>
      <c r="AGV66" s="594"/>
      <c r="AGW66" s="593"/>
      <c r="AGX66" s="594"/>
      <c r="AGY66" s="593"/>
      <c r="AGZ66" s="594"/>
      <c r="AHA66" s="593"/>
      <c r="AHB66" s="594"/>
      <c r="AHC66" s="593"/>
      <c r="AHD66" s="594"/>
      <c r="AHE66" s="593"/>
      <c r="AHF66" s="594"/>
      <c r="AHG66" s="593"/>
      <c r="AHH66" s="594"/>
      <c r="AHI66" s="593"/>
      <c r="AHJ66" s="594"/>
      <c r="AHK66" s="593"/>
      <c r="AHL66" s="594"/>
      <c r="AHM66" s="593"/>
      <c r="AHN66" s="594"/>
      <c r="AHO66" s="593"/>
      <c r="AHP66" s="594"/>
      <c r="AHQ66" s="593"/>
      <c r="AHR66" s="594"/>
      <c r="AHS66" s="593"/>
      <c r="AHT66" s="594"/>
      <c r="AHU66" s="593"/>
      <c r="AHV66" s="594"/>
      <c r="AHW66" s="593"/>
      <c r="AHX66" s="594"/>
      <c r="AHY66" s="593"/>
      <c r="AHZ66" s="594"/>
      <c r="AIA66" s="593"/>
      <c r="AIB66" s="594"/>
      <c r="AIC66" s="593"/>
      <c r="AID66" s="594"/>
      <c r="AIE66" s="593"/>
      <c r="AIF66" s="594"/>
      <c r="AIG66" s="593"/>
      <c r="AIH66" s="594"/>
      <c r="AII66" s="593"/>
      <c r="AIJ66" s="594"/>
      <c r="AIK66" s="593"/>
      <c r="AIL66" s="594"/>
      <c r="AIM66" s="593"/>
      <c r="AIN66" s="594"/>
      <c r="AIO66" s="593"/>
      <c r="AIP66" s="594"/>
      <c r="AIQ66" s="593"/>
      <c r="AIR66" s="594"/>
      <c r="AIS66" s="593"/>
      <c r="AIT66" s="594"/>
      <c r="AIU66" s="593"/>
      <c r="AIV66" s="594"/>
      <c r="AIW66" s="593"/>
      <c r="AIX66" s="594"/>
      <c r="AIY66" s="593"/>
      <c r="AIZ66" s="594"/>
      <c r="AJA66" s="593"/>
      <c r="AJB66" s="594"/>
      <c r="AJC66" s="593"/>
      <c r="AJD66" s="594"/>
      <c r="AJE66" s="593"/>
      <c r="AJF66" s="594"/>
      <c r="AJG66" s="593"/>
      <c r="AJH66" s="594"/>
      <c r="AJI66" s="593"/>
      <c r="AJJ66" s="594"/>
      <c r="AJK66" s="593"/>
      <c r="AJL66" s="594"/>
      <c r="AJM66" s="593"/>
      <c r="AJN66" s="594"/>
      <c r="AJO66" s="593"/>
      <c r="AJP66" s="594"/>
      <c r="AJQ66" s="593"/>
      <c r="AJR66" s="594"/>
      <c r="AJS66" s="593"/>
      <c r="AJT66" s="594"/>
      <c r="AJU66" s="593"/>
      <c r="AJV66" s="594"/>
      <c r="AJW66" s="593"/>
      <c r="AJX66" s="594"/>
      <c r="AJY66" s="593"/>
      <c r="AJZ66" s="594"/>
      <c r="AKA66" s="593"/>
      <c r="AKB66" s="594"/>
      <c r="AKC66" s="593"/>
      <c r="AKD66" s="594"/>
      <c r="AKE66" s="593"/>
      <c r="AKF66" s="594"/>
      <c r="AKG66" s="593"/>
      <c r="AKH66" s="594"/>
      <c r="AKI66" s="593"/>
      <c r="AKJ66" s="594"/>
      <c r="AKK66" s="593"/>
      <c r="AKL66" s="594"/>
      <c r="AKM66" s="593"/>
      <c r="AKN66" s="594"/>
      <c r="AKO66" s="593"/>
      <c r="AKP66" s="594"/>
      <c r="AKQ66" s="593"/>
      <c r="AKR66" s="594"/>
      <c r="AKS66" s="593"/>
      <c r="AKT66" s="594"/>
      <c r="AKU66" s="593"/>
      <c r="AKV66" s="594"/>
      <c r="AKW66" s="593"/>
      <c r="AKX66" s="594"/>
      <c r="AKY66" s="593"/>
      <c r="AKZ66" s="594"/>
      <c r="ALA66" s="593"/>
      <c r="ALB66" s="594"/>
      <c r="ALC66" s="593"/>
      <c r="ALD66" s="594"/>
      <c r="ALE66" s="593"/>
      <c r="ALF66" s="594"/>
      <c r="ALG66" s="593"/>
      <c r="ALH66" s="594"/>
      <c r="ALI66" s="593"/>
      <c r="ALJ66" s="594"/>
      <c r="ALK66" s="593"/>
      <c r="ALL66" s="594"/>
      <c r="ALM66" s="593"/>
      <c r="ALN66" s="594"/>
      <c r="ALO66" s="593"/>
      <c r="ALP66" s="594"/>
      <c r="ALQ66" s="593"/>
      <c r="ALR66" s="594"/>
      <c r="ALS66" s="593"/>
      <c r="ALT66" s="594"/>
      <c r="ALU66" s="593"/>
      <c r="ALV66" s="594"/>
      <c r="ALW66" s="593"/>
      <c r="ALX66" s="594"/>
      <c r="ALY66" s="593"/>
      <c r="ALZ66" s="594"/>
      <c r="AMA66" s="593"/>
      <c r="AMB66" s="594"/>
      <c r="AMC66" s="593"/>
      <c r="AMD66" s="594"/>
      <c r="AME66" s="593"/>
      <c r="AMF66" s="594"/>
      <c r="AMG66" s="593"/>
      <c r="AMH66" s="594"/>
      <c r="AMI66" s="593"/>
      <c r="AMJ66" s="594"/>
    </row>
    <row r="67" spans="1:1024" s="39" customFormat="1" ht="15.75" customHeight="1" x14ac:dyDescent="0.35">
      <c r="A67" s="600"/>
      <c r="B67" s="644" t="s">
        <v>323</v>
      </c>
      <c r="C67" s="645"/>
      <c r="D67" s="646"/>
      <c r="E67" s="645"/>
      <c r="F67" s="646"/>
      <c r="G67" s="647"/>
      <c r="H67" s="643"/>
      <c r="I67" s="645"/>
      <c r="J67" s="38"/>
      <c r="K67" s="38"/>
      <c r="M67" s="38"/>
      <c r="O67" s="38"/>
      <c r="Q67" s="38"/>
      <c r="S67" s="38"/>
      <c r="U67" s="38"/>
      <c r="W67" s="38"/>
      <c r="Y67" s="38"/>
      <c r="AA67" s="38"/>
      <c r="AC67" s="38"/>
      <c r="AE67" s="38"/>
      <c r="AG67" s="38"/>
      <c r="AI67" s="38"/>
      <c r="AK67" s="40"/>
      <c r="AM67" s="40"/>
      <c r="AO67" s="40"/>
      <c r="AQ67" s="40"/>
      <c r="AS67" s="40"/>
      <c r="AU67" s="40"/>
      <c r="AW67" s="40"/>
      <c r="AY67" s="40"/>
      <c r="BA67" s="40"/>
      <c r="BC67" s="40"/>
      <c r="BE67" s="40"/>
      <c r="BG67" s="40"/>
      <c r="BI67" s="40"/>
      <c r="BK67" s="40"/>
      <c r="BM67" s="40"/>
      <c r="BO67" s="40"/>
      <c r="BQ67" s="40"/>
      <c r="BS67" s="40"/>
      <c r="BU67" s="40"/>
      <c r="BW67" s="40"/>
      <c r="BY67" s="40"/>
      <c r="CA67" s="40"/>
      <c r="CC67" s="40"/>
      <c r="CE67" s="40"/>
      <c r="CG67" s="40"/>
      <c r="CI67" s="40"/>
      <c r="CK67" s="40"/>
      <c r="CM67" s="40"/>
      <c r="CO67" s="40"/>
      <c r="CQ67" s="40"/>
      <c r="CS67" s="40"/>
      <c r="CU67" s="40"/>
      <c r="CW67" s="40"/>
      <c r="CY67" s="40"/>
      <c r="DA67" s="40"/>
      <c r="DC67" s="40"/>
      <c r="DE67" s="40"/>
      <c r="DG67" s="40"/>
      <c r="DI67" s="40"/>
      <c r="DK67" s="40"/>
      <c r="DM67" s="40"/>
      <c r="DO67" s="40"/>
      <c r="DQ67" s="40"/>
      <c r="DS67" s="40"/>
      <c r="DU67" s="40"/>
      <c r="DW67" s="40"/>
      <c r="DY67" s="40"/>
      <c r="EA67" s="40"/>
      <c r="EC67" s="40"/>
      <c r="EE67" s="40"/>
      <c r="EG67" s="40"/>
      <c r="EI67" s="40"/>
      <c r="EK67" s="40"/>
      <c r="EM67" s="40"/>
      <c r="EO67" s="40"/>
      <c r="EQ67" s="40"/>
      <c r="ES67" s="40"/>
      <c r="EU67" s="40"/>
      <c r="EW67" s="40"/>
      <c r="EY67" s="40"/>
      <c r="FA67" s="40"/>
      <c r="FC67" s="40"/>
      <c r="FE67" s="40"/>
      <c r="FG67" s="40"/>
      <c r="FI67" s="40"/>
      <c r="FK67" s="40"/>
      <c r="FM67" s="40"/>
      <c r="FO67" s="40"/>
      <c r="FQ67" s="40"/>
      <c r="FS67" s="40"/>
      <c r="FU67" s="40"/>
      <c r="FW67" s="40"/>
      <c r="FY67" s="40"/>
      <c r="GA67" s="40"/>
      <c r="GC67" s="40"/>
      <c r="GE67" s="40"/>
      <c r="GG67" s="40"/>
      <c r="GI67" s="40"/>
      <c r="GK67" s="40"/>
      <c r="GM67" s="40"/>
      <c r="GO67" s="40"/>
      <c r="GQ67" s="40"/>
      <c r="GS67" s="40"/>
      <c r="GU67" s="40"/>
      <c r="GW67" s="40"/>
      <c r="GY67" s="40"/>
      <c r="HA67" s="40"/>
      <c r="HC67" s="40"/>
      <c r="HE67" s="40"/>
      <c r="HG67" s="40"/>
      <c r="HI67" s="40"/>
      <c r="HK67" s="40"/>
      <c r="HM67" s="40"/>
      <c r="HO67" s="40"/>
      <c r="HQ67" s="40"/>
      <c r="HS67" s="40"/>
      <c r="HU67" s="40"/>
      <c r="HW67" s="40"/>
      <c r="HY67" s="40"/>
      <c r="IA67" s="40"/>
      <c r="IC67" s="40"/>
      <c r="IE67" s="40"/>
      <c r="IG67" s="40"/>
      <c r="II67" s="40"/>
      <c r="IK67" s="40"/>
      <c r="IM67" s="40"/>
      <c r="IO67" s="40"/>
      <c r="IQ67" s="40"/>
      <c r="IS67" s="40"/>
      <c r="IU67" s="40"/>
      <c r="IW67" s="40"/>
      <c r="IY67" s="40"/>
      <c r="JA67" s="40"/>
      <c r="JC67" s="40"/>
      <c r="JE67" s="40"/>
      <c r="JG67" s="40"/>
      <c r="JI67" s="40"/>
      <c r="JK67" s="40"/>
      <c r="JM67" s="40"/>
      <c r="JO67" s="40"/>
      <c r="JQ67" s="40"/>
      <c r="JS67" s="40"/>
      <c r="JU67" s="40"/>
      <c r="JW67" s="40"/>
      <c r="JY67" s="40"/>
      <c r="KA67" s="40"/>
      <c r="KC67" s="40"/>
      <c r="KE67" s="40"/>
      <c r="KG67" s="40"/>
      <c r="KI67" s="40"/>
      <c r="KK67" s="40"/>
      <c r="KM67" s="40"/>
      <c r="KO67" s="40"/>
      <c r="KQ67" s="40"/>
      <c r="KS67" s="40"/>
      <c r="KU67" s="40"/>
      <c r="KW67" s="40"/>
      <c r="KY67" s="40"/>
      <c r="LA67" s="40"/>
      <c r="LC67" s="40"/>
      <c r="LE67" s="40"/>
      <c r="LG67" s="40"/>
      <c r="LI67" s="40"/>
      <c r="LK67" s="40"/>
      <c r="LM67" s="40"/>
      <c r="LO67" s="40"/>
      <c r="LQ67" s="40"/>
      <c r="LS67" s="40"/>
      <c r="LU67" s="40"/>
      <c r="LW67" s="40"/>
      <c r="LY67" s="40"/>
      <c r="MA67" s="40"/>
      <c r="MC67" s="40"/>
      <c r="ME67" s="40"/>
      <c r="MG67" s="40"/>
      <c r="MI67" s="40"/>
      <c r="MK67" s="40"/>
      <c r="MM67" s="40"/>
      <c r="MO67" s="40"/>
      <c r="MQ67" s="40"/>
      <c r="MS67" s="40"/>
      <c r="MU67" s="40"/>
      <c r="MW67" s="40"/>
      <c r="MY67" s="40"/>
      <c r="NA67" s="40"/>
      <c r="NC67" s="40"/>
      <c r="NE67" s="40"/>
      <c r="NG67" s="40"/>
      <c r="NI67" s="40"/>
      <c r="NK67" s="40"/>
      <c r="NM67" s="40"/>
      <c r="NO67" s="40"/>
      <c r="NQ67" s="40"/>
      <c r="NS67" s="40"/>
      <c r="NU67" s="40"/>
      <c r="NW67" s="40"/>
      <c r="NY67" s="40"/>
      <c r="OA67" s="40"/>
      <c r="OC67" s="40"/>
      <c r="OE67" s="40"/>
      <c r="OG67" s="40"/>
      <c r="OI67" s="40"/>
      <c r="OK67" s="40"/>
      <c r="OM67" s="40"/>
      <c r="OO67" s="40"/>
      <c r="OQ67" s="40"/>
      <c r="OS67" s="40"/>
      <c r="OU67" s="40"/>
      <c r="OW67" s="40"/>
      <c r="OY67" s="40"/>
      <c r="PA67" s="40"/>
      <c r="PC67" s="40"/>
      <c r="PE67" s="40"/>
      <c r="PG67" s="40"/>
      <c r="PI67" s="40"/>
      <c r="PK67" s="40"/>
      <c r="PM67" s="40"/>
      <c r="PO67" s="40"/>
      <c r="PQ67" s="40"/>
      <c r="PS67" s="40"/>
      <c r="PU67" s="40"/>
      <c r="PW67" s="40"/>
      <c r="PY67" s="40"/>
      <c r="QA67" s="40"/>
      <c r="QC67" s="40"/>
      <c r="QE67" s="40"/>
      <c r="QG67" s="40"/>
      <c r="QI67" s="40"/>
      <c r="QK67" s="40"/>
      <c r="QM67" s="40"/>
      <c r="QO67" s="40"/>
      <c r="QQ67" s="40"/>
      <c r="QS67" s="40"/>
      <c r="QU67" s="40"/>
      <c r="QW67" s="40"/>
      <c r="QY67" s="40"/>
      <c r="RA67" s="40"/>
      <c r="RC67" s="40"/>
      <c r="RE67" s="40"/>
      <c r="RG67" s="40"/>
      <c r="RI67" s="40"/>
      <c r="RK67" s="40"/>
      <c r="RM67" s="40"/>
      <c r="RO67" s="40"/>
      <c r="RQ67" s="40"/>
      <c r="RS67" s="40"/>
      <c r="RU67" s="40"/>
      <c r="RW67" s="40"/>
      <c r="RY67" s="40"/>
      <c r="SA67" s="40"/>
      <c r="SC67" s="40"/>
      <c r="SE67" s="40"/>
      <c r="SG67" s="40"/>
      <c r="SI67" s="40"/>
      <c r="SK67" s="40"/>
      <c r="SM67" s="40"/>
      <c r="SO67" s="40"/>
      <c r="SQ67" s="40"/>
      <c r="SS67" s="40"/>
      <c r="SU67" s="40"/>
      <c r="SW67" s="40"/>
      <c r="SY67" s="40"/>
      <c r="TA67" s="40"/>
      <c r="TC67" s="40"/>
      <c r="TE67" s="40"/>
      <c r="TG67" s="40"/>
      <c r="TI67" s="40"/>
      <c r="TK67" s="40"/>
      <c r="TM67" s="40"/>
      <c r="TO67" s="40"/>
      <c r="TQ67" s="40"/>
      <c r="TS67" s="40"/>
      <c r="TU67" s="40"/>
      <c r="TW67" s="40"/>
      <c r="TY67" s="40"/>
      <c r="UA67" s="40"/>
      <c r="UC67" s="40"/>
      <c r="UE67" s="40"/>
      <c r="UG67" s="40"/>
      <c r="UI67" s="40"/>
      <c r="UK67" s="40"/>
      <c r="UM67" s="40"/>
      <c r="UO67" s="40"/>
      <c r="UQ67" s="40"/>
      <c r="US67" s="40"/>
      <c r="UU67" s="40"/>
      <c r="UW67" s="40"/>
      <c r="UY67" s="40"/>
      <c r="VA67" s="40"/>
      <c r="VC67" s="40"/>
      <c r="VE67" s="40"/>
      <c r="VG67" s="40"/>
      <c r="VI67" s="40"/>
      <c r="VK67" s="40"/>
      <c r="VM67" s="40"/>
      <c r="VO67" s="40"/>
      <c r="VQ67" s="40"/>
      <c r="VS67" s="40"/>
      <c r="VU67" s="40"/>
      <c r="VW67" s="40"/>
      <c r="VY67" s="40"/>
      <c r="WA67" s="40"/>
      <c r="WC67" s="40"/>
      <c r="WE67" s="40"/>
      <c r="WG67" s="40"/>
      <c r="WI67" s="40"/>
      <c r="WK67" s="40"/>
      <c r="WM67" s="40"/>
      <c r="WO67" s="40"/>
      <c r="WQ67" s="40"/>
      <c r="WS67" s="40"/>
      <c r="WU67" s="40"/>
      <c r="WW67" s="40"/>
      <c r="WY67" s="40"/>
      <c r="XA67" s="40"/>
      <c r="XC67" s="40"/>
      <c r="XE67" s="40"/>
      <c r="XG67" s="40"/>
      <c r="XI67" s="40"/>
      <c r="XK67" s="40"/>
      <c r="XM67" s="40"/>
      <c r="XO67" s="40"/>
      <c r="XQ67" s="40"/>
      <c r="XS67" s="40"/>
      <c r="XU67" s="40"/>
      <c r="XW67" s="40"/>
      <c r="XY67" s="40"/>
      <c r="YA67" s="40"/>
      <c r="YC67" s="40"/>
      <c r="YE67" s="40"/>
      <c r="YG67" s="40"/>
      <c r="YI67" s="40"/>
      <c r="YK67" s="40"/>
      <c r="YM67" s="40"/>
      <c r="YO67" s="40"/>
      <c r="YQ67" s="40"/>
      <c r="YS67" s="40"/>
      <c r="YU67" s="40"/>
      <c r="YW67" s="40"/>
      <c r="YY67" s="40"/>
      <c r="ZA67" s="40"/>
      <c r="ZC67" s="40"/>
      <c r="ZE67" s="40"/>
      <c r="ZG67" s="40"/>
      <c r="ZI67" s="40"/>
      <c r="ZK67" s="40"/>
      <c r="ZM67" s="40"/>
      <c r="ZO67" s="40"/>
      <c r="ZQ67" s="40"/>
      <c r="ZS67" s="40"/>
      <c r="ZU67" s="40"/>
      <c r="ZW67" s="40"/>
      <c r="ZY67" s="40"/>
      <c r="AAA67" s="40"/>
      <c r="AAC67" s="40"/>
      <c r="AAE67" s="40"/>
      <c r="AAG67" s="40"/>
      <c r="AAI67" s="40"/>
      <c r="AAK67" s="40"/>
      <c r="AAM67" s="40"/>
      <c r="AAO67" s="40"/>
      <c r="AAQ67" s="40"/>
      <c r="AAS67" s="40"/>
      <c r="AAU67" s="40"/>
      <c r="AAW67" s="40"/>
      <c r="AAY67" s="40"/>
      <c r="ABA67" s="40"/>
      <c r="ABC67" s="40"/>
      <c r="ABE67" s="40"/>
      <c r="ABG67" s="40"/>
      <c r="ABI67" s="40"/>
      <c r="ABK67" s="40"/>
      <c r="ABM67" s="40"/>
      <c r="ABO67" s="40"/>
      <c r="ABQ67" s="40"/>
      <c r="ABS67" s="40"/>
      <c r="ABU67" s="40"/>
      <c r="ABW67" s="40"/>
      <c r="ABY67" s="40"/>
      <c r="ACA67" s="40"/>
      <c r="ACC67" s="40"/>
      <c r="ACE67" s="40"/>
      <c r="ACG67" s="40"/>
      <c r="ACI67" s="40"/>
      <c r="ACK67" s="40"/>
      <c r="ACM67" s="40"/>
      <c r="ACO67" s="40"/>
      <c r="ACQ67" s="40"/>
      <c r="ACS67" s="40"/>
      <c r="ACU67" s="40"/>
      <c r="ACW67" s="40"/>
      <c r="ACY67" s="40"/>
      <c r="ADA67" s="40"/>
      <c r="ADC67" s="40"/>
      <c r="ADE67" s="40"/>
      <c r="ADG67" s="40"/>
      <c r="ADI67" s="40"/>
      <c r="ADK67" s="40"/>
      <c r="ADM67" s="40"/>
      <c r="ADO67" s="40"/>
      <c r="ADQ67" s="40"/>
      <c r="ADS67" s="40"/>
      <c r="ADU67" s="40"/>
      <c r="ADW67" s="40"/>
      <c r="ADY67" s="40"/>
      <c r="AEA67" s="40"/>
      <c r="AEC67" s="40"/>
      <c r="AEE67" s="40"/>
      <c r="AEG67" s="40"/>
      <c r="AEI67" s="40"/>
      <c r="AEK67" s="40"/>
      <c r="AEM67" s="40"/>
      <c r="AEO67" s="40"/>
      <c r="AEQ67" s="40"/>
      <c r="AES67" s="40"/>
      <c r="AEU67" s="40"/>
      <c r="AEW67" s="40"/>
      <c r="AEY67" s="40"/>
      <c r="AFA67" s="40"/>
      <c r="AFC67" s="40"/>
      <c r="AFE67" s="40"/>
      <c r="AFG67" s="40"/>
      <c r="AFI67" s="40"/>
      <c r="AFK67" s="40"/>
      <c r="AFM67" s="40"/>
      <c r="AFO67" s="40"/>
      <c r="AFQ67" s="40"/>
      <c r="AFS67" s="40"/>
      <c r="AFU67" s="40"/>
      <c r="AFW67" s="40"/>
      <c r="AFY67" s="40"/>
      <c r="AGA67" s="40"/>
      <c r="AGC67" s="40"/>
      <c r="AGE67" s="40"/>
      <c r="AGG67" s="40"/>
      <c r="AGI67" s="40"/>
      <c r="AGK67" s="40"/>
      <c r="AGM67" s="40"/>
      <c r="AGO67" s="40"/>
      <c r="AGQ67" s="40"/>
      <c r="AGS67" s="40"/>
      <c r="AGU67" s="40"/>
      <c r="AGW67" s="40"/>
      <c r="AGY67" s="40"/>
      <c r="AHA67" s="40"/>
      <c r="AHC67" s="40"/>
      <c r="AHE67" s="40"/>
      <c r="AHG67" s="40"/>
      <c r="AHI67" s="40"/>
      <c r="AHK67" s="40"/>
      <c r="AHM67" s="40"/>
      <c r="AHO67" s="40"/>
      <c r="AHQ67" s="40"/>
      <c r="AHS67" s="40"/>
      <c r="AHU67" s="40"/>
      <c r="AHW67" s="40"/>
      <c r="AHY67" s="40"/>
      <c r="AIA67" s="40"/>
      <c r="AIC67" s="40"/>
      <c r="AIE67" s="40"/>
      <c r="AIG67" s="40"/>
      <c r="AII67" s="40"/>
      <c r="AIK67" s="40"/>
      <c r="AIM67" s="40"/>
      <c r="AIO67" s="40"/>
    </row>
    <row r="68" spans="1:1024" s="39" customFormat="1" ht="15.75" customHeight="1" x14ac:dyDescent="0.35">
      <c r="A68" s="600"/>
      <c r="B68" s="644" t="s">
        <v>324</v>
      </c>
      <c r="C68" s="645"/>
      <c r="D68" s="646"/>
      <c r="E68" s="645"/>
      <c r="F68" s="646"/>
      <c r="G68" s="647"/>
      <c r="H68" s="643"/>
      <c r="I68" s="645"/>
      <c r="J68" s="38"/>
      <c r="K68" s="38"/>
      <c r="M68" s="38"/>
      <c r="O68" s="38"/>
      <c r="Q68" s="38"/>
      <c r="S68" s="38"/>
      <c r="U68" s="38"/>
      <c r="W68" s="38"/>
      <c r="Y68" s="38"/>
      <c r="AA68" s="38"/>
      <c r="AC68" s="38"/>
      <c r="AE68" s="38"/>
      <c r="AG68" s="38"/>
      <c r="AI68" s="38"/>
      <c r="AK68" s="40"/>
      <c r="AM68" s="40"/>
      <c r="AO68" s="40"/>
      <c r="AQ68" s="40"/>
      <c r="AS68" s="40"/>
      <c r="AU68" s="40"/>
      <c r="AW68" s="40"/>
      <c r="AY68" s="40"/>
      <c r="BA68" s="40"/>
      <c r="BC68" s="40"/>
      <c r="BE68" s="40"/>
      <c r="BG68" s="40"/>
      <c r="BI68" s="40"/>
      <c r="BK68" s="40"/>
      <c r="BM68" s="40"/>
      <c r="BO68" s="40"/>
      <c r="BQ68" s="40"/>
      <c r="BS68" s="40"/>
      <c r="BU68" s="40"/>
      <c r="BW68" s="40"/>
      <c r="BY68" s="40"/>
      <c r="CA68" s="40"/>
      <c r="CC68" s="40"/>
      <c r="CE68" s="40"/>
      <c r="CG68" s="40"/>
      <c r="CI68" s="40"/>
      <c r="CK68" s="40"/>
      <c r="CM68" s="40"/>
      <c r="CO68" s="40"/>
      <c r="CQ68" s="40"/>
      <c r="CS68" s="40"/>
      <c r="CU68" s="40"/>
      <c r="CW68" s="40"/>
      <c r="CY68" s="40"/>
      <c r="DA68" s="40"/>
      <c r="DC68" s="40"/>
      <c r="DE68" s="40"/>
      <c r="DG68" s="40"/>
      <c r="DI68" s="40"/>
      <c r="DK68" s="40"/>
      <c r="DM68" s="40"/>
      <c r="DO68" s="40"/>
      <c r="DQ68" s="40"/>
      <c r="DS68" s="40"/>
      <c r="DU68" s="40"/>
      <c r="DW68" s="40"/>
      <c r="DY68" s="40"/>
      <c r="EA68" s="40"/>
      <c r="EC68" s="40"/>
      <c r="EE68" s="40"/>
      <c r="EG68" s="40"/>
      <c r="EI68" s="40"/>
      <c r="EK68" s="40"/>
      <c r="EM68" s="40"/>
      <c r="EO68" s="40"/>
      <c r="EQ68" s="40"/>
      <c r="ES68" s="40"/>
      <c r="EU68" s="40"/>
      <c r="EW68" s="40"/>
      <c r="EY68" s="40"/>
      <c r="FA68" s="40"/>
      <c r="FC68" s="40"/>
      <c r="FE68" s="40"/>
      <c r="FG68" s="40"/>
      <c r="FI68" s="40"/>
      <c r="FK68" s="40"/>
      <c r="FM68" s="40"/>
      <c r="FO68" s="40"/>
      <c r="FQ68" s="40"/>
      <c r="FS68" s="40"/>
      <c r="FU68" s="40"/>
      <c r="FW68" s="40"/>
      <c r="FY68" s="40"/>
      <c r="GA68" s="40"/>
      <c r="GC68" s="40"/>
      <c r="GE68" s="40"/>
      <c r="GG68" s="40"/>
      <c r="GI68" s="40"/>
      <c r="GK68" s="40"/>
      <c r="GM68" s="40"/>
      <c r="GO68" s="40"/>
      <c r="GQ68" s="40"/>
      <c r="GS68" s="40"/>
      <c r="GU68" s="40"/>
      <c r="GW68" s="40"/>
      <c r="GY68" s="40"/>
      <c r="HA68" s="40"/>
      <c r="HC68" s="40"/>
      <c r="HE68" s="40"/>
      <c r="HG68" s="40"/>
      <c r="HI68" s="40"/>
      <c r="HK68" s="40"/>
      <c r="HM68" s="40"/>
      <c r="HO68" s="40"/>
      <c r="HQ68" s="40"/>
      <c r="HS68" s="40"/>
      <c r="HU68" s="40"/>
      <c r="HW68" s="40"/>
      <c r="HY68" s="40"/>
      <c r="IA68" s="40"/>
      <c r="IC68" s="40"/>
      <c r="IE68" s="40"/>
      <c r="IG68" s="40"/>
      <c r="II68" s="40"/>
      <c r="IK68" s="40"/>
      <c r="IM68" s="40"/>
      <c r="IO68" s="40"/>
      <c r="IQ68" s="40"/>
      <c r="IS68" s="40"/>
      <c r="IU68" s="40"/>
      <c r="IW68" s="40"/>
      <c r="IY68" s="40"/>
      <c r="JA68" s="40"/>
      <c r="JC68" s="40"/>
      <c r="JE68" s="40"/>
      <c r="JG68" s="40"/>
      <c r="JI68" s="40"/>
      <c r="JK68" s="40"/>
      <c r="JM68" s="40"/>
      <c r="JO68" s="40"/>
      <c r="JQ68" s="40"/>
      <c r="JS68" s="40"/>
      <c r="JU68" s="40"/>
      <c r="JW68" s="40"/>
      <c r="JY68" s="40"/>
      <c r="KA68" s="40"/>
      <c r="KC68" s="40"/>
      <c r="KE68" s="40"/>
      <c r="KG68" s="40"/>
      <c r="KI68" s="40"/>
      <c r="KK68" s="40"/>
      <c r="KM68" s="40"/>
      <c r="KO68" s="40"/>
      <c r="KQ68" s="40"/>
      <c r="KS68" s="40"/>
      <c r="KU68" s="40"/>
      <c r="KW68" s="40"/>
      <c r="KY68" s="40"/>
      <c r="LA68" s="40"/>
      <c r="LC68" s="40"/>
      <c r="LE68" s="40"/>
      <c r="LG68" s="40"/>
      <c r="LI68" s="40"/>
      <c r="LK68" s="40"/>
      <c r="LM68" s="40"/>
      <c r="LO68" s="40"/>
      <c r="LQ68" s="40"/>
      <c r="LS68" s="40"/>
      <c r="LU68" s="40"/>
      <c r="LW68" s="40"/>
      <c r="LY68" s="40"/>
      <c r="MA68" s="40"/>
      <c r="MC68" s="40"/>
      <c r="ME68" s="40"/>
      <c r="MG68" s="40"/>
      <c r="MI68" s="40"/>
      <c r="MK68" s="40"/>
      <c r="MM68" s="40"/>
      <c r="MO68" s="40"/>
      <c r="MQ68" s="40"/>
      <c r="MS68" s="40"/>
      <c r="MU68" s="40"/>
      <c r="MW68" s="40"/>
      <c r="MY68" s="40"/>
      <c r="NA68" s="40"/>
      <c r="NC68" s="40"/>
      <c r="NE68" s="40"/>
      <c r="NG68" s="40"/>
      <c r="NI68" s="40"/>
      <c r="NK68" s="40"/>
      <c r="NM68" s="40"/>
      <c r="NO68" s="40"/>
      <c r="NQ68" s="40"/>
      <c r="NS68" s="40"/>
      <c r="NU68" s="40"/>
      <c r="NW68" s="40"/>
      <c r="NY68" s="40"/>
      <c r="OA68" s="40"/>
      <c r="OC68" s="40"/>
      <c r="OE68" s="40"/>
      <c r="OG68" s="40"/>
      <c r="OI68" s="40"/>
      <c r="OK68" s="40"/>
      <c r="OM68" s="40"/>
      <c r="OO68" s="40"/>
      <c r="OQ68" s="40"/>
      <c r="OS68" s="40"/>
      <c r="OU68" s="40"/>
      <c r="OW68" s="40"/>
      <c r="OY68" s="40"/>
      <c r="PA68" s="40"/>
      <c r="PC68" s="40"/>
      <c r="PE68" s="40"/>
      <c r="PG68" s="40"/>
      <c r="PI68" s="40"/>
      <c r="PK68" s="40"/>
      <c r="PM68" s="40"/>
      <c r="PO68" s="40"/>
      <c r="PQ68" s="40"/>
      <c r="PS68" s="40"/>
      <c r="PU68" s="40"/>
      <c r="PW68" s="40"/>
      <c r="PY68" s="40"/>
      <c r="QA68" s="40"/>
      <c r="QC68" s="40"/>
      <c r="QE68" s="40"/>
      <c r="QG68" s="40"/>
      <c r="QI68" s="40"/>
      <c r="QK68" s="40"/>
      <c r="QM68" s="40"/>
      <c r="QO68" s="40"/>
      <c r="QQ68" s="40"/>
      <c r="QS68" s="40"/>
      <c r="QU68" s="40"/>
      <c r="QW68" s="40"/>
      <c r="QY68" s="40"/>
      <c r="RA68" s="40"/>
      <c r="RC68" s="40"/>
      <c r="RE68" s="40"/>
      <c r="RG68" s="40"/>
      <c r="RI68" s="40"/>
      <c r="RK68" s="40"/>
      <c r="RM68" s="40"/>
      <c r="RO68" s="40"/>
      <c r="RQ68" s="40"/>
      <c r="RS68" s="40"/>
      <c r="RU68" s="40"/>
      <c r="RW68" s="40"/>
      <c r="RY68" s="40"/>
      <c r="SA68" s="40"/>
      <c r="SC68" s="40"/>
      <c r="SE68" s="40"/>
      <c r="SG68" s="40"/>
      <c r="SI68" s="40"/>
      <c r="SK68" s="40"/>
      <c r="SM68" s="40"/>
      <c r="SO68" s="40"/>
      <c r="SQ68" s="40"/>
      <c r="SS68" s="40"/>
      <c r="SU68" s="40"/>
      <c r="SW68" s="40"/>
      <c r="SY68" s="40"/>
      <c r="TA68" s="40"/>
      <c r="TC68" s="40"/>
      <c r="TE68" s="40"/>
      <c r="TG68" s="40"/>
      <c r="TI68" s="40"/>
      <c r="TK68" s="40"/>
      <c r="TM68" s="40"/>
      <c r="TO68" s="40"/>
      <c r="TQ68" s="40"/>
      <c r="TS68" s="40"/>
      <c r="TU68" s="40"/>
      <c r="TW68" s="40"/>
      <c r="TY68" s="40"/>
      <c r="UA68" s="40"/>
      <c r="UC68" s="40"/>
      <c r="UE68" s="40"/>
      <c r="UG68" s="40"/>
      <c r="UI68" s="40"/>
      <c r="UK68" s="40"/>
      <c r="UM68" s="40"/>
      <c r="UO68" s="40"/>
      <c r="UQ68" s="40"/>
      <c r="US68" s="40"/>
      <c r="UU68" s="40"/>
      <c r="UW68" s="40"/>
      <c r="UY68" s="40"/>
      <c r="VA68" s="40"/>
      <c r="VC68" s="40"/>
      <c r="VE68" s="40"/>
      <c r="VG68" s="40"/>
      <c r="VI68" s="40"/>
      <c r="VK68" s="40"/>
      <c r="VM68" s="40"/>
      <c r="VO68" s="40"/>
      <c r="VQ68" s="40"/>
      <c r="VS68" s="40"/>
      <c r="VU68" s="40"/>
      <c r="VW68" s="40"/>
      <c r="VY68" s="40"/>
      <c r="WA68" s="40"/>
      <c r="WC68" s="40"/>
      <c r="WE68" s="40"/>
      <c r="WG68" s="40"/>
      <c r="WI68" s="40"/>
      <c r="WK68" s="40"/>
      <c r="WM68" s="40"/>
      <c r="WO68" s="40"/>
      <c r="WQ68" s="40"/>
      <c r="WS68" s="40"/>
      <c r="WU68" s="40"/>
      <c r="WW68" s="40"/>
      <c r="WY68" s="40"/>
      <c r="XA68" s="40"/>
      <c r="XC68" s="40"/>
      <c r="XE68" s="40"/>
      <c r="XG68" s="40"/>
      <c r="XI68" s="40"/>
      <c r="XK68" s="40"/>
      <c r="XM68" s="40"/>
      <c r="XO68" s="40"/>
      <c r="XQ68" s="40"/>
      <c r="XS68" s="40"/>
      <c r="XU68" s="40"/>
      <c r="XW68" s="40"/>
      <c r="XY68" s="40"/>
      <c r="YA68" s="40"/>
      <c r="YC68" s="40"/>
      <c r="YE68" s="40"/>
      <c r="YG68" s="40"/>
      <c r="YI68" s="40"/>
      <c r="YK68" s="40"/>
      <c r="YM68" s="40"/>
      <c r="YO68" s="40"/>
      <c r="YQ68" s="40"/>
      <c r="YS68" s="40"/>
      <c r="YU68" s="40"/>
      <c r="YW68" s="40"/>
      <c r="YY68" s="40"/>
      <c r="ZA68" s="40"/>
      <c r="ZC68" s="40"/>
      <c r="ZE68" s="40"/>
      <c r="ZG68" s="40"/>
      <c r="ZI68" s="40"/>
      <c r="ZK68" s="40"/>
      <c r="ZM68" s="40"/>
      <c r="ZO68" s="40"/>
      <c r="ZQ68" s="40"/>
      <c r="ZS68" s="40"/>
      <c r="ZU68" s="40"/>
      <c r="ZW68" s="40"/>
      <c r="ZY68" s="40"/>
      <c r="AAA68" s="40"/>
      <c r="AAC68" s="40"/>
      <c r="AAE68" s="40"/>
      <c r="AAG68" s="40"/>
      <c r="AAI68" s="40"/>
      <c r="AAK68" s="40"/>
      <c r="AAM68" s="40"/>
      <c r="AAO68" s="40"/>
      <c r="AAQ68" s="40"/>
      <c r="AAS68" s="40"/>
      <c r="AAU68" s="40"/>
      <c r="AAW68" s="40"/>
      <c r="AAY68" s="40"/>
      <c r="ABA68" s="40"/>
      <c r="ABC68" s="40"/>
      <c r="ABE68" s="40"/>
      <c r="ABG68" s="40"/>
      <c r="ABI68" s="40"/>
      <c r="ABK68" s="40"/>
      <c r="ABM68" s="40"/>
      <c r="ABO68" s="40"/>
      <c r="ABQ68" s="40"/>
      <c r="ABS68" s="40"/>
      <c r="ABU68" s="40"/>
      <c r="ABW68" s="40"/>
      <c r="ABY68" s="40"/>
      <c r="ACA68" s="40"/>
      <c r="ACC68" s="40"/>
      <c r="ACE68" s="40"/>
      <c r="ACG68" s="40"/>
      <c r="ACI68" s="40"/>
      <c r="ACK68" s="40"/>
      <c r="ACM68" s="40"/>
      <c r="ACO68" s="40"/>
      <c r="ACQ68" s="40"/>
      <c r="ACS68" s="40"/>
      <c r="ACU68" s="40"/>
      <c r="ACW68" s="40"/>
      <c r="ACY68" s="40"/>
      <c r="ADA68" s="40"/>
      <c r="ADC68" s="40"/>
      <c r="ADE68" s="40"/>
      <c r="ADG68" s="40"/>
      <c r="ADI68" s="40"/>
      <c r="ADK68" s="40"/>
      <c r="ADM68" s="40"/>
      <c r="ADO68" s="40"/>
      <c r="ADQ68" s="40"/>
      <c r="ADS68" s="40"/>
      <c r="ADU68" s="40"/>
      <c r="ADW68" s="40"/>
      <c r="ADY68" s="40"/>
      <c r="AEA68" s="40"/>
      <c r="AEC68" s="40"/>
      <c r="AEE68" s="40"/>
      <c r="AEG68" s="40"/>
      <c r="AEI68" s="40"/>
      <c r="AEK68" s="40"/>
      <c r="AEM68" s="40"/>
      <c r="AEO68" s="40"/>
      <c r="AEQ68" s="40"/>
      <c r="AES68" s="40"/>
      <c r="AEU68" s="40"/>
      <c r="AEW68" s="40"/>
      <c r="AEY68" s="40"/>
      <c r="AFA68" s="40"/>
      <c r="AFC68" s="40"/>
      <c r="AFE68" s="40"/>
      <c r="AFG68" s="40"/>
      <c r="AFI68" s="40"/>
      <c r="AFK68" s="40"/>
      <c r="AFM68" s="40"/>
      <c r="AFO68" s="40"/>
      <c r="AFQ68" s="40"/>
      <c r="AFS68" s="40"/>
      <c r="AFU68" s="40"/>
      <c r="AFW68" s="40"/>
      <c r="AFY68" s="40"/>
      <c r="AGA68" s="40"/>
      <c r="AGC68" s="40"/>
      <c r="AGE68" s="40"/>
      <c r="AGG68" s="40"/>
      <c r="AGI68" s="40"/>
      <c r="AGK68" s="40"/>
      <c r="AGM68" s="40"/>
      <c r="AGO68" s="40"/>
      <c r="AGQ68" s="40"/>
      <c r="AGS68" s="40"/>
      <c r="AGU68" s="40"/>
      <c r="AGW68" s="40"/>
      <c r="AGY68" s="40"/>
      <c r="AHA68" s="40"/>
      <c r="AHC68" s="40"/>
      <c r="AHE68" s="40"/>
      <c r="AHG68" s="40"/>
      <c r="AHI68" s="40"/>
      <c r="AHK68" s="40"/>
      <c r="AHM68" s="40"/>
      <c r="AHO68" s="40"/>
      <c r="AHQ68" s="40"/>
      <c r="AHS68" s="40"/>
      <c r="AHU68" s="40"/>
      <c r="AHW68" s="40"/>
      <c r="AHY68" s="40"/>
      <c r="AIA68" s="40"/>
      <c r="AIC68" s="40"/>
      <c r="AIE68" s="40"/>
      <c r="AIG68" s="40"/>
      <c r="AII68" s="40"/>
      <c r="AIK68" s="40"/>
      <c r="AIM68" s="40"/>
      <c r="AIO68" s="40"/>
    </row>
    <row r="69" spans="1:1024" s="39" customFormat="1" ht="15.75" customHeight="1" x14ac:dyDescent="0.35">
      <c r="A69" s="600"/>
      <c r="B69" s="644" t="s">
        <v>325</v>
      </c>
      <c r="C69" s="645"/>
      <c r="D69" s="646"/>
      <c r="E69" s="645"/>
      <c r="F69" s="646"/>
      <c r="G69" s="647"/>
      <c r="H69" s="643"/>
      <c r="I69" s="645"/>
      <c r="J69" s="38"/>
      <c r="K69" s="38"/>
      <c r="M69" s="38"/>
      <c r="O69" s="38"/>
      <c r="Q69" s="38"/>
      <c r="S69" s="38"/>
      <c r="U69" s="38"/>
      <c r="W69" s="38"/>
      <c r="Y69" s="38"/>
      <c r="AA69" s="38"/>
      <c r="AC69" s="38"/>
      <c r="AE69" s="38"/>
      <c r="AG69" s="38"/>
      <c r="AI69" s="38"/>
      <c r="AK69" s="40"/>
      <c r="AM69" s="40"/>
      <c r="AO69" s="40"/>
      <c r="AQ69" s="40"/>
      <c r="AS69" s="40"/>
      <c r="AU69" s="40"/>
      <c r="AW69" s="40"/>
      <c r="AY69" s="40"/>
      <c r="BA69" s="40"/>
      <c r="BC69" s="40"/>
      <c r="BE69" s="40"/>
      <c r="BG69" s="40"/>
      <c r="BI69" s="40"/>
      <c r="BK69" s="40"/>
      <c r="BM69" s="40"/>
      <c r="BO69" s="40"/>
      <c r="BQ69" s="40"/>
      <c r="BS69" s="40"/>
      <c r="BU69" s="40"/>
      <c r="BW69" s="40"/>
      <c r="BY69" s="40"/>
      <c r="CA69" s="40"/>
      <c r="CC69" s="40"/>
      <c r="CE69" s="40"/>
      <c r="CG69" s="40"/>
      <c r="CI69" s="40"/>
      <c r="CK69" s="40"/>
      <c r="CM69" s="40"/>
      <c r="CO69" s="40"/>
      <c r="CQ69" s="40"/>
      <c r="CS69" s="40"/>
      <c r="CU69" s="40"/>
      <c r="CW69" s="40"/>
      <c r="CY69" s="40"/>
      <c r="DA69" s="40"/>
      <c r="DC69" s="40"/>
      <c r="DE69" s="40"/>
      <c r="DG69" s="40"/>
      <c r="DI69" s="40"/>
      <c r="DK69" s="40"/>
      <c r="DM69" s="40"/>
      <c r="DO69" s="40"/>
      <c r="DQ69" s="40"/>
      <c r="DS69" s="40"/>
      <c r="DU69" s="40"/>
      <c r="DW69" s="40"/>
      <c r="DY69" s="40"/>
      <c r="EA69" s="40"/>
      <c r="EC69" s="40"/>
      <c r="EE69" s="40"/>
      <c r="EG69" s="40"/>
      <c r="EI69" s="40"/>
      <c r="EK69" s="40"/>
      <c r="EM69" s="40"/>
      <c r="EO69" s="40"/>
      <c r="EQ69" s="40"/>
      <c r="ES69" s="40"/>
      <c r="EU69" s="40"/>
      <c r="EW69" s="40"/>
      <c r="EY69" s="40"/>
      <c r="FA69" s="40"/>
      <c r="FC69" s="40"/>
      <c r="FE69" s="40"/>
      <c r="FG69" s="40"/>
      <c r="FI69" s="40"/>
      <c r="FK69" s="40"/>
      <c r="FM69" s="40"/>
      <c r="FO69" s="40"/>
      <c r="FQ69" s="40"/>
      <c r="FS69" s="40"/>
      <c r="FU69" s="40"/>
      <c r="FW69" s="40"/>
      <c r="FY69" s="40"/>
      <c r="GA69" s="40"/>
      <c r="GC69" s="40"/>
      <c r="GE69" s="40"/>
      <c r="GG69" s="40"/>
      <c r="GI69" s="40"/>
      <c r="GK69" s="40"/>
      <c r="GM69" s="40"/>
      <c r="GO69" s="40"/>
      <c r="GQ69" s="40"/>
      <c r="GS69" s="40"/>
      <c r="GU69" s="40"/>
      <c r="GW69" s="40"/>
      <c r="GY69" s="40"/>
      <c r="HA69" s="40"/>
      <c r="HC69" s="40"/>
      <c r="HE69" s="40"/>
      <c r="HG69" s="40"/>
      <c r="HI69" s="40"/>
      <c r="HK69" s="40"/>
      <c r="HM69" s="40"/>
      <c r="HO69" s="40"/>
      <c r="HQ69" s="40"/>
      <c r="HS69" s="40"/>
      <c r="HU69" s="40"/>
      <c r="HW69" s="40"/>
      <c r="HY69" s="40"/>
      <c r="IA69" s="40"/>
      <c r="IC69" s="40"/>
      <c r="IE69" s="40"/>
      <c r="IG69" s="40"/>
      <c r="II69" s="40"/>
      <c r="IK69" s="40"/>
      <c r="IM69" s="40"/>
      <c r="IO69" s="40"/>
      <c r="IQ69" s="40"/>
      <c r="IS69" s="40"/>
      <c r="IU69" s="40"/>
      <c r="IW69" s="40"/>
      <c r="IY69" s="40"/>
      <c r="JA69" s="40"/>
      <c r="JC69" s="40"/>
      <c r="JE69" s="40"/>
      <c r="JG69" s="40"/>
      <c r="JI69" s="40"/>
      <c r="JK69" s="40"/>
      <c r="JM69" s="40"/>
      <c r="JO69" s="40"/>
      <c r="JQ69" s="40"/>
      <c r="JS69" s="40"/>
      <c r="JU69" s="40"/>
      <c r="JW69" s="40"/>
      <c r="JY69" s="40"/>
      <c r="KA69" s="40"/>
      <c r="KC69" s="40"/>
      <c r="KE69" s="40"/>
      <c r="KG69" s="40"/>
      <c r="KI69" s="40"/>
      <c r="KK69" s="40"/>
      <c r="KM69" s="40"/>
      <c r="KO69" s="40"/>
      <c r="KQ69" s="40"/>
      <c r="KS69" s="40"/>
      <c r="KU69" s="40"/>
      <c r="KW69" s="40"/>
      <c r="KY69" s="40"/>
      <c r="LA69" s="40"/>
      <c r="LC69" s="40"/>
      <c r="LE69" s="40"/>
      <c r="LG69" s="40"/>
      <c r="LI69" s="40"/>
      <c r="LK69" s="40"/>
      <c r="LM69" s="40"/>
      <c r="LO69" s="40"/>
      <c r="LQ69" s="40"/>
      <c r="LS69" s="40"/>
      <c r="LU69" s="40"/>
      <c r="LW69" s="40"/>
      <c r="LY69" s="40"/>
      <c r="MA69" s="40"/>
      <c r="MC69" s="40"/>
      <c r="ME69" s="40"/>
      <c r="MG69" s="40"/>
      <c r="MI69" s="40"/>
      <c r="MK69" s="40"/>
      <c r="MM69" s="40"/>
      <c r="MO69" s="40"/>
      <c r="MQ69" s="40"/>
      <c r="MS69" s="40"/>
      <c r="MU69" s="40"/>
      <c r="MW69" s="40"/>
      <c r="MY69" s="40"/>
      <c r="NA69" s="40"/>
      <c r="NC69" s="40"/>
      <c r="NE69" s="40"/>
      <c r="NG69" s="40"/>
      <c r="NI69" s="40"/>
      <c r="NK69" s="40"/>
      <c r="NM69" s="40"/>
      <c r="NO69" s="40"/>
      <c r="NQ69" s="40"/>
      <c r="NS69" s="40"/>
      <c r="NU69" s="40"/>
      <c r="NW69" s="40"/>
      <c r="NY69" s="40"/>
      <c r="OA69" s="40"/>
      <c r="OC69" s="40"/>
      <c r="OE69" s="40"/>
      <c r="OG69" s="40"/>
      <c r="OI69" s="40"/>
      <c r="OK69" s="40"/>
      <c r="OM69" s="40"/>
      <c r="OO69" s="40"/>
      <c r="OQ69" s="40"/>
      <c r="OS69" s="40"/>
      <c r="OU69" s="40"/>
      <c r="OW69" s="40"/>
      <c r="OY69" s="40"/>
      <c r="PA69" s="40"/>
      <c r="PC69" s="40"/>
      <c r="PE69" s="40"/>
      <c r="PG69" s="40"/>
      <c r="PI69" s="40"/>
      <c r="PK69" s="40"/>
      <c r="PM69" s="40"/>
      <c r="PO69" s="40"/>
      <c r="PQ69" s="40"/>
      <c r="PS69" s="40"/>
      <c r="PU69" s="40"/>
      <c r="PW69" s="40"/>
      <c r="PY69" s="40"/>
      <c r="QA69" s="40"/>
      <c r="QC69" s="40"/>
      <c r="QE69" s="40"/>
      <c r="QG69" s="40"/>
      <c r="QI69" s="40"/>
      <c r="QK69" s="40"/>
      <c r="QM69" s="40"/>
      <c r="QO69" s="40"/>
      <c r="QQ69" s="40"/>
      <c r="QS69" s="40"/>
      <c r="QU69" s="40"/>
      <c r="QW69" s="40"/>
      <c r="QY69" s="40"/>
      <c r="RA69" s="40"/>
      <c r="RC69" s="40"/>
      <c r="RE69" s="40"/>
      <c r="RG69" s="40"/>
      <c r="RI69" s="40"/>
      <c r="RK69" s="40"/>
      <c r="RM69" s="40"/>
      <c r="RO69" s="40"/>
      <c r="RQ69" s="40"/>
      <c r="RS69" s="40"/>
      <c r="RU69" s="40"/>
      <c r="RW69" s="40"/>
      <c r="RY69" s="40"/>
      <c r="SA69" s="40"/>
      <c r="SC69" s="40"/>
      <c r="SE69" s="40"/>
      <c r="SG69" s="40"/>
      <c r="SI69" s="40"/>
      <c r="SK69" s="40"/>
      <c r="SM69" s="40"/>
      <c r="SO69" s="40"/>
      <c r="SQ69" s="40"/>
      <c r="SS69" s="40"/>
      <c r="SU69" s="40"/>
      <c r="SW69" s="40"/>
      <c r="SY69" s="40"/>
      <c r="TA69" s="40"/>
      <c r="TC69" s="40"/>
      <c r="TE69" s="40"/>
      <c r="TG69" s="40"/>
      <c r="TI69" s="40"/>
      <c r="TK69" s="40"/>
      <c r="TM69" s="40"/>
      <c r="TO69" s="40"/>
      <c r="TQ69" s="40"/>
      <c r="TS69" s="40"/>
      <c r="TU69" s="40"/>
      <c r="TW69" s="40"/>
      <c r="TY69" s="40"/>
      <c r="UA69" s="40"/>
      <c r="UC69" s="40"/>
      <c r="UE69" s="40"/>
      <c r="UG69" s="40"/>
      <c r="UI69" s="40"/>
      <c r="UK69" s="40"/>
      <c r="UM69" s="40"/>
      <c r="UO69" s="40"/>
      <c r="UQ69" s="40"/>
      <c r="US69" s="40"/>
      <c r="UU69" s="40"/>
      <c r="UW69" s="40"/>
      <c r="UY69" s="40"/>
      <c r="VA69" s="40"/>
      <c r="VC69" s="40"/>
      <c r="VE69" s="40"/>
      <c r="VG69" s="40"/>
      <c r="VI69" s="40"/>
      <c r="VK69" s="40"/>
      <c r="VM69" s="40"/>
      <c r="VO69" s="40"/>
      <c r="VQ69" s="40"/>
      <c r="VS69" s="40"/>
      <c r="VU69" s="40"/>
      <c r="VW69" s="40"/>
      <c r="VY69" s="40"/>
      <c r="WA69" s="40"/>
      <c r="WC69" s="40"/>
      <c r="WE69" s="40"/>
      <c r="WG69" s="40"/>
      <c r="WI69" s="40"/>
      <c r="WK69" s="40"/>
      <c r="WM69" s="40"/>
      <c r="WO69" s="40"/>
      <c r="WQ69" s="40"/>
      <c r="WS69" s="40"/>
      <c r="WU69" s="40"/>
      <c r="WW69" s="40"/>
      <c r="WY69" s="40"/>
      <c r="XA69" s="40"/>
      <c r="XC69" s="40"/>
      <c r="XE69" s="40"/>
      <c r="XG69" s="40"/>
      <c r="XI69" s="40"/>
      <c r="XK69" s="40"/>
      <c r="XM69" s="40"/>
      <c r="XO69" s="40"/>
      <c r="XQ69" s="40"/>
      <c r="XS69" s="40"/>
      <c r="XU69" s="40"/>
      <c r="XW69" s="40"/>
      <c r="XY69" s="40"/>
      <c r="YA69" s="40"/>
      <c r="YC69" s="40"/>
      <c r="YE69" s="40"/>
      <c r="YG69" s="40"/>
      <c r="YI69" s="40"/>
      <c r="YK69" s="40"/>
      <c r="YM69" s="40"/>
      <c r="YO69" s="40"/>
      <c r="YQ69" s="40"/>
      <c r="YS69" s="40"/>
      <c r="YU69" s="40"/>
      <c r="YW69" s="40"/>
      <c r="YY69" s="40"/>
      <c r="ZA69" s="40"/>
      <c r="ZC69" s="40"/>
      <c r="ZE69" s="40"/>
      <c r="ZG69" s="40"/>
      <c r="ZI69" s="40"/>
      <c r="ZK69" s="40"/>
      <c r="ZM69" s="40"/>
      <c r="ZO69" s="40"/>
      <c r="ZQ69" s="40"/>
      <c r="ZS69" s="40"/>
      <c r="ZU69" s="40"/>
      <c r="ZW69" s="40"/>
      <c r="ZY69" s="40"/>
      <c r="AAA69" s="40"/>
      <c r="AAC69" s="40"/>
      <c r="AAE69" s="40"/>
      <c r="AAG69" s="40"/>
      <c r="AAI69" s="40"/>
      <c r="AAK69" s="40"/>
      <c r="AAM69" s="40"/>
      <c r="AAO69" s="40"/>
      <c r="AAQ69" s="40"/>
      <c r="AAS69" s="40"/>
      <c r="AAU69" s="40"/>
      <c r="AAW69" s="40"/>
      <c r="AAY69" s="40"/>
      <c r="ABA69" s="40"/>
      <c r="ABC69" s="40"/>
      <c r="ABE69" s="40"/>
      <c r="ABG69" s="40"/>
      <c r="ABI69" s="40"/>
      <c r="ABK69" s="40"/>
      <c r="ABM69" s="40"/>
      <c r="ABO69" s="40"/>
      <c r="ABQ69" s="40"/>
      <c r="ABS69" s="40"/>
      <c r="ABU69" s="40"/>
      <c r="ABW69" s="40"/>
      <c r="ABY69" s="40"/>
      <c r="ACA69" s="40"/>
      <c r="ACC69" s="40"/>
      <c r="ACE69" s="40"/>
      <c r="ACG69" s="40"/>
      <c r="ACI69" s="40"/>
      <c r="ACK69" s="40"/>
      <c r="ACM69" s="40"/>
      <c r="ACO69" s="40"/>
      <c r="ACQ69" s="40"/>
      <c r="ACS69" s="40"/>
      <c r="ACU69" s="40"/>
      <c r="ACW69" s="40"/>
      <c r="ACY69" s="40"/>
      <c r="ADA69" s="40"/>
      <c r="ADC69" s="40"/>
      <c r="ADE69" s="40"/>
      <c r="ADG69" s="40"/>
      <c r="ADI69" s="40"/>
      <c r="ADK69" s="40"/>
      <c r="ADM69" s="40"/>
      <c r="ADO69" s="40"/>
      <c r="ADQ69" s="40"/>
      <c r="ADS69" s="40"/>
      <c r="ADU69" s="40"/>
      <c r="ADW69" s="40"/>
      <c r="ADY69" s="40"/>
      <c r="AEA69" s="40"/>
      <c r="AEC69" s="40"/>
      <c r="AEE69" s="40"/>
      <c r="AEG69" s="40"/>
      <c r="AEI69" s="40"/>
      <c r="AEK69" s="40"/>
      <c r="AEM69" s="40"/>
      <c r="AEO69" s="40"/>
      <c r="AEQ69" s="40"/>
      <c r="AES69" s="40"/>
      <c r="AEU69" s="40"/>
      <c r="AEW69" s="40"/>
      <c r="AEY69" s="40"/>
      <c r="AFA69" s="40"/>
      <c r="AFC69" s="40"/>
      <c r="AFE69" s="40"/>
      <c r="AFG69" s="40"/>
      <c r="AFI69" s="40"/>
      <c r="AFK69" s="40"/>
      <c r="AFM69" s="40"/>
      <c r="AFO69" s="40"/>
      <c r="AFQ69" s="40"/>
      <c r="AFS69" s="40"/>
      <c r="AFU69" s="40"/>
      <c r="AFW69" s="40"/>
      <c r="AFY69" s="40"/>
      <c r="AGA69" s="40"/>
      <c r="AGC69" s="40"/>
      <c r="AGE69" s="40"/>
      <c r="AGG69" s="40"/>
      <c r="AGI69" s="40"/>
      <c r="AGK69" s="40"/>
      <c r="AGM69" s="40"/>
      <c r="AGO69" s="40"/>
      <c r="AGQ69" s="40"/>
      <c r="AGS69" s="40"/>
      <c r="AGU69" s="40"/>
      <c r="AGW69" s="40"/>
      <c r="AGY69" s="40"/>
      <c r="AHA69" s="40"/>
      <c r="AHC69" s="40"/>
      <c r="AHE69" s="40"/>
      <c r="AHG69" s="40"/>
      <c r="AHI69" s="40"/>
      <c r="AHK69" s="40"/>
      <c r="AHM69" s="40"/>
      <c r="AHO69" s="40"/>
      <c r="AHQ69" s="40"/>
      <c r="AHS69" s="40"/>
      <c r="AHU69" s="40"/>
      <c r="AHW69" s="40"/>
      <c r="AHY69" s="40"/>
      <c r="AIA69" s="40"/>
      <c r="AIC69" s="40"/>
      <c r="AIE69" s="40"/>
      <c r="AIG69" s="40"/>
      <c r="AII69" s="40"/>
      <c r="AIK69" s="40"/>
      <c r="AIM69" s="40"/>
      <c r="AIO69" s="40"/>
    </row>
    <row r="70" spans="1:1024" s="39" customFormat="1" ht="15.75" customHeight="1" x14ac:dyDescent="0.35">
      <c r="A70" s="600"/>
      <c r="B70" s="644" t="s">
        <v>326</v>
      </c>
      <c r="C70" s="645"/>
      <c r="D70" s="646"/>
      <c r="E70" s="645"/>
      <c r="F70" s="646"/>
      <c r="G70" s="647"/>
      <c r="H70" s="643"/>
      <c r="I70" s="645"/>
      <c r="J70" s="38"/>
      <c r="K70" s="38"/>
      <c r="M70" s="38"/>
      <c r="O70" s="38"/>
      <c r="Q70" s="38"/>
      <c r="S70" s="38"/>
      <c r="U70" s="38"/>
      <c r="W70" s="38"/>
      <c r="Y70" s="38"/>
      <c r="AA70" s="38"/>
      <c r="AC70" s="38"/>
      <c r="AE70" s="38"/>
      <c r="AG70" s="38"/>
      <c r="AI70" s="38"/>
      <c r="AK70" s="40"/>
      <c r="AM70" s="40"/>
      <c r="AO70" s="40"/>
      <c r="AQ70" s="40"/>
      <c r="AS70" s="40"/>
      <c r="AU70" s="40"/>
      <c r="AW70" s="40"/>
      <c r="AY70" s="40"/>
      <c r="BA70" s="40"/>
      <c r="BC70" s="40"/>
      <c r="BE70" s="40"/>
      <c r="BG70" s="40"/>
      <c r="BI70" s="40"/>
      <c r="BK70" s="40"/>
      <c r="BM70" s="40"/>
      <c r="BO70" s="40"/>
      <c r="BQ70" s="40"/>
      <c r="BS70" s="40"/>
      <c r="BU70" s="40"/>
      <c r="BW70" s="40"/>
      <c r="BY70" s="40"/>
      <c r="CA70" s="40"/>
      <c r="CC70" s="40"/>
      <c r="CE70" s="40"/>
      <c r="CG70" s="40"/>
      <c r="CI70" s="40"/>
      <c r="CK70" s="40"/>
      <c r="CM70" s="40"/>
      <c r="CO70" s="40"/>
      <c r="CQ70" s="40"/>
      <c r="CS70" s="40"/>
      <c r="CU70" s="40"/>
      <c r="CW70" s="40"/>
      <c r="CY70" s="40"/>
      <c r="DA70" s="40"/>
      <c r="DC70" s="40"/>
      <c r="DE70" s="40"/>
      <c r="DG70" s="40"/>
      <c r="DI70" s="40"/>
      <c r="DK70" s="40"/>
      <c r="DM70" s="40"/>
      <c r="DO70" s="40"/>
      <c r="DQ70" s="40"/>
      <c r="DS70" s="40"/>
      <c r="DU70" s="40"/>
      <c r="DW70" s="40"/>
      <c r="DY70" s="40"/>
      <c r="EA70" s="40"/>
      <c r="EC70" s="40"/>
      <c r="EE70" s="40"/>
      <c r="EG70" s="40"/>
      <c r="EI70" s="40"/>
      <c r="EK70" s="40"/>
      <c r="EM70" s="40"/>
      <c r="EO70" s="40"/>
      <c r="EQ70" s="40"/>
      <c r="ES70" s="40"/>
      <c r="EU70" s="40"/>
      <c r="EW70" s="40"/>
      <c r="EY70" s="40"/>
      <c r="FA70" s="40"/>
      <c r="FC70" s="40"/>
      <c r="FE70" s="40"/>
      <c r="FG70" s="40"/>
      <c r="FI70" s="40"/>
      <c r="FK70" s="40"/>
      <c r="FM70" s="40"/>
      <c r="FO70" s="40"/>
      <c r="FQ70" s="40"/>
      <c r="FS70" s="40"/>
      <c r="FU70" s="40"/>
      <c r="FW70" s="40"/>
      <c r="FY70" s="40"/>
      <c r="GA70" s="40"/>
      <c r="GC70" s="40"/>
      <c r="GE70" s="40"/>
      <c r="GG70" s="40"/>
      <c r="GI70" s="40"/>
      <c r="GK70" s="40"/>
      <c r="GM70" s="40"/>
      <c r="GO70" s="40"/>
      <c r="GQ70" s="40"/>
      <c r="GS70" s="40"/>
      <c r="GU70" s="40"/>
      <c r="GW70" s="40"/>
      <c r="GY70" s="40"/>
      <c r="HA70" s="40"/>
      <c r="HC70" s="40"/>
      <c r="HE70" s="40"/>
      <c r="HG70" s="40"/>
      <c r="HI70" s="40"/>
      <c r="HK70" s="40"/>
      <c r="HM70" s="40"/>
      <c r="HO70" s="40"/>
      <c r="HQ70" s="40"/>
      <c r="HS70" s="40"/>
      <c r="HU70" s="40"/>
      <c r="HW70" s="40"/>
      <c r="HY70" s="40"/>
      <c r="IA70" s="40"/>
      <c r="IC70" s="40"/>
      <c r="IE70" s="40"/>
      <c r="IG70" s="40"/>
      <c r="II70" s="40"/>
      <c r="IK70" s="40"/>
      <c r="IM70" s="40"/>
      <c r="IO70" s="40"/>
      <c r="IQ70" s="40"/>
      <c r="IS70" s="40"/>
      <c r="IU70" s="40"/>
      <c r="IW70" s="40"/>
      <c r="IY70" s="40"/>
      <c r="JA70" s="40"/>
      <c r="JC70" s="40"/>
      <c r="JE70" s="40"/>
      <c r="JG70" s="40"/>
      <c r="JI70" s="40"/>
      <c r="JK70" s="40"/>
      <c r="JM70" s="40"/>
      <c r="JO70" s="40"/>
      <c r="JQ70" s="40"/>
      <c r="JS70" s="40"/>
      <c r="JU70" s="40"/>
      <c r="JW70" s="40"/>
      <c r="JY70" s="40"/>
      <c r="KA70" s="40"/>
      <c r="KC70" s="40"/>
      <c r="KE70" s="40"/>
      <c r="KG70" s="40"/>
      <c r="KI70" s="40"/>
      <c r="KK70" s="40"/>
      <c r="KM70" s="40"/>
      <c r="KO70" s="40"/>
      <c r="KQ70" s="40"/>
      <c r="KS70" s="40"/>
      <c r="KU70" s="40"/>
      <c r="KW70" s="40"/>
      <c r="KY70" s="40"/>
      <c r="LA70" s="40"/>
      <c r="LC70" s="40"/>
      <c r="LE70" s="40"/>
      <c r="LG70" s="40"/>
      <c r="LI70" s="40"/>
      <c r="LK70" s="40"/>
      <c r="LM70" s="40"/>
      <c r="LO70" s="40"/>
      <c r="LQ70" s="40"/>
      <c r="LS70" s="40"/>
      <c r="LU70" s="40"/>
      <c r="LW70" s="40"/>
      <c r="LY70" s="40"/>
      <c r="MA70" s="40"/>
      <c r="MC70" s="40"/>
      <c r="ME70" s="40"/>
      <c r="MG70" s="40"/>
      <c r="MI70" s="40"/>
      <c r="MK70" s="40"/>
      <c r="MM70" s="40"/>
      <c r="MO70" s="40"/>
      <c r="MQ70" s="40"/>
      <c r="MS70" s="40"/>
      <c r="MU70" s="40"/>
      <c r="MW70" s="40"/>
      <c r="MY70" s="40"/>
      <c r="NA70" s="40"/>
      <c r="NC70" s="40"/>
      <c r="NE70" s="40"/>
      <c r="NG70" s="40"/>
      <c r="NI70" s="40"/>
      <c r="NK70" s="40"/>
      <c r="NM70" s="40"/>
      <c r="NO70" s="40"/>
      <c r="NQ70" s="40"/>
      <c r="NS70" s="40"/>
      <c r="NU70" s="40"/>
      <c r="NW70" s="40"/>
      <c r="NY70" s="40"/>
      <c r="OA70" s="40"/>
      <c r="OC70" s="40"/>
      <c r="OE70" s="40"/>
      <c r="OG70" s="40"/>
      <c r="OI70" s="40"/>
      <c r="OK70" s="40"/>
      <c r="OM70" s="40"/>
      <c r="OO70" s="40"/>
      <c r="OQ70" s="40"/>
      <c r="OS70" s="40"/>
      <c r="OU70" s="40"/>
      <c r="OW70" s="40"/>
      <c r="OY70" s="40"/>
      <c r="PA70" s="40"/>
      <c r="PC70" s="40"/>
      <c r="PE70" s="40"/>
      <c r="PG70" s="40"/>
      <c r="PI70" s="40"/>
      <c r="PK70" s="40"/>
      <c r="PM70" s="40"/>
      <c r="PO70" s="40"/>
      <c r="PQ70" s="40"/>
      <c r="PS70" s="40"/>
      <c r="PU70" s="40"/>
      <c r="PW70" s="40"/>
      <c r="PY70" s="40"/>
      <c r="QA70" s="40"/>
      <c r="QC70" s="40"/>
      <c r="QE70" s="40"/>
      <c r="QG70" s="40"/>
      <c r="QI70" s="40"/>
      <c r="QK70" s="40"/>
      <c r="QM70" s="40"/>
      <c r="QO70" s="40"/>
      <c r="QQ70" s="40"/>
      <c r="QS70" s="40"/>
      <c r="QU70" s="40"/>
      <c r="QW70" s="40"/>
      <c r="QY70" s="40"/>
      <c r="RA70" s="40"/>
      <c r="RC70" s="40"/>
      <c r="RE70" s="40"/>
      <c r="RG70" s="40"/>
      <c r="RI70" s="40"/>
      <c r="RK70" s="40"/>
      <c r="RM70" s="40"/>
      <c r="RO70" s="40"/>
      <c r="RQ70" s="40"/>
      <c r="RS70" s="40"/>
      <c r="RU70" s="40"/>
      <c r="RW70" s="40"/>
      <c r="RY70" s="40"/>
      <c r="SA70" s="40"/>
      <c r="SC70" s="40"/>
      <c r="SE70" s="40"/>
      <c r="SG70" s="40"/>
      <c r="SI70" s="40"/>
      <c r="SK70" s="40"/>
      <c r="SM70" s="40"/>
      <c r="SO70" s="40"/>
      <c r="SQ70" s="40"/>
      <c r="SS70" s="40"/>
      <c r="SU70" s="40"/>
      <c r="SW70" s="40"/>
      <c r="SY70" s="40"/>
      <c r="TA70" s="40"/>
      <c r="TC70" s="40"/>
      <c r="TE70" s="40"/>
      <c r="TG70" s="40"/>
      <c r="TI70" s="40"/>
      <c r="TK70" s="40"/>
      <c r="TM70" s="40"/>
      <c r="TO70" s="40"/>
      <c r="TQ70" s="40"/>
      <c r="TS70" s="40"/>
      <c r="TU70" s="40"/>
      <c r="TW70" s="40"/>
      <c r="TY70" s="40"/>
      <c r="UA70" s="40"/>
      <c r="UC70" s="40"/>
      <c r="UE70" s="40"/>
      <c r="UG70" s="40"/>
      <c r="UI70" s="40"/>
      <c r="UK70" s="40"/>
      <c r="UM70" s="40"/>
      <c r="UO70" s="40"/>
      <c r="UQ70" s="40"/>
      <c r="US70" s="40"/>
      <c r="UU70" s="40"/>
      <c r="UW70" s="40"/>
      <c r="UY70" s="40"/>
      <c r="VA70" s="40"/>
      <c r="VC70" s="40"/>
      <c r="VE70" s="40"/>
      <c r="VG70" s="40"/>
      <c r="VI70" s="40"/>
      <c r="VK70" s="40"/>
      <c r="VM70" s="40"/>
      <c r="VO70" s="40"/>
      <c r="VQ70" s="40"/>
      <c r="VS70" s="40"/>
      <c r="VU70" s="40"/>
      <c r="VW70" s="40"/>
      <c r="VY70" s="40"/>
      <c r="WA70" s="40"/>
      <c r="WC70" s="40"/>
      <c r="WE70" s="40"/>
      <c r="WG70" s="40"/>
      <c r="WI70" s="40"/>
      <c r="WK70" s="40"/>
      <c r="WM70" s="40"/>
      <c r="WO70" s="40"/>
      <c r="WQ70" s="40"/>
      <c r="WS70" s="40"/>
      <c r="WU70" s="40"/>
      <c r="WW70" s="40"/>
      <c r="WY70" s="40"/>
      <c r="XA70" s="40"/>
      <c r="XC70" s="40"/>
      <c r="XE70" s="40"/>
      <c r="XG70" s="40"/>
      <c r="XI70" s="40"/>
      <c r="XK70" s="40"/>
      <c r="XM70" s="40"/>
      <c r="XO70" s="40"/>
      <c r="XQ70" s="40"/>
      <c r="XS70" s="40"/>
      <c r="XU70" s="40"/>
      <c r="XW70" s="40"/>
      <c r="XY70" s="40"/>
      <c r="YA70" s="40"/>
      <c r="YC70" s="40"/>
      <c r="YE70" s="40"/>
      <c r="YG70" s="40"/>
      <c r="YI70" s="40"/>
      <c r="YK70" s="40"/>
      <c r="YM70" s="40"/>
      <c r="YO70" s="40"/>
      <c r="YQ70" s="40"/>
      <c r="YS70" s="40"/>
      <c r="YU70" s="40"/>
      <c r="YW70" s="40"/>
      <c r="YY70" s="40"/>
      <c r="ZA70" s="40"/>
      <c r="ZC70" s="40"/>
      <c r="ZE70" s="40"/>
      <c r="ZG70" s="40"/>
      <c r="ZI70" s="40"/>
      <c r="ZK70" s="40"/>
      <c r="ZM70" s="40"/>
      <c r="ZO70" s="40"/>
      <c r="ZQ70" s="40"/>
      <c r="ZS70" s="40"/>
      <c r="ZU70" s="40"/>
      <c r="ZW70" s="40"/>
      <c r="ZY70" s="40"/>
      <c r="AAA70" s="40"/>
      <c r="AAC70" s="40"/>
      <c r="AAE70" s="40"/>
      <c r="AAG70" s="40"/>
      <c r="AAI70" s="40"/>
      <c r="AAK70" s="40"/>
      <c r="AAM70" s="40"/>
      <c r="AAO70" s="40"/>
      <c r="AAQ70" s="40"/>
      <c r="AAS70" s="40"/>
      <c r="AAU70" s="40"/>
      <c r="AAW70" s="40"/>
      <c r="AAY70" s="40"/>
      <c r="ABA70" s="40"/>
      <c r="ABC70" s="40"/>
      <c r="ABE70" s="40"/>
      <c r="ABG70" s="40"/>
      <c r="ABI70" s="40"/>
      <c r="ABK70" s="40"/>
      <c r="ABM70" s="40"/>
      <c r="ABO70" s="40"/>
      <c r="ABQ70" s="40"/>
      <c r="ABS70" s="40"/>
      <c r="ABU70" s="40"/>
      <c r="ABW70" s="40"/>
      <c r="ABY70" s="40"/>
      <c r="ACA70" s="40"/>
      <c r="ACC70" s="40"/>
      <c r="ACE70" s="40"/>
      <c r="ACG70" s="40"/>
      <c r="ACI70" s="40"/>
      <c r="ACK70" s="40"/>
      <c r="ACM70" s="40"/>
      <c r="ACO70" s="40"/>
      <c r="ACQ70" s="40"/>
      <c r="ACS70" s="40"/>
      <c r="ACU70" s="40"/>
      <c r="ACW70" s="40"/>
      <c r="ACY70" s="40"/>
      <c r="ADA70" s="40"/>
      <c r="ADC70" s="40"/>
      <c r="ADE70" s="40"/>
      <c r="ADG70" s="40"/>
      <c r="ADI70" s="40"/>
      <c r="ADK70" s="40"/>
      <c r="ADM70" s="40"/>
      <c r="ADO70" s="40"/>
      <c r="ADQ70" s="40"/>
      <c r="ADS70" s="40"/>
      <c r="ADU70" s="40"/>
      <c r="ADW70" s="40"/>
      <c r="ADY70" s="40"/>
      <c r="AEA70" s="40"/>
      <c r="AEC70" s="40"/>
      <c r="AEE70" s="40"/>
      <c r="AEG70" s="40"/>
      <c r="AEI70" s="40"/>
      <c r="AEK70" s="40"/>
      <c r="AEM70" s="40"/>
      <c r="AEO70" s="40"/>
      <c r="AEQ70" s="40"/>
      <c r="AES70" s="40"/>
      <c r="AEU70" s="40"/>
      <c r="AEW70" s="40"/>
      <c r="AEY70" s="40"/>
      <c r="AFA70" s="40"/>
      <c r="AFC70" s="40"/>
      <c r="AFE70" s="40"/>
      <c r="AFG70" s="40"/>
      <c r="AFI70" s="40"/>
      <c r="AFK70" s="40"/>
      <c r="AFM70" s="40"/>
      <c r="AFO70" s="40"/>
      <c r="AFQ70" s="40"/>
      <c r="AFS70" s="40"/>
      <c r="AFU70" s="40"/>
      <c r="AFW70" s="40"/>
      <c r="AFY70" s="40"/>
      <c r="AGA70" s="40"/>
      <c r="AGC70" s="40"/>
      <c r="AGE70" s="40"/>
      <c r="AGG70" s="40"/>
      <c r="AGI70" s="40"/>
      <c r="AGK70" s="40"/>
      <c r="AGM70" s="40"/>
      <c r="AGO70" s="40"/>
      <c r="AGQ70" s="40"/>
      <c r="AGS70" s="40"/>
      <c r="AGU70" s="40"/>
      <c r="AGW70" s="40"/>
      <c r="AGY70" s="40"/>
      <c r="AHA70" s="40"/>
      <c r="AHC70" s="40"/>
      <c r="AHE70" s="40"/>
      <c r="AHG70" s="40"/>
      <c r="AHI70" s="40"/>
      <c r="AHK70" s="40"/>
      <c r="AHM70" s="40"/>
      <c r="AHO70" s="40"/>
      <c r="AHQ70" s="40"/>
      <c r="AHS70" s="40"/>
      <c r="AHU70" s="40"/>
      <c r="AHW70" s="40"/>
      <c r="AHY70" s="40"/>
      <c r="AIA70" s="40"/>
      <c r="AIC70" s="40"/>
      <c r="AIE70" s="40"/>
      <c r="AIG70" s="40"/>
      <c r="AII70" s="40"/>
      <c r="AIK70" s="40"/>
      <c r="AIM70" s="40"/>
      <c r="AIO70" s="40"/>
    </row>
    <row r="71" spans="1:1024" s="39" customFormat="1" ht="35.9" customHeight="1" x14ac:dyDescent="0.35">
      <c r="A71" s="600"/>
      <c r="B71" s="644" t="s">
        <v>327</v>
      </c>
      <c r="C71" s="645"/>
      <c r="D71" s="646"/>
      <c r="E71" s="645"/>
      <c r="F71" s="646"/>
      <c r="G71" s="647"/>
      <c r="H71" s="643"/>
      <c r="I71" s="645"/>
      <c r="J71" s="38"/>
      <c r="K71" s="38"/>
      <c r="M71" s="38"/>
      <c r="O71" s="38"/>
      <c r="Q71" s="38"/>
      <c r="S71" s="38"/>
      <c r="U71" s="38"/>
      <c r="W71" s="38"/>
      <c r="Y71" s="38"/>
      <c r="AA71" s="38"/>
      <c r="AC71" s="38"/>
      <c r="AE71" s="38"/>
      <c r="AG71" s="38"/>
      <c r="AI71" s="38"/>
      <c r="AK71" s="40"/>
      <c r="AM71" s="40"/>
      <c r="AO71" s="40"/>
      <c r="AQ71" s="40"/>
      <c r="AS71" s="40"/>
      <c r="AU71" s="40"/>
      <c r="AW71" s="40"/>
      <c r="AY71" s="40"/>
      <c r="BA71" s="40"/>
      <c r="BC71" s="40"/>
      <c r="BE71" s="40"/>
      <c r="BG71" s="40"/>
      <c r="BI71" s="40"/>
      <c r="BK71" s="40"/>
      <c r="BM71" s="40"/>
      <c r="BO71" s="40"/>
      <c r="BQ71" s="40"/>
      <c r="BS71" s="40"/>
      <c r="BU71" s="40"/>
      <c r="BW71" s="40"/>
      <c r="BY71" s="40"/>
      <c r="CA71" s="40"/>
      <c r="CC71" s="40"/>
      <c r="CE71" s="40"/>
      <c r="CG71" s="40"/>
      <c r="CI71" s="40"/>
      <c r="CK71" s="40"/>
      <c r="CM71" s="40"/>
      <c r="CO71" s="40"/>
      <c r="CQ71" s="40"/>
      <c r="CS71" s="40"/>
      <c r="CU71" s="40"/>
      <c r="CW71" s="40"/>
      <c r="CY71" s="40"/>
      <c r="DA71" s="40"/>
      <c r="DC71" s="40"/>
      <c r="DE71" s="40"/>
      <c r="DG71" s="40"/>
      <c r="DI71" s="40"/>
      <c r="DK71" s="40"/>
      <c r="DM71" s="40"/>
      <c r="DO71" s="40"/>
      <c r="DQ71" s="40"/>
      <c r="DS71" s="40"/>
      <c r="DU71" s="40"/>
      <c r="DW71" s="40"/>
      <c r="DY71" s="40"/>
      <c r="EA71" s="40"/>
      <c r="EC71" s="40"/>
      <c r="EE71" s="40"/>
      <c r="EG71" s="40"/>
      <c r="EI71" s="40"/>
      <c r="EK71" s="40"/>
      <c r="EM71" s="40"/>
      <c r="EO71" s="40"/>
      <c r="EQ71" s="40"/>
      <c r="ES71" s="40"/>
      <c r="EU71" s="40"/>
      <c r="EW71" s="40"/>
      <c r="EY71" s="40"/>
      <c r="FA71" s="40"/>
      <c r="FC71" s="40"/>
      <c r="FE71" s="40"/>
      <c r="FG71" s="40"/>
      <c r="FI71" s="40"/>
      <c r="FK71" s="40"/>
      <c r="FM71" s="40"/>
      <c r="FO71" s="40"/>
      <c r="FQ71" s="40"/>
      <c r="FS71" s="40"/>
      <c r="FU71" s="40"/>
      <c r="FW71" s="40"/>
      <c r="FY71" s="40"/>
      <c r="GA71" s="40"/>
      <c r="GC71" s="40"/>
      <c r="GE71" s="40"/>
      <c r="GG71" s="40"/>
      <c r="GI71" s="40"/>
      <c r="GK71" s="40"/>
      <c r="GM71" s="40"/>
      <c r="GO71" s="40"/>
      <c r="GQ71" s="40"/>
      <c r="GS71" s="40"/>
      <c r="GU71" s="40"/>
      <c r="GW71" s="40"/>
      <c r="GY71" s="40"/>
      <c r="HA71" s="40"/>
      <c r="HC71" s="40"/>
      <c r="HE71" s="40"/>
      <c r="HG71" s="40"/>
      <c r="HI71" s="40"/>
      <c r="HK71" s="40"/>
      <c r="HM71" s="40"/>
      <c r="HO71" s="40"/>
      <c r="HQ71" s="40"/>
      <c r="HS71" s="40"/>
      <c r="HU71" s="40"/>
      <c r="HW71" s="40"/>
      <c r="HY71" s="40"/>
      <c r="IA71" s="40"/>
      <c r="IC71" s="40"/>
      <c r="IE71" s="40"/>
      <c r="IG71" s="40"/>
      <c r="II71" s="40"/>
      <c r="IK71" s="40"/>
      <c r="IM71" s="40"/>
      <c r="IO71" s="40"/>
      <c r="IQ71" s="40"/>
      <c r="IS71" s="40"/>
      <c r="IU71" s="40"/>
      <c r="IW71" s="40"/>
      <c r="IY71" s="40"/>
      <c r="JA71" s="40"/>
      <c r="JC71" s="40"/>
      <c r="JE71" s="40"/>
      <c r="JG71" s="40"/>
      <c r="JI71" s="40"/>
      <c r="JK71" s="40"/>
      <c r="JM71" s="40"/>
      <c r="JO71" s="40"/>
      <c r="JQ71" s="40"/>
      <c r="JS71" s="40"/>
      <c r="JU71" s="40"/>
      <c r="JW71" s="40"/>
      <c r="JY71" s="40"/>
      <c r="KA71" s="40"/>
      <c r="KC71" s="40"/>
      <c r="KE71" s="40"/>
      <c r="KG71" s="40"/>
      <c r="KI71" s="40"/>
      <c r="KK71" s="40"/>
      <c r="KM71" s="40"/>
      <c r="KO71" s="40"/>
      <c r="KQ71" s="40"/>
      <c r="KS71" s="40"/>
      <c r="KU71" s="40"/>
      <c r="KW71" s="40"/>
      <c r="KY71" s="40"/>
      <c r="LA71" s="40"/>
      <c r="LC71" s="40"/>
      <c r="LE71" s="40"/>
      <c r="LG71" s="40"/>
      <c r="LI71" s="40"/>
      <c r="LK71" s="40"/>
      <c r="LM71" s="40"/>
      <c r="LO71" s="40"/>
      <c r="LQ71" s="40"/>
      <c r="LS71" s="40"/>
      <c r="LU71" s="40"/>
      <c r="LW71" s="40"/>
      <c r="LY71" s="40"/>
      <c r="MA71" s="40"/>
      <c r="MC71" s="40"/>
      <c r="ME71" s="40"/>
      <c r="MG71" s="40"/>
      <c r="MI71" s="40"/>
      <c r="MK71" s="40"/>
      <c r="MM71" s="40"/>
      <c r="MO71" s="40"/>
      <c r="MQ71" s="40"/>
      <c r="MS71" s="40"/>
      <c r="MU71" s="40"/>
      <c r="MW71" s="40"/>
      <c r="MY71" s="40"/>
      <c r="NA71" s="40"/>
      <c r="NC71" s="40"/>
      <c r="NE71" s="40"/>
      <c r="NG71" s="40"/>
      <c r="NI71" s="40"/>
      <c r="NK71" s="40"/>
      <c r="NM71" s="40"/>
      <c r="NO71" s="40"/>
      <c r="NQ71" s="40"/>
      <c r="NS71" s="40"/>
      <c r="NU71" s="40"/>
      <c r="NW71" s="40"/>
      <c r="NY71" s="40"/>
      <c r="OA71" s="40"/>
      <c r="OC71" s="40"/>
      <c r="OE71" s="40"/>
      <c r="OG71" s="40"/>
      <c r="OI71" s="40"/>
      <c r="OK71" s="40"/>
      <c r="OM71" s="40"/>
      <c r="OO71" s="40"/>
      <c r="OQ71" s="40"/>
      <c r="OS71" s="40"/>
      <c r="OU71" s="40"/>
      <c r="OW71" s="40"/>
      <c r="OY71" s="40"/>
      <c r="PA71" s="40"/>
      <c r="PC71" s="40"/>
      <c r="PE71" s="40"/>
      <c r="PG71" s="40"/>
      <c r="PI71" s="40"/>
      <c r="PK71" s="40"/>
      <c r="PM71" s="40"/>
      <c r="PO71" s="40"/>
      <c r="PQ71" s="40"/>
      <c r="PS71" s="40"/>
      <c r="PU71" s="40"/>
      <c r="PW71" s="40"/>
      <c r="PY71" s="40"/>
      <c r="QA71" s="40"/>
      <c r="QC71" s="40"/>
      <c r="QE71" s="40"/>
      <c r="QG71" s="40"/>
      <c r="QI71" s="40"/>
      <c r="QK71" s="40"/>
      <c r="QM71" s="40"/>
      <c r="QO71" s="40"/>
      <c r="QQ71" s="40"/>
      <c r="QS71" s="40"/>
      <c r="QU71" s="40"/>
      <c r="QW71" s="40"/>
      <c r="QY71" s="40"/>
      <c r="RA71" s="40"/>
      <c r="RC71" s="40"/>
      <c r="RE71" s="40"/>
      <c r="RG71" s="40"/>
      <c r="RI71" s="40"/>
      <c r="RK71" s="40"/>
      <c r="RM71" s="40"/>
      <c r="RO71" s="40"/>
      <c r="RQ71" s="40"/>
      <c r="RS71" s="40"/>
      <c r="RU71" s="40"/>
      <c r="RW71" s="40"/>
      <c r="RY71" s="40"/>
      <c r="SA71" s="40"/>
      <c r="SC71" s="40"/>
      <c r="SE71" s="40"/>
      <c r="SG71" s="40"/>
      <c r="SI71" s="40"/>
      <c r="SK71" s="40"/>
      <c r="SM71" s="40"/>
      <c r="SO71" s="40"/>
      <c r="SQ71" s="40"/>
      <c r="SS71" s="40"/>
      <c r="SU71" s="40"/>
      <c r="SW71" s="40"/>
      <c r="SY71" s="40"/>
      <c r="TA71" s="40"/>
      <c r="TC71" s="40"/>
      <c r="TE71" s="40"/>
      <c r="TG71" s="40"/>
      <c r="TI71" s="40"/>
      <c r="TK71" s="40"/>
      <c r="TM71" s="40"/>
      <c r="TO71" s="40"/>
      <c r="TQ71" s="40"/>
      <c r="TS71" s="40"/>
      <c r="TU71" s="40"/>
      <c r="TW71" s="40"/>
      <c r="TY71" s="40"/>
      <c r="UA71" s="40"/>
      <c r="UC71" s="40"/>
      <c r="UE71" s="40"/>
      <c r="UG71" s="40"/>
      <c r="UI71" s="40"/>
      <c r="UK71" s="40"/>
      <c r="UM71" s="40"/>
      <c r="UO71" s="40"/>
      <c r="UQ71" s="40"/>
      <c r="US71" s="40"/>
      <c r="UU71" s="40"/>
      <c r="UW71" s="40"/>
      <c r="UY71" s="40"/>
      <c r="VA71" s="40"/>
      <c r="VC71" s="40"/>
      <c r="VE71" s="40"/>
      <c r="VG71" s="40"/>
      <c r="VI71" s="40"/>
      <c r="VK71" s="40"/>
      <c r="VM71" s="40"/>
      <c r="VO71" s="40"/>
      <c r="VQ71" s="40"/>
      <c r="VS71" s="40"/>
      <c r="VU71" s="40"/>
      <c r="VW71" s="40"/>
      <c r="VY71" s="40"/>
      <c r="WA71" s="40"/>
      <c r="WC71" s="40"/>
      <c r="WE71" s="40"/>
      <c r="WG71" s="40"/>
      <c r="WI71" s="40"/>
      <c r="WK71" s="40"/>
      <c r="WM71" s="40"/>
      <c r="WO71" s="40"/>
      <c r="WQ71" s="40"/>
      <c r="WS71" s="40"/>
      <c r="WU71" s="40"/>
      <c r="WW71" s="40"/>
      <c r="WY71" s="40"/>
      <c r="XA71" s="40"/>
      <c r="XC71" s="40"/>
      <c r="XE71" s="40"/>
      <c r="XG71" s="40"/>
      <c r="XI71" s="40"/>
      <c r="XK71" s="40"/>
      <c r="XM71" s="40"/>
      <c r="XO71" s="40"/>
      <c r="XQ71" s="40"/>
      <c r="XS71" s="40"/>
      <c r="XU71" s="40"/>
      <c r="XW71" s="40"/>
      <c r="XY71" s="40"/>
      <c r="YA71" s="40"/>
      <c r="YC71" s="40"/>
      <c r="YE71" s="40"/>
      <c r="YG71" s="40"/>
      <c r="YI71" s="40"/>
      <c r="YK71" s="40"/>
      <c r="YM71" s="40"/>
      <c r="YO71" s="40"/>
      <c r="YQ71" s="40"/>
      <c r="YS71" s="40"/>
      <c r="YU71" s="40"/>
      <c r="YW71" s="40"/>
      <c r="YY71" s="40"/>
      <c r="ZA71" s="40"/>
      <c r="ZC71" s="40"/>
      <c r="ZE71" s="40"/>
      <c r="ZG71" s="40"/>
      <c r="ZI71" s="40"/>
      <c r="ZK71" s="40"/>
      <c r="ZM71" s="40"/>
      <c r="ZO71" s="40"/>
      <c r="ZQ71" s="40"/>
      <c r="ZS71" s="40"/>
      <c r="ZU71" s="40"/>
      <c r="ZW71" s="40"/>
      <c r="ZY71" s="40"/>
      <c r="AAA71" s="40"/>
      <c r="AAC71" s="40"/>
      <c r="AAE71" s="40"/>
      <c r="AAG71" s="40"/>
      <c r="AAI71" s="40"/>
      <c r="AAK71" s="40"/>
      <c r="AAM71" s="40"/>
      <c r="AAO71" s="40"/>
      <c r="AAQ71" s="40"/>
      <c r="AAS71" s="40"/>
      <c r="AAU71" s="40"/>
      <c r="AAW71" s="40"/>
      <c r="AAY71" s="40"/>
      <c r="ABA71" s="40"/>
      <c r="ABC71" s="40"/>
      <c r="ABE71" s="40"/>
      <c r="ABG71" s="40"/>
      <c r="ABI71" s="40"/>
      <c r="ABK71" s="40"/>
      <c r="ABM71" s="40"/>
      <c r="ABO71" s="40"/>
      <c r="ABQ71" s="40"/>
      <c r="ABS71" s="40"/>
      <c r="ABU71" s="40"/>
      <c r="ABW71" s="40"/>
      <c r="ABY71" s="40"/>
      <c r="ACA71" s="40"/>
      <c r="ACC71" s="40"/>
      <c r="ACE71" s="40"/>
      <c r="ACG71" s="40"/>
      <c r="ACI71" s="40"/>
      <c r="ACK71" s="40"/>
      <c r="ACM71" s="40"/>
      <c r="ACO71" s="40"/>
      <c r="ACQ71" s="40"/>
      <c r="ACS71" s="40"/>
      <c r="ACU71" s="40"/>
      <c r="ACW71" s="40"/>
      <c r="ACY71" s="40"/>
      <c r="ADA71" s="40"/>
      <c r="ADC71" s="40"/>
      <c r="ADE71" s="40"/>
      <c r="ADG71" s="40"/>
      <c r="ADI71" s="40"/>
      <c r="ADK71" s="40"/>
      <c r="ADM71" s="40"/>
      <c r="ADO71" s="40"/>
      <c r="ADQ71" s="40"/>
      <c r="ADS71" s="40"/>
      <c r="ADU71" s="40"/>
      <c r="ADW71" s="40"/>
      <c r="ADY71" s="40"/>
      <c r="AEA71" s="40"/>
      <c r="AEC71" s="40"/>
      <c r="AEE71" s="40"/>
      <c r="AEG71" s="40"/>
      <c r="AEI71" s="40"/>
      <c r="AEK71" s="40"/>
      <c r="AEM71" s="40"/>
      <c r="AEO71" s="40"/>
      <c r="AEQ71" s="40"/>
      <c r="AES71" s="40"/>
      <c r="AEU71" s="40"/>
      <c r="AEW71" s="40"/>
      <c r="AEY71" s="40"/>
      <c r="AFA71" s="40"/>
      <c r="AFC71" s="40"/>
      <c r="AFE71" s="40"/>
      <c r="AFG71" s="40"/>
      <c r="AFI71" s="40"/>
      <c r="AFK71" s="40"/>
      <c r="AFM71" s="40"/>
      <c r="AFO71" s="40"/>
      <c r="AFQ71" s="40"/>
      <c r="AFS71" s="40"/>
      <c r="AFU71" s="40"/>
      <c r="AFW71" s="40"/>
      <c r="AFY71" s="40"/>
      <c r="AGA71" s="40"/>
      <c r="AGC71" s="40"/>
      <c r="AGE71" s="40"/>
      <c r="AGG71" s="40"/>
      <c r="AGI71" s="40"/>
      <c r="AGK71" s="40"/>
      <c r="AGM71" s="40"/>
      <c r="AGO71" s="40"/>
      <c r="AGQ71" s="40"/>
      <c r="AGS71" s="40"/>
      <c r="AGU71" s="40"/>
      <c r="AGW71" s="40"/>
      <c r="AGY71" s="40"/>
      <c r="AHA71" s="40"/>
      <c r="AHC71" s="40"/>
      <c r="AHE71" s="40"/>
      <c r="AHG71" s="40"/>
      <c r="AHI71" s="40"/>
      <c r="AHK71" s="40"/>
      <c r="AHM71" s="40"/>
      <c r="AHO71" s="40"/>
      <c r="AHQ71" s="40"/>
      <c r="AHS71" s="40"/>
      <c r="AHU71" s="40"/>
      <c r="AHW71" s="40"/>
      <c r="AHY71" s="40"/>
      <c r="AIA71" s="40"/>
      <c r="AIC71" s="40"/>
      <c r="AIE71" s="40"/>
      <c r="AIG71" s="40"/>
      <c r="AII71" s="40"/>
      <c r="AIK71" s="40"/>
      <c r="AIM71" s="40"/>
      <c r="AIO71" s="40"/>
    </row>
    <row r="72" spans="1:1024" s="27" customFormat="1" ht="15.75" customHeight="1" x14ac:dyDescent="0.35">
      <c r="A72" s="593" t="s">
        <v>328</v>
      </c>
      <c r="B72" s="594" t="s">
        <v>329</v>
      </c>
      <c r="C72" s="593"/>
      <c r="D72" s="594"/>
      <c r="E72" s="593"/>
      <c r="F72" s="594"/>
      <c r="G72" s="593"/>
      <c r="H72" s="594"/>
      <c r="I72" s="593"/>
      <c r="J72" s="594"/>
      <c r="K72" s="593"/>
      <c r="L72" s="594"/>
      <c r="M72" s="593"/>
      <c r="N72" s="594"/>
      <c r="O72" s="593"/>
      <c r="P72" s="594"/>
      <c r="Q72" s="593"/>
      <c r="R72" s="594"/>
      <c r="S72" s="593"/>
      <c r="T72" s="594"/>
      <c r="U72" s="593"/>
      <c r="V72" s="594"/>
      <c r="W72" s="593"/>
      <c r="X72" s="594"/>
      <c r="Y72" s="593"/>
      <c r="Z72" s="594"/>
      <c r="AA72" s="593"/>
      <c r="AB72" s="594"/>
      <c r="AC72" s="593"/>
      <c r="AD72" s="594"/>
      <c r="AE72" s="593"/>
      <c r="AF72" s="594"/>
      <c r="AG72" s="593"/>
      <c r="AH72" s="594"/>
      <c r="AI72" s="593"/>
      <c r="AJ72" s="594"/>
      <c r="AK72" s="593"/>
      <c r="AL72" s="594"/>
      <c r="AM72" s="593"/>
      <c r="AN72" s="594"/>
      <c r="AO72" s="593"/>
      <c r="AP72" s="594"/>
      <c r="AQ72" s="593"/>
      <c r="AR72" s="594"/>
      <c r="AS72" s="593"/>
      <c r="AT72" s="594"/>
      <c r="AU72" s="593"/>
      <c r="AV72" s="594"/>
      <c r="AW72" s="593"/>
      <c r="AX72" s="594"/>
      <c r="AY72" s="593"/>
      <c r="AZ72" s="594"/>
      <c r="BA72" s="593"/>
      <c r="BB72" s="594"/>
      <c r="BC72" s="593"/>
      <c r="BD72" s="594"/>
      <c r="BE72" s="593"/>
      <c r="BF72" s="594"/>
      <c r="BG72" s="593"/>
      <c r="BH72" s="594"/>
      <c r="BI72" s="593"/>
      <c r="BJ72" s="594"/>
      <c r="BK72" s="593"/>
      <c r="BL72" s="594"/>
      <c r="BM72" s="593"/>
      <c r="BN72" s="594"/>
      <c r="BO72" s="593"/>
      <c r="BP72" s="594"/>
      <c r="BQ72" s="593"/>
      <c r="BR72" s="594"/>
      <c r="BS72" s="593"/>
      <c r="BT72" s="594"/>
      <c r="BU72" s="593"/>
      <c r="BV72" s="594"/>
      <c r="BW72" s="593"/>
      <c r="BX72" s="594"/>
      <c r="BY72" s="593"/>
      <c r="BZ72" s="594"/>
      <c r="CA72" s="593"/>
      <c r="CB72" s="594"/>
      <c r="CC72" s="593"/>
      <c r="CD72" s="594"/>
      <c r="CE72" s="593"/>
      <c r="CF72" s="594"/>
      <c r="CG72" s="593"/>
      <c r="CH72" s="594"/>
      <c r="CI72" s="593"/>
      <c r="CJ72" s="594"/>
      <c r="CK72" s="593"/>
      <c r="CL72" s="594"/>
      <c r="CM72" s="593"/>
      <c r="CN72" s="594"/>
      <c r="CO72" s="593"/>
      <c r="CP72" s="594"/>
      <c r="CQ72" s="593"/>
      <c r="CR72" s="594"/>
      <c r="CS72" s="593"/>
      <c r="CT72" s="594"/>
      <c r="CU72" s="593"/>
      <c r="CV72" s="594"/>
      <c r="CW72" s="593"/>
      <c r="CX72" s="594"/>
      <c r="CY72" s="593"/>
      <c r="CZ72" s="594"/>
      <c r="DA72" s="593"/>
      <c r="DB72" s="594"/>
      <c r="DC72" s="593"/>
      <c r="DD72" s="594"/>
      <c r="DE72" s="593"/>
      <c r="DF72" s="594"/>
      <c r="DG72" s="593"/>
      <c r="DH72" s="594"/>
      <c r="DI72" s="593"/>
      <c r="DJ72" s="594"/>
      <c r="DK72" s="593"/>
      <c r="DL72" s="594"/>
      <c r="DM72" s="593"/>
      <c r="DN72" s="594"/>
      <c r="DO72" s="593"/>
      <c r="DP72" s="594"/>
      <c r="DQ72" s="593"/>
      <c r="DR72" s="594"/>
      <c r="DS72" s="593"/>
      <c r="DT72" s="594"/>
      <c r="DU72" s="593"/>
      <c r="DV72" s="594"/>
      <c r="DW72" s="593"/>
      <c r="DX72" s="594"/>
      <c r="DY72" s="593"/>
      <c r="DZ72" s="594"/>
      <c r="EA72" s="593"/>
      <c r="EB72" s="594"/>
      <c r="EC72" s="593"/>
      <c r="ED72" s="594"/>
      <c r="EE72" s="593"/>
      <c r="EF72" s="594"/>
      <c r="EG72" s="593"/>
      <c r="EH72" s="594"/>
      <c r="EI72" s="593"/>
      <c r="EJ72" s="594"/>
      <c r="EK72" s="593"/>
      <c r="EL72" s="594"/>
      <c r="EM72" s="593"/>
      <c r="EN72" s="594"/>
      <c r="EO72" s="593"/>
      <c r="EP72" s="594"/>
      <c r="EQ72" s="593"/>
      <c r="ER72" s="594"/>
      <c r="ES72" s="593"/>
      <c r="ET72" s="594"/>
      <c r="EU72" s="593"/>
      <c r="EV72" s="594"/>
      <c r="EW72" s="593"/>
      <c r="EX72" s="594"/>
      <c r="EY72" s="593"/>
      <c r="EZ72" s="594"/>
      <c r="FA72" s="593"/>
      <c r="FB72" s="594"/>
      <c r="FC72" s="593"/>
      <c r="FD72" s="594"/>
      <c r="FE72" s="593"/>
      <c r="FF72" s="594"/>
      <c r="FG72" s="593"/>
      <c r="FH72" s="594"/>
      <c r="FI72" s="593"/>
      <c r="FJ72" s="594"/>
      <c r="FK72" s="593"/>
      <c r="FL72" s="594"/>
      <c r="FM72" s="593"/>
      <c r="FN72" s="594"/>
      <c r="FO72" s="593"/>
      <c r="FP72" s="594"/>
      <c r="FQ72" s="593"/>
      <c r="FR72" s="594"/>
      <c r="FS72" s="593"/>
      <c r="FT72" s="594"/>
      <c r="FU72" s="593"/>
      <c r="FV72" s="594"/>
      <c r="FW72" s="593"/>
      <c r="FX72" s="594"/>
      <c r="FY72" s="593"/>
      <c r="FZ72" s="594"/>
      <c r="GA72" s="593"/>
      <c r="GB72" s="594"/>
      <c r="GC72" s="593"/>
      <c r="GD72" s="594"/>
      <c r="GE72" s="593"/>
      <c r="GF72" s="594"/>
      <c r="GG72" s="593"/>
      <c r="GH72" s="594"/>
      <c r="GI72" s="593"/>
      <c r="GJ72" s="594"/>
      <c r="GK72" s="593"/>
      <c r="GL72" s="594"/>
      <c r="GM72" s="593"/>
      <c r="GN72" s="594"/>
      <c r="GO72" s="593"/>
      <c r="GP72" s="594"/>
      <c r="GQ72" s="593"/>
      <c r="GR72" s="594"/>
      <c r="GS72" s="593"/>
      <c r="GT72" s="594"/>
      <c r="GU72" s="593"/>
      <c r="GV72" s="594"/>
      <c r="GW72" s="593"/>
      <c r="GX72" s="594"/>
      <c r="GY72" s="593"/>
      <c r="GZ72" s="594"/>
      <c r="HA72" s="593"/>
      <c r="HB72" s="594"/>
      <c r="HC72" s="593"/>
      <c r="HD72" s="594"/>
      <c r="HE72" s="593"/>
      <c r="HF72" s="594"/>
      <c r="HG72" s="593"/>
      <c r="HH72" s="594"/>
      <c r="HI72" s="593"/>
      <c r="HJ72" s="594"/>
      <c r="HK72" s="593"/>
      <c r="HL72" s="594"/>
      <c r="HM72" s="593"/>
      <c r="HN72" s="594"/>
      <c r="HO72" s="593"/>
      <c r="HP72" s="594"/>
      <c r="HQ72" s="593"/>
      <c r="HR72" s="594"/>
      <c r="HS72" s="593"/>
      <c r="HT72" s="594"/>
      <c r="HU72" s="593"/>
      <c r="HV72" s="594"/>
      <c r="HW72" s="593"/>
      <c r="HX72" s="594"/>
      <c r="HY72" s="593"/>
      <c r="HZ72" s="594"/>
      <c r="IA72" s="593"/>
      <c r="IB72" s="594"/>
      <c r="IC72" s="593"/>
      <c r="ID72" s="594"/>
      <c r="IE72" s="593"/>
      <c r="IF72" s="594"/>
      <c r="IG72" s="593"/>
      <c r="IH72" s="594"/>
      <c r="II72" s="593"/>
      <c r="IJ72" s="594"/>
      <c r="IK72" s="593"/>
      <c r="IL72" s="594"/>
      <c r="IM72" s="593"/>
      <c r="IN72" s="594"/>
      <c r="IO72" s="593"/>
      <c r="IP72" s="594"/>
      <c r="IQ72" s="593"/>
      <c r="IR72" s="594"/>
      <c r="IS72" s="593"/>
      <c r="IT72" s="594"/>
      <c r="IU72" s="593"/>
      <c r="IV72" s="594"/>
      <c r="IW72" s="593"/>
      <c r="IX72" s="594"/>
      <c r="IY72" s="593"/>
      <c r="IZ72" s="594"/>
      <c r="JA72" s="593"/>
      <c r="JB72" s="594"/>
      <c r="JC72" s="593"/>
      <c r="JD72" s="594"/>
      <c r="JE72" s="593"/>
      <c r="JF72" s="594"/>
      <c r="JG72" s="593"/>
      <c r="JH72" s="594"/>
      <c r="JI72" s="593"/>
      <c r="JJ72" s="594"/>
      <c r="JK72" s="593"/>
      <c r="JL72" s="594"/>
      <c r="JM72" s="593"/>
      <c r="JN72" s="594"/>
      <c r="JO72" s="593"/>
      <c r="JP72" s="594"/>
      <c r="JQ72" s="593"/>
      <c r="JR72" s="594"/>
      <c r="JS72" s="593"/>
      <c r="JT72" s="594"/>
      <c r="JU72" s="593"/>
      <c r="JV72" s="594"/>
      <c r="JW72" s="593"/>
      <c r="JX72" s="594"/>
      <c r="JY72" s="593"/>
      <c r="JZ72" s="594"/>
      <c r="KA72" s="593"/>
      <c r="KB72" s="594"/>
      <c r="KC72" s="593"/>
      <c r="KD72" s="594"/>
      <c r="KE72" s="593"/>
      <c r="KF72" s="594"/>
      <c r="KG72" s="593"/>
      <c r="KH72" s="594"/>
      <c r="KI72" s="593"/>
      <c r="KJ72" s="594"/>
      <c r="KK72" s="593"/>
      <c r="KL72" s="594"/>
      <c r="KM72" s="593"/>
      <c r="KN72" s="594"/>
      <c r="KO72" s="593"/>
      <c r="KP72" s="594"/>
      <c r="KQ72" s="593"/>
      <c r="KR72" s="594"/>
      <c r="KS72" s="593"/>
      <c r="KT72" s="594"/>
      <c r="KU72" s="593"/>
      <c r="KV72" s="594"/>
      <c r="KW72" s="593"/>
      <c r="KX72" s="594"/>
      <c r="KY72" s="593"/>
      <c r="KZ72" s="594"/>
      <c r="LA72" s="593"/>
      <c r="LB72" s="594"/>
      <c r="LC72" s="593"/>
      <c r="LD72" s="594"/>
      <c r="LE72" s="593"/>
      <c r="LF72" s="594"/>
      <c r="LG72" s="593"/>
      <c r="LH72" s="594"/>
      <c r="LI72" s="593"/>
      <c r="LJ72" s="594"/>
      <c r="LK72" s="593"/>
      <c r="LL72" s="594"/>
      <c r="LM72" s="593"/>
      <c r="LN72" s="594"/>
      <c r="LO72" s="593"/>
      <c r="LP72" s="594"/>
      <c r="LQ72" s="593"/>
      <c r="LR72" s="594"/>
      <c r="LS72" s="593"/>
      <c r="LT72" s="594"/>
      <c r="LU72" s="593"/>
      <c r="LV72" s="594"/>
      <c r="LW72" s="593"/>
      <c r="LX72" s="594"/>
      <c r="LY72" s="593"/>
      <c r="LZ72" s="594"/>
      <c r="MA72" s="593"/>
      <c r="MB72" s="594"/>
      <c r="MC72" s="593"/>
      <c r="MD72" s="594"/>
      <c r="ME72" s="593"/>
      <c r="MF72" s="594"/>
      <c r="MG72" s="593"/>
      <c r="MH72" s="594"/>
      <c r="MI72" s="593"/>
      <c r="MJ72" s="594"/>
      <c r="MK72" s="593"/>
      <c r="ML72" s="594"/>
      <c r="MM72" s="593"/>
      <c r="MN72" s="594"/>
      <c r="MO72" s="593"/>
      <c r="MP72" s="594"/>
      <c r="MQ72" s="593"/>
      <c r="MR72" s="594"/>
      <c r="MS72" s="593"/>
      <c r="MT72" s="594"/>
      <c r="MU72" s="593"/>
      <c r="MV72" s="594"/>
      <c r="MW72" s="593"/>
      <c r="MX72" s="594"/>
      <c r="MY72" s="593"/>
      <c r="MZ72" s="594"/>
      <c r="NA72" s="593"/>
      <c r="NB72" s="594"/>
      <c r="NC72" s="593"/>
      <c r="ND72" s="594"/>
      <c r="NE72" s="593"/>
      <c r="NF72" s="594"/>
      <c r="NG72" s="593"/>
      <c r="NH72" s="594"/>
      <c r="NI72" s="593"/>
      <c r="NJ72" s="594"/>
      <c r="NK72" s="593"/>
      <c r="NL72" s="594"/>
      <c r="NM72" s="593"/>
      <c r="NN72" s="594"/>
      <c r="NO72" s="593"/>
      <c r="NP72" s="594"/>
      <c r="NQ72" s="593"/>
      <c r="NR72" s="594"/>
      <c r="NS72" s="593"/>
      <c r="NT72" s="594"/>
      <c r="NU72" s="593"/>
      <c r="NV72" s="594"/>
      <c r="NW72" s="593"/>
      <c r="NX72" s="594"/>
      <c r="NY72" s="593"/>
      <c r="NZ72" s="594"/>
      <c r="OA72" s="593"/>
      <c r="OB72" s="594"/>
      <c r="OC72" s="593"/>
      <c r="OD72" s="594"/>
      <c r="OE72" s="593"/>
      <c r="OF72" s="594"/>
      <c r="OG72" s="593"/>
      <c r="OH72" s="594"/>
      <c r="OI72" s="593"/>
      <c r="OJ72" s="594"/>
      <c r="OK72" s="593"/>
      <c r="OL72" s="594"/>
      <c r="OM72" s="593"/>
      <c r="ON72" s="594"/>
      <c r="OO72" s="593"/>
      <c r="OP72" s="594"/>
      <c r="OQ72" s="593"/>
      <c r="OR72" s="594"/>
      <c r="OS72" s="593"/>
      <c r="OT72" s="594"/>
      <c r="OU72" s="593"/>
      <c r="OV72" s="594"/>
      <c r="OW72" s="593"/>
      <c r="OX72" s="594"/>
      <c r="OY72" s="593"/>
      <c r="OZ72" s="594"/>
      <c r="PA72" s="593"/>
      <c r="PB72" s="594"/>
      <c r="PC72" s="593"/>
      <c r="PD72" s="594"/>
      <c r="PE72" s="593"/>
      <c r="PF72" s="594"/>
      <c r="PG72" s="593"/>
      <c r="PH72" s="594"/>
      <c r="PI72" s="593"/>
      <c r="PJ72" s="594"/>
      <c r="PK72" s="593"/>
      <c r="PL72" s="594"/>
      <c r="PM72" s="593"/>
      <c r="PN72" s="594"/>
      <c r="PO72" s="593"/>
      <c r="PP72" s="594"/>
      <c r="PQ72" s="593"/>
      <c r="PR72" s="594"/>
      <c r="PS72" s="593"/>
      <c r="PT72" s="594"/>
      <c r="PU72" s="593"/>
      <c r="PV72" s="594"/>
      <c r="PW72" s="593"/>
      <c r="PX72" s="594"/>
      <c r="PY72" s="593"/>
      <c r="PZ72" s="594"/>
      <c r="QA72" s="593"/>
      <c r="QB72" s="594"/>
      <c r="QC72" s="593"/>
      <c r="QD72" s="594"/>
      <c r="QE72" s="593"/>
      <c r="QF72" s="594"/>
      <c r="QG72" s="593"/>
      <c r="QH72" s="594"/>
      <c r="QI72" s="593"/>
      <c r="QJ72" s="594"/>
      <c r="QK72" s="593"/>
      <c r="QL72" s="594"/>
      <c r="QM72" s="593"/>
      <c r="QN72" s="594"/>
      <c r="QO72" s="593"/>
      <c r="QP72" s="594"/>
      <c r="QQ72" s="593"/>
      <c r="QR72" s="594"/>
      <c r="QS72" s="593"/>
      <c r="QT72" s="594"/>
      <c r="QU72" s="593"/>
      <c r="QV72" s="594"/>
      <c r="QW72" s="593"/>
      <c r="QX72" s="594"/>
      <c r="QY72" s="593"/>
      <c r="QZ72" s="594"/>
      <c r="RA72" s="593"/>
      <c r="RB72" s="594"/>
      <c r="RC72" s="593"/>
      <c r="RD72" s="594"/>
      <c r="RE72" s="593"/>
      <c r="RF72" s="594"/>
      <c r="RG72" s="593"/>
      <c r="RH72" s="594"/>
      <c r="RI72" s="593"/>
      <c r="RJ72" s="594"/>
      <c r="RK72" s="593"/>
      <c r="RL72" s="594"/>
      <c r="RM72" s="593"/>
      <c r="RN72" s="594"/>
      <c r="RO72" s="593"/>
      <c r="RP72" s="594"/>
      <c r="RQ72" s="593"/>
      <c r="RR72" s="594"/>
      <c r="RS72" s="593"/>
      <c r="RT72" s="594"/>
      <c r="RU72" s="593"/>
      <c r="RV72" s="594"/>
      <c r="RW72" s="593"/>
      <c r="RX72" s="594"/>
      <c r="RY72" s="593"/>
      <c r="RZ72" s="594"/>
      <c r="SA72" s="593"/>
      <c r="SB72" s="594"/>
      <c r="SC72" s="593"/>
      <c r="SD72" s="594"/>
      <c r="SE72" s="593"/>
      <c r="SF72" s="594"/>
      <c r="SG72" s="593"/>
      <c r="SH72" s="594"/>
      <c r="SI72" s="593"/>
      <c r="SJ72" s="594"/>
      <c r="SK72" s="593"/>
      <c r="SL72" s="594"/>
      <c r="SM72" s="593"/>
      <c r="SN72" s="594"/>
      <c r="SO72" s="593"/>
      <c r="SP72" s="594"/>
      <c r="SQ72" s="593"/>
      <c r="SR72" s="594"/>
      <c r="SS72" s="593"/>
      <c r="ST72" s="594"/>
      <c r="SU72" s="593"/>
      <c r="SV72" s="594"/>
      <c r="SW72" s="593"/>
      <c r="SX72" s="594"/>
      <c r="SY72" s="593"/>
      <c r="SZ72" s="594"/>
      <c r="TA72" s="593"/>
      <c r="TB72" s="594"/>
      <c r="TC72" s="593"/>
      <c r="TD72" s="594"/>
      <c r="TE72" s="593"/>
      <c r="TF72" s="594"/>
      <c r="TG72" s="593"/>
      <c r="TH72" s="594"/>
      <c r="TI72" s="593"/>
      <c r="TJ72" s="594"/>
      <c r="TK72" s="593"/>
      <c r="TL72" s="594"/>
      <c r="TM72" s="593"/>
      <c r="TN72" s="594"/>
      <c r="TO72" s="593"/>
      <c r="TP72" s="594"/>
      <c r="TQ72" s="593"/>
      <c r="TR72" s="594"/>
      <c r="TS72" s="593"/>
      <c r="TT72" s="594"/>
      <c r="TU72" s="593"/>
      <c r="TV72" s="594"/>
      <c r="TW72" s="593"/>
      <c r="TX72" s="594"/>
      <c r="TY72" s="593"/>
      <c r="TZ72" s="594"/>
      <c r="UA72" s="593"/>
      <c r="UB72" s="594"/>
      <c r="UC72" s="593"/>
      <c r="UD72" s="594"/>
      <c r="UE72" s="593"/>
      <c r="UF72" s="594"/>
      <c r="UG72" s="593"/>
      <c r="UH72" s="594"/>
      <c r="UI72" s="593"/>
      <c r="UJ72" s="594"/>
      <c r="UK72" s="593"/>
      <c r="UL72" s="594"/>
      <c r="UM72" s="593"/>
      <c r="UN72" s="594"/>
      <c r="UO72" s="593"/>
      <c r="UP72" s="594"/>
      <c r="UQ72" s="593"/>
      <c r="UR72" s="594"/>
      <c r="US72" s="593"/>
      <c r="UT72" s="594"/>
      <c r="UU72" s="593"/>
      <c r="UV72" s="594"/>
      <c r="UW72" s="593"/>
      <c r="UX72" s="594"/>
      <c r="UY72" s="593"/>
      <c r="UZ72" s="594"/>
      <c r="VA72" s="593"/>
      <c r="VB72" s="594"/>
      <c r="VC72" s="593"/>
      <c r="VD72" s="594"/>
      <c r="VE72" s="593"/>
      <c r="VF72" s="594"/>
      <c r="VG72" s="593"/>
      <c r="VH72" s="594"/>
      <c r="VI72" s="593"/>
      <c r="VJ72" s="594"/>
      <c r="VK72" s="593"/>
      <c r="VL72" s="594"/>
      <c r="VM72" s="593"/>
      <c r="VN72" s="594"/>
      <c r="VO72" s="593"/>
      <c r="VP72" s="594"/>
      <c r="VQ72" s="593"/>
      <c r="VR72" s="594"/>
      <c r="VS72" s="593"/>
      <c r="VT72" s="594"/>
      <c r="VU72" s="593"/>
      <c r="VV72" s="594"/>
      <c r="VW72" s="593"/>
      <c r="VX72" s="594"/>
      <c r="VY72" s="593"/>
      <c r="VZ72" s="594"/>
      <c r="WA72" s="593"/>
      <c r="WB72" s="594"/>
      <c r="WC72" s="593"/>
      <c r="WD72" s="594"/>
      <c r="WE72" s="593"/>
      <c r="WF72" s="594"/>
      <c r="WG72" s="593"/>
      <c r="WH72" s="594"/>
      <c r="WI72" s="593"/>
      <c r="WJ72" s="594"/>
      <c r="WK72" s="593"/>
      <c r="WL72" s="594"/>
      <c r="WM72" s="593"/>
      <c r="WN72" s="594"/>
      <c r="WO72" s="593"/>
      <c r="WP72" s="594"/>
      <c r="WQ72" s="593"/>
      <c r="WR72" s="594"/>
      <c r="WS72" s="593"/>
      <c r="WT72" s="594"/>
      <c r="WU72" s="593"/>
      <c r="WV72" s="594"/>
      <c r="WW72" s="593"/>
      <c r="WX72" s="594"/>
      <c r="WY72" s="593"/>
      <c r="WZ72" s="594"/>
      <c r="XA72" s="593"/>
      <c r="XB72" s="594"/>
      <c r="XC72" s="593"/>
      <c r="XD72" s="594"/>
      <c r="XE72" s="593"/>
      <c r="XF72" s="594"/>
      <c r="XG72" s="593"/>
      <c r="XH72" s="594"/>
      <c r="XI72" s="593"/>
      <c r="XJ72" s="594"/>
      <c r="XK72" s="593"/>
      <c r="XL72" s="594"/>
      <c r="XM72" s="593"/>
      <c r="XN72" s="594"/>
      <c r="XO72" s="593"/>
      <c r="XP72" s="594"/>
      <c r="XQ72" s="593"/>
      <c r="XR72" s="594"/>
      <c r="XS72" s="593"/>
      <c r="XT72" s="594"/>
      <c r="XU72" s="593"/>
      <c r="XV72" s="594"/>
      <c r="XW72" s="593"/>
      <c r="XX72" s="594"/>
      <c r="XY72" s="593"/>
      <c r="XZ72" s="594"/>
      <c r="YA72" s="593"/>
      <c r="YB72" s="594"/>
      <c r="YC72" s="593"/>
      <c r="YD72" s="594"/>
      <c r="YE72" s="593"/>
      <c r="YF72" s="594"/>
      <c r="YG72" s="593"/>
      <c r="YH72" s="594"/>
      <c r="YI72" s="593"/>
      <c r="YJ72" s="594"/>
      <c r="YK72" s="593"/>
      <c r="YL72" s="594"/>
      <c r="YM72" s="593"/>
      <c r="YN72" s="594"/>
      <c r="YO72" s="593"/>
      <c r="YP72" s="594"/>
      <c r="YQ72" s="593"/>
      <c r="YR72" s="594"/>
      <c r="YS72" s="593"/>
      <c r="YT72" s="594"/>
      <c r="YU72" s="593"/>
      <c r="YV72" s="594"/>
      <c r="YW72" s="593"/>
      <c r="YX72" s="594"/>
      <c r="YY72" s="593"/>
      <c r="YZ72" s="594"/>
      <c r="ZA72" s="593"/>
      <c r="ZB72" s="594"/>
      <c r="ZC72" s="593"/>
      <c r="ZD72" s="594"/>
      <c r="ZE72" s="593"/>
      <c r="ZF72" s="594"/>
      <c r="ZG72" s="593"/>
      <c r="ZH72" s="594"/>
      <c r="ZI72" s="593"/>
      <c r="ZJ72" s="594"/>
      <c r="ZK72" s="593"/>
      <c r="ZL72" s="594"/>
      <c r="ZM72" s="593"/>
      <c r="ZN72" s="594"/>
      <c r="ZO72" s="593"/>
      <c r="ZP72" s="594"/>
      <c r="ZQ72" s="593"/>
      <c r="ZR72" s="594"/>
      <c r="ZS72" s="593"/>
      <c r="ZT72" s="594"/>
      <c r="ZU72" s="593"/>
      <c r="ZV72" s="594"/>
      <c r="ZW72" s="593"/>
      <c r="ZX72" s="594"/>
      <c r="ZY72" s="593"/>
      <c r="ZZ72" s="594"/>
      <c r="AAA72" s="593"/>
      <c r="AAB72" s="594"/>
      <c r="AAC72" s="593"/>
      <c r="AAD72" s="594"/>
      <c r="AAE72" s="593"/>
      <c r="AAF72" s="594"/>
      <c r="AAG72" s="593"/>
      <c r="AAH72" s="594"/>
      <c r="AAI72" s="593"/>
      <c r="AAJ72" s="594"/>
      <c r="AAK72" s="593"/>
      <c r="AAL72" s="594"/>
      <c r="AAM72" s="593"/>
      <c r="AAN72" s="594"/>
      <c r="AAO72" s="593"/>
      <c r="AAP72" s="594"/>
      <c r="AAQ72" s="593"/>
      <c r="AAR72" s="594"/>
      <c r="AAS72" s="593"/>
      <c r="AAT72" s="594"/>
      <c r="AAU72" s="593"/>
      <c r="AAV72" s="594"/>
      <c r="AAW72" s="593"/>
      <c r="AAX72" s="594"/>
      <c r="AAY72" s="593"/>
      <c r="AAZ72" s="594"/>
      <c r="ABA72" s="593"/>
      <c r="ABB72" s="594"/>
      <c r="ABC72" s="593"/>
      <c r="ABD72" s="594"/>
      <c r="ABE72" s="593"/>
      <c r="ABF72" s="594"/>
      <c r="ABG72" s="593"/>
      <c r="ABH72" s="594"/>
      <c r="ABI72" s="593"/>
      <c r="ABJ72" s="594"/>
      <c r="ABK72" s="593"/>
      <c r="ABL72" s="594"/>
      <c r="ABM72" s="593"/>
      <c r="ABN72" s="594"/>
      <c r="ABO72" s="593"/>
      <c r="ABP72" s="594"/>
      <c r="ABQ72" s="593"/>
      <c r="ABR72" s="594"/>
      <c r="ABS72" s="593"/>
      <c r="ABT72" s="594"/>
      <c r="ABU72" s="593"/>
      <c r="ABV72" s="594"/>
      <c r="ABW72" s="593"/>
      <c r="ABX72" s="594"/>
      <c r="ABY72" s="593"/>
      <c r="ABZ72" s="594"/>
      <c r="ACA72" s="593"/>
      <c r="ACB72" s="594"/>
      <c r="ACC72" s="593"/>
      <c r="ACD72" s="594"/>
      <c r="ACE72" s="593"/>
      <c r="ACF72" s="594"/>
      <c r="ACG72" s="593"/>
      <c r="ACH72" s="594"/>
      <c r="ACI72" s="593"/>
      <c r="ACJ72" s="594"/>
      <c r="ACK72" s="593"/>
      <c r="ACL72" s="594"/>
      <c r="ACM72" s="593"/>
      <c r="ACN72" s="594"/>
      <c r="ACO72" s="593"/>
      <c r="ACP72" s="594"/>
      <c r="ACQ72" s="593"/>
      <c r="ACR72" s="594"/>
      <c r="ACS72" s="593"/>
      <c r="ACT72" s="594"/>
      <c r="ACU72" s="593"/>
      <c r="ACV72" s="594"/>
      <c r="ACW72" s="593"/>
      <c r="ACX72" s="594"/>
      <c r="ACY72" s="593"/>
      <c r="ACZ72" s="594"/>
      <c r="ADA72" s="593"/>
      <c r="ADB72" s="594"/>
      <c r="ADC72" s="593"/>
      <c r="ADD72" s="594"/>
      <c r="ADE72" s="593"/>
      <c r="ADF72" s="594"/>
      <c r="ADG72" s="593"/>
      <c r="ADH72" s="594"/>
      <c r="ADI72" s="593"/>
      <c r="ADJ72" s="594"/>
      <c r="ADK72" s="593"/>
      <c r="ADL72" s="594"/>
      <c r="ADM72" s="593"/>
      <c r="ADN72" s="594"/>
      <c r="ADO72" s="593"/>
      <c r="ADP72" s="594"/>
      <c r="ADQ72" s="593"/>
      <c r="ADR72" s="594"/>
      <c r="ADS72" s="593"/>
      <c r="ADT72" s="594"/>
      <c r="ADU72" s="593"/>
      <c r="ADV72" s="594"/>
      <c r="ADW72" s="593"/>
      <c r="ADX72" s="594"/>
      <c r="ADY72" s="593"/>
      <c r="ADZ72" s="594"/>
      <c r="AEA72" s="593"/>
      <c r="AEB72" s="594"/>
      <c r="AEC72" s="593"/>
      <c r="AED72" s="594"/>
      <c r="AEE72" s="593"/>
      <c r="AEF72" s="594"/>
      <c r="AEG72" s="593"/>
      <c r="AEH72" s="594"/>
      <c r="AEI72" s="593"/>
      <c r="AEJ72" s="594"/>
      <c r="AEK72" s="593"/>
      <c r="AEL72" s="594"/>
      <c r="AEM72" s="593"/>
      <c r="AEN72" s="594"/>
      <c r="AEO72" s="593"/>
      <c r="AEP72" s="594"/>
      <c r="AEQ72" s="593"/>
      <c r="AER72" s="594"/>
      <c r="AES72" s="593"/>
      <c r="AET72" s="594"/>
      <c r="AEU72" s="593"/>
      <c r="AEV72" s="594"/>
      <c r="AEW72" s="593"/>
      <c r="AEX72" s="594"/>
      <c r="AEY72" s="593"/>
      <c r="AEZ72" s="594"/>
      <c r="AFA72" s="593"/>
      <c r="AFB72" s="594"/>
      <c r="AFC72" s="593"/>
      <c r="AFD72" s="594"/>
      <c r="AFE72" s="593"/>
      <c r="AFF72" s="594"/>
      <c r="AFG72" s="593"/>
      <c r="AFH72" s="594"/>
      <c r="AFI72" s="593"/>
      <c r="AFJ72" s="594"/>
      <c r="AFK72" s="593"/>
      <c r="AFL72" s="594"/>
      <c r="AFM72" s="593"/>
      <c r="AFN72" s="594"/>
      <c r="AFO72" s="593"/>
      <c r="AFP72" s="594"/>
      <c r="AFQ72" s="593"/>
      <c r="AFR72" s="594"/>
      <c r="AFS72" s="593"/>
      <c r="AFT72" s="594"/>
      <c r="AFU72" s="593"/>
      <c r="AFV72" s="594"/>
      <c r="AFW72" s="593"/>
      <c r="AFX72" s="594"/>
      <c r="AFY72" s="593"/>
      <c r="AFZ72" s="594"/>
      <c r="AGA72" s="593"/>
      <c r="AGB72" s="594"/>
      <c r="AGC72" s="593"/>
      <c r="AGD72" s="594"/>
      <c r="AGE72" s="593"/>
      <c r="AGF72" s="594"/>
      <c r="AGG72" s="593"/>
      <c r="AGH72" s="594"/>
      <c r="AGI72" s="593"/>
      <c r="AGJ72" s="594"/>
      <c r="AGK72" s="593"/>
      <c r="AGL72" s="594"/>
      <c r="AGM72" s="593"/>
      <c r="AGN72" s="594"/>
      <c r="AGO72" s="593"/>
      <c r="AGP72" s="594"/>
      <c r="AGQ72" s="593"/>
      <c r="AGR72" s="594"/>
      <c r="AGS72" s="593"/>
      <c r="AGT72" s="594"/>
      <c r="AGU72" s="593"/>
      <c r="AGV72" s="594"/>
      <c r="AGW72" s="593"/>
      <c r="AGX72" s="594"/>
      <c r="AGY72" s="593"/>
      <c r="AGZ72" s="594"/>
      <c r="AHA72" s="593"/>
      <c r="AHB72" s="594"/>
      <c r="AHC72" s="593"/>
      <c r="AHD72" s="594"/>
      <c r="AHE72" s="593"/>
      <c r="AHF72" s="594"/>
      <c r="AHG72" s="593"/>
      <c r="AHH72" s="594"/>
      <c r="AHI72" s="593"/>
      <c r="AHJ72" s="594"/>
      <c r="AHK72" s="593"/>
      <c r="AHL72" s="594"/>
      <c r="AHM72" s="593"/>
      <c r="AHN72" s="594"/>
      <c r="AHO72" s="593"/>
      <c r="AHP72" s="594"/>
      <c r="AHQ72" s="593"/>
      <c r="AHR72" s="594"/>
      <c r="AHS72" s="593"/>
      <c r="AHT72" s="594"/>
      <c r="AHU72" s="593"/>
      <c r="AHV72" s="594"/>
      <c r="AHW72" s="593"/>
      <c r="AHX72" s="594"/>
      <c r="AHY72" s="593"/>
      <c r="AHZ72" s="594"/>
      <c r="AIA72" s="593"/>
      <c r="AIB72" s="594"/>
      <c r="AIC72" s="593"/>
      <c r="AID72" s="594"/>
      <c r="AIE72" s="593"/>
      <c r="AIF72" s="594"/>
      <c r="AIG72" s="593"/>
      <c r="AIH72" s="594"/>
      <c r="AII72" s="593"/>
      <c r="AIJ72" s="594"/>
      <c r="AIK72" s="593"/>
      <c r="AIL72" s="594"/>
      <c r="AIM72" s="593"/>
      <c r="AIN72" s="594"/>
      <c r="AIO72" s="593"/>
      <c r="AIP72" s="594"/>
      <c r="AIQ72" s="593"/>
      <c r="AIR72" s="594"/>
      <c r="AIS72" s="593"/>
      <c r="AIT72" s="594"/>
      <c r="AIU72" s="593"/>
      <c r="AIV72" s="594"/>
      <c r="AIW72" s="593"/>
      <c r="AIX72" s="594"/>
      <c r="AIY72" s="593"/>
      <c r="AIZ72" s="594"/>
      <c r="AJA72" s="593"/>
      <c r="AJB72" s="594"/>
      <c r="AJC72" s="593"/>
      <c r="AJD72" s="594"/>
      <c r="AJE72" s="593"/>
      <c r="AJF72" s="594"/>
      <c r="AJG72" s="593"/>
      <c r="AJH72" s="594"/>
      <c r="AJI72" s="593"/>
      <c r="AJJ72" s="594"/>
      <c r="AJK72" s="593"/>
      <c r="AJL72" s="594"/>
      <c r="AJM72" s="593"/>
      <c r="AJN72" s="594"/>
      <c r="AJO72" s="593"/>
      <c r="AJP72" s="594"/>
      <c r="AJQ72" s="593"/>
      <c r="AJR72" s="594"/>
      <c r="AJS72" s="593"/>
      <c r="AJT72" s="594"/>
      <c r="AJU72" s="593"/>
      <c r="AJV72" s="594"/>
      <c r="AJW72" s="593"/>
      <c r="AJX72" s="594"/>
      <c r="AJY72" s="593"/>
      <c r="AJZ72" s="594"/>
      <c r="AKA72" s="593"/>
      <c r="AKB72" s="594"/>
      <c r="AKC72" s="593"/>
      <c r="AKD72" s="594"/>
      <c r="AKE72" s="593"/>
      <c r="AKF72" s="594"/>
      <c r="AKG72" s="593"/>
      <c r="AKH72" s="594"/>
      <c r="AKI72" s="593"/>
      <c r="AKJ72" s="594"/>
      <c r="AKK72" s="593"/>
      <c r="AKL72" s="594"/>
      <c r="AKM72" s="593"/>
      <c r="AKN72" s="594"/>
      <c r="AKO72" s="593"/>
      <c r="AKP72" s="594"/>
      <c r="AKQ72" s="593"/>
      <c r="AKR72" s="594"/>
      <c r="AKS72" s="593"/>
      <c r="AKT72" s="594"/>
      <c r="AKU72" s="593"/>
      <c r="AKV72" s="594"/>
      <c r="AKW72" s="593"/>
      <c r="AKX72" s="594"/>
      <c r="AKY72" s="593"/>
      <c r="AKZ72" s="594"/>
      <c r="ALA72" s="593"/>
      <c r="ALB72" s="594"/>
      <c r="ALC72" s="593"/>
      <c r="ALD72" s="594"/>
      <c r="ALE72" s="593"/>
      <c r="ALF72" s="594"/>
      <c r="ALG72" s="593"/>
      <c r="ALH72" s="594"/>
      <c r="ALI72" s="593"/>
      <c r="ALJ72" s="594"/>
      <c r="ALK72" s="593"/>
      <c r="ALL72" s="594"/>
      <c r="ALM72" s="593"/>
      <c r="ALN72" s="594"/>
      <c r="ALO72" s="593"/>
      <c r="ALP72" s="594"/>
      <c r="ALQ72" s="593"/>
      <c r="ALR72" s="594"/>
      <c r="ALS72" s="593"/>
      <c r="ALT72" s="594"/>
      <c r="ALU72" s="593"/>
      <c r="ALV72" s="594"/>
      <c r="ALW72" s="593"/>
      <c r="ALX72" s="594"/>
      <c r="ALY72" s="593"/>
      <c r="ALZ72" s="594"/>
      <c r="AMA72" s="593"/>
      <c r="AMB72" s="594"/>
      <c r="AMC72" s="593"/>
      <c r="AMD72" s="594"/>
      <c r="AME72" s="593"/>
      <c r="AMF72" s="594"/>
      <c r="AMG72" s="593"/>
      <c r="AMH72" s="594"/>
      <c r="AMI72" s="593"/>
      <c r="AMJ72" s="594"/>
    </row>
    <row r="73" spans="1:1024" s="39" customFormat="1" ht="15.75" customHeight="1" x14ac:dyDescent="0.35">
      <c r="A73" s="600"/>
      <c r="B73" s="644" t="s">
        <v>330</v>
      </c>
      <c r="C73" s="645"/>
      <c r="D73" s="646"/>
      <c r="E73" s="645"/>
      <c r="F73" s="646"/>
      <c r="G73" s="647"/>
      <c r="H73" s="643"/>
      <c r="I73" s="645"/>
      <c r="J73" s="38"/>
      <c r="K73" s="38"/>
      <c r="M73" s="38"/>
      <c r="O73" s="38"/>
      <c r="Q73" s="38"/>
      <c r="S73" s="38"/>
      <c r="U73" s="38"/>
      <c r="W73" s="38"/>
      <c r="Y73" s="38"/>
      <c r="AA73" s="38"/>
      <c r="AC73" s="38"/>
      <c r="AE73" s="38"/>
      <c r="AG73" s="38"/>
      <c r="AI73" s="38"/>
      <c r="AK73" s="40"/>
      <c r="AM73" s="40"/>
      <c r="AO73" s="40"/>
      <c r="AQ73" s="40"/>
      <c r="AS73" s="40"/>
      <c r="AU73" s="40"/>
      <c r="AW73" s="40"/>
      <c r="AY73" s="40"/>
      <c r="BA73" s="40"/>
      <c r="BC73" s="40"/>
      <c r="BE73" s="40"/>
      <c r="BG73" s="40"/>
      <c r="BI73" s="40"/>
      <c r="BK73" s="40"/>
      <c r="BM73" s="40"/>
      <c r="BO73" s="40"/>
      <c r="BQ73" s="40"/>
      <c r="BS73" s="40"/>
      <c r="BU73" s="40"/>
      <c r="BW73" s="40"/>
      <c r="BY73" s="40"/>
      <c r="CA73" s="40"/>
      <c r="CC73" s="40"/>
      <c r="CE73" s="40"/>
      <c r="CG73" s="40"/>
      <c r="CI73" s="40"/>
      <c r="CK73" s="40"/>
      <c r="CM73" s="40"/>
      <c r="CO73" s="40"/>
      <c r="CQ73" s="40"/>
      <c r="CS73" s="40"/>
      <c r="CU73" s="40"/>
      <c r="CW73" s="40"/>
      <c r="CY73" s="40"/>
      <c r="DA73" s="40"/>
      <c r="DC73" s="40"/>
      <c r="DE73" s="40"/>
      <c r="DG73" s="40"/>
      <c r="DI73" s="40"/>
      <c r="DK73" s="40"/>
      <c r="DM73" s="40"/>
      <c r="DO73" s="40"/>
      <c r="DQ73" s="40"/>
      <c r="DS73" s="40"/>
      <c r="DU73" s="40"/>
      <c r="DW73" s="40"/>
      <c r="DY73" s="40"/>
      <c r="EA73" s="40"/>
      <c r="EC73" s="40"/>
      <c r="EE73" s="40"/>
      <c r="EG73" s="40"/>
      <c r="EI73" s="40"/>
      <c r="EK73" s="40"/>
      <c r="EM73" s="40"/>
      <c r="EO73" s="40"/>
      <c r="EQ73" s="40"/>
      <c r="ES73" s="40"/>
      <c r="EU73" s="40"/>
      <c r="EW73" s="40"/>
      <c r="EY73" s="40"/>
      <c r="FA73" s="40"/>
      <c r="FC73" s="40"/>
      <c r="FE73" s="40"/>
      <c r="FG73" s="40"/>
      <c r="FI73" s="40"/>
      <c r="FK73" s="40"/>
      <c r="FM73" s="40"/>
      <c r="FO73" s="40"/>
      <c r="FQ73" s="40"/>
      <c r="FS73" s="40"/>
      <c r="FU73" s="40"/>
      <c r="FW73" s="40"/>
      <c r="FY73" s="40"/>
      <c r="GA73" s="40"/>
      <c r="GC73" s="40"/>
      <c r="GE73" s="40"/>
      <c r="GG73" s="40"/>
      <c r="GI73" s="40"/>
      <c r="GK73" s="40"/>
      <c r="GM73" s="40"/>
      <c r="GO73" s="40"/>
      <c r="GQ73" s="40"/>
      <c r="GS73" s="40"/>
      <c r="GU73" s="40"/>
      <c r="GW73" s="40"/>
      <c r="GY73" s="40"/>
      <c r="HA73" s="40"/>
      <c r="HC73" s="40"/>
      <c r="HE73" s="40"/>
      <c r="HG73" s="40"/>
      <c r="HI73" s="40"/>
      <c r="HK73" s="40"/>
      <c r="HM73" s="40"/>
      <c r="HO73" s="40"/>
      <c r="HQ73" s="40"/>
      <c r="HS73" s="40"/>
      <c r="HU73" s="40"/>
      <c r="HW73" s="40"/>
      <c r="HY73" s="40"/>
      <c r="IA73" s="40"/>
      <c r="IC73" s="40"/>
      <c r="IE73" s="40"/>
      <c r="IG73" s="40"/>
      <c r="II73" s="40"/>
      <c r="IK73" s="40"/>
      <c r="IM73" s="40"/>
      <c r="IO73" s="40"/>
      <c r="IQ73" s="40"/>
      <c r="IS73" s="40"/>
      <c r="IU73" s="40"/>
      <c r="IW73" s="40"/>
      <c r="IY73" s="40"/>
      <c r="JA73" s="40"/>
      <c r="JC73" s="40"/>
      <c r="JE73" s="40"/>
      <c r="JG73" s="40"/>
      <c r="JI73" s="40"/>
      <c r="JK73" s="40"/>
      <c r="JM73" s="40"/>
      <c r="JO73" s="40"/>
      <c r="JQ73" s="40"/>
      <c r="JS73" s="40"/>
      <c r="JU73" s="40"/>
      <c r="JW73" s="40"/>
      <c r="JY73" s="40"/>
      <c r="KA73" s="40"/>
      <c r="KC73" s="40"/>
      <c r="KE73" s="40"/>
      <c r="KG73" s="40"/>
      <c r="KI73" s="40"/>
      <c r="KK73" s="40"/>
      <c r="KM73" s="40"/>
      <c r="KO73" s="40"/>
      <c r="KQ73" s="40"/>
      <c r="KS73" s="40"/>
      <c r="KU73" s="40"/>
      <c r="KW73" s="40"/>
      <c r="KY73" s="40"/>
      <c r="LA73" s="40"/>
      <c r="LC73" s="40"/>
      <c r="LE73" s="40"/>
      <c r="LG73" s="40"/>
      <c r="LI73" s="40"/>
      <c r="LK73" s="40"/>
      <c r="LM73" s="40"/>
      <c r="LO73" s="40"/>
      <c r="LQ73" s="40"/>
      <c r="LS73" s="40"/>
      <c r="LU73" s="40"/>
      <c r="LW73" s="40"/>
      <c r="LY73" s="40"/>
      <c r="MA73" s="40"/>
      <c r="MC73" s="40"/>
      <c r="ME73" s="40"/>
      <c r="MG73" s="40"/>
      <c r="MI73" s="40"/>
      <c r="MK73" s="40"/>
      <c r="MM73" s="40"/>
      <c r="MO73" s="40"/>
      <c r="MQ73" s="40"/>
      <c r="MS73" s="40"/>
      <c r="MU73" s="40"/>
      <c r="MW73" s="40"/>
      <c r="MY73" s="40"/>
      <c r="NA73" s="40"/>
      <c r="NC73" s="40"/>
      <c r="NE73" s="40"/>
      <c r="NG73" s="40"/>
      <c r="NI73" s="40"/>
      <c r="NK73" s="40"/>
      <c r="NM73" s="40"/>
      <c r="NO73" s="40"/>
      <c r="NQ73" s="40"/>
      <c r="NS73" s="40"/>
      <c r="NU73" s="40"/>
      <c r="NW73" s="40"/>
      <c r="NY73" s="40"/>
      <c r="OA73" s="40"/>
      <c r="OC73" s="40"/>
      <c r="OE73" s="40"/>
      <c r="OG73" s="40"/>
      <c r="OI73" s="40"/>
      <c r="OK73" s="40"/>
      <c r="OM73" s="40"/>
      <c r="OO73" s="40"/>
      <c r="OQ73" s="40"/>
      <c r="OS73" s="40"/>
      <c r="OU73" s="40"/>
      <c r="OW73" s="40"/>
      <c r="OY73" s="40"/>
      <c r="PA73" s="40"/>
      <c r="PC73" s="40"/>
      <c r="PE73" s="40"/>
      <c r="PG73" s="40"/>
      <c r="PI73" s="40"/>
      <c r="PK73" s="40"/>
      <c r="PM73" s="40"/>
      <c r="PO73" s="40"/>
      <c r="PQ73" s="40"/>
      <c r="PS73" s="40"/>
      <c r="PU73" s="40"/>
      <c r="PW73" s="40"/>
      <c r="PY73" s="40"/>
      <c r="QA73" s="40"/>
      <c r="QC73" s="40"/>
      <c r="QE73" s="40"/>
      <c r="QG73" s="40"/>
      <c r="QI73" s="40"/>
      <c r="QK73" s="40"/>
      <c r="QM73" s="40"/>
      <c r="QO73" s="40"/>
      <c r="QQ73" s="40"/>
      <c r="QS73" s="40"/>
      <c r="QU73" s="40"/>
      <c r="QW73" s="40"/>
      <c r="QY73" s="40"/>
      <c r="RA73" s="40"/>
      <c r="RC73" s="40"/>
      <c r="RE73" s="40"/>
      <c r="RG73" s="40"/>
      <c r="RI73" s="40"/>
      <c r="RK73" s="40"/>
      <c r="RM73" s="40"/>
      <c r="RO73" s="40"/>
      <c r="RQ73" s="40"/>
      <c r="RS73" s="40"/>
      <c r="RU73" s="40"/>
      <c r="RW73" s="40"/>
      <c r="RY73" s="40"/>
      <c r="SA73" s="40"/>
      <c r="SC73" s="40"/>
      <c r="SE73" s="40"/>
      <c r="SG73" s="40"/>
      <c r="SI73" s="40"/>
      <c r="SK73" s="40"/>
      <c r="SM73" s="40"/>
      <c r="SO73" s="40"/>
      <c r="SQ73" s="40"/>
      <c r="SS73" s="40"/>
      <c r="SU73" s="40"/>
      <c r="SW73" s="40"/>
      <c r="SY73" s="40"/>
      <c r="TA73" s="40"/>
      <c r="TC73" s="40"/>
      <c r="TE73" s="40"/>
      <c r="TG73" s="40"/>
      <c r="TI73" s="40"/>
      <c r="TK73" s="40"/>
      <c r="TM73" s="40"/>
      <c r="TO73" s="40"/>
      <c r="TQ73" s="40"/>
      <c r="TS73" s="40"/>
      <c r="TU73" s="40"/>
      <c r="TW73" s="40"/>
      <c r="TY73" s="40"/>
      <c r="UA73" s="40"/>
      <c r="UC73" s="40"/>
      <c r="UE73" s="40"/>
      <c r="UG73" s="40"/>
      <c r="UI73" s="40"/>
      <c r="UK73" s="40"/>
      <c r="UM73" s="40"/>
      <c r="UO73" s="40"/>
      <c r="UQ73" s="40"/>
      <c r="US73" s="40"/>
      <c r="UU73" s="40"/>
      <c r="UW73" s="40"/>
      <c r="UY73" s="40"/>
      <c r="VA73" s="40"/>
      <c r="VC73" s="40"/>
      <c r="VE73" s="40"/>
      <c r="VG73" s="40"/>
      <c r="VI73" s="40"/>
      <c r="VK73" s="40"/>
      <c r="VM73" s="40"/>
      <c r="VO73" s="40"/>
      <c r="VQ73" s="40"/>
      <c r="VS73" s="40"/>
      <c r="VU73" s="40"/>
      <c r="VW73" s="40"/>
      <c r="VY73" s="40"/>
      <c r="WA73" s="40"/>
      <c r="WC73" s="40"/>
      <c r="WE73" s="40"/>
      <c r="WG73" s="40"/>
      <c r="WI73" s="40"/>
      <c r="WK73" s="40"/>
      <c r="WM73" s="40"/>
      <c r="WO73" s="40"/>
      <c r="WQ73" s="40"/>
      <c r="WS73" s="40"/>
      <c r="WU73" s="40"/>
      <c r="WW73" s="40"/>
      <c r="WY73" s="40"/>
      <c r="XA73" s="40"/>
      <c r="XC73" s="40"/>
      <c r="XE73" s="40"/>
      <c r="XG73" s="40"/>
      <c r="XI73" s="40"/>
      <c r="XK73" s="40"/>
      <c r="XM73" s="40"/>
      <c r="XO73" s="40"/>
      <c r="XQ73" s="40"/>
      <c r="XS73" s="40"/>
      <c r="XU73" s="40"/>
      <c r="XW73" s="40"/>
      <c r="XY73" s="40"/>
      <c r="YA73" s="40"/>
      <c r="YC73" s="40"/>
      <c r="YE73" s="40"/>
      <c r="YG73" s="40"/>
      <c r="YI73" s="40"/>
      <c r="YK73" s="40"/>
      <c r="YM73" s="40"/>
      <c r="YO73" s="40"/>
      <c r="YQ73" s="40"/>
      <c r="YS73" s="40"/>
      <c r="YU73" s="40"/>
      <c r="YW73" s="40"/>
      <c r="YY73" s="40"/>
      <c r="ZA73" s="40"/>
      <c r="ZC73" s="40"/>
      <c r="ZE73" s="40"/>
      <c r="ZG73" s="40"/>
      <c r="ZI73" s="40"/>
      <c r="ZK73" s="40"/>
      <c r="ZM73" s="40"/>
      <c r="ZO73" s="40"/>
      <c r="ZQ73" s="40"/>
      <c r="ZS73" s="40"/>
      <c r="ZU73" s="40"/>
      <c r="ZW73" s="40"/>
      <c r="ZY73" s="40"/>
      <c r="AAA73" s="40"/>
      <c r="AAC73" s="40"/>
      <c r="AAE73" s="40"/>
      <c r="AAG73" s="40"/>
      <c r="AAI73" s="40"/>
      <c r="AAK73" s="40"/>
      <c r="AAM73" s="40"/>
      <c r="AAO73" s="40"/>
      <c r="AAQ73" s="40"/>
      <c r="AAS73" s="40"/>
      <c r="AAU73" s="40"/>
      <c r="AAW73" s="40"/>
      <c r="AAY73" s="40"/>
      <c r="ABA73" s="40"/>
      <c r="ABC73" s="40"/>
      <c r="ABE73" s="40"/>
      <c r="ABG73" s="40"/>
      <c r="ABI73" s="40"/>
      <c r="ABK73" s="40"/>
      <c r="ABM73" s="40"/>
      <c r="ABO73" s="40"/>
      <c r="ABQ73" s="40"/>
      <c r="ABS73" s="40"/>
      <c r="ABU73" s="40"/>
      <c r="ABW73" s="40"/>
      <c r="ABY73" s="40"/>
      <c r="ACA73" s="40"/>
      <c r="ACC73" s="40"/>
      <c r="ACE73" s="40"/>
      <c r="ACG73" s="40"/>
      <c r="ACI73" s="40"/>
      <c r="ACK73" s="40"/>
      <c r="ACM73" s="40"/>
      <c r="ACO73" s="40"/>
      <c r="ACQ73" s="40"/>
      <c r="ACS73" s="40"/>
      <c r="ACU73" s="40"/>
      <c r="ACW73" s="40"/>
      <c r="ACY73" s="40"/>
      <c r="ADA73" s="40"/>
      <c r="ADC73" s="40"/>
      <c r="ADE73" s="40"/>
      <c r="ADG73" s="40"/>
      <c r="ADI73" s="40"/>
      <c r="ADK73" s="40"/>
      <c r="ADM73" s="40"/>
      <c r="ADO73" s="40"/>
      <c r="ADQ73" s="40"/>
      <c r="ADS73" s="40"/>
      <c r="ADU73" s="40"/>
      <c r="ADW73" s="40"/>
      <c r="ADY73" s="40"/>
      <c r="AEA73" s="40"/>
      <c r="AEC73" s="40"/>
      <c r="AEE73" s="40"/>
      <c r="AEG73" s="40"/>
      <c r="AEI73" s="40"/>
      <c r="AEK73" s="40"/>
      <c r="AEM73" s="40"/>
      <c r="AEO73" s="40"/>
      <c r="AEQ73" s="40"/>
      <c r="AES73" s="40"/>
      <c r="AEU73" s="40"/>
      <c r="AEW73" s="40"/>
      <c r="AEY73" s="40"/>
      <c r="AFA73" s="40"/>
      <c r="AFC73" s="40"/>
      <c r="AFE73" s="40"/>
      <c r="AFG73" s="40"/>
      <c r="AFI73" s="40"/>
      <c r="AFK73" s="40"/>
      <c r="AFM73" s="40"/>
      <c r="AFO73" s="40"/>
      <c r="AFQ73" s="40"/>
      <c r="AFS73" s="40"/>
      <c r="AFU73" s="40"/>
      <c r="AFW73" s="40"/>
      <c r="AFY73" s="40"/>
      <c r="AGA73" s="40"/>
      <c r="AGC73" s="40"/>
      <c r="AGE73" s="40"/>
      <c r="AGG73" s="40"/>
      <c r="AGI73" s="40"/>
      <c r="AGK73" s="40"/>
      <c r="AGM73" s="40"/>
      <c r="AGO73" s="40"/>
      <c r="AGQ73" s="40"/>
      <c r="AGS73" s="40"/>
      <c r="AGU73" s="40"/>
      <c r="AGW73" s="40"/>
      <c r="AGY73" s="40"/>
      <c r="AHA73" s="40"/>
      <c r="AHC73" s="40"/>
      <c r="AHE73" s="40"/>
      <c r="AHG73" s="40"/>
      <c r="AHI73" s="40"/>
      <c r="AHK73" s="40"/>
      <c r="AHM73" s="40"/>
      <c r="AHO73" s="40"/>
      <c r="AHQ73" s="40"/>
      <c r="AHS73" s="40"/>
      <c r="AHU73" s="40"/>
      <c r="AHW73" s="40"/>
      <c r="AHY73" s="40"/>
      <c r="AIA73" s="40"/>
      <c r="AIC73" s="40"/>
      <c r="AIE73" s="40"/>
      <c r="AIG73" s="40"/>
      <c r="AII73" s="40"/>
      <c r="AIK73" s="40"/>
      <c r="AIM73" s="40"/>
      <c r="AIO73" s="40"/>
    </row>
    <row r="74" spans="1:1024" s="39" customFormat="1" ht="15.75" customHeight="1" x14ac:dyDescent="0.35">
      <c r="A74" s="600"/>
      <c r="B74" s="644" t="s">
        <v>331</v>
      </c>
      <c r="C74" s="645"/>
      <c r="D74" s="646"/>
      <c r="E74" s="645"/>
      <c r="F74" s="646"/>
      <c r="G74" s="647"/>
      <c r="H74" s="643"/>
      <c r="I74" s="645"/>
      <c r="J74" s="38"/>
      <c r="K74" s="38"/>
      <c r="M74" s="38"/>
      <c r="O74" s="38"/>
      <c r="Q74" s="38"/>
      <c r="S74" s="38"/>
      <c r="U74" s="38"/>
      <c r="W74" s="38"/>
      <c r="Y74" s="38"/>
      <c r="AA74" s="38"/>
      <c r="AC74" s="38"/>
      <c r="AE74" s="38"/>
      <c r="AG74" s="38"/>
      <c r="AI74" s="38"/>
      <c r="AK74" s="40"/>
      <c r="AM74" s="40"/>
      <c r="AO74" s="40"/>
      <c r="AQ74" s="40"/>
      <c r="AS74" s="40"/>
      <c r="AU74" s="40"/>
      <c r="AW74" s="40"/>
      <c r="AY74" s="40"/>
      <c r="BA74" s="40"/>
      <c r="BC74" s="40"/>
      <c r="BE74" s="40"/>
      <c r="BG74" s="40"/>
      <c r="BI74" s="40"/>
      <c r="BK74" s="40"/>
      <c r="BM74" s="40"/>
      <c r="BO74" s="40"/>
      <c r="BQ74" s="40"/>
      <c r="BS74" s="40"/>
      <c r="BU74" s="40"/>
      <c r="BW74" s="40"/>
      <c r="BY74" s="40"/>
      <c r="CA74" s="40"/>
      <c r="CC74" s="40"/>
      <c r="CE74" s="40"/>
      <c r="CG74" s="40"/>
      <c r="CI74" s="40"/>
      <c r="CK74" s="40"/>
      <c r="CM74" s="40"/>
      <c r="CO74" s="40"/>
      <c r="CQ74" s="40"/>
      <c r="CS74" s="40"/>
      <c r="CU74" s="40"/>
      <c r="CW74" s="40"/>
      <c r="CY74" s="40"/>
      <c r="DA74" s="40"/>
      <c r="DC74" s="40"/>
      <c r="DE74" s="40"/>
      <c r="DG74" s="40"/>
      <c r="DI74" s="40"/>
      <c r="DK74" s="40"/>
      <c r="DM74" s="40"/>
      <c r="DO74" s="40"/>
      <c r="DQ74" s="40"/>
      <c r="DS74" s="40"/>
      <c r="DU74" s="40"/>
      <c r="DW74" s="40"/>
      <c r="DY74" s="40"/>
      <c r="EA74" s="40"/>
      <c r="EC74" s="40"/>
      <c r="EE74" s="40"/>
      <c r="EG74" s="40"/>
      <c r="EI74" s="40"/>
      <c r="EK74" s="40"/>
      <c r="EM74" s="40"/>
      <c r="EO74" s="40"/>
      <c r="EQ74" s="40"/>
      <c r="ES74" s="40"/>
      <c r="EU74" s="40"/>
      <c r="EW74" s="40"/>
      <c r="EY74" s="40"/>
      <c r="FA74" s="40"/>
      <c r="FC74" s="40"/>
      <c r="FE74" s="40"/>
      <c r="FG74" s="40"/>
      <c r="FI74" s="40"/>
      <c r="FK74" s="40"/>
      <c r="FM74" s="40"/>
      <c r="FO74" s="40"/>
      <c r="FQ74" s="40"/>
      <c r="FS74" s="40"/>
      <c r="FU74" s="40"/>
      <c r="FW74" s="40"/>
      <c r="FY74" s="40"/>
      <c r="GA74" s="40"/>
      <c r="GC74" s="40"/>
      <c r="GE74" s="40"/>
      <c r="GG74" s="40"/>
      <c r="GI74" s="40"/>
      <c r="GK74" s="40"/>
      <c r="GM74" s="40"/>
      <c r="GO74" s="40"/>
      <c r="GQ74" s="40"/>
      <c r="GS74" s="40"/>
      <c r="GU74" s="40"/>
      <c r="GW74" s="40"/>
      <c r="GY74" s="40"/>
      <c r="HA74" s="40"/>
      <c r="HC74" s="40"/>
      <c r="HE74" s="40"/>
      <c r="HG74" s="40"/>
      <c r="HI74" s="40"/>
      <c r="HK74" s="40"/>
      <c r="HM74" s="40"/>
      <c r="HO74" s="40"/>
      <c r="HQ74" s="40"/>
      <c r="HS74" s="40"/>
      <c r="HU74" s="40"/>
      <c r="HW74" s="40"/>
      <c r="HY74" s="40"/>
      <c r="IA74" s="40"/>
      <c r="IC74" s="40"/>
      <c r="IE74" s="40"/>
      <c r="IG74" s="40"/>
      <c r="II74" s="40"/>
      <c r="IK74" s="40"/>
      <c r="IM74" s="40"/>
      <c r="IO74" s="40"/>
      <c r="IQ74" s="40"/>
      <c r="IS74" s="40"/>
      <c r="IU74" s="40"/>
      <c r="IW74" s="40"/>
      <c r="IY74" s="40"/>
      <c r="JA74" s="40"/>
      <c r="JC74" s="40"/>
      <c r="JE74" s="40"/>
      <c r="JG74" s="40"/>
      <c r="JI74" s="40"/>
      <c r="JK74" s="40"/>
      <c r="JM74" s="40"/>
      <c r="JO74" s="40"/>
      <c r="JQ74" s="40"/>
      <c r="JS74" s="40"/>
      <c r="JU74" s="40"/>
      <c r="JW74" s="40"/>
      <c r="JY74" s="40"/>
      <c r="KA74" s="40"/>
      <c r="KC74" s="40"/>
      <c r="KE74" s="40"/>
      <c r="KG74" s="40"/>
      <c r="KI74" s="40"/>
      <c r="KK74" s="40"/>
      <c r="KM74" s="40"/>
      <c r="KO74" s="40"/>
      <c r="KQ74" s="40"/>
      <c r="KS74" s="40"/>
      <c r="KU74" s="40"/>
      <c r="KW74" s="40"/>
      <c r="KY74" s="40"/>
      <c r="LA74" s="40"/>
      <c r="LC74" s="40"/>
      <c r="LE74" s="40"/>
      <c r="LG74" s="40"/>
      <c r="LI74" s="40"/>
      <c r="LK74" s="40"/>
      <c r="LM74" s="40"/>
      <c r="LO74" s="40"/>
      <c r="LQ74" s="40"/>
      <c r="LS74" s="40"/>
      <c r="LU74" s="40"/>
      <c r="LW74" s="40"/>
      <c r="LY74" s="40"/>
      <c r="MA74" s="40"/>
      <c r="MC74" s="40"/>
      <c r="ME74" s="40"/>
      <c r="MG74" s="40"/>
      <c r="MI74" s="40"/>
      <c r="MK74" s="40"/>
      <c r="MM74" s="40"/>
      <c r="MO74" s="40"/>
      <c r="MQ74" s="40"/>
      <c r="MS74" s="40"/>
      <c r="MU74" s="40"/>
      <c r="MW74" s="40"/>
      <c r="MY74" s="40"/>
      <c r="NA74" s="40"/>
      <c r="NC74" s="40"/>
      <c r="NE74" s="40"/>
      <c r="NG74" s="40"/>
      <c r="NI74" s="40"/>
      <c r="NK74" s="40"/>
      <c r="NM74" s="40"/>
      <c r="NO74" s="40"/>
      <c r="NQ74" s="40"/>
      <c r="NS74" s="40"/>
      <c r="NU74" s="40"/>
      <c r="NW74" s="40"/>
      <c r="NY74" s="40"/>
      <c r="OA74" s="40"/>
      <c r="OC74" s="40"/>
      <c r="OE74" s="40"/>
      <c r="OG74" s="40"/>
      <c r="OI74" s="40"/>
      <c r="OK74" s="40"/>
      <c r="OM74" s="40"/>
      <c r="OO74" s="40"/>
      <c r="OQ74" s="40"/>
      <c r="OS74" s="40"/>
      <c r="OU74" s="40"/>
      <c r="OW74" s="40"/>
      <c r="OY74" s="40"/>
      <c r="PA74" s="40"/>
      <c r="PC74" s="40"/>
      <c r="PE74" s="40"/>
      <c r="PG74" s="40"/>
      <c r="PI74" s="40"/>
      <c r="PK74" s="40"/>
      <c r="PM74" s="40"/>
      <c r="PO74" s="40"/>
      <c r="PQ74" s="40"/>
      <c r="PS74" s="40"/>
      <c r="PU74" s="40"/>
      <c r="PW74" s="40"/>
      <c r="PY74" s="40"/>
      <c r="QA74" s="40"/>
      <c r="QC74" s="40"/>
      <c r="QE74" s="40"/>
      <c r="QG74" s="40"/>
      <c r="QI74" s="40"/>
      <c r="QK74" s="40"/>
      <c r="QM74" s="40"/>
      <c r="QO74" s="40"/>
      <c r="QQ74" s="40"/>
      <c r="QS74" s="40"/>
      <c r="QU74" s="40"/>
      <c r="QW74" s="40"/>
      <c r="QY74" s="40"/>
      <c r="RA74" s="40"/>
      <c r="RC74" s="40"/>
      <c r="RE74" s="40"/>
      <c r="RG74" s="40"/>
      <c r="RI74" s="40"/>
      <c r="RK74" s="40"/>
      <c r="RM74" s="40"/>
      <c r="RO74" s="40"/>
      <c r="RQ74" s="40"/>
      <c r="RS74" s="40"/>
      <c r="RU74" s="40"/>
      <c r="RW74" s="40"/>
      <c r="RY74" s="40"/>
      <c r="SA74" s="40"/>
      <c r="SC74" s="40"/>
      <c r="SE74" s="40"/>
      <c r="SG74" s="40"/>
      <c r="SI74" s="40"/>
      <c r="SK74" s="40"/>
      <c r="SM74" s="40"/>
      <c r="SO74" s="40"/>
      <c r="SQ74" s="40"/>
      <c r="SS74" s="40"/>
      <c r="SU74" s="40"/>
      <c r="SW74" s="40"/>
      <c r="SY74" s="40"/>
      <c r="TA74" s="40"/>
      <c r="TC74" s="40"/>
      <c r="TE74" s="40"/>
      <c r="TG74" s="40"/>
      <c r="TI74" s="40"/>
      <c r="TK74" s="40"/>
      <c r="TM74" s="40"/>
      <c r="TO74" s="40"/>
      <c r="TQ74" s="40"/>
      <c r="TS74" s="40"/>
      <c r="TU74" s="40"/>
      <c r="TW74" s="40"/>
      <c r="TY74" s="40"/>
      <c r="UA74" s="40"/>
      <c r="UC74" s="40"/>
      <c r="UE74" s="40"/>
      <c r="UG74" s="40"/>
      <c r="UI74" s="40"/>
      <c r="UK74" s="40"/>
      <c r="UM74" s="40"/>
      <c r="UO74" s="40"/>
      <c r="UQ74" s="40"/>
      <c r="US74" s="40"/>
      <c r="UU74" s="40"/>
      <c r="UW74" s="40"/>
      <c r="UY74" s="40"/>
      <c r="VA74" s="40"/>
      <c r="VC74" s="40"/>
      <c r="VE74" s="40"/>
      <c r="VG74" s="40"/>
      <c r="VI74" s="40"/>
      <c r="VK74" s="40"/>
      <c r="VM74" s="40"/>
      <c r="VO74" s="40"/>
      <c r="VQ74" s="40"/>
      <c r="VS74" s="40"/>
      <c r="VU74" s="40"/>
      <c r="VW74" s="40"/>
      <c r="VY74" s="40"/>
      <c r="WA74" s="40"/>
      <c r="WC74" s="40"/>
      <c r="WE74" s="40"/>
      <c r="WG74" s="40"/>
      <c r="WI74" s="40"/>
      <c r="WK74" s="40"/>
      <c r="WM74" s="40"/>
      <c r="WO74" s="40"/>
      <c r="WQ74" s="40"/>
      <c r="WS74" s="40"/>
      <c r="WU74" s="40"/>
      <c r="WW74" s="40"/>
      <c r="WY74" s="40"/>
      <c r="XA74" s="40"/>
      <c r="XC74" s="40"/>
      <c r="XE74" s="40"/>
      <c r="XG74" s="40"/>
      <c r="XI74" s="40"/>
      <c r="XK74" s="40"/>
      <c r="XM74" s="40"/>
      <c r="XO74" s="40"/>
      <c r="XQ74" s="40"/>
      <c r="XS74" s="40"/>
      <c r="XU74" s="40"/>
      <c r="XW74" s="40"/>
      <c r="XY74" s="40"/>
      <c r="YA74" s="40"/>
      <c r="YC74" s="40"/>
      <c r="YE74" s="40"/>
      <c r="YG74" s="40"/>
      <c r="YI74" s="40"/>
      <c r="YK74" s="40"/>
      <c r="YM74" s="40"/>
      <c r="YO74" s="40"/>
      <c r="YQ74" s="40"/>
      <c r="YS74" s="40"/>
      <c r="YU74" s="40"/>
      <c r="YW74" s="40"/>
      <c r="YY74" s="40"/>
      <c r="ZA74" s="40"/>
      <c r="ZC74" s="40"/>
      <c r="ZE74" s="40"/>
      <c r="ZG74" s="40"/>
      <c r="ZI74" s="40"/>
      <c r="ZK74" s="40"/>
      <c r="ZM74" s="40"/>
      <c r="ZO74" s="40"/>
      <c r="ZQ74" s="40"/>
      <c r="ZS74" s="40"/>
      <c r="ZU74" s="40"/>
      <c r="ZW74" s="40"/>
      <c r="ZY74" s="40"/>
      <c r="AAA74" s="40"/>
      <c r="AAC74" s="40"/>
      <c r="AAE74" s="40"/>
      <c r="AAG74" s="40"/>
      <c r="AAI74" s="40"/>
      <c r="AAK74" s="40"/>
      <c r="AAM74" s="40"/>
      <c r="AAO74" s="40"/>
      <c r="AAQ74" s="40"/>
      <c r="AAS74" s="40"/>
      <c r="AAU74" s="40"/>
      <c r="AAW74" s="40"/>
      <c r="AAY74" s="40"/>
      <c r="ABA74" s="40"/>
      <c r="ABC74" s="40"/>
      <c r="ABE74" s="40"/>
      <c r="ABG74" s="40"/>
      <c r="ABI74" s="40"/>
      <c r="ABK74" s="40"/>
      <c r="ABM74" s="40"/>
      <c r="ABO74" s="40"/>
      <c r="ABQ74" s="40"/>
      <c r="ABS74" s="40"/>
      <c r="ABU74" s="40"/>
      <c r="ABW74" s="40"/>
      <c r="ABY74" s="40"/>
      <c r="ACA74" s="40"/>
      <c r="ACC74" s="40"/>
      <c r="ACE74" s="40"/>
      <c r="ACG74" s="40"/>
      <c r="ACI74" s="40"/>
      <c r="ACK74" s="40"/>
      <c r="ACM74" s="40"/>
      <c r="ACO74" s="40"/>
      <c r="ACQ74" s="40"/>
      <c r="ACS74" s="40"/>
      <c r="ACU74" s="40"/>
      <c r="ACW74" s="40"/>
      <c r="ACY74" s="40"/>
      <c r="ADA74" s="40"/>
      <c r="ADC74" s="40"/>
      <c r="ADE74" s="40"/>
      <c r="ADG74" s="40"/>
      <c r="ADI74" s="40"/>
      <c r="ADK74" s="40"/>
      <c r="ADM74" s="40"/>
      <c r="ADO74" s="40"/>
      <c r="ADQ74" s="40"/>
      <c r="ADS74" s="40"/>
      <c r="ADU74" s="40"/>
      <c r="ADW74" s="40"/>
      <c r="ADY74" s="40"/>
      <c r="AEA74" s="40"/>
      <c r="AEC74" s="40"/>
      <c r="AEE74" s="40"/>
      <c r="AEG74" s="40"/>
      <c r="AEI74" s="40"/>
      <c r="AEK74" s="40"/>
      <c r="AEM74" s="40"/>
      <c r="AEO74" s="40"/>
      <c r="AEQ74" s="40"/>
      <c r="AES74" s="40"/>
      <c r="AEU74" s="40"/>
      <c r="AEW74" s="40"/>
      <c r="AEY74" s="40"/>
      <c r="AFA74" s="40"/>
      <c r="AFC74" s="40"/>
      <c r="AFE74" s="40"/>
      <c r="AFG74" s="40"/>
      <c r="AFI74" s="40"/>
      <c r="AFK74" s="40"/>
      <c r="AFM74" s="40"/>
      <c r="AFO74" s="40"/>
      <c r="AFQ74" s="40"/>
      <c r="AFS74" s="40"/>
      <c r="AFU74" s="40"/>
      <c r="AFW74" s="40"/>
      <c r="AFY74" s="40"/>
      <c r="AGA74" s="40"/>
      <c r="AGC74" s="40"/>
      <c r="AGE74" s="40"/>
      <c r="AGG74" s="40"/>
      <c r="AGI74" s="40"/>
      <c r="AGK74" s="40"/>
      <c r="AGM74" s="40"/>
      <c r="AGO74" s="40"/>
      <c r="AGQ74" s="40"/>
      <c r="AGS74" s="40"/>
      <c r="AGU74" s="40"/>
      <c r="AGW74" s="40"/>
      <c r="AGY74" s="40"/>
      <c r="AHA74" s="40"/>
      <c r="AHC74" s="40"/>
      <c r="AHE74" s="40"/>
      <c r="AHG74" s="40"/>
      <c r="AHI74" s="40"/>
      <c r="AHK74" s="40"/>
      <c r="AHM74" s="40"/>
      <c r="AHO74" s="40"/>
      <c r="AHQ74" s="40"/>
      <c r="AHS74" s="40"/>
      <c r="AHU74" s="40"/>
      <c r="AHW74" s="40"/>
      <c r="AHY74" s="40"/>
      <c r="AIA74" s="40"/>
      <c r="AIC74" s="40"/>
      <c r="AIE74" s="40"/>
      <c r="AIG74" s="40"/>
      <c r="AII74" s="40"/>
      <c r="AIK74" s="40"/>
      <c r="AIM74" s="40"/>
      <c r="AIO74" s="40"/>
    </row>
    <row r="75" spans="1:1024" s="39" customFormat="1" ht="15.75" customHeight="1" x14ac:dyDescent="0.35">
      <c r="A75" s="600"/>
      <c r="B75" s="644" t="s">
        <v>332</v>
      </c>
      <c r="C75" s="645"/>
      <c r="D75" s="646"/>
      <c r="E75" s="645"/>
      <c r="F75" s="646"/>
      <c r="G75" s="647"/>
      <c r="H75" s="643"/>
      <c r="I75" s="645"/>
      <c r="J75" s="38"/>
      <c r="K75" s="38"/>
      <c r="M75" s="38"/>
      <c r="O75" s="38"/>
      <c r="Q75" s="38"/>
      <c r="S75" s="38"/>
      <c r="U75" s="38"/>
      <c r="W75" s="38"/>
      <c r="Y75" s="38"/>
      <c r="AA75" s="38"/>
      <c r="AC75" s="38"/>
      <c r="AE75" s="38"/>
      <c r="AG75" s="38"/>
      <c r="AI75" s="38"/>
      <c r="AK75" s="40"/>
      <c r="AM75" s="40"/>
      <c r="AO75" s="40"/>
      <c r="AQ75" s="40"/>
      <c r="AS75" s="40"/>
      <c r="AU75" s="40"/>
      <c r="AW75" s="40"/>
      <c r="AY75" s="40"/>
      <c r="BA75" s="40"/>
      <c r="BC75" s="40"/>
      <c r="BE75" s="40"/>
      <c r="BG75" s="40"/>
      <c r="BI75" s="40"/>
      <c r="BK75" s="40"/>
      <c r="BM75" s="40"/>
      <c r="BO75" s="40"/>
      <c r="BQ75" s="40"/>
      <c r="BS75" s="40"/>
      <c r="BU75" s="40"/>
      <c r="BW75" s="40"/>
      <c r="BY75" s="40"/>
      <c r="CA75" s="40"/>
      <c r="CC75" s="40"/>
      <c r="CE75" s="40"/>
      <c r="CG75" s="40"/>
      <c r="CI75" s="40"/>
      <c r="CK75" s="40"/>
      <c r="CM75" s="40"/>
      <c r="CO75" s="40"/>
      <c r="CQ75" s="40"/>
      <c r="CS75" s="40"/>
      <c r="CU75" s="40"/>
      <c r="CW75" s="40"/>
      <c r="CY75" s="40"/>
      <c r="DA75" s="40"/>
      <c r="DC75" s="40"/>
      <c r="DE75" s="40"/>
      <c r="DG75" s="40"/>
      <c r="DI75" s="40"/>
      <c r="DK75" s="40"/>
      <c r="DM75" s="40"/>
      <c r="DO75" s="40"/>
      <c r="DQ75" s="40"/>
      <c r="DS75" s="40"/>
      <c r="DU75" s="40"/>
      <c r="DW75" s="40"/>
      <c r="DY75" s="40"/>
      <c r="EA75" s="40"/>
      <c r="EC75" s="40"/>
      <c r="EE75" s="40"/>
      <c r="EG75" s="40"/>
      <c r="EI75" s="40"/>
      <c r="EK75" s="40"/>
      <c r="EM75" s="40"/>
      <c r="EO75" s="40"/>
      <c r="EQ75" s="40"/>
      <c r="ES75" s="40"/>
      <c r="EU75" s="40"/>
      <c r="EW75" s="40"/>
      <c r="EY75" s="40"/>
      <c r="FA75" s="40"/>
      <c r="FC75" s="40"/>
      <c r="FE75" s="40"/>
      <c r="FG75" s="40"/>
      <c r="FI75" s="40"/>
      <c r="FK75" s="40"/>
      <c r="FM75" s="40"/>
      <c r="FO75" s="40"/>
      <c r="FQ75" s="40"/>
      <c r="FS75" s="40"/>
      <c r="FU75" s="40"/>
      <c r="FW75" s="40"/>
      <c r="FY75" s="40"/>
      <c r="GA75" s="40"/>
      <c r="GC75" s="40"/>
      <c r="GE75" s="40"/>
      <c r="GG75" s="40"/>
      <c r="GI75" s="40"/>
      <c r="GK75" s="40"/>
      <c r="GM75" s="40"/>
      <c r="GO75" s="40"/>
      <c r="GQ75" s="40"/>
      <c r="GS75" s="40"/>
      <c r="GU75" s="40"/>
      <c r="GW75" s="40"/>
      <c r="GY75" s="40"/>
      <c r="HA75" s="40"/>
      <c r="HC75" s="40"/>
      <c r="HE75" s="40"/>
      <c r="HG75" s="40"/>
      <c r="HI75" s="40"/>
      <c r="HK75" s="40"/>
      <c r="HM75" s="40"/>
      <c r="HO75" s="40"/>
      <c r="HQ75" s="40"/>
      <c r="HS75" s="40"/>
      <c r="HU75" s="40"/>
      <c r="HW75" s="40"/>
      <c r="HY75" s="40"/>
      <c r="IA75" s="40"/>
      <c r="IC75" s="40"/>
      <c r="IE75" s="40"/>
      <c r="IG75" s="40"/>
      <c r="II75" s="40"/>
      <c r="IK75" s="40"/>
      <c r="IM75" s="40"/>
      <c r="IO75" s="40"/>
      <c r="IQ75" s="40"/>
      <c r="IS75" s="40"/>
      <c r="IU75" s="40"/>
      <c r="IW75" s="40"/>
      <c r="IY75" s="40"/>
      <c r="JA75" s="40"/>
      <c r="JC75" s="40"/>
      <c r="JE75" s="40"/>
      <c r="JG75" s="40"/>
      <c r="JI75" s="40"/>
      <c r="JK75" s="40"/>
      <c r="JM75" s="40"/>
      <c r="JO75" s="40"/>
      <c r="JQ75" s="40"/>
      <c r="JS75" s="40"/>
      <c r="JU75" s="40"/>
      <c r="JW75" s="40"/>
      <c r="JY75" s="40"/>
      <c r="KA75" s="40"/>
      <c r="KC75" s="40"/>
      <c r="KE75" s="40"/>
      <c r="KG75" s="40"/>
      <c r="KI75" s="40"/>
      <c r="KK75" s="40"/>
      <c r="KM75" s="40"/>
      <c r="KO75" s="40"/>
      <c r="KQ75" s="40"/>
      <c r="KS75" s="40"/>
      <c r="KU75" s="40"/>
      <c r="KW75" s="40"/>
      <c r="KY75" s="40"/>
      <c r="LA75" s="40"/>
      <c r="LC75" s="40"/>
      <c r="LE75" s="40"/>
      <c r="LG75" s="40"/>
      <c r="LI75" s="40"/>
      <c r="LK75" s="40"/>
      <c r="LM75" s="40"/>
      <c r="LO75" s="40"/>
      <c r="LQ75" s="40"/>
      <c r="LS75" s="40"/>
      <c r="LU75" s="40"/>
      <c r="LW75" s="40"/>
      <c r="LY75" s="40"/>
      <c r="MA75" s="40"/>
      <c r="MC75" s="40"/>
      <c r="ME75" s="40"/>
      <c r="MG75" s="40"/>
      <c r="MI75" s="40"/>
      <c r="MK75" s="40"/>
      <c r="MM75" s="40"/>
      <c r="MO75" s="40"/>
      <c r="MQ75" s="40"/>
      <c r="MS75" s="40"/>
      <c r="MU75" s="40"/>
      <c r="MW75" s="40"/>
      <c r="MY75" s="40"/>
      <c r="NA75" s="40"/>
      <c r="NC75" s="40"/>
      <c r="NE75" s="40"/>
      <c r="NG75" s="40"/>
      <c r="NI75" s="40"/>
      <c r="NK75" s="40"/>
      <c r="NM75" s="40"/>
      <c r="NO75" s="40"/>
      <c r="NQ75" s="40"/>
      <c r="NS75" s="40"/>
      <c r="NU75" s="40"/>
      <c r="NW75" s="40"/>
      <c r="NY75" s="40"/>
      <c r="OA75" s="40"/>
      <c r="OC75" s="40"/>
      <c r="OE75" s="40"/>
      <c r="OG75" s="40"/>
      <c r="OI75" s="40"/>
      <c r="OK75" s="40"/>
      <c r="OM75" s="40"/>
      <c r="OO75" s="40"/>
      <c r="OQ75" s="40"/>
      <c r="OS75" s="40"/>
      <c r="OU75" s="40"/>
      <c r="OW75" s="40"/>
      <c r="OY75" s="40"/>
      <c r="PA75" s="40"/>
      <c r="PC75" s="40"/>
      <c r="PE75" s="40"/>
      <c r="PG75" s="40"/>
      <c r="PI75" s="40"/>
      <c r="PK75" s="40"/>
      <c r="PM75" s="40"/>
      <c r="PO75" s="40"/>
      <c r="PQ75" s="40"/>
      <c r="PS75" s="40"/>
      <c r="PU75" s="40"/>
      <c r="PW75" s="40"/>
      <c r="PY75" s="40"/>
      <c r="QA75" s="40"/>
      <c r="QC75" s="40"/>
      <c r="QE75" s="40"/>
      <c r="QG75" s="40"/>
      <c r="QI75" s="40"/>
      <c r="QK75" s="40"/>
      <c r="QM75" s="40"/>
      <c r="QO75" s="40"/>
      <c r="QQ75" s="40"/>
      <c r="QS75" s="40"/>
      <c r="QU75" s="40"/>
      <c r="QW75" s="40"/>
      <c r="QY75" s="40"/>
      <c r="RA75" s="40"/>
      <c r="RC75" s="40"/>
      <c r="RE75" s="40"/>
      <c r="RG75" s="40"/>
      <c r="RI75" s="40"/>
      <c r="RK75" s="40"/>
      <c r="RM75" s="40"/>
      <c r="RO75" s="40"/>
      <c r="RQ75" s="40"/>
      <c r="RS75" s="40"/>
      <c r="RU75" s="40"/>
      <c r="RW75" s="40"/>
      <c r="RY75" s="40"/>
      <c r="SA75" s="40"/>
      <c r="SC75" s="40"/>
      <c r="SE75" s="40"/>
      <c r="SG75" s="40"/>
      <c r="SI75" s="40"/>
      <c r="SK75" s="40"/>
      <c r="SM75" s="40"/>
      <c r="SO75" s="40"/>
      <c r="SQ75" s="40"/>
      <c r="SS75" s="40"/>
      <c r="SU75" s="40"/>
      <c r="SW75" s="40"/>
      <c r="SY75" s="40"/>
      <c r="TA75" s="40"/>
      <c r="TC75" s="40"/>
      <c r="TE75" s="40"/>
      <c r="TG75" s="40"/>
      <c r="TI75" s="40"/>
      <c r="TK75" s="40"/>
      <c r="TM75" s="40"/>
      <c r="TO75" s="40"/>
      <c r="TQ75" s="40"/>
      <c r="TS75" s="40"/>
      <c r="TU75" s="40"/>
      <c r="TW75" s="40"/>
      <c r="TY75" s="40"/>
      <c r="UA75" s="40"/>
      <c r="UC75" s="40"/>
      <c r="UE75" s="40"/>
      <c r="UG75" s="40"/>
      <c r="UI75" s="40"/>
      <c r="UK75" s="40"/>
      <c r="UM75" s="40"/>
      <c r="UO75" s="40"/>
      <c r="UQ75" s="40"/>
      <c r="US75" s="40"/>
      <c r="UU75" s="40"/>
      <c r="UW75" s="40"/>
      <c r="UY75" s="40"/>
      <c r="VA75" s="40"/>
      <c r="VC75" s="40"/>
      <c r="VE75" s="40"/>
      <c r="VG75" s="40"/>
      <c r="VI75" s="40"/>
      <c r="VK75" s="40"/>
      <c r="VM75" s="40"/>
      <c r="VO75" s="40"/>
      <c r="VQ75" s="40"/>
      <c r="VS75" s="40"/>
      <c r="VU75" s="40"/>
      <c r="VW75" s="40"/>
      <c r="VY75" s="40"/>
      <c r="WA75" s="40"/>
      <c r="WC75" s="40"/>
      <c r="WE75" s="40"/>
      <c r="WG75" s="40"/>
      <c r="WI75" s="40"/>
      <c r="WK75" s="40"/>
      <c r="WM75" s="40"/>
      <c r="WO75" s="40"/>
      <c r="WQ75" s="40"/>
      <c r="WS75" s="40"/>
      <c r="WU75" s="40"/>
      <c r="WW75" s="40"/>
      <c r="WY75" s="40"/>
      <c r="XA75" s="40"/>
      <c r="XC75" s="40"/>
      <c r="XE75" s="40"/>
      <c r="XG75" s="40"/>
      <c r="XI75" s="40"/>
      <c r="XK75" s="40"/>
      <c r="XM75" s="40"/>
      <c r="XO75" s="40"/>
      <c r="XQ75" s="40"/>
      <c r="XS75" s="40"/>
      <c r="XU75" s="40"/>
      <c r="XW75" s="40"/>
      <c r="XY75" s="40"/>
      <c r="YA75" s="40"/>
      <c r="YC75" s="40"/>
      <c r="YE75" s="40"/>
      <c r="YG75" s="40"/>
      <c r="YI75" s="40"/>
      <c r="YK75" s="40"/>
      <c r="YM75" s="40"/>
      <c r="YO75" s="40"/>
      <c r="YQ75" s="40"/>
      <c r="YS75" s="40"/>
      <c r="YU75" s="40"/>
      <c r="YW75" s="40"/>
      <c r="YY75" s="40"/>
      <c r="ZA75" s="40"/>
      <c r="ZC75" s="40"/>
      <c r="ZE75" s="40"/>
      <c r="ZG75" s="40"/>
      <c r="ZI75" s="40"/>
      <c r="ZK75" s="40"/>
      <c r="ZM75" s="40"/>
      <c r="ZO75" s="40"/>
      <c r="ZQ75" s="40"/>
      <c r="ZS75" s="40"/>
      <c r="ZU75" s="40"/>
      <c r="ZW75" s="40"/>
      <c r="ZY75" s="40"/>
      <c r="AAA75" s="40"/>
      <c r="AAC75" s="40"/>
      <c r="AAE75" s="40"/>
      <c r="AAG75" s="40"/>
      <c r="AAI75" s="40"/>
      <c r="AAK75" s="40"/>
      <c r="AAM75" s="40"/>
      <c r="AAO75" s="40"/>
      <c r="AAQ75" s="40"/>
      <c r="AAS75" s="40"/>
      <c r="AAU75" s="40"/>
      <c r="AAW75" s="40"/>
      <c r="AAY75" s="40"/>
      <c r="ABA75" s="40"/>
      <c r="ABC75" s="40"/>
      <c r="ABE75" s="40"/>
      <c r="ABG75" s="40"/>
      <c r="ABI75" s="40"/>
      <c r="ABK75" s="40"/>
      <c r="ABM75" s="40"/>
      <c r="ABO75" s="40"/>
      <c r="ABQ75" s="40"/>
      <c r="ABS75" s="40"/>
      <c r="ABU75" s="40"/>
      <c r="ABW75" s="40"/>
      <c r="ABY75" s="40"/>
      <c r="ACA75" s="40"/>
      <c r="ACC75" s="40"/>
      <c r="ACE75" s="40"/>
      <c r="ACG75" s="40"/>
      <c r="ACI75" s="40"/>
      <c r="ACK75" s="40"/>
      <c r="ACM75" s="40"/>
      <c r="ACO75" s="40"/>
      <c r="ACQ75" s="40"/>
      <c r="ACS75" s="40"/>
      <c r="ACU75" s="40"/>
      <c r="ACW75" s="40"/>
      <c r="ACY75" s="40"/>
      <c r="ADA75" s="40"/>
      <c r="ADC75" s="40"/>
      <c r="ADE75" s="40"/>
      <c r="ADG75" s="40"/>
      <c r="ADI75" s="40"/>
      <c r="ADK75" s="40"/>
      <c r="ADM75" s="40"/>
      <c r="ADO75" s="40"/>
      <c r="ADQ75" s="40"/>
      <c r="ADS75" s="40"/>
      <c r="ADU75" s="40"/>
      <c r="ADW75" s="40"/>
      <c r="ADY75" s="40"/>
      <c r="AEA75" s="40"/>
      <c r="AEC75" s="40"/>
      <c r="AEE75" s="40"/>
      <c r="AEG75" s="40"/>
      <c r="AEI75" s="40"/>
      <c r="AEK75" s="40"/>
      <c r="AEM75" s="40"/>
      <c r="AEO75" s="40"/>
      <c r="AEQ75" s="40"/>
      <c r="AES75" s="40"/>
      <c r="AEU75" s="40"/>
      <c r="AEW75" s="40"/>
      <c r="AEY75" s="40"/>
      <c r="AFA75" s="40"/>
      <c r="AFC75" s="40"/>
      <c r="AFE75" s="40"/>
      <c r="AFG75" s="40"/>
      <c r="AFI75" s="40"/>
      <c r="AFK75" s="40"/>
      <c r="AFM75" s="40"/>
      <c r="AFO75" s="40"/>
      <c r="AFQ75" s="40"/>
      <c r="AFS75" s="40"/>
      <c r="AFU75" s="40"/>
      <c r="AFW75" s="40"/>
      <c r="AFY75" s="40"/>
      <c r="AGA75" s="40"/>
      <c r="AGC75" s="40"/>
      <c r="AGE75" s="40"/>
      <c r="AGG75" s="40"/>
      <c r="AGI75" s="40"/>
      <c r="AGK75" s="40"/>
      <c r="AGM75" s="40"/>
      <c r="AGO75" s="40"/>
      <c r="AGQ75" s="40"/>
      <c r="AGS75" s="40"/>
      <c r="AGU75" s="40"/>
      <c r="AGW75" s="40"/>
      <c r="AGY75" s="40"/>
      <c r="AHA75" s="40"/>
      <c r="AHC75" s="40"/>
      <c r="AHE75" s="40"/>
      <c r="AHG75" s="40"/>
      <c r="AHI75" s="40"/>
      <c r="AHK75" s="40"/>
      <c r="AHM75" s="40"/>
      <c r="AHO75" s="40"/>
      <c r="AHQ75" s="40"/>
      <c r="AHS75" s="40"/>
      <c r="AHU75" s="40"/>
      <c r="AHW75" s="40"/>
      <c r="AHY75" s="40"/>
      <c r="AIA75" s="40"/>
      <c r="AIC75" s="40"/>
      <c r="AIE75" s="40"/>
      <c r="AIG75" s="40"/>
      <c r="AII75" s="40"/>
      <c r="AIK75" s="40"/>
      <c r="AIM75" s="40"/>
      <c r="AIO75" s="40"/>
    </row>
    <row r="76" spans="1:1024" s="39" customFormat="1" ht="15.75" customHeight="1" x14ac:dyDescent="0.35">
      <c r="A76" s="600"/>
      <c r="B76" s="644" t="s">
        <v>333</v>
      </c>
      <c r="C76" s="645"/>
      <c r="D76" s="646"/>
      <c r="E76" s="645"/>
      <c r="F76" s="646"/>
      <c r="G76" s="647"/>
      <c r="H76" s="643"/>
      <c r="I76" s="645"/>
      <c r="J76" s="38"/>
      <c r="K76" s="38"/>
      <c r="M76" s="38"/>
      <c r="O76" s="38"/>
      <c r="Q76" s="38"/>
      <c r="S76" s="38"/>
      <c r="U76" s="38"/>
      <c r="W76" s="38"/>
      <c r="Y76" s="38"/>
      <c r="AA76" s="38"/>
      <c r="AC76" s="38"/>
      <c r="AE76" s="38"/>
      <c r="AG76" s="38"/>
      <c r="AI76" s="38"/>
      <c r="AK76" s="40"/>
      <c r="AM76" s="40"/>
      <c r="AO76" s="40"/>
      <c r="AQ76" s="40"/>
      <c r="AS76" s="40"/>
      <c r="AU76" s="40"/>
      <c r="AW76" s="40"/>
      <c r="AY76" s="40"/>
      <c r="BA76" s="40"/>
      <c r="BC76" s="40"/>
      <c r="BE76" s="40"/>
      <c r="BG76" s="40"/>
      <c r="BI76" s="40"/>
      <c r="BK76" s="40"/>
      <c r="BM76" s="40"/>
      <c r="BO76" s="40"/>
      <c r="BQ76" s="40"/>
      <c r="BS76" s="40"/>
      <c r="BU76" s="40"/>
      <c r="BW76" s="40"/>
      <c r="BY76" s="40"/>
      <c r="CA76" s="40"/>
      <c r="CC76" s="40"/>
      <c r="CE76" s="40"/>
      <c r="CG76" s="40"/>
      <c r="CI76" s="40"/>
      <c r="CK76" s="40"/>
      <c r="CM76" s="40"/>
      <c r="CO76" s="40"/>
      <c r="CQ76" s="40"/>
      <c r="CS76" s="40"/>
      <c r="CU76" s="40"/>
      <c r="CW76" s="40"/>
      <c r="CY76" s="40"/>
      <c r="DA76" s="40"/>
      <c r="DC76" s="40"/>
      <c r="DE76" s="40"/>
      <c r="DG76" s="40"/>
      <c r="DI76" s="40"/>
      <c r="DK76" s="40"/>
      <c r="DM76" s="40"/>
      <c r="DO76" s="40"/>
      <c r="DQ76" s="40"/>
      <c r="DS76" s="40"/>
      <c r="DU76" s="40"/>
      <c r="DW76" s="40"/>
      <c r="DY76" s="40"/>
      <c r="EA76" s="40"/>
      <c r="EC76" s="40"/>
      <c r="EE76" s="40"/>
      <c r="EG76" s="40"/>
      <c r="EI76" s="40"/>
      <c r="EK76" s="40"/>
      <c r="EM76" s="40"/>
      <c r="EO76" s="40"/>
      <c r="EQ76" s="40"/>
      <c r="ES76" s="40"/>
      <c r="EU76" s="40"/>
      <c r="EW76" s="40"/>
      <c r="EY76" s="40"/>
      <c r="FA76" s="40"/>
      <c r="FC76" s="40"/>
      <c r="FE76" s="40"/>
      <c r="FG76" s="40"/>
      <c r="FI76" s="40"/>
      <c r="FK76" s="40"/>
      <c r="FM76" s="40"/>
      <c r="FO76" s="40"/>
      <c r="FQ76" s="40"/>
      <c r="FS76" s="40"/>
      <c r="FU76" s="40"/>
      <c r="FW76" s="40"/>
      <c r="FY76" s="40"/>
      <c r="GA76" s="40"/>
      <c r="GC76" s="40"/>
      <c r="GE76" s="40"/>
      <c r="GG76" s="40"/>
      <c r="GI76" s="40"/>
      <c r="GK76" s="40"/>
      <c r="GM76" s="40"/>
      <c r="GO76" s="40"/>
      <c r="GQ76" s="40"/>
      <c r="GS76" s="40"/>
      <c r="GU76" s="40"/>
      <c r="GW76" s="40"/>
      <c r="GY76" s="40"/>
      <c r="HA76" s="40"/>
      <c r="HC76" s="40"/>
      <c r="HE76" s="40"/>
      <c r="HG76" s="40"/>
      <c r="HI76" s="40"/>
      <c r="HK76" s="40"/>
      <c r="HM76" s="40"/>
      <c r="HO76" s="40"/>
      <c r="HQ76" s="40"/>
      <c r="HS76" s="40"/>
      <c r="HU76" s="40"/>
      <c r="HW76" s="40"/>
      <c r="HY76" s="40"/>
      <c r="IA76" s="40"/>
      <c r="IC76" s="40"/>
      <c r="IE76" s="40"/>
      <c r="IG76" s="40"/>
      <c r="II76" s="40"/>
      <c r="IK76" s="40"/>
      <c r="IM76" s="40"/>
      <c r="IO76" s="40"/>
      <c r="IQ76" s="40"/>
      <c r="IS76" s="40"/>
      <c r="IU76" s="40"/>
      <c r="IW76" s="40"/>
      <c r="IY76" s="40"/>
      <c r="JA76" s="40"/>
      <c r="JC76" s="40"/>
      <c r="JE76" s="40"/>
      <c r="JG76" s="40"/>
      <c r="JI76" s="40"/>
      <c r="JK76" s="40"/>
      <c r="JM76" s="40"/>
      <c r="JO76" s="40"/>
      <c r="JQ76" s="40"/>
      <c r="JS76" s="40"/>
      <c r="JU76" s="40"/>
      <c r="JW76" s="40"/>
      <c r="JY76" s="40"/>
      <c r="KA76" s="40"/>
      <c r="KC76" s="40"/>
      <c r="KE76" s="40"/>
      <c r="KG76" s="40"/>
      <c r="KI76" s="40"/>
      <c r="KK76" s="40"/>
      <c r="KM76" s="40"/>
      <c r="KO76" s="40"/>
      <c r="KQ76" s="40"/>
      <c r="KS76" s="40"/>
      <c r="KU76" s="40"/>
      <c r="KW76" s="40"/>
      <c r="KY76" s="40"/>
      <c r="LA76" s="40"/>
      <c r="LC76" s="40"/>
      <c r="LE76" s="40"/>
      <c r="LG76" s="40"/>
      <c r="LI76" s="40"/>
      <c r="LK76" s="40"/>
      <c r="LM76" s="40"/>
      <c r="LO76" s="40"/>
      <c r="LQ76" s="40"/>
      <c r="LS76" s="40"/>
      <c r="LU76" s="40"/>
      <c r="LW76" s="40"/>
      <c r="LY76" s="40"/>
      <c r="MA76" s="40"/>
      <c r="MC76" s="40"/>
      <c r="ME76" s="40"/>
      <c r="MG76" s="40"/>
      <c r="MI76" s="40"/>
      <c r="MK76" s="40"/>
      <c r="MM76" s="40"/>
      <c r="MO76" s="40"/>
      <c r="MQ76" s="40"/>
      <c r="MS76" s="40"/>
      <c r="MU76" s="40"/>
      <c r="MW76" s="40"/>
      <c r="MY76" s="40"/>
      <c r="NA76" s="40"/>
      <c r="NC76" s="40"/>
      <c r="NE76" s="40"/>
      <c r="NG76" s="40"/>
      <c r="NI76" s="40"/>
      <c r="NK76" s="40"/>
      <c r="NM76" s="40"/>
      <c r="NO76" s="40"/>
      <c r="NQ76" s="40"/>
      <c r="NS76" s="40"/>
      <c r="NU76" s="40"/>
      <c r="NW76" s="40"/>
      <c r="NY76" s="40"/>
      <c r="OA76" s="40"/>
      <c r="OC76" s="40"/>
      <c r="OE76" s="40"/>
      <c r="OG76" s="40"/>
      <c r="OI76" s="40"/>
      <c r="OK76" s="40"/>
      <c r="OM76" s="40"/>
      <c r="OO76" s="40"/>
      <c r="OQ76" s="40"/>
      <c r="OS76" s="40"/>
      <c r="OU76" s="40"/>
      <c r="OW76" s="40"/>
      <c r="OY76" s="40"/>
      <c r="PA76" s="40"/>
      <c r="PC76" s="40"/>
      <c r="PE76" s="40"/>
      <c r="PG76" s="40"/>
      <c r="PI76" s="40"/>
      <c r="PK76" s="40"/>
      <c r="PM76" s="40"/>
      <c r="PO76" s="40"/>
      <c r="PQ76" s="40"/>
      <c r="PS76" s="40"/>
      <c r="PU76" s="40"/>
      <c r="PW76" s="40"/>
      <c r="PY76" s="40"/>
      <c r="QA76" s="40"/>
      <c r="QC76" s="40"/>
      <c r="QE76" s="40"/>
      <c r="QG76" s="40"/>
      <c r="QI76" s="40"/>
      <c r="QK76" s="40"/>
      <c r="QM76" s="40"/>
      <c r="QO76" s="40"/>
      <c r="QQ76" s="40"/>
      <c r="QS76" s="40"/>
      <c r="QU76" s="40"/>
      <c r="QW76" s="40"/>
      <c r="QY76" s="40"/>
      <c r="RA76" s="40"/>
      <c r="RC76" s="40"/>
      <c r="RE76" s="40"/>
      <c r="RG76" s="40"/>
      <c r="RI76" s="40"/>
      <c r="RK76" s="40"/>
      <c r="RM76" s="40"/>
      <c r="RO76" s="40"/>
      <c r="RQ76" s="40"/>
      <c r="RS76" s="40"/>
      <c r="RU76" s="40"/>
      <c r="RW76" s="40"/>
      <c r="RY76" s="40"/>
      <c r="SA76" s="40"/>
      <c r="SC76" s="40"/>
      <c r="SE76" s="40"/>
      <c r="SG76" s="40"/>
      <c r="SI76" s="40"/>
      <c r="SK76" s="40"/>
      <c r="SM76" s="40"/>
      <c r="SO76" s="40"/>
      <c r="SQ76" s="40"/>
      <c r="SS76" s="40"/>
      <c r="SU76" s="40"/>
      <c r="SW76" s="40"/>
      <c r="SY76" s="40"/>
      <c r="TA76" s="40"/>
      <c r="TC76" s="40"/>
      <c r="TE76" s="40"/>
      <c r="TG76" s="40"/>
      <c r="TI76" s="40"/>
      <c r="TK76" s="40"/>
      <c r="TM76" s="40"/>
      <c r="TO76" s="40"/>
      <c r="TQ76" s="40"/>
      <c r="TS76" s="40"/>
      <c r="TU76" s="40"/>
      <c r="TW76" s="40"/>
      <c r="TY76" s="40"/>
      <c r="UA76" s="40"/>
      <c r="UC76" s="40"/>
      <c r="UE76" s="40"/>
      <c r="UG76" s="40"/>
      <c r="UI76" s="40"/>
      <c r="UK76" s="40"/>
      <c r="UM76" s="40"/>
      <c r="UO76" s="40"/>
      <c r="UQ76" s="40"/>
      <c r="US76" s="40"/>
      <c r="UU76" s="40"/>
      <c r="UW76" s="40"/>
      <c r="UY76" s="40"/>
      <c r="VA76" s="40"/>
      <c r="VC76" s="40"/>
      <c r="VE76" s="40"/>
      <c r="VG76" s="40"/>
      <c r="VI76" s="40"/>
      <c r="VK76" s="40"/>
      <c r="VM76" s="40"/>
      <c r="VO76" s="40"/>
      <c r="VQ76" s="40"/>
      <c r="VS76" s="40"/>
      <c r="VU76" s="40"/>
      <c r="VW76" s="40"/>
      <c r="VY76" s="40"/>
      <c r="WA76" s="40"/>
      <c r="WC76" s="40"/>
      <c r="WE76" s="40"/>
      <c r="WG76" s="40"/>
      <c r="WI76" s="40"/>
      <c r="WK76" s="40"/>
      <c r="WM76" s="40"/>
      <c r="WO76" s="40"/>
      <c r="WQ76" s="40"/>
      <c r="WS76" s="40"/>
      <c r="WU76" s="40"/>
      <c r="WW76" s="40"/>
      <c r="WY76" s="40"/>
      <c r="XA76" s="40"/>
      <c r="XC76" s="40"/>
      <c r="XE76" s="40"/>
      <c r="XG76" s="40"/>
      <c r="XI76" s="40"/>
      <c r="XK76" s="40"/>
      <c r="XM76" s="40"/>
      <c r="XO76" s="40"/>
      <c r="XQ76" s="40"/>
      <c r="XS76" s="40"/>
      <c r="XU76" s="40"/>
      <c r="XW76" s="40"/>
      <c r="XY76" s="40"/>
      <c r="YA76" s="40"/>
      <c r="YC76" s="40"/>
      <c r="YE76" s="40"/>
      <c r="YG76" s="40"/>
      <c r="YI76" s="40"/>
      <c r="YK76" s="40"/>
      <c r="YM76" s="40"/>
      <c r="YO76" s="40"/>
      <c r="YQ76" s="40"/>
      <c r="YS76" s="40"/>
      <c r="YU76" s="40"/>
      <c r="YW76" s="40"/>
      <c r="YY76" s="40"/>
      <c r="ZA76" s="40"/>
      <c r="ZC76" s="40"/>
      <c r="ZE76" s="40"/>
      <c r="ZG76" s="40"/>
      <c r="ZI76" s="40"/>
      <c r="ZK76" s="40"/>
      <c r="ZM76" s="40"/>
      <c r="ZO76" s="40"/>
      <c r="ZQ76" s="40"/>
      <c r="ZS76" s="40"/>
      <c r="ZU76" s="40"/>
      <c r="ZW76" s="40"/>
      <c r="ZY76" s="40"/>
      <c r="AAA76" s="40"/>
      <c r="AAC76" s="40"/>
      <c r="AAE76" s="40"/>
      <c r="AAG76" s="40"/>
      <c r="AAI76" s="40"/>
      <c r="AAK76" s="40"/>
      <c r="AAM76" s="40"/>
      <c r="AAO76" s="40"/>
      <c r="AAQ76" s="40"/>
      <c r="AAS76" s="40"/>
      <c r="AAU76" s="40"/>
      <c r="AAW76" s="40"/>
      <c r="AAY76" s="40"/>
      <c r="ABA76" s="40"/>
      <c r="ABC76" s="40"/>
      <c r="ABE76" s="40"/>
      <c r="ABG76" s="40"/>
      <c r="ABI76" s="40"/>
      <c r="ABK76" s="40"/>
      <c r="ABM76" s="40"/>
      <c r="ABO76" s="40"/>
      <c r="ABQ76" s="40"/>
      <c r="ABS76" s="40"/>
      <c r="ABU76" s="40"/>
      <c r="ABW76" s="40"/>
      <c r="ABY76" s="40"/>
      <c r="ACA76" s="40"/>
      <c r="ACC76" s="40"/>
      <c r="ACE76" s="40"/>
      <c r="ACG76" s="40"/>
      <c r="ACI76" s="40"/>
      <c r="ACK76" s="40"/>
      <c r="ACM76" s="40"/>
      <c r="ACO76" s="40"/>
      <c r="ACQ76" s="40"/>
      <c r="ACS76" s="40"/>
      <c r="ACU76" s="40"/>
      <c r="ACW76" s="40"/>
      <c r="ACY76" s="40"/>
      <c r="ADA76" s="40"/>
      <c r="ADC76" s="40"/>
      <c r="ADE76" s="40"/>
      <c r="ADG76" s="40"/>
      <c r="ADI76" s="40"/>
      <c r="ADK76" s="40"/>
      <c r="ADM76" s="40"/>
      <c r="ADO76" s="40"/>
      <c r="ADQ76" s="40"/>
      <c r="ADS76" s="40"/>
      <c r="ADU76" s="40"/>
      <c r="ADW76" s="40"/>
      <c r="ADY76" s="40"/>
      <c r="AEA76" s="40"/>
      <c r="AEC76" s="40"/>
      <c r="AEE76" s="40"/>
      <c r="AEG76" s="40"/>
      <c r="AEI76" s="40"/>
      <c r="AEK76" s="40"/>
      <c r="AEM76" s="40"/>
      <c r="AEO76" s="40"/>
      <c r="AEQ76" s="40"/>
      <c r="AES76" s="40"/>
      <c r="AEU76" s="40"/>
      <c r="AEW76" s="40"/>
      <c r="AEY76" s="40"/>
      <c r="AFA76" s="40"/>
      <c r="AFC76" s="40"/>
      <c r="AFE76" s="40"/>
      <c r="AFG76" s="40"/>
      <c r="AFI76" s="40"/>
      <c r="AFK76" s="40"/>
      <c r="AFM76" s="40"/>
      <c r="AFO76" s="40"/>
      <c r="AFQ76" s="40"/>
      <c r="AFS76" s="40"/>
      <c r="AFU76" s="40"/>
      <c r="AFW76" s="40"/>
      <c r="AFY76" s="40"/>
      <c r="AGA76" s="40"/>
      <c r="AGC76" s="40"/>
      <c r="AGE76" s="40"/>
      <c r="AGG76" s="40"/>
      <c r="AGI76" s="40"/>
      <c r="AGK76" s="40"/>
      <c r="AGM76" s="40"/>
      <c r="AGO76" s="40"/>
      <c r="AGQ76" s="40"/>
      <c r="AGS76" s="40"/>
      <c r="AGU76" s="40"/>
      <c r="AGW76" s="40"/>
      <c r="AGY76" s="40"/>
      <c r="AHA76" s="40"/>
      <c r="AHC76" s="40"/>
      <c r="AHE76" s="40"/>
      <c r="AHG76" s="40"/>
      <c r="AHI76" s="40"/>
      <c r="AHK76" s="40"/>
      <c r="AHM76" s="40"/>
      <c r="AHO76" s="40"/>
      <c r="AHQ76" s="40"/>
      <c r="AHS76" s="40"/>
      <c r="AHU76" s="40"/>
      <c r="AHW76" s="40"/>
      <c r="AHY76" s="40"/>
      <c r="AIA76" s="40"/>
      <c r="AIC76" s="40"/>
      <c r="AIE76" s="40"/>
      <c r="AIG76" s="40"/>
      <c r="AII76" s="40"/>
      <c r="AIK76" s="40"/>
      <c r="AIM76" s="40"/>
      <c r="AIO76" s="40"/>
    </row>
    <row r="77" spans="1:1024" s="39" customFormat="1" ht="15.75" customHeight="1" x14ac:dyDescent="0.35">
      <c r="A77" s="600"/>
      <c r="B77" s="644" t="s">
        <v>334</v>
      </c>
      <c r="C77" s="645"/>
      <c r="D77" s="646"/>
      <c r="E77" s="645"/>
      <c r="F77" s="646"/>
      <c r="G77" s="647"/>
      <c r="H77" s="643"/>
      <c r="I77" s="645"/>
      <c r="J77" s="38"/>
      <c r="K77" s="38"/>
      <c r="M77" s="38"/>
      <c r="O77" s="38"/>
      <c r="Q77" s="38"/>
      <c r="S77" s="38"/>
      <c r="U77" s="38"/>
      <c r="W77" s="38"/>
      <c r="Y77" s="38"/>
      <c r="AA77" s="38"/>
      <c r="AC77" s="38"/>
      <c r="AE77" s="38"/>
      <c r="AG77" s="38"/>
      <c r="AI77" s="38"/>
      <c r="AK77" s="40"/>
      <c r="AM77" s="40"/>
      <c r="AO77" s="40"/>
      <c r="AQ77" s="40"/>
      <c r="AS77" s="40"/>
      <c r="AU77" s="40"/>
      <c r="AW77" s="40"/>
      <c r="AY77" s="40"/>
      <c r="BA77" s="40"/>
      <c r="BC77" s="40"/>
      <c r="BE77" s="40"/>
      <c r="BG77" s="40"/>
      <c r="BI77" s="40"/>
      <c r="BK77" s="40"/>
      <c r="BM77" s="40"/>
      <c r="BO77" s="40"/>
      <c r="BQ77" s="40"/>
      <c r="BS77" s="40"/>
      <c r="BU77" s="40"/>
      <c r="BW77" s="40"/>
      <c r="BY77" s="40"/>
      <c r="CA77" s="40"/>
      <c r="CC77" s="40"/>
      <c r="CE77" s="40"/>
      <c r="CG77" s="40"/>
      <c r="CI77" s="40"/>
      <c r="CK77" s="40"/>
      <c r="CM77" s="40"/>
      <c r="CO77" s="40"/>
      <c r="CQ77" s="40"/>
      <c r="CS77" s="40"/>
      <c r="CU77" s="40"/>
      <c r="CW77" s="40"/>
      <c r="CY77" s="40"/>
      <c r="DA77" s="40"/>
      <c r="DC77" s="40"/>
      <c r="DE77" s="40"/>
      <c r="DG77" s="40"/>
      <c r="DI77" s="40"/>
      <c r="DK77" s="40"/>
      <c r="DM77" s="40"/>
      <c r="DO77" s="40"/>
      <c r="DQ77" s="40"/>
      <c r="DS77" s="40"/>
      <c r="DU77" s="40"/>
      <c r="DW77" s="40"/>
      <c r="DY77" s="40"/>
      <c r="EA77" s="40"/>
      <c r="EC77" s="40"/>
      <c r="EE77" s="40"/>
      <c r="EG77" s="40"/>
      <c r="EI77" s="40"/>
      <c r="EK77" s="40"/>
      <c r="EM77" s="40"/>
      <c r="EO77" s="40"/>
      <c r="EQ77" s="40"/>
      <c r="ES77" s="40"/>
      <c r="EU77" s="40"/>
      <c r="EW77" s="40"/>
      <c r="EY77" s="40"/>
      <c r="FA77" s="40"/>
      <c r="FC77" s="40"/>
      <c r="FE77" s="40"/>
      <c r="FG77" s="40"/>
      <c r="FI77" s="40"/>
      <c r="FK77" s="40"/>
      <c r="FM77" s="40"/>
      <c r="FO77" s="40"/>
      <c r="FQ77" s="40"/>
      <c r="FS77" s="40"/>
      <c r="FU77" s="40"/>
      <c r="FW77" s="40"/>
      <c r="FY77" s="40"/>
      <c r="GA77" s="40"/>
      <c r="GC77" s="40"/>
      <c r="GE77" s="40"/>
      <c r="GG77" s="40"/>
      <c r="GI77" s="40"/>
      <c r="GK77" s="40"/>
      <c r="GM77" s="40"/>
      <c r="GO77" s="40"/>
      <c r="GQ77" s="40"/>
      <c r="GS77" s="40"/>
      <c r="GU77" s="40"/>
      <c r="GW77" s="40"/>
      <c r="GY77" s="40"/>
      <c r="HA77" s="40"/>
      <c r="HC77" s="40"/>
      <c r="HE77" s="40"/>
      <c r="HG77" s="40"/>
      <c r="HI77" s="40"/>
      <c r="HK77" s="40"/>
      <c r="HM77" s="40"/>
      <c r="HO77" s="40"/>
      <c r="HQ77" s="40"/>
      <c r="HS77" s="40"/>
      <c r="HU77" s="40"/>
      <c r="HW77" s="40"/>
      <c r="HY77" s="40"/>
      <c r="IA77" s="40"/>
      <c r="IC77" s="40"/>
      <c r="IE77" s="40"/>
      <c r="IG77" s="40"/>
      <c r="II77" s="40"/>
      <c r="IK77" s="40"/>
      <c r="IM77" s="40"/>
      <c r="IO77" s="40"/>
      <c r="IQ77" s="40"/>
      <c r="IS77" s="40"/>
      <c r="IU77" s="40"/>
      <c r="IW77" s="40"/>
      <c r="IY77" s="40"/>
      <c r="JA77" s="40"/>
      <c r="JC77" s="40"/>
      <c r="JE77" s="40"/>
      <c r="JG77" s="40"/>
      <c r="JI77" s="40"/>
      <c r="JK77" s="40"/>
      <c r="JM77" s="40"/>
      <c r="JO77" s="40"/>
      <c r="JQ77" s="40"/>
      <c r="JS77" s="40"/>
      <c r="JU77" s="40"/>
      <c r="JW77" s="40"/>
      <c r="JY77" s="40"/>
      <c r="KA77" s="40"/>
      <c r="KC77" s="40"/>
      <c r="KE77" s="40"/>
      <c r="KG77" s="40"/>
      <c r="KI77" s="40"/>
      <c r="KK77" s="40"/>
      <c r="KM77" s="40"/>
      <c r="KO77" s="40"/>
      <c r="KQ77" s="40"/>
      <c r="KS77" s="40"/>
      <c r="KU77" s="40"/>
      <c r="KW77" s="40"/>
      <c r="KY77" s="40"/>
      <c r="LA77" s="40"/>
      <c r="LC77" s="40"/>
      <c r="LE77" s="40"/>
      <c r="LG77" s="40"/>
      <c r="LI77" s="40"/>
      <c r="LK77" s="40"/>
      <c r="LM77" s="40"/>
      <c r="LO77" s="40"/>
      <c r="LQ77" s="40"/>
      <c r="LS77" s="40"/>
      <c r="LU77" s="40"/>
      <c r="LW77" s="40"/>
      <c r="LY77" s="40"/>
      <c r="MA77" s="40"/>
      <c r="MC77" s="40"/>
      <c r="ME77" s="40"/>
      <c r="MG77" s="40"/>
      <c r="MI77" s="40"/>
      <c r="MK77" s="40"/>
      <c r="MM77" s="40"/>
      <c r="MO77" s="40"/>
      <c r="MQ77" s="40"/>
      <c r="MS77" s="40"/>
      <c r="MU77" s="40"/>
      <c r="MW77" s="40"/>
      <c r="MY77" s="40"/>
      <c r="NA77" s="40"/>
      <c r="NC77" s="40"/>
      <c r="NE77" s="40"/>
      <c r="NG77" s="40"/>
      <c r="NI77" s="40"/>
      <c r="NK77" s="40"/>
      <c r="NM77" s="40"/>
      <c r="NO77" s="40"/>
      <c r="NQ77" s="40"/>
      <c r="NS77" s="40"/>
      <c r="NU77" s="40"/>
      <c r="NW77" s="40"/>
      <c r="NY77" s="40"/>
      <c r="OA77" s="40"/>
      <c r="OC77" s="40"/>
      <c r="OE77" s="40"/>
      <c r="OG77" s="40"/>
      <c r="OI77" s="40"/>
      <c r="OK77" s="40"/>
      <c r="OM77" s="40"/>
      <c r="OO77" s="40"/>
      <c r="OQ77" s="40"/>
      <c r="OS77" s="40"/>
      <c r="OU77" s="40"/>
      <c r="OW77" s="40"/>
      <c r="OY77" s="40"/>
      <c r="PA77" s="40"/>
      <c r="PC77" s="40"/>
      <c r="PE77" s="40"/>
      <c r="PG77" s="40"/>
      <c r="PI77" s="40"/>
      <c r="PK77" s="40"/>
      <c r="PM77" s="40"/>
      <c r="PO77" s="40"/>
      <c r="PQ77" s="40"/>
      <c r="PS77" s="40"/>
      <c r="PU77" s="40"/>
      <c r="PW77" s="40"/>
      <c r="PY77" s="40"/>
      <c r="QA77" s="40"/>
      <c r="QC77" s="40"/>
      <c r="QE77" s="40"/>
      <c r="QG77" s="40"/>
      <c r="QI77" s="40"/>
      <c r="QK77" s="40"/>
      <c r="QM77" s="40"/>
      <c r="QO77" s="40"/>
      <c r="QQ77" s="40"/>
      <c r="QS77" s="40"/>
      <c r="QU77" s="40"/>
      <c r="QW77" s="40"/>
      <c r="QY77" s="40"/>
      <c r="RA77" s="40"/>
      <c r="RC77" s="40"/>
      <c r="RE77" s="40"/>
      <c r="RG77" s="40"/>
      <c r="RI77" s="40"/>
      <c r="RK77" s="40"/>
      <c r="RM77" s="40"/>
      <c r="RO77" s="40"/>
      <c r="RQ77" s="40"/>
      <c r="RS77" s="40"/>
      <c r="RU77" s="40"/>
      <c r="RW77" s="40"/>
      <c r="RY77" s="40"/>
      <c r="SA77" s="40"/>
      <c r="SC77" s="40"/>
      <c r="SE77" s="40"/>
      <c r="SG77" s="40"/>
      <c r="SI77" s="40"/>
      <c r="SK77" s="40"/>
      <c r="SM77" s="40"/>
      <c r="SO77" s="40"/>
      <c r="SQ77" s="40"/>
      <c r="SS77" s="40"/>
      <c r="SU77" s="40"/>
      <c r="SW77" s="40"/>
      <c r="SY77" s="40"/>
      <c r="TA77" s="40"/>
      <c r="TC77" s="40"/>
      <c r="TE77" s="40"/>
      <c r="TG77" s="40"/>
      <c r="TI77" s="40"/>
      <c r="TK77" s="40"/>
      <c r="TM77" s="40"/>
      <c r="TO77" s="40"/>
      <c r="TQ77" s="40"/>
      <c r="TS77" s="40"/>
      <c r="TU77" s="40"/>
      <c r="TW77" s="40"/>
      <c r="TY77" s="40"/>
      <c r="UA77" s="40"/>
      <c r="UC77" s="40"/>
      <c r="UE77" s="40"/>
      <c r="UG77" s="40"/>
      <c r="UI77" s="40"/>
      <c r="UK77" s="40"/>
      <c r="UM77" s="40"/>
      <c r="UO77" s="40"/>
      <c r="UQ77" s="40"/>
      <c r="US77" s="40"/>
      <c r="UU77" s="40"/>
      <c r="UW77" s="40"/>
      <c r="UY77" s="40"/>
      <c r="VA77" s="40"/>
      <c r="VC77" s="40"/>
      <c r="VE77" s="40"/>
      <c r="VG77" s="40"/>
      <c r="VI77" s="40"/>
      <c r="VK77" s="40"/>
      <c r="VM77" s="40"/>
      <c r="VO77" s="40"/>
      <c r="VQ77" s="40"/>
      <c r="VS77" s="40"/>
      <c r="VU77" s="40"/>
      <c r="VW77" s="40"/>
      <c r="VY77" s="40"/>
      <c r="WA77" s="40"/>
      <c r="WC77" s="40"/>
      <c r="WE77" s="40"/>
      <c r="WG77" s="40"/>
      <c r="WI77" s="40"/>
      <c r="WK77" s="40"/>
      <c r="WM77" s="40"/>
      <c r="WO77" s="40"/>
      <c r="WQ77" s="40"/>
      <c r="WS77" s="40"/>
      <c r="WU77" s="40"/>
      <c r="WW77" s="40"/>
      <c r="WY77" s="40"/>
      <c r="XA77" s="40"/>
      <c r="XC77" s="40"/>
      <c r="XE77" s="40"/>
      <c r="XG77" s="40"/>
      <c r="XI77" s="40"/>
      <c r="XK77" s="40"/>
      <c r="XM77" s="40"/>
      <c r="XO77" s="40"/>
      <c r="XQ77" s="40"/>
      <c r="XS77" s="40"/>
      <c r="XU77" s="40"/>
      <c r="XW77" s="40"/>
      <c r="XY77" s="40"/>
      <c r="YA77" s="40"/>
      <c r="YC77" s="40"/>
      <c r="YE77" s="40"/>
      <c r="YG77" s="40"/>
      <c r="YI77" s="40"/>
      <c r="YK77" s="40"/>
      <c r="YM77" s="40"/>
      <c r="YO77" s="40"/>
      <c r="YQ77" s="40"/>
      <c r="YS77" s="40"/>
      <c r="YU77" s="40"/>
      <c r="YW77" s="40"/>
      <c r="YY77" s="40"/>
      <c r="ZA77" s="40"/>
      <c r="ZC77" s="40"/>
      <c r="ZE77" s="40"/>
      <c r="ZG77" s="40"/>
      <c r="ZI77" s="40"/>
      <c r="ZK77" s="40"/>
      <c r="ZM77" s="40"/>
      <c r="ZO77" s="40"/>
      <c r="ZQ77" s="40"/>
      <c r="ZS77" s="40"/>
      <c r="ZU77" s="40"/>
      <c r="ZW77" s="40"/>
      <c r="ZY77" s="40"/>
      <c r="AAA77" s="40"/>
      <c r="AAC77" s="40"/>
      <c r="AAE77" s="40"/>
      <c r="AAG77" s="40"/>
      <c r="AAI77" s="40"/>
      <c r="AAK77" s="40"/>
      <c r="AAM77" s="40"/>
      <c r="AAO77" s="40"/>
      <c r="AAQ77" s="40"/>
      <c r="AAS77" s="40"/>
      <c r="AAU77" s="40"/>
      <c r="AAW77" s="40"/>
      <c r="AAY77" s="40"/>
      <c r="ABA77" s="40"/>
      <c r="ABC77" s="40"/>
      <c r="ABE77" s="40"/>
      <c r="ABG77" s="40"/>
      <c r="ABI77" s="40"/>
      <c r="ABK77" s="40"/>
      <c r="ABM77" s="40"/>
      <c r="ABO77" s="40"/>
      <c r="ABQ77" s="40"/>
      <c r="ABS77" s="40"/>
      <c r="ABU77" s="40"/>
      <c r="ABW77" s="40"/>
      <c r="ABY77" s="40"/>
      <c r="ACA77" s="40"/>
      <c r="ACC77" s="40"/>
      <c r="ACE77" s="40"/>
      <c r="ACG77" s="40"/>
      <c r="ACI77" s="40"/>
      <c r="ACK77" s="40"/>
      <c r="ACM77" s="40"/>
      <c r="ACO77" s="40"/>
      <c r="ACQ77" s="40"/>
      <c r="ACS77" s="40"/>
      <c r="ACU77" s="40"/>
      <c r="ACW77" s="40"/>
      <c r="ACY77" s="40"/>
      <c r="ADA77" s="40"/>
      <c r="ADC77" s="40"/>
      <c r="ADE77" s="40"/>
      <c r="ADG77" s="40"/>
      <c r="ADI77" s="40"/>
      <c r="ADK77" s="40"/>
      <c r="ADM77" s="40"/>
      <c r="ADO77" s="40"/>
      <c r="ADQ77" s="40"/>
      <c r="ADS77" s="40"/>
      <c r="ADU77" s="40"/>
      <c r="ADW77" s="40"/>
      <c r="ADY77" s="40"/>
      <c r="AEA77" s="40"/>
      <c r="AEC77" s="40"/>
      <c r="AEE77" s="40"/>
      <c r="AEG77" s="40"/>
      <c r="AEI77" s="40"/>
      <c r="AEK77" s="40"/>
      <c r="AEM77" s="40"/>
      <c r="AEO77" s="40"/>
      <c r="AEQ77" s="40"/>
      <c r="AES77" s="40"/>
      <c r="AEU77" s="40"/>
      <c r="AEW77" s="40"/>
      <c r="AEY77" s="40"/>
      <c r="AFA77" s="40"/>
      <c r="AFC77" s="40"/>
      <c r="AFE77" s="40"/>
      <c r="AFG77" s="40"/>
      <c r="AFI77" s="40"/>
      <c r="AFK77" s="40"/>
      <c r="AFM77" s="40"/>
      <c r="AFO77" s="40"/>
      <c r="AFQ77" s="40"/>
      <c r="AFS77" s="40"/>
      <c r="AFU77" s="40"/>
      <c r="AFW77" s="40"/>
      <c r="AFY77" s="40"/>
      <c r="AGA77" s="40"/>
      <c r="AGC77" s="40"/>
      <c r="AGE77" s="40"/>
      <c r="AGG77" s="40"/>
      <c r="AGI77" s="40"/>
      <c r="AGK77" s="40"/>
      <c r="AGM77" s="40"/>
      <c r="AGO77" s="40"/>
      <c r="AGQ77" s="40"/>
      <c r="AGS77" s="40"/>
      <c r="AGU77" s="40"/>
      <c r="AGW77" s="40"/>
      <c r="AGY77" s="40"/>
      <c r="AHA77" s="40"/>
      <c r="AHC77" s="40"/>
      <c r="AHE77" s="40"/>
      <c r="AHG77" s="40"/>
      <c r="AHI77" s="40"/>
      <c r="AHK77" s="40"/>
      <c r="AHM77" s="40"/>
      <c r="AHO77" s="40"/>
      <c r="AHQ77" s="40"/>
      <c r="AHS77" s="40"/>
      <c r="AHU77" s="40"/>
      <c r="AHW77" s="40"/>
      <c r="AHY77" s="40"/>
      <c r="AIA77" s="40"/>
      <c r="AIC77" s="40"/>
      <c r="AIE77" s="40"/>
      <c r="AIG77" s="40"/>
      <c r="AII77" s="40"/>
      <c r="AIK77" s="40"/>
      <c r="AIM77" s="40"/>
      <c r="AIO77" s="40"/>
    </row>
    <row r="78" spans="1:1024" s="39" customFormat="1" ht="15.75" customHeight="1" x14ac:dyDescent="0.35">
      <c r="A78" s="600"/>
      <c r="B78" s="644" t="s">
        <v>335</v>
      </c>
      <c r="C78" s="645"/>
      <c r="D78" s="646"/>
      <c r="E78" s="645"/>
      <c r="F78" s="646"/>
      <c r="G78" s="647"/>
      <c r="H78" s="643"/>
      <c r="I78" s="645"/>
      <c r="J78" s="38"/>
      <c r="K78" s="38"/>
      <c r="M78" s="38"/>
      <c r="O78" s="38"/>
      <c r="Q78" s="38"/>
      <c r="S78" s="38"/>
      <c r="U78" s="38"/>
      <c r="W78" s="38"/>
      <c r="Y78" s="38"/>
      <c r="AA78" s="38"/>
      <c r="AC78" s="38"/>
      <c r="AE78" s="38"/>
      <c r="AG78" s="38"/>
      <c r="AI78" s="38"/>
      <c r="AK78" s="40"/>
      <c r="AM78" s="40"/>
      <c r="AO78" s="40"/>
      <c r="AQ78" s="40"/>
      <c r="AS78" s="40"/>
      <c r="AU78" s="40"/>
      <c r="AW78" s="40"/>
      <c r="AY78" s="40"/>
      <c r="BA78" s="40"/>
      <c r="BC78" s="40"/>
      <c r="BE78" s="40"/>
      <c r="BG78" s="40"/>
      <c r="BI78" s="40"/>
      <c r="BK78" s="40"/>
      <c r="BM78" s="40"/>
      <c r="BO78" s="40"/>
      <c r="BQ78" s="40"/>
      <c r="BS78" s="40"/>
      <c r="BU78" s="40"/>
      <c r="BW78" s="40"/>
      <c r="BY78" s="40"/>
      <c r="CA78" s="40"/>
      <c r="CC78" s="40"/>
      <c r="CE78" s="40"/>
      <c r="CG78" s="40"/>
      <c r="CI78" s="40"/>
      <c r="CK78" s="40"/>
      <c r="CM78" s="40"/>
      <c r="CO78" s="40"/>
      <c r="CQ78" s="40"/>
      <c r="CS78" s="40"/>
      <c r="CU78" s="40"/>
      <c r="CW78" s="40"/>
      <c r="CY78" s="40"/>
      <c r="DA78" s="40"/>
      <c r="DC78" s="40"/>
      <c r="DE78" s="40"/>
      <c r="DG78" s="40"/>
      <c r="DI78" s="40"/>
      <c r="DK78" s="40"/>
      <c r="DM78" s="40"/>
      <c r="DO78" s="40"/>
      <c r="DQ78" s="40"/>
      <c r="DS78" s="40"/>
      <c r="DU78" s="40"/>
      <c r="DW78" s="40"/>
      <c r="DY78" s="40"/>
      <c r="EA78" s="40"/>
      <c r="EC78" s="40"/>
      <c r="EE78" s="40"/>
      <c r="EG78" s="40"/>
      <c r="EI78" s="40"/>
      <c r="EK78" s="40"/>
      <c r="EM78" s="40"/>
      <c r="EO78" s="40"/>
      <c r="EQ78" s="40"/>
      <c r="ES78" s="40"/>
      <c r="EU78" s="40"/>
      <c r="EW78" s="40"/>
      <c r="EY78" s="40"/>
      <c r="FA78" s="40"/>
      <c r="FC78" s="40"/>
      <c r="FE78" s="40"/>
      <c r="FG78" s="40"/>
      <c r="FI78" s="40"/>
      <c r="FK78" s="40"/>
      <c r="FM78" s="40"/>
      <c r="FO78" s="40"/>
      <c r="FQ78" s="40"/>
      <c r="FS78" s="40"/>
      <c r="FU78" s="40"/>
      <c r="FW78" s="40"/>
      <c r="FY78" s="40"/>
      <c r="GA78" s="40"/>
      <c r="GC78" s="40"/>
      <c r="GE78" s="40"/>
      <c r="GG78" s="40"/>
      <c r="GI78" s="40"/>
      <c r="GK78" s="40"/>
      <c r="GM78" s="40"/>
      <c r="GO78" s="40"/>
      <c r="GQ78" s="40"/>
      <c r="GS78" s="40"/>
      <c r="GU78" s="40"/>
      <c r="GW78" s="40"/>
      <c r="GY78" s="40"/>
      <c r="HA78" s="40"/>
      <c r="HC78" s="40"/>
      <c r="HE78" s="40"/>
      <c r="HG78" s="40"/>
      <c r="HI78" s="40"/>
      <c r="HK78" s="40"/>
      <c r="HM78" s="40"/>
      <c r="HO78" s="40"/>
      <c r="HQ78" s="40"/>
      <c r="HS78" s="40"/>
      <c r="HU78" s="40"/>
      <c r="HW78" s="40"/>
      <c r="HY78" s="40"/>
      <c r="IA78" s="40"/>
      <c r="IC78" s="40"/>
      <c r="IE78" s="40"/>
      <c r="IG78" s="40"/>
      <c r="II78" s="40"/>
      <c r="IK78" s="40"/>
      <c r="IM78" s="40"/>
      <c r="IO78" s="40"/>
      <c r="IQ78" s="40"/>
      <c r="IS78" s="40"/>
      <c r="IU78" s="40"/>
      <c r="IW78" s="40"/>
      <c r="IY78" s="40"/>
      <c r="JA78" s="40"/>
      <c r="JC78" s="40"/>
      <c r="JE78" s="40"/>
      <c r="JG78" s="40"/>
      <c r="JI78" s="40"/>
      <c r="JK78" s="40"/>
      <c r="JM78" s="40"/>
      <c r="JO78" s="40"/>
      <c r="JQ78" s="40"/>
      <c r="JS78" s="40"/>
      <c r="JU78" s="40"/>
      <c r="JW78" s="40"/>
      <c r="JY78" s="40"/>
      <c r="KA78" s="40"/>
      <c r="KC78" s="40"/>
      <c r="KE78" s="40"/>
      <c r="KG78" s="40"/>
      <c r="KI78" s="40"/>
      <c r="KK78" s="40"/>
      <c r="KM78" s="40"/>
      <c r="KO78" s="40"/>
      <c r="KQ78" s="40"/>
      <c r="KS78" s="40"/>
      <c r="KU78" s="40"/>
      <c r="KW78" s="40"/>
      <c r="KY78" s="40"/>
      <c r="LA78" s="40"/>
      <c r="LC78" s="40"/>
      <c r="LE78" s="40"/>
      <c r="LG78" s="40"/>
      <c r="LI78" s="40"/>
      <c r="LK78" s="40"/>
      <c r="LM78" s="40"/>
      <c r="LO78" s="40"/>
      <c r="LQ78" s="40"/>
      <c r="LS78" s="40"/>
      <c r="LU78" s="40"/>
      <c r="LW78" s="40"/>
      <c r="LY78" s="40"/>
      <c r="MA78" s="40"/>
      <c r="MC78" s="40"/>
      <c r="ME78" s="40"/>
      <c r="MG78" s="40"/>
      <c r="MI78" s="40"/>
      <c r="MK78" s="40"/>
      <c r="MM78" s="40"/>
      <c r="MO78" s="40"/>
      <c r="MQ78" s="40"/>
      <c r="MS78" s="40"/>
      <c r="MU78" s="40"/>
      <c r="MW78" s="40"/>
      <c r="MY78" s="40"/>
      <c r="NA78" s="40"/>
      <c r="NC78" s="40"/>
      <c r="NE78" s="40"/>
      <c r="NG78" s="40"/>
      <c r="NI78" s="40"/>
      <c r="NK78" s="40"/>
      <c r="NM78" s="40"/>
      <c r="NO78" s="40"/>
      <c r="NQ78" s="40"/>
      <c r="NS78" s="40"/>
      <c r="NU78" s="40"/>
      <c r="NW78" s="40"/>
      <c r="NY78" s="40"/>
      <c r="OA78" s="40"/>
      <c r="OC78" s="40"/>
      <c r="OE78" s="40"/>
      <c r="OG78" s="40"/>
      <c r="OI78" s="40"/>
      <c r="OK78" s="40"/>
      <c r="OM78" s="40"/>
      <c r="OO78" s="40"/>
      <c r="OQ78" s="40"/>
      <c r="OS78" s="40"/>
      <c r="OU78" s="40"/>
      <c r="OW78" s="40"/>
      <c r="OY78" s="40"/>
      <c r="PA78" s="40"/>
      <c r="PC78" s="40"/>
      <c r="PE78" s="40"/>
      <c r="PG78" s="40"/>
      <c r="PI78" s="40"/>
      <c r="PK78" s="40"/>
      <c r="PM78" s="40"/>
      <c r="PO78" s="40"/>
      <c r="PQ78" s="40"/>
      <c r="PS78" s="40"/>
      <c r="PU78" s="40"/>
      <c r="PW78" s="40"/>
      <c r="PY78" s="40"/>
      <c r="QA78" s="40"/>
      <c r="QC78" s="40"/>
      <c r="QE78" s="40"/>
      <c r="QG78" s="40"/>
      <c r="QI78" s="40"/>
      <c r="QK78" s="40"/>
      <c r="QM78" s="40"/>
      <c r="QO78" s="40"/>
      <c r="QQ78" s="40"/>
      <c r="QS78" s="40"/>
      <c r="QU78" s="40"/>
      <c r="QW78" s="40"/>
      <c r="QY78" s="40"/>
      <c r="RA78" s="40"/>
      <c r="RC78" s="40"/>
      <c r="RE78" s="40"/>
      <c r="RG78" s="40"/>
      <c r="RI78" s="40"/>
      <c r="RK78" s="40"/>
      <c r="RM78" s="40"/>
      <c r="RO78" s="40"/>
      <c r="RQ78" s="40"/>
      <c r="RS78" s="40"/>
      <c r="RU78" s="40"/>
      <c r="RW78" s="40"/>
      <c r="RY78" s="40"/>
      <c r="SA78" s="40"/>
      <c r="SC78" s="40"/>
      <c r="SE78" s="40"/>
      <c r="SG78" s="40"/>
      <c r="SI78" s="40"/>
      <c r="SK78" s="40"/>
      <c r="SM78" s="40"/>
      <c r="SO78" s="40"/>
      <c r="SQ78" s="40"/>
      <c r="SS78" s="40"/>
      <c r="SU78" s="40"/>
      <c r="SW78" s="40"/>
      <c r="SY78" s="40"/>
      <c r="TA78" s="40"/>
      <c r="TC78" s="40"/>
      <c r="TE78" s="40"/>
      <c r="TG78" s="40"/>
      <c r="TI78" s="40"/>
      <c r="TK78" s="40"/>
      <c r="TM78" s="40"/>
      <c r="TO78" s="40"/>
      <c r="TQ78" s="40"/>
      <c r="TS78" s="40"/>
      <c r="TU78" s="40"/>
      <c r="TW78" s="40"/>
      <c r="TY78" s="40"/>
      <c r="UA78" s="40"/>
      <c r="UC78" s="40"/>
      <c r="UE78" s="40"/>
      <c r="UG78" s="40"/>
      <c r="UI78" s="40"/>
      <c r="UK78" s="40"/>
      <c r="UM78" s="40"/>
      <c r="UO78" s="40"/>
      <c r="UQ78" s="40"/>
      <c r="US78" s="40"/>
      <c r="UU78" s="40"/>
      <c r="UW78" s="40"/>
      <c r="UY78" s="40"/>
      <c r="VA78" s="40"/>
      <c r="VC78" s="40"/>
      <c r="VE78" s="40"/>
      <c r="VG78" s="40"/>
      <c r="VI78" s="40"/>
      <c r="VK78" s="40"/>
      <c r="VM78" s="40"/>
      <c r="VO78" s="40"/>
      <c r="VQ78" s="40"/>
      <c r="VS78" s="40"/>
      <c r="VU78" s="40"/>
      <c r="VW78" s="40"/>
      <c r="VY78" s="40"/>
      <c r="WA78" s="40"/>
      <c r="WC78" s="40"/>
      <c r="WE78" s="40"/>
      <c r="WG78" s="40"/>
      <c r="WI78" s="40"/>
      <c r="WK78" s="40"/>
      <c r="WM78" s="40"/>
      <c r="WO78" s="40"/>
      <c r="WQ78" s="40"/>
      <c r="WS78" s="40"/>
      <c r="WU78" s="40"/>
      <c r="WW78" s="40"/>
      <c r="WY78" s="40"/>
      <c r="XA78" s="40"/>
      <c r="XC78" s="40"/>
      <c r="XE78" s="40"/>
      <c r="XG78" s="40"/>
      <c r="XI78" s="40"/>
      <c r="XK78" s="40"/>
      <c r="XM78" s="40"/>
      <c r="XO78" s="40"/>
      <c r="XQ78" s="40"/>
      <c r="XS78" s="40"/>
      <c r="XU78" s="40"/>
      <c r="XW78" s="40"/>
      <c r="XY78" s="40"/>
      <c r="YA78" s="40"/>
      <c r="YC78" s="40"/>
      <c r="YE78" s="40"/>
      <c r="YG78" s="40"/>
      <c r="YI78" s="40"/>
      <c r="YK78" s="40"/>
      <c r="YM78" s="40"/>
      <c r="YO78" s="40"/>
      <c r="YQ78" s="40"/>
      <c r="YS78" s="40"/>
      <c r="YU78" s="40"/>
      <c r="YW78" s="40"/>
      <c r="YY78" s="40"/>
      <c r="ZA78" s="40"/>
      <c r="ZC78" s="40"/>
      <c r="ZE78" s="40"/>
      <c r="ZG78" s="40"/>
      <c r="ZI78" s="40"/>
      <c r="ZK78" s="40"/>
      <c r="ZM78" s="40"/>
      <c r="ZO78" s="40"/>
      <c r="ZQ78" s="40"/>
      <c r="ZS78" s="40"/>
      <c r="ZU78" s="40"/>
      <c r="ZW78" s="40"/>
      <c r="ZY78" s="40"/>
      <c r="AAA78" s="40"/>
      <c r="AAC78" s="40"/>
      <c r="AAE78" s="40"/>
      <c r="AAG78" s="40"/>
      <c r="AAI78" s="40"/>
      <c r="AAK78" s="40"/>
      <c r="AAM78" s="40"/>
      <c r="AAO78" s="40"/>
      <c r="AAQ78" s="40"/>
      <c r="AAS78" s="40"/>
      <c r="AAU78" s="40"/>
      <c r="AAW78" s="40"/>
      <c r="AAY78" s="40"/>
      <c r="ABA78" s="40"/>
      <c r="ABC78" s="40"/>
      <c r="ABE78" s="40"/>
      <c r="ABG78" s="40"/>
      <c r="ABI78" s="40"/>
      <c r="ABK78" s="40"/>
      <c r="ABM78" s="40"/>
      <c r="ABO78" s="40"/>
      <c r="ABQ78" s="40"/>
      <c r="ABS78" s="40"/>
      <c r="ABU78" s="40"/>
      <c r="ABW78" s="40"/>
      <c r="ABY78" s="40"/>
      <c r="ACA78" s="40"/>
      <c r="ACC78" s="40"/>
      <c r="ACE78" s="40"/>
      <c r="ACG78" s="40"/>
      <c r="ACI78" s="40"/>
      <c r="ACK78" s="40"/>
      <c r="ACM78" s="40"/>
      <c r="ACO78" s="40"/>
      <c r="ACQ78" s="40"/>
      <c r="ACS78" s="40"/>
      <c r="ACU78" s="40"/>
      <c r="ACW78" s="40"/>
      <c r="ACY78" s="40"/>
      <c r="ADA78" s="40"/>
      <c r="ADC78" s="40"/>
      <c r="ADE78" s="40"/>
      <c r="ADG78" s="40"/>
      <c r="ADI78" s="40"/>
      <c r="ADK78" s="40"/>
      <c r="ADM78" s="40"/>
      <c r="ADO78" s="40"/>
      <c r="ADQ78" s="40"/>
      <c r="ADS78" s="40"/>
      <c r="ADU78" s="40"/>
      <c r="ADW78" s="40"/>
      <c r="ADY78" s="40"/>
      <c r="AEA78" s="40"/>
      <c r="AEC78" s="40"/>
      <c r="AEE78" s="40"/>
      <c r="AEG78" s="40"/>
      <c r="AEI78" s="40"/>
      <c r="AEK78" s="40"/>
      <c r="AEM78" s="40"/>
      <c r="AEO78" s="40"/>
      <c r="AEQ78" s="40"/>
      <c r="AES78" s="40"/>
      <c r="AEU78" s="40"/>
      <c r="AEW78" s="40"/>
      <c r="AEY78" s="40"/>
      <c r="AFA78" s="40"/>
      <c r="AFC78" s="40"/>
      <c r="AFE78" s="40"/>
      <c r="AFG78" s="40"/>
      <c r="AFI78" s="40"/>
      <c r="AFK78" s="40"/>
      <c r="AFM78" s="40"/>
      <c r="AFO78" s="40"/>
      <c r="AFQ78" s="40"/>
      <c r="AFS78" s="40"/>
      <c r="AFU78" s="40"/>
      <c r="AFW78" s="40"/>
      <c r="AFY78" s="40"/>
      <c r="AGA78" s="40"/>
      <c r="AGC78" s="40"/>
      <c r="AGE78" s="40"/>
      <c r="AGG78" s="40"/>
      <c r="AGI78" s="40"/>
      <c r="AGK78" s="40"/>
      <c r="AGM78" s="40"/>
      <c r="AGO78" s="40"/>
      <c r="AGQ78" s="40"/>
      <c r="AGS78" s="40"/>
      <c r="AGU78" s="40"/>
      <c r="AGW78" s="40"/>
      <c r="AGY78" s="40"/>
      <c r="AHA78" s="40"/>
      <c r="AHC78" s="40"/>
      <c r="AHE78" s="40"/>
      <c r="AHG78" s="40"/>
      <c r="AHI78" s="40"/>
      <c r="AHK78" s="40"/>
      <c r="AHM78" s="40"/>
      <c r="AHO78" s="40"/>
      <c r="AHQ78" s="40"/>
      <c r="AHS78" s="40"/>
      <c r="AHU78" s="40"/>
      <c r="AHW78" s="40"/>
      <c r="AHY78" s="40"/>
      <c r="AIA78" s="40"/>
      <c r="AIC78" s="40"/>
      <c r="AIE78" s="40"/>
      <c r="AIG78" s="40"/>
      <c r="AII78" s="40"/>
      <c r="AIK78" s="40"/>
      <c r="AIM78" s="40"/>
      <c r="AIO78" s="40"/>
    </row>
    <row r="79" spans="1:1024" s="39" customFormat="1" ht="15.75" customHeight="1" x14ac:dyDescent="0.35">
      <c r="A79" s="600"/>
      <c r="B79" s="644" t="s">
        <v>336</v>
      </c>
      <c r="C79" s="645"/>
      <c r="D79" s="646"/>
      <c r="E79" s="645"/>
      <c r="F79" s="646"/>
      <c r="G79" s="647"/>
      <c r="H79" s="643"/>
      <c r="I79" s="645"/>
      <c r="J79" s="38"/>
      <c r="K79" s="38"/>
      <c r="M79" s="38"/>
      <c r="O79" s="38"/>
      <c r="Q79" s="38"/>
      <c r="S79" s="38"/>
      <c r="U79" s="38"/>
      <c r="W79" s="38"/>
      <c r="Y79" s="38"/>
      <c r="AA79" s="38"/>
      <c r="AC79" s="38"/>
      <c r="AE79" s="38"/>
      <c r="AG79" s="38"/>
      <c r="AI79" s="38"/>
      <c r="AK79" s="40"/>
      <c r="AM79" s="40"/>
      <c r="AO79" s="40"/>
      <c r="AQ79" s="40"/>
      <c r="AS79" s="40"/>
      <c r="AU79" s="40"/>
      <c r="AW79" s="40"/>
      <c r="AY79" s="40"/>
      <c r="BA79" s="40"/>
      <c r="BC79" s="40"/>
      <c r="BE79" s="40"/>
      <c r="BG79" s="40"/>
      <c r="BI79" s="40"/>
      <c r="BK79" s="40"/>
      <c r="BM79" s="40"/>
      <c r="BO79" s="40"/>
      <c r="BQ79" s="40"/>
      <c r="BS79" s="40"/>
      <c r="BU79" s="40"/>
      <c r="BW79" s="40"/>
      <c r="BY79" s="40"/>
      <c r="CA79" s="40"/>
      <c r="CC79" s="40"/>
      <c r="CE79" s="40"/>
      <c r="CG79" s="40"/>
      <c r="CI79" s="40"/>
      <c r="CK79" s="40"/>
      <c r="CM79" s="40"/>
      <c r="CO79" s="40"/>
      <c r="CQ79" s="40"/>
      <c r="CS79" s="40"/>
      <c r="CU79" s="40"/>
      <c r="CW79" s="40"/>
      <c r="CY79" s="40"/>
      <c r="DA79" s="40"/>
      <c r="DC79" s="40"/>
      <c r="DE79" s="40"/>
      <c r="DG79" s="40"/>
      <c r="DI79" s="40"/>
      <c r="DK79" s="40"/>
      <c r="DM79" s="40"/>
      <c r="DO79" s="40"/>
      <c r="DQ79" s="40"/>
      <c r="DS79" s="40"/>
      <c r="DU79" s="40"/>
      <c r="DW79" s="40"/>
      <c r="DY79" s="40"/>
      <c r="EA79" s="40"/>
      <c r="EC79" s="40"/>
      <c r="EE79" s="40"/>
      <c r="EG79" s="40"/>
      <c r="EI79" s="40"/>
      <c r="EK79" s="40"/>
      <c r="EM79" s="40"/>
      <c r="EO79" s="40"/>
      <c r="EQ79" s="40"/>
      <c r="ES79" s="40"/>
      <c r="EU79" s="40"/>
      <c r="EW79" s="40"/>
      <c r="EY79" s="40"/>
      <c r="FA79" s="40"/>
      <c r="FC79" s="40"/>
      <c r="FE79" s="40"/>
      <c r="FG79" s="40"/>
      <c r="FI79" s="40"/>
      <c r="FK79" s="40"/>
      <c r="FM79" s="40"/>
      <c r="FO79" s="40"/>
      <c r="FQ79" s="40"/>
      <c r="FS79" s="40"/>
      <c r="FU79" s="40"/>
      <c r="FW79" s="40"/>
      <c r="FY79" s="40"/>
      <c r="GA79" s="40"/>
      <c r="GC79" s="40"/>
      <c r="GE79" s="40"/>
      <c r="GG79" s="40"/>
      <c r="GI79" s="40"/>
      <c r="GK79" s="40"/>
      <c r="GM79" s="40"/>
      <c r="GO79" s="40"/>
      <c r="GQ79" s="40"/>
      <c r="GS79" s="40"/>
      <c r="GU79" s="40"/>
      <c r="GW79" s="40"/>
      <c r="GY79" s="40"/>
      <c r="HA79" s="40"/>
      <c r="HC79" s="40"/>
      <c r="HE79" s="40"/>
      <c r="HG79" s="40"/>
      <c r="HI79" s="40"/>
      <c r="HK79" s="40"/>
      <c r="HM79" s="40"/>
      <c r="HO79" s="40"/>
      <c r="HQ79" s="40"/>
      <c r="HS79" s="40"/>
      <c r="HU79" s="40"/>
      <c r="HW79" s="40"/>
      <c r="HY79" s="40"/>
      <c r="IA79" s="40"/>
      <c r="IC79" s="40"/>
      <c r="IE79" s="40"/>
      <c r="IG79" s="40"/>
      <c r="II79" s="40"/>
      <c r="IK79" s="40"/>
      <c r="IM79" s="40"/>
      <c r="IO79" s="40"/>
      <c r="IQ79" s="40"/>
      <c r="IS79" s="40"/>
      <c r="IU79" s="40"/>
      <c r="IW79" s="40"/>
      <c r="IY79" s="40"/>
      <c r="JA79" s="40"/>
      <c r="JC79" s="40"/>
      <c r="JE79" s="40"/>
      <c r="JG79" s="40"/>
      <c r="JI79" s="40"/>
      <c r="JK79" s="40"/>
      <c r="JM79" s="40"/>
      <c r="JO79" s="40"/>
      <c r="JQ79" s="40"/>
      <c r="JS79" s="40"/>
      <c r="JU79" s="40"/>
      <c r="JW79" s="40"/>
      <c r="JY79" s="40"/>
      <c r="KA79" s="40"/>
      <c r="KC79" s="40"/>
      <c r="KE79" s="40"/>
      <c r="KG79" s="40"/>
      <c r="KI79" s="40"/>
      <c r="KK79" s="40"/>
      <c r="KM79" s="40"/>
      <c r="KO79" s="40"/>
      <c r="KQ79" s="40"/>
      <c r="KS79" s="40"/>
      <c r="KU79" s="40"/>
      <c r="KW79" s="40"/>
      <c r="KY79" s="40"/>
      <c r="LA79" s="40"/>
      <c r="LC79" s="40"/>
      <c r="LE79" s="40"/>
      <c r="LG79" s="40"/>
      <c r="LI79" s="40"/>
      <c r="LK79" s="40"/>
      <c r="LM79" s="40"/>
      <c r="LO79" s="40"/>
      <c r="LQ79" s="40"/>
      <c r="LS79" s="40"/>
      <c r="LU79" s="40"/>
      <c r="LW79" s="40"/>
      <c r="LY79" s="40"/>
      <c r="MA79" s="40"/>
      <c r="MC79" s="40"/>
      <c r="ME79" s="40"/>
      <c r="MG79" s="40"/>
      <c r="MI79" s="40"/>
      <c r="MK79" s="40"/>
      <c r="MM79" s="40"/>
      <c r="MO79" s="40"/>
      <c r="MQ79" s="40"/>
      <c r="MS79" s="40"/>
      <c r="MU79" s="40"/>
      <c r="MW79" s="40"/>
      <c r="MY79" s="40"/>
      <c r="NA79" s="40"/>
      <c r="NC79" s="40"/>
      <c r="NE79" s="40"/>
      <c r="NG79" s="40"/>
      <c r="NI79" s="40"/>
      <c r="NK79" s="40"/>
      <c r="NM79" s="40"/>
      <c r="NO79" s="40"/>
      <c r="NQ79" s="40"/>
      <c r="NS79" s="40"/>
      <c r="NU79" s="40"/>
      <c r="NW79" s="40"/>
      <c r="NY79" s="40"/>
      <c r="OA79" s="40"/>
      <c r="OC79" s="40"/>
      <c r="OE79" s="40"/>
      <c r="OG79" s="40"/>
      <c r="OI79" s="40"/>
      <c r="OK79" s="40"/>
      <c r="OM79" s="40"/>
      <c r="OO79" s="40"/>
      <c r="OQ79" s="40"/>
      <c r="OS79" s="40"/>
      <c r="OU79" s="40"/>
      <c r="OW79" s="40"/>
      <c r="OY79" s="40"/>
      <c r="PA79" s="40"/>
      <c r="PC79" s="40"/>
      <c r="PE79" s="40"/>
      <c r="PG79" s="40"/>
      <c r="PI79" s="40"/>
      <c r="PK79" s="40"/>
      <c r="PM79" s="40"/>
      <c r="PO79" s="40"/>
      <c r="PQ79" s="40"/>
      <c r="PS79" s="40"/>
      <c r="PU79" s="40"/>
      <c r="PW79" s="40"/>
      <c r="PY79" s="40"/>
      <c r="QA79" s="40"/>
      <c r="QC79" s="40"/>
      <c r="QE79" s="40"/>
      <c r="QG79" s="40"/>
      <c r="QI79" s="40"/>
      <c r="QK79" s="40"/>
      <c r="QM79" s="40"/>
      <c r="QO79" s="40"/>
      <c r="QQ79" s="40"/>
      <c r="QS79" s="40"/>
      <c r="QU79" s="40"/>
      <c r="QW79" s="40"/>
      <c r="QY79" s="40"/>
      <c r="RA79" s="40"/>
      <c r="RC79" s="40"/>
      <c r="RE79" s="40"/>
      <c r="RG79" s="40"/>
      <c r="RI79" s="40"/>
      <c r="RK79" s="40"/>
      <c r="RM79" s="40"/>
      <c r="RO79" s="40"/>
      <c r="RQ79" s="40"/>
      <c r="RS79" s="40"/>
      <c r="RU79" s="40"/>
      <c r="RW79" s="40"/>
      <c r="RY79" s="40"/>
      <c r="SA79" s="40"/>
      <c r="SC79" s="40"/>
      <c r="SE79" s="40"/>
      <c r="SG79" s="40"/>
      <c r="SI79" s="40"/>
      <c r="SK79" s="40"/>
      <c r="SM79" s="40"/>
      <c r="SO79" s="40"/>
      <c r="SQ79" s="40"/>
      <c r="SS79" s="40"/>
      <c r="SU79" s="40"/>
      <c r="SW79" s="40"/>
      <c r="SY79" s="40"/>
      <c r="TA79" s="40"/>
      <c r="TC79" s="40"/>
      <c r="TE79" s="40"/>
      <c r="TG79" s="40"/>
      <c r="TI79" s="40"/>
      <c r="TK79" s="40"/>
      <c r="TM79" s="40"/>
      <c r="TO79" s="40"/>
      <c r="TQ79" s="40"/>
      <c r="TS79" s="40"/>
      <c r="TU79" s="40"/>
      <c r="TW79" s="40"/>
      <c r="TY79" s="40"/>
      <c r="UA79" s="40"/>
      <c r="UC79" s="40"/>
      <c r="UE79" s="40"/>
      <c r="UG79" s="40"/>
      <c r="UI79" s="40"/>
      <c r="UK79" s="40"/>
      <c r="UM79" s="40"/>
      <c r="UO79" s="40"/>
      <c r="UQ79" s="40"/>
      <c r="US79" s="40"/>
      <c r="UU79" s="40"/>
      <c r="UW79" s="40"/>
      <c r="UY79" s="40"/>
      <c r="VA79" s="40"/>
      <c r="VC79" s="40"/>
      <c r="VE79" s="40"/>
      <c r="VG79" s="40"/>
      <c r="VI79" s="40"/>
      <c r="VK79" s="40"/>
      <c r="VM79" s="40"/>
      <c r="VO79" s="40"/>
      <c r="VQ79" s="40"/>
      <c r="VS79" s="40"/>
      <c r="VU79" s="40"/>
      <c r="VW79" s="40"/>
      <c r="VY79" s="40"/>
      <c r="WA79" s="40"/>
      <c r="WC79" s="40"/>
      <c r="WE79" s="40"/>
      <c r="WG79" s="40"/>
      <c r="WI79" s="40"/>
      <c r="WK79" s="40"/>
      <c r="WM79" s="40"/>
      <c r="WO79" s="40"/>
      <c r="WQ79" s="40"/>
      <c r="WS79" s="40"/>
      <c r="WU79" s="40"/>
      <c r="WW79" s="40"/>
      <c r="WY79" s="40"/>
      <c r="XA79" s="40"/>
      <c r="XC79" s="40"/>
      <c r="XE79" s="40"/>
      <c r="XG79" s="40"/>
      <c r="XI79" s="40"/>
      <c r="XK79" s="40"/>
      <c r="XM79" s="40"/>
      <c r="XO79" s="40"/>
      <c r="XQ79" s="40"/>
      <c r="XS79" s="40"/>
      <c r="XU79" s="40"/>
      <c r="XW79" s="40"/>
      <c r="XY79" s="40"/>
      <c r="YA79" s="40"/>
      <c r="YC79" s="40"/>
      <c r="YE79" s="40"/>
      <c r="YG79" s="40"/>
      <c r="YI79" s="40"/>
      <c r="YK79" s="40"/>
      <c r="YM79" s="40"/>
      <c r="YO79" s="40"/>
      <c r="YQ79" s="40"/>
      <c r="YS79" s="40"/>
      <c r="YU79" s="40"/>
      <c r="YW79" s="40"/>
      <c r="YY79" s="40"/>
      <c r="ZA79" s="40"/>
      <c r="ZC79" s="40"/>
      <c r="ZE79" s="40"/>
      <c r="ZG79" s="40"/>
      <c r="ZI79" s="40"/>
      <c r="ZK79" s="40"/>
      <c r="ZM79" s="40"/>
      <c r="ZO79" s="40"/>
      <c r="ZQ79" s="40"/>
      <c r="ZS79" s="40"/>
      <c r="ZU79" s="40"/>
      <c r="ZW79" s="40"/>
      <c r="ZY79" s="40"/>
      <c r="AAA79" s="40"/>
      <c r="AAC79" s="40"/>
      <c r="AAE79" s="40"/>
      <c r="AAG79" s="40"/>
      <c r="AAI79" s="40"/>
      <c r="AAK79" s="40"/>
      <c r="AAM79" s="40"/>
      <c r="AAO79" s="40"/>
      <c r="AAQ79" s="40"/>
      <c r="AAS79" s="40"/>
      <c r="AAU79" s="40"/>
      <c r="AAW79" s="40"/>
      <c r="AAY79" s="40"/>
      <c r="ABA79" s="40"/>
      <c r="ABC79" s="40"/>
      <c r="ABE79" s="40"/>
      <c r="ABG79" s="40"/>
      <c r="ABI79" s="40"/>
      <c r="ABK79" s="40"/>
      <c r="ABM79" s="40"/>
      <c r="ABO79" s="40"/>
      <c r="ABQ79" s="40"/>
      <c r="ABS79" s="40"/>
      <c r="ABU79" s="40"/>
      <c r="ABW79" s="40"/>
      <c r="ABY79" s="40"/>
      <c r="ACA79" s="40"/>
      <c r="ACC79" s="40"/>
      <c r="ACE79" s="40"/>
      <c r="ACG79" s="40"/>
      <c r="ACI79" s="40"/>
      <c r="ACK79" s="40"/>
      <c r="ACM79" s="40"/>
      <c r="ACO79" s="40"/>
      <c r="ACQ79" s="40"/>
      <c r="ACS79" s="40"/>
      <c r="ACU79" s="40"/>
      <c r="ACW79" s="40"/>
      <c r="ACY79" s="40"/>
      <c r="ADA79" s="40"/>
      <c r="ADC79" s="40"/>
      <c r="ADE79" s="40"/>
      <c r="ADG79" s="40"/>
      <c r="ADI79" s="40"/>
      <c r="ADK79" s="40"/>
      <c r="ADM79" s="40"/>
      <c r="ADO79" s="40"/>
      <c r="ADQ79" s="40"/>
      <c r="ADS79" s="40"/>
      <c r="ADU79" s="40"/>
      <c r="ADW79" s="40"/>
      <c r="ADY79" s="40"/>
      <c r="AEA79" s="40"/>
      <c r="AEC79" s="40"/>
      <c r="AEE79" s="40"/>
      <c r="AEG79" s="40"/>
      <c r="AEI79" s="40"/>
      <c r="AEK79" s="40"/>
      <c r="AEM79" s="40"/>
      <c r="AEO79" s="40"/>
      <c r="AEQ79" s="40"/>
      <c r="AES79" s="40"/>
      <c r="AEU79" s="40"/>
      <c r="AEW79" s="40"/>
      <c r="AEY79" s="40"/>
      <c r="AFA79" s="40"/>
      <c r="AFC79" s="40"/>
      <c r="AFE79" s="40"/>
      <c r="AFG79" s="40"/>
      <c r="AFI79" s="40"/>
      <c r="AFK79" s="40"/>
      <c r="AFM79" s="40"/>
      <c r="AFO79" s="40"/>
      <c r="AFQ79" s="40"/>
      <c r="AFS79" s="40"/>
      <c r="AFU79" s="40"/>
      <c r="AFW79" s="40"/>
      <c r="AFY79" s="40"/>
      <c r="AGA79" s="40"/>
      <c r="AGC79" s="40"/>
      <c r="AGE79" s="40"/>
      <c r="AGG79" s="40"/>
      <c r="AGI79" s="40"/>
      <c r="AGK79" s="40"/>
      <c r="AGM79" s="40"/>
      <c r="AGO79" s="40"/>
      <c r="AGQ79" s="40"/>
      <c r="AGS79" s="40"/>
      <c r="AGU79" s="40"/>
      <c r="AGW79" s="40"/>
      <c r="AGY79" s="40"/>
      <c r="AHA79" s="40"/>
      <c r="AHC79" s="40"/>
      <c r="AHE79" s="40"/>
      <c r="AHG79" s="40"/>
      <c r="AHI79" s="40"/>
      <c r="AHK79" s="40"/>
      <c r="AHM79" s="40"/>
      <c r="AHO79" s="40"/>
      <c r="AHQ79" s="40"/>
      <c r="AHS79" s="40"/>
      <c r="AHU79" s="40"/>
      <c r="AHW79" s="40"/>
      <c r="AHY79" s="40"/>
      <c r="AIA79" s="40"/>
      <c r="AIC79" s="40"/>
      <c r="AIE79" s="40"/>
      <c r="AIG79" s="40"/>
      <c r="AII79" s="40"/>
      <c r="AIK79" s="40"/>
      <c r="AIM79" s="40"/>
      <c r="AIO79" s="40"/>
    </row>
    <row r="80" spans="1:1024" s="39" customFormat="1" ht="15.75" customHeight="1" x14ac:dyDescent="0.35">
      <c r="A80" s="600"/>
      <c r="B80" s="644"/>
      <c r="C80" s="645"/>
      <c r="D80" s="646"/>
      <c r="E80" s="645"/>
      <c r="F80" s="646"/>
      <c r="G80" s="647"/>
      <c r="H80" s="643"/>
      <c r="I80" s="645"/>
      <c r="J80" s="38"/>
      <c r="K80" s="38"/>
      <c r="M80" s="38"/>
      <c r="O80" s="38"/>
      <c r="Q80" s="38"/>
      <c r="S80" s="38"/>
      <c r="U80" s="38"/>
      <c r="W80" s="38"/>
      <c r="Y80" s="38"/>
      <c r="AA80" s="38"/>
      <c r="AC80" s="38"/>
      <c r="AE80" s="38"/>
      <c r="AG80" s="38"/>
      <c r="AI80" s="38"/>
      <c r="AK80" s="40"/>
      <c r="AM80" s="40"/>
      <c r="AO80" s="40"/>
      <c r="AQ80" s="40"/>
      <c r="AS80" s="40"/>
      <c r="AU80" s="40"/>
      <c r="AW80" s="40"/>
      <c r="AY80" s="40"/>
      <c r="BA80" s="40"/>
      <c r="BC80" s="40"/>
      <c r="BE80" s="40"/>
      <c r="BG80" s="40"/>
      <c r="BI80" s="40"/>
      <c r="BK80" s="40"/>
      <c r="BM80" s="40"/>
      <c r="BO80" s="40"/>
      <c r="BQ80" s="40"/>
      <c r="BS80" s="40"/>
      <c r="BU80" s="40"/>
      <c r="BW80" s="40"/>
      <c r="BY80" s="40"/>
      <c r="CA80" s="40"/>
      <c r="CC80" s="40"/>
      <c r="CE80" s="40"/>
      <c r="CG80" s="40"/>
      <c r="CI80" s="40"/>
      <c r="CK80" s="40"/>
      <c r="CM80" s="40"/>
      <c r="CO80" s="40"/>
      <c r="CQ80" s="40"/>
      <c r="CS80" s="40"/>
      <c r="CU80" s="40"/>
      <c r="CW80" s="40"/>
      <c r="CY80" s="40"/>
      <c r="DA80" s="40"/>
      <c r="DC80" s="40"/>
      <c r="DE80" s="40"/>
      <c r="DG80" s="40"/>
      <c r="DI80" s="40"/>
      <c r="DK80" s="40"/>
      <c r="DM80" s="40"/>
      <c r="DO80" s="40"/>
      <c r="DQ80" s="40"/>
      <c r="DS80" s="40"/>
      <c r="DU80" s="40"/>
      <c r="DW80" s="40"/>
      <c r="DY80" s="40"/>
      <c r="EA80" s="40"/>
      <c r="EC80" s="40"/>
      <c r="EE80" s="40"/>
      <c r="EG80" s="40"/>
      <c r="EI80" s="40"/>
      <c r="EK80" s="40"/>
      <c r="EM80" s="40"/>
      <c r="EO80" s="40"/>
      <c r="EQ80" s="40"/>
      <c r="ES80" s="40"/>
      <c r="EU80" s="40"/>
      <c r="EW80" s="40"/>
      <c r="EY80" s="40"/>
      <c r="FA80" s="40"/>
      <c r="FC80" s="40"/>
      <c r="FE80" s="40"/>
      <c r="FG80" s="40"/>
      <c r="FI80" s="40"/>
      <c r="FK80" s="40"/>
      <c r="FM80" s="40"/>
      <c r="FO80" s="40"/>
      <c r="FQ80" s="40"/>
      <c r="FS80" s="40"/>
      <c r="FU80" s="40"/>
      <c r="FW80" s="40"/>
      <c r="FY80" s="40"/>
      <c r="GA80" s="40"/>
      <c r="GC80" s="40"/>
      <c r="GE80" s="40"/>
      <c r="GG80" s="40"/>
      <c r="GI80" s="40"/>
      <c r="GK80" s="40"/>
      <c r="GM80" s="40"/>
      <c r="GO80" s="40"/>
      <c r="GQ80" s="40"/>
      <c r="GS80" s="40"/>
      <c r="GU80" s="40"/>
      <c r="GW80" s="40"/>
      <c r="GY80" s="40"/>
      <c r="HA80" s="40"/>
      <c r="HC80" s="40"/>
      <c r="HE80" s="40"/>
      <c r="HG80" s="40"/>
      <c r="HI80" s="40"/>
      <c r="HK80" s="40"/>
      <c r="HM80" s="40"/>
      <c r="HO80" s="40"/>
      <c r="HQ80" s="40"/>
      <c r="HS80" s="40"/>
      <c r="HU80" s="40"/>
      <c r="HW80" s="40"/>
      <c r="HY80" s="40"/>
      <c r="IA80" s="40"/>
      <c r="IC80" s="40"/>
      <c r="IE80" s="40"/>
      <c r="IG80" s="40"/>
      <c r="II80" s="40"/>
      <c r="IK80" s="40"/>
      <c r="IM80" s="40"/>
      <c r="IO80" s="40"/>
      <c r="IQ80" s="40"/>
      <c r="IS80" s="40"/>
      <c r="IU80" s="40"/>
      <c r="IW80" s="40"/>
      <c r="IY80" s="40"/>
      <c r="JA80" s="40"/>
      <c r="JC80" s="40"/>
      <c r="JE80" s="40"/>
      <c r="JG80" s="40"/>
      <c r="JI80" s="40"/>
      <c r="JK80" s="40"/>
      <c r="JM80" s="40"/>
      <c r="JO80" s="40"/>
      <c r="JQ80" s="40"/>
      <c r="JS80" s="40"/>
      <c r="JU80" s="40"/>
      <c r="JW80" s="40"/>
      <c r="JY80" s="40"/>
      <c r="KA80" s="40"/>
      <c r="KC80" s="40"/>
      <c r="KE80" s="40"/>
      <c r="KG80" s="40"/>
      <c r="KI80" s="40"/>
      <c r="KK80" s="40"/>
      <c r="KM80" s="40"/>
      <c r="KO80" s="40"/>
      <c r="KQ80" s="40"/>
      <c r="KS80" s="40"/>
      <c r="KU80" s="40"/>
      <c r="KW80" s="40"/>
      <c r="KY80" s="40"/>
      <c r="LA80" s="40"/>
      <c r="LC80" s="40"/>
      <c r="LE80" s="40"/>
      <c r="LG80" s="40"/>
      <c r="LI80" s="40"/>
      <c r="LK80" s="40"/>
      <c r="LM80" s="40"/>
      <c r="LO80" s="40"/>
      <c r="LQ80" s="40"/>
      <c r="LS80" s="40"/>
      <c r="LU80" s="40"/>
      <c r="LW80" s="40"/>
      <c r="LY80" s="40"/>
      <c r="MA80" s="40"/>
      <c r="MC80" s="40"/>
      <c r="ME80" s="40"/>
      <c r="MG80" s="40"/>
      <c r="MI80" s="40"/>
      <c r="MK80" s="40"/>
      <c r="MM80" s="40"/>
      <c r="MO80" s="40"/>
      <c r="MQ80" s="40"/>
      <c r="MS80" s="40"/>
      <c r="MU80" s="40"/>
      <c r="MW80" s="40"/>
      <c r="MY80" s="40"/>
      <c r="NA80" s="40"/>
      <c r="NC80" s="40"/>
      <c r="NE80" s="40"/>
      <c r="NG80" s="40"/>
      <c r="NI80" s="40"/>
      <c r="NK80" s="40"/>
      <c r="NM80" s="40"/>
      <c r="NO80" s="40"/>
      <c r="NQ80" s="40"/>
      <c r="NS80" s="40"/>
      <c r="NU80" s="40"/>
      <c r="NW80" s="40"/>
      <c r="NY80" s="40"/>
      <c r="OA80" s="40"/>
      <c r="OC80" s="40"/>
      <c r="OE80" s="40"/>
      <c r="OG80" s="40"/>
      <c r="OI80" s="40"/>
      <c r="OK80" s="40"/>
      <c r="OM80" s="40"/>
      <c r="OO80" s="40"/>
      <c r="OQ80" s="40"/>
      <c r="OS80" s="40"/>
      <c r="OU80" s="40"/>
      <c r="OW80" s="40"/>
      <c r="OY80" s="40"/>
      <c r="PA80" s="40"/>
      <c r="PC80" s="40"/>
      <c r="PE80" s="40"/>
      <c r="PG80" s="40"/>
      <c r="PI80" s="40"/>
      <c r="PK80" s="40"/>
      <c r="PM80" s="40"/>
      <c r="PO80" s="40"/>
      <c r="PQ80" s="40"/>
      <c r="PS80" s="40"/>
      <c r="PU80" s="40"/>
      <c r="PW80" s="40"/>
      <c r="PY80" s="40"/>
      <c r="QA80" s="40"/>
      <c r="QC80" s="40"/>
      <c r="QE80" s="40"/>
      <c r="QG80" s="40"/>
      <c r="QI80" s="40"/>
      <c r="QK80" s="40"/>
      <c r="QM80" s="40"/>
      <c r="QO80" s="40"/>
      <c r="QQ80" s="40"/>
      <c r="QS80" s="40"/>
      <c r="QU80" s="40"/>
      <c r="QW80" s="40"/>
      <c r="QY80" s="40"/>
      <c r="RA80" s="40"/>
      <c r="RC80" s="40"/>
      <c r="RE80" s="40"/>
      <c r="RG80" s="40"/>
      <c r="RI80" s="40"/>
      <c r="RK80" s="40"/>
      <c r="RM80" s="40"/>
      <c r="RO80" s="40"/>
      <c r="RQ80" s="40"/>
      <c r="RS80" s="40"/>
      <c r="RU80" s="40"/>
      <c r="RW80" s="40"/>
      <c r="RY80" s="40"/>
      <c r="SA80" s="40"/>
      <c r="SC80" s="40"/>
      <c r="SE80" s="40"/>
      <c r="SG80" s="40"/>
      <c r="SI80" s="40"/>
      <c r="SK80" s="40"/>
      <c r="SM80" s="40"/>
      <c r="SO80" s="40"/>
      <c r="SQ80" s="40"/>
      <c r="SS80" s="40"/>
      <c r="SU80" s="40"/>
      <c r="SW80" s="40"/>
      <c r="SY80" s="40"/>
      <c r="TA80" s="40"/>
      <c r="TC80" s="40"/>
      <c r="TE80" s="40"/>
      <c r="TG80" s="40"/>
      <c r="TI80" s="40"/>
      <c r="TK80" s="40"/>
      <c r="TM80" s="40"/>
      <c r="TO80" s="40"/>
      <c r="TQ80" s="40"/>
      <c r="TS80" s="40"/>
      <c r="TU80" s="40"/>
      <c r="TW80" s="40"/>
      <c r="TY80" s="40"/>
      <c r="UA80" s="40"/>
      <c r="UC80" s="40"/>
      <c r="UE80" s="40"/>
      <c r="UG80" s="40"/>
      <c r="UI80" s="40"/>
      <c r="UK80" s="40"/>
      <c r="UM80" s="40"/>
      <c r="UO80" s="40"/>
      <c r="UQ80" s="40"/>
      <c r="US80" s="40"/>
      <c r="UU80" s="40"/>
      <c r="UW80" s="40"/>
      <c r="UY80" s="40"/>
      <c r="VA80" s="40"/>
      <c r="VC80" s="40"/>
      <c r="VE80" s="40"/>
      <c r="VG80" s="40"/>
      <c r="VI80" s="40"/>
      <c r="VK80" s="40"/>
      <c r="VM80" s="40"/>
      <c r="VO80" s="40"/>
      <c r="VQ80" s="40"/>
      <c r="VS80" s="40"/>
      <c r="VU80" s="40"/>
      <c r="VW80" s="40"/>
      <c r="VY80" s="40"/>
      <c r="WA80" s="40"/>
      <c r="WC80" s="40"/>
      <c r="WE80" s="40"/>
      <c r="WG80" s="40"/>
      <c r="WI80" s="40"/>
      <c r="WK80" s="40"/>
      <c r="WM80" s="40"/>
      <c r="WO80" s="40"/>
      <c r="WQ80" s="40"/>
      <c r="WS80" s="40"/>
      <c r="WU80" s="40"/>
      <c r="WW80" s="40"/>
      <c r="WY80" s="40"/>
      <c r="XA80" s="40"/>
      <c r="XC80" s="40"/>
      <c r="XE80" s="40"/>
      <c r="XG80" s="40"/>
      <c r="XI80" s="40"/>
      <c r="XK80" s="40"/>
      <c r="XM80" s="40"/>
      <c r="XO80" s="40"/>
      <c r="XQ80" s="40"/>
      <c r="XS80" s="40"/>
      <c r="XU80" s="40"/>
      <c r="XW80" s="40"/>
      <c r="XY80" s="40"/>
      <c r="YA80" s="40"/>
      <c r="YC80" s="40"/>
      <c r="YE80" s="40"/>
      <c r="YG80" s="40"/>
      <c r="YI80" s="40"/>
      <c r="YK80" s="40"/>
      <c r="YM80" s="40"/>
      <c r="YO80" s="40"/>
      <c r="YQ80" s="40"/>
      <c r="YS80" s="40"/>
      <c r="YU80" s="40"/>
      <c r="YW80" s="40"/>
      <c r="YY80" s="40"/>
      <c r="ZA80" s="40"/>
      <c r="ZC80" s="40"/>
      <c r="ZE80" s="40"/>
      <c r="ZG80" s="40"/>
      <c r="ZI80" s="40"/>
      <c r="ZK80" s="40"/>
      <c r="ZM80" s="40"/>
      <c r="ZO80" s="40"/>
      <c r="ZQ80" s="40"/>
      <c r="ZS80" s="40"/>
      <c r="ZU80" s="40"/>
      <c r="ZW80" s="40"/>
      <c r="ZY80" s="40"/>
      <c r="AAA80" s="40"/>
      <c r="AAC80" s="40"/>
      <c r="AAE80" s="40"/>
      <c r="AAG80" s="40"/>
      <c r="AAI80" s="40"/>
      <c r="AAK80" s="40"/>
      <c r="AAM80" s="40"/>
      <c r="AAO80" s="40"/>
      <c r="AAQ80" s="40"/>
      <c r="AAS80" s="40"/>
      <c r="AAU80" s="40"/>
      <c r="AAW80" s="40"/>
      <c r="AAY80" s="40"/>
      <c r="ABA80" s="40"/>
      <c r="ABC80" s="40"/>
      <c r="ABE80" s="40"/>
      <c r="ABG80" s="40"/>
      <c r="ABI80" s="40"/>
      <c r="ABK80" s="40"/>
      <c r="ABM80" s="40"/>
      <c r="ABO80" s="40"/>
      <c r="ABQ80" s="40"/>
      <c r="ABS80" s="40"/>
      <c r="ABU80" s="40"/>
      <c r="ABW80" s="40"/>
      <c r="ABY80" s="40"/>
      <c r="ACA80" s="40"/>
      <c r="ACC80" s="40"/>
      <c r="ACE80" s="40"/>
      <c r="ACG80" s="40"/>
      <c r="ACI80" s="40"/>
      <c r="ACK80" s="40"/>
      <c r="ACM80" s="40"/>
      <c r="ACO80" s="40"/>
      <c r="ACQ80" s="40"/>
      <c r="ACS80" s="40"/>
      <c r="ACU80" s="40"/>
      <c r="ACW80" s="40"/>
      <c r="ACY80" s="40"/>
      <c r="ADA80" s="40"/>
      <c r="ADC80" s="40"/>
      <c r="ADE80" s="40"/>
      <c r="ADG80" s="40"/>
      <c r="ADI80" s="40"/>
      <c r="ADK80" s="40"/>
      <c r="ADM80" s="40"/>
      <c r="ADO80" s="40"/>
      <c r="ADQ80" s="40"/>
      <c r="ADS80" s="40"/>
      <c r="ADU80" s="40"/>
      <c r="ADW80" s="40"/>
      <c r="ADY80" s="40"/>
      <c r="AEA80" s="40"/>
      <c r="AEC80" s="40"/>
      <c r="AEE80" s="40"/>
      <c r="AEG80" s="40"/>
      <c r="AEI80" s="40"/>
      <c r="AEK80" s="40"/>
      <c r="AEM80" s="40"/>
      <c r="AEO80" s="40"/>
      <c r="AEQ80" s="40"/>
      <c r="AES80" s="40"/>
      <c r="AEU80" s="40"/>
      <c r="AEW80" s="40"/>
      <c r="AEY80" s="40"/>
      <c r="AFA80" s="40"/>
      <c r="AFC80" s="40"/>
      <c r="AFE80" s="40"/>
      <c r="AFG80" s="40"/>
      <c r="AFI80" s="40"/>
      <c r="AFK80" s="40"/>
      <c r="AFM80" s="40"/>
      <c r="AFO80" s="40"/>
      <c r="AFQ80" s="40"/>
      <c r="AFS80" s="40"/>
      <c r="AFU80" s="40"/>
      <c r="AFW80" s="40"/>
      <c r="AFY80" s="40"/>
      <c r="AGA80" s="40"/>
      <c r="AGC80" s="40"/>
      <c r="AGE80" s="40"/>
      <c r="AGG80" s="40"/>
      <c r="AGI80" s="40"/>
      <c r="AGK80" s="40"/>
      <c r="AGM80" s="40"/>
      <c r="AGO80" s="40"/>
      <c r="AGQ80" s="40"/>
      <c r="AGS80" s="40"/>
      <c r="AGU80" s="40"/>
      <c r="AGW80" s="40"/>
      <c r="AGY80" s="40"/>
      <c r="AHA80" s="40"/>
      <c r="AHC80" s="40"/>
      <c r="AHE80" s="40"/>
      <c r="AHG80" s="40"/>
      <c r="AHI80" s="40"/>
      <c r="AHK80" s="40"/>
      <c r="AHM80" s="40"/>
      <c r="AHO80" s="40"/>
      <c r="AHQ80" s="40"/>
      <c r="AHS80" s="40"/>
      <c r="AHU80" s="40"/>
      <c r="AHW80" s="40"/>
      <c r="AHY80" s="40"/>
      <c r="AIA80" s="40"/>
      <c r="AIC80" s="40"/>
      <c r="AIE80" s="40"/>
      <c r="AIG80" s="40"/>
      <c r="AII80" s="40"/>
      <c r="AIK80" s="40"/>
      <c r="AIM80" s="40"/>
      <c r="AIO80" s="40"/>
    </row>
    <row r="81" spans="1:1024" s="29" customFormat="1" ht="15.75" customHeight="1" x14ac:dyDescent="0.3">
      <c r="A81" s="593" t="s">
        <v>314</v>
      </c>
      <c r="B81" s="594" t="s">
        <v>337</v>
      </c>
      <c r="C81" s="638"/>
      <c r="D81" s="605"/>
      <c r="E81" s="605"/>
      <c r="F81" s="639"/>
      <c r="G81" s="640"/>
      <c r="H81" s="640"/>
      <c r="I81" s="608"/>
      <c r="J81" s="30"/>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AIQ81" s="28"/>
      <c r="AIR81" s="28"/>
      <c r="AIS81" s="28"/>
      <c r="AIT81" s="28"/>
      <c r="AIU81" s="28"/>
      <c r="AIV81" s="28"/>
      <c r="AIW81" s="28"/>
      <c r="AIX81" s="28"/>
      <c r="AIY81" s="28"/>
      <c r="AIZ81" s="28"/>
      <c r="AJA81" s="28"/>
      <c r="AJB81" s="28"/>
      <c r="AJC81" s="28"/>
      <c r="AJD81" s="28"/>
      <c r="AJE81" s="28"/>
      <c r="AJF81" s="28"/>
      <c r="AJG81" s="28"/>
      <c r="AJH81" s="28"/>
      <c r="AJI81" s="28"/>
      <c r="AJJ81" s="28"/>
      <c r="AJK81" s="28"/>
      <c r="AJL81" s="28"/>
      <c r="AJM81" s="28"/>
      <c r="AJN81" s="28"/>
      <c r="AJO81" s="28"/>
      <c r="AJP81" s="28"/>
      <c r="AJQ81" s="28"/>
      <c r="AJR81" s="28"/>
      <c r="AJS81" s="28"/>
      <c r="AJT81" s="28"/>
      <c r="AJU81" s="28"/>
      <c r="AJV81" s="28"/>
      <c r="AJW81" s="28"/>
      <c r="AJX81" s="28"/>
      <c r="AJY81" s="28"/>
      <c r="AJZ81" s="28"/>
      <c r="AKA81" s="28"/>
      <c r="AKB81" s="28"/>
      <c r="AKC81" s="28"/>
      <c r="AKD81" s="28"/>
      <c r="AKE81" s="28"/>
      <c r="AKF81" s="28"/>
      <c r="AKG81" s="28"/>
      <c r="AKH81" s="28"/>
      <c r="AKI81" s="28"/>
      <c r="AKJ81" s="28"/>
      <c r="AKK81" s="28"/>
      <c r="AKL81" s="28"/>
      <c r="AKM81" s="28"/>
      <c r="AKN81" s="28"/>
      <c r="AKO81" s="28"/>
      <c r="AKP81" s="28"/>
      <c r="AKQ81" s="28"/>
      <c r="AKR81" s="28"/>
      <c r="AKS81" s="28"/>
      <c r="AKT81" s="28"/>
      <c r="AKU81" s="28"/>
      <c r="AKV81" s="28"/>
      <c r="AKW81" s="28"/>
      <c r="AKX81" s="28"/>
      <c r="AKY81" s="28"/>
      <c r="AKZ81" s="28"/>
      <c r="ALA81" s="28"/>
      <c r="ALB81" s="28"/>
      <c r="ALC81" s="28"/>
      <c r="ALD81" s="28"/>
      <c r="ALE81" s="28"/>
      <c r="ALF81" s="28"/>
      <c r="ALG81" s="28"/>
      <c r="ALH81" s="28"/>
      <c r="ALI81" s="28"/>
      <c r="ALJ81" s="28"/>
      <c r="ALK81" s="28"/>
      <c r="ALL81" s="28"/>
      <c r="ALM81" s="28"/>
      <c r="ALN81" s="28"/>
      <c r="ALO81" s="28"/>
      <c r="ALP81" s="28"/>
      <c r="ALQ81" s="28"/>
      <c r="ALR81" s="28"/>
      <c r="ALS81" s="28"/>
      <c r="ALT81" s="28"/>
      <c r="ALU81" s="28"/>
      <c r="ALV81" s="28"/>
      <c r="ALW81" s="28"/>
      <c r="ALX81" s="28"/>
      <c r="ALY81" s="28"/>
      <c r="ALZ81" s="28"/>
      <c r="AMA81" s="28"/>
      <c r="AMB81" s="28"/>
      <c r="AMC81" s="28"/>
      <c r="AMD81" s="28"/>
      <c r="AME81" s="28"/>
      <c r="AMF81" s="28"/>
      <c r="AMG81" s="28"/>
      <c r="AMH81" s="28"/>
      <c r="AMI81" s="28"/>
      <c r="AMJ81" s="28"/>
    </row>
    <row r="82" spans="1:1024" s="37" customFormat="1" ht="15.75" customHeight="1" x14ac:dyDescent="0.35">
      <c r="A82" s="600"/>
      <c r="B82" s="648" t="s">
        <v>319</v>
      </c>
      <c r="C82" s="645"/>
      <c r="D82" s="646"/>
      <c r="E82" s="645"/>
      <c r="F82" s="646"/>
      <c r="G82" s="647" t="s">
        <v>241</v>
      </c>
      <c r="H82" s="643"/>
      <c r="I82" s="645"/>
      <c r="J82" s="38"/>
      <c r="K82" s="38"/>
      <c r="L82" s="39"/>
      <c r="M82" s="38"/>
      <c r="N82" s="39"/>
      <c r="O82" s="38"/>
      <c r="P82" s="39"/>
      <c r="Q82" s="38"/>
      <c r="R82" s="39"/>
      <c r="S82" s="38"/>
      <c r="T82" s="39"/>
      <c r="U82" s="38"/>
      <c r="V82" s="39"/>
      <c r="W82" s="38"/>
      <c r="X82" s="39"/>
      <c r="Y82" s="38"/>
      <c r="Z82" s="39"/>
      <c r="AA82" s="38"/>
      <c r="AB82" s="39"/>
      <c r="AC82" s="38"/>
      <c r="AD82" s="39"/>
      <c r="AE82" s="38"/>
      <c r="AF82" s="39"/>
      <c r="AG82" s="38"/>
      <c r="AH82" s="39"/>
      <c r="AI82" s="38"/>
      <c r="AJ82" s="39"/>
      <c r="AK82" s="40"/>
      <c r="AL82" s="39"/>
      <c r="AM82" s="40"/>
      <c r="AN82" s="39"/>
      <c r="AO82" s="40"/>
      <c r="AP82" s="39"/>
      <c r="AQ82" s="40"/>
      <c r="AR82" s="39"/>
      <c r="AS82" s="40"/>
      <c r="AT82" s="39"/>
      <c r="AU82" s="40"/>
      <c r="AV82" s="39"/>
      <c r="AW82" s="40"/>
      <c r="AX82" s="39"/>
      <c r="AY82" s="40"/>
      <c r="AZ82" s="39"/>
      <c r="BA82" s="40"/>
      <c r="BB82" s="39"/>
      <c r="BC82" s="40"/>
      <c r="BD82" s="39"/>
      <c r="BE82" s="40"/>
      <c r="BF82" s="39"/>
      <c r="BG82" s="40"/>
      <c r="BH82" s="39"/>
      <c r="BI82" s="40"/>
      <c r="BJ82" s="39"/>
      <c r="BK82" s="40"/>
      <c r="BL82" s="39"/>
      <c r="BM82" s="40"/>
      <c r="BN82" s="39"/>
      <c r="BO82" s="40"/>
      <c r="BP82" s="39"/>
      <c r="BQ82" s="40"/>
      <c r="BR82" s="39"/>
      <c r="BS82" s="40"/>
      <c r="BT82" s="39"/>
      <c r="BU82" s="40"/>
      <c r="BV82" s="39"/>
      <c r="BW82" s="40"/>
      <c r="BX82" s="39"/>
      <c r="BY82" s="40"/>
      <c r="BZ82" s="39"/>
      <c r="CA82" s="40"/>
      <c r="CB82" s="39"/>
      <c r="CC82" s="40"/>
      <c r="CD82" s="39"/>
      <c r="CE82" s="40"/>
      <c r="CF82" s="39"/>
      <c r="CG82" s="40"/>
      <c r="CH82" s="39"/>
      <c r="CI82" s="40"/>
      <c r="CJ82" s="39"/>
      <c r="CK82" s="40"/>
      <c r="CL82" s="39"/>
      <c r="CM82" s="40"/>
      <c r="CN82" s="39"/>
      <c r="CO82" s="40"/>
      <c r="CP82" s="39"/>
      <c r="CQ82" s="40"/>
      <c r="CR82" s="39"/>
      <c r="CS82" s="40"/>
      <c r="CT82" s="39"/>
      <c r="CU82" s="40"/>
      <c r="CV82" s="39"/>
      <c r="CW82" s="40"/>
      <c r="CX82" s="39"/>
      <c r="CY82" s="40"/>
      <c r="CZ82" s="39"/>
      <c r="DA82" s="40"/>
      <c r="DB82" s="39"/>
      <c r="DC82" s="40"/>
      <c r="DD82" s="39"/>
      <c r="DE82" s="40"/>
      <c r="DF82" s="39"/>
      <c r="DG82" s="40"/>
      <c r="DH82" s="39"/>
      <c r="DI82" s="40"/>
      <c r="DJ82" s="39"/>
      <c r="DK82" s="40"/>
      <c r="DL82" s="39"/>
      <c r="DM82" s="40"/>
      <c r="DN82" s="39"/>
      <c r="DO82" s="40"/>
      <c r="DP82" s="39"/>
      <c r="DQ82" s="40"/>
      <c r="DR82" s="39"/>
      <c r="DS82" s="40"/>
      <c r="DT82" s="39"/>
      <c r="DU82" s="40"/>
      <c r="DV82" s="39"/>
      <c r="DW82" s="40"/>
      <c r="DX82" s="39"/>
      <c r="DY82" s="40"/>
      <c r="DZ82" s="39"/>
      <c r="EA82" s="40"/>
      <c r="EB82" s="39"/>
      <c r="EC82" s="40"/>
      <c r="ED82" s="39"/>
      <c r="EE82" s="40"/>
      <c r="EF82" s="39"/>
      <c r="EG82" s="40"/>
      <c r="EH82" s="39"/>
      <c r="EI82" s="40"/>
      <c r="EJ82" s="39"/>
      <c r="EK82" s="40"/>
      <c r="EL82" s="39"/>
      <c r="EM82" s="40"/>
      <c r="EN82" s="39"/>
      <c r="EO82" s="40"/>
      <c r="EP82" s="39"/>
      <c r="EQ82" s="40"/>
      <c r="ER82" s="39"/>
      <c r="ES82" s="40"/>
      <c r="ET82" s="39"/>
      <c r="EU82" s="40"/>
      <c r="EV82" s="39"/>
      <c r="EW82" s="40"/>
      <c r="EX82" s="39"/>
      <c r="EY82" s="40"/>
      <c r="EZ82" s="39"/>
      <c r="FA82" s="40"/>
      <c r="FB82" s="39"/>
      <c r="FC82" s="40"/>
      <c r="FD82" s="39"/>
      <c r="FE82" s="40"/>
      <c r="FF82" s="39"/>
      <c r="FG82" s="40"/>
      <c r="FH82" s="39"/>
      <c r="FI82" s="40"/>
      <c r="FJ82" s="39"/>
      <c r="FK82" s="40"/>
      <c r="FL82" s="39"/>
      <c r="FM82" s="40"/>
      <c r="FN82" s="39"/>
      <c r="FO82" s="40"/>
      <c r="FP82" s="39"/>
      <c r="FQ82" s="40"/>
      <c r="FR82" s="39"/>
      <c r="FS82" s="40"/>
      <c r="FT82" s="39"/>
      <c r="FU82" s="40"/>
      <c r="FV82" s="39"/>
      <c r="FW82" s="40"/>
      <c r="FX82" s="39"/>
      <c r="FY82" s="40"/>
      <c r="FZ82" s="39"/>
      <c r="GA82" s="40"/>
      <c r="GB82" s="39"/>
      <c r="GC82" s="40"/>
      <c r="GD82" s="39"/>
      <c r="GE82" s="40"/>
      <c r="GF82" s="39"/>
      <c r="GG82" s="40"/>
      <c r="GH82" s="39"/>
      <c r="GI82" s="40"/>
      <c r="GJ82" s="39"/>
      <c r="GK82" s="40"/>
      <c r="GL82" s="39"/>
      <c r="GM82" s="40"/>
      <c r="GN82" s="39"/>
      <c r="GO82" s="40"/>
      <c r="GP82" s="39"/>
      <c r="GQ82" s="40"/>
      <c r="GR82" s="39"/>
      <c r="GS82" s="40"/>
      <c r="GT82" s="39"/>
      <c r="GU82" s="40"/>
      <c r="GV82" s="39"/>
      <c r="GW82" s="40"/>
      <c r="GX82" s="39"/>
      <c r="GY82" s="40"/>
      <c r="GZ82" s="39"/>
      <c r="HA82" s="40"/>
      <c r="HB82" s="39"/>
      <c r="HC82" s="40"/>
      <c r="HD82" s="39"/>
      <c r="HE82" s="40"/>
      <c r="HF82" s="39"/>
      <c r="HG82" s="40"/>
      <c r="HH82" s="39"/>
      <c r="HI82" s="40"/>
      <c r="HJ82" s="39"/>
      <c r="HK82" s="40"/>
      <c r="HL82" s="39"/>
      <c r="HM82" s="40"/>
      <c r="HN82" s="39"/>
      <c r="HO82" s="40"/>
      <c r="HP82" s="39"/>
      <c r="HQ82" s="40"/>
      <c r="HR82" s="39"/>
      <c r="HS82" s="40"/>
      <c r="HT82" s="39"/>
      <c r="HU82" s="40"/>
      <c r="HV82" s="39"/>
      <c r="HW82" s="40"/>
      <c r="HX82" s="39"/>
      <c r="HY82" s="40"/>
      <c r="HZ82" s="39"/>
      <c r="IA82" s="40"/>
      <c r="IB82" s="39"/>
      <c r="IC82" s="1068"/>
      <c r="ID82" s="645"/>
      <c r="IE82" s="646"/>
      <c r="IF82" s="645"/>
      <c r="IG82" s="646"/>
      <c r="IH82" s="645"/>
      <c r="II82" s="646"/>
      <c r="IJ82" s="645"/>
      <c r="IK82" s="646"/>
      <c r="IL82" s="645"/>
      <c r="IM82" s="646"/>
      <c r="IN82" s="645"/>
      <c r="IO82" s="646"/>
      <c r="IP82" s="645"/>
      <c r="IQ82" s="646"/>
      <c r="IR82" s="645"/>
      <c r="IS82" s="646"/>
      <c r="IT82" s="645"/>
      <c r="IU82" s="646"/>
      <c r="IV82" s="645"/>
      <c r="IW82" s="646"/>
      <c r="IX82" s="645"/>
      <c r="IY82" s="646"/>
      <c r="IZ82" s="645"/>
      <c r="JA82" s="646"/>
      <c r="JB82" s="645"/>
      <c r="JC82" s="646"/>
      <c r="JD82" s="645"/>
      <c r="JE82" s="646"/>
      <c r="JF82" s="645"/>
      <c r="JG82" s="646"/>
      <c r="JH82" s="645"/>
      <c r="JI82" s="646"/>
      <c r="JJ82" s="645"/>
      <c r="JK82" s="646"/>
      <c r="JL82" s="645"/>
      <c r="JM82" s="646"/>
      <c r="JN82" s="645"/>
      <c r="JO82" s="646"/>
      <c r="JP82" s="645"/>
      <c r="JQ82" s="646"/>
      <c r="JR82" s="645"/>
      <c r="JS82" s="646"/>
      <c r="JT82" s="645"/>
      <c r="JU82" s="646"/>
      <c r="JV82" s="645"/>
      <c r="JW82" s="646"/>
      <c r="JX82" s="645"/>
      <c r="JY82" s="646"/>
      <c r="JZ82" s="645"/>
      <c r="KA82" s="646"/>
      <c r="KB82" s="645"/>
      <c r="KC82" s="646"/>
      <c r="KD82" s="645"/>
      <c r="KE82" s="646"/>
      <c r="KF82" s="645"/>
      <c r="KG82" s="646"/>
      <c r="KH82" s="645"/>
      <c r="KI82" s="646"/>
      <c r="KJ82" s="645"/>
      <c r="KK82" s="646"/>
      <c r="KL82" s="645"/>
      <c r="KM82" s="646"/>
      <c r="KN82" s="645"/>
      <c r="KO82" s="646"/>
      <c r="KP82" s="645"/>
      <c r="KQ82" s="646"/>
      <c r="KR82" s="645"/>
      <c r="KS82" s="646"/>
      <c r="KT82" s="645"/>
      <c r="KU82" s="646"/>
      <c r="KV82" s="645"/>
      <c r="KW82" s="646"/>
      <c r="KX82" s="645"/>
      <c r="KY82" s="646"/>
      <c r="KZ82" s="645"/>
      <c r="LA82" s="646"/>
      <c r="LB82" s="645"/>
      <c r="LC82" s="646"/>
      <c r="LD82" s="645"/>
      <c r="LE82" s="646"/>
      <c r="LF82" s="645"/>
      <c r="LG82" s="646"/>
      <c r="LH82" s="645"/>
      <c r="LI82" s="646"/>
      <c r="LJ82" s="645"/>
      <c r="LK82" s="646"/>
      <c r="LL82" s="645"/>
      <c r="LM82" s="646"/>
      <c r="LN82" s="645"/>
      <c r="LO82" s="646"/>
      <c r="LP82" s="645"/>
      <c r="LQ82" s="646"/>
      <c r="LR82" s="645"/>
      <c r="LS82" s="646"/>
      <c r="LT82" s="645"/>
      <c r="LU82" s="646"/>
      <c r="LV82" s="645"/>
      <c r="LW82" s="646"/>
      <c r="LX82" s="645"/>
      <c r="LY82" s="646"/>
      <c r="LZ82" s="645"/>
      <c r="MA82" s="646"/>
      <c r="MB82" s="645"/>
      <c r="MC82" s="646"/>
      <c r="MD82" s="645"/>
      <c r="ME82" s="646"/>
      <c r="MF82" s="645"/>
      <c r="MG82" s="646"/>
      <c r="MH82" s="645"/>
      <c r="MI82" s="646"/>
      <c r="MJ82" s="645"/>
      <c r="MK82" s="646"/>
      <c r="ML82" s="645"/>
      <c r="MM82" s="646"/>
      <c r="MN82" s="645"/>
      <c r="MO82" s="646"/>
      <c r="MP82" s="645"/>
      <c r="MQ82" s="646"/>
      <c r="MR82" s="645"/>
      <c r="MS82" s="646"/>
      <c r="MT82" s="645"/>
      <c r="MU82" s="646"/>
      <c r="MV82" s="645"/>
      <c r="MW82" s="646"/>
      <c r="MX82" s="645"/>
      <c r="MY82" s="646"/>
      <c r="MZ82" s="645"/>
      <c r="NA82" s="646"/>
      <c r="NB82" s="645"/>
      <c r="NC82" s="646"/>
      <c r="ND82" s="645"/>
      <c r="NE82" s="646"/>
      <c r="NF82" s="645"/>
      <c r="NG82" s="646"/>
      <c r="NH82" s="645"/>
      <c r="NI82" s="646"/>
      <c r="NJ82" s="645"/>
      <c r="NK82" s="646"/>
      <c r="NL82" s="645"/>
      <c r="NM82" s="646"/>
      <c r="NN82" s="645"/>
      <c r="NO82" s="646"/>
      <c r="NP82" s="645"/>
      <c r="NQ82" s="646"/>
      <c r="NR82" s="645"/>
      <c r="NS82" s="646"/>
      <c r="NT82" s="645"/>
      <c r="NU82" s="646"/>
      <c r="NV82" s="645"/>
      <c r="NW82" s="646"/>
      <c r="NX82" s="645"/>
      <c r="NY82" s="646"/>
      <c r="NZ82" s="645"/>
      <c r="OA82" s="646"/>
      <c r="OB82" s="645"/>
      <c r="OC82" s="646"/>
      <c r="OD82" s="645"/>
      <c r="OE82" s="646"/>
      <c r="OF82" s="645"/>
      <c r="OG82" s="646"/>
      <c r="OH82" s="645"/>
      <c r="OI82" s="646"/>
      <c r="OJ82" s="645"/>
      <c r="OK82" s="646"/>
      <c r="OL82" s="645"/>
      <c r="OM82" s="646"/>
      <c r="ON82" s="645"/>
      <c r="OO82" s="646"/>
      <c r="OP82" s="645"/>
      <c r="OQ82" s="646"/>
      <c r="OR82" s="645"/>
      <c r="OS82" s="646"/>
      <c r="OT82" s="645"/>
      <c r="OU82" s="646"/>
      <c r="OV82" s="645"/>
      <c r="OW82" s="646"/>
      <c r="OX82" s="645"/>
      <c r="OY82" s="646"/>
      <c r="OZ82" s="645"/>
      <c r="PA82" s="646"/>
      <c r="PB82" s="645"/>
      <c r="PC82" s="646"/>
      <c r="PD82" s="645"/>
      <c r="PE82" s="646"/>
      <c r="PF82" s="645"/>
      <c r="PG82" s="646"/>
      <c r="PH82" s="645"/>
      <c r="PI82" s="646"/>
      <c r="PJ82" s="645"/>
      <c r="PK82" s="646"/>
      <c r="PL82" s="645"/>
      <c r="PM82" s="646"/>
      <c r="PN82" s="645"/>
      <c r="PO82" s="646"/>
      <c r="PP82" s="645"/>
      <c r="PQ82" s="646"/>
      <c r="PR82" s="645"/>
      <c r="PS82" s="646"/>
      <c r="PT82" s="645"/>
      <c r="PU82" s="646"/>
      <c r="PV82" s="645"/>
      <c r="PW82" s="646"/>
      <c r="PX82" s="645"/>
      <c r="PY82" s="646"/>
      <c r="PZ82" s="645"/>
      <c r="QA82" s="646"/>
      <c r="QB82" s="645"/>
      <c r="QC82" s="646"/>
      <c r="QD82" s="645"/>
      <c r="QE82" s="646"/>
      <c r="QF82" s="645"/>
      <c r="QG82" s="646"/>
      <c r="QH82" s="645"/>
      <c r="QI82" s="646"/>
      <c r="QJ82" s="645"/>
      <c r="QK82" s="646"/>
      <c r="QL82" s="645"/>
      <c r="QM82" s="646"/>
      <c r="QN82" s="645"/>
      <c r="QO82" s="646"/>
      <c r="QP82" s="645"/>
      <c r="QQ82" s="646"/>
      <c r="QR82" s="645"/>
      <c r="QS82" s="646"/>
      <c r="QT82" s="645"/>
      <c r="QU82" s="646"/>
      <c r="QV82" s="645"/>
      <c r="QW82" s="646"/>
      <c r="QX82" s="645"/>
      <c r="QY82" s="646"/>
      <c r="QZ82" s="645"/>
      <c r="RA82" s="646"/>
      <c r="RB82" s="645"/>
      <c r="RC82" s="646"/>
      <c r="RD82" s="645"/>
      <c r="RE82" s="646"/>
      <c r="RF82" s="645"/>
      <c r="RG82" s="646"/>
      <c r="RH82" s="645"/>
      <c r="RI82" s="646"/>
      <c r="RJ82" s="645"/>
      <c r="RK82" s="646"/>
      <c r="RL82" s="645"/>
      <c r="RM82" s="646"/>
      <c r="RN82" s="645"/>
      <c r="RO82" s="646"/>
      <c r="RP82" s="645"/>
      <c r="RQ82" s="646"/>
      <c r="RR82" s="645"/>
      <c r="RS82" s="646"/>
      <c r="RT82" s="645"/>
      <c r="RU82" s="646"/>
      <c r="RV82" s="645"/>
      <c r="RW82" s="646"/>
      <c r="RX82" s="645"/>
      <c r="RY82" s="646"/>
      <c r="RZ82" s="645"/>
      <c r="SA82" s="646"/>
      <c r="SB82" s="645"/>
      <c r="SC82" s="646"/>
      <c r="SD82" s="645"/>
      <c r="SE82" s="646"/>
      <c r="SF82" s="645"/>
      <c r="SG82" s="646"/>
      <c r="SH82" s="645"/>
      <c r="SI82" s="646"/>
      <c r="SJ82" s="645"/>
      <c r="SK82" s="646"/>
      <c r="SL82" s="645"/>
      <c r="SM82" s="646"/>
      <c r="SN82" s="645"/>
      <c r="SO82" s="646"/>
      <c r="SP82" s="645"/>
      <c r="SQ82" s="646"/>
      <c r="SR82" s="645"/>
      <c r="SS82" s="646"/>
      <c r="ST82" s="645"/>
      <c r="SU82" s="646"/>
      <c r="SV82" s="645"/>
      <c r="SW82" s="646"/>
      <c r="SX82" s="645"/>
      <c r="SY82" s="646"/>
      <c r="SZ82" s="645"/>
      <c r="TA82" s="646"/>
      <c r="TB82" s="645"/>
      <c r="TC82" s="646"/>
      <c r="TD82" s="645"/>
      <c r="TE82" s="646"/>
      <c r="TF82" s="645"/>
      <c r="TG82" s="646"/>
      <c r="TH82" s="645"/>
      <c r="TI82" s="646"/>
      <c r="TJ82" s="645"/>
      <c r="TK82" s="646"/>
      <c r="TL82" s="645"/>
      <c r="TM82" s="646"/>
      <c r="TN82" s="645"/>
      <c r="TO82" s="646"/>
      <c r="TP82" s="645"/>
      <c r="TQ82" s="646"/>
      <c r="TR82" s="645"/>
      <c r="TS82" s="646"/>
      <c r="TT82" s="645"/>
      <c r="TU82" s="646"/>
      <c r="TV82" s="645"/>
      <c r="TW82" s="646"/>
      <c r="TX82" s="645"/>
      <c r="TY82" s="646"/>
      <c r="TZ82" s="645"/>
      <c r="UA82" s="646"/>
      <c r="UB82" s="645"/>
      <c r="UC82" s="646"/>
      <c r="UD82" s="645"/>
      <c r="UE82" s="646"/>
      <c r="UF82" s="645"/>
      <c r="UG82" s="646"/>
      <c r="UH82" s="645"/>
      <c r="UI82" s="646"/>
      <c r="UJ82" s="645"/>
      <c r="UK82" s="646"/>
      <c r="UL82" s="645"/>
      <c r="UM82" s="646"/>
      <c r="UN82" s="645"/>
      <c r="UO82" s="646"/>
      <c r="UP82" s="645"/>
      <c r="UQ82" s="646"/>
      <c r="UR82" s="645"/>
      <c r="US82" s="646"/>
      <c r="UT82" s="645"/>
      <c r="UU82" s="646"/>
      <c r="UV82" s="645"/>
      <c r="UW82" s="646"/>
      <c r="UX82" s="645"/>
      <c r="UY82" s="646"/>
      <c r="UZ82" s="645"/>
      <c r="VA82" s="646"/>
      <c r="VB82" s="645"/>
      <c r="VC82" s="646"/>
      <c r="VD82" s="645"/>
      <c r="VE82" s="646"/>
      <c r="VF82" s="645"/>
      <c r="VG82" s="646"/>
      <c r="VH82" s="645"/>
      <c r="VI82" s="646"/>
      <c r="VJ82" s="645"/>
      <c r="VK82" s="646"/>
      <c r="VL82" s="645"/>
      <c r="VM82" s="646"/>
      <c r="VN82" s="645"/>
      <c r="VO82" s="646"/>
      <c r="VP82" s="645"/>
      <c r="VQ82" s="646"/>
      <c r="VR82" s="645"/>
      <c r="VS82" s="646"/>
      <c r="VT82" s="645"/>
      <c r="VU82" s="646"/>
      <c r="VV82" s="645"/>
      <c r="VW82" s="646"/>
      <c r="VX82" s="645"/>
      <c r="VY82" s="646"/>
      <c r="VZ82" s="645"/>
      <c r="WA82" s="646"/>
      <c r="WB82" s="645"/>
      <c r="WC82" s="646"/>
      <c r="WD82" s="645"/>
      <c r="WE82" s="646"/>
      <c r="WF82" s="645"/>
      <c r="WG82" s="646"/>
      <c r="WH82" s="645"/>
      <c r="WI82" s="646"/>
      <c r="WJ82" s="645"/>
      <c r="WK82" s="646"/>
      <c r="WL82" s="645"/>
      <c r="WM82" s="646"/>
      <c r="WN82" s="645"/>
      <c r="WO82" s="646"/>
      <c r="WP82" s="645"/>
      <c r="WQ82" s="646"/>
      <c r="WR82" s="645"/>
      <c r="WS82" s="646"/>
      <c r="WT82" s="645"/>
      <c r="WU82" s="646"/>
      <c r="WV82" s="645"/>
      <c r="WW82" s="646"/>
      <c r="WX82" s="645"/>
      <c r="WY82" s="646"/>
      <c r="WZ82" s="645"/>
      <c r="XA82" s="646"/>
      <c r="XB82" s="645"/>
      <c r="XC82" s="646"/>
      <c r="XD82" s="645"/>
      <c r="XE82" s="646"/>
      <c r="XF82" s="645"/>
      <c r="XG82" s="646"/>
      <c r="XH82" s="645"/>
      <c r="XI82" s="646"/>
      <c r="XJ82" s="645"/>
      <c r="XK82" s="646"/>
      <c r="XL82" s="645"/>
      <c r="XM82" s="646"/>
      <c r="XN82" s="645"/>
      <c r="XO82" s="646"/>
      <c r="XP82" s="645"/>
      <c r="XQ82" s="646"/>
      <c r="XR82" s="645"/>
      <c r="XS82" s="646"/>
      <c r="XT82" s="645"/>
      <c r="XU82" s="646"/>
      <c r="XV82" s="645"/>
      <c r="XW82" s="646"/>
      <c r="XX82" s="645"/>
      <c r="XY82" s="646"/>
      <c r="XZ82" s="645"/>
      <c r="YA82" s="646"/>
      <c r="YB82" s="645"/>
      <c r="YC82" s="646"/>
      <c r="YD82" s="645"/>
      <c r="YE82" s="646"/>
      <c r="YF82" s="645"/>
      <c r="YG82" s="646"/>
      <c r="YH82" s="645"/>
      <c r="YI82" s="646"/>
      <c r="YJ82" s="645"/>
      <c r="YK82" s="646"/>
      <c r="YL82" s="645"/>
      <c r="YM82" s="646"/>
      <c r="YN82" s="645"/>
      <c r="YO82" s="646"/>
      <c r="YP82" s="645"/>
      <c r="YQ82" s="646"/>
      <c r="YR82" s="645"/>
      <c r="YS82" s="646"/>
      <c r="YT82" s="645"/>
      <c r="YU82" s="646"/>
      <c r="YV82" s="645"/>
      <c r="YW82" s="646"/>
      <c r="YX82" s="645"/>
      <c r="YY82" s="646"/>
      <c r="YZ82" s="645"/>
      <c r="ZA82" s="646"/>
      <c r="ZB82" s="645"/>
      <c r="ZC82" s="646"/>
      <c r="ZD82" s="645"/>
      <c r="ZE82" s="646"/>
      <c r="ZF82" s="645"/>
      <c r="ZG82" s="646"/>
      <c r="ZH82" s="645"/>
      <c r="ZI82" s="646"/>
      <c r="ZJ82" s="645"/>
      <c r="ZK82" s="646"/>
      <c r="ZL82" s="645"/>
      <c r="ZM82" s="646"/>
      <c r="ZN82" s="645"/>
      <c r="ZO82" s="646"/>
      <c r="ZP82" s="645"/>
      <c r="ZQ82" s="646"/>
      <c r="ZR82" s="645"/>
      <c r="ZS82" s="646"/>
      <c r="ZT82" s="645"/>
      <c r="ZU82" s="646"/>
      <c r="ZV82" s="645"/>
      <c r="ZW82" s="646"/>
      <c r="ZX82" s="645"/>
      <c r="ZY82" s="646"/>
      <c r="ZZ82" s="645"/>
      <c r="AAA82" s="646"/>
      <c r="AAB82" s="645"/>
      <c r="AAC82" s="646"/>
      <c r="AAD82" s="645"/>
      <c r="AAE82" s="646"/>
      <c r="AAF82" s="645"/>
      <c r="AAG82" s="646"/>
      <c r="AAH82" s="645"/>
      <c r="AAI82" s="646"/>
      <c r="AAJ82" s="645"/>
      <c r="AAK82" s="646"/>
      <c r="AAL82" s="645"/>
      <c r="AAM82" s="646"/>
      <c r="AAN82" s="645"/>
      <c r="AAO82" s="646"/>
      <c r="AAP82" s="645"/>
      <c r="AAQ82" s="646"/>
      <c r="AAR82" s="645"/>
      <c r="AAS82" s="646"/>
      <c r="AAT82" s="645"/>
      <c r="AAU82" s="646"/>
      <c r="AAV82" s="645"/>
      <c r="AAW82" s="646"/>
      <c r="AAX82" s="645"/>
      <c r="AAY82" s="646"/>
      <c r="AAZ82" s="645"/>
      <c r="ABA82" s="646"/>
      <c r="ABB82" s="645"/>
      <c r="ABC82" s="646"/>
      <c r="ABD82" s="645"/>
      <c r="ABE82" s="646"/>
      <c r="ABF82" s="645"/>
      <c r="ABG82" s="646"/>
      <c r="ABH82" s="645"/>
      <c r="ABI82" s="646"/>
      <c r="ABJ82" s="645"/>
      <c r="ABK82" s="646"/>
      <c r="ABL82" s="645"/>
      <c r="ABM82" s="646"/>
      <c r="ABN82" s="645"/>
      <c r="ABO82" s="646"/>
      <c r="ABP82" s="645"/>
      <c r="ABQ82" s="646"/>
      <c r="ABR82" s="645"/>
      <c r="ABS82" s="646"/>
      <c r="ABT82" s="645"/>
      <c r="ABU82" s="646"/>
      <c r="ABV82" s="645"/>
      <c r="ABW82" s="646"/>
      <c r="ABX82" s="645"/>
      <c r="ABY82" s="646"/>
      <c r="ABZ82" s="645"/>
      <c r="ACA82" s="646"/>
      <c r="ACB82" s="645"/>
      <c r="ACC82" s="646"/>
      <c r="ACD82" s="645"/>
      <c r="ACE82" s="646"/>
      <c r="ACF82" s="645"/>
      <c r="ACG82" s="646"/>
      <c r="ACH82" s="645"/>
      <c r="ACI82" s="646"/>
      <c r="ACJ82" s="645"/>
      <c r="ACK82" s="646"/>
      <c r="ACL82" s="645"/>
      <c r="ACM82" s="646"/>
      <c r="ACN82" s="645"/>
      <c r="ACO82" s="646"/>
      <c r="ACP82" s="645"/>
      <c r="ACQ82" s="646"/>
      <c r="ACR82" s="645"/>
      <c r="ACS82" s="646"/>
      <c r="ACT82" s="645"/>
      <c r="ACU82" s="646"/>
      <c r="ACV82" s="645"/>
      <c r="ACW82" s="646"/>
      <c r="ACX82" s="645"/>
      <c r="ACY82" s="646"/>
      <c r="ACZ82" s="645"/>
      <c r="ADA82" s="646"/>
      <c r="ADB82" s="645"/>
      <c r="ADC82" s="646"/>
      <c r="ADD82" s="645"/>
      <c r="ADE82" s="646"/>
      <c r="ADF82" s="645"/>
      <c r="ADG82" s="646"/>
      <c r="ADH82" s="645"/>
      <c r="ADI82" s="646"/>
      <c r="ADJ82" s="645"/>
      <c r="ADK82" s="646"/>
      <c r="ADL82" s="645"/>
      <c r="ADM82" s="646"/>
      <c r="ADN82" s="645"/>
      <c r="ADO82" s="646"/>
      <c r="ADP82" s="645"/>
      <c r="ADQ82" s="646"/>
      <c r="ADR82" s="645"/>
      <c r="ADS82" s="646"/>
      <c r="ADT82" s="645"/>
      <c r="ADU82" s="646"/>
      <c r="ADV82" s="645"/>
      <c r="ADW82" s="646"/>
      <c r="ADX82" s="645"/>
      <c r="ADY82" s="646"/>
      <c r="ADZ82" s="645"/>
      <c r="AEA82" s="646"/>
      <c r="AEB82" s="645"/>
      <c r="AEC82" s="646"/>
      <c r="AED82" s="645"/>
      <c r="AEE82" s="646"/>
      <c r="AEF82" s="645"/>
      <c r="AEG82" s="646"/>
      <c r="AEH82" s="645"/>
      <c r="AEI82" s="646"/>
      <c r="AEJ82" s="645"/>
      <c r="AEK82" s="646"/>
      <c r="AEL82" s="645"/>
      <c r="AEM82" s="646"/>
      <c r="AEN82" s="645"/>
      <c r="AEO82" s="646"/>
      <c r="AEP82" s="645"/>
      <c r="AEQ82" s="646"/>
      <c r="AER82" s="645"/>
      <c r="AES82" s="646"/>
      <c r="AET82" s="645"/>
      <c r="AEU82" s="646"/>
      <c r="AEV82" s="645"/>
      <c r="AEW82" s="646"/>
      <c r="AEX82" s="645"/>
      <c r="AEY82" s="646"/>
      <c r="AEZ82" s="645"/>
      <c r="AFA82" s="646"/>
      <c r="AFB82" s="645"/>
      <c r="AFC82" s="646"/>
      <c r="AFD82" s="645"/>
      <c r="AFE82" s="646"/>
      <c r="AFF82" s="645"/>
      <c r="AFG82" s="646"/>
      <c r="AFH82" s="645"/>
      <c r="AFI82" s="646"/>
      <c r="AFJ82" s="645"/>
      <c r="AFK82" s="646"/>
      <c r="AFL82" s="645"/>
      <c r="AFM82" s="646"/>
      <c r="AFN82" s="645"/>
      <c r="AFO82" s="646"/>
      <c r="AFP82" s="645"/>
      <c r="AFQ82" s="646"/>
      <c r="AFR82" s="645"/>
      <c r="AFS82" s="646"/>
      <c r="AFT82" s="645"/>
      <c r="AFU82" s="646"/>
      <c r="AFV82" s="645"/>
      <c r="AFW82" s="646"/>
      <c r="AFX82" s="645"/>
      <c r="AFY82" s="646"/>
      <c r="AFZ82" s="645"/>
      <c r="AGA82" s="646"/>
      <c r="AGB82" s="645"/>
      <c r="AGC82" s="646"/>
      <c r="AGD82" s="645"/>
      <c r="AGE82" s="646"/>
      <c r="AGF82" s="645"/>
      <c r="AGG82" s="646"/>
      <c r="AGH82" s="645"/>
      <c r="AGI82" s="646"/>
      <c r="AGJ82" s="645"/>
      <c r="AGK82" s="646"/>
      <c r="AGL82" s="645"/>
      <c r="AGM82" s="646"/>
      <c r="AGN82" s="645"/>
      <c r="AGO82" s="646"/>
      <c r="AGP82" s="645"/>
      <c r="AGQ82" s="646"/>
      <c r="AGR82" s="645"/>
      <c r="AGS82" s="646"/>
      <c r="AGT82" s="645"/>
      <c r="AGU82" s="646"/>
      <c r="AGV82" s="645"/>
      <c r="AGW82" s="646"/>
      <c r="AGX82" s="645"/>
      <c r="AGY82" s="646"/>
      <c r="AGZ82" s="645"/>
      <c r="AHA82" s="646"/>
      <c r="AHB82" s="645"/>
      <c r="AHC82" s="646"/>
      <c r="AHD82" s="645"/>
      <c r="AHE82" s="646"/>
      <c r="AHF82" s="645"/>
      <c r="AHG82" s="646"/>
      <c r="AHH82" s="645"/>
      <c r="AHI82" s="646"/>
      <c r="AHJ82" s="645"/>
      <c r="AHK82" s="646"/>
      <c r="AHL82" s="645"/>
      <c r="AHM82" s="646"/>
      <c r="AHN82" s="645"/>
      <c r="AHO82" s="646"/>
      <c r="AHP82" s="645"/>
      <c r="AHQ82" s="646"/>
      <c r="AHR82" s="645"/>
      <c r="AHS82" s="646"/>
      <c r="AHT82" s="645"/>
      <c r="AHU82" s="646"/>
      <c r="AHV82" s="645"/>
      <c r="AHW82" s="646"/>
      <c r="AHX82" s="645"/>
      <c r="AHY82" s="646"/>
      <c r="AHZ82" s="645"/>
      <c r="AIA82" s="646"/>
      <c r="AIB82" s="645"/>
      <c r="AIC82" s="646"/>
      <c r="AID82" s="645"/>
      <c r="AIE82" s="646"/>
      <c r="AIF82" s="645"/>
      <c r="AIG82" s="646"/>
      <c r="AIH82" s="645"/>
      <c r="AII82" s="646"/>
      <c r="AIJ82" s="645"/>
      <c r="AIK82" s="646"/>
      <c r="AIL82" s="645"/>
      <c r="AIM82" s="646"/>
      <c r="AIN82" s="645"/>
      <c r="AIO82" s="646"/>
      <c r="AIP82" s="645"/>
      <c r="AIQ82" s="645"/>
      <c r="AIR82" s="645"/>
      <c r="AIS82" s="645"/>
      <c r="AIT82" s="645"/>
      <c r="AIU82" s="645"/>
      <c r="AIV82" s="645"/>
      <c r="AIW82" s="645"/>
      <c r="AIX82" s="645"/>
      <c r="AIY82" s="645"/>
      <c r="AIZ82" s="645"/>
      <c r="AJA82" s="645"/>
      <c r="AJB82" s="645"/>
      <c r="AJC82" s="645"/>
      <c r="AJD82" s="645"/>
      <c r="AJE82" s="645"/>
      <c r="AJF82" s="645"/>
      <c r="AJG82" s="645"/>
      <c r="AJH82" s="645"/>
      <c r="AJI82" s="645"/>
      <c r="AJJ82" s="645"/>
      <c r="AJK82" s="645"/>
      <c r="AJL82" s="645"/>
      <c r="AJM82" s="645"/>
      <c r="AJN82" s="645"/>
      <c r="AJO82" s="645"/>
      <c r="AJP82" s="645"/>
      <c r="AJQ82" s="645"/>
      <c r="AJR82" s="645"/>
      <c r="AJS82" s="645"/>
      <c r="AJT82" s="645"/>
      <c r="AJU82" s="645"/>
      <c r="AJV82" s="645"/>
      <c r="AJW82" s="645"/>
      <c r="AJX82" s="645"/>
      <c r="AJY82" s="645"/>
      <c r="AJZ82" s="645"/>
      <c r="AKA82" s="645"/>
      <c r="AKB82" s="645"/>
      <c r="AKC82" s="645"/>
      <c r="AKD82" s="645"/>
      <c r="AKE82" s="645"/>
      <c r="AKF82" s="645"/>
      <c r="AKG82" s="645"/>
      <c r="AKH82" s="645"/>
      <c r="AKI82" s="645"/>
      <c r="AKJ82" s="645"/>
      <c r="AKK82" s="645"/>
      <c r="AKL82" s="645"/>
      <c r="AKM82" s="645"/>
      <c r="AKN82" s="645"/>
      <c r="AKO82" s="645"/>
      <c r="AKP82" s="645"/>
      <c r="AKQ82" s="645"/>
      <c r="AKR82" s="645"/>
      <c r="AKS82" s="645"/>
      <c r="AKT82" s="645"/>
      <c r="AKU82" s="645"/>
      <c r="AKV82" s="645"/>
      <c r="AKW82" s="645"/>
      <c r="AKX82" s="645"/>
      <c r="AKY82" s="645"/>
      <c r="AKZ82" s="645"/>
      <c r="ALA82" s="645"/>
      <c r="ALB82" s="645"/>
      <c r="ALC82" s="645"/>
      <c r="ALD82" s="645"/>
      <c r="ALE82" s="645"/>
      <c r="ALF82" s="645"/>
      <c r="ALG82" s="645"/>
      <c r="ALH82" s="645"/>
      <c r="ALI82" s="645"/>
      <c r="ALJ82" s="645"/>
      <c r="ALK82" s="645"/>
      <c r="ALL82" s="645"/>
      <c r="ALM82" s="645"/>
      <c r="ALN82" s="645"/>
      <c r="ALO82" s="645"/>
      <c r="ALP82" s="645"/>
      <c r="ALQ82" s="645"/>
      <c r="ALR82" s="645"/>
      <c r="ALS82" s="645"/>
      <c r="ALT82" s="645"/>
      <c r="ALU82" s="645"/>
      <c r="ALV82" s="645"/>
      <c r="ALW82" s="645"/>
      <c r="ALX82" s="645"/>
      <c r="ALY82" s="645"/>
      <c r="ALZ82" s="645"/>
      <c r="AMA82" s="645"/>
      <c r="AMB82" s="645"/>
      <c r="AMC82" s="645"/>
      <c r="AMD82" s="645"/>
      <c r="AME82" s="645"/>
      <c r="AMF82" s="645"/>
      <c r="AMG82" s="645"/>
      <c r="AMH82" s="645"/>
      <c r="AMI82" s="645"/>
      <c r="AMJ82" s="645"/>
    </row>
    <row r="83" spans="1:1024" s="37" customFormat="1" ht="15.75" customHeight="1" x14ac:dyDescent="0.35">
      <c r="A83" s="600"/>
      <c r="B83" s="648" t="s">
        <v>338</v>
      </c>
      <c r="C83" s="645"/>
      <c r="D83" s="646"/>
      <c r="E83" s="645"/>
      <c r="F83" s="646"/>
      <c r="G83" s="647" t="s">
        <v>243</v>
      </c>
      <c r="H83" s="643"/>
      <c r="I83" s="645"/>
      <c r="J83" s="38"/>
      <c r="K83" s="38"/>
      <c r="L83" s="39"/>
      <c r="M83" s="38"/>
      <c r="N83" s="39"/>
      <c r="O83" s="38"/>
      <c r="P83" s="39"/>
      <c r="Q83" s="38"/>
      <c r="R83" s="39"/>
      <c r="S83" s="38"/>
      <c r="T83" s="39"/>
      <c r="U83" s="38"/>
      <c r="V83" s="39"/>
      <c r="W83" s="38"/>
      <c r="X83" s="39"/>
      <c r="Y83" s="38"/>
      <c r="Z83" s="39"/>
      <c r="AA83" s="38"/>
      <c r="AB83" s="39"/>
      <c r="AC83" s="38"/>
      <c r="AD83" s="39"/>
      <c r="AE83" s="38"/>
      <c r="AF83" s="39"/>
      <c r="AG83" s="38"/>
      <c r="AH83" s="39"/>
      <c r="AI83" s="38"/>
      <c r="AJ83" s="39"/>
      <c r="AK83" s="40"/>
      <c r="AL83" s="39"/>
      <c r="AM83" s="40"/>
      <c r="AN83" s="39"/>
      <c r="AO83" s="40"/>
      <c r="AP83" s="39"/>
      <c r="AQ83" s="40"/>
      <c r="AR83" s="39"/>
      <c r="AS83" s="40"/>
      <c r="AT83" s="39"/>
      <c r="AU83" s="40"/>
      <c r="AV83" s="39"/>
      <c r="AW83" s="40"/>
      <c r="AX83" s="39"/>
      <c r="AY83" s="40"/>
      <c r="AZ83" s="39"/>
      <c r="BA83" s="40"/>
      <c r="BB83" s="39"/>
      <c r="BC83" s="40"/>
      <c r="BD83" s="39"/>
      <c r="BE83" s="40"/>
      <c r="BF83" s="39"/>
      <c r="BG83" s="40"/>
      <c r="BH83" s="39"/>
      <c r="BI83" s="40"/>
      <c r="BJ83" s="39"/>
      <c r="BK83" s="40"/>
      <c r="BL83" s="39"/>
      <c r="BM83" s="40"/>
      <c r="BN83" s="39"/>
      <c r="BO83" s="40"/>
      <c r="BP83" s="39"/>
      <c r="BQ83" s="40"/>
      <c r="BR83" s="39"/>
      <c r="BS83" s="40"/>
      <c r="BT83" s="39"/>
      <c r="BU83" s="40"/>
      <c r="BV83" s="39"/>
      <c r="BW83" s="40"/>
      <c r="BX83" s="39"/>
      <c r="BY83" s="40"/>
      <c r="BZ83" s="39"/>
      <c r="CA83" s="40"/>
      <c r="CB83" s="39"/>
      <c r="CC83" s="40"/>
      <c r="CD83" s="39"/>
      <c r="CE83" s="40"/>
      <c r="CF83" s="39"/>
      <c r="CG83" s="40"/>
      <c r="CH83" s="39"/>
      <c r="CI83" s="40"/>
      <c r="CJ83" s="39"/>
      <c r="CK83" s="40"/>
      <c r="CL83" s="39"/>
      <c r="CM83" s="40"/>
      <c r="CN83" s="39"/>
      <c r="CO83" s="40"/>
      <c r="CP83" s="39"/>
      <c r="CQ83" s="40"/>
      <c r="CR83" s="39"/>
      <c r="CS83" s="40"/>
      <c r="CT83" s="39"/>
      <c r="CU83" s="40"/>
      <c r="CV83" s="39"/>
      <c r="CW83" s="40"/>
      <c r="CX83" s="39"/>
      <c r="CY83" s="40"/>
      <c r="CZ83" s="39"/>
      <c r="DA83" s="40"/>
      <c r="DB83" s="39"/>
      <c r="DC83" s="40"/>
      <c r="DD83" s="39"/>
      <c r="DE83" s="40"/>
      <c r="DF83" s="39"/>
      <c r="DG83" s="40"/>
      <c r="DH83" s="39"/>
      <c r="DI83" s="40"/>
      <c r="DJ83" s="39"/>
      <c r="DK83" s="40"/>
      <c r="DL83" s="39"/>
      <c r="DM83" s="40"/>
      <c r="DN83" s="39"/>
      <c r="DO83" s="40"/>
      <c r="DP83" s="39"/>
      <c r="DQ83" s="40"/>
      <c r="DR83" s="39"/>
      <c r="DS83" s="40"/>
      <c r="DT83" s="39"/>
      <c r="DU83" s="40"/>
      <c r="DV83" s="39"/>
      <c r="DW83" s="40"/>
      <c r="DX83" s="39"/>
      <c r="DY83" s="40"/>
      <c r="DZ83" s="39"/>
      <c r="EA83" s="40"/>
      <c r="EB83" s="39"/>
      <c r="EC83" s="40"/>
      <c r="ED83" s="39"/>
      <c r="EE83" s="40"/>
      <c r="EF83" s="39"/>
      <c r="EG83" s="40"/>
      <c r="EH83" s="39"/>
      <c r="EI83" s="40"/>
      <c r="EJ83" s="39"/>
      <c r="EK83" s="40"/>
      <c r="EL83" s="39"/>
      <c r="EM83" s="40"/>
      <c r="EN83" s="39"/>
      <c r="EO83" s="40"/>
      <c r="EP83" s="39"/>
      <c r="EQ83" s="40"/>
      <c r="ER83" s="39"/>
      <c r="ES83" s="40"/>
      <c r="ET83" s="39"/>
      <c r="EU83" s="40"/>
      <c r="EV83" s="39"/>
      <c r="EW83" s="40"/>
      <c r="EX83" s="39"/>
      <c r="EY83" s="40"/>
      <c r="EZ83" s="39"/>
      <c r="FA83" s="40"/>
      <c r="FB83" s="39"/>
      <c r="FC83" s="40"/>
      <c r="FD83" s="39"/>
      <c r="FE83" s="40"/>
      <c r="FF83" s="39"/>
      <c r="FG83" s="40"/>
      <c r="FH83" s="39"/>
      <c r="FI83" s="40"/>
      <c r="FJ83" s="39"/>
      <c r="FK83" s="40"/>
      <c r="FL83" s="39"/>
      <c r="FM83" s="40"/>
      <c r="FN83" s="39"/>
      <c r="FO83" s="40"/>
      <c r="FP83" s="39"/>
      <c r="FQ83" s="40"/>
      <c r="FR83" s="39"/>
      <c r="FS83" s="40"/>
      <c r="FT83" s="39"/>
      <c r="FU83" s="40"/>
      <c r="FV83" s="39"/>
      <c r="FW83" s="40"/>
      <c r="FX83" s="39"/>
      <c r="FY83" s="40"/>
      <c r="FZ83" s="39"/>
      <c r="GA83" s="40"/>
      <c r="GB83" s="39"/>
      <c r="GC83" s="40"/>
      <c r="GD83" s="39"/>
      <c r="GE83" s="40"/>
      <c r="GF83" s="39"/>
      <c r="GG83" s="40"/>
      <c r="GH83" s="39"/>
      <c r="GI83" s="40"/>
      <c r="GJ83" s="39"/>
      <c r="GK83" s="40"/>
      <c r="GL83" s="39"/>
      <c r="GM83" s="40"/>
      <c r="GN83" s="39"/>
      <c r="GO83" s="40"/>
      <c r="GP83" s="39"/>
      <c r="GQ83" s="40"/>
      <c r="GR83" s="39"/>
      <c r="GS83" s="40"/>
      <c r="GT83" s="39"/>
      <c r="GU83" s="40"/>
      <c r="GV83" s="39"/>
      <c r="GW83" s="40"/>
      <c r="GX83" s="39"/>
      <c r="GY83" s="40"/>
      <c r="GZ83" s="39"/>
      <c r="HA83" s="40"/>
      <c r="HB83" s="39"/>
      <c r="HC83" s="40"/>
      <c r="HD83" s="39"/>
      <c r="HE83" s="40"/>
      <c r="HF83" s="39"/>
      <c r="HG83" s="40"/>
      <c r="HH83" s="39"/>
      <c r="HI83" s="40"/>
      <c r="HJ83" s="39"/>
      <c r="HK83" s="40"/>
      <c r="HL83" s="39"/>
      <c r="HM83" s="40"/>
      <c r="HN83" s="39"/>
      <c r="HO83" s="40"/>
      <c r="HP83" s="39"/>
      <c r="HQ83" s="40"/>
      <c r="HR83" s="39"/>
      <c r="HS83" s="40"/>
      <c r="HT83" s="39"/>
      <c r="HU83" s="40"/>
      <c r="HV83" s="39"/>
      <c r="HW83" s="40"/>
      <c r="HX83" s="39"/>
      <c r="HY83" s="40"/>
      <c r="HZ83" s="39"/>
      <c r="IA83" s="40"/>
      <c r="IB83" s="39"/>
      <c r="IC83" s="1068"/>
      <c r="ID83" s="645"/>
      <c r="IE83" s="646"/>
      <c r="IF83" s="645"/>
      <c r="IG83" s="646"/>
      <c r="IH83" s="645"/>
      <c r="II83" s="646"/>
      <c r="IJ83" s="645"/>
      <c r="IK83" s="646"/>
      <c r="IL83" s="645"/>
      <c r="IM83" s="646"/>
      <c r="IN83" s="645"/>
      <c r="IO83" s="646"/>
      <c r="IP83" s="645"/>
      <c r="IQ83" s="646"/>
      <c r="IR83" s="645"/>
      <c r="IS83" s="646"/>
      <c r="IT83" s="645"/>
      <c r="IU83" s="646"/>
      <c r="IV83" s="645"/>
      <c r="IW83" s="646"/>
      <c r="IX83" s="645"/>
      <c r="IY83" s="646"/>
      <c r="IZ83" s="645"/>
      <c r="JA83" s="646"/>
      <c r="JB83" s="645"/>
      <c r="JC83" s="646"/>
      <c r="JD83" s="645"/>
      <c r="JE83" s="646"/>
      <c r="JF83" s="645"/>
      <c r="JG83" s="646"/>
      <c r="JH83" s="645"/>
      <c r="JI83" s="646"/>
      <c r="JJ83" s="645"/>
      <c r="JK83" s="646"/>
      <c r="JL83" s="645"/>
      <c r="JM83" s="646"/>
      <c r="JN83" s="645"/>
      <c r="JO83" s="646"/>
      <c r="JP83" s="645"/>
      <c r="JQ83" s="646"/>
      <c r="JR83" s="645"/>
      <c r="JS83" s="646"/>
      <c r="JT83" s="645"/>
      <c r="JU83" s="646"/>
      <c r="JV83" s="645"/>
      <c r="JW83" s="646"/>
      <c r="JX83" s="645"/>
      <c r="JY83" s="646"/>
      <c r="JZ83" s="645"/>
      <c r="KA83" s="646"/>
      <c r="KB83" s="645"/>
      <c r="KC83" s="646"/>
      <c r="KD83" s="645"/>
      <c r="KE83" s="646"/>
      <c r="KF83" s="645"/>
      <c r="KG83" s="646"/>
      <c r="KH83" s="645"/>
      <c r="KI83" s="646"/>
      <c r="KJ83" s="645"/>
      <c r="KK83" s="646"/>
      <c r="KL83" s="645"/>
      <c r="KM83" s="646"/>
      <c r="KN83" s="645"/>
      <c r="KO83" s="646"/>
      <c r="KP83" s="645"/>
      <c r="KQ83" s="646"/>
      <c r="KR83" s="645"/>
      <c r="KS83" s="646"/>
      <c r="KT83" s="645"/>
      <c r="KU83" s="646"/>
      <c r="KV83" s="645"/>
      <c r="KW83" s="646"/>
      <c r="KX83" s="645"/>
      <c r="KY83" s="646"/>
      <c r="KZ83" s="645"/>
      <c r="LA83" s="646"/>
      <c r="LB83" s="645"/>
      <c r="LC83" s="646"/>
      <c r="LD83" s="645"/>
      <c r="LE83" s="646"/>
      <c r="LF83" s="645"/>
      <c r="LG83" s="646"/>
      <c r="LH83" s="645"/>
      <c r="LI83" s="646"/>
      <c r="LJ83" s="645"/>
      <c r="LK83" s="646"/>
      <c r="LL83" s="645"/>
      <c r="LM83" s="646"/>
      <c r="LN83" s="645"/>
      <c r="LO83" s="646"/>
      <c r="LP83" s="645"/>
      <c r="LQ83" s="646"/>
      <c r="LR83" s="645"/>
      <c r="LS83" s="646"/>
      <c r="LT83" s="645"/>
      <c r="LU83" s="646"/>
      <c r="LV83" s="645"/>
      <c r="LW83" s="646"/>
      <c r="LX83" s="645"/>
      <c r="LY83" s="646"/>
      <c r="LZ83" s="645"/>
      <c r="MA83" s="646"/>
      <c r="MB83" s="645"/>
      <c r="MC83" s="646"/>
      <c r="MD83" s="645"/>
      <c r="ME83" s="646"/>
      <c r="MF83" s="645"/>
      <c r="MG83" s="646"/>
      <c r="MH83" s="645"/>
      <c r="MI83" s="646"/>
      <c r="MJ83" s="645"/>
      <c r="MK83" s="646"/>
      <c r="ML83" s="645"/>
      <c r="MM83" s="646"/>
      <c r="MN83" s="645"/>
      <c r="MO83" s="646"/>
      <c r="MP83" s="645"/>
      <c r="MQ83" s="646"/>
      <c r="MR83" s="645"/>
      <c r="MS83" s="646"/>
      <c r="MT83" s="645"/>
      <c r="MU83" s="646"/>
      <c r="MV83" s="645"/>
      <c r="MW83" s="646"/>
      <c r="MX83" s="645"/>
      <c r="MY83" s="646"/>
      <c r="MZ83" s="645"/>
      <c r="NA83" s="646"/>
      <c r="NB83" s="645"/>
      <c r="NC83" s="646"/>
      <c r="ND83" s="645"/>
      <c r="NE83" s="646"/>
      <c r="NF83" s="645"/>
      <c r="NG83" s="646"/>
      <c r="NH83" s="645"/>
      <c r="NI83" s="646"/>
      <c r="NJ83" s="645"/>
      <c r="NK83" s="646"/>
      <c r="NL83" s="645"/>
      <c r="NM83" s="646"/>
      <c r="NN83" s="645"/>
      <c r="NO83" s="646"/>
      <c r="NP83" s="645"/>
      <c r="NQ83" s="646"/>
      <c r="NR83" s="645"/>
      <c r="NS83" s="646"/>
      <c r="NT83" s="645"/>
      <c r="NU83" s="646"/>
      <c r="NV83" s="645"/>
      <c r="NW83" s="646"/>
      <c r="NX83" s="645"/>
      <c r="NY83" s="646"/>
      <c r="NZ83" s="645"/>
      <c r="OA83" s="646"/>
      <c r="OB83" s="645"/>
      <c r="OC83" s="646"/>
      <c r="OD83" s="645"/>
      <c r="OE83" s="646"/>
      <c r="OF83" s="645"/>
      <c r="OG83" s="646"/>
      <c r="OH83" s="645"/>
      <c r="OI83" s="646"/>
      <c r="OJ83" s="645"/>
      <c r="OK83" s="646"/>
      <c r="OL83" s="645"/>
      <c r="OM83" s="646"/>
      <c r="ON83" s="645"/>
      <c r="OO83" s="646"/>
      <c r="OP83" s="645"/>
      <c r="OQ83" s="646"/>
      <c r="OR83" s="645"/>
      <c r="OS83" s="646"/>
      <c r="OT83" s="645"/>
      <c r="OU83" s="646"/>
      <c r="OV83" s="645"/>
      <c r="OW83" s="646"/>
      <c r="OX83" s="645"/>
      <c r="OY83" s="646"/>
      <c r="OZ83" s="645"/>
      <c r="PA83" s="646"/>
      <c r="PB83" s="645"/>
      <c r="PC83" s="646"/>
      <c r="PD83" s="645"/>
      <c r="PE83" s="646"/>
      <c r="PF83" s="645"/>
      <c r="PG83" s="646"/>
      <c r="PH83" s="645"/>
      <c r="PI83" s="646"/>
      <c r="PJ83" s="645"/>
      <c r="PK83" s="646"/>
      <c r="PL83" s="645"/>
      <c r="PM83" s="646"/>
      <c r="PN83" s="645"/>
      <c r="PO83" s="646"/>
      <c r="PP83" s="645"/>
      <c r="PQ83" s="646"/>
      <c r="PR83" s="645"/>
      <c r="PS83" s="646"/>
      <c r="PT83" s="645"/>
      <c r="PU83" s="646"/>
      <c r="PV83" s="645"/>
      <c r="PW83" s="646"/>
      <c r="PX83" s="645"/>
      <c r="PY83" s="646"/>
      <c r="PZ83" s="645"/>
      <c r="QA83" s="646"/>
      <c r="QB83" s="645"/>
      <c r="QC83" s="646"/>
      <c r="QD83" s="645"/>
      <c r="QE83" s="646"/>
      <c r="QF83" s="645"/>
      <c r="QG83" s="646"/>
      <c r="QH83" s="645"/>
      <c r="QI83" s="646"/>
      <c r="QJ83" s="645"/>
      <c r="QK83" s="646"/>
      <c r="QL83" s="645"/>
      <c r="QM83" s="646"/>
      <c r="QN83" s="645"/>
      <c r="QO83" s="646"/>
      <c r="QP83" s="645"/>
      <c r="QQ83" s="646"/>
      <c r="QR83" s="645"/>
      <c r="QS83" s="646"/>
      <c r="QT83" s="645"/>
      <c r="QU83" s="646"/>
      <c r="QV83" s="645"/>
      <c r="QW83" s="646"/>
      <c r="QX83" s="645"/>
      <c r="QY83" s="646"/>
      <c r="QZ83" s="645"/>
      <c r="RA83" s="646"/>
      <c r="RB83" s="645"/>
      <c r="RC83" s="646"/>
      <c r="RD83" s="645"/>
      <c r="RE83" s="646"/>
      <c r="RF83" s="645"/>
      <c r="RG83" s="646"/>
      <c r="RH83" s="645"/>
      <c r="RI83" s="646"/>
      <c r="RJ83" s="645"/>
      <c r="RK83" s="646"/>
      <c r="RL83" s="645"/>
      <c r="RM83" s="646"/>
      <c r="RN83" s="645"/>
      <c r="RO83" s="646"/>
      <c r="RP83" s="645"/>
      <c r="RQ83" s="646"/>
      <c r="RR83" s="645"/>
      <c r="RS83" s="646"/>
      <c r="RT83" s="645"/>
      <c r="RU83" s="646"/>
      <c r="RV83" s="645"/>
      <c r="RW83" s="646"/>
      <c r="RX83" s="645"/>
      <c r="RY83" s="646"/>
      <c r="RZ83" s="645"/>
      <c r="SA83" s="646"/>
      <c r="SB83" s="645"/>
      <c r="SC83" s="646"/>
      <c r="SD83" s="645"/>
      <c r="SE83" s="646"/>
      <c r="SF83" s="645"/>
      <c r="SG83" s="646"/>
      <c r="SH83" s="645"/>
      <c r="SI83" s="646"/>
      <c r="SJ83" s="645"/>
      <c r="SK83" s="646"/>
      <c r="SL83" s="645"/>
      <c r="SM83" s="646"/>
      <c r="SN83" s="645"/>
      <c r="SO83" s="646"/>
      <c r="SP83" s="645"/>
      <c r="SQ83" s="646"/>
      <c r="SR83" s="645"/>
      <c r="SS83" s="646"/>
      <c r="ST83" s="645"/>
      <c r="SU83" s="646"/>
      <c r="SV83" s="645"/>
      <c r="SW83" s="646"/>
      <c r="SX83" s="645"/>
      <c r="SY83" s="646"/>
      <c r="SZ83" s="645"/>
      <c r="TA83" s="646"/>
      <c r="TB83" s="645"/>
      <c r="TC83" s="646"/>
      <c r="TD83" s="645"/>
      <c r="TE83" s="646"/>
      <c r="TF83" s="645"/>
      <c r="TG83" s="646"/>
      <c r="TH83" s="645"/>
      <c r="TI83" s="646"/>
      <c r="TJ83" s="645"/>
      <c r="TK83" s="646"/>
      <c r="TL83" s="645"/>
      <c r="TM83" s="646"/>
      <c r="TN83" s="645"/>
      <c r="TO83" s="646"/>
      <c r="TP83" s="645"/>
      <c r="TQ83" s="646"/>
      <c r="TR83" s="645"/>
      <c r="TS83" s="646"/>
      <c r="TT83" s="645"/>
      <c r="TU83" s="646"/>
      <c r="TV83" s="645"/>
      <c r="TW83" s="646"/>
      <c r="TX83" s="645"/>
      <c r="TY83" s="646"/>
      <c r="TZ83" s="645"/>
      <c r="UA83" s="646"/>
      <c r="UB83" s="645"/>
      <c r="UC83" s="646"/>
      <c r="UD83" s="645"/>
      <c r="UE83" s="646"/>
      <c r="UF83" s="645"/>
      <c r="UG83" s="646"/>
      <c r="UH83" s="645"/>
      <c r="UI83" s="646"/>
      <c r="UJ83" s="645"/>
      <c r="UK83" s="646"/>
      <c r="UL83" s="645"/>
      <c r="UM83" s="646"/>
      <c r="UN83" s="645"/>
      <c r="UO83" s="646"/>
      <c r="UP83" s="645"/>
      <c r="UQ83" s="646"/>
      <c r="UR83" s="645"/>
      <c r="US83" s="646"/>
      <c r="UT83" s="645"/>
      <c r="UU83" s="646"/>
      <c r="UV83" s="645"/>
      <c r="UW83" s="646"/>
      <c r="UX83" s="645"/>
      <c r="UY83" s="646"/>
      <c r="UZ83" s="645"/>
      <c r="VA83" s="646"/>
      <c r="VB83" s="645"/>
      <c r="VC83" s="646"/>
      <c r="VD83" s="645"/>
      <c r="VE83" s="646"/>
      <c r="VF83" s="645"/>
      <c r="VG83" s="646"/>
      <c r="VH83" s="645"/>
      <c r="VI83" s="646"/>
      <c r="VJ83" s="645"/>
      <c r="VK83" s="646"/>
      <c r="VL83" s="645"/>
      <c r="VM83" s="646"/>
      <c r="VN83" s="645"/>
      <c r="VO83" s="646"/>
      <c r="VP83" s="645"/>
      <c r="VQ83" s="646"/>
      <c r="VR83" s="645"/>
      <c r="VS83" s="646"/>
      <c r="VT83" s="645"/>
      <c r="VU83" s="646"/>
      <c r="VV83" s="645"/>
      <c r="VW83" s="646"/>
      <c r="VX83" s="645"/>
      <c r="VY83" s="646"/>
      <c r="VZ83" s="645"/>
      <c r="WA83" s="646"/>
      <c r="WB83" s="645"/>
      <c r="WC83" s="646"/>
      <c r="WD83" s="645"/>
      <c r="WE83" s="646"/>
      <c r="WF83" s="645"/>
      <c r="WG83" s="646"/>
      <c r="WH83" s="645"/>
      <c r="WI83" s="646"/>
      <c r="WJ83" s="645"/>
      <c r="WK83" s="646"/>
      <c r="WL83" s="645"/>
      <c r="WM83" s="646"/>
      <c r="WN83" s="645"/>
      <c r="WO83" s="646"/>
      <c r="WP83" s="645"/>
      <c r="WQ83" s="646"/>
      <c r="WR83" s="645"/>
      <c r="WS83" s="646"/>
      <c r="WT83" s="645"/>
      <c r="WU83" s="646"/>
      <c r="WV83" s="645"/>
      <c r="WW83" s="646"/>
      <c r="WX83" s="645"/>
      <c r="WY83" s="646"/>
      <c r="WZ83" s="645"/>
      <c r="XA83" s="646"/>
      <c r="XB83" s="645"/>
      <c r="XC83" s="646"/>
      <c r="XD83" s="645"/>
      <c r="XE83" s="646"/>
      <c r="XF83" s="645"/>
      <c r="XG83" s="646"/>
      <c r="XH83" s="645"/>
      <c r="XI83" s="646"/>
      <c r="XJ83" s="645"/>
      <c r="XK83" s="646"/>
      <c r="XL83" s="645"/>
      <c r="XM83" s="646"/>
      <c r="XN83" s="645"/>
      <c r="XO83" s="646"/>
      <c r="XP83" s="645"/>
      <c r="XQ83" s="646"/>
      <c r="XR83" s="645"/>
      <c r="XS83" s="646"/>
      <c r="XT83" s="645"/>
      <c r="XU83" s="646"/>
      <c r="XV83" s="645"/>
      <c r="XW83" s="646"/>
      <c r="XX83" s="645"/>
      <c r="XY83" s="646"/>
      <c r="XZ83" s="645"/>
      <c r="YA83" s="646"/>
      <c r="YB83" s="645"/>
      <c r="YC83" s="646"/>
      <c r="YD83" s="645"/>
      <c r="YE83" s="646"/>
      <c r="YF83" s="645"/>
      <c r="YG83" s="646"/>
      <c r="YH83" s="645"/>
      <c r="YI83" s="646"/>
      <c r="YJ83" s="645"/>
      <c r="YK83" s="646"/>
      <c r="YL83" s="645"/>
      <c r="YM83" s="646"/>
      <c r="YN83" s="645"/>
      <c r="YO83" s="646"/>
      <c r="YP83" s="645"/>
      <c r="YQ83" s="646"/>
      <c r="YR83" s="645"/>
      <c r="YS83" s="646"/>
      <c r="YT83" s="645"/>
      <c r="YU83" s="646"/>
      <c r="YV83" s="645"/>
      <c r="YW83" s="646"/>
      <c r="YX83" s="645"/>
      <c r="YY83" s="646"/>
      <c r="YZ83" s="645"/>
      <c r="ZA83" s="646"/>
      <c r="ZB83" s="645"/>
      <c r="ZC83" s="646"/>
      <c r="ZD83" s="645"/>
      <c r="ZE83" s="646"/>
      <c r="ZF83" s="645"/>
      <c r="ZG83" s="646"/>
      <c r="ZH83" s="645"/>
      <c r="ZI83" s="646"/>
      <c r="ZJ83" s="645"/>
      <c r="ZK83" s="646"/>
      <c r="ZL83" s="645"/>
      <c r="ZM83" s="646"/>
      <c r="ZN83" s="645"/>
      <c r="ZO83" s="646"/>
      <c r="ZP83" s="645"/>
      <c r="ZQ83" s="646"/>
      <c r="ZR83" s="645"/>
      <c r="ZS83" s="646"/>
      <c r="ZT83" s="645"/>
      <c r="ZU83" s="646"/>
      <c r="ZV83" s="645"/>
      <c r="ZW83" s="646"/>
      <c r="ZX83" s="645"/>
      <c r="ZY83" s="646"/>
      <c r="ZZ83" s="645"/>
      <c r="AAA83" s="646"/>
      <c r="AAB83" s="645"/>
      <c r="AAC83" s="646"/>
      <c r="AAD83" s="645"/>
      <c r="AAE83" s="646"/>
      <c r="AAF83" s="645"/>
      <c r="AAG83" s="646"/>
      <c r="AAH83" s="645"/>
      <c r="AAI83" s="646"/>
      <c r="AAJ83" s="645"/>
      <c r="AAK83" s="646"/>
      <c r="AAL83" s="645"/>
      <c r="AAM83" s="646"/>
      <c r="AAN83" s="645"/>
      <c r="AAO83" s="646"/>
      <c r="AAP83" s="645"/>
      <c r="AAQ83" s="646"/>
      <c r="AAR83" s="645"/>
      <c r="AAS83" s="646"/>
      <c r="AAT83" s="645"/>
      <c r="AAU83" s="646"/>
      <c r="AAV83" s="645"/>
      <c r="AAW83" s="646"/>
      <c r="AAX83" s="645"/>
      <c r="AAY83" s="646"/>
      <c r="AAZ83" s="645"/>
      <c r="ABA83" s="646"/>
      <c r="ABB83" s="645"/>
      <c r="ABC83" s="646"/>
      <c r="ABD83" s="645"/>
      <c r="ABE83" s="646"/>
      <c r="ABF83" s="645"/>
      <c r="ABG83" s="646"/>
      <c r="ABH83" s="645"/>
      <c r="ABI83" s="646"/>
      <c r="ABJ83" s="645"/>
      <c r="ABK83" s="646"/>
      <c r="ABL83" s="645"/>
      <c r="ABM83" s="646"/>
      <c r="ABN83" s="645"/>
      <c r="ABO83" s="646"/>
      <c r="ABP83" s="645"/>
      <c r="ABQ83" s="646"/>
      <c r="ABR83" s="645"/>
      <c r="ABS83" s="646"/>
      <c r="ABT83" s="645"/>
      <c r="ABU83" s="646"/>
      <c r="ABV83" s="645"/>
      <c r="ABW83" s="646"/>
      <c r="ABX83" s="645"/>
      <c r="ABY83" s="646"/>
      <c r="ABZ83" s="645"/>
      <c r="ACA83" s="646"/>
      <c r="ACB83" s="645"/>
      <c r="ACC83" s="646"/>
      <c r="ACD83" s="645"/>
      <c r="ACE83" s="646"/>
      <c r="ACF83" s="645"/>
      <c r="ACG83" s="646"/>
      <c r="ACH83" s="645"/>
      <c r="ACI83" s="646"/>
      <c r="ACJ83" s="645"/>
      <c r="ACK83" s="646"/>
      <c r="ACL83" s="645"/>
      <c r="ACM83" s="646"/>
      <c r="ACN83" s="645"/>
      <c r="ACO83" s="646"/>
      <c r="ACP83" s="645"/>
      <c r="ACQ83" s="646"/>
      <c r="ACR83" s="645"/>
      <c r="ACS83" s="646"/>
      <c r="ACT83" s="645"/>
      <c r="ACU83" s="646"/>
      <c r="ACV83" s="645"/>
      <c r="ACW83" s="646"/>
      <c r="ACX83" s="645"/>
      <c r="ACY83" s="646"/>
      <c r="ACZ83" s="645"/>
      <c r="ADA83" s="646"/>
      <c r="ADB83" s="645"/>
      <c r="ADC83" s="646"/>
      <c r="ADD83" s="645"/>
      <c r="ADE83" s="646"/>
      <c r="ADF83" s="645"/>
      <c r="ADG83" s="646"/>
      <c r="ADH83" s="645"/>
      <c r="ADI83" s="646"/>
      <c r="ADJ83" s="645"/>
      <c r="ADK83" s="646"/>
      <c r="ADL83" s="645"/>
      <c r="ADM83" s="646"/>
      <c r="ADN83" s="645"/>
      <c r="ADO83" s="646"/>
      <c r="ADP83" s="645"/>
      <c r="ADQ83" s="646"/>
      <c r="ADR83" s="645"/>
      <c r="ADS83" s="646"/>
      <c r="ADT83" s="645"/>
      <c r="ADU83" s="646"/>
      <c r="ADV83" s="645"/>
      <c r="ADW83" s="646"/>
      <c r="ADX83" s="645"/>
      <c r="ADY83" s="646"/>
      <c r="ADZ83" s="645"/>
      <c r="AEA83" s="646"/>
      <c r="AEB83" s="645"/>
      <c r="AEC83" s="646"/>
      <c r="AED83" s="645"/>
      <c r="AEE83" s="646"/>
      <c r="AEF83" s="645"/>
      <c r="AEG83" s="646"/>
      <c r="AEH83" s="645"/>
      <c r="AEI83" s="646"/>
      <c r="AEJ83" s="645"/>
      <c r="AEK83" s="646"/>
      <c r="AEL83" s="645"/>
      <c r="AEM83" s="646"/>
      <c r="AEN83" s="645"/>
      <c r="AEO83" s="646"/>
      <c r="AEP83" s="645"/>
      <c r="AEQ83" s="646"/>
      <c r="AER83" s="645"/>
      <c r="AES83" s="646"/>
      <c r="AET83" s="645"/>
      <c r="AEU83" s="646"/>
      <c r="AEV83" s="645"/>
      <c r="AEW83" s="646"/>
      <c r="AEX83" s="645"/>
      <c r="AEY83" s="646"/>
      <c r="AEZ83" s="645"/>
      <c r="AFA83" s="646"/>
      <c r="AFB83" s="645"/>
      <c r="AFC83" s="646"/>
      <c r="AFD83" s="645"/>
      <c r="AFE83" s="646"/>
      <c r="AFF83" s="645"/>
      <c r="AFG83" s="646"/>
      <c r="AFH83" s="645"/>
      <c r="AFI83" s="646"/>
      <c r="AFJ83" s="645"/>
      <c r="AFK83" s="646"/>
      <c r="AFL83" s="645"/>
      <c r="AFM83" s="646"/>
      <c r="AFN83" s="645"/>
      <c r="AFO83" s="646"/>
      <c r="AFP83" s="645"/>
      <c r="AFQ83" s="646"/>
      <c r="AFR83" s="645"/>
      <c r="AFS83" s="646"/>
      <c r="AFT83" s="645"/>
      <c r="AFU83" s="646"/>
      <c r="AFV83" s="645"/>
      <c r="AFW83" s="646"/>
      <c r="AFX83" s="645"/>
      <c r="AFY83" s="646"/>
      <c r="AFZ83" s="645"/>
      <c r="AGA83" s="646"/>
      <c r="AGB83" s="645"/>
      <c r="AGC83" s="646"/>
      <c r="AGD83" s="645"/>
      <c r="AGE83" s="646"/>
      <c r="AGF83" s="645"/>
      <c r="AGG83" s="646"/>
      <c r="AGH83" s="645"/>
      <c r="AGI83" s="646"/>
      <c r="AGJ83" s="645"/>
      <c r="AGK83" s="646"/>
      <c r="AGL83" s="645"/>
      <c r="AGM83" s="646"/>
      <c r="AGN83" s="645"/>
      <c r="AGO83" s="646"/>
      <c r="AGP83" s="645"/>
      <c r="AGQ83" s="646"/>
      <c r="AGR83" s="645"/>
      <c r="AGS83" s="646"/>
      <c r="AGT83" s="645"/>
      <c r="AGU83" s="646"/>
      <c r="AGV83" s="645"/>
      <c r="AGW83" s="646"/>
      <c r="AGX83" s="645"/>
      <c r="AGY83" s="646"/>
      <c r="AGZ83" s="645"/>
      <c r="AHA83" s="646"/>
      <c r="AHB83" s="645"/>
      <c r="AHC83" s="646"/>
      <c r="AHD83" s="645"/>
      <c r="AHE83" s="646"/>
      <c r="AHF83" s="645"/>
      <c r="AHG83" s="646"/>
      <c r="AHH83" s="645"/>
      <c r="AHI83" s="646"/>
      <c r="AHJ83" s="645"/>
      <c r="AHK83" s="646"/>
      <c r="AHL83" s="645"/>
      <c r="AHM83" s="646"/>
      <c r="AHN83" s="645"/>
      <c r="AHO83" s="646"/>
      <c r="AHP83" s="645"/>
      <c r="AHQ83" s="646"/>
      <c r="AHR83" s="645"/>
      <c r="AHS83" s="646"/>
      <c r="AHT83" s="645"/>
      <c r="AHU83" s="646"/>
      <c r="AHV83" s="645"/>
      <c r="AHW83" s="646"/>
      <c r="AHX83" s="645"/>
      <c r="AHY83" s="646"/>
      <c r="AHZ83" s="645"/>
      <c r="AIA83" s="646"/>
      <c r="AIB83" s="645"/>
      <c r="AIC83" s="646"/>
      <c r="AID83" s="645"/>
      <c r="AIE83" s="646"/>
      <c r="AIF83" s="645"/>
      <c r="AIG83" s="646"/>
      <c r="AIH83" s="645"/>
      <c r="AII83" s="646"/>
      <c r="AIJ83" s="645"/>
      <c r="AIK83" s="646"/>
      <c r="AIL83" s="645"/>
      <c r="AIM83" s="646"/>
      <c r="AIN83" s="645"/>
      <c r="AIO83" s="646"/>
      <c r="AIP83" s="645"/>
      <c r="AIQ83" s="645"/>
      <c r="AIR83" s="645"/>
      <c r="AIS83" s="645"/>
      <c r="AIT83" s="645"/>
      <c r="AIU83" s="645"/>
      <c r="AIV83" s="645"/>
      <c r="AIW83" s="645"/>
      <c r="AIX83" s="645"/>
      <c r="AIY83" s="645"/>
      <c r="AIZ83" s="645"/>
      <c r="AJA83" s="645"/>
      <c r="AJB83" s="645"/>
      <c r="AJC83" s="645"/>
      <c r="AJD83" s="645"/>
      <c r="AJE83" s="645"/>
      <c r="AJF83" s="645"/>
      <c r="AJG83" s="645"/>
      <c r="AJH83" s="645"/>
      <c r="AJI83" s="645"/>
      <c r="AJJ83" s="645"/>
      <c r="AJK83" s="645"/>
      <c r="AJL83" s="645"/>
      <c r="AJM83" s="645"/>
      <c r="AJN83" s="645"/>
      <c r="AJO83" s="645"/>
      <c r="AJP83" s="645"/>
      <c r="AJQ83" s="645"/>
      <c r="AJR83" s="645"/>
      <c r="AJS83" s="645"/>
      <c r="AJT83" s="645"/>
      <c r="AJU83" s="645"/>
      <c r="AJV83" s="645"/>
      <c r="AJW83" s="645"/>
      <c r="AJX83" s="645"/>
      <c r="AJY83" s="645"/>
      <c r="AJZ83" s="645"/>
      <c r="AKA83" s="645"/>
      <c r="AKB83" s="645"/>
      <c r="AKC83" s="645"/>
      <c r="AKD83" s="645"/>
      <c r="AKE83" s="645"/>
      <c r="AKF83" s="645"/>
      <c r="AKG83" s="645"/>
      <c r="AKH83" s="645"/>
      <c r="AKI83" s="645"/>
      <c r="AKJ83" s="645"/>
      <c r="AKK83" s="645"/>
      <c r="AKL83" s="645"/>
      <c r="AKM83" s="645"/>
      <c r="AKN83" s="645"/>
      <c r="AKO83" s="645"/>
      <c r="AKP83" s="645"/>
      <c r="AKQ83" s="645"/>
      <c r="AKR83" s="645"/>
      <c r="AKS83" s="645"/>
      <c r="AKT83" s="645"/>
      <c r="AKU83" s="645"/>
      <c r="AKV83" s="645"/>
      <c r="AKW83" s="645"/>
      <c r="AKX83" s="645"/>
      <c r="AKY83" s="645"/>
      <c r="AKZ83" s="645"/>
      <c r="ALA83" s="645"/>
      <c r="ALB83" s="645"/>
      <c r="ALC83" s="645"/>
      <c r="ALD83" s="645"/>
      <c r="ALE83" s="645"/>
      <c r="ALF83" s="645"/>
      <c r="ALG83" s="645"/>
      <c r="ALH83" s="645"/>
      <c r="ALI83" s="645"/>
      <c r="ALJ83" s="645"/>
      <c r="ALK83" s="645"/>
      <c r="ALL83" s="645"/>
      <c r="ALM83" s="645"/>
      <c r="ALN83" s="645"/>
      <c r="ALO83" s="645"/>
      <c r="ALP83" s="645"/>
      <c r="ALQ83" s="645"/>
      <c r="ALR83" s="645"/>
      <c r="ALS83" s="645"/>
      <c r="ALT83" s="645"/>
      <c r="ALU83" s="645"/>
      <c r="ALV83" s="645"/>
      <c r="ALW83" s="645"/>
      <c r="ALX83" s="645"/>
      <c r="ALY83" s="645"/>
      <c r="ALZ83" s="645"/>
      <c r="AMA83" s="645"/>
      <c r="AMB83" s="645"/>
      <c r="AMC83" s="645"/>
      <c r="AMD83" s="645"/>
      <c r="AME83" s="645"/>
      <c r="AMF83" s="645"/>
      <c r="AMG83" s="645"/>
      <c r="AMH83" s="645"/>
      <c r="AMI83" s="645"/>
      <c r="AMJ83" s="645"/>
    </row>
    <row r="84" spans="1:1024" s="37" customFormat="1" ht="15.75" customHeight="1" x14ac:dyDescent="0.35">
      <c r="A84" s="600"/>
      <c r="B84" s="648" t="s">
        <v>320</v>
      </c>
      <c r="C84" s="645"/>
      <c r="D84" s="646"/>
      <c r="E84" s="645"/>
      <c r="F84" s="646"/>
      <c r="G84" s="647" t="s">
        <v>241</v>
      </c>
      <c r="H84" s="643"/>
      <c r="I84" s="645"/>
      <c r="J84" s="38"/>
      <c r="K84" s="38"/>
      <c r="L84" s="39"/>
      <c r="M84" s="38"/>
      <c r="N84" s="39"/>
      <c r="O84" s="38"/>
      <c r="P84" s="39"/>
      <c r="Q84" s="38"/>
      <c r="R84" s="39"/>
      <c r="S84" s="38"/>
      <c r="T84" s="39"/>
      <c r="U84" s="38"/>
      <c r="V84" s="39"/>
      <c r="W84" s="38"/>
      <c r="X84" s="39"/>
      <c r="Y84" s="38"/>
      <c r="Z84" s="39"/>
      <c r="AA84" s="38"/>
      <c r="AB84" s="39"/>
      <c r="AC84" s="38"/>
      <c r="AD84" s="39"/>
      <c r="AE84" s="38"/>
      <c r="AF84" s="39"/>
      <c r="AG84" s="38"/>
      <c r="AH84" s="39"/>
      <c r="AI84" s="38"/>
      <c r="AJ84" s="39"/>
      <c r="AK84" s="40"/>
      <c r="AL84" s="39"/>
      <c r="AM84" s="40"/>
      <c r="AN84" s="39"/>
      <c r="AO84" s="40"/>
      <c r="AP84" s="39"/>
      <c r="AQ84" s="40"/>
      <c r="AR84" s="39"/>
      <c r="AS84" s="40"/>
      <c r="AT84" s="39"/>
      <c r="AU84" s="40"/>
      <c r="AV84" s="39"/>
      <c r="AW84" s="40"/>
      <c r="AX84" s="39"/>
      <c r="AY84" s="40"/>
      <c r="AZ84" s="39"/>
      <c r="BA84" s="40"/>
      <c r="BB84" s="39"/>
      <c r="BC84" s="40"/>
      <c r="BD84" s="39"/>
      <c r="BE84" s="40"/>
      <c r="BF84" s="39"/>
      <c r="BG84" s="40"/>
      <c r="BH84" s="39"/>
      <c r="BI84" s="40"/>
      <c r="BJ84" s="39"/>
      <c r="BK84" s="40"/>
      <c r="BL84" s="39"/>
      <c r="BM84" s="40"/>
      <c r="BN84" s="39"/>
      <c r="BO84" s="40"/>
      <c r="BP84" s="39"/>
      <c r="BQ84" s="40"/>
      <c r="BR84" s="39"/>
      <c r="BS84" s="40"/>
      <c r="BT84" s="39"/>
      <c r="BU84" s="40"/>
      <c r="BV84" s="39"/>
      <c r="BW84" s="40"/>
      <c r="BX84" s="39"/>
      <c r="BY84" s="40"/>
      <c r="BZ84" s="39"/>
      <c r="CA84" s="40"/>
      <c r="CB84" s="39"/>
      <c r="CC84" s="40"/>
      <c r="CD84" s="39"/>
      <c r="CE84" s="40"/>
      <c r="CF84" s="39"/>
      <c r="CG84" s="40"/>
      <c r="CH84" s="39"/>
      <c r="CI84" s="40"/>
      <c r="CJ84" s="39"/>
      <c r="CK84" s="40"/>
      <c r="CL84" s="39"/>
      <c r="CM84" s="40"/>
      <c r="CN84" s="39"/>
      <c r="CO84" s="40"/>
      <c r="CP84" s="39"/>
      <c r="CQ84" s="40"/>
      <c r="CR84" s="39"/>
      <c r="CS84" s="40"/>
      <c r="CT84" s="39"/>
      <c r="CU84" s="40"/>
      <c r="CV84" s="39"/>
      <c r="CW84" s="40"/>
      <c r="CX84" s="39"/>
      <c r="CY84" s="40"/>
      <c r="CZ84" s="39"/>
      <c r="DA84" s="40"/>
      <c r="DB84" s="39"/>
      <c r="DC84" s="40"/>
      <c r="DD84" s="39"/>
      <c r="DE84" s="40"/>
      <c r="DF84" s="39"/>
      <c r="DG84" s="40"/>
      <c r="DH84" s="39"/>
      <c r="DI84" s="40"/>
      <c r="DJ84" s="39"/>
      <c r="DK84" s="40"/>
      <c r="DL84" s="39"/>
      <c r="DM84" s="40"/>
      <c r="DN84" s="39"/>
      <c r="DO84" s="40"/>
      <c r="DP84" s="39"/>
      <c r="DQ84" s="40"/>
      <c r="DR84" s="39"/>
      <c r="DS84" s="40"/>
      <c r="DT84" s="39"/>
      <c r="DU84" s="40"/>
      <c r="DV84" s="39"/>
      <c r="DW84" s="40"/>
      <c r="DX84" s="39"/>
      <c r="DY84" s="40"/>
      <c r="DZ84" s="39"/>
      <c r="EA84" s="40"/>
      <c r="EB84" s="39"/>
      <c r="EC84" s="40"/>
      <c r="ED84" s="39"/>
      <c r="EE84" s="40"/>
      <c r="EF84" s="39"/>
      <c r="EG84" s="40"/>
      <c r="EH84" s="39"/>
      <c r="EI84" s="40"/>
      <c r="EJ84" s="39"/>
      <c r="EK84" s="40"/>
      <c r="EL84" s="39"/>
      <c r="EM84" s="40"/>
      <c r="EN84" s="39"/>
      <c r="EO84" s="40"/>
      <c r="EP84" s="39"/>
      <c r="EQ84" s="40"/>
      <c r="ER84" s="39"/>
      <c r="ES84" s="40"/>
      <c r="ET84" s="39"/>
      <c r="EU84" s="40"/>
      <c r="EV84" s="39"/>
      <c r="EW84" s="40"/>
      <c r="EX84" s="39"/>
      <c r="EY84" s="40"/>
      <c r="EZ84" s="39"/>
      <c r="FA84" s="40"/>
      <c r="FB84" s="39"/>
      <c r="FC84" s="40"/>
      <c r="FD84" s="39"/>
      <c r="FE84" s="40"/>
      <c r="FF84" s="39"/>
      <c r="FG84" s="40"/>
      <c r="FH84" s="39"/>
      <c r="FI84" s="40"/>
      <c r="FJ84" s="39"/>
      <c r="FK84" s="40"/>
      <c r="FL84" s="39"/>
      <c r="FM84" s="40"/>
      <c r="FN84" s="39"/>
      <c r="FO84" s="40"/>
      <c r="FP84" s="39"/>
      <c r="FQ84" s="40"/>
      <c r="FR84" s="39"/>
      <c r="FS84" s="40"/>
      <c r="FT84" s="39"/>
      <c r="FU84" s="40"/>
      <c r="FV84" s="39"/>
      <c r="FW84" s="40"/>
      <c r="FX84" s="39"/>
      <c r="FY84" s="40"/>
      <c r="FZ84" s="39"/>
      <c r="GA84" s="40"/>
      <c r="GB84" s="39"/>
      <c r="GC84" s="40"/>
      <c r="GD84" s="39"/>
      <c r="GE84" s="40"/>
      <c r="GF84" s="39"/>
      <c r="GG84" s="40"/>
      <c r="GH84" s="39"/>
      <c r="GI84" s="40"/>
      <c r="GJ84" s="39"/>
      <c r="GK84" s="40"/>
      <c r="GL84" s="39"/>
      <c r="GM84" s="40"/>
      <c r="GN84" s="39"/>
      <c r="GO84" s="40"/>
      <c r="GP84" s="39"/>
      <c r="GQ84" s="40"/>
      <c r="GR84" s="39"/>
      <c r="GS84" s="40"/>
      <c r="GT84" s="39"/>
      <c r="GU84" s="40"/>
      <c r="GV84" s="39"/>
      <c r="GW84" s="40"/>
      <c r="GX84" s="39"/>
      <c r="GY84" s="40"/>
      <c r="GZ84" s="39"/>
      <c r="HA84" s="40"/>
      <c r="HB84" s="39"/>
      <c r="HC84" s="40"/>
      <c r="HD84" s="39"/>
      <c r="HE84" s="40"/>
      <c r="HF84" s="39"/>
      <c r="HG84" s="40"/>
      <c r="HH84" s="39"/>
      <c r="HI84" s="40"/>
      <c r="HJ84" s="39"/>
      <c r="HK84" s="40"/>
      <c r="HL84" s="39"/>
      <c r="HM84" s="40"/>
      <c r="HN84" s="39"/>
      <c r="HO84" s="40"/>
      <c r="HP84" s="39"/>
      <c r="HQ84" s="40"/>
      <c r="HR84" s="39"/>
      <c r="HS84" s="40"/>
      <c r="HT84" s="39"/>
      <c r="HU84" s="40"/>
      <c r="HV84" s="39"/>
      <c r="HW84" s="40"/>
      <c r="HX84" s="39"/>
      <c r="HY84" s="40"/>
      <c r="HZ84" s="39"/>
      <c r="IA84" s="40"/>
      <c r="IB84" s="39"/>
      <c r="IC84" s="1068"/>
      <c r="ID84" s="645"/>
      <c r="IE84" s="646"/>
      <c r="IF84" s="645"/>
      <c r="IG84" s="646"/>
      <c r="IH84" s="645"/>
      <c r="II84" s="646"/>
      <c r="IJ84" s="645"/>
      <c r="IK84" s="646"/>
      <c r="IL84" s="645"/>
      <c r="IM84" s="646"/>
      <c r="IN84" s="645"/>
      <c r="IO84" s="646"/>
      <c r="IP84" s="645"/>
      <c r="IQ84" s="646"/>
      <c r="IR84" s="645"/>
      <c r="IS84" s="646"/>
      <c r="IT84" s="645"/>
      <c r="IU84" s="646"/>
      <c r="IV84" s="645"/>
      <c r="IW84" s="646"/>
      <c r="IX84" s="645"/>
      <c r="IY84" s="646"/>
      <c r="IZ84" s="645"/>
      <c r="JA84" s="646"/>
      <c r="JB84" s="645"/>
      <c r="JC84" s="646"/>
      <c r="JD84" s="645"/>
      <c r="JE84" s="646"/>
      <c r="JF84" s="645"/>
      <c r="JG84" s="646"/>
      <c r="JH84" s="645"/>
      <c r="JI84" s="646"/>
      <c r="JJ84" s="645"/>
      <c r="JK84" s="646"/>
      <c r="JL84" s="645"/>
      <c r="JM84" s="646"/>
      <c r="JN84" s="645"/>
      <c r="JO84" s="646"/>
      <c r="JP84" s="645"/>
      <c r="JQ84" s="646"/>
      <c r="JR84" s="645"/>
      <c r="JS84" s="646"/>
      <c r="JT84" s="645"/>
      <c r="JU84" s="646"/>
      <c r="JV84" s="645"/>
      <c r="JW84" s="646"/>
      <c r="JX84" s="645"/>
      <c r="JY84" s="646"/>
      <c r="JZ84" s="645"/>
      <c r="KA84" s="646"/>
      <c r="KB84" s="645"/>
      <c r="KC84" s="646"/>
      <c r="KD84" s="645"/>
      <c r="KE84" s="646"/>
      <c r="KF84" s="645"/>
      <c r="KG84" s="646"/>
      <c r="KH84" s="645"/>
      <c r="KI84" s="646"/>
      <c r="KJ84" s="645"/>
      <c r="KK84" s="646"/>
      <c r="KL84" s="645"/>
      <c r="KM84" s="646"/>
      <c r="KN84" s="645"/>
      <c r="KO84" s="646"/>
      <c r="KP84" s="645"/>
      <c r="KQ84" s="646"/>
      <c r="KR84" s="645"/>
      <c r="KS84" s="646"/>
      <c r="KT84" s="645"/>
      <c r="KU84" s="646"/>
      <c r="KV84" s="645"/>
      <c r="KW84" s="646"/>
      <c r="KX84" s="645"/>
      <c r="KY84" s="646"/>
      <c r="KZ84" s="645"/>
      <c r="LA84" s="646"/>
      <c r="LB84" s="645"/>
      <c r="LC84" s="646"/>
      <c r="LD84" s="645"/>
      <c r="LE84" s="646"/>
      <c r="LF84" s="645"/>
      <c r="LG84" s="646"/>
      <c r="LH84" s="645"/>
      <c r="LI84" s="646"/>
      <c r="LJ84" s="645"/>
      <c r="LK84" s="646"/>
      <c r="LL84" s="645"/>
      <c r="LM84" s="646"/>
      <c r="LN84" s="645"/>
      <c r="LO84" s="646"/>
      <c r="LP84" s="645"/>
      <c r="LQ84" s="646"/>
      <c r="LR84" s="645"/>
      <c r="LS84" s="646"/>
      <c r="LT84" s="645"/>
      <c r="LU84" s="646"/>
      <c r="LV84" s="645"/>
      <c r="LW84" s="646"/>
      <c r="LX84" s="645"/>
      <c r="LY84" s="646"/>
      <c r="LZ84" s="645"/>
      <c r="MA84" s="646"/>
      <c r="MB84" s="645"/>
      <c r="MC84" s="646"/>
      <c r="MD84" s="645"/>
      <c r="ME84" s="646"/>
      <c r="MF84" s="645"/>
      <c r="MG84" s="646"/>
      <c r="MH84" s="645"/>
      <c r="MI84" s="646"/>
      <c r="MJ84" s="645"/>
      <c r="MK84" s="646"/>
      <c r="ML84" s="645"/>
      <c r="MM84" s="646"/>
      <c r="MN84" s="645"/>
      <c r="MO84" s="646"/>
      <c r="MP84" s="645"/>
      <c r="MQ84" s="646"/>
      <c r="MR84" s="645"/>
      <c r="MS84" s="646"/>
      <c r="MT84" s="645"/>
      <c r="MU84" s="646"/>
      <c r="MV84" s="645"/>
      <c r="MW84" s="646"/>
      <c r="MX84" s="645"/>
      <c r="MY84" s="646"/>
      <c r="MZ84" s="645"/>
      <c r="NA84" s="646"/>
      <c r="NB84" s="645"/>
      <c r="NC84" s="646"/>
      <c r="ND84" s="645"/>
      <c r="NE84" s="646"/>
      <c r="NF84" s="645"/>
      <c r="NG84" s="646"/>
      <c r="NH84" s="645"/>
      <c r="NI84" s="646"/>
      <c r="NJ84" s="645"/>
      <c r="NK84" s="646"/>
      <c r="NL84" s="645"/>
      <c r="NM84" s="646"/>
      <c r="NN84" s="645"/>
      <c r="NO84" s="646"/>
      <c r="NP84" s="645"/>
      <c r="NQ84" s="646"/>
      <c r="NR84" s="645"/>
      <c r="NS84" s="646"/>
      <c r="NT84" s="645"/>
      <c r="NU84" s="646"/>
      <c r="NV84" s="645"/>
      <c r="NW84" s="646"/>
      <c r="NX84" s="645"/>
      <c r="NY84" s="646"/>
      <c r="NZ84" s="645"/>
      <c r="OA84" s="646"/>
      <c r="OB84" s="645"/>
      <c r="OC84" s="646"/>
      <c r="OD84" s="645"/>
      <c r="OE84" s="646"/>
      <c r="OF84" s="645"/>
      <c r="OG84" s="646"/>
      <c r="OH84" s="645"/>
      <c r="OI84" s="646"/>
      <c r="OJ84" s="645"/>
      <c r="OK84" s="646"/>
      <c r="OL84" s="645"/>
      <c r="OM84" s="646"/>
      <c r="ON84" s="645"/>
      <c r="OO84" s="646"/>
      <c r="OP84" s="645"/>
      <c r="OQ84" s="646"/>
      <c r="OR84" s="645"/>
      <c r="OS84" s="646"/>
      <c r="OT84" s="645"/>
      <c r="OU84" s="646"/>
      <c r="OV84" s="645"/>
      <c r="OW84" s="646"/>
      <c r="OX84" s="645"/>
      <c r="OY84" s="646"/>
      <c r="OZ84" s="645"/>
      <c r="PA84" s="646"/>
      <c r="PB84" s="645"/>
      <c r="PC84" s="646"/>
      <c r="PD84" s="645"/>
      <c r="PE84" s="646"/>
      <c r="PF84" s="645"/>
      <c r="PG84" s="646"/>
      <c r="PH84" s="645"/>
      <c r="PI84" s="646"/>
      <c r="PJ84" s="645"/>
      <c r="PK84" s="646"/>
      <c r="PL84" s="645"/>
      <c r="PM84" s="646"/>
      <c r="PN84" s="645"/>
      <c r="PO84" s="646"/>
      <c r="PP84" s="645"/>
      <c r="PQ84" s="646"/>
      <c r="PR84" s="645"/>
      <c r="PS84" s="646"/>
      <c r="PT84" s="645"/>
      <c r="PU84" s="646"/>
      <c r="PV84" s="645"/>
      <c r="PW84" s="646"/>
      <c r="PX84" s="645"/>
      <c r="PY84" s="646"/>
      <c r="PZ84" s="645"/>
      <c r="QA84" s="646"/>
      <c r="QB84" s="645"/>
      <c r="QC84" s="646"/>
      <c r="QD84" s="645"/>
      <c r="QE84" s="646"/>
      <c r="QF84" s="645"/>
      <c r="QG84" s="646"/>
      <c r="QH84" s="645"/>
      <c r="QI84" s="646"/>
      <c r="QJ84" s="645"/>
      <c r="QK84" s="646"/>
      <c r="QL84" s="645"/>
      <c r="QM84" s="646"/>
      <c r="QN84" s="645"/>
      <c r="QO84" s="646"/>
      <c r="QP84" s="645"/>
      <c r="QQ84" s="646"/>
      <c r="QR84" s="645"/>
      <c r="QS84" s="646"/>
      <c r="QT84" s="645"/>
      <c r="QU84" s="646"/>
      <c r="QV84" s="645"/>
      <c r="QW84" s="646"/>
      <c r="QX84" s="645"/>
      <c r="QY84" s="646"/>
      <c r="QZ84" s="645"/>
      <c r="RA84" s="646"/>
      <c r="RB84" s="645"/>
      <c r="RC84" s="646"/>
      <c r="RD84" s="645"/>
      <c r="RE84" s="646"/>
      <c r="RF84" s="645"/>
      <c r="RG84" s="646"/>
      <c r="RH84" s="645"/>
      <c r="RI84" s="646"/>
      <c r="RJ84" s="645"/>
      <c r="RK84" s="646"/>
      <c r="RL84" s="645"/>
      <c r="RM84" s="646"/>
      <c r="RN84" s="645"/>
      <c r="RO84" s="646"/>
      <c r="RP84" s="645"/>
      <c r="RQ84" s="646"/>
      <c r="RR84" s="645"/>
      <c r="RS84" s="646"/>
      <c r="RT84" s="645"/>
      <c r="RU84" s="646"/>
      <c r="RV84" s="645"/>
      <c r="RW84" s="646"/>
      <c r="RX84" s="645"/>
      <c r="RY84" s="646"/>
      <c r="RZ84" s="645"/>
      <c r="SA84" s="646"/>
      <c r="SB84" s="645"/>
      <c r="SC84" s="646"/>
      <c r="SD84" s="645"/>
      <c r="SE84" s="646"/>
      <c r="SF84" s="645"/>
      <c r="SG84" s="646"/>
      <c r="SH84" s="645"/>
      <c r="SI84" s="646"/>
      <c r="SJ84" s="645"/>
      <c r="SK84" s="646"/>
      <c r="SL84" s="645"/>
      <c r="SM84" s="646"/>
      <c r="SN84" s="645"/>
      <c r="SO84" s="646"/>
      <c r="SP84" s="645"/>
      <c r="SQ84" s="646"/>
      <c r="SR84" s="645"/>
      <c r="SS84" s="646"/>
      <c r="ST84" s="645"/>
      <c r="SU84" s="646"/>
      <c r="SV84" s="645"/>
      <c r="SW84" s="646"/>
      <c r="SX84" s="645"/>
      <c r="SY84" s="646"/>
      <c r="SZ84" s="645"/>
      <c r="TA84" s="646"/>
      <c r="TB84" s="645"/>
      <c r="TC84" s="646"/>
      <c r="TD84" s="645"/>
      <c r="TE84" s="646"/>
      <c r="TF84" s="645"/>
      <c r="TG84" s="646"/>
      <c r="TH84" s="645"/>
      <c r="TI84" s="646"/>
      <c r="TJ84" s="645"/>
      <c r="TK84" s="646"/>
      <c r="TL84" s="645"/>
      <c r="TM84" s="646"/>
      <c r="TN84" s="645"/>
      <c r="TO84" s="646"/>
      <c r="TP84" s="645"/>
      <c r="TQ84" s="646"/>
      <c r="TR84" s="645"/>
      <c r="TS84" s="646"/>
      <c r="TT84" s="645"/>
      <c r="TU84" s="646"/>
      <c r="TV84" s="645"/>
      <c r="TW84" s="646"/>
      <c r="TX84" s="645"/>
      <c r="TY84" s="646"/>
      <c r="TZ84" s="645"/>
      <c r="UA84" s="646"/>
      <c r="UB84" s="645"/>
      <c r="UC84" s="646"/>
      <c r="UD84" s="645"/>
      <c r="UE84" s="646"/>
      <c r="UF84" s="645"/>
      <c r="UG84" s="646"/>
      <c r="UH84" s="645"/>
      <c r="UI84" s="646"/>
      <c r="UJ84" s="645"/>
      <c r="UK84" s="646"/>
      <c r="UL84" s="645"/>
      <c r="UM84" s="646"/>
      <c r="UN84" s="645"/>
      <c r="UO84" s="646"/>
      <c r="UP84" s="645"/>
      <c r="UQ84" s="646"/>
      <c r="UR84" s="645"/>
      <c r="US84" s="646"/>
      <c r="UT84" s="645"/>
      <c r="UU84" s="646"/>
      <c r="UV84" s="645"/>
      <c r="UW84" s="646"/>
      <c r="UX84" s="645"/>
      <c r="UY84" s="646"/>
      <c r="UZ84" s="645"/>
      <c r="VA84" s="646"/>
      <c r="VB84" s="645"/>
      <c r="VC84" s="646"/>
      <c r="VD84" s="645"/>
      <c r="VE84" s="646"/>
      <c r="VF84" s="645"/>
      <c r="VG84" s="646"/>
      <c r="VH84" s="645"/>
      <c r="VI84" s="646"/>
      <c r="VJ84" s="645"/>
      <c r="VK84" s="646"/>
      <c r="VL84" s="645"/>
      <c r="VM84" s="646"/>
      <c r="VN84" s="645"/>
      <c r="VO84" s="646"/>
      <c r="VP84" s="645"/>
      <c r="VQ84" s="646"/>
      <c r="VR84" s="645"/>
      <c r="VS84" s="646"/>
      <c r="VT84" s="645"/>
      <c r="VU84" s="646"/>
      <c r="VV84" s="645"/>
      <c r="VW84" s="646"/>
      <c r="VX84" s="645"/>
      <c r="VY84" s="646"/>
      <c r="VZ84" s="645"/>
      <c r="WA84" s="646"/>
      <c r="WB84" s="645"/>
      <c r="WC84" s="646"/>
      <c r="WD84" s="645"/>
      <c r="WE84" s="646"/>
      <c r="WF84" s="645"/>
      <c r="WG84" s="646"/>
      <c r="WH84" s="645"/>
      <c r="WI84" s="646"/>
      <c r="WJ84" s="645"/>
      <c r="WK84" s="646"/>
      <c r="WL84" s="645"/>
      <c r="WM84" s="646"/>
      <c r="WN84" s="645"/>
      <c r="WO84" s="646"/>
      <c r="WP84" s="645"/>
      <c r="WQ84" s="646"/>
      <c r="WR84" s="645"/>
      <c r="WS84" s="646"/>
      <c r="WT84" s="645"/>
      <c r="WU84" s="646"/>
      <c r="WV84" s="645"/>
      <c r="WW84" s="646"/>
      <c r="WX84" s="645"/>
      <c r="WY84" s="646"/>
      <c r="WZ84" s="645"/>
      <c r="XA84" s="646"/>
      <c r="XB84" s="645"/>
      <c r="XC84" s="646"/>
      <c r="XD84" s="645"/>
      <c r="XE84" s="646"/>
      <c r="XF84" s="645"/>
      <c r="XG84" s="646"/>
      <c r="XH84" s="645"/>
      <c r="XI84" s="646"/>
      <c r="XJ84" s="645"/>
      <c r="XK84" s="646"/>
      <c r="XL84" s="645"/>
      <c r="XM84" s="646"/>
      <c r="XN84" s="645"/>
      <c r="XO84" s="646"/>
      <c r="XP84" s="645"/>
      <c r="XQ84" s="646"/>
      <c r="XR84" s="645"/>
      <c r="XS84" s="646"/>
      <c r="XT84" s="645"/>
      <c r="XU84" s="646"/>
      <c r="XV84" s="645"/>
      <c r="XW84" s="646"/>
      <c r="XX84" s="645"/>
      <c r="XY84" s="646"/>
      <c r="XZ84" s="645"/>
      <c r="YA84" s="646"/>
      <c r="YB84" s="645"/>
      <c r="YC84" s="646"/>
      <c r="YD84" s="645"/>
      <c r="YE84" s="646"/>
      <c r="YF84" s="645"/>
      <c r="YG84" s="646"/>
      <c r="YH84" s="645"/>
      <c r="YI84" s="646"/>
      <c r="YJ84" s="645"/>
      <c r="YK84" s="646"/>
      <c r="YL84" s="645"/>
      <c r="YM84" s="646"/>
      <c r="YN84" s="645"/>
      <c r="YO84" s="646"/>
      <c r="YP84" s="645"/>
      <c r="YQ84" s="646"/>
      <c r="YR84" s="645"/>
      <c r="YS84" s="646"/>
      <c r="YT84" s="645"/>
      <c r="YU84" s="646"/>
      <c r="YV84" s="645"/>
      <c r="YW84" s="646"/>
      <c r="YX84" s="645"/>
      <c r="YY84" s="646"/>
      <c r="YZ84" s="645"/>
      <c r="ZA84" s="646"/>
      <c r="ZB84" s="645"/>
      <c r="ZC84" s="646"/>
      <c r="ZD84" s="645"/>
      <c r="ZE84" s="646"/>
      <c r="ZF84" s="645"/>
      <c r="ZG84" s="646"/>
      <c r="ZH84" s="645"/>
      <c r="ZI84" s="646"/>
      <c r="ZJ84" s="645"/>
      <c r="ZK84" s="646"/>
      <c r="ZL84" s="645"/>
      <c r="ZM84" s="646"/>
      <c r="ZN84" s="645"/>
      <c r="ZO84" s="646"/>
      <c r="ZP84" s="645"/>
      <c r="ZQ84" s="646"/>
      <c r="ZR84" s="645"/>
      <c r="ZS84" s="646"/>
      <c r="ZT84" s="645"/>
      <c r="ZU84" s="646"/>
      <c r="ZV84" s="645"/>
      <c r="ZW84" s="646"/>
      <c r="ZX84" s="645"/>
      <c r="ZY84" s="646"/>
      <c r="ZZ84" s="645"/>
      <c r="AAA84" s="646"/>
      <c r="AAB84" s="645"/>
      <c r="AAC84" s="646"/>
      <c r="AAD84" s="645"/>
      <c r="AAE84" s="646"/>
      <c r="AAF84" s="645"/>
      <c r="AAG84" s="646"/>
      <c r="AAH84" s="645"/>
      <c r="AAI84" s="646"/>
      <c r="AAJ84" s="645"/>
      <c r="AAK84" s="646"/>
      <c r="AAL84" s="645"/>
      <c r="AAM84" s="646"/>
      <c r="AAN84" s="645"/>
      <c r="AAO84" s="646"/>
      <c r="AAP84" s="645"/>
      <c r="AAQ84" s="646"/>
      <c r="AAR84" s="645"/>
      <c r="AAS84" s="646"/>
      <c r="AAT84" s="645"/>
      <c r="AAU84" s="646"/>
      <c r="AAV84" s="645"/>
      <c r="AAW84" s="646"/>
      <c r="AAX84" s="645"/>
      <c r="AAY84" s="646"/>
      <c r="AAZ84" s="645"/>
      <c r="ABA84" s="646"/>
      <c r="ABB84" s="645"/>
      <c r="ABC84" s="646"/>
      <c r="ABD84" s="645"/>
      <c r="ABE84" s="646"/>
      <c r="ABF84" s="645"/>
      <c r="ABG84" s="646"/>
      <c r="ABH84" s="645"/>
      <c r="ABI84" s="646"/>
      <c r="ABJ84" s="645"/>
      <c r="ABK84" s="646"/>
      <c r="ABL84" s="645"/>
      <c r="ABM84" s="646"/>
      <c r="ABN84" s="645"/>
      <c r="ABO84" s="646"/>
      <c r="ABP84" s="645"/>
      <c r="ABQ84" s="646"/>
      <c r="ABR84" s="645"/>
      <c r="ABS84" s="646"/>
      <c r="ABT84" s="645"/>
      <c r="ABU84" s="646"/>
      <c r="ABV84" s="645"/>
      <c r="ABW84" s="646"/>
      <c r="ABX84" s="645"/>
      <c r="ABY84" s="646"/>
      <c r="ABZ84" s="645"/>
      <c r="ACA84" s="646"/>
      <c r="ACB84" s="645"/>
      <c r="ACC84" s="646"/>
      <c r="ACD84" s="645"/>
      <c r="ACE84" s="646"/>
      <c r="ACF84" s="645"/>
      <c r="ACG84" s="646"/>
      <c r="ACH84" s="645"/>
      <c r="ACI84" s="646"/>
      <c r="ACJ84" s="645"/>
      <c r="ACK84" s="646"/>
      <c r="ACL84" s="645"/>
      <c r="ACM84" s="646"/>
      <c r="ACN84" s="645"/>
      <c r="ACO84" s="646"/>
      <c r="ACP84" s="645"/>
      <c r="ACQ84" s="646"/>
      <c r="ACR84" s="645"/>
      <c r="ACS84" s="646"/>
      <c r="ACT84" s="645"/>
      <c r="ACU84" s="646"/>
      <c r="ACV84" s="645"/>
      <c r="ACW84" s="646"/>
      <c r="ACX84" s="645"/>
      <c r="ACY84" s="646"/>
      <c r="ACZ84" s="645"/>
      <c r="ADA84" s="646"/>
      <c r="ADB84" s="645"/>
      <c r="ADC84" s="646"/>
      <c r="ADD84" s="645"/>
      <c r="ADE84" s="646"/>
      <c r="ADF84" s="645"/>
      <c r="ADG84" s="646"/>
      <c r="ADH84" s="645"/>
      <c r="ADI84" s="646"/>
      <c r="ADJ84" s="645"/>
      <c r="ADK84" s="646"/>
      <c r="ADL84" s="645"/>
      <c r="ADM84" s="646"/>
      <c r="ADN84" s="645"/>
      <c r="ADO84" s="646"/>
      <c r="ADP84" s="645"/>
      <c r="ADQ84" s="646"/>
      <c r="ADR84" s="645"/>
      <c r="ADS84" s="646"/>
      <c r="ADT84" s="645"/>
      <c r="ADU84" s="646"/>
      <c r="ADV84" s="645"/>
      <c r="ADW84" s="646"/>
      <c r="ADX84" s="645"/>
      <c r="ADY84" s="646"/>
      <c r="ADZ84" s="645"/>
      <c r="AEA84" s="646"/>
      <c r="AEB84" s="645"/>
      <c r="AEC84" s="646"/>
      <c r="AED84" s="645"/>
      <c r="AEE84" s="646"/>
      <c r="AEF84" s="645"/>
      <c r="AEG84" s="646"/>
      <c r="AEH84" s="645"/>
      <c r="AEI84" s="646"/>
      <c r="AEJ84" s="645"/>
      <c r="AEK84" s="646"/>
      <c r="AEL84" s="645"/>
      <c r="AEM84" s="646"/>
      <c r="AEN84" s="645"/>
      <c r="AEO84" s="646"/>
      <c r="AEP84" s="645"/>
      <c r="AEQ84" s="646"/>
      <c r="AER84" s="645"/>
      <c r="AES84" s="646"/>
      <c r="AET84" s="645"/>
      <c r="AEU84" s="646"/>
      <c r="AEV84" s="645"/>
      <c r="AEW84" s="646"/>
      <c r="AEX84" s="645"/>
      <c r="AEY84" s="646"/>
      <c r="AEZ84" s="645"/>
      <c r="AFA84" s="646"/>
      <c r="AFB84" s="645"/>
      <c r="AFC84" s="646"/>
      <c r="AFD84" s="645"/>
      <c r="AFE84" s="646"/>
      <c r="AFF84" s="645"/>
      <c r="AFG84" s="646"/>
      <c r="AFH84" s="645"/>
      <c r="AFI84" s="646"/>
      <c r="AFJ84" s="645"/>
      <c r="AFK84" s="646"/>
      <c r="AFL84" s="645"/>
      <c r="AFM84" s="646"/>
      <c r="AFN84" s="645"/>
      <c r="AFO84" s="646"/>
      <c r="AFP84" s="645"/>
      <c r="AFQ84" s="646"/>
      <c r="AFR84" s="645"/>
      <c r="AFS84" s="646"/>
      <c r="AFT84" s="645"/>
      <c r="AFU84" s="646"/>
      <c r="AFV84" s="645"/>
      <c r="AFW84" s="646"/>
      <c r="AFX84" s="645"/>
      <c r="AFY84" s="646"/>
      <c r="AFZ84" s="645"/>
      <c r="AGA84" s="646"/>
      <c r="AGB84" s="645"/>
      <c r="AGC84" s="646"/>
      <c r="AGD84" s="645"/>
      <c r="AGE84" s="646"/>
      <c r="AGF84" s="645"/>
      <c r="AGG84" s="646"/>
      <c r="AGH84" s="645"/>
      <c r="AGI84" s="646"/>
      <c r="AGJ84" s="645"/>
      <c r="AGK84" s="646"/>
      <c r="AGL84" s="645"/>
      <c r="AGM84" s="646"/>
      <c r="AGN84" s="645"/>
      <c r="AGO84" s="646"/>
      <c r="AGP84" s="645"/>
      <c r="AGQ84" s="646"/>
      <c r="AGR84" s="645"/>
      <c r="AGS84" s="646"/>
      <c r="AGT84" s="645"/>
      <c r="AGU84" s="646"/>
      <c r="AGV84" s="645"/>
      <c r="AGW84" s="646"/>
      <c r="AGX84" s="645"/>
      <c r="AGY84" s="646"/>
      <c r="AGZ84" s="645"/>
      <c r="AHA84" s="646"/>
      <c r="AHB84" s="645"/>
      <c r="AHC84" s="646"/>
      <c r="AHD84" s="645"/>
      <c r="AHE84" s="646"/>
      <c r="AHF84" s="645"/>
      <c r="AHG84" s="646"/>
      <c r="AHH84" s="645"/>
      <c r="AHI84" s="646"/>
      <c r="AHJ84" s="645"/>
      <c r="AHK84" s="646"/>
      <c r="AHL84" s="645"/>
      <c r="AHM84" s="646"/>
      <c r="AHN84" s="645"/>
      <c r="AHO84" s="646"/>
      <c r="AHP84" s="645"/>
      <c r="AHQ84" s="646"/>
      <c r="AHR84" s="645"/>
      <c r="AHS84" s="646"/>
      <c r="AHT84" s="645"/>
      <c r="AHU84" s="646"/>
      <c r="AHV84" s="645"/>
      <c r="AHW84" s="646"/>
      <c r="AHX84" s="645"/>
      <c r="AHY84" s="646"/>
      <c r="AHZ84" s="645"/>
      <c r="AIA84" s="646"/>
      <c r="AIB84" s="645"/>
      <c r="AIC84" s="646"/>
      <c r="AID84" s="645"/>
      <c r="AIE84" s="646"/>
      <c r="AIF84" s="645"/>
      <c r="AIG84" s="646"/>
      <c r="AIH84" s="645"/>
      <c r="AII84" s="646"/>
      <c r="AIJ84" s="645"/>
      <c r="AIK84" s="646"/>
      <c r="AIL84" s="645"/>
      <c r="AIM84" s="646"/>
      <c r="AIN84" s="645"/>
      <c r="AIO84" s="646"/>
      <c r="AIP84" s="645"/>
      <c r="AIQ84" s="645"/>
      <c r="AIR84" s="645"/>
      <c r="AIS84" s="645"/>
      <c r="AIT84" s="645"/>
      <c r="AIU84" s="645"/>
      <c r="AIV84" s="645"/>
      <c r="AIW84" s="645"/>
      <c r="AIX84" s="645"/>
      <c r="AIY84" s="645"/>
      <c r="AIZ84" s="645"/>
      <c r="AJA84" s="645"/>
      <c r="AJB84" s="645"/>
      <c r="AJC84" s="645"/>
      <c r="AJD84" s="645"/>
      <c r="AJE84" s="645"/>
      <c r="AJF84" s="645"/>
      <c r="AJG84" s="645"/>
      <c r="AJH84" s="645"/>
      <c r="AJI84" s="645"/>
      <c r="AJJ84" s="645"/>
      <c r="AJK84" s="645"/>
      <c r="AJL84" s="645"/>
      <c r="AJM84" s="645"/>
      <c r="AJN84" s="645"/>
      <c r="AJO84" s="645"/>
      <c r="AJP84" s="645"/>
      <c r="AJQ84" s="645"/>
      <c r="AJR84" s="645"/>
      <c r="AJS84" s="645"/>
      <c r="AJT84" s="645"/>
      <c r="AJU84" s="645"/>
      <c r="AJV84" s="645"/>
      <c r="AJW84" s="645"/>
      <c r="AJX84" s="645"/>
      <c r="AJY84" s="645"/>
      <c r="AJZ84" s="645"/>
      <c r="AKA84" s="645"/>
      <c r="AKB84" s="645"/>
      <c r="AKC84" s="645"/>
      <c r="AKD84" s="645"/>
      <c r="AKE84" s="645"/>
      <c r="AKF84" s="645"/>
      <c r="AKG84" s="645"/>
      <c r="AKH84" s="645"/>
      <c r="AKI84" s="645"/>
      <c r="AKJ84" s="645"/>
      <c r="AKK84" s="645"/>
      <c r="AKL84" s="645"/>
      <c r="AKM84" s="645"/>
      <c r="AKN84" s="645"/>
      <c r="AKO84" s="645"/>
      <c r="AKP84" s="645"/>
      <c r="AKQ84" s="645"/>
      <c r="AKR84" s="645"/>
      <c r="AKS84" s="645"/>
      <c r="AKT84" s="645"/>
      <c r="AKU84" s="645"/>
      <c r="AKV84" s="645"/>
      <c r="AKW84" s="645"/>
      <c r="AKX84" s="645"/>
      <c r="AKY84" s="645"/>
      <c r="AKZ84" s="645"/>
      <c r="ALA84" s="645"/>
      <c r="ALB84" s="645"/>
      <c r="ALC84" s="645"/>
      <c r="ALD84" s="645"/>
      <c r="ALE84" s="645"/>
      <c r="ALF84" s="645"/>
      <c r="ALG84" s="645"/>
      <c r="ALH84" s="645"/>
      <c r="ALI84" s="645"/>
      <c r="ALJ84" s="645"/>
      <c r="ALK84" s="645"/>
      <c r="ALL84" s="645"/>
      <c r="ALM84" s="645"/>
      <c r="ALN84" s="645"/>
      <c r="ALO84" s="645"/>
      <c r="ALP84" s="645"/>
      <c r="ALQ84" s="645"/>
      <c r="ALR84" s="645"/>
      <c r="ALS84" s="645"/>
      <c r="ALT84" s="645"/>
      <c r="ALU84" s="645"/>
      <c r="ALV84" s="645"/>
      <c r="ALW84" s="645"/>
      <c r="ALX84" s="645"/>
      <c r="ALY84" s="645"/>
      <c r="ALZ84" s="645"/>
      <c r="AMA84" s="645"/>
      <c r="AMB84" s="645"/>
      <c r="AMC84" s="645"/>
      <c r="AMD84" s="645"/>
      <c r="AME84" s="645"/>
      <c r="AMF84" s="645"/>
      <c r="AMG84" s="645"/>
      <c r="AMH84" s="645"/>
      <c r="AMI84" s="645"/>
      <c r="AMJ84" s="645"/>
    </row>
    <row r="85" spans="1:1024" s="37" customFormat="1" ht="15.75" customHeight="1" x14ac:dyDescent="0.35">
      <c r="A85" s="600"/>
      <c r="B85" s="649" t="s">
        <v>339</v>
      </c>
      <c r="C85" s="645"/>
      <c r="D85" s="646"/>
      <c r="E85" s="645"/>
      <c r="F85" s="646"/>
      <c r="G85" s="647" t="s">
        <v>243</v>
      </c>
      <c r="H85" s="643"/>
      <c r="I85" s="645"/>
      <c r="J85" s="38"/>
      <c r="K85" s="38"/>
      <c r="L85" s="39"/>
      <c r="M85" s="38"/>
      <c r="N85" s="39"/>
      <c r="O85" s="38"/>
      <c r="P85" s="39"/>
      <c r="Q85" s="38"/>
      <c r="R85" s="39"/>
      <c r="S85" s="38"/>
      <c r="T85" s="39"/>
      <c r="U85" s="38"/>
      <c r="V85" s="39"/>
      <c r="W85" s="38"/>
      <c r="X85" s="39"/>
      <c r="Y85" s="38"/>
      <c r="Z85" s="39"/>
      <c r="AA85" s="38"/>
      <c r="AB85" s="39"/>
      <c r="AC85" s="38"/>
      <c r="AD85" s="39"/>
      <c r="AE85" s="38"/>
      <c r="AF85" s="39"/>
      <c r="AG85" s="38"/>
      <c r="AH85" s="39"/>
      <c r="AI85" s="38"/>
      <c r="AJ85" s="39"/>
      <c r="AK85" s="40"/>
      <c r="AL85" s="39"/>
      <c r="AM85" s="40"/>
      <c r="AN85" s="39"/>
      <c r="AO85" s="40"/>
      <c r="AP85" s="39"/>
      <c r="AQ85" s="40"/>
      <c r="AR85" s="39"/>
      <c r="AS85" s="40"/>
      <c r="AT85" s="39"/>
      <c r="AU85" s="40"/>
      <c r="AV85" s="39"/>
      <c r="AW85" s="40"/>
      <c r="AX85" s="39"/>
      <c r="AY85" s="40"/>
      <c r="AZ85" s="39"/>
      <c r="BA85" s="40"/>
      <c r="BB85" s="39"/>
      <c r="BC85" s="40"/>
      <c r="BD85" s="39"/>
      <c r="BE85" s="40"/>
      <c r="BF85" s="39"/>
      <c r="BG85" s="40"/>
      <c r="BH85" s="39"/>
      <c r="BI85" s="40"/>
      <c r="BJ85" s="39"/>
      <c r="BK85" s="40"/>
      <c r="BL85" s="39"/>
      <c r="BM85" s="40"/>
      <c r="BN85" s="39"/>
      <c r="BO85" s="40"/>
      <c r="BP85" s="39"/>
      <c r="BQ85" s="40"/>
      <c r="BR85" s="39"/>
      <c r="BS85" s="40"/>
      <c r="BT85" s="39"/>
      <c r="BU85" s="40"/>
      <c r="BV85" s="39"/>
      <c r="BW85" s="40"/>
      <c r="BX85" s="39"/>
      <c r="BY85" s="40"/>
      <c r="BZ85" s="39"/>
      <c r="CA85" s="40"/>
      <c r="CB85" s="39"/>
      <c r="CC85" s="40"/>
      <c r="CD85" s="39"/>
      <c r="CE85" s="40"/>
      <c r="CF85" s="39"/>
      <c r="CG85" s="40"/>
      <c r="CH85" s="39"/>
      <c r="CI85" s="40"/>
      <c r="CJ85" s="39"/>
      <c r="CK85" s="40"/>
      <c r="CL85" s="39"/>
      <c r="CM85" s="40"/>
      <c r="CN85" s="39"/>
      <c r="CO85" s="40"/>
      <c r="CP85" s="39"/>
      <c r="CQ85" s="40"/>
      <c r="CR85" s="39"/>
      <c r="CS85" s="40"/>
      <c r="CT85" s="39"/>
      <c r="CU85" s="40"/>
      <c r="CV85" s="39"/>
      <c r="CW85" s="40"/>
      <c r="CX85" s="39"/>
      <c r="CY85" s="40"/>
      <c r="CZ85" s="39"/>
      <c r="DA85" s="40"/>
      <c r="DB85" s="39"/>
      <c r="DC85" s="40"/>
      <c r="DD85" s="39"/>
      <c r="DE85" s="40"/>
      <c r="DF85" s="39"/>
      <c r="DG85" s="40"/>
      <c r="DH85" s="39"/>
      <c r="DI85" s="40"/>
      <c r="DJ85" s="39"/>
      <c r="DK85" s="40"/>
      <c r="DL85" s="39"/>
      <c r="DM85" s="40"/>
      <c r="DN85" s="39"/>
      <c r="DO85" s="40"/>
      <c r="DP85" s="39"/>
      <c r="DQ85" s="40"/>
      <c r="DR85" s="39"/>
      <c r="DS85" s="40"/>
      <c r="DT85" s="39"/>
      <c r="DU85" s="40"/>
      <c r="DV85" s="39"/>
      <c r="DW85" s="40"/>
      <c r="DX85" s="39"/>
      <c r="DY85" s="40"/>
      <c r="DZ85" s="39"/>
      <c r="EA85" s="40"/>
      <c r="EB85" s="39"/>
      <c r="EC85" s="40"/>
      <c r="ED85" s="39"/>
      <c r="EE85" s="40"/>
      <c r="EF85" s="39"/>
      <c r="EG85" s="40"/>
      <c r="EH85" s="39"/>
      <c r="EI85" s="40"/>
      <c r="EJ85" s="39"/>
      <c r="EK85" s="40"/>
      <c r="EL85" s="39"/>
      <c r="EM85" s="40"/>
      <c r="EN85" s="39"/>
      <c r="EO85" s="40"/>
      <c r="EP85" s="39"/>
      <c r="EQ85" s="40"/>
      <c r="ER85" s="39"/>
      <c r="ES85" s="40"/>
      <c r="ET85" s="39"/>
      <c r="EU85" s="40"/>
      <c r="EV85" s="39"/>
      <c r="EW85" s="40"/>
      <c r="EX85" s="39"/>
      <c r="EY85" s="40"/>
      <c r="EZ85" s="39"/>
      <c r="FA85" s="40"/>
      <c r="FB85" s="39"/>
      <c r="FC85" s="40"/>
      <c r="FD85" s="39"/>
      <c r="FE85" s="40"/>
      <c r="FF85" s="39"/>
      <c r="FG85" s="40"/>
      <c r="FH85" s="39"/>
      <c r="FI85" s="40"/>
      <c r="FJ85" s="39"/>
      <c r="FK85" s="40"/>
      <c r="FL85" s="39"/>
      <c r="FM85" s="40"/>
      <c r="FN85" s="39"/>
      <c r="FO85" s="40"/>
      <c r="FP85" s="39"/>
      <c r="FQ85" s="40"/>
      <c r="FR85" s="39"/>
      <c r="FS85" s="40"/>
      <c r="FT85" s="39"/>
      <c r="FU85" s="40"/>
      <c r="FV85" s="39"/>
      <c r="FW85" s="40"/>
      <c r="FX85" s="39"/>
      <c r="FY85" s="40"/>
      <c r="FZ85" s="39"/>
      <c r="GA85" s="40"/>
      <c r="GB85" s="39"/>
      <c r="GC85" s="40"/>
      <c r="GD85" s="39"/>
      <c r="GE85" s="40"/>
      <c r="GF85" s="39"/>
      <c r="GG85" s="40"/>
      <c r="GH85" s="39"/>
      <c r="GI85" s="40"/>
      <c r="GJ85" s="39"/>
      <c r="GK85" s="40"/>
      <c r="GL85" s="39"/>
      <c r="GM85" s="40"/>
      <c r="GN85" s="39"/>
      <c r="GO85" s="40"/>
      <c r="GP85" s="39"/>
      <c r="GQ85" s="40"/>
      <c r="GR85" s="39"/>
      <c r="GS85" s="40"/>
      <c r="GT85" s="39"/>
      <c r="GU85" s="40"/>
      <c r="GV85" s="39"/>
      <c r="GW85" s="40"/>
      <c r="GX85" s="39"/>
      <c r="GY85" s="40"/>
      <c r="GZ85" s="39"/>
      <c r="HA85" s="40"/>
      <c r="HB85" s="39"/>
      <c r="HC85" s="40"/>
      <c r="HD85" s="39"/>
      <c r="HE85" s="40"/>
      <c r="HF85" s="39"/>
      <c r="HG85" s="40"/>
      <c r="HH85" s="39"/>
      <c r="HI85" s="40"/>
      <c r="HJ85" s="39"/>
      <c r="HK85" s="40"/>
      <c r="HL85" s="39"/>
      <c r="HM85" s="40"/>
      <c r="HN85" s="39"/>
      <c r="HO85" s="40"/>
      <c r="HP85" s="39"/>
      <c r="HQ85" s="40"/>
      <c r="HR85" s="39"/>
      <c r="HS85" s="40"/>
      <c r="HT85" s="39"/>
      <c r="HU85" s="40"/>
      <c r="HV85" s="39"/>
      <c r="HW85" s="40"/>
      <c r="HX85" s="39"/>
      <c r="HY85" s="40"/>
      <c r="HZ85" s="39"/>
      <c r="IA85" s="40"/>
      <c r="IB85" s="39"/>
      <c r="IC85" s="1068"/>
      <c r="ID85" s="645"/>
      <c r="IE85" s="646"/>
      <c r="IF85" s="645"/>
      <c r="IG85" s="646"/>
      <c r="IH85" s="645"/>
      <c r="II85" s="646"/>
      <c r="IJ85" s="645"/>
      <c r="IK85" s="646"/>
      <c r="IL85" s="645"/>
      <c r="IM85" s="646"/>
      <c r="IN85" s="645"/>
      <c r="IO85" s="646"/>
      <c r="IP85" s="645"/>
      <c r="IQ85" s="646"/>
      <c r="IR85" s="645"/>
      <c r="IS85" s="646"/>
      <c r="IT85" s="645"/>
      <c r="IU85" s="646"/>
      <c r="IV85" s="645"/>
      <c r="IW85" s="646"/>
      <c r="IX85" s="645"/>
      <c r="IY85" s="646"/>
      <c r="IZ85" s="645"/>
      <c r="JA85" s="646"/>
      <c r="JB85" s="645"/>
      <c r="JC85" s="646"/>
      <c r="JD85" s="645"/>
      <c r="JE85" s="646"/>
      <c r="JF85" s="645"/>
      <c r="JG85" s="646"/>
      <c r="JH85" s="645"/>
      <c r="JI85" s="646"/>
      <c r="JJ85" s="645"/>
      <c r="JK85" s="646"/>
      <c r="JL85" s="645"/>
      <c r="JM85" s="646"/>
      <c r="JN85" s="645"/>
      <c r="JO85" s="646"/>
      <c r="JP85" s="645"/>
      <c r="JQ85" s="646"/>
      <c r="JR85" s="645"/>
      <c r="JS85" s="646"/>
      <c r="JT85" s="645"/>
      <c r="JU85" s="646"/>
      <c r="JV85" s="645"/>
      <c r="JW85" s="646"/>
      <c r="JX85" s="645"/>
      <c r="JY85" s="646"/>
      <c r="JZ85" s="645"/>
      <c r="KA85" s="646"/>
      <c r="KB85" s="645"/>
      <c r="KC85" s="646"/>
      <c r="KD85" s="645"/>
      <c r="KE85" s="646"/>
      <c r="KF85" s="645"/>
      <c r="KG85" s="646"/>
      <c r="KH85" s="645"/>
      <c r="KI85" s="646"/>
      <c r="KJ85" s="645"/>
      <c r="KK85" s="646"/>
      <c r="KL85" s="645"/>
      <c r="KM85" s="646"/>
      <c r="KN85" s="645"/>
      <c r="KO85" s="646"/>
      <c r="KP85" s="645"/>
      <c r="KQ85" s="646"/>
      <c r="KR85" s="645"/>
      <c r="KS85" s="646"/>
      <c r="KT85" s="645"/>
      <c r="KU85" s="646"/>
      <c r="KV85" s="645"/>
      <c r="KW85" s="646"/>
      <c r="KX85" s="645"/>
      <c r="KY85" s="646"/>
      <c r="KZ85" s="645"/>
      <c r="LA85" s="646"/>
      <c r="LB85" s="645"/>
      <c r="LC85" s="646"/>
      <c r="LD85" s="645"/>
      <c r="LE85" s="646"/>
      <c r="LF85" s="645"/>
      <c r="LG85" s="646"/>
      <c r="LH85" s="645"/>
      <c r="LI85" s="646"/>
      <c r="LJ85" s="645"/>
      <c r="LK85" s="646"/>
      <c r="LL85" s="645"/>
      <c r="LM85" s="646"/>
      <c r="LN85" s="645"/>
      <c r="LO85" s="646"/>
      <c r="LP85" s="645"/>
      <c r="LQ85" s="646"/>
      <c r="LR85" s="645"/>
      <c r="LS85" s="646"/>
      <c r="LT85" s="645"/>
      <c r="LU85" s="646"/>
      <c r="LV85" s="645"/>
      <c r="LW85" s="646"/>
      <c r="LX85" s="645"/>
      <c r="LY85" s="646"/>
      <c r="LZ85" s="645"/>
      <c r="MA85" s="646"/>
      <c r="MB85" s="645"/>
      <c r="MC85" s="646"/>
      <c r="MD85" s="645"/>
      <c r="ME85" s="646"/>
      <c r="MF85" s="645"/>
      <c r="MG85" s="646"/>
      <c r="MH85" s="645"/>
      <c r="MI85" s="646"/>
      <c r="MJ85" s="645"/>
      <c r="MK85" s="646"/>
      <c r="ML85" s="645"/>
      <c r="MM85" s="646"/>
      <c r="MN85" s="645"/>
      <c r="MO85" s="646"/>
      <c r="MP85" s="645"/>
      <c r="MQ85" s="646"/>
      <c r="MR85" s="645"/>
      <c r="MS85" s="646"/>
      <c r="MT85" s="645"/>
      <c r="MU85" s="646"/>
      <c r="MV85" s="645"/>
      <c r="MW85" s="646"/>
      <c r="MX85" s="645"/>
      <c r="MY85" s="646"/>
      <c r="MZ85" s="645"/>
      <c r="NA85" s="646"/>
      <c r="NB85" s="645"/>
      <c r="NC85" s="646"/>
      <c r="ND85" s="645"/>
      <c r="NE85" s="646"/>
      <c r="NF85" s="645"/>
      <c r="NG85" s="646"/>
      <c r="NH85" s="645"/>
      <c r="NI85" s="646"/>
      <c r="NJ85" s="645"/>
      <c r="NK85" s="646"/>
      <c r="NL85" s="645"/>
      <c r="NM85" s="646"/>
      <c r="NN85" s="645"/>
      <c r="NO85" s="646"/>
      <c r="NP85" s="645"/>
      <c r="NQ85" s="646"/>
      <c r="NR85" s="645"/>
      <c r="NS85" s="646"/>
      <c r="NT85" s="645"/>
      <c r="NU85" s="646"/>
      <c r="NV85" s="645"/>
      <c r="NW85" s="646"/>
      <c r="NX85" s="645"/>
      <c r="NY85" s="646"/>
      <c r="NZ85" s="645"/>
      <c r="OA85" s="646"/>
      <c r="OB85" s="645"/>
      <c r="OC85" s="646"/>
      <c r="OD85" s="645"/>
      <c r="OE85" s="646"/>
      <c r="OF85" s="645"/>
      <c r="OG85" s="646"/>
      <c r="OH85" s="645"/>
      <c r="OI85" s="646"/>
      <c r="OJ85" s="645"/>
      <c r="OK85" s="646"/>
      <c r="OL85" s="645"/>
      <c r="OM85" s="646"/>
      <c r="ON85" s="645"/>
      <c r="OO85" s="646"/>
      <c r="OP85" s="645"/>
      <c r="OQ85" s="646"/>
      <c r="OR85" s="645"/>
      <c r="OS85" s="646"/>
      <c r="OT85" s="645"/>
      <c r="OU85" s="646"/>
      <c r="OV85" s="645"/>
      <c r="OW85" s="646"/>
      <c r="OX85" s="645"/>
      <c r="OY85" s="646"/>
      <c r="OZ85" s="645"/>
      <c r="PA85" s="646"/>
      <c r="PB85" s="645"/>
      <c r="PC85" s="646"/>
      <c r="PD85" s="645"/>
      <c r="PE85" s="646"/>
      <c r="PF85" s="645"/>
      <c r="PG85" s="646"/>
      <c r="PH85" s="645"/>
      <c r="PI85" s="646"/>
      <c r="PJ85" s="645"/>
      <c r="PK85" s="646"/>
      <c r="PL85" s="645"/>
      <c r="PM85" s="646"/>
      <c r="PN85" s="645"/>
      <c r="PO85" s="646"/>
      <c r="PP85" s="645"/>
      <c r="PQ85" s="646"/>
      <c r="PR85" s="645"/>
      <c r="PS85" s="646"/>
      <c r="PT85" s="645"/>
      <c r="PU85" s="646"/>
      <c r="PV85" s="645"/>
      <c r="PW85" s="646"/>
      <c r="PX85" s="645"/>
      <c r="PY85" s="646"/>
      <c r="PZ85" s="645"/>
      <c r="QA85" s="646"/>
      <c r="QB85" s="645"/>
      <c r="QC85" s="646"/>
      <c r="QD85" s="645"/>
      <c r="QE85" s="646"/>
      <c r="QF85" s="645"/>
      <c r="QG85" s="646"/>
      <c r="QH85" s="645"/>
      <c r="QI85" s="646"/>
      <c r="QJ85" s="645"/>
      <c r="QK85" s="646"/>
      <c r="QL85" s="645"/>
      <c r="QM85" s="646"/>
      <c r="QN85" s="645"/>
      <c r="QO85" s="646"/>
      <c r="QP85" s="645"/>
      <c r="QQ85" s="646"/>
      <c r="QR85" s="645"/>
      <c r="QS85" s="646"/>
      <c r="QT85" s="645"/>
      <c r="QU85" s="646"/>
      <c r="QV85" s="645"/>
      <c r="QW85" s="646"/>
      <c r="QX85" s="645"/>
      <c r="QY85" s="646"/>
      <c r="QZ85" s="645"/>
      <c r="RA85" s="646"/>
      <c r="RB85" s="645"/>
      <c r="RC85" s="646"/>
      <c r="RD85" s="645"/>
      <c r="RE85" s="646"/>
      <c r="RF85" s="645"/>
      <c r="RG85" s="646"/>
      <c r="RH85" s="645"/>
      <c r="RI85" s="646"/>
      <c r="RJ85" s="645"/>
      <c r="RK85" s="646"/>
      <c r="RL85" s="645"/>
      <c r="RM85" s="646"/>
      <c r="RN85" s="645"/>
      <c r="RO85" s="646"/>
      <c r="RP85" s="645"/>
      <c r="RQ85" s="646"/>
      <c r="RR85" s="645"/>
      <c r="RS85" s="646"/>
      <c r="RT85" s="645"/>
      <c r="RU85" s="646"/>
      <c r="RV85" s="645"/>
      <c r="RW85" s="646"/>
      <c r="RX85" s="645"/>
      <c r="RY85" s="646"/>
      <c r="RZ85" s="645"/>
      <c r="SA85" s="646"/>
      <c r="SB85" s="645"/>
      <c r="SC85" s="646"/>
      <c r="SD85" s="645"/>
      <c r="SE85" s="646"/>
      <c r="SF85" s="645"/>
      <c r="SG85" s="646"/>
      <c r="SH85" s="645"/>
      <c r="SI85" s="646"/>
      <c r="SJ85" s="645"/>
      <c r="SK85" s="646"/>
      <c r="SL85" s="645"/>
      <c r="SM85" s="646"/>
      <c r="SN85" s="645"/>
      <c r="SO85" s="646"/>
      <c r="SP85" s="645"/>
      <c r="SQ85" s="646"/>
      <c r="SR85" s="645"/>
      <c r="SS85" s="646"/>
      <c r="ST85" s="645"/>
      <c r="SU85" s="646"/>
      <c r="SV85" s="645"/>
      <c r="SW85" s="646"/>
      <c r="SX85" s="645"/>
      <c r="SY85" s="646"/>
      <c r="SZ85" s="645"/>
      <c r="TA85" s="646"/>
      <c r="TB85" s="645"/>
      <c r="TC85" s="646"/>
      <c r="TD85" s="645"/>
      <c r="TE85" s="646"/>
      <c r="TF85" s="645"/>
      <c r="TG85" s="646"/>
      <c r="TH85" s="645"/>
      <c r="TI85" s="646"/>
      <c r="TJ85" s="645"/>
      <c r="TK85" s="646"/>
      <c r="TL85" s="645"/>
      <c r="TM85" s="646"/>
      <c r="TN85" s="645"/>
      <c r="TO85" s="646"/>
      <c r="TP85" s="645"/>
      <c r="TQ85" s="646"/>
      <c r="TR85" s="645"/>
      <c r="TS85" s="646"/>
      <c r="TT85" s="645"/>
      <c r="TU85" s="646"/>
      <c r="TV85" s="645"/>
      <c r="TW85" s="646"/>
      <c r="TX85" s="645"/>
      <c r="TY85" s="646"/>
      <c r="TZ85" s="645"/>
      <c r="UA85" s="646"/>
      <c r="UB85" s="645"/>
      <c r="UC85" s="646"/>
      <c r="UD85" s="645"/>
      <c r="UE85" s="646"/>
      <c r="UF85" s="645"/>
      <c r="UG85" s="646"/>
      <c r="UH85" s="645"/>
      <c r="UI85" s="646"/>
      <c r="UJ85" s="645"/>
      <c r="UK85" s="646"/>
      <c r="UL85" s="645"/>
      <c r="UM85" s="646"/>
      <c r="UN85" s="645"/>
      <c r="UO85" s="646"/>
      <c r="UP85" s="645"/>
      <c r="UQ85" s="646"/>
      <c r="UR85" s="645"/>
      <c r="US85" s="646"/>
      <c r="UT85" s="645"/>
      <c r="UU85" s="646"/>
      <c r="UV85" s="645"/>
      <c r="UW85" s="646"/>
      <c r="UX85" s="645"/>
      <c r="UY85" s="646"/>
      <c r="UZ85" s="645"/>
      <c r="VA85" s="646"/>
      <c r="VB85" s="645"/>
      <c r="VC85" s="646"/>
      <c r="VD85" s="645"/>
      <c r="VE85" s="646"/>
      <c r="VF85" s="645"/>
      <c r="VG85" s="646"/>
      <c r="VH85" s="645"/>
      <c r="VI85" s="646"/>
      <c r="VJ85" s="645"/>
      <c r="VK85" s="646"/>
      <c r="VL85" s="645"/>
      <c r="VM85" s="646"/>
      <c r="VN85" s="645"/>
      <c r="VO85" s="646"/>
      <c r="VP85" s="645"/>
      <c r="VQ85" s="646"/>
      <c r="VR85" s="645"/>
      <c r="VS85" s="646"/>
      <c r="VT85" s="645"/>
      <c r="VU85" s="646"/>
      <c r="VV85" s="645"/>
      <c r="VW85" s="646"/>
      <c r="VX85" s="645"/>
      <c r="VY85" s="646"/>
      <c r="VZ85" s="645"/>
      <c r="WA85" s="646"/>
      <c r="WB85" s="645"/>
      <c r="WC85" s="646"/>
      <c r="WD85" s="645"/>
      <c r="WE85" s="646"/>
      <c r="WF85" s="645"/>
      <c r="WG85" s="646"/>
      <c r="WH85" s="645"/>
      <c r="WI85" s="646"/>
      <c r="WJ85" s="645"/>
      <c r="WK85" s="646"/>
      <c r="WL85" s="645"/>
      <c r="WM85" s="646"/>
      <c r="WN85" s="645"/>
      <c r="WO85" s="646"/>
      <c r="WP85" s="645"/>
      <c r="WQ85" s="646"/>
      <c r="WR85" s="645"/>
      <c r="WS85" s="646"/>
      <c r="WT85" s="645"/>
      <c r="WU85" s="646"/>
      <c r="WV85" s="645"/>
      <c r="WW85" s="646"/>
      <c r="WX85" s="645"/>
      <c r="WY85" s="646"/>
      <c r="WZ85" s="645"/>
      <c r="XA85" s="646"/>
      <c r="XB85" s="645"/>
      <c r="XC85" s="646"/>
      <c r="XD85" s="645"/>
      <c r="XE85" s="646"/>
      <c r="XF85" s="645"/>
      <c r="XG85" s="646"/>
      <c r="XH85" s="645"/>
      <c r="XI85" s="646"/>
      <c r="XJ85" s="645"/>
      <c r="XK85" s="646"/>
      <c r="XL85" s="645"/>
      <c r="XM85" s="646"/>
      <c r="XN85" s="645"/>
      <c r="XO85" s="646"/>
      <c r="XP85" s="645"/>
      <c r="XQ85" s="646"/>
      <c r="XR85" s="645"/>
      <c r="XS85" s="646"/>
      <c r="XT85" s="645"/>
      <c r="XU85" s="646"/>
      <c r="XV85" s="645"/>
      <c r="XW85" s="646"/>
      <c r="XX85" s="645"/>
      <c r="XY85" s="646"/>
      <c r="XZ85" s="645"/>
      <c r="YA85" s="646"/>
      <c r="YB85" s="645"/>
      <c r="YC85" s="646"/>
      <c r="YD85" s="645"/>
      <c r="YE85" s="646"/>
      <c r="YF85" s="645"/>
      <c r="YG85" s="646"/>
      <c r="YH85" s="645"/>
      <c r="YI85" s="646"/>
      <c r="YJ85" s="645"/>
      <c r="YK85" s="646"/>
      <c r="YL85" s="645"/>
      <c r="YM85" s="646"/>
      <c r="YN85" s="645"/>
      <c r="YO85" s="646"/>
      <c r="YP85" s="645"/>
      <c r="YQ85" s="646"/>
      <c r="YR85" s="645"/>
      <c r="YS85" s="646"/>
      <c r="YT85" s="645"/>
      <c r="YU85" s="646"/>
      <c r="YV85" s="645"/>
      <c r="YW85" s="646"/>
      <c r="YX85" s="645"/>
      <c r="YY85" s="646"/>
      <c r="YZ85" s="645"/>
      <c r="ZA85" s="646"/>
      <c r="ZB85" s="645"/>
      <c r="ZC85" s="646"/>
      <c r="ZD85" s="645"/>
      <c r="ZE85" s="646"/>
      <c r="ZF85" s="645"/>
      <c r="ZG85" s="646"/>
      <c r="ZH85" s="645"/>
      <c r="ZI85" s="646"/>
      <c r="ZJ85" s="645"/>
      <c r="ZK85" s="646"/>
      <c r="ZL85" s="645"/>
      <c r="ZM85" s="646"/>
      <c r="ZN85" s="645"/>
      <c r="ZO85" s="646"/>
      <c r="ZP85" s="645"/>
      <c r="ZQ85" s="646"/>
      <c r="ZR85" s="645"/>
      <c r="ZS85" s="646"/>
      <c r="ZT85" s="645"/>
      <c r="ZU85" s="646"/>
      <c r="ZV85" s="645"/>
      <c r="ZW85" s="646"/>
      <c r="ZX85" s="645"/>
      <c r="ZY85" s="646"/>
      <c r="ZZ85" s="645"/>
      <c r="AAA85" s="646"/>
      <c r="AAB85" s="645"/>
      <c r="AAC85" s="646"/>
      <c r="AAD85" s="645"/>
      <c r="AAE85" s="646"/>
      <c r="AAF85" s="645"/>
      <c r="AAG85" s="646"/>
      <c r="AAH85" s="645"/>
      <c r="AAI85" s="646"/>
      <c r="AAJ85" s="645"/>
      <c r="AAK85" s="646"/>
      <c r="AAL85" s="645"/>
      <c r="AAM85" s="646"/>
      <c r="AAN85" s="645"/>
      <c r="AAO85" s="646"/>
      <c r="AAP85" s="645"/>
      <c r="AAQ85" s="646"/>
      <c r="AAR85" s="645"/>
      <c r="AAS85" s="646"/>
      <c r="AAT85" s="645"/>
      <c r="AAU85" s="646"/>
      <c r="AAV85" s="645"/>
      <c r="AAW85" s="646"/>
      <c r="AAX85" s="645"/>
      <c r="AAY85" s="646"/>
      <c r="AAZ85" s="645"/>
      <c r="ABA85" s="646"/>
      <c r="ABB85" s="645"/>
      <c r="ABC85" s="646"/>
      <c r="ABD85" s="645"/>
      <c r="ABE85" s="646"/>
      <c r="ABF85" s="645"/>
      <c r="ABG85" s="646"/>
      <c r="ABH85" s="645"/>
      <c r="ABI85" s="646"/>
      <c r="ABJ85" s="645"/>
      <c r="ABK85" s="646"/>
      <c r="ABL85" s="645"/>
      <c r="ABM85" s="646"/>
      <c r="ABN85" s="645"/>
      <c r="ABO85" s="646"/>
      <c r="ABP85" s="645"/>
      <c r="ABQ85" s="646"/>
      <c r="ABR85" s="645"/>
      <c r="ABS85" s="646"/>
      <c r="ABT85" s="645"/>
      <c r="ABU85" s="646"/>
      <c r="ABV85" s="645"/>
      <c r="ABW85" s="646"/>
      <c r="ABX85" s="645"/>
      <c r="ABY85" s="646"/>
      <c r="ABZ85" s="645"/>
      <c r="ACA85" s="646"/>
      <c r="ACB85" s="645"/>
      <c r="ACC85" s="646"/>
      <c r="ACD85" s="645"/>
      <c r="ACE85" s="646"/>
      <c r="ACF85" s="645"/>
      <c r="ACG85" s="646"/>
      <c r="ACH85" s="645"/>
      <c r="ACI85" s="646"/>
      <c r="ACJ85" s="645"/>
      <c r="ACK85" s="646"/>
      <c r="ACL85" s="645"/>
      <c r="ACM85" s="646"/>
      <c r="ACN85" s="645"/>
      <c r="ACO85" s="646"/>
      <c r="ACP85" s="645"/>
      <c r="ACQ85" s="646"/>
      <c r="ACR85" s="645"/>
      <c r="ACS85" s="646"/>
      <c r="ACT85" s="645"/>
      <c r="ACU85" s="646"/>
      <c r="ACV85" s="645"/>
      <c r="ACW85" s="646"/>
      <c r="ACX85" s="645"/>
      <c r="ACY85" s="646"/>
      <c r="ACZ85" s="645"/>
      <c r="ADA85" s="646"/>
      <c r="ADB85" s="645"/>
      <c r="ADC85" s="646"/>
      <c r="ADD85" s="645"/>
      <c r="ADE85" s="646"/>
      <c r="ADF85" s="645"/>
      <c r="ADG85" s="646"/>
      <c r="ADH85" s="645"/>
      <c r="ADI85" s="646"/>
      <c r="ADJ85" s="645"/>
      <c r="ADK85" s="646"/>
      <c r="ADL85" s="645"/>
      <c r="ADM85" s="646"/>
      <c r="ADN85" s="645"/>
      <c r="ADO85" s="646"/>
      <c r="ADP85" s="645"/>
      <c r="ADQ85" s="646"/>
      <c r="ADR85" s="645"/>
      <c r="ADS85" s="646"/>
      <c r="ADT85" s="645"/>
      <c r="ADU85" s="646"/>
      <c r="ADV85" s="645"/>
      <c r="ADW85" s="646"/>
      <c r="ADX85" s="645"/>
      <c r="ADY85" s="646"/>
      <c r="ADZ85" s="645"/>
      <c r="AEA85" s="646"/>
      <c r="AEB85" s="645"/>
      <c r="AEC85" s="646"/>
      <c r="AED85" s="645"/>
      <c r="AEE85" s="646"/>
      <c r="AEF85" s="645"/>
      <c r="AEG85" s="646"/>
      <c r="AEH85" s="645"/>
      <c r="AEI85" s="646"/>
      <c r="AEJ85" s="645"/>
      <c r="AEK85" s="646"/>
      <c r="AEL85" s="645"/>
      <c r="AEM85" s="646"/>
      <c r="AEN85" s="645"/>
      <c r="AEO85" s="646"/>
      <c r="AEP85" s="645"/>
      <c r="AEQ85" s="646"/>
      <c r="AER85" s="645"/>
      <c r="AES85" s="646"/>
      <c r="AET85" s="645"/>
      <c r="AEU85" s="646"/>
      <c r="AEV85" s="645"/>
      <c r="AEW85" s="646"/>
      <c r="AEX85" s="645"/>
      <c r="AEY85" s="646"/>
      <c r="AEZ85" s="645"/>
      <c r="AFA85" s="646"/>
      <c r="AFB85" s="645"/>
      <c r="AFC85" s="646"/>
      <c r="AFD85" s="645"/>
      <c r="AFE85" s="646"/>
      <c r="AFF85" s="645"/>
      <c r="AFG85" s="646"/>
      <c r="AFH85" s="645"/>
      <c r="AFI85" s="646"/>
      <c r="AFJ85" s="645"/>
      <c r="AFK85" s="646"/>
      <c r="AFL85" s="645"/>
      <c r="AFM85" s="646"/>
      <c r="AFN85" s="645"/>
      <c r="AFO85" s="646"/>
      <c r="AFP85" s="645"/>
      <c r="AFQ85" s="646"/>
      <c r="AFR85" s="645"/>
      <c r="AFS85" s="646"/>
      <c r="AFT85" s="645"/>
      <c r="AFU85" s="646"/>
      <c r="AFV85" s="645"/>
      <c r="AFW85" s="646"/>
      <c r="AFX85" s="645"/>
      <c r="AFY85" s="646"/>
      <c r="AFZ85" s="645"/>
      <c r="AGA85" s="646"/>
      <c r="AGB85" s="645"/>
      <c r="AGC85" s="646"/>
      <c r="AGD85" s="645"/>
      <c r="AGE85" s="646"/>
      <c r="AGF85" s="645"/>
      <c r="AGG85" s="646"/>
      <c r="AGH85" s="645"/>
      <c r="AGI85" s="646"/>
      <c r="AGJ85" s="645"/>
      <c r="AGK85" s="646"/>
      <c r="AGL85" s="645"/>
      <c r="AGM85" s="646"/>
      <c r="AGN85" s="645"/>
      <c r="AGO85" s="646"/>
      <c r="AGP85" s="645"/>
      <c r="AGQ85" s="646"/>
      <c r="AGR85" s="645"/>
      <c r="AGS85" s="646"/>
      <c r="AGT85" s="645"/>
      <c r="AGU85" s="646"/>
      <c r="AGV85" s="645"/>
      <c r="AGW85" s="646"/>
      <c r="AGX85" s="645"/>
      <c r="AGY85" s="646"/>
      <c r="AGZ85" s="645"/>
      <c r="AHA85" s="646"/>
      <c r="AHB85" s="645"/>
      <c r="AHC85" s="646"/>
      <c r="AHD85" s="645"/>
      <c r="AHE85" s="646"/>
      <c r="AHF85" s="645"/>
      <c r="AHG85" s="646"/>
      <c r="AHH85" s="645"/>
      <c r="AHI85" s="646"/>
      <c r="AHJ85" s="645"/>
      <c r="AHK85" s="646"/>
      <c r="AHL85" s="645"/>
      <c r="AHM85" s="646"/>
      <c r="AHN85" s="645"/>
      <c r="AHO85" s="646"/>
      <c r="AHP85" s="645"/>
      <c r="AHQ85" s="646"/>
      <c r="AHR85" s="645"/>
      <c r="AHS85" s="646"/>
      <c r="AHT85" s="645"/>
      <c r="AHU85" s="646"/>
      <c r="AHV85" s="645"/>
      <c r="AHW85" s="646"/>
      <c r="AHX85" s="645"/>
      <c r="AHY85" s="646"/>
      <c r="AHZ85" s="645"/>
      <c r="AIA85" s="646"/>
      <c r="AIB85" s="645"/>
      <c r="AIC85" s="646"/>
      <c r="AID85" s="645"/>
      <c r="AIE85" s="646"/>
      <c r="AIF85" s="645"/>
      <c r="AIG85" s="646"/>
      <c r="AIH85" s="645"/>
      <c r="AII85" s="646"/>
      <c r="AIJ85" s="645"/>
      <c r="AIK85" s="646"/>
      <c r="AIL85" s="645"/>
      <c r="AIM85" s="646"/>
      <c r="AIN85" s="645"/>
      <c r="AIO85" s="646"/>
      <c r="AIP85" s="645"/>
      <c r="AIQ85" s="645"/>
      <c r="AIR85" s="645"/>
      <c r="AIS85" s="645"/>
      <c r="AIT85" s="645"/>
      <c r="AIU85" s="645"/>
      <c r="AIV85" s="645"/>
      <c r="AIW85" s="645"/>
      <c r="AIX85" s="645"/>
      <c r="AIY85" s="645"/>
      <c r="AIZ85" s="645"/>
      <c r="AJA85" s="645"/>
      <c r="AJB85" s="645"/>
      <c r="AJC85" s="645"/>
      <c r="AJD85" s="645"/>
      <c r="AJE85" s="645"/>
      <c r="AJF85" s="645"/>
      <c r="AJG85" s="645"/>
      <c r="AJH85" s="645"/>
      <c r="AJI85" s="645"/>
      <c r="AJJ85" s="645"/>
      <c r="AJK85" s="645"/>
      <c r="AJL85" s="645"/>
      <c r="AJM85" s="645"/>
      <c r="AJN85" s="645"/>
      <c r="AJO85" s="645"/>
      <c r="AJP85" s="645"/>
      <c r="AJQ85" s="645"/>
      <c r="AJR85" s="645"/>
      <c r="AJS85" s="645"/>
      <c r="AJT85" s="645"/>
      <c r="AJU85" s="645"/>
      <c r="AJV85" s="645"/>
      <c r="AJW85" s="645"/>
      <c r="AJX85" s="645"/>
      <c r="AJY85" s="645"/>
      <c r="AJZ85" s="645"/>
      <c r="AKA85" s="645"/>
      <c r="AKB85" s="645"/>
      <c r="AKC85" s="645"/>
      <c r="AKD85" s="645"/>
      <c r="AKE85" s="645"/>
      <c r="AKF85" s="645"/>
      <c r="AKG85" s="645"/>
      <c r="AKH85" s="645"/>
      <c r="AKI85" s="645"/>
      <c r="AKJ85" s="645"/>
      <c r="AKK85" s="645"/>
      <c r="AKL85" s="645"/>
      <c r="AKM85" s="645"/>
      <c r="AKN85" s="645"/>
      <c r="AKO85" s="645"/>
      <c r="AKP85" s="645"/>
      <c r="AKQ85" s="645"/>
      <c r="AKR85" s="645"/>
      <c r="AKS85" s="645"/>
      <c r="AKT85" s="645"/>
      <c r="AKU85" s="645"/>
      <c r="AKV85" s="645"/>
      <c r="AKW85" s="645"/>
      <c r="AKX85" s="645"/>
      <c r="AKY85" s="645"/>
      <c r="AKZ85" s="645"/>
      <c r="ALA85" s="645"/>
      <c r="ALB85" s="645"/>
      <c r="ALC85" s="645"/>
      <c r="ALD85" s="645"/>
      <c r="ALE85" s="645"/>
      <c r="ALF85" s="645"/>
      <c r="ALG85" s="645"/>
      <c r="ALH85" s="645"/>
      <c r="ALI85" s="645"/>
      <c r="ALJ85" s="645"/>
      <c r="ALK85" s="645"/>
      <c r="ALL85" s="645"/>
      <c r="ALM85" s="645"/>
      <c r="ALN85" s="645"/>
      <c r="ALO85" s="645"/>
      <c r="ALP85" s="645"/>
      <c r="ALQ85" s="645"/>
      <c r="ALR85" s="645"/>
      <c r="ALS85" s="645"/>
      <c r="ALT85" s="645"/>
      <c r="ALU85" s="645"/>
      <c r="ALV85" s="645"/>
      <c r="ALW85" s="645"/>
      <c r="ALX85" s="645"/>
      <c r="ALY85" s="645"/>
      <c r="ALZ85" s="645"/>
      <c r="AMA85" s="645"/>
      <c r="AMB85" s="645"/>
      <c r="AMC85" s="645"/>
      <c r="AMD85" s="645"/>
      <c r="AME85" s="645"/>
      <c r="AMF85" s="645"/>
      <c r="AMG85" s="645"/>
      <c r="AMH85" s="645"/>
      <c r="AMI85" s="645"/>
      <c r="AMJ85" s="645"/>
    </row>
    <row r="86" spans="1:1024" s="37" customFormat="1" ht="15.75" customHeight="1" x14ac:dyDescent="0.35">
      <c r="A86" s="600"/>
      <c r="B86" s="649" t="s">
        <v>340</v>
      </c>
      <c r="C86" s="645"/>
      <c r="D86" s="646"/>
      <c r="E86" s="645"/>
      <c r="F86" s="646"/>
      <c r="G86" s="647" t="s">
        <v>243</v>
      </c>
      <c r="H86" s="643"/>
      <c r="I86" s="645"/>
      <c r="J86" s="38"/>
      <c r="K86" s="38"/>
      <c r="L86" s="39"/>
      <c r="M86" s="38"/>
      <c r="N86" s="39"/>
      <c r="O86" s="38"/>
      <c r="P86" s="39"/>
      <c r="Q86" s="38"/>
      <c r="R86" s="39"/>
      <c r="S86" s="38"/>
      <c r="T86" s="39"/>
      <c r="U86" s="38"/>
      <c r="V86" s="39"/>
      <c r="W86" s="38"/>
      <c r="X86" s="39"/>
      <c r="Y86" s="38"/>
      <c r="Z86" s="39"/>
      <c r="AA86" s="38"/>
      <c r="AB86" s="39"/>
      <c r="AC86" s="38"/>
      <c r="AD86" s="39"/>
      <c r="AE86" s="38"/>
      <c r="AF86" s="39"/>
      <c r="AG86" s="38"/>
      <c r="AH86" s="39"/>
      <c r="AI86" s="38"/>
      <c r="AJ86" s="39"/>
      <c r="AK86" s="40"/>
      <c r="AL86" s="39"/>
      <c r="AM86" s="40"/>
      <c r="AN86" s="39"/>
      <c r="AO86" s="40"/>
      <c r="AP86" s="39"/>
      <c r="AQ86" s="40"/>
      <c r="AR86" s="39"/>
      <c r="AS86" s="40"/>
      <c r="AT86" s="39"/>
      <c r="AU86" s="40"/>
      <c r="AV86" s="39"/>
      <c r="AW86" s="40"/>
      <c r="AX86" s="39"/>
      <c r="AY86" s="40"/>
      <c r="AZ86" s="39"/>
      <c r="BA86" s="40"/>
      <c r="BB86" s="39"/>
      <c r="BC86" s="40"/>
      <c r="BD86" s="39"/>
      <c r="BE86" s="40"/>
      <c r="BF86" s="39"/>
      <c r="BG86" s="40"/>
      <c r="BH86" s="39"/>
      <c r="BI86" s="40"/>
      <c r="BJ86" s="39"/>
      <c r="BK86" s="40"/>
      <c r="BL86" s="39"/>
      <c r="BM86" s="40"/>
      <c r="BN86" s="39"/>
      <c r="BO86" s="40"/>
      <c r="BP86" s="39"/>
      <c r="BQ86" s="40"/>
      <c r="BR86" s="39"/>
      <c r="BS86" s="40"/>
      <c r="BT86" s="39"/>
      <c r="BU86" s="40"/>
      <c r="BV86" s="39"/>
      <c r="BW86" s="40"/>
      <c r="BX86" s="39"/>
      <c r="BY86" s="40"/>
      <c r="BZ86" s="39"/>
      <c r="CA86" s="40"/>
      <c r="CB86" s="39"/>
      <c r="CC86" s="40"/>
      <c r="CD86" s="39"/>
      <c r="CE86" s="40"/>
      <c r="CF86" s="39"/>
      <c r="CG86" s="40"/>
      <c r="CH86" s="39"/>
      <c r="CI86" s="40"/>
      <c r="CJ86" s="39"/>
      <c r="CK86" s="40"/>
      <c r="CL86" s="39"/>
      <c r="CM86" s="40"/>
      <c r="CN86" s="39"/>
      <c r="CO86" s="40"/>
      <c r="CP86" s="39"/>
      <c r="CQ86" s="40"/>
      <c r="CR86" s="39"/>
      <c r="CS86" s="40"/>
      <c r="CT86" s="39"/>
      <c r="CU86" s="40"/>
      <c r="CV86" s="39"/>
      <c r="CW86" s="40"/>
      <c r="CX86" s="39"/>
      <c r="CY86" s="40"/>
      <c r="CZ86" s="39"/>
      <c r="DA86" s="40"/>
      <c r="DB86" s="39"/>
      <c r="DC86" s="40"/>
      <c r="DD86" s="39"/>
      <c r="DE86" s="40"/>
      <c r="DF86" s="39"/>
      <c r="DG86" s="40"/>
      <c r="DH86" s="39"/>
      <c r="DI86" s="40"/>
      <c r="DJ86" s="39"/>
      <c r="DK86" s="40"/>
      <c r="DL86" s="39"/>
      <c r="DM86" s="40"/>
      <c r="DN86" s="39"/>
      <c r="DO86" s="40"/>
      <c r="DP86" s="39"/>
      <c r="DQ86" s="40"/>
      <c r="DR86" s="39"/>
      <c r="DS86" s="40"/>
      <c r="DT86" s="39"/>
      <c r="DU86" s="40"/>
      <c r="DV86" s="39"/>
      <c r="DW86" s="40"/>
      <c r="DX86" s="39"/>
      <c r="DY86" s="40"/>
      <c r="DZ86" s="39"/>
      <c r="EA86" s="40"/>
      <c r="EB86" s="39"/>
      <c r="EC86" s="40"/>
      <c r="ED86" s="39"/>
      <c r="EE86" s="40"/>
      <c r="EF86" s="39"/>
      <c r="EG86" s="40"/>
      <c r="EH86" s="39"/>
      <c r="EI86" s="40"/>
      <c r="EJ86" s="39"/>
      <c r="EK86" s="40"/>
      <c r="EL86" s="39"/>
      <c r="EM86" s="40"/>
      <c r="EN86" s="39"/>
      <c r="EO86" s="40"/>
      <c r="EP86" s="39"/>
      <c r="EQ86" s="40"/>
      <c r="ER86" s="39"/>
      <c r="ES86" s="40"/>
      <c r="ET86" s="39"/>
      <c r="EU86" s="40"/>
      <c r="EV86" s="39"/>
      <c r="EW86" s="40"/>
      <c r="EX86" s="39"/>
      <c r="EY86" s="40"/>
      <c r="EZ86" s="39"/>
      <c r="FA86" s="40"/>
      <c r="FB86" s="39"/>
      <c r="FC86" s="40"/>
      <c r="FD86" s="39"/>
      <c r="FE86" s="40"/>
      <c r="FF86" s="39"/>
      <c r="FG86" s="40"/>
      <c r="FH86" s="39"/>
      <c r="FI86" s="40"/>
      <c r="FJ86" s="39"/>
      <c r="FK86" s="40"/>
      <c r="FL86" s="39"/>
      <c r="FM86" s="40"/>
      <c r="FN86" s="39"/>
      <c r="FO86" s="40"/>
      <c r="FP86" s="39"/>
      <c r="FQ86" s="40"/>
      <c r="FR86" s="39"/>
      <c r="FS86" s="40"/>
      <c r="FT86" s="39"/>
      <c r="FU86" s="40"/>
      <c r="FV86" s="39"/>
      <c r="FW86" s="40"/>
      <c r="FX86" s="39"/>
      <c r="FY86" s="40"/>
      <c r="FZ86" s="39"/>
      <c r="GA86" s="40"/>
      <c r="GB86" s="39"/>
      <c r="GC86" s="40"/>
      <c r="GD86" s="39"/>
      <c r="GE86" s="40"/>
      <c r="GF86" s="39"/>
      <c r="GG86" s="40"/>
      <c r="GH86" s="39"/>
      <c r="GI86" s="40"/>
      <c r="GJ86" s="39"/>
      <c r="GK86" s="40"/>
      <c r="GL86" s="39"/>
      <c r="GM86" s="40"/>
      <c r="GN86" s="39"/>
      <c r="GO86" s="40"/>
      <c r="GP86" s="39"/>
      <c r="GQ86" s="40"/>
      <c r="GR86" s="39"/>
      <c r="GS86" s="40"/>
      <c r="GT86" s="39"/>
      <c r="GU86" s="40"/>
      <c r="GV86" s="39"/>
      <c r="GW86" s="40"/>
      <c r="GX86" s="39"/>
      <c r="GY86" s="40"/>
      <c r="GZ86" s="39"/>
      <c r="HA86" s="40"/>
      <c r="HB86" s="39"/>
      <c r="HC86" s="40"/>
      <c r="HD86" s="39"/>
      <c r="HE86" s="40"/>
      <c r="HF86" s="39"/>
      <c r="HG86" s="40"/>
      <c r="HH86" s="39"/>
      <c r="HI86" s="40"/>
      <c r="HJ86" s="39"/>
      <c r="HK86" s="40"/>
      <c r="HL86" s="39"/>
      <c r="HM86" s="40"/>
      <c r="HN86" s="39"/>
      <c r="HO86" s="40"/>
      <c r="HP86" s="39"/>
      <c r="HQ86" s="40"/>
      <c r="HR86" s="39"/>
      <c r="HS86" s="40"/>
      <c r="HT86" s="39"/>
      <c r="HU86" s="40"/>
      <c r="HV86" s="39"/>
      <c r="HW86" s="40"/>
      <c r="HX86" s="39"/>
      <c r="HY86" s="40"/>
      <c r="HZ86" s="39"/>
      <c r="IA86" s="40"/>
      <c r="IB86" s="39"/>
      <c r="IC86" s="1068"/>
      <c r="ID86" s="645"/>
      <c r="IE86" s="646"/>
      <c r="IF86" s="645"/>
      <c r="IG86" s="646"/>
      <c r="IH86" s="645"/>
      <c r="II86" s="646"/>
      <c r="IJ86" s="645"/>
      <c r="IK86" s="646"/>
      <c r="IL86" s="645"/>
      <c r="IM86" s="646"/>
      <c r="IN86" s="645"/>
      <c r="IO86" s="646"/>
      <c r="IP86" s="645"/>
      <c r="IQ86" s="646"/>
      <c r="IR86" s="645"/>
      <c r="IS86" s="646"/>
      <c r="IT86" s="645"/>
      <c r="IU86" s="646"/>
      <c r="IV86" s="645"/>
      <c r="IW86" s="646"/>
      <c r="IX86" s="645"/>
      <c r="IY86" s="646"/>
      <c r="IZ86" s="645"/>
      <c r="JA86" s="646"/>
      <c r="JB86" s="645"/>
      <c r="JC86" s="646"/>
      <c r="JD86" s="645"/>
      <c r="JE86" s="646"/>
      <c r="JF86" s="645"/>
      <c r="JG86" s="646"/>
      <c r="JH86" s="645"/>
      <c r="JI86" s="646"/>
      <c r="JJ86" s="645"/>
      <c r="JK86" s="646"/>
      <c r="JL86" s="645"/>
      <c r="JM86" s="646"/>
      <c r="JN86" s="645"/>
      <c r="JO86" s="646"/>
      <c r="JP86" s="645"/>
      <c r="JQ86" s="646"/>
      <c r="JR86" s="645"/>
      <c r="JS86" s="646"/>
      <c r="JT86" s="645"/>
      <c r="JU86" s="646"/>
      <c r="JV86" s="645"/>
      <c r="JW86" s="646"/>
      <c r="JX86" s="645"/>
      <c r="JY86" s="646"/>
      <c r="JZ86" s="645"/>
      <c r="KA86" s="646"/>
      <c r="KB86" s="645"/>
      <c r="KC86" s="646"/>
      <c r="KD86" s="645"/>
      <c r="KE86" s="646"/>
      <c r="KF86" s="645"/>
      <c r="KG86" s="646"/>
      <c r="KH86" s="645"/>
      <c r="KI86" s="646"/>
      <c r="KJ86" s="645"/>
      <c r="KK86" s="646"/>
      <c r="KL86" s="645"/>
      <c r="KM86" s="646"/>
      <c r="KN86" s="645"/>
      <c r="KO86" s="646"/>
      <c r="KP86" s="645"/>
      <c r="KQ86" s="646"/>
      <c r="KR86" s="645"/>
      <c r="KS86" s="646"/>
      <c r="KT86" s="645"/>
      <c r="KU86" s="646"/>
      <c r="KV86" s="645"/>
      <c r="KW86" s="646"/>
      <c r="KX86" s="645"/>
      <c r="KY86" s="646"/>
      <c r="KZ86" s="645"/>
      <c r="LA86" s="646"/>
      <c r="LB86" s="645"/>
      <c r="LC86" s="646"/>
      <c r="LD86" s="645"/>
      <c r="LE86" s="646"/>
      <c r="LF86" s="645"/>
      <c r="LG86" s="646"/>
      <c r="LH86" s="645"/>
      <c r="LI86" s="646"/>
      <c r="LJ86" s="645"/>
      <c r="LK86" s="646"/>
      <c r="LL86" s="645"/>
      <c r="LM86" s="646"/>
      <c r="LN86" s="645"/>
      <c r="LO86" s="646"/>
      <c r="LP86" s="645"/>
      <c r="LQ86" s="646"/>
      <c r="LR86" s="645"/>
      <c r="LS86" s="646"/>
      <c r="LT86" s="645"/>
      <c r="LU86" s="646"/>
      <c r="LV86" s="645"/>
      <c r="LW86" s="646"/>
      <c r="LX86" s="645"/>
      <c r="LY86" s="646"/>
      <c r="LZ86" s="645"/>
      <c r="MA86" s="646"/>
      <c r="MB86" s="645"/>
      <c r="MC86" s="646"/>
      <c r="MD86" s="645"/>
      <c r="ME86" s="646"/>
      <c r="MF86" s="645"/>
      <c r="MG86" s="646"/>
      <c r="MH86" s="645"/>
      <c r="MI86" s="646"/>
      <c r="MJ86" s="645"/>
      <c r="MK86" s="646"/>
      <c r="ML86" s="645"/>
      <c r="MM86" s="646"/>
      <c r="MN86" s="645"/>
      <c r="MO86" s="646"/>
      <c r="MP86" s="645"/>
      <c r="MQ86" s="646"/>
      <c r="MR86" s="645"/>
      <c r="MS86" s="646"/>
      <c r="MT86" s="645"/>
      <c r="MU86" s="646"/>
      <c r="MV86" s="645"/>
      <c r="MW86" s="646"/>
      <c r="MX86" s="645"/>
      <c r="MY86" s="646"/>
      <c r="MZ86" s="645"/>
      <c r="NA86" s="646"/>
      <c r="NB86" s="645"/>
      <c r="NC86" s="646"/>
      <c r="ND86" s="645"/>
      <c r="NE86" s="646"/>
      <c r="NF86" s="645"/>
      <c r="NG86" s="646"/>
      <c r="NH86" s="645"/>
      <c r="NI86" s="646"/>
      <c r="NJ86" s="645"/>
      <c r="NK86" s="646"/>
      <c r="NL86" s="645"/>
      <c r="NM86" s="646"/>
      <c r="NN86" s="645"/>
      <c r="NO86" s="646"/>
      <c r="NP86" s="645"/>
      <c r="NQ86" s="646"/>
      <c r="NR86" s="645"/>
      <c r="NS86" s="646"/>
      <c r="NT86" s="645"/>
      <c r="NU86" s="646"/>
      <c r="NV86" s="645"/>
      <c r="NW86" s="646"/>
      <c r="NX86" s="645"/>
      <c r="NY86" s="646"/>
      <c r="NZ86" s="645"/>
      <c r="OA86" s="646"/>
      <c r="OB86" s="645"/>
      <c r="OC86" s="646"/>
      <c r="OD86" s="645"/>
      <c r="OE86" s="646"/>
      <c r="OF86" s="645"/>
      <c r="OG86" s="646"/>
      <c r="OH86" s="645"/>
      <c r="OI86" s="646"/>
      <c r="OJ86" s="645"/>
      <c r="OK86" s="646"/>
      <c r="OL86" s="645"/>
      <c r="OM86" s="646"/>
      <c r="ON86" s="645"/>
      <c r="OO86" s="646"/>
      <c r="OP86" s="645"/>
      <c r="OQ86" s="646"/>
      <c r="OR86" s="645"/>
      <c r="OS86" s="646"/>
      <c r="OT86" s="645"/>
      <c r="OU86" s="646"/>
      <c r="OV86" s="645"/>
      <c r="OW86" s="646"/>
      <c r="OX86" s="645"/>
      <c r="OY86" s="646"/>
      <c r="OZ86" s="645"/>
      <c r="PA86" s="646"/>
      <c r="PB86" s="645"/>
      <c r="PC86" s="646"/>
      <c r="PD86" s="645"/>
      <c r="PE86" s="646"/>
      <c r="PF86" s="645"/>
      <c r="PG86" s="646"/>
      <c r="PH86" s="645"/>
      <c r="PI86" s="646"/>
      <c r="PJ86" s="645"/>
      <c r="PK86" s="646"/>
      <c r="PL86" s="645"/>
      <c r="PM86" s="646"/>
      <c r="PN86" s="645"/>
      <c r="PO86" s="646"/>
      <c r="PP86" s="645"/>
      <c r="PQ86" s="646"/>
      <c r="PR86" s="645"/>
      <c r="PS86" s="646"/>
      <c r="PT86" s="645"/>
      <c r="PU86" s="646"/>
      <c r="PV86" s="645"/>
      <c r="PW86" s="646"/>
      <c r="PX86" s="645"/>
      <c r="PY86" s="646"/>
      <c r="PZ86" s="645"/>
      <c r="QA86" s="646"/>
      <c r="QB86" s="645"/>
      <c r="QC86" s="646"/>
      <c r="QD86" s="645"/>
      <c r="QE86" s="646"/>
      <c r="QF86" s="645"/>
      <c r="QG86" s="646"/>
      <c r="QH86" s="645"/>
      <c r="QI86" s="646"/>
      <c r="QJ86" s="645"/>
      <c r="QK86" s="646"/>
      <c r="QL86" s="645"/>
      <c r="QM86" s="646"/>
      <c r="QN86" s="645"/>
      <c r="QO86" s="646"/>
      <c r="QP86" s="645"/>
      <c r="QQ86" s="646"/>
      <c r="QR86" s="645"/>
      <c r="QS86" s="646"/>
      <c r="QT86" s="645"/>
      <c r="QU86" s="646"/>
      <c r="QV86" s="645"/>
      <c r="QW86" s="646"/>
      <c r="QX86" s="645"/>
      <c r="QY86" s="646"/>
      <c r="QZ86" s="645"/>
      <c r="RA86" s="646"/>
      <c r="RB86" s="645"/>
      <c r="RC86" s="646"/>
      <c r="RD86" s="645"/>
      <c r="RE86" s="646"/>
      <c r="RF86" s="645"/>
      <c r="RG86" s="646"/>
      <c r="RH86" s="645"/>
      <c r="RI86" s="646"/>
      <c r="RJ86" s="645"/>
      <c r="RK86" s="646"/>
      <c r="RL86" s="645"/>
      <c r="RM86" s="646"/>
      <c r="RN86" s="645"/>
      <c r="RO86" s="646"/>
      <c r="RP86" s="645"/>
      <c r="RQ86" s="646"/>
      <c r="RR86" s="645"/>
      <c r="RS86" s="646"/>
      <c r="RT86" s="645"/>
      <c r="RU86" s="646"/>
      <c r="RV86" s="645"/>
      <c r="RW86" s="646"/>
      <c r="RX86" s="645"/>
      <c r="RY86" s="646"/>
      <c r="RZ86" s="645"/>
      <c r="SA86" s="646"/>
      <c r="SB86" s="645"/>
      <c r="SC86" s="646"/>
      <c r="SD86" s="645"/>
      <c r="SE86" s="646"/>
      <c r="SF86" s="645"/>
      <c r="SG86" s="646"/>
      <c r="SH86" s="645"/>
      <c r="SI86" s="646"/>
      <c r="SJ86" s="645"/>
      <c r="SK86" s="646"/>
      <c r="SL86" s="645"/>
      <c r="SM86" s="646"/>
      <c r="SN86" s="645"/>
      <c r="SO86" s="646"/>
      <c r="SP86" s="645"/>
      <c r="SQ86" s="646"/>
      <c r="SR86" s="645"/>
      <c r="SS86" s="646"/>
      <c r="ST86" s="645"/>
      <c r="SU86" s="646"/>
      <c r="SV86" s="645"/>
      <c r="SW86" s="646"/>
      <c r="SX86" s="645"/>
      <c r="SY86" s="646"/>
      <c r="SZ86" s="645"/>
      <c r="TA86" s="646"/>
      <c r="TB86" s="645"/>
      <c r="TC86" s="646"/>
      <c r="TD86" s="645"/>
      <c r="TE86" s="646"/>
      <c r="TF86" s="645"/>
      <c r="TG86" s="646"/>
      <c r="TH86" s="645"/>
      <c r="TI86" s="646"/>
      <c r="TJ86" s="645"/>
      <c r="TK86" s="646"/>
      <c r="TL86" s="645"/>
      <c r="TM86" s="646"/>
      <c r="TN86" s="645"/>
      <c r="TO86" s="646"/>
      <c r="TP86" s="645"/>
      <c r="TQ86" s="646"/>
      <c r="TR86" s="645"/>
      <c r="TS86" s="646"/>
      <c r="TT86" s="645"/>
      <c r="TU86" s="646"/>
      <c r="TV86" s="645"/>
      <c r="TW86" s="646"/>
      <c r="TX86" s="645"/>
      <c r="TY86" s="646"/>
      <c r="TZ86" s="645"/>
      <c r="UA86" s="646"/>
      <c r="UB86" s="645"/>
      <c r="UC86" s="646"/>
      <c r="UD86" s="645"/>
      <c r="UE86" s="646"/>
      <c r="UF86" s="645"/>
      <c r="UG86" s="646"/>
      <c r="UH86" s="645"/>
      <c r="UI86" s="646"/>
      <c r="UJ86" s="645"/>
      <c r="UK86" s="646"/>
      <c r="UL86" s="645"/>
      <c r="UM86" s="646"/>
      <c r="UN86" s="645"/>
      <c r="UO86" s="646"/>
      <c r="UP86" s="645"/>
      <c r="UQ86" s="646"/>
      <c r="UR86" s="645"/>
      <c r="US86" s="646"/>
      <c r="UT86" s="645"/>
      <c r="UU86" s="646"/>
      <c r="UV86" s="645"/>
      <c r="UW86" s="646"/>
      <c r="UX86" s="645"/>
      <c r="UY86" s="646"/>
      <c r="UZ86" s="645"/>
      <c r="VA86" s="646"/>
      <c r="VB86" s="645"/>
      <c r="VC86" s="646"/>
      <c r="VD86" s="645"/>
      <c r="VE86" s="646"/>
      <c r="VF86" s="645"/>
      <c r="VG86" s="646"/>
      <c r="VH86" s="645"/>
      <c r="VI86" s="646"/>
      <c r="VJ86" s="645"/>
      <c r="VK86" s="646"/>
      <c r="VL86" s="645"/>
      <c r="VM86" s="646"/>
      <c r="VN86" s="645"/>
      <c r="VO86" s="646"/>
      <c r="VP86" s="645"/>
      <c r="VQ86" s="646"/>
      <c r="VR86" s="645"/>
      <c r="VS86" s="646"/>
      <c r="VT86" s="645"/>
      <c r="VU86" s="646"/>
      <c r="VV86" s="645"/>
      <c r="VW86" s="646"/>
      <c r="VX86" s="645"/>
      <c r="VY86" s="646"/>
      <c r="VZ86" s="645"/>
      <c r="WA86" s="646"/>
      <c r="WB86" s="645"/>
      <c r="WC86" s="646"/>
      <c r="WD86" s="645"/>
      <c r="WE86" s="646"/>
      <c r="WF86" s="645"/>
      <c r="WG86" s="646"/>
      <c r="WH86" s="645"/>
      <c r="WI86" s="646"/>
      <c r="WJ86" s="645"/>
      <c r="WK86" s="646"/>
      <c r="WL86" s="645"/>
      <c r="WM86" s="646"/>
      <c r="WN86" s="645"/>
      <c r="WO86" s="646"/>
      <c r="WP86" s="645"/>
      <c r="WQ86" s="646"/>
      <c r="WR86" s="645"/>
      <c r="WS86" s="646"/>
      <c r="WT86" s="645"/>
      <c r="WU86" s="646"/>
      <c r="WV86" s="645"/>
      <c r="WW86" s="646"/>
      <c r="WX86" s="645"/>
      <c r="WY86" s="646"/>
      <c r="WZ86" s="645"/>
      <c r="XA86" s="646"/>
      <c r="XB86" s="645"/>
      <c r="XC86" s="646"/>
      <c r="XD86" s="645"/>
      <c r="XE86" s="646"/>
      <c r="XF86" s="645"/>
      <c r="XG86" s="646"/>
      <c r="XH86" s="645"/>
      <c r="XI86" s="646"/>
      <c r="XJ86" s="645"/>
      <c r="XK86" s="646"/>
      <c r="XL86" s="645"/>
      <c r="XM86" s="646"/>
      <c r="XN86" s="645"/>
      <c r="XO86" s="646"/>
      <c r="XP86" s="645"/>
      <c r="XQ86" s="646"/>
      <c r="XR86" s="645"/>
      <c r="XS86" s="646"/>
      <c r="XT86" s="645"/>
      <c r="XU86" s="646"/>
      <c r="XV86" s="645"/>
      <c r="XW86" s="646"/>
      <c r="XX86" s="645"/>
      <c r="XY86" s="646"/>
      <c r="XZ86" s="645"/>
      <c r="YA86" s="646"/>
      <c r="YB86" s="645"/>
      <c r="YC86" s="646"/>
      <c r="YD86" s="645"/>
      <c r="YE86" s="646"/>
      <c r="YF86" s="645"/>
      <c r="YG86" s="646"/>
      <c r="YH86" s="645"/>
      <c r="YI86" s="646"/>
      <c r="YJ86" s="645"/>
      <c r="YK86" s="646"/>
      <c r="YL86" s="645"/>
      <c r="YM86" s="646"/>
      <c r="YN86" s="645"/>
      <c r="YO86" s="646"/>
      <c r="YP86" s="645"/>
      <c r="YQ86" s="646"/>
      <c r="YR86" s="645"/>
      <c r="YS86" s="646"/>
      <c r="YT86" s="645"/>
      <c r="YU86" s="646"/>
      <c r="YV86" s="645"/>
      <c r="YW86" s="646"/>
      <c r="YX86" s="645"/>
      <c r="YY86" s="646"/>
      <c r="YZ86" s="645"/>
      <c r="ZA86" s="646"/>
      <c r="ZB86" s="645"/>
      <c r="ZC86" s="646"/>
      <c r="ZD86" s="645"/>
      <c r="ZE86" s="646"/>
      <c r="ZF86" s="645"/>
      <c r="ZG86" s="646"/>
      <c r="ZH86" s="645"/>
      <c r="ZI86" s="646"/>
      <c r="ZJ86" s="645"/>
      <c r="ZK86" s="646"/>
      <c r="ZL86" s="645"/>
      <c r="ZM86" s="646"/>
      <c r="ZN86" s="645"/>
      <c r="ZO86" s="646"/>
      <c r="ZP86" s="645"/>
      <c r="ZQ86" s="646"/>
      <c r="ZR86" s="645"/>
      <c r="ZS86" s="646"/>
      <c r="ZT86" s="645"/>
      <c r="ZU86" s="646"/>
      <c r="ZV86" s="645"/>
      <c r="ZW86" s="646"/>
      <c r="ZX86" s="645"/>
      <c r="ZY86" s="646"/>
      <c r="ZZ86" s="645"/>
      <c r="AAA86" s="646"/>
      <c r="AAB86" s="645"/>
      <c r="AAC86" s="646"/>
      <c r="AAD86" s="645"/>
      <c r="AAE86" s="646"/>
      <c r="AAF86" s="645"/>
      <c r="AAG86" s="646"/>
      <c r="AAH86" s="645"/>
      <c r="AAI86" s="646"/>
      <c r="AAJ86" s="645"/>
      <c r="AAK86" s="646"/>
      <c r="AAL86" s="645"/>
      <c r="AAM86" s="646"/>
      <c r="AAN86" s="645"/>
      <c r="AAO86" s="646"/>
      <c r="AAP86" s="645"/>
      <c r="AAQ86" s="646"/>
      <c r="AAR86" s="645"/>
      <c r="AAS86" s="646"/>
      <c r="AAT86" s="645"/>
      <c r="AAU86" s="646"/>
      <c r="AAV86" s="645"/>
      <c r="AAW86" s="646"/>
      <c r="AAX86" s="645"/>
      <c r="AAY86" s="646"/>
      <c r="AAZ86" s="645"/>
      <c r="ABA86" s="646"/>
      <c r="ABB86" s="645"/>
      <c r="ABC86" s="646"/>
      <c r="ABD86" s="645"/>
      <c r="ABE86" s="646"/>
      <c r="ABF86" s="645"/>
      <c r="ABG86" s="646"/>
      <c r="ABH86" s="645"/>
      <c r="ABI86" s="646"/>
      <c r="ABJ86" s="645"/>
      <c r="ABK86" s="646"/>
      <c r="ABL86" s="645"/>
      <c r="ABM86" s="646"/>
      <c r="ABN86" s="645"/>
      <c r="ABO86" s="646"/>
      <c r="ABP86" s="645"/>
      <c r="ABQ86" s="646"/>
      <c r="ABR86" s="645"/>
      <c r="ABS86" s="646"/>
      <c r="ABT86" s="645"/>
      <c r="ABU86" s="646"/>
      <c r="ABV86" s="645"/>
      <c r="ABW86" s="646"/>
      <c r="ABX86" s="645"/>
      <c r="ABY86" s="646"/>
      <c r="ABZ86" s="645"/>
      <c r="ACA86" s="646"/>
      <c r="ACB86" s="645"/>
      <c r="ACC86" s="646"/>
      <c r="ACD86" s="645"/>
      <c r="ACE86" s="646"/>
      <c r="ACF86" s="645"/>
      <c r="ACG86" s="646"/>
      <c r="ACH86" s="645"/>
      <c r="ACI86" s="646"/>
      <c r="ACJ86" s="645"/>
      <c r="ACK86" s="646"/>
      <c r="ACL86" s="645"/>
      <c r="ACM86" s="646"/>
      <c r="ACN86" s="645"/>
      <c r="ACO86" s="646"/>
      <c r="ACP86" s="645"/>
      <c r="ACQ86" s="646"/>
      <c r="ACR86" s="645"/>
      <c r="ACS86" s="646"/>
      <c r="ACT86" s="645"/>
      <c r="ACU86" s="646"/>
      <c r="ACV86" s="645"/>
      <c r="ACW86" s="646"/>
      <c r="ACX86" s="645"/>
      <c r="ACY86" s="646"/>
      <c r="ACZ86" s="645"/>
      <c r="ADA86" s="646"/>
      <c r="ADB86" s="645"/>
      <c r="ADC86" s="646"/>
      <c r="ADD86" s="645"/>
      <c r="ADE86" s="646"/>
      <c r="ADF86" s="645"/>
      <c r="ADG86" s="646"/>
      <c r="ADH86" s="645"/>
      <c r="ADI86" s="646"/>
      <c r="ADJ86" s="645"/>
      <c r="ADK86" s="646"/>
      <c r="ADL86" s="645"/>
      <c r="ADM86" s="646"/>
      <c r="ADN86" s="645"/>
      <c r="ADO86" s="646"/>
      <c r="ADP86" s="645"/>
      <c r="ADQ86" s="646"/>
      <c r="ADR86" s="645"/>
      <c r="ADS86" s="646"/>
      <c r="ADT86" s="645"/>
      <c r="ADU86" s="646"/>
      <c r="ADV86" s="645"/>
      <c r="ADW86" s="646"/>
      <c r="ADX86" s="645"/>
      <c r="ADY86" s="646"/>
      <c r="ADZ86" s="645"/>
      <c r="AEA86" s="646"/>
      <c r="AEB86" s="645"/>
      <c r="AEC86" s="646"/>
      <c r="AED86" s="645"/>
      <c r="AEE86" s="646"/>
      <c r="AEF86" s="645"/>
      <c r="AEG86" s="646"/>
      <c r="AEH86" s="645"/>
      <c r="AEI86" s="646"/>
      <c r="AEJ86" s="645"/>
      <c r="AEK86" s="646"/>
      <c r="AEL86" s="645"/>
      <c r="AEM86" s="646"/>
      <c r="AEN86" s="645"/>
      <c r="AEO86" s="646"/>
      <c r="AEP86" s="645"/>
      <c r="AEQ86" s="646"/>
      <c r="AER86" s="645"/>
      <c r="AES86" s="646"/>
      <c r="AET86" s="645"/>
      <c r="AEU86" s="646"/>
      <c r="AEV86" s="645"/>
      <c r="AEW86" s="646"/>
      <c r="AEX86" s="645"/>
      <c r="AEY86" s="646"/>
      <c r="AEZ86" s="645"/>
      <c r="AFA86" s="646"/>
      <c r="AFB86" s="645"/>
      <c r="AFC86" s="646"/>
      <c r="AFD86" s="645"/>
      <c r="AFE86" s="646"/>
      <c r="AFF86" s="645"/>
      <c r="AFG86" s="646"/>
      <c r="AFH86" s="645"/>
      <c r="AFI86" s="646"/>
      <c r="AFJ86" s="645"/>
      <c r="AFK86" s="646"/>
      <c r="AFL86" s="645"/>
      <c r="AFM86" s="646"/>
      <c r="AFN86" s="645"/>
      <c r="AFO86" s="646"/>
      <c r="AFP86" s="645"/>
      <c r="AFQ86" s="646"/>
      <c r="AFR86" s="645"/>
      <c r="AFS86" s="646"/>
      <c r="AFT86" s="645"/>
      <c r="AFU86" s="646"/>
      <c r="AFV86" s="645"/>
      <c r="AFW86" s="646"/>
      <c r="AFX86" s="645"/>
      <c r="AFY86" s="646"/>
      <c r="AFZ86" s="645"/>
      <c r="AGA86" s="646"/>
      <c r="AGB86" s="645"/>
      <c r="AGC86" s="646"/>
      <c r="AGD86" s="645"/>
      <c r="AGE86" s="646"/>
      <c r="AGF86" s="645"/>
      <c r="AGG86" s="646"/>
      <c r="AGH86" s="645"/>
      <c r="AGI86" s="646"/>
      <c r="AGJ86" s="645"/>
      <c r="AGK86" s="646"/>
      <c r="AGL86" s="645"/>
      <c r="AGM86" s="646"/>
      <c r="AGN86" s="645"/>
      <c r="AGO86" s="646"/>
      <c r="AGP86" s="645"/>
      <c r="AGQ86" s="646"/>
      <c r="AGR86" s="645"/>
      <c r="AGS86" s="646"/>
      <c r="AGT86" s="645"/>
      <c r="AGU86" s="646"/>
      <c r="AGV86" s="645"/>
      <c r="AGW86" s="646"/>
      <c r="AGX86" s="645"/>
      <c r="AGY86" s="646"/>
      <c r="AGZ86" s="645"/>
      <c r="AHA86" s="646"/>
      <c r="AHB86" s="645"/>
      <c r="AHC86" s="646"/>
      <c r="AHD86" s="645"/>
      <c r="AHE86" s="646"/>
      <c r="AHF86" s="645"/>
      <c r="AHG86" s="646"/>
      <c r="AHH86" s="645"/>
      <c r="AHI86" s="646"/>
      <c r="AHJ86" s="645"/>
      <c r="AHK86" s="646"/>
      <c r="AHL86" s="645"/>
      <c r="AHM86" s="646"/>
      <c r="AHN86" s="645"/>
      <c r="AHO86" s="646"/>
      <c r="AHP86" s="645"/>
      <c r="AHQ86" s="646"/>
      <c r="AHR86" s="645"/>
      <c r="AHS86" s="646"/>
      <c r="AHT86" s="645"/>
      <c r="AHU86" s="646"/>
      <c r="AHV86" s="645"/>
      <c r="AHW86" s="646"/>
      <c r="AHX86" s="645"/>
      <c r="AHY86" s="646"/>
      <c r="AHZ86" s="645"/>
      <c r="AIA86" s="646"/>
      <c r="AIB86" s="645"/>
      <c r="AIC86" s="646"/>
      <c r="AID86" s="645"/>
      <c r="AIE86" s="646"/>
      <c r="AIF86" s="645"/>
      <c r="AIG86" s="646"/>
      <c r="AIH86" s="645"/>
      <c r="AII86" s="646"/>
      <c r="AIJ86" s="645"/>
      <c r="AIK86" s="646"/>
      <c r="AIL86" s="645"/>
      <c r="AIM86" s="646"/>
      <c r="AIN86" s="645"/>
      <c r="AIO86" s="646"/>
      <c r="AIP86" s="645"/>
      <c r="AIQ86" s="645"/>
      <c r="AIR86" s="645"/>
      <c r="AIS86" s="645"/>
      <c r="AIT86" s="645"/>
      <c r="AIU86" s="645"/>
      <c r="AIV86" s="645"/>
      <c r="AIW86" s="645"/>
      <c r="AIX86" s="645"/>
      <c r="AIY86" s="645"/>
      <c r="AIZ86" s="645"/>
      <c r="AJA86" s="645"/>
      <c r="AJB86" s="645"/>
      <c r="AJC86" s="645"/>
      <c r="AJD86" s="645"/>
      <c r="AJE86" s="645"/>
      <c r="AJF86" s="645"/>
      <c r="AJG86" s="645"/>
      <c r="AJH86" s="645"/>
      <c r="AJI86" s="645"/>
      <c r="AJJ86" s="645"/>
      <c r="AJK86" s="645"/>
      <c r="AJL86" s="645"/>
      <c r="AJM86" s="645"/>
      <c r="AJN86" s="645"/>
      <c r="AJO86" s="645"/>
      <c r="AJP86" s="645"/>
      <c r="AJQ86" s="645"/>
      <c r="AJR86" s="645"/>
      <c r="AJS86" s="645"/>
      <c r="AJT86" s="645"/>
      <c r="AJU86" s="645"/>
      <c r="AJV86" s="645"/>
      <c r="AJW86" s="645"/>
      <c r="AJX86" s="645"/>
      <c r="AJY86" s="645"/>
      <c r="AJZ86" s="645"/>
      <c r="AKA86" s="645"/>
      <c r="AKB86" s="645"/>
      <c r="AKC86" s="645"/>
      <c r="AKD86" s="645"/>
      <c r="AKE86" s="645"/>
      <c r="AKF86" s="645"/>
      <c r="AKG86" s="645"/>
      <c r="AKH86" s="645"/>
      <c r="AKI86" s="645"/>
      <c r="AKJ86" s="645"/>
      <c r="AKK86" s="645"/>
      <c r="AKL86" s="645"/>
      <c r="AKM86" s="645"/>
      <c r="AKN86" s="645"/>
      <c r="AKO86" s="645"/>
      <c r="AKP86" s="645"/>
      <c r="AKQ86" s="645"/>
      <c r="AKR86" s="645"/>
      <c r="AKS86" s="645"/>
      <c r="AKT86" s="645"/>
      <c r="AKU86" s="645"/>
      <c r="AKV86" s="645"/>
      <c r="AKW86" s="645"/>
      <c r="AKX86" s="645"/>
      <c r="AKY86" s="645"/>
      <c r="AKZ86" s="645"/>
      <c r="ALA86" s="645"/>
      <c r="ALB86" s="645"/>
      <c r="ALC86" s="645"/>
      <c r="ALD86" s="645"/>
      <c r="ALE86" s="645"/>
      <c r="ALF86" s="645"/>
      <c r="ALG86" s="645"/>
      <c r="ALH86" s="645"/>
      <c r="ALI86" s="645"/>
      <c r="ALJ86" s="645"/>
      <c r="ALK86" s="645"/>
      <c r="ALL86" s="645"/>
      <c r="ALM86" s="645"/>
      <c r="ALN86" s="645"/>
      <c r="ALO86" s="645"/>
      <c r="ALP86" s="645"/>
      <c r="ALQ86" s="645"/>
      <c r="ALR86" s="645"/>
      <c r="ALS86" s="645"/>
      <c r="ALT86" s="645"/>
      <c r="ALU86" s="645"/>
      <c r="ALV86" s="645"/>
      <c r="ALW86" s="645"/>
      <c r="ALX86" s="645"/>
      <c r="ALY86" s="645"/>
      <c r="ALZ86" s="645"/>
      <c r="AMA86" s="645"/>
      <c r="AMB86" s="645"/>
      <c r="AMC86" s="645"/>
      <c r="AMD86" s="645"/>
      <c r="AME86" s="645"/>
      <c r="AMF86" s="645"/>
      <c r="AMG86" s="645"/>
      <c r="AMH86" s="645"/>
      <c r="AMI86" s="645"/>
      <c r="AMJ86" s="645"/>
    </row>
    <row r="87" spans="1:1024" s="37" customFormat="1" ht="15.75" customHeight="1" x14ac:dyDescent="0.35">
      <c r="A87" s="600"/>
      <c r="B87" s="601" t="s">
        <v>341</v>
      </c>
      <c r="C87" s="645"/>
      <c r="D87" s="646"/>
      <c r="E87" s="645"/>
      <c r="F87" s="646"/>
      <c r="G87" s="647" t="s">
        <v>243</v>
      </c>
      <c r="H87" s="643"/>
      <c r="I87" s="645"/>
      <c r="J87" s="38"/>
      <c r="K87" s="38"/>
      <c r="L87" s="39"/>
      <c r="M87" s="38"/>
      <c r="N87" s="39"/>
      <c r="O87" s="38"/>
      <c r="P87" s="39"/>
      <c r="Q87" s="38"/>
      <c r="R87" s="39"/>
      <c r="S87" s="38"/>
      <c r="T87" s="39"/>
      <c r="U87" s="38"/>
      <c r="V87" s="39"/>
      <c r="W87" s="38"/>
      <c r="X87" s="39"/>
      <c r="Y87" s="38"/>
      <c r="Z87" s="39"/>
      <c r="AA87" s="38"/>
      <c r="AB87" s="39"/>
      <c r="AC87" s="38"/>
      <c r="AD87" s="39"/>
      <c r="AE87" s="38"/>
      <c r="AF87" s="39"/>
      <c r="AG87" s="38"/>
      <c r="AH87" s="39"/>
      <c r="AI87" s="38"/>
      <c r="AJ87" s="39"/>
      <c r="AK87" s="40"/>
      <c r="AL87" s="39"/>
      <c r="AM87" s="40"/>
      <c r="AN87" s="39"/>
      <c r="AO87" s="40"/>
      <c r="AP87" s="39"/>
      <c r="AQ87" s="40"/>
      <c r="AR87" s="39"/>
      <c r="AS87" s="40"/>
      <c r="AT87" s="39"/>
      <c r="AU87" s="40"/>
      <c r="AV87" s="39"/>
      <c r="AW87" s="40"/>
      <c r="AX87" s="39"/>
      <c r="AY87" s="40"/>
      <c r="AZ87" s="39"/>
      <c r="BA87" s="40"/>
      <c r="BB87" s="39"/>
      <c r="BC87" s="40"/>
      <c r="BD87" s="39"/>
      <c r="BE87" s="40"/>
      <c r="BF87" s="39"/>
      <c r="BG87" s="40"/>
      <c r="BH87" s="39"/>
      <c r="BI87" s="40"/>
      <c r="BJ87" s="39"/>
      <c r="BK87" s="40"/>
      <c r="BL87" s="39"/>
      <c r="BM87" s="40"/>
      <c r="BN87" s="39"/>
      <c r="BO87" s="40"/>
      <c r="BP87" s="39"/>
      <c r="BQ87" s="40"/>
      <c r="BR87" s="39"/>
      <c r="BS87" s="40"/>
      <c r="BT87" s="39"/>
      <c r="BU87" s="40"/>
      <c r="BV87" s="39"/>
      <c r="BW87" s="40"/>
      <c r="BX87" s="39"/>
      <c r="BY87" s="40"/>
      <c r="BZ87" s="39"/>
      <c r="CA87" s="40"/>
      <c r="CB87" s="39"/>
      <c r="CC87" s="40"/>
      <c r="CD87" s="39"/>
      <c r="CE87" s="40"/>
      <c r="CF87" s="39"/>
      <c r="CG87" s="40"/>
      <c r="CH87" s="39"/>
      <c r="CI87" s="40"/>
      <c r="CJ87" s="39"/>
      <c r="CK87" s="40"/>
      <c r="CL87" s="39"/>
      <c r="CM87" s="40"/>
      <c r="CN87" s="39"/>
      <c r="CO87" s="40"/>
      <c r="CP87" s="39"/>
      <c r="CQ87" s="40"/>
      <c r="CR87" s="39"/>
      <c r="CS87" s="40"/>
      <c r="CT87" s="39"/>
      <c r="CU87" s="40"/>
      <c r="CV87" s="39"/>
      <c r="CW87" s="40"/>
      <c r="CX87" s="39"/>
      <c r="CY87" s="40"/>
      <c r="CZ87" s="39"/>
      <c r="DA87" s="40"/>
      <c r="DB87" s="39"/>
      <c r="DC87" s="40"/>
      <c r="DD87" s="39"/>
      <c r="DE87" s="40"/>
      <c r="DF87" s="39"/>
      <c r="DG87" s="40"/>
      <c r="DH87" s="39"/>
      <c r="DI87" s="40"/>
      <c r="DJ87" s="39"/>
      <c r="DK87" s="40"/>
      <c r="DL87" s="39"/>
      <c r="DM87" s="40"/>
      <c r="DN87" s="39"/>
      <c r="DO87" s="40"/>
      <c r="DP87" s="39"/>
      <c r="DQ87" s="40"/>
      <c r="DR87" s="39"/>
      <c r="DS87" s="40"/>
      <c r="DT87" s="39"/>
      <c r="DU87" s="40"/>
      <c r="DV87" s="39"/>
      <c r="DW87" s="40"/>
      <c r="DX87" s="39"/>
      <c r="DY87" s="40"/>
      <c r="DZ87" s="39"/>
      <c r="EA87" s="40"/>
      <c r="EB87" s="39"/>
      <c r="EC87" s="40"/>
      <c r="ED87" s="39"/>
      <c r="EE87" s="40"/>
      <c r="EF87" s="39"/>
      <c r="EG87" s="40"/>
      <c r="EH87" s="39"/>
      <c r="EI87" s="40"/>
      <c r="EJ87" s="39"/>
      <c r="EK87" s="40"/>
      <c r="EL87" s="39"/>
      <c r="EM87" s="40"/>
      <c r="EN87" s="39"/>
      <c r="EO87" s="40"/>
      <c r="EP87" s="39"/>
      <c r="EQ87" s="40"/>
      <c r="ER87" s="39"/>
      <c r="ES87" s="40"/>
      <c r="ET87" s="39"/>
      <c r="EU87" s="40"/>
      <c r="EV87" s="39"/>
      <c r="EW87" s="40"/>
      <c r="EX87" s="39"/>
      <c r="EY87" s="40"/>
      <c r="EZ87" s="39"/>
      <c r="FA87" s="40"/>
      <c r="FB87" s="39"/>
      <c r="FC87" s="40"/>
      <c r="FD87" s="39"/>
      <c r="FE87" s="40"/>
      <c r="FF87" s="39"/>
      <c r="FG87" s="40"/>
      <c r="FH87" s="39"/>
      <c r="FI87" s="40"/>
      <c r="FJ87" s="39"/>
      <c r="FK87" s="40"/>
      <c r="FL87" s="39"/>
      <c r="FM87" s="40"/>
      <c r="FN87" s="39"/>
      <c r="FO87" s="40"/>
      <c r="FP87" s="39"/>
      <c r="FQ87" s="40"/>
      <c r="FR87" s="39"/>
      <c r="FS87" s="40"/>
      <c r="FT87" s="39"/>
      <c r="FU87" s="40"/>
      <c r="FV87" s="39"/>
      <c r="FW87" s="40"/>
      <c r="FX87" s="39"/>
      <c r="FY87" s="40"/>
      <c r="FZ87" s="39"/>
      <c r="GA87" s="40"/>
      <c r="GB87" s="39"/>
      <c r="GC87" s="40"/>
      <c r="GD87" s="39"/>
      <c r="GE87" s="40"/>
      <c r="GF87" s="39"/>
      <c r="GG87" s="40"/>
      <c r="GH87" s="39"/>
      <c r="GI87" s="40"/>
      <c r="GJ87" s="39"/>
      <c r="GK87" s="40"/>
      <c r="GL87" s="39"/>
      <c r="GM87" s="40"/>
      <c r="GN87" s="39"/>
      <c r="GO87" s="40"/>
      <c r="GP87" s="39"/>
      <c r="GQ87" s="40"/>
      <c r="GR87" s="39"/>
      <c r="GS87" s="40"/>
      <c r="GT87" s="39"/>
      <c r="GU87" s="40"/>
      <c r="GV87" s="39"/>
      <c r="GW87" s="40"/>
      <c r="GX87" s="39"/>
      <c r="GY87" s="40"/>
      <c r="GZ87" s="39"/>
      <c r="HA87" s="40"/>
      <c r="HB87" s="39"/>
      <c r="HC87" s="40"/>
      <c r="HD87" s="39"/>
      <c r="HE87" s="40"/>
      <c r="HF87" s="39"/>
      <c r="HG87" s="40"/>
      <c r="HH87" s="39"/>
      <c r="HI87" s="40"/>
      <c r="HJ87" s="39"/>
      <c r="HK87" s="40"/>
      <c r="HL87" s="39"/>
      <c r="HM87" s="40"/>
      <c r="HN87" s="39"/>
      <c r="HO87" s="40"/>
      <c r="HP87" s="39"/>
      <c r="HQ87" s="40"/>
      <c r="HR87" s="39"/>
      <c r="HS87" s="40"/>
      <c r="HT87" s="39"/>
      <c r="HU87" s="40"/>
      <c r="HV87" s="39"/>
      <c r="HW87" s="40"/>
      <c r="HX87" s="39"/>
      <c r="HY87" s="40"/>
      <c r="HZ87" s="39"/>
      <c r="IA87" s="40"/>
      <c r="IB87" s="39"/>
      <c r="IC87" s="1068"/>
      <c r="ID87" s="645"/>
      <c r="IE87" s="646"/>
      <c r="IF87" s="645"/>
      <c r="IG87" s="646"/>
      <c r="IH87" s="645"/>
      <c r="II87" s="646"/>
      <c r="IJ87" s="645"/>
      <c r="IK87" s="646"/>
      <c r="IL87" s="645"/>
      <c r="IM87" s="646"/>
      <c r="IN87" s="645"/>
      <c r="IO87" s="646"/>
      <c r="IP87" s="645"/>
      <c r="IQ87" s="646"/>
      <c r="IR87" s="645"/>
      <c r="IS87" s="646"/>
      <c r="IT87" s="645"/>
      <c r="IU87" s="646"/>
      <c r="IV87" s="645"/>
      <c r="IW87" s="646"/>
      <c r="IX87" s="645"/>
      <c r="IY87" s="646"/>
      <c r="IZ87" s="645"/>
      <c r="JA87" s="646"/>
      <c r="JB87" s="645"/>
      <c r="JC87" s="646"/>
      <c r="JD87" s="645"/>
      <c r="JE87" s="646"/>
      <c r="JF87" s="645"/>
      <c r="JG87" s="646"/>
      <c r="JH87" s="645"/>
      <c r="JI87" s="646"/>
      <c r="JJ87" s="645"/>
      <c r="JK87" s="646"/>
      <c r="JL87" s="645"/>
      <c r="JM87" s="646"/>
      <c r="JN87" s="645"/>
      <c r="JO87" s="646"/>
      <c r="JP87" s="645"/>
      <c r="JQ87" s="646"/>
      <c r="JR87" s="645"/>
      <c r="JS87" s="646"/>
      <c r="JT87" s="645"/>
      <c r="JU87" s="646"/>
      <c r="JV87" s="645"/>
      <c r="JW87" s="646"/>
      <c r="JX87" s="645"/>
      <c r="JY87" s="646"/>
      <c r="JZ87" s="645"/>
      <c r="KA87" s="646"/>
      <c r="KB87" s="645"/>
      <c r="KC87" s="646"/>
      <c r="KD87" s="645"/>
      <c r="KE87" s="646"/>
      <c r="KF87" s="645"/>
      <c r="KG87" s="646"/>
      <c r="KH87" s="645"/>
      <c r="KI87" s="646"/>
      <c r="KJ87" s="645"/>
      <c r="KK87" s="646"/>
      <c r="KL87" s="645"/>
      <c r="KM87" s="646"/>
      <c r="KN87" s="645"/>
      <c r="KO87" s="646"/>
      <c r="KP87" s="645"/>
      <c r="KQ87" s="646"/>
      <c r="KR87" s="645"/>
      <c r="KS87" s="646"/>
      <c r="KT87" s="645"/>
      <c r="KU87" s="646"/>
      <c r="KV87" s="645"/>
      <c r="KW87" s="646"/>
      <c r="KX87" s="645"/>
      <c r="KY87" s="646"/>
      <c r="KZ87" s="645"/>
      <c r="LA87" s="646"/>
      <c r="LB87" s="645"/>
      <c r="LC87" s="646"/>
      <c r="LD87" s="645"/>
      <c r="LE87" s="646"/>
      <c r="LF87" s="645"/>
      <c r="LG87" s="646"/>
      <c r="LH87" s="645"/>
      <c r="LI87" s="646"/>
      <c r="LJ87" s="645"/>
      <c r="LK87" s="646"/>
      <c r="LL87" s="645"/>
      <c r="LM87" s="646"/>
      <c r="LN87" s="645"/>
      <c r="LO87" s="646"/>
      <c r="LP87" s="645"/>
      <c r="LQ87" s="646"/>
      <c r="LR87" s="645"/>
      <c r="LS87" s="646"/>
      <c r="LT87" s="645"/>
      <c r="LU87" s="646"/>
      <c r="LV87" s="645"/>
      <c r="LW87" s="646"/>
      <c r="LX87" s="645"/>
      <c r="LY87" s="646"/>
      <c r="LZ87" s="645"/>
      <c r="MA87" s="646"/>
      <c r="MB87" s="645"/>
      <c r="MC87" s="646"/>
      <c r="MD87" s="645"/>
      <c r="ME87" s="646"/>
      <c r="MF87" s="645"/>
      <c r="MG87" s="646"/>
      <c r="MH87" s="645"/>
      <c r="MI87" s="646"/>
      <c r="MJ87" s="645"/>
      <c r="MK87" s="646"/>
      <c r="ML87" s="645"/>
      <c r="MM87" s="646"/>
      <c r="MN87" s="645"/>
      <c r="MO87" s="646"/>
      <c r="MP87" s="645"/>
      <c r="MQ87" s="646"/>
      <c r="MR87" s="645"/>
      <c r="MS87" s="646"/>
      <c r="MT87" s="645"/>
      <c r="MU87" s="646"/>
      <c r="MV87" s="645"/>
      <c r="MW87" s="646"/>
      <c r="MX87" s="645"/>
      <c r="MY87" s="646"/>
      <c r="MZ87" s="645"/>
      <c r="NA87" s="646"/>
      <c r="NB87" s="645"/>
      <c r="NC87" s="646"/>
      <c r="ND87" s="645"/>
      <c r="NE87" s="646"/>
      <c r="NF87" s="645"/>
      <c r="NG87" s="646"/>
      <c r="NH87" s="645"/>
      <c r="NI87" s="646"/>
      <c r="NJ87" s="645"/>
      <c r="NK87" s="646"/>
      <c r="NL87" s="645"/>
      <c r="NM87" s="646"/>
      <c r="NN87" s="645"/>
      <c r="NO87" s="646"/>
      <c r="NP87" s="645"/>
      <c r="NQ87" s="646"/>
      <c r="NR87" s="645"/>
      <c r="NS87" s="646"/>
      <c r="NT87" s="645"/>
      <c r="NU87" s="646"/>
      <c r="NV87" s="645"/>
      <c r="NW87" s="646"/>
      <c r="NX87" s="645"/>
      <c r="NY87" s="646"/>
      <c r="NZ87" s="645"/>
      <c r="OA87" s="646"/>
      <c r="OB87" s="645"/>
      <c r="OC87" s="646"/>
      <c r="OD87" s="645"/>
      <c r="OE87" s="646"/>
      <c r="OF87" s="645"/>
      <c r="OG87" s="646"/>
      <c r="OH87" s="645"/>
      <c r="OI87" s="646"/>
      <c r="OJ87" s="645"/>
      <c r="OK87" s="646"/>
      <c r="OL87" s="645"/>
      <c r="OM87" s="646"/>
      <c r="ON87" s="645"/>
      <c r="OO87" s="646"/>
      <c r="OP87" s="645"/>
      <c r="OQ87" s="646"/>
      <c r="OR87" s="645"/>
      <c r="OS87" s="646"/>
      <c r="OT87" s="645"/>
      <c r="OU87" s="646"/>
      <c r="OV87" s="645"/>
      <c r="OW87" s="646"/>
      <c r="OX87" s="645"/>
      <c r="OY87" s="646"/>
      <c r="OZ87" s="645"/>
      <c r="PA87" s="646"/>
      <c r="PB87" s="645"/>
      <c r="PC87" s="646"/>
      <c r="PD87" s="645"/>
      <c r="PE87" s="646"/>
      <c r="PF87" s="645"/>
      <c r="PG87" s="646"/>
      <c r="PH87" s="645"/>
      <c r="PI87" s="646"/>
      <c r="PJ87" s="645"/>
      <c r="PK87" s="646"/>
      <c r="PL87" s="645"/>
      <c r="PM87" s="646"/>
      <c r="PN87" s="645"/>
      <c r="PO87" s="646"/>
      <c r="PP87" s="645"/>
      <c r="PQ87" s="646"/>
      <c r="PR87" s="645"/>
      <c r="PS87" s="646"/>
      <c r="PT87" s="645"/>
      <c r="PU87" s="646"/>
      <c r="PV87" s="645"/>
      <c r="PW87" s="646"/>
      <c r="PX87" s="645"/>
      <c r="PY87" s="646"/>
      <c r="PZ87" s="645"/>
      <c r="QA87" s="646"/>
      <c r="QB87" s="645"/>
      <c r="QC87" s="646"/>
      <c r="QD87" s="645"/>
      <c r="QE87" s="646"/>
      <c r="QF87" s="645"/>
      <c r="QG87" s="646"/>
      <c r="QH87" s="645"/>
      <c r="QI87" s="646"/>
      <c r="QJ87" s="645"/>
      <c r="QK87" s="646"/>
      <c r="QL87" s="645"/>
      <c r="QM87" s="646"/>
      <c r="QN87" s="645"/>
      <c r="QO87" s="646"/>
      <c r="QP87" s="645"/>
      <c r="QQ87" s="646"/>
      <c r="QR87" s="645"/>
      <c r="QS87" s="646"/>
      <c r="QT87" s="645"/>
      <c r="QU87" s="646"/>
      <c r="QV87" s="645"/>
      <c r="QW87" s="646"/>
      <c r="QX87" s="645"/>
      <c r="QY87" s="646"/>
      <c r="QZ87" s="645"/>
      <c r="RA87" s="646"/>
      <c r="RB87" s="645"/>
      <c r="RC87" s="646"/>
      <c r="RD87" s="645"/>
      <c r="RE87" s="646"/>
      <c r="RF87" s="645"/>
      <c r="RG87" s="646"/>
      <c r="RH87" s="645"/>
      <c r="RI87" s="646"/>
      <c r="RJ87" s="645"/>
      <c r="RK87" s="646"/>
      <c r="RL87" s="645"/>
      <c r="RM87" s="646"/>
      <c r="RN87" s="645"/>
      <c r="RO87" s="646"/>
      <c r="RP87" s="645"/>
      <c r="RQ87" s="646"/>
      <c r="RR87" s="645"/>
      <c r="RS87" s="646"/>
      <c r="RT87" s="645"/>
      <c r="RU87" s="646"/>
      <c r="RV87" s="645"/>
      <c r="RW87" s="646"/>
      <c r="RX87" s="645"/>
      <c r="RY87" s="646"/>
      <c r="RZ87" s="645"/>
      <c r="SA87" s="646"/>
      <c r="SB87" s="645"/>
      <c r="SC87" s="646"/>
      <c r="SD87" s="645"/>
      <c r="SE87" s="646"/>
      <c r="SF87" s="645"/>
      <c r="SG87" s="646"/>
      <c r="SH87" s="645"/>
      <c r="SI87" s="646"/>
      <c r="SJ87" s="645"/>
      <c r="SK87" s="646"/>
      <c r="SL87" s="645"/>
      <c r="SM87" s="646"/>
      <c r="SN87" s="645"/>
      <c r="SO87" s="646"/>
      <c r="SP87" s="645"/>
      <c r="SQ87" s="646"/>
      <c r="SR87" s="645"/>
      <c r="SS87" s="646"/>
      <c r="ST87" s="645"/>
      <c r="SU87" s="646"/>
      <c r="SV87" s="645"/>
      <c r="SW87" s="646"/>
      <c r="SX87" s="645"/>
      <c r="SY87" s="646"/>
      <c r="SZ87" s="645"/>
      <c r="TA87" s="646"/>
      <c r="TB87" s="645"/>
      <c r="TC87" s="646"/>
      <c r="TD87" s="645"/>
      <c r="TE87" s="646"/>
      <c r="TF87" s="645"/>
      <c r="TG87" s="646"/>
      <c r="TH87" s="645"/>
      <c r="TI87" s="646"/>
      <c r="TJ87" s="645"/>
      <c r="TK87" s="646"/>
      <c r="TL87" s="645"/>
      <c r="TM87" s="646"/>
      <c r="TN87" s="645"/>
      <c r="TO87" s="646"/>
      <c r="TP87" s="645"/>
      <c r="TQ87" s="646"/>
      <c r="TR87" s="645"/>
      <c r="TS87" s="646"/>
      <c r="TT87" s="645"/>
      <c r="TU87" s="646"/>
      <c r="TV87" s="645"/>
      <c r="TW87" s="646"/>
      <c r="TX87" s="645"/>
      <c r="TY87" s="646"/>
      <c r="TZ87" s="645"/>
      <c r="UA87" s="646"/>
      <c r="UB87" s="645"/>
      <c r="UC87" s="646"/>
      <c r="UD87" s="645"/>
      <c r="UE87" s="646"/>
      <c r="UF87" s="645"/>
      <c r="UG87" s="646"/>
      <c r="UH87" s="645"/>
      <c r="UI87" s="646"/>
      <c r="UJ87" s="645"/>
      <c r="UK87" s="646"/>
      <c r="UL87" s="645"/>
      <c r="UM87" s="646"/>
      <c r="UN87" s="645"/>
      <c r="UO87" s="646"/>
      <c r="UP87" s="645"/>
      <c r="UQ87" s="646"/>
      <c r="UR87" s="645"/>
      <c r="US87" s="646"/>
      <c r="UT87" s="645"/>
      <c r="UU87" s="646"/>
      <c r="UV87" s="645"/>
      <c r="UW87" s="646"/>
      <c r="UX87" s="645"/>
      <c r="UY87" s="646"/>
      <c r="UZ87" s="645"/>
      <c r="VA87" s="646"/>
      <c r="VB87" s="645"/>
      <c r="VC87" s="646"/>
      <c r="VD87" s="645"/>
      <c r="VE87" s="646"/>
      <c r="VF87" s="645"/>
      <c r="VG87" s="646"/>
      <c r="VH87" s="645"/>
      <c r="VI87" s="646"/>
      <c r="VJ87" s="645"/>
      <c r="VK87" s="646"/>
      <c r="VL87" s="645"/>
      <c r="VM87" s="646"/>
      <c r="VN87" s="645"/>
      <c r="VO87" s="646"/>
      <c r="VP87" s="645"/>
      <c r="VQ87" s="646"/>
      <c r="VR87" s="645"/>
      <c r="VS87" s="646"/>
      <c r="VT87" s="645"/>
      <c r="VU87" s="646"/>
      <c r="VV87" s="645"/>
      <c r="VW87" s="646"/>
      <c r="VX87" s="645"/>
      <c r="VY87" s="646"/>
      <c r="VZ87" s="645"/>
      <c r="WA87" s="646"/>
      <c r="WB87" s="645"/>
      <c r="WC87" s="646"/>
      <c r="WD87" s="645"/>
      <c r="WE87" s="646"/>
      <c r="WF87" s="645"/>
      <c r="WG87" s="646"/>
      <c r="WH87" s="645"/>
      <c r="WI87" s="646"/>
      <c r="WJ87" s="645"/>
      <c r="WK87" s="646"/>
      <c r="WL87" s="645"/>
      <c r="WM87" s="646"/>
      <c r="WN87" s="645"/>
      <c r="WO87" s="646"/>
      <c r="WP87" s="645"/>
      <c r="WQ87" s="646"/>
      <c r="WR87" s="645"/>
      <c r="WS87" s="646"/>
      <c r="WT87" s="645"/>
      <c r="WU87" s="646"/>
      <c r="WV87" s="645"/>
      <c r="WW87" s="646"/>
      <c r="WX87" s="645"/>
      <c r="WY87" s="646"/>
      <c r="WZ87" s="645"/>
      <c r="XA87" s="646"/>
      <c r="XB87" s="645"/>
      <c r="XC87" s="646"/>
      <c r="XD87" s="645"/>
      <c r="XE87" s="646"/>
      <c r="XF87" s="645"/>
      <c r="XG87" s="646"/>
      <c r="XH87" s="645"/>
      <c r="XI87" s="646"/>
      <c r="XJ87" s="645"/>
      <c r="XK87" s="646"/>
      <c r="XL87" s="645"/>
      <c r="XM87" s="646"/>
      <c r="XN87" s="645"/>
      <c r="XO87" s="646"/>
      <c r="XP87" s="645"/>
      <c r="XQ87" s="646"/>
      <c r="XR87" s="645"/>
      <c r="XS87" s="646"/>
      <c r="XT87" s="645"/>
      <c r="XU87" s="646"/>
      <c r="XV87" s="645"/>
      <c r="XW87" s="646"/>
      <c r="XX87" s="645"/>
      <c r="XY87" s="646"/>
      <c r="XZ87" s="645"/>
      <c r="YA87" s="646"/>
      <c r="YB87" s="645"/>
      <c r="YC87" s="646"/>
      <c r="YD87" s="645"/>
      <c r="YE87" s="646"/>
      <c r="YF87" s="645"/>
      <c r="YG87" s="646"/>
      <c r="YH87" s="645"/>
      <c r="YI87" s="646"/>
      <c r="YJ87" s="645"/>
      <c r="YK87" s="646"/>
      <c r="YL87" s="645"/>
      <c r="YM87" s="646"/>
      <c r="YN87" s="645"/>
      <c r="YO87" s="646"/>
      <c r="YP87" s="645"/>
      <c r="YQ87" s="646"/>
      <c r="YR87" s="645"/>
      <c r="YS87" s="646"/>
      <c r="YT87" s="645"/>
      <c r="YU87" s="646"/>
      <c r="YV87" s="645"/>
      <c r="YW87" s="646"/>
      <c r="YX87" s="645"/>
      <c r="YY87" s="646"/>
      <c r="YZ87" s="645"/>
      <c r="ZA87" s="646"/>
      <c r="ZB87" s="645"/>
      <c r="ZC87" s="646"/>
      <c r="ZD87" s="645"/>
      <c r="ZE87" s="646"/>
      <c r="ZF87" s="645"/>
      <c r="ZG87" s="646"/>
      <c r="ZH87" s="645"/>
      <c r="ZI87" s="646"/>
      <c r="ZJ87" s="645"/>
      <c r="ZK87" s="646"/>
      <c r="ZL87" s="645"/>
      <c r="ZM87" s="646"/>
      <c r="ZN87" s="645"/>
      <c r="ZO87" s="646"/>
      <c r="ZP87" s="645"/>
      <c r="ZQ87" s="646"/>
      <c r="ZR87" s="645"/>
      <c r="ZS87" s="646"/>
      <c r="ZT87" s="645"/>
      <c r="ZU87" s="646"/>
      <c r="ZV87" s="645"/>
      <c r="ZW87" s="646"/>
      <c r="ZX87" s="645"/>
      <c r="ZY87" s="646"/>
      <c r="ZZ87" s="645"/>
      <c r="AAA87" s="646"/>
      <c r="AAB87" s="645"/>
      <c r="AAC87" s="646"/>
      <c r="AAD87" s="645"/>
      <c r="AAE87" s="646"/>
      <c r="AAF87" s="645"/>
      <c r="AAG87" s="646"/>
      <c r="AAH87" s="645"/>
      <c r="AAI87" s="646"/>
      <c r="AAJ87" s="645"/>
      <c r="AAK87" s="646"/>
      <c r="AAL87" s="645"/>
      <c r="AAM87" s="646"/>
      <c r="AAN87" s="645"/>
      <c r="AAO87" s="646"/>
      <c r="AAP87" s="645"/>
      <c r="AAQ87" s="646"/>
      <c r="AAR87" s="645"/>
      <c r="AAS87" s="646"/>
      <c r="AAT87" s="645"/>
      <c r="AAU87" s="646"/>
      <c r="AAV87" s="645"/>
      <c r="AAW87" s="646"/>
      <c r="AAX87" s="645"/>
      <c r="AAY87" s="646"/>
      <c r="AAZ87" s="645"/>
      <c r="ABA87" s="646"/>
      <c r="ABB87" s="645"/>
      <c r="ABC87" s="646"/>
      <c r="ABD87" s="645"/>
      <c r="ABE87" s="646"/>
      <c r="ABF87" s="645"/>
      <c r="ABG87" s="646"/>
      <c r="ABH87" s="645"/>
      <c r="ABI87" s="646"/>
      <c r="ABJ87" s="645"/>
      <c r="ABK87" s="646"/>
      <c r="ABL87" s="645"/>
      <c r="ABM87" s="646"/>
      <c r="ABN87" s="645"/>
      <c r="ABO87" s="646"/>
      <c r="ABP87" s="645"/>
      <c r="ABQ87" s="646"/>
      <c r="ABR87" s="645"/>
      <c r="ABS87" s="646"/>
      <c r="ABT87" s="645"/>
      <c r="ABU87" s="646"/>
      <c r="ABV87" s="645"/>
      <c r="ABW87" s="646"/>
      <c r="ABX87" s="645"/>
      <c r="ABY87" s="646"/>
      <c r="ABZ87" s="645"/>
      <c r="ACA87" s="646"/>
      <c r="ACB87" s="645"/>
      <c r="ACC87" s="646"/>
      <c r="ACD87" s="645"/>
      <c r="ACE87" s="646"/>
      <c r="ACF87" s="645"/>
      <c r="ACG87" s="646"/>
      <c r="ACH87" s="645"/>
      <c r="ACI87" s="646"/>
      <c r="ACJ87" s="645"/>
      <c r="ACK87" s="646"/>
      <c r="ACL87" s="645"/>
      <c r="ACM87" s="646"/>
      <c r="ACN87" s="645"/>
      <c r="ACO87" s="646"/>
      <c r="ACP87" s="645"/>
      <c r="ACQ87" s="646"/>
      <c r="ACR87" s="645"/>
      <c r="ACS87" s="646"/>
      <c r="ACT87" s="645"/>
      <c r="ACU87" s="646"/>
      <c r="ACV87" s="645"/>
      <c r="ACW87" s="646"/>
      <c r="ACX87" s="645"/>
      <c r="ACY87" s="646"/>
      <c r="ACZ87" s="645"/>
      <c r="ADA87" s="646"/>
      <c r="ADB87" s="645"/>
      <c r="ADC87" s="646"/>
      <c r="ADD87" s="645"/>
      <c r="ADE87" s="646"/>
      <c r="ADF87" s="645"/>
      <c r="ADG87" s="646"/>
      <c r="ADH87" s="645"/>
      <c r="ADI87" s="646"/>
      <c r="ADJ87" s="645"/>
      <c r="ADK87" s="646"/>
      <c r="ADL87" s="645"/>
      <c r="ADM87" s="646"/>
      <c r="ADN87" s="645"/>
      <c r="ADO87" s="646"/>
      <c r="ADP87" s="645"/>
      <c r="ADQ87" s="646"/>
      <c r="ADR87" s="645"/>
      <c r="ADS87" s="646"/>
      <c r="ADT87" s="645"/>
      <c r="ADU87" s="646"/>
      <c r="ADV87" s="645"/>
      <c r="ADW87" s="646"/>
      <c r="ADX87" s="645"/>
      <c r="ADY87" s="646"/>
      <c r="ADZ87" s="645"/>
      <c r="AEA87" s="646"/>
      <c r="AEB87" s="645"/>
      <c r="AEC87" s="646"/>
      <c r="AED87" s="645"/>
      <c r="AEE87" s="646"/>
      <c r="AEF87" s="645"/>
      <c r="AEG87" s="646"/>
      <c r="AEH87" s="645"/>
      <c r="AEI87" s="646"/>
      <c r="AEJ87" s="645"/>
      <c r="AEK87" s="646"/>
      <c r="AEL87" s="645"/>
      <c r="AEM87" s="646"/>
      <c r="AEN87" s="645"/>
      <c r="AEO87" s="646"/>
      <c r="AEP87" s="645"/>
      <c r="AEQ87" s="646"/>
      <c r="AER87" s="645"/>
      <c r="AES87" s="646"/>
      <c r="AET87" s="645"/>
      <c r="AEU87" s="646"/>
      <c r="AEV87" s="645"/>
      <c r="AEW87" s="646"/>
      <c r="AEX87" s="645"/>
      <c r="AEY87" s="646"/>
      <c r="AEZ87" s="645"/>
      <c r="AFA87" s="646"/>
      <c r="AFB87" s="645"/>
      <c r="AFC87" s="646"/>
      <c r="AFD87" s="645"/>
      <c r="AFE87" s="646"/>
      <c r="AFF87" s="645"/>
      <c r="AFG87" s="646"/>
      <c r="AFH87" s="645"/>
      <c r="AFI87" s="646"/>
      <c r="AFJ87" s="645"/>
      <c r="AFK87" s="646"/>
      <c r="AFL87" s="645"/>
      <c r="AFM87" s="646"/>
      <c r="AFN87" s="645"/>
      <c r="AFO87" s="646"/>
      <c r="AFP87" s="645"/>
      <c r="AFQ87" s="646"/>
      <c r="AFR87" s="645"/>
      <c r="AFS87" s="646"/>
      <c r="AFT87" s="645"/>
      <c r="AFU87" s="646"/>
      <c r="AFV87" s="645"/>
      <c r="AFW87" s="646"/>
      <c r="AFX87" s="645"/>
      <c r="AFY87" s="646"/>
      <c r="AFZ87" s="645"/>
      <c r="AGA87" s="646"/>
      <c r="AGB87" s="645"/>
      <c r="AGC87" s="646"/>
      <c r="AGD87" s="645"/>
      <c r="AGE87" s="646"/>
      <c r="AGF87" s="645"/>
      <c r="AGG87" s="646"/>
      <c r="AGH87" s="645"/>
      <c r="AGI87" s="646"/>
      <c r="AGJ87" s="645"/>
      <c r="AGK87" s="646"/>
      <c r="AGL87" s="645"/>
      <c r="AGM87" s="646"/>
      <c r="AGN87" s="645"/>
      <c r="AGO87" s="646"/>
      <c r="AGP87" s="645"/>
      <c r="AGQ87" s="646"/>
      <c r="AGR87" s="645"/>
      <c r="AGS87" s="646"/>
      <c r="AGT87" s="645"/>
      <c r="AGU87" s="646"/>
      <c r="AGV87" s="645"/>
      <c r="AGW87" s="646"/>
      <c r="AGX87" s="645"/>
      <c r="AGY87" s="646"/>
      <c r="AGZ87" s="645"/>
      <c r="AHA87" s="646"/>
      <c r="AHB87" s="645"/>
      <c r="AHC87" s="646"/>
      <c r="AHD87" s="645"/>
      <c r="AHE87" s="646"/>
      <c r="AHF87" s="645"/>
      <c r="AHG87" s="646"/>
      <c r="AHH87" s="645"/>
      <c r="AHI87" s="646"/>
      <c r="AHJ87" s="645"/>
      <c r="AHK87" s="646"/>
      <c r="AHL87" s="645"/>
      <c r="AHM87" s="646"/>
      <c r="AHN87" s="645"/>
      <c r="AHO87" s="646"/>
      <c r="AHP87" s="645"/>
      <c r="AHQ87" s="646"/>
      <c r="AHR87" s="645"/>
      <c r="AHS87" s="646"/>
      <c r="AHT87" s="645"/>
      <c r="AHU87" s="646"/>
      <c r="AHV87" s="645"/>
      <c r="AHW87" s="646"/>
      <c r="AHX87" s="645"/>
      <c r="AHY87" s="646"/>
      <c r="AHZ87" s="645"/>
      <c r="AIA87" s="646"/>
      <c r="AIB87" s="645"/>
      <c r="AIC87" s="646"/>
      <c r="AID87" s="645"/>
      <c r="AIE87" s="646"/>
      <c r="AIF87" s="645"/>
      <c r="AIG87" s="646"/>
      <c r="AIH87" s="645"/>
      <c r="AII87" s="646"/>
      <c r="AIJ87" s="645"/>
      <c r="AIK87" s="646"/>
      <c r="AIL87" s="645"/>
      <c r="AIM87" s="646"/>
      <c r="AIN87" s="645"/>
      <c r="AIO87" s="646"/>
      <c r="AIP87" s="645"/>
      <c r="AIQ87" s="645"/>
      <c r="AIR87" s="645"/>
      <c r="AIS87" s="645"/>
      <c r="AIT87" s="645"/>
      <c r="AIU87" s="645"/>
      <c r="AIV87" s="645"/>
      <c r="AIW87" s="645"/>
      <c r="AIX87" s="645"/>
      <c r="AIY87" s="645"/>
      <c r="AIZ87" s="645"/>
      <c r="AJA87" s="645"/>
      <c r="AJB87" s="645"/>
      <c r="AJC87" s="645"/>
      <c r="AJD87" s="645"/>
      <c r="AJE87" s="645"/>
      <c r="AJF87" s="645"/>
      <c r="AJG87" s="645"/>
      <c r="AJH87" s="645"/>
      <c r="AJI87" s="645"/>
      <c r="AJJ87" s="645"/>
      <c r="AJK87" s="645"/>
      <c r="AJL87" s="645"/>
      <c r="AJM87" s="645"/>
      <c r="AJN87" s="645"/>
      <c r="AJO87" s="645"/>
      <c r="AJP87" s="645"/>
      <c r="AJQ87" s="645"/>
      <c r="AJR87" s="645"/>
      <c r="AJS87" s="645"/>
      <c r="AJT87" s="645"/>
      <c r="AJU87" s="645"/>
      <c r="AJV87" s="645"/>
      <c r="AJW87" s="645"/>
      <c r="AJX87" s="645"/>
      <c r="AJY87" s="645"/>
      <c r="AJZ87" s="645"/>
      <c r="AKA87" s="645"/>
      <c r="AKB87" s="645"/>
      <c r="AKC87" s="645"/>
      <c r="AKD87" s="645"/>
      <c r="AKE87" s="645"/>
      <c r="AKF87" s="645"/>
      <c r="AKG87" s="645"/>
      <c r="AKH87" s="645"/>
      <c r="AKI87" s="645"/>
      <c r="AKJ87" s="645"/>
      <c r="AKK87" s="645"/>
      <c r="AKL87" s="645"/>
      <c r="AKM87" s="645"/>
      <c r="AKN87" s="645"/>
      <c r="AKO87" s="645"/>
      <c r="AKP87" s="645"/>
      <c r="AKQ87" s="645"/>
      <c r="AKR87" s="645"/>
      <c r="AKS87" s="645"/>
      <c r="AKT87" s="645"/>
      <c r="AKU87" s="645"/>
      <c r="AKV87" s="645"/>
      <c r="AKW87" s="645"/>
      <c r="AKX87" s="645"/>
      <c r="AKY87" s="645"/>
      <c r="AKZ87" s="645"/>
      <c r="ALA87" s="645"/>
      <c r="ALB87" s="645"/>
      <c r="ALC87" s="645"/>
      <c r="ALD87" s="645"/>
      <c r="ALE87" s="645"/>
      <c r="ALF87" s="645"/>
      <c r="ALG87" s="645"/>
      <c r="ALH87" s="645"/>
      <c r="ALI87" s="645"/>
      <c r="ALJ87" s="645"/>
      <c r="ALK87" s="645"/>
      <c r="ALL87" s="645"/>
      <c r="ALM87" s="645"/>
      <c r="ALN87" s="645"/>
      <c r="ALO87" s="645"/>
      <c r="ALP87" s="645"/>
      <c r="ALQ87" s="645"/>
      <c r="ALR87" s="645"/>
      <c r="ALS87" s="645"/>
      <c r="ALT87" s="645"/>
      <c r="ALU87" s="645"/>
      <c r="ALV87" s="645"/>
      <c r="ALW87" s="645"/>
      <c r="ALX87" s="645"/>
      <c r="ALY87" s="645"/>
      <c r="ALZ87" s="645"/>
      <c r="AMA87" s="645"/>
      <c r="AMB87" s="645"/>
      <c r="AMC87" s="645"/>
      <c r="AMD87" s="645"/>
      <c r="AME87" s="645"/>
      <c r="AMF87" s="645"/>
      <c r="AMG87" s="645"/>
      <c r="AMH87" s="645"/>
      <c r="AMI87" s="645"/>
      <c r="AMJ87" s="645"/>
    </row>
    <row r="88" spans="1:1024" s="37" customFormat="1" ht="15.75" customHeight="1" x14ac:dyDescent="0.35">
      <c r="A88" s="600"/>
      <c r="B88" s="601" t="s">
        <v>342</v>
      </c>
      <c r="C88" s="645"/>
      <c r="D88" s="646"/>
      <c r="E88" s="645"/>
      <c r="F88" s="646"/>
      <c r="G88" s="647" t="s">
        <v>243</v>
      </c>
      <c r="H88" s="643"/>
      <c r="I88" s="645"/>
      <c r="J88" s="38"/>
      <c r="K88" s="38"/>
      <c r="L88" s="39"/>
      <c r="M88" s="38"/>
      <c r="N88" s="39"/>
      <c r="O88" s="38"/>
      <c r="P88" s="39"/>
      <c r="Q88" s="38"/>
      <c r="R88" s="39"/>
      <c r="S88" s="38"/>
      <c r="T88" s="39"/>
      <c r="U88" s="38"/>
      <c r="V88" s="39"/>
      <c r="W88" s="38"/>
      <c r="X88" s="39"/>
      <c r="Y88" s="38"/>
      <c r="Z88" s="39"/>
      <c r="AA88" s="38"/>
      <c r="AB88" s="39"/>
      <c r="AC88" s="38"/>
      <c r="AD88" s="39"/>
      <c r="AE88" s="38"/>
      <c r="AF88" s="39"/>
      <c r="AG88" s="38"/>
      <c r="AH88" s="39"/>
      <c r="AI88" s="38"/>
      <c r="AJ88" s="39"/>
      <c r="AK88" s="40"/>
      <c r="AL88" s="39"/>
      <c r="AM88" s="40"/>
      <c r="AN88" s="39"/>
      <c r="AO88" s="40"/>
      <c r="AP88" s="39"/>
      <c r="AQ88" s="40"/>
      <c r="AR88" s="39"/>
      <c r="AS88" s="40"/>
      <c r="AT88" s="39"/>
      <c r="AU88" s="40"/>
      <c r="AV88" s="39"/>
      <c r="AW88" s="40"/>
      <c r="AX88" s="39"/>
      <c r="AY88" s="40"/>
      <c r="AZ88" s="39"/>
      <c r="BA88" s="40"/>
      <c r="BB88" s="39"/>
      <c r="BC88" s="40"/>
      <c r="BD88" s="39"/>
      <c r="BE88" s="40"/>
      <c r="BF88" s="39"/>
      <c r="BG88" s="40"/>
      <c r="BH88" s="39"/>
      <c r="BI88" s="40"/>
      <c r="BJ88" s="39"/>
      <c r="BK88" s="40"/>
      <c r="BL88" s="39"/>
      <c r="BM88" s="40"/>
      <c r="BN88" s="39"/>
      <c r="BO88" s="40"/>
      <c r="BP88" s="39"/>
      <c r="BQ88" s="40"/>
      <c r="BR88" s="39"/>
      <c r="BS88" s="40"/>
      <c r="BT88" s="39"/>
      <c r="BU88" s="40"/>
      <c r="BV88" s="39"/>
      <c r="BW88" s="40"/>
      <c r="BX88" s="39"/>
      <c r="BY88" s="40"/>
      <c r="BZ88" s="39"/>
      <c r="CA88" s="40"/>
      <c r="CB88" s="39"/>
      <c r="CC88" s="40"/>
      <c r="CD88" s="39"/>
      <c r="CE88" s="40"/>
      <c r="CF88" s="39"/>
      <c r="CG88" s="40"/>
      <c r="CH88" s="39"/>
      <c r="CI88" s="40"/>
      <c r="CJ88" s="39"/>
      <c r="CK88" s="40"/>
      <c r="CL88" s="39"/>
      <c r="CM88" s="40"/>
      <c r="CN88" s="39"/>
      <c r="CO88" s="40"/>
      <c r="CP88" s="39"/>
      <c r="CQ88" s="40"/>
      <c r="CR88" s="39"/>
      <c r="CS88" s="40"/>
      <c r="CT88" s="39"/>
      <c r="CU88" s="40"/>
      <c r="CV88" s="39"/>
      <c r="CW88" s="40"/>
      <c r="CX88" s="39"/>
      <c r="CY88" s="40"/>
      <c r="CZ88" s="39"/>
      <c r="DA88" s="40"/>
      <c r="DB88" s="39"/>
      <c r="DC88" s="40"/>
      <c r="DD88" s="39"/>
      <c r="DE88" s="40"/>
      <c r="DF88" s="39"/>
      <c r="DG88" s="40"/>
      <c r="DH88" s="39"/>
      <c r="DI88" s="40"/>
      <c r="DJ88" s="39"/>
      <c r="DK88" s="40"/>
      <c r="DL88" s="39"/>
      <c r="DM88" s="40"/>
      <c r="DN88" s="39"/>
      <c r="DO88" s="40"/>
      <c r="DP88" s="39"/>
      <c r="DQ88" s="40"/>
      <c r="DR88" s="39"/>
      <c r="DS88" s="40"/>
      <c r="DT88" s="39"/>
      <c r="DU88" s="40"/>
      <c r="DV88" s="39"/>
      <c r="DW88" s="40"/>
      <c r="DX88" s="39"/>
      <c r="DY88" s="40"/>
      <c r="DZ88" s="39"/>
      <c r="EA88" s="40"/>
      <c r="EB88" s="39"/>
      <c r="EC88" s="40"/>
      <c r="ED88" s="39"/>
      <c r="EE88" s="40"/>
      <c r="EF88" s="39"/>
      <c r="EG88" s="40"/>
      <c r="EH88" s="39"/>
      <c r="EI88" s="40"/>
      <c r="EJ88" s="39"/>
      <c r="EK88" s="40"/>
      <c r="EL88" s="39"/>
      <c r="EM88" s="40"/>
      <c r="EN88" s="39"/>
      <c r="EO88" s="40"/>
      <c r="EP88" s="39"/>
      <c r="EQ88" s="40"/>
      <c r="ER88" s="39"/>
      <c r="ES88" s="40"/>
      <c r="ET88" s="39"/>
      <c r="EU88" s="40"/>
      <c r="EV88" s="39"/>
      <c r="EW88" s="40"/>
      <c r="EX88" s="39"/>
      <c r="EY88" s="40"/>
      <c r="EZ88" s="39"/>
      <c r="FA88" s="40"/>
      <c r="FB88" s="39"/>
      <c r="FC88" s="40"/>
      <c r="FD88" s="39"/>
      <c r="FE88" s="40"/>
      <c r="FF88" s="39"/>
      <c r="FG88" s="40"/>
      <c r="FH88" s="39"/>
      <c r="FI88" s="40"/>
      <c r="FJ88" s="39"/>
      <c r="FK88" s="40"/>
      <c r="FL88" s="39"/>
      <c r="FM88" s="40"/>
      <c r="FN88" s="39"/>
      <c r="FO88" s="40"/>
      <c r="FP88" s="39"/>
      <c r="FQ88" s="40"/>
      <c r="FR88" s="39"/>
      <c r="FS88" s="40"/>
      <c r="FT88" s="39"/>
      <c r="FU88" s="40"/>
      <c r="FV88" s="39"/>
      <c r="FW88" s="40"/>
      <c r="FX88" s="39"/>
      <c r="FY88" s="40"/>
      <c r="FZ88" s="39"/>
      <c r="GA88" s="40"/>
      <c r="GB88" s="39"/>
      <c r="GC88" s="40"/>
      <c r="GD88" s="39"/>
      <c r="GE88" s="40"/>
      <c r="GF88" s="39"/>
      <c r="GG88" s="40"/>
      <c r="GH88" s="39"/>
      <c r="GI88" s="40"/>
      <c r="GJ88" s="39"/>
      <c r="GK88" s="40"/>
      <c r="GL88" s="39"/>
      <c r="GM88" s="40"/>
      <c r="GN88" s="39"/>
      <c r="GO88" s="40"/>
      <c r="GP88" s="39"/>
      <c r="GQ88" s="40"/>
      <c r="GR88" s="39"/>
      <c r="GS88" s="40"/>
      <c r="GT88" s="39"/>
      <c r="GU88" s="40"/>
      <c r="GV88" s="39"/>
      <c r="GW88" s="40"/>
      <c r="GX88" s="39"/>
      <c r="GY88" s="40"/>
      <c r="GZ88" s="39"/>
      <c r="HA88" s="40"/>
      <c r="HB88" s="39"/>
      <c r="HC88" s="40"/>
      <c r="HD88" s="39"/>
      <c r="HE88" s="40"/>
      <c r="HF88" s="39"/>
      <c r="HG88" s="40"/>
      <c r="HH88" s="39"/>
      <c r="HI88" s="40"/>
      <c r="HJ88" s="39"/>
      <c r="HK88" s="40"/>
      <c r="HL88" s="39"/>
      <c r="HM88" s="40"/>
      <c r="HN88" s="39"/>
      <c r="HO88" s="40"/>
      <c r="HP88" s="39"/>
      <c r="HQ88" s="40"/>
      <c r="HR88" s="39"/>
      <c r="HS88" s="40"/>
      <c r="HT88" s="39"/>
      <c r="HU88" s="40"/>
      <c r="HV88" s="39"/>
      <c r="HW88" s="40"/>
      <c r="HX88" s="39"/>
      <c r="HY88" s="40"/>
      <c r="HZ88" s="39"/>
      <c r="IA88" s="40"/>
      <c r="IB88" s="39"/>
      <c r="IC88" s="1068"/>
      <c r="ID88" s="645"/>
      <c r="IE88" s="646"/>
      <c r="IF88" s="645"/>
      <c r="IG88" s="646"/>
      <c r="IH88" s="645"/>
      <c r="II88" s="646"/>
      <c r="IJ88" s="645"/>
      <c r="IK88" s="646"/>
      <c r="IL88" s="645"/>
      <c r="IM88" s="646"/>
      <c r="IN88" s="645"/>
      <c r="IO88" s="646"/>
      <c r="IP88" s="645"/>
      <c r="IQ88" s="646"/>
      <c r="IR88" s="645"/>
      <c r="IS88" s="646"/>
      <c r="IT88" s="645"/>
      <c r="IU88" s="646"/>
      <c r="IV88" s="645"/>
      <c r="IW88" s="646"/>
      <c r="IX88" s="645"/>
      <c r="IY88" s="646"/>
      <c r="IZ88" s="645"/>
      <c r="JA88" s="646"/>
      <c r="JB88" s="645"/>
      <c r="JC88" s="646"/>
      <c r="JD88" s="645"/>
      <c r="JE88" s="646"/>
      <c r="JF88" s="645"/>
      <c r="JG88" s="646"/>
      <c r="JH88" s="645"/>
      <c r="JI88" s="646"/>
      <c r="JJ88" s="645"/>
      <c r="JK88" s="646"/>
      <c r="JL88" s="645"/>
      <c r="JM88" s="646"/>
      <c r="JN88" s="645"/>
      <c r="JO88" s="646"/>
      <c r="JP88" s="645"/>
      <c r="JQ88" s="646"/>
      <c r="JR88" s="645"/>
      <c r="JS88" s="646"/>
      <c r="JT88" s="645"/>
      <c r="JU88" s="646"/>
      <c r="JV88" s="645"/>
      <c r="JW88" s="646"/>
      <c r="JX88" s="645"/>
      <c r="JY88" s="646"/>
      <c r="JZ88" s="645"/>
      <c r="KA88" s="646"/>
      <c r="KB88" s="645"/>
      <c r="KC88" s="646"/>
      <c r="KD88" s="645"/>
      <c r="KE88" s="646"/>
      <c r="KF88" s="645"/>
      <c r="KG88" s="646"/>
      <c r="KH88" s="645"/>
      <c r="KI88" s="646"/>
      <c r="KJ88" s="645"/>
      <c r="KK88" s="646"/>
      <c r="KL88" s="645"/>
      <c r="KM88" s="646"/>
      <c r="KN88" s="645"/>
      <c r="KO88" s="646"/>
      <c r="KP88" s="645"/>
      <c r="KQ88" s="646"/>
      <c r="KR88" s="645"/>
      <c r="KS88" s="646"/>
      <c r="KT88" s="645"/>
      <c r="KU88" s="646"/>
      <c r="KV88" s="645"/>
      <c r="KW88" s="646"/>
      <c r="KX88" s="645"/>
      <c r="KY88" s="646"/>
      <c r="KZ88" s="645"/>
      <c r="LA88" s="646"/>
      <c r="LB88" s="645"/>
      <c r="LC88" s="646"/>
      <c r="LD88" s="645"/>
      <c r="LE88" s="646"/>
      <c r="LF88" s="645"/>
      <c r="LG88" s="646"/>
      <c r="LH88" s="645"/>
      <c r="LI88" s="646"/>
      <c r="LJ88" s="645"/>
      <c r="LK88" s="646"/>
      <c r="LL88" s="645"/>
      <c r="LM88" s="646"/>
      <c r="LN88" s="645"/>
      <c r="LO88" s="646"/>
      <c r="LP88" s="645"/>
      <c r="LQ88" s="646"/>
      <c r="LR88" s="645"/>
      <c r="LS88" s="646"/>
      <c r="LT88" s="645"/>
      <c r="LU88" s="646"/>
      <c r="LV88" s="645"/>
      <c r="LW88" s="646"/>
      <c r="LX88" s="645"/>
      <c r="LY88" s="646"/>
      <c r="LZ88" s="645"/>
      <c r="MA88" s="646"/>
      <c r="MB88" s="645"/>
      <c r="MC88" s="646"/>
      <c r="MD88" s="645"/>
      <c r="ME88" s="646"/>
      <c r="MF88" s="645"/>
      <c r="MG88" s="646"/>
      <c r="MH88" s="645"/>
      <c r="MI88" s="646"/>
      <c r="MJ88" s="645"/>
      <c r="MK88" s="646"/>
      <c r="ML88" s="645"/>
      <c r="MM88" s="646"/>
      <c r="MN88" s="645"/>
      <c r="MO88" s="646"/>
      <c r="MP88" s="645"/>
      <c r="MQ88" s="646"/>
      <c r="MR88" s="645"/>
      <c r="MS88" s="646"/>
      <c r="MT88" s="645"/>
      <c r="MU88" s="646"/>
      <c r="MV88" s="645"/>
      <c r="MW88" s="646"/>
      <c r="MX88" s="645"/>
      <c r="MY88" s="646"/>
      <c r="MZ88" s="645"/>
      <c r="NA88" s="646"/>
      <c r="NB88" s="645"/>
      <c r="NC88" s="646"/>
      <c r="ND88" s="645"/>
      <c r="NE88" s="646"/>
      <c r="NF88" s="645"/>
      <c r="NG88" s="646"/>
      <c r="NH88" s="645"/>
      <c r="NI88" s="646"/>
      <c r="NJ88" s="645"/>
      <c r="NK88" s="646"/>
      <c r="NL88" s="645"/>
      <c r="NM88" s="646"/>
      <c r="NN88" s="645"/>
      <c r="NO88" s="646"/>
      <c r="NP88" s="645"/>
      <c r="NQ88" s="646"/>
      <c r="NR88" s="645"/>
      <c r="NS88" s="646"/>
      <c r="NT88" s="645"/>
      <c r="NU88" s="646"/>
      <c r="NV88" s="645"/>
      <c r="NW88" s="646"/>
      <c r="NX88" s="645"/>
      <c r="NY88" s="646"/>
      <c r="NZ88" s="645"/>
      <c r="OA88" s="646"/>
      <c r="OB88" s="645"/>
      <c r="OC88" s="646"/>
      <c r="OD88" s="645"/>
      <c r="OE88" s="646"/>
      <c r="OF88" s="645"/>
      <c r="OG88" s="646"/>
      <c r="OH88" s="645"/>
      <c r="OI88" s="646"/>
      <c r="OJ88" s="645"/>
      <c r="OK88" s="646"/>
      <c r="OL88" s="645"/>
      <c r="OM88" s="646"/>
      <c r="ON88" s="645"/>
      <c r="OO88" s="646"/>
      <c r="OP88" s="645"/>
      <c r="OQ88" s="646"/>
      <c r="OR88" s="645"/>
      <c r="OS88" s="646"/>
      <c r="OT88" s="645"/>
      <c r="OU88" s="646"/>
      <c r="OV88" s="645"/>
      <c r="OW88" s="646"/>
      <c r="OX88" s="645"/>
      <c r="OY88" s="646"/>
      <c r="OZ88" s="645"/>
      <c r="PA88" s="646"/>
      <c r="PB88" s="645"/>
      <c r="PC88" s="646"/>
      <c r="PD88" s="645"/>
      <c r="PE88" s="646"/>
      <c r="PF88" s="645"/>
      <c r="PG88" s="646"/>
      <c r="PH88" s="645"/>
      <c r="PI88" s="646"/>
      <c r="PJ88" s="645"/>
      <c r="PK88" s="646"/>
      <c r="PL88" s="645"/>
      <c r="PM88" s="646"/>
      <c r="PN88" s="645"/>
      <c r="PO88" s="646"/>
      <c r="PP88" s="645"/>
      <c r="PQ88" s="646"/>
      <c r="PR88" s="645"/>
      <c r="PS88" s="646"/>
      <c r="PT88" s="645"/>
      <c r="PU88" s="646"/>
      <c r="PV88" s="645"/>
      <c r="PW88" s="646"/>
      <c r="PX88" s="645"/>
      <c r="PY88" s="646"/>
      <c r="PZ88" s="645"/>
      <c r="QA88" s="646"/>
      <c r="QB88" s="645"/>
      <c r="QC88" s="646"/>
      <c r="QD88" s="645"/>
      <c r="QE88" s="646"/>
      <c r="QF88" s="645"/>
      <c r="QG88" s="646"/>
      <c r="QH88" s="645"/>
      <c r="QI88" s="646"/>
      <c r="QJ88" s="645"/>
      <c r="QK88" s="646"/>
      <c r="QL88" s="645"/>
      <c r="QM88" s="646"/>
      <c r="QN88" s="645"/>
      <c r="QO88" s="646"/>
      <c r="QP88" s="645"/>
      <c r="QQ88" s="646"/>
      <c r="QR88" s="645"/>
      <c r="QS88" s="646"/>
      <c r="QT88" s="645"/>
      <c r="QU88" s="646"/>
      <c r="QV88" s="645"/>
      <c r="QW88" s="646"/>
      <c r="QX88" s="645"/>
      <c r="QY88" s="646"/>
      <c r="QZ88" s="645"/>
      <c r="RA88" s="646"/>
      <c r="RB88" s="645"/>
      <c r="RC88" s="646"/>
      <c r="RD88" s="645"/>
      <c r="RE88" s="646"/>
      <c r="RF88" s="645"/>
      <c r="RG88" s="646"/>
      <c r="RH88" s="645"/>
      <c r="RI88" s="646"/>
      <c r="RJ88" s="645"/>
      <c r="RK88" s="646"/>
      <c r="RL88" s="645"/>
      <c r="RM88" s="646"/>
      <c r="RN88" s="645"/>
      <c r="RO88" s="646"/>
      <c r="RP88" s="645"/>
      <c r="RQ88" s="646"/>
      <c r="RR88" s="645"/>
      <c r="RS88" s="646"/>
      <c r="RT88" s="645"/>
      <c r="RU88" s="646"/>
      <c r="RV88" s="645"/>
      <c r="RW88" s="646"/>
      <c r="RX88" s="645"/>
      <c r="RY88" s="646"/>
      <c r="RZ88" s="645"/>
      <c r="SA88" s="646"/>
      <c r="SB88" s="645"/>
      <c r="SC88" s="646"/>
      <c r="SD88" s="645"/>
      <c r="SE88" s="646"/>
      <c r="SF88" s="645"/>
      <c r="SG88" s="646"/>
      <c r="SH88" s="645"/>
      <c r="SI88" s="646"/>
      <c r="SJ88" s="645"/>
      <c r="SK88" s="646"/>
      <c r="SL88" s="645"/>
      <c r="SM88" s="646"/>
      <c r="SN88" s="645"/>
      <c r="SO88" s="646"/>
      <c r="SP88" s="645"/>
      <c r="SQ88" s="646"/>
      <c r="SR88" s="645"/>
      <c r="SS88" s="646"/>
      <c r="ST88" s="645"/>
      <c r="SU88" s="646"/>
      <c r="SV88" s="645"/>
      <c r="SW88" s="646"/>
      <c r="SX88" s="645"/>
      <c r="SY88" s="646"/>
      <c r="SZ88" s="645"/>
      <c r="TA88" s="646"/>
      <c r="TB88" s="645"/>
      <c r="TC88" s="646"/>
      <c r="TD88" s="645"/>
      <c r="TE88" s="646"/>
      <c r="TF88" s="645"/>
      <c r="TG88" s="646"/>
      <c r="TH88" s="645"/>
      <c r="TI88" s="646"/>
      <c r="TJ88" s="645"/>
      <c r="TK88" s="646"/>
      <c r="TL88" s="645"/>
      <c r="TM88" s="646"/>
      <c r="TN88" s="645"/>
      <c r="TO88" s="646"/>
      <c r="TP88" s="645"/>
      <c r="TQ88" s="646"/>
      <c r="TR88" s="645"/>
      <c r="TS88" s="646"/>
      <c r="TT88" s="645"/>
      <c r="TU88" s="646"/>
      <c r="TV88" s="645"/>
      <c r="TW88" s="646"/>
      <c r="TX88" s="645"/>
      <c r="TY88" s="646"/>
      <c r="TZ88" s="645"/>
      <c r="UA88" s="646"/>
      <c r="UB88" s="645"/>
      <c r="UC88" s="646"/>
      <c r="UD88" s="645"/>
      <c r="UE88" s="646"/>
      <c r="UF88" s="645"/>
      <c r="UG88" s="646"/>
      <c r="UH88" s="645"/>
      <c r="UI88" s="646"/>
      <c r="UJ88" s="645"/>
      <c r="UK88" s="646"/>
      <c r="UL88" s="645"/>
      <c r="UM88" s="646"/>
      <c r="UN88" s="645"/>
      <c r="UO88" s="646"/>
      <c r="UP88" s="645"/>
      <c r="UQ88" s="646"/>
      <c r="UR88" s="645"/>
      <c r="US88" s="646"/>
      <c r="UT88" s="645"/>
      <c r="UU88" s="646"/>
      <c r="UV88" s="645"/>
      <c r="UW88" s="646"/>
      <c r="UX88" s="645"/>
      <c r="UY88" s="646"/>
      <c r="UZ88" s="645"/>
      <c r="VA88" s="646"/>
      <c r="VB88" s="645"/>
      <c r="VC88" s="646"/>
      <c r="VD88" s="645"/>
      <c r="VE88" s="646"/>
      <c r="VF88" s="645"/>
      <c r="VG88" s="646"/>
      <c r="VH88" s="645"/>
      <c r="VI88" s="646"/>
      <c r="VJ88" s="645"/>
      <c r="VK88" s="646"/>
      <c r="VL88" s="645"/>
      <c r="VM88" s="646"/>
      <c r="VN88" s="645"/>
      <c r="VO88" s="646"/>
      <c r="VP88" s="645"/>
      <c r="VQ88" s="646"/>
      <c r="VR88" s="645"/>
      <c r="VS88" s="646"/>
      <c r="VT88" s="645"/>
      <c r="VU88" s="646"/>
      <c r="VV88" s="645"/>
      <c r="VW88" s="646"/>
      <c r="VX88" s="645"/>
      <c r="VY88" s="646"/>
      <c r="VZ88" s="645"/>
      <c r="WA88" s="646"/>
      <c r="WB88" s="645"/>
      <c r="WC88" s="646"/>
      <c r="WD88" s="645"/>
      <c r="WE88" s="646"/>
      <c r="WF88" s="645"/>
      <c r="WG88" s="646"/>
      <c r="WH88" s="645"/>
      <c r="WI88" s="646"/>
      <c r="WJ88" s="645"/>
      <c r="WK88" s="646"/>
      <c r="WL88" s="645"/>
      <c r="WM88" s="646"/>
      <c r="WN88" s="645"/>
      <c r="WO88" s="646"/>
      <c r="WP88" s="645"/>
      <c r="WQ88" s="646"/>
      <c r="WR88" s="645"/>
      <c r="WS88" s="646"/>
      <c r="WT88" s="645"/>
      <c r="WU88" s="646"/>
      <c r="WV88" s="645"/>
      <c r="WW88" s="646"/>
      <c r="WX88" s="645"/>
      <c r="WY88" s="646"/>
      <c r="WZ88" s="645"/>
      <c r="XA88" s="646"/>
      <c r="XB88" s="645"/>
      <c r="XC88" s="646"/>
      <c r="XD88" s="645"/>
      <c r="XE88" s="646"/>
      <c r="XF88" s="645"/>
      <c r="XG88" s="646"/>
      <c r="XH88" s="645"/>
      <c r="XI88" s="646"/>
      <c r="XJ88" s="645"/>
      <c r="XK88" s="646"/>
      <c r="XL88" s="645"/>
      <c r="XM88" s="646"/>
      <c r="XN88" s="645"/>
      <c r="XO88" s="646"/>
      <c r="XP88" s="645"/>
      <c r="XQ88" s="646"/>
      <c r="XR88" s="645"/>
      <c r="XS88" s="646"/>
      <c r="XT88" s="645"/>
      <c r="XU88" s="646"/>
      <c r="XV88" s="645"/>
      <c r="XW88" s="646"/>
      <c r="XX88" s="645"/>
      <c r="XY88" s="646"/>
      <c r="XZ88" s="645"/>
      <c r="YA88" s="646"/>
      <c r="YB88" s="645"/>
      <c r="YC88" s="646"/>
      <c r="YD88" s="645"/>
      <c r="YE88" s="646"/>
      <c r="YF88" s="645"/>
      <c r="YG88" s="646"/>
      <c r="YH88" s="645"/>
      <c r="YI88" s="646"/>
      <c r="YJ88" s="645"/>
      <c r="YK88" s="646"/>
      <c r="YL88" s="645"/>
      <c r="YM88" s="646"/>
      <c r="YN88" s="645"/>
      <c r="YO88" s="646"/>
      <c r="YP88" s="645"/>
      <c r="YQ88" s="646"/>
      <c r="YR88" s="645"/>
      <c r="YS88" s="646"/>
      <c r="YT88" s="645"/>
      <c r="YU88" s="646"/>
      <c r="YV88" s="645"/>
      <c r="YW88" s="646"/>
      <c r="YX88" s="645"/>
      <c r="YY88" s="646"/>
      <c r="YZ88" s="645"/>
      <c r="ZA88" s="646"/>
      <c r="ZB88" s="645"/>
      <c r="ZC88" s="646"/>
      <c r="ZD88" s="645"/>
      <c r="ZE88" s="646"/>
      <c r="ZF88" s="645"/>
      <c r="ZG88" s="646"/>
      <c r="ZH88" s="645"/>
      <c r="ZI88" s="646"/>
      <c r="ZJ88" s="645"/>
      <c r="ZK88" s="646"/>
      <c r="ZL88" s="645"/>
      <c r="ZM88" s="646"/>
      <c r="ZN88" s="645"/>
      <c r="ZO88" s="646"/>
      <c r="ZP88" s="645"/>
      <c r="ZQ88" s="646"/>
      <c r="ZR88" s="645"/>
      <c r="ZS88" s="646"/>
      <c r="ZT88" s="645"/>
      <c r="ZU88" s="646"/>
      <c r="ZV88" s="645"/>
      <c r="ZW88" s="646"/>
      <c r="ZX88" s="645"/>
      <c r="ZY88" s="646"/>
      <c r="ZZ88" s="645"/>
      <c r="AAA88" s="646"/>
      <c r="AAB88" s="645"/>
      <c r="AAC88" s="646"/>
      <c r="AAD88" s="645"/>
      <c r="AAE88" s="646"/>
      <c r="AAF88" s="645"/>
      <c r="AAG88" s="646"/>
      <c r="AAH88" s="645"/>
      <c r="AAI88" s="646"/>
      <c r="AAJ88" s="645"/>
      <c r="AAK88" s="646"/>
      <c r="AAL88" s="645"/>
      <c r="AAM88" s="646"/>
      <c r="AAN88" s="645"/>
      <c r="AAO88" s="646"/>
      <c r="AAP88" s="645"/>
      <c r="AAQ88" s="646"/>
      <c r="AAR88" s="645"/>
      <c r="AAS88" s="646"/>
      <c r="AAT88" s="645"/>
      <c r="AAU88" s="646"/>
      <c r="AAV88" s="645"/>
      <c r="AAW88" s="646"/>
      <c r="AAX88" s="645"/>
      <c r="AAY88" s="646"/>
      <c r="AAZ88" s="645"/>
      <c r="ABA88" s="646"/>
      <c r="ABB88" s="645"/>
      <c r="ABC88" s="646"/>
      <c r="ABD88" s="645"/>
      <c r="ABE88" s="646"/>
      <c r="ABF88" s="645"/>
      <c r="ABG88" s="646"/>
      <c r="ABH88" s="645"/>
      <c r="ABI88" s="646"/>
      <c r="ABJ88" s="645"/>
      <c r="ABK88" s="646"/>
      <c r="ABL88" s="645"/>
      <c r="ABM88" s="646"/>
      <c r="ABN88" s="645"/>
      <c r="ABO88" s="646"/>
      <c r="ABP88" s="645"/>
      <c r="ABQ88" s="646"/>
      <c r="ABR88" s="645"/>
      <c r="ABS88" s="646"/>
      <c r="ABT88" s="645"/>
      <c r="ABU88" s="646"/>
      <c r="ABV88" s="645"/>
      <c r="ABW88" s="646"/>
      <c r="ABX88" s="645"/>
      <c r="ABY88" s="646"/>
      <c r="ABZ88" s="645"/>
      <c r="ACA88" s="646"/>
      <c r="ACB88" s="645"/>
      <c r="ACC88" s="646"/>
      <c r="ACD88" s="645"/>
      <c r="ACE88" s="646"/>
      <c r="ACF88" s="645"/>
      <c r="ACG88" s="646"/>
      <c r="ACH88" s="645"/>
      <c r="ACI88" s="646"/>
      <c r="ACJ88" s="645"/>
      <c r="ACK88" s="646"/>
      <c r="ACL88" s="645"/>
      <c r="ACM88" s="646"/>
      <c r="ACN88" s="645"/>
      <c r="ACO88" s="646"/>
      <c r="ACP88" s="645"/>
      <c r="ACQ88" s="646"/>
      <c r="ACR88" s="645"/>
      <c r="ACS88" s="646"/>
      <c r="ACT88" s="645"/>
      <c r="ACU88" s="646"/>
      <c r="ACV88" s="645"/>
      <c r="ACW88" s="646"/>
      <c r="ACX88" s="645"/>
      <c r="ACY88" s="646"/>
      <c r="ACZ88" s="645"/>
      <c r="ADA88" s="646"/>
      <c r="ADB88" s="645"/>
      <c r="ADC88" s="646"/>
      <c r="ADD88" s="645"/>
      <c r="ADE88" s="646"/>
      <c r="ADF88" s="645"/>
      <c r="ADG88" s="646"/>
      <c r="ADH88" s="645"/>
      <c r="ADI88" s="646"/>
      <c r="ADJ88" s="645"/>
      <c r="ADK88" s="646"/>
      <c r="ADL88" s="645"/>
      <c r="ADM88" s="646"/>
      <c r="ADN88" s="645"/>
      <c r="ADO88" s="646"/>
      <c r="ADP88" s="645"/>
      <c r="ADQ88" s="646"/>
      <c r="ADR88" s="645"/>
      <c r="ADS88" s="646"/>
      <c r="ADT88" s="645"/>
      <c r="ADU88" s="646"/>
      <c r="ADV88" s="645"/>
      <c r="ADW88" s="646"/>
      <c r="ADX88" s="645"/>
      <c r="ADY88" s="646"/>
      <c r="ADZ88" s="645"/>
      <c r="AEA88" s="646"/>
      <c r="AEB88" s="645"/>
      <c r="AEC88" s="646"/>
      <c r="AED88" s="645"/>
      <c r="AEE88" s="646"/>
      <c r="AEF88" s="645"/>
      <c r="AEG88" s="646"/>
      <c r="AEH88" s="645"/>
      <c r="AEI88" s="646"/>
      <c r="AEJ88" s="645"/>
      <c r="AEK88" s="646"/>
      <c r="AEL88" s="645"/>
      <c r="AEM88" s="646"/>
      <c r="AEN88" s="645"/>
      <c r="AEO88" s="646"/>
      <c r="AEP88" s="645"/>
      <c r="AEQ88" s="646"/>
      <c r="AER88" s="645"/>
      <c r="AES88" s="646"/>
      <c r="AET88" s="645"/>
      <c r="AEU88" s="646"/>
      <c r="AEV88" s="645"/>
      <c r="AEW88" s="646"/>
      <c r="AEX88" s="645"/>
      <c r="AEY88" s="646"/>
      <c r="AEZ88" s="645"/>
      <c r="AFA88" s="646"/>
      <c r="AFB88" s="645"/>
      <c r="AFC88" s="646"/>
      <c r="AFD88" s="645"/>
      <c r="AFE88" s="646"/>
      <c r="AFF88" s="645"/>
      <c r="AFG88" s="646"/>
      <c r="AFH88" s="645"/>
      <c r="AFI88" s="646"/>
      <c r="AFJ88" s="645"/>
      <c r="AFK88" s="646"/>
      <c r="AFL88" s="645"/>
      <c r="AFM88" s="646"/>
      <c r="AFN88" s="645"/>
      <c r="AFO88" s="646"/>
      <c r="AFP88" s="645"/>
      <c r="AFQ88" s="646"/>
      <c r="AFR88" s="645"/>
      <c r="AFS88" s="646"/>
      <c r="AFT88" s="645"/>
      <c r="AFU88" s="646"/>
      <c r="AFV88" s="645"/>
      <c r="AFW88" s="646"/>
      <c r="AFX88" s="645"/>
      <c r="AFY88" s="646"/>
      <c r="AFZ88" s="645"/>
      <c r="AGA88" s="646"/>
      <c r="AGB88" s="645"/>
      <c r="AGC88" s="646"/>
      <c r="AGD88" s="645"/>
      <c r="AGE88" s="646"/>
      <c r="AGF88" s="645"/>
      <c r="AGG88" s="646"/>
      <c r="AGH88" s="645"/>
      <c r="AGI88" s="646"/>
      <c r="AGJ88" s="645"/>
      <c r="AGK88" s="646"/>
      <c r="AGL88" s="645"/>
      <c r="AGM88" s="646"/>
      <c r="AGN88" s="645"/>
      <c r="AGO88" s="646"/>
      <c r="AGP88" s="645"/>
      <c r="AGQ88" s="646"/>
      <c r="AGR88" s="645"/>
      <c r="AGS88" s="646"/>
      <c r="AGT88" s="645"/>
      <c r="AGU88" s="646"/>
      <c r="AGV88" s="645"/>
      <c r="AGW88" s="646"/>
      <c r="AGX88" s="645"/>
      <c r="AGY88" s="646"/>
      <c r="AGZ88" s="645"/>
      <c r="AHA88" s="646"/>
      <c r="AHB88" s="645"/>
      <c r="AHC88" s="646"/>
      <c r="AHD88" s="645"/>
      <c r="AHE88" s="646"/>
      <c r="AHF88" s="645"/>
      <c r="AHG88" s="646"/>
      <c r="AHH88" s="645"/>
      <c r="AHI88" s="646"/>
      <c r="AHJ88" s="645"/>
      <c r="AHK88" s="646"/>
      <c r="AHL88" s="645"/>
      <c r="AHM88" s="646"/>
      <c r="AHN88" s="645"/>
      <c r="AHO88" s="646"/>
      <c r="AHP88" s="645"/>
      <c r="AHQ88" s="646"/>
      <c r="AHR88" s="645"/>
      <c r="AHS88" s="646"/>
      <c r="AHT88" s="645"/>
      <c r="AHU88" s="646"/>
      <c r="AHV88" s="645"/>
      <c r="AHW88" s="646"/>
      <c r="AHX88" s="645"/>
      <c r="AHY88" s="646"/>
      <c r="AHZ88" s="645"/>
      <c r="AIA88" s="646"/>
      <c r="AIB88" s="645"/>
      <c r="AIC88" s="646"/>
      <c r="AID88" s="645"/>
      <c r="AIE88" s="646"/>
      <c r="AIF88" s="645"/>
      <c r="AIG88" s="646"/>
      <c r="AIH88" s="645"/>
      <c r="AII88" s="646"/>
      <c r="AIJ88" s="645"/>
      <c r="AIK88" s="646"/>
      <c r="AIL88" s="645"/>
      <c r="AIM88" s="646"/>
      <c r="AIN88" s="645"/>
      <c r="AIO88" s="646"/>
      <c r="AIP88" s="645"/>
      <c r="AIQ88" s="645"/>
      <c r="AIR88" s="645"/>
      <c r="AIS88" s="645"/>
      <c r="AIT88" s="645"/>
      <c r="AIU88" s="645"/>
      <c r="AIV88" s="645"/>
      <c r="AIW88" s="645"/>
      <c r="AIX88" s="645"/>
      <c r="AIY88" s="645"/>
      <c r="AIZ88" s="645"/>
      <c r="AJA88" s="645"/>
      <c r="AJB88" s="645"/>
      <c r="AJC88" s="645"/>
      <c r="AJD88" s="645"/>
      <c r="AJE88" s="645"/>
      <c r="AJF88" s="645"/>
      <c r="AJG88" s="645"/>
      <c r="AJH88" s="645"/>
      <c r="AJI88" s="645"/>
      <c r="AJJ88" s="645"/>
      <c r="AJK88" s="645"/>
      <c r="AJL88" s="645"/>
      <c r="AJM88" s="645"/>
      <c r="AJN88" s="645"/>
      <c r="AJO88" s="645"/>
      <c r="AJP88" s="645"/>
      <c r="AJQ88" s="645"/>
      <c r="AJR88" s="645"/>
      <c r="AJS88" s="645"/>
      <c r="AJT88" s="645"/>
      <c r="AJU88" s="645"/>
      <c r="AJV88" s="645"/>
      <c r="AJW88" s="645"/>
      <c r="AJX88" s="645"/>
      <c r="AJY88" s="645"/>
      <c r="AJZ88" s="645"/>
      <c r="AKA88" s="645"/>
      <c r="AKB88" s="645"/>
      <c r="AKC88" s="645"/>
      <c r="AKD88" s="645"/>
      <c r="AKE88" s="645"/>
      <c r="AKF88" s="645"/>
      <c r="AKG88" s="645"/>
      <c r="AKH88" s="645"/>
      <c r="AKI88" s="645"/>
      <c r="AKJ88" s="645"/>
      <c r="AKK88" s="645"/>
      <c r="AKL88" s="645"/>
      <c r="AKM88" s="645"/>
      <c r="AKN88" s="645"/>
      <c r="AKO88" s="645"/>
      <c r="AKP88" s="645"/>
      <c r="AKQ88" s="645"/>
      <c r="AKR88" s="645"/>
      <c r="AKS88" s="645"/>
      <c r="AKT88" s="645"/>
      <c r="AKU88" s="645"/>
      <c r="AKV88" s="645"/>
      <c r="AKW88" s="645"/>
      <c r="AKX88" s="645"/>
      <c r="AKY88" s="645"/>
      <c r="AKZ88" s="645"/>
      <c r="ALA88" s="645"/>
      <c r="ALB88" s="645"/>
      <c r="ALC88" s="645"/>
      <c r="ALD88" s="645"/>
      <c r="ALE88" s="645"/>
      <c r="ALF88" s="645"/>
      <c r="ALG88" s="645"/>
      <c r="ALH88" s="645"/>
      <c r="ALI88" s="645"/>
      <c r="ALJ88" s="645"/>
      <c r="ALK88" s="645"/>
      <c r="ALL88" s="645"/>
      <c r="ALM88" s="645"/>
      <c r="ALN88" s="645"/>
      <c r="ALO88" s="645"/>
      <c r="ALP88" s="645"/>
      <c r="ALQ88" s="645"/>
      <c r="ALR88" s="645"/>
      <c r="ALS88" s="645"/>
      <c r="ALT88" s="645"/>
      <c r="ALU88" s="645"/>
      <c r="ALV88" s="645"/>
      <c r="ALW88" s="645"/>
      <c r="ALX88" s="645"/>
      <c r="ALY88" s="645"/>
      <c r="ALZ88" s="645"/>
      <c r="AMA88" s="645"/>
      <c r="AMB88" s="645"/>
      <c r="AMC88" s="645"/>
      <c r="AMD88" s="645"/>
      <c r="AME88" s="645"/>
      <c r="AMF88" s="645"/>
      <c r="AMG88" s="645"/>
      <c r="AMH88" s="645"/>
      <c r="AMI88" s="645"/>
      <c r="AMJ88" s="645"/>
    </row>
    <row r="89" spans="1:1024" s="37" customFormat="1" ht="15.75" customHeight="1" x14ac:dyDescent="0.35">
      <c r="A89" s="600"/>
      <c r="B89" s="601" t="s">
        <v>343</v>
      </c>
      <c r="C89" s="645"/>
      <c r="D89" s="646"/>
      <c r="E89" s="645"/>
      <c r="F89" s="646"/>
      <c r="G89" s="647" t="s">
        <v>243</v>
      </c>
      <c r="H89" s="643"/>
      <c r="I89" s="645"/>
      <c r="J89" s="38"/>
      <c r="K89" s="38"/>
      <c r="L89" s="39"/>
      <c r="M89" s="38"/>
      <c r="N89" s="39"/>
      <c r="O89" s="38"/>
      <c r="P89" s="39"/>
      <c r="Q89" s="38"/>
      <c r="R89" s="39"/>
      <c r="S89" s="38"/>
      <c r="T89" s="39"/>
      <c r="U89" s="38"/>
      <c r="V89" s="39"/>
      <c r="W89" s="38"/>
      <c r="X89" s="39"/>
      <c r="Y89" s="38"/>
      <c r="Z89" s="39"/>
      <c r="AA89" s="38"/>
      <c r="AB89" s="39"/>
      <c r="AC89" s="38"/>
      <c r="AD89" s="39"/>
      <c r="AE89" s="38"/>
      <c r="AF89" s="39"/>
      <c r="AG89" s="38"/>
      <c r="AH89" s="39"/>
      <c r="AI89" s="38"/>
      <c r="AJ89" s="39"/>
      <c r="AK89" s="40"/>
      <c r="AL89" s="39"/>
      <c r="AM89" s="40"/>
      <c r="AN89" s="39"/>
      <c r="AO89" s="40"/>
      <c r="AP89" s="39"/>
      <c r="AQ89" s="40"/>
      <c r="AR89" s="39"/>
      <c r="AS89" s="40"/>
      <c r="AT89" s="39"/>
      <c r="AU89" s="40"/>
      <c r="AV89" s="39"/>
      <c r="AW89" s="40"/>
      <c r="AX89" s="39"/>
      <c r="AY89" s="40"/>
      <c r="AZ89" s="39"/>
      <c r="BA89" s="40"/>
      <c r="BB89" s="39"/>
      <c r="BC89" s="40"/>
      <c r="BD89" s="39"/>
      <c r="BE89" s="40"/>
      <c r="BF89" s="39"/>
      <c r="BG89" s="40"/>
      <c r="BH89" s="39"/>
      <c r="BI89" s="40"/>
      <c r="BJ89" s="39"/>
      <c r="BK89" s="40"/>
      <c r="BL89" s="39"/>
      <c r="BM89" s="40"/>
      <c r="BN89" s="39"/>
      <c r="BO89" s="40"/>
      <c r="BP89" s="39"/>
      <c r="BQ89" s="40"/>
      <c r="BR89" s="39"/>
      <c r="BS89" s="40"/>
      <c r="BT89" s="39"/>
      <c r="BU89" s="40"/>
      <c r="BV89" s="39"/>
      <c r="BW89" s="40"/>
      <c r="BX89" s="39"/>
      <c r="BY89" s="40"/>
      <c r="BZ89" s="39"/>
      <c r="CA89" s="40"/>
      <c r="CB89" s="39"/>
      <c r="CC89" s="40"/>
      <c r="CD89" s="39"/>
      <c r="CE89" s="40"/>
      <c r="CF89" s="39"/>
      <c r="CG89" s="40"/>
      <c r="CH89" s="39"/>
      <c r="CI89" s="40"/>
      <c r="CJ89" s="39"/>
      <c r="CK89" s="40"/>
      <c r="CL89" s="39"/>
      <c r="CM89" s="40"/>
      <c r="CN89" s="39"/>
      <c r="CO89" s="40"/>
      <c r="CP89" s="39"/>
      <c r="CQ89" s="40"/>
      <c r="CR89" s="39"/>
      <c r="CS89" s="40"/>
      <c r="CT89" s="39"/>
      <c r="CU89" s="40"/>
      <c r="CV89" s="39"/>
      <c r="CW89" s="40"/>
      <c r="CX89" s="39"/>
      <c r="CY89" s="40"/>
      <c r="CZ89" s="39"/>
      <c r="DA89" s="40"/>
      <c r="DB89" s="39"/>
      <c r="DC89" s="40"/>
      <c r="DD89" s="39"/>
      <c r="DE89" s="40"/>
      <c r="DF89" s="39"/>
      <c r="DG89" s="40"/>
      <c r="DH89" s="39"/>
      <c r="DI89" s="40"/>
      <c r="DJ89" s="39"/>
      <c r="DK89" s="40"/>
      <c r="DL89" s="39"/>
      <c r="DM89" s="40"/>
      <c r="DN89" s="39"/>
      <c r="DO89" s="40"/>
      <c r="DP89" s="39"/>
      <c r="DQ89" s="40"/>
      <c r="DR89" s="39"/>
      <c r="DS89" s="40"/>
      <c r="DT89" s="39"/>
      <c r="DU89" s="40"/>
      <c r="DV89" s="39"/>
      <c r="DW89" s="40"/>
      <c r="DX89" s="39"/>
      <c r="DY89" s="40"/>
      <c r="DZ89" s="39"/>
      <c r="EA89" s="40"/>
      <c r="EB89" s="39"/>
      <c r="EC89" s="40"/>
      <c r="ED89" s="39"/>
      <c r="EE89" s="40"/>
      <c r="EF89" s="39"/>
      <c r="EG89" s="40"/>
      <c r="EH89" s="39"/>
      <c r="EI89" s="40"/>
      <c r="EJ89" s="39"/>
      <c r="EK89" s="40"/>
      <c r="EL89" s="39"/>
      <c r="EM89" s="40"/>
      <c r="EN89" s="39"/>
      <c r="EO89" s="40"/>
      <c r="EP89" s="39"/>
      <c r="EQ89" s="40"/>
      <c r="ER89" s="39"/>
      <c r="ES89" s="40"/>
      <c r="ET89" s="39"/>
      <c r="EU89" s="40"/>
      <c r="EV89" s="39"/>
      <c r="EW89" s="40"/>
      <c r="EX89" s="39"/>
      <c r="EY89" s="40"/>
      <c r="EZ89" s="39"/>
      <c r="FA89" s="40"/>
      <c r="FB89" s="39"/>
      <c r="FC89" s="40"/>
      <c r="FD89" s="39"/>
      <c r="FE89" s="40"/>
      <c r="FF89" s="39"/>
      <c r="FG89" s="40"/>
      <c r="FH89" s="39"/>
      <c r="FI89" s="40"/>
      <c r="FJ89" s="39"/>
      <c r="FK89" s="40"/>
      <c r="FL89" s="39"/>
      <c r="FM89" s="40"/>
      <c r="FN89" s="39"/>
      <c r="FO89" s="40"/>
      <c r="FP89" s="39"/>
      <c r="FQ89" s="40"/>
      <c r="FR89" s="39"/>
      <c r="FS89" s="40"/>
      <c r="FT89" s="39"/>
      <c r="FU89" s="40"/>
      <c r="FV89" s="39"/>
      <c r="FW89" s="40"/>
      <c r="FX89" s="39"/>
      <c r="FY89" s="40"/>
      <c r="FZ89" s="39"/>
      <c r="GA89" s="40"/>
      <c r="GB89" s="39"/>
      <c r="GC89" s="40"/>
      <c r="GD89" s="39"/>
      <c r="GE89" s="40"/>
      <c r="GF89" s="39"/>
      <c r="GG89" s="40"/>
      <c r="GH89" s="39"/>
      <c r="GI89" s="40"/>
      <c r="GJ89" s="39"/>
      <c r="GK89" s="40"/>
      <c r="GL89" s="39"/>
      <c r="GM89" s="40"/>
      <c r="GN89" s="39"/>
      <c r="GO89" s="40"/>
      <c r="GP89" s="39"/>
      <c r="GQ89" s="40"/>
      <c r="GR89" s="39"/>
      <c r="GS89" s="40"/>
      <c r="GT89" s="39"/>
      <c r="GU89" s="40"/>
      <c r="GV89" s="39"/>
      <c r="GW89" s="40"/>
      <c r="GX89" s="39"/>
      <c r="GY89" s="40"/>
      <c r="GZ89" s="39"/>
      <c r="HA89" s="40"/>
      <c r="HB89" s="39"/>
      <c r="HC89" s="40"/>
      <c r="HD89" s="39"/>
      <c r="HE89" s="40"/>
      <c r="HF89" s="39"/>
      <c r="HG89" s="40"/>
      <c r="HH89" s="39"/>
      <c r="HI89" s="40"/>
      <c r="HJ89" s="39"/>
      <c r="HK89" s="40"/>
      <c r="HL89" s="39"/>
      <c r="HM89" s="40"/>
      <c r="HN89" s="39"/>
      <c r="HO89" s="40"/>
      <c r="HP89" s="39"/>
      <c r="HQ89" s="40"/>
      <c r="HR89" s="39"/>
      <c r="HS89" s="40"/>
      <c r="HT89" s="39"/>
      <c r="HU89" s="40"/>
      <c r="HV89" s="39"/>
      <c r="HW89" s="40"/>
      <c r="HX89" s="39"/>
      <c r="HY89" s="40"/>
      <c r="HZ89" s="39"/>
      <c r="IA89" s="40"/>
      <c r="IB89" s="39"/>
      <c r="IC89" s="1068"/>
      <c r="ID89" s="645"/>
      <c r="IE89" s="646"/>
      <c r="IF89" s="645"/>
      <c r="IG89" s="646"/>
      <c r="IH89" s="645"/>
      <c r="II89" s="646"/>
      <c r="IJ89" s="645"/>
      <c r="IK89" s="646"/>
      <c r="IL89" s="645"/>
      <c r="IM89" s="646"/>
      <c r="IN89" s="645"/>
      <c r="IO89" s="646"/>
      <c r="IP89" s="645"/>
      <c r="IQ89" s="646"/>
      <c r="IR89" s="645"/>
      <c r="IS89" s="646"/>
      <c r="IT89" s="645"/>
      <c r="IU89" s="646"/>
      <c r="IV89" s="645"/>
      <c r="IW89" s="646"/>
      <c r="IX89" s="645"/>
      <c r="IY89" s="646"/>
      <c r="IZ89" s="645"/>
      <c r="JA89" s="646"/>
      <c r="JB89" s="645"/>
      <c r="JC89" s="646"/>
      <c r="JD89" s="645"/>
      <c r="JE89" s="646"/>
      <c r="JF89" s="645"/>
      <c r="JG89" s="646"/>
      <c r="JH89" s="645"/>
      <c r="JI89" s="646"/>
      <c r="JJ89" s="645"/>
      <c r="JK89" s="646"/>
      <c r="JL89" s="645"/>
      <c r="JM89" s="646"/>
      <c r="JN89" s="645"/>
      <c r="JO89" s="646"/>
      <c r="JP89" s="645"/>
      <c r="JQ89" s="646"/>
      <c r="JR89" s="645"/>
      <c r="JS89" s="646"/>
      <c r="JT89" s="645"/>
      <c r="JU89" s="646"/>
      <c r="JV89" s="645"/>
      <c r="JW89" s="646"/>
      <c r="JX89" s="645"/>
      <c r="JY89" s="646"/>
      <c r="JZ89" s="645"/>
      <c r="KA89" s="646"/>
      <c r="KB89" s="645"/>
      <c r="KC89" s="646"/>
      <c r="KD89" s="645"/>
      <c r="KE89" s="646"/>
      <c r="KF89" s="645"/>
      <c r="KG89" s="646"/>
      <c r="KH89" s="645"/>
      <c r="KI89" s="646"/>
      <c r="KJ89" s="645"/>
      <c r="KK89" s="646"/>
      <c r="KL89" s="645"/>
      <c r="KM89" s="646"/>
      <c r="KN89" s="645"/>
      <c r="KO89" s="646"/>
      <c r="KP89" s="645"/>
      <c r="KQ89" s="646"/>
      <c r="KR89" s="645"/>
      <c r="KS89" s="646"/>
      <c r="KT89" s="645"/>
      <c r="KU89" s="646"/>
      <c r="KV89" s="645"/>
      <c r="KW89" s="646"/>
      <c r="KX89" s="645"/>
      <c r="KY89" s="646"/>
      <c r="KZ89" s="645"/>
      <c r="LA89" s="646"/>
      <c r="LB89" s="645"/>
      <c r="LC89" s="646"/>
      <c r="LD89" s="645"/>
      <c r="LE89" s="646"/>
      <c r="LF89" s="645"/>
      <c r="LG89" s="646"/>
      <c r="LH89" s="645"/>
      <c r="LI89" s="646"/>
      <c r="LJ89" s="645"/>
      <c r="LK89" s="646"/>
      <c r="LL89" s="645"/>
      <c r="LM89" s="646"/>
      <c r="LN89" s="645"/>
      <c r="LO89" s="646"/>
      <c r="LP89" s="645"/>
      <c r="LQ89" s="646"/>
      <c r="LR89" s="645"/>
      <c r="LS89" s="646"/>
      <c r="LT89" s="645"/>
      <c r="LU89" s="646"/>
      <c r="LV89" s="645"/>
      <c r="LW89" s="646"/>
      <c r="LX89" s="645"/>
      <c r="LY89" s="646"/>
      <c r="LZ89" s="645"/>
      <c r="MA89" s="646"/>
      <c r="MB89" s="645"/>
      <c r="MC89" s="646"/>
      <c r="MD89" s="645"/>
      <c r="ME89" s="646"/>
      <c r="MF89" s="645"/>
      <c r="MG89" s="646"/>
      <c r="MH89" s="645"/>
      <c r="MI89" s="646"/>
      <c r="MJ89" s="645"/>
      <c r="MK89" s="646"/>
      <c r="ML89" s="645"/>
      <c r="MM89" s="646"/>
      <c r="MN89" s="645"/>
      <c r="MO89" s="646"/>
      <c r="MP89" s="645"/>
      <c r="MQ89" s="646"/>
      <c r="MR89" s="645"/>
      <c r="MS89" s="646"/>
      <c r="MT89" s="645"/>
      <c r="MU89" s="646"/>
      <c r="MV89" s="645"/>
      <c r="MW89" s="646"/>
      <c r="MX89" s="645"/>
      <c r="MY89" s="646"/>
      <c r="MZ89" s="645"/>
      <c r="NA89" s="646"/>
      <c r="NB89" s="645"/>
      <c r="NC89" s="646"/>
      <c r="ND89" s="645"/>
      <c r="NE89" s="646"/>
      <c r="NF89" s="645"/>
      <c r="NG89" s="646"/>
      <c r="NH89" s="645"/>
      <c r="NI89" s="646"/>
      <c r="NJ89" s="645"/>
      <c r="NK89" s="646"/>
      <c r="NL89" s="645"/>
      <c r="NM89" s="646"/>
      <c r="NN89" s="645"/>
      <c r="NO89" s="646"/>
      <c r="NP89" s="645"/>
      <c r="NQ89" s="646"/>
      <c r="NR89" s="645"/>
      <c r="NS89" s="646"/>
      <c r="NT89" s="645"/>
      <c r="NU89" s="646"/>
      <c r="NV89" s="645"/>
      <c r="NW89" s="646"/>
      <c r="NX89" s="645"/>
      <c r="NY89" s="646"/>
      <c r="NZ89" s="645"/>
      <c r="OA89" s="646"/>
      <c r="OB89" s="645"/>
      <c r="OC89" s="646"/>
      <c r="OD89" s="645"/>
      <c r="OE89" s="646"/>
      <c r="OF89" s="645"/>
      <c r="OG89" s="646"/>
      <c r="OH89" s="645"/>
      <c r="OI89" s="646"/>
      <c r="OJ89" s="645"/>
      <c r="OK89" s="646"/>
      <c r="OL89" s="645"/>
      <c r="OM89" s="646"/>
      <c r="ON89" s="645"/>
      <c r="OO89" s="646"/>
      <c r="OP89" s="645"/>
      <c r="OQ89" s="646"/>
      <c r="OR89" s="645"/>
      <c r="OS89" s="646"/>
      <c r="OT89" s="645"/>
      <c r="OU89" s="646"/>
      <c r="OV89" s="645"/>
      <c r="OW89" s="646"/>
      <c r="OX89" s="645"/>
      <c r="OY89" s="646"/>
      <c r="OZ89" s="645"/>
      <c r="PA89" s="646"/>
      <c r="PB89" s="645"/>
      <c r="PC89" s="646"/>
      <c r="PD89" s="645"/>
      <c r="PE89" s="646"/>
      <c r="PF89" s="645"/>
      <c r="PG89" s="646"/>
      <c r="PH89" s="645"/>
      <c r="PI89" s="646"/>
      <c r="PJ89" s="645"/>
      <c r="PK89" s="646"/>
      <c r="PL89" s="645"/>
      <c r="PM89" s="646"/>
      <c r="PN89" s="645"/>
      <c r="PO89" s="646"/>
      <c r="PP89" s="645"/>
      <c r="PQ89" s="646"/>
      <c r="PR89" s="645"/>
      <c r="PS89" s="646"/>
      <c r="PT89" s="645"/>
      <c r="PU89" s="646"/>
      <c r="PV89" s="645"/>
      <c r="PW89" s="646"/>
      <c r="PX89" s="645"/>
      <c r="PY89" s="646"/>
      <c r="PZ89" s="645"/>
      <c r="QA89" s="646"/>
      <c r="QB89" s="645"/>
      <c r="QC89" s="646"/>
      <c r="QD89" s="645"/>
      <c r="QE89" s="646"/>
      <c r="QF89" s="645"/>
      <c r="QG89" s="646"/>
      <c r="QH89" s="645"/>
      <c r="QI89" s="646"/>
      <c r="QJ89" s="645"/>
      <c r="QK89" s="646"/>
      <c r="QL89" s="645"/>
      <c r="QM89" s="646"/>
      <c r="QN89" s="645"/>
      <c r="QO89" s="646"/>
      <c r="QP89" s="645"/>
      <c r="QQ89" s="646"/>
      <c r="QR89" s="645"/>
      <c r="QS89" s="646"/>
      <c r="QT89" s="645"/>
      <c r="QU89" s="646"/>
      <c r="QV89" s="645"/>
      <c r="QW89" s="646"/>
      <c r="QX89" s="645"/>
      <c r="QY89" s="646"/>
      <c r="QZ89" s="645"/>
      <c r="RA89" s="646"/>
      <c r="RB89" s="645"/>
      <c r="RC89" s="646"/>
      <c r="RD89" s="645"/>
      <c r="RE89" s="646"/>
      <c r="RF89" s="645"/>
      <c r="RG89" s="646"/>
      <c r="RH89" s="645"/>
      <c r="RI89" s="646"/>
      <c r="RJ89" s="645"/>
      <c r="RK89" s="646"/>
      <c r="RL89" s="645"/>
      <c r="RM89" s="646"/>
      <c r="RN89" s="645"/>
      <c r="RO89" s="646"/>
      <c r="RP89" s="645"/>
      <c r="RQ89" s="646"/>
      <c r="RR89" s="645"/>
      <c r="RS89" s="646"/>
      <c r="RT89" s="645"/>
      <c r="RU89" s="646"/>
      <c r="RV89" s="645"/>
      <c r="RW89" s="646"/>
      <c r="RX89" s="645"/>
      <c r="RY89" s="646"/>
      <c r="RZ89" s="645"/>
      <c r="SA89" s="646"/>
      <c r="SB89" s="645"/>
      <c r="SC89" s="646"/>
      <c r="SD89" s="645"/>
      <c r="SE89" s="646"/>
      <c r="SF89" s="645"/>
      <c r="SG89" s="646"/>
      <c r="SH89" s="645"/>
      <c r="SI89" s="646"/>
      <c r="SJ89" s="645"/>
      <c r="SK89" s="646"/>
      <c r="SL89" s="645"/>
      <c r="SM89" s="646"/>
      <c r="SN89" s="645"/>
      <c r="SO89" s="646"/>
      <c r="SP89" s="645"/>
      <c r="SQ89" s="646"/>
      <c r="SR89" s="645"/>
      <c r="SS89" s="646"/>
      <c r="ST89" s="645"/>
      <c r="SU89" s="646"/>
      <c r="SV89" s="645"/>
      <c r="SW89" s="646"/>
      <c r="SX89" s="645"/>
      <c r="SY89" s="646"/>
      <c r="SZ89" s="645"/>
      <c r="TA89" s="646"/>
      <c r="TB89" s="645"/>
      <c r="TC89" s="646"/>
      <c r="TD89" s="645"/>
      <c r="TE89" s="646"/>
      <c r="TF89" s="645"/>
      <c r="TG89" s="646"/>
      <c r="TH89" s="645"/>
      <c r="TI89" s="646"/>
      <c r="TJ89" s="645"/>
      <c r="TK89" s="646"/>
      <c r="TL89" s="645"/>
      <c r="TM89" s="646"/>
      <c r="TN89" s="645"/>
      <c r="TO89" s="646"/>
      <c r="TP89" s="645"/>
      <c r="TQ89" s="646"/>
      <c r="TR89" s="645"/>
      <c r="TS89" s="646"/>
      <c r="TT89" s="645"/>
      <c r="TU89" s="646"/>
      <c r="TV89" s="645"/>
      <c r="TW89" s="646"/>
      <c r="TX89" s="645"/>
      <c r="TY89" s="646"/>
      <c r="TZ89" s="645"/>
      <c r="UA89" s="646"/>
      <c r="UB89" s="645"/>
      <c r="UC89" s="646"/>
      <c r="UD89" s="645"/>
      <c r="UE89" s="646"/>
      <c r="UF89" s="645"/>
      <c r="UG89" s="646"/>
      <c r="UH89" s="645"/>
      <c r="UI89" s="646"/>
      <c r="UJ89" s="645"/>
      <c r="UK89" s="646"/>
      <c r="UL89" s="645"/>
      <c r="UM89" s="646"/>
      <c r="UN89" s="645"/>
      <c r="UO89" s="646"/>
      <c r="UP89" s="645"/>
      <c r="UQ89" s="646"/>
      <c r="UR89" s="645"/>
      <c r="US89" s="646"/>
      <c r="UT89" s="645"/>
      <c r="UU89" s="646"/>
      <c r="UV89" s="645"/>
      <c r="UW89" s="646"/>
      <c r="UX89" s="645"/>
      <c r="UY89" s="646"/>
      <c r="UZ89" s="645"/>
      <c r="VA89" s="646"/>
      <c r="VB89" s="645"/>
      <c r="VC89" s="646"/>
      <c r="VD89" s="645"/>
      <c r="VE89" s="646"/>
      <c r="VF89" s="645"/>
      <c r="VG89" s="646"/>
      <c r="VH89" s="645"/>
      <c r="VI89" s="646"/>
      <c r="VJ89" s="645"/>
      <c r="VK89" s="646"/>
      <c r="VL89" s="645"/>
      <c r="VM89" s="646"/>
      <c r="VN89" s="645"/>
      <c r="VO89" s="646"/>
      <c r="VP89" s="645"/>
      <c r="VQ89" s="646"/>
      <c r="VR89" s="645"/>
      <c r="VS89" s="646"/>
      <c r="VT89" s="645"/>
      <c r="VU89" s="646"/>
      <c r="VV89" s="645"/>
      <c r="VW89" s="646"/>
      <c r="VX89" s="645"/>
      <c r="VY89" s="646"/>
      <c r="VZ89" s="645"/>
      <c r="WA89" s="646"/>
      <c r="WB89" s="645"/>
      <c r="WC89" s="646"/>
      <c r="WD89" s="645"/>
      <c r="WE89" s="646"/>
      <c r="WF89" s="645"/>
      <c r="WG89" s="646"/>
      <c r="WH89" s="645"/>
      <c r="WI89" s="646"/>
      <c r="WJ89" s="645"/>
      <c r="WK89" s="646"/>
      <c r="WL89" s="645"/>
      <c r="WM89" s="646"/>
      <c r="WN89" s="645"/>
      <c r="WO89" s="646"/>
      <c r="WP89" s="645"/>
      <c r="WQ89" s="646"/>
      <c r="WR89" s="645"/>
      <c r="WS89" s="646"/>
      <c r="WT89" s="645"/>
      <c r="WU89" s="646"/>
      <c r="WV89" s="645"/>
      <c r="WW89" s="646"/>
      <c r="WX89" s="645"/>
      <c r="WY89" s="646"/>
      <c r="WZ89" s="645"/>
      <c r="XA89" s="646"/>
      <c r="XB89" s="645"/>
      <c r="XC89" s="646"/>
      <c r="XD89" s="645"/>
      <c r="XE89" s="646"/>
      <c r="XF89" s="645"/>
      <c r="XG89" s="646"/>
      <c r="XH89" s="645"/>
      <c r="XI89" s="646"/>
      <c r="XJ89" s="645"/>
      <c r="XK89" s="646"/>
      <c r="XL89" s="645"/>
      <c r="XM89" s="646"/>
      <c r="XN89" s="645"/>
      <c r="XO89" s="646"/>
      <c r="XP89" s="645"/>
      <c r="XQ89" s="646"/>
      <c r="XR89" s="645"/>
      <c r="XS89" s="646"/>
      <c r="XT89" s="645"/>
      <c r="XU89" s="646"/>
      <c r="XV89" s="645"/>
      <c r="XW89" s="646"/>
      <c r="XX89" s="645"/>
      <c r="XY89" s="646"/>
      <c r="XZ89" s="645"/>
      <c r="YA89" s="646"/>
      <c r="YB89" s="645"/>
      <c r="YC89" s="646"/>
      <c r="YD89" s="645"/>
      <c r="YE89" s="646"/>
      <c r="YF89" s="645"/>
      <c r="YG89" s="646"/>
      <c r="YH89" s="645"/>
      <c r="YI89" s="646"/>
      <c r="YJ89" s="645"/>
      <c r="YK89" s="646"/>
      <c r="YL89" s="645"/>
      <c r="YM89" s="646"/>
      <c r="YN89" s="645"/>
      <c r="YO89" s="646"/>
      <c r="YP89" s="645"/>
      <c r="YQ89" s="646"/>
      <c r="YR89" s="645"/>
      <c r="YS89" s="646"/>
      <c r="YT89" s="645"/>
      <c r="YU89" s="646"/>
      <c r="YV89" s="645"/>
      <c r="YW89" s="646"/>
      <c r="YX89" s="645"/>
      <c r="YY89" s="646"/>
      <c r="YZ89" s="645"/>
      <c r="ZA89" s="646"/>
      <c r="ZB89" s="645"/>
      <c r="ZC89" s="646"/>
      <c r="ZD89" s="645"/>
      <c r="ZE89" s="646"/>
      <c r="ZF89" s="645"/>
      <c r="ZG89" s="646"/>
      <c r="ZH89" s="645"/>
      <c r="ZI89" s="646"/>
      <c r="ZJ89" s="645"/>
      <c r="ZK89" s="646"/>
      <c r="ZL89" s="645"/>
      <c r="ZM89" s="646"/>
      <c r="ZN89" s="645"/>
      <c r="ZO89" s="646"/>
      <c r="ZP89" s="645"/>
      <c r="ZQ89" s="646"/>
      <c r="ZR89" s="645"/>
      <c r="ZS89" s="646"/>
      <c r="ZT89" s="645"/>
      <c r="ZU89" s="646"/>
      <c r="ZV89" s="645"/>
      <c r="ZW89" s="646"/>
      <c r="ZX89" s="645"/>
      <c r="ZY89" s="646"/>
      <c r="ZZ89" s="645"/>
      <c r="AAA89" s="646"/>
      <c r="AAB89" s="645"/>
      <c r="AAC89" s="646"/>
      <c r="AAD89" s="645"/>
      <c r="AAE89" s="646"/>
      <c r="AAF89" s="645"/>
      <c r="AAG89" s="646"/>
      <c r="AAH89" s="645"/>
      <c r="AAI89" s="646"/>
      <c r="AAJ89" s="645"/>
      <c r="AAK89" s="646"/>
      <c r="AAL89" s="645"/>
      <c r="AAM89" s="646"/>
      <c r="AAN89" s="645"/>
      <c r="AAO89" s="646"/>
      <c r="AAP89" s="645"/>
      <c r="AAQ89" s="646"/>
      <c r="AAR89" s="645"/>
      <c r="AAS89" s="646"/>
      <c r="AAT89" s="645"/>
      <c r="AAU89" s="646"/>
      <c r="AAV89" s="645"/>
      <c r="AAW89" s="646"/>
      <c r="AAX89" s="645"/>
      <c r="AAY89" s="646"/>
      <c r="AAZ89" s="645"/>
      <c r="ABA89" s="646"/>
      <c r="ABB89" s="645"/>
      <c r="ABC89" s="646"/>
      <c r="ABD89" s="645"/>
      <c r="ABE89" s="646"/>
      <c r="ABF89" s="645"/>
      <c r="ABG89" s="646"/>
      <c r="ABH89" s="645"/>
      <c r="ABI89" s="646"/>
      <c r="ABJ89" s="645"/>
      <c r="ABK89" s="646"/>
      <c r="ABL89" s="645"/>
      <c r="ABM89" s="646"/>
      <c r="ABN89" s="645"/>
      <c r="ABO89" s="646"/>
      <c r="ABP89" s="645"/>
      <c r="ABQ89" s="646"/>
      <c r="ABR89" s="645"/>
      <c r="ABS89" s="646"/>
      <c r="ABT89" s="645"/>
      <c r="ABU89" s="646"/>
      <c r="ABV89" s="645"/>
      <c r="ABW89" s="646"/>
      <c r="ABX89" s="645"/>
      <c r="ABY89" s="646"/>
      <c r="ABZ89" s="645"/>
      <c r="ACA89" s="646"/>
      <c r="ACB89" s="645"/>
      <c r="ACC89" s="646"/>
      <c r="ACD89" s="645"/>
      <c r="ACE89" s="646"/>
      <c r="ACF89" s="645"/>
      <c r="ACG89" s="646"/>
      <c r="ACH89" s="645"/>
      <c r="ACI89" s="646"/>
      <c r="ACJ89" s="645"/>
      <c r="ACK89" s="646"/>
      <c r="ACL89" s="645"/>
      <c r="ACM89" s="646"/>
      <c r="ACN89" s="645"/>
      <c r="ACO89" s="646"/>
      <c r="ACP89" s="645"/>
      <c r="ACQ89" s="646"/>
      <c r="ACR89" s="645"/>
      <c r="ACS89" s="646"/>
      <c r="ACT89" s="645"/>
      <c r="ACU89" s="646"/>
      <c r="ACV89" s="645"/>
      <c r="ACW89" s="646"/>
      <c r="ACX89" s="645"/>
      <c r="ACY89" s="646"/>
      <c r="ACZ89" s="645"/>
      <c r="ADA89" s="646"/>
      <c r="ADB89" s="645"/>
      <c r="ADC89" s="646"/>
      <c r="ADD89" s="645"/>
      <c r="ADE89" s="646"/>
      <c r="ADF89" s="645"/>
      <c r="ADG89" s="646"/>
      <c r="ADH89" s="645"/>
      <c r="ADI89" s="646"/>
      <c r="ADJ89" s="645"/>
      <c r="ADK89" s="646"/>
      <c r="ADL89" s="645"/>
      <c r="ADM89" s="646"/>
      <c r="ADN89" s="645"/>
      <c r="ADO89" s="646"/>
      <c r="ADP89" s="645"/>
      <c r="ADQ89" s="646"/>
      <c r="ADR89" s="645"/>
      <c r="ADS89" s="646"/>
      <c r="ADT89" s="645"/>
      <c r="ADU89" s="646"/>
      <c r="ADV89" s="645"/>
      <c r="ADW89" s="646"/>
      <c r="ADX89" s="645"/>
      <c r="ADY89" s="646"/>
      <c r="ADZ89" s="645"/>
      <c r="AEA89" s="646"/>
      <c r="AEB89" s="645"/>
      <c r="AEC89" s="646"/>
      <c r="AED89" s="645"/>
      <c r="AEE89" s="646"/>
      <c r="AEF89" s="645"/>
      <c r="AEG89" s="646"/>
      <c r="AEH89" s="645"/>
      <c r="AEI89" s="646"/>
      <c r="AEJ89" s="645"/>
      <c r="AEK89" s="646"/>
      <c r="AEL89" s="645"/>
      <c r="AEM89" s="646"/>
      <c r="AEN89" s="645"/>
      <c r="AEO89" s="646"/>
      <c r="AEP89" s="645"/>
      <c r="AEQ89" s="646"/>
      <c r="AER89" s="645"/>
      <c r="AES89" s="646"/>
      <c r="AET89" s="645"/>
      <c r="AEU89" s="646"/>
      <c r="AEV89" s="645"/>
      <c r="AEW89" s="646"/>
      <c r="AEX89" s="645"/>
      <c r="AEY89" s="646"/>
      <c r="AEZ89" s="645"/>
      <c r="AFA89" s="646"/>
      <c r="AFB89" s="645"/>
      <c r="AFC89" s="646"/>
      <c r="AFD89" s="645"/>
      <c r="AFE89" s="646"/>
      <c r="AFF89" s="645"/>
      <c r="AFG89" s="646"/>
      <c r="AFH89" s="645"/>
      <c r="AFI89" s="646"/>
      <c r="AFJ89" s="645"/>
      <c r="AFK89" s="646"/>
      <c r="AFL89" s="645"/>
      <c r="AFM89" s="646"/>
      <c r="AFN89" s="645"/>
      <c r="AFO89" s="646"/>
      <c r="AFP89" s="645"/>
      <c r="AFQ89" s="646"/>
      <c r="AFR89" s="645"/>
      <c r="AFS89" s="646"/>
      <c r="AFT89" s="645"/>
      <c r="AFU89" s="646"/>
      <c r="AFV89" s="645"/>
      <c r="AFW89" s="646"/>
      <c r="AFX89" s="645"/>
      <c r="AFY89" s="646"/>
      <c r="AFZ89" s="645"/>
      <c r="AGA89" s="646"/>
      <c r="AGB89" s="645"/>
      <c r="AGC89" s="646"/>
      <c r="AGD89" s="645"/>
      <c r="AGE89" s="646"/>
      <c r="AGF89" s="645"/>
      <c r="AGG89" s="646"/>
      <c r="AGH89" s="645"/>
      <c r="AGI89" s="646"/>
      <c r="AGJ89" s="645"/>
      <c r="AGK89" s="646"/>
      <c r="AGL89" s="645"/>
      <c r="AGM89" s="646"/>
      <c r="AGN89" s="645"/>
      <c r="AGO89" s="646"/>
      <c r="AGP89" s="645"/>
      <c r="AGQ89" s="646"/>
      <c r="AGR89" s="645"/>
      <c r="AGS89" s="646"/>
      <c r="AGT89" s="645"/>
      <c r="AGU89" s="646"/>
      <c r="AGV89" s="645"/>
      <c r="AGW89" s="646"/>
      <c r="AGX89" s="645"/>
      <c r="AGY89" s="646"/>
      <c r="AGZ89" s="645"/>
      <c r="AHA89" s="646"/>
      <c r="AHB89" s="645"/>
      <c r="AHC89" s="646"/>
      <c r="AHD89" s="645"/>
      <c r="AHE89" s="646"/>
      <c r="AHF89" s="645"/>
      <c r="AHG89" s="646"/>
      <c r="AHH89" s="645"/>
      <c r="AHI89" s="646"/>
      <c r="AHJ89" s="645"/>
      <c r="AHK89" s="646"/>
      <c r="AHL89" s="645"/>
      <c r="AHM89" s="646"/>
      <c r="AHN89" s="645"/>
      <c r="AHO89" s="646"/>
      <c r="AHP89" s="645"/>
      <c r="AHQ89" s="646"/>
      <c r="AHR89" s="645"/>
      <c r="AHS89" s="646"/>
      <c r="AHT89" s="645"/>
      <c r="AHU89" s="646"/>
      <c r="AHV89" s="645"/>
      <c r="AHW89" s="646"/>
      <c r="AHX89" s="645"/>
      <c r="AHY89" s="646"/>
      <c r="AHZ89" s="645"/>
      <c r="AIA89" s="646"/>
      <c r="AIB89" s="645"/>
      <c r="AIC89" s="646"/>
      <c r="AID89" s="645"/>
      <c r="AIE89" s="646"/>
      <c r="AIF89" s="645"/>
      <c r="AIG89" s="646"/>
      <c r="AIH89" s="645"/>
      <c r="AII89" s="646"/>
      <c r="AIJ89" s="645"/>
      <c r="AIK89" s="646"/>
      <c r="AIL89" s="645"/>
      <c r="AIM89" s="646"/>
      <c r="AIN89" s="645"/>
      <c r="AIO89" s="646"/>
      <c r="AIP89" s="645"/>
      <c r="AIQ89" s="645"/>
      <c r="AIR89" s="645"/>
      <c r="AIS89" s="645"/>
      <c r="AIT89" s="645"/>
      <c r="AIU89" s="645"/>
      <c r="AIV89" s="645"/>
      <c r="AIW89" s="645"/>
      <c r="AIX89" s="645"/>
      <c r="AIY89" s="645"/>
      <c r="AIZ89" s="645"/>
      <c r="AJA89" s="645"/>
      <c r="AJB89" s="645"/>
      <c r="AJC89" s="645"/>
      <c r="AJD89" s="645"/>
      <c r="AJE89" s="645"/>
      <c r="AJF89" s="645"/>
      <c r="AJG89" s="645"/>
      <c r="AJH89" s="645"/>
      <c r="AJI89" s="645"/>
      <c r="AJJ89" s="645"/>
      <c r="AJK89" s="645"/>
      <c r="AJL89" s="645"/>
      <c r="AJM89" s="645"/>
      <c r="AJN89" s="645"/>
      <c r="AJO89" s="645"/>
      <c r="AJP89" s="645"/>
      <c r="AJQ89" s="645"/>
      <c r="AJR89" s="645"/>
      <c r="AJS89" s="645"/>
      <c r="AJT89" s="645"/>
      <c r="AJU89" s="645"/>
      <c r="AJV89" s="645"/>
      <c r="AJW89" s="645"/>
      <c r="AJX89" s="645"/>
      <c r="AJY89" s="645"/>
      <c r="AJZ89" s="645"/>
      <c r="AKA89" s="645"/>
      <c r="AKB89" s="645"/>
      <c r="AKC89" s="645"/>
      <c r="AKD89" s="645"/>
      <c r="AKE89" s="645"/>
      <c r="AKF89" s="645"/>
      <c r="AKG89" s="645"/>
      <c r="AKH89" s="645"/>
      <c r="AKI89" s="645"/>
      <c r="AKJ89" s="645"/>
      <c r="AKK89" s="645"/>
      <c r="AKL89" s="645"/>
      <c r="AKM89" s="645"/>
      <c r="AKN89" s="645"/>
      <c r="AKO89" s="645"/>
      <c r="AKP89" s="645"/>
      <c r="AKQ89" s="645"/>
      <c r="AKR89" s="645"/>
      <c r="AKS89" s="645"/>
      <c r="AKT89" s="645"/>
      <c r="AKU89" s="645"/>
      <c r="AKV89" s="645"/>
      <c r="AKW89" s="645"/>
      <c r="AKX89" s="645"/>
      <c r="AKY89" s="645"/>
      <c r="AKZ89" s="645"/>
      <c r="ALA89" s="645"/>
      <c r="ALB89" s="645"/>
      <c r="ALC89" s="645"/>
      <c r="ALD89" s="645"/>
      <c r="ALE89" s="645"/>
      <c r="ALF89" s="645"/>
      <c r="ALG89" s="645"/>
      <c r="ALH89" s="645"/>
      <c r="ALI89" s="645"/>
      <c r="ALJ89" s="645"/>
      <c r="ALK89" s="645"/>
      <c r="ALL89" s="645"/>
      <c r="ALM89" s="645"/>
      <c r="ALN89" s="645"/>
      <c r="ALO89" s="645"/>
      <c r="ALP89" s="645"/>
      <c r="ALQ89" s="645"/>
      <c r="ALR89" s="645"/>
      <c r="ALS89" s="645"/>
      <c r="ALT89" s="645"/>
      <c r="ALU89" s="645"/>
      <c r="ALV89" s="645"/>
      <c r="ALW89" s="645"/>
      <c r="ALX89" s="645"/>
      <c r="ALY89" s="645"/>
      <c r="ALZ89" s="645"/>
      <c r="AMA89" s="645"/>
      <c r="AMB89" s="645"/>
      <c r="AMC89" s="645"/>
      <c r="AMD89" s="645"/>
      <c r="AME89" s="645"/>
      <c r="AMF89" s="645"/>
      <c r="AMG89" s="645"/>
      <c r="AMH89" s="645"/>
      <c r="AMI89" s="645"/>
      <c r="AMJ89" s="645"/>
    </row>
    <row r="90" spans="1:1024" s="37" customFormat="1" ht="15.75" customHeight="1" x14ac:dyDescent="0.35">
      <c r="A90" s="600"/>
      <c r="B90" s="601" t="s">
        <v>344</v>
      </c>
      <c r="C90" s="645"/>
      <c r="D90" s="646"/>
      <c r="E90" s="645"/>
      <c r="F90" s="646"/>
      <c r="G90" s="647" t="s">
        <v>243</v>
      </c>
      <c r="H90" s="643"/>
      <c r="I90" s="645"/>
      <c r="J90" s="38"/>
      <c r="K90" s="38"/>
      <c r="L90" s="39"/>
      <c r="M90" s="38"/>
      <c r="N90" s="39"/>
      <c r="O90" s="38"/>
      <c r="P90" s="39"/>
      <c r="Q90" s="38"/>
      <c r="R90" s="39"/>
      <c r="S90" s="38"/>
      <c r="T90" s="39"/>
      <c r="U90" s="38"/>
      <c r="V90" s="39"/>
      <c r="W90" s="38"/>
      <c r="X90" s="39"/>
      <c r="Y90" s="38"/>
      <c r="Z90" s="39"/>
      <c r="AA90" s="38"/>
      <c r="AB90" s="39"/>
      <c r="AC90" s="38"/>
      <c r="AD90" s="39"/>
      <c r="AE90" s="38"/>
      <c r="AF90" s="39"/>
      <c r="AG90" s="38"/>
      <c r="AH90" s="39"/>
      <c r="AI90" s="38"/>
      <c r="AJ90" s="39"/>
      <c r="AK90" s="40"/>
      <c r="AL90" s="39"/>
      <c r="AM90" s="40"/>
      <c r="AN90" s="39"/>
      <c r="AO90" s="40"/>
      <c r="AP90" s="39"/>
      <c r="AQ90" s="40"/>
      <c r="AR90" s="39"/>
      <c r="AS90" s="40"/>
      <c r="AT90" s="39"/>
      <c r="AU90" s="40"/>
      <c r="AV90" s="39"/>
      <c r="AW90" s="40"/>
      <c r="AX90" s="39"/>
      <c r="AY90" s="40"/>
      <c r="AZ90" s="39"/>
      <c r="BA90" s="40"/>
      <c r="BB90" s="39"/>
      <c r="BC90" s="40"/>
      <c r="BD90" s="39"/>
      <c r="BE90" s="40"/>
      <c r="BF90" s="39"/>
      <c r="BG90" s="40"/>
      <c r="BH90" s="39"/>
      <c r="BI90" s="40"/>
      <c r="BJ90" s="39"/>
      <c r="BK90" s="40"/>
      <c r="BL90" s="39"/>
      <c r="BM90" s="40"/>
      <c r="BN90" s="39"/>
      <c r="BO90" s="40"/>
      <c r="BP90" s="39"/>
      <c r="BQ90" s="40"/>
      <c r="BR90" s="39"/>
      <c r="BS90" s="40"/>
      <c r="BT90" s="39"/>
      <c r="BU90" s="40"/>
      <c r="BV90" s="39"/>
      <c r="BW90" s="40"/>
      <c r="BX90" s="39"/>
      <c r="BY90" s="40"/>
      <c r="BZ90" s="39"/>
      <c r="CA90" s="40"/>
      <c r="CB90" s="39"/>
      <c r="CC90" s="40"/>
      <c r="CD90" s="39"/>
      <c r="CE90" s="40"/>
      <c r="CF90" s="39"/>
      <c r="CG90" s="40"/>
      <c r="CH90" s="39"/>
      <c r="CI90" s="40"/>
      <c r="CJ90" s="39"/>
      <c r="CK90" s="40"/>
      <c r="CL90" s="39"/>
      <c r="CM90" s="40"/>
      <c r="CN90" s="39"/>
      <c r="CO90" s="40"/>
      <c r="CP90" s="39"/>
      <c r="CQ90" s="40"/>
      <c r="CR90" s="39"/>
      <c r="CS90" s="40"/>
      <c r="CT90" s="39"/>
      <c r="CU90" s="40"/>
      <c r="CV90" s="39"/>
      <c r="CW90" s="40"/>
      <c r="CX90" s="39"/>
      <c r="CY90" s="40"/>
      <c r="CZ90" s="39"/>
      <c r="DA90" s="40"/>
      <c r="DB90" s="39"/>
      <c r="DC90" s="40"/>
      <c r="DD90" s="39"/>
      <c r="DE90" s="40"/>
      <c r="DF90" s="39"/>
      <c r="DG90" s="40"/>
      <c r="DH90" s="39"/>
      <c r="DI90" s="40"/>
      <c r="DJ90" s="39"/>
      <c r="DK90" s="40"/>
      <c r="DL90" s="39"/>
      <c r="DM90" s="40"/>
      <c r="DN90" s="39"/>
      <c r="DO90" s="40"/>
      <c r="DP90" s="39"/>
      <c r="DQ90" s="40"/>
      <c r="DR90" s="39"/>
      <c r="DS90" s="40"/>
      <c r="DT90" s="39"/>
      <c r="DU90" s="40"/>
      <c r="DV90" s="39"/>
      <c r="DW90" s="40"/>
      <c r="DX90" s="39"/>
      <c r="DY90" s="40"/>
      <c r="DZ90" s="39"/>
      <c r="EA90" s="40"/>
      <c r="EB90" s="39"/>
      <c r="EC90" s="40"/>
      <c r="ED90" s="39"/>
      <c r="EE90" s="40"/>
      <c r="EF90" s="39"/>
      <c r="EG90" s="40"/>
      <c r="EH90" s="39"/>
      <c r="EI90" s="40"/>
      <c r="EJ90" s="39"/>
      <c r="EK90" s="40"/>
      <c r="EL90" s="39"/>
      <c r="EM90" s="40"/>
      <c r="EN90" s="39"/>
      <c r="EO90" s="40"/>
      <c r="EP90" s="39"/>
      <c r="EQ90" s="40"/>
      <c r="ER90" s="39"/>
      <c r="ES90" s="40"/>
      <c r="ET90" s="39"/>
      <c r="EU90" s="40"/>
      <c r="EV90" s="39"/>
      <c r="EW90" s="40"/>
      <c r="EX90" s="39"/>
      <c r="EY90" s="40"/>
      <c r="EZ90" s="39"/>
      <c r="FA90" s="40"/>
      <c r="FB90" s="39"/>
      <c r="FC90" s="40"/>
      <c r="FD90" s="39"/>
      <c r="FE90" s="40"/>
      <c r="FF90" s="39"/>
      <c r="FG90" s="40"/>
      <c r="FH90" s="39"/>
      <c r="FI90" s="40"/>
      <c r="FJ90" s="39"/>
      <c r="FK90" s="40"/>
      <c r="FL90" s="39"/>
      <c r="FM90" s="40"/>
      <c r="FN90" s="39"/>
      <c r="FO90" s="40"/>
      <c r="FP90" s="39"/>
      <c r="FQ90" s="40"/>
      <c r="FR90" s="39"/>
      <c r="FS90" s="40"/>
      <c r="FT90" s="39"/>
      <c r="FU90" s="40"/>
      <c r="FV90" s="39"/>
      <c r="FW90" s="40"/>
      <c r="FX90" s="39"/>
      <c r="FY90" s="40"/>
      <c r="FZ90" s="39"/>
      <c r="GA90" s="40"/>
      <c r="GB90" s="39"/>
      <c r="GC90" s="40"/>
      <c r="GD90" s="39"/>
      <c r="GE90" s="40"/>
      <c r="GF90" s="39"/>
      <c r="GG90" s="40"/>
      <c r="GH90" s="39"/>
      <c r="GI90" s="40"/>
      <c r="GJ90" s="39"/>
      <c r="GK90" s="40"/>
      <c r="GL90" s="39"/>
      <c r="GM90" s="40"/>
      <c r="GN90" s="39"/>
      <c r="GO90" s="40"/>
      <c r="GP90" s="39"/>
      <c r="GQ90" s="40"/>
      <c r="GR90" s="39"/>
      <c r="GS90" s="40"/>
      <c r="GT90" s="39"/>
      <c r="GU90" s="40"/>
      <c r="GV90" s="39"/>
      <c r="GW90" s="40"/>
      <c r="GX90" s="39"/>
      <c r="GY90" s="40"/>
      <c r="GZ90" s="39"/>
      <c r="HA90" s="40"/>
      <c r="HB90" s="39"/>
      <c r="HC90" s="40"/>
      <c r="HD90" s="39"/>
      <c r="HE90" s="40"/>
      <c r="HF90" s="39"/>
      <c r="HG90" s="40"/>
      <c r="HH90" s="39"/>
      <c r="HI90" s="40"/>
      <c r="HJ90" s="39"/>
      <c r="HK90" s="40"/>
      <c r="HL90" s="39"/>
      <c r="HM90" s="40"/>
      <c r="HN90" s="39"/>
      <c r="HO90" s="40"/>
      <c r="HP90" s="39"/>
      <c r="HQ90" s="40"/>
      <c r="HR90" s="39"/>
      <c r="HS90" s="40"/>
      <c r="HT90" s="39"/>
      <c r="HU90" s="40"/>
      <c r="HV90" s="39"/>
      <c r="HW90" s="40"/>
      <c r="HX90" s="39"/>
      <c r="HY90" s="40"/>
      <c r="HZ90" s="39"/>
      <c r="IA90" s="40"/>
      <c r="IB90" s="39"/>
      <c r="IC90" s="1068"/>
      <c r="ID90" s="645"/>
      <c r="IE90" s="646"/>
      <c r="IF90" s="645"/>
      <c r="IG90" s="646"/>
      <c r="IH90" s="645"/>
      <c r="II90" s="646"/>
      <c r="IJ90" s="645"/>
      <c r="IK90" s="646"/>
      <c r="IL90" s="645"/>
      <c r="IM90" s="646"/>
      <c r="IN90" s="645"/>
      <c r="IO90" s="646"/>
      <c r="IP90" s="645"/>
      <c r="IQ90" s="646"/>
      <c r="IR90" s="645"/>
      <c r="IS90" s="646"/>
      <c r="IT90" s="645"/>
      <c r="IU90" s="646"/>
      <c r="IV90" s="645"/>
      <c r="IW90" s="646"/>
      <c r="IX90" s="645"/>
      <c r="IY90" s="646"/>
      <c r="IZ90" s="645"/>
      <c r="JA90" s="646"/>
      <c r="JB90" s="645"/>
      <c r="JC90" s="646"/>
      <c r="JD90" s="645"/>
      <c r="JE90" s="646"/>
      <c r="JF90" s="645"/>
      <c r="JG90" s="646"/>
      <c r="JH90" s="645"/>
      <c r="JI90" s="646"/>
      <c r="JJ90" s="645"/>
      <c r="JK90" s="646"/>
      <c r="JL90" s="645"/>
      <c r="JM90" s="646"/>
      <c r="JN90" s="645"/>
      <c r="JO90" s="646"/>
      <c r="JP90" s="645"/>
      <c r="JQ90" s="646"/>
      <c r="JR90" s="645"/>
      <c r="JS90" s="646"/>
      <c r="JT90" s="645"/>
      <c r="JU90" s="646"/>
      <c r="JV90" s="645"/>
      <c r="JW90" s="646"/>
      <c r="JX90" s="645"/>
      <c r="JY90" s="646"/>
      <c r="JZ90" s="645"/>
      <c r="KA90" s="646"/>
      <c r="KB90" s="645"/>
      <c r="KC90" s="646"/>
      <c r="KD90" s="645"/>
      <c r="KE90" s="646"/>
      <c r="KF90" s="645"/>
      <c r="KG90" s="646"/>
      <c r="KH90" s="645"/>
      <c r="KI90" s="646"/>
      <c r="KJ90" s="645"/>
      <c r="KK90" s="646"/>
      <c r="KL90" s="645"/>
      <c r="KM90" s="646"/>
      <c r="KN90" s="645"/>
      <c r="KO90" s="646"/>
      <c r="KP90" s="645"/>
      <c r="KQ90" s="646"/>
      <c r="KR90" s="645"/>
      <c r="KS90" s="646"/>
      <c r="KT90" s="645"/>
      <c r="KU90" s="646"/>
      <c r="KV90" s="645"/>
      <c r="KW90" s="646"/>
      <c r="KX90" s="645"/>
      <c r="KY90" s="646"/>
      <c r="KZ90" s="645"/>
      <c r="LA90" s="646"/>
      <c r="LB90" s="645"/>
      <c r="LC90" s="646"/>
      <c r="LD90" s="645"/>
      <c r="LE90" s="646"/>
      <c r="LF90" s="645"/>
      <c r="LG90" s="646"/>
      <c r="LH90" s="645"/>
      <c r="LI90" s="646"/>
      <c r="LJ90" s="645"/>
      <c r="LK90" s="646"/>
      <c r="LL90" s="645"/>
      <c r="LM90" s="646"/>
      <c r="LN90" s="645"/>
      <c r="LO90" s="646"/>
      <c r="LP90" s="645"/>
      <c r="LQ90" s="646"/>
      <c r="LR90" s="645"/>
      <c r="LS90" s="646"/>
      <c r="LT90" s="645"/>
      <c r="LU90" s="646"/>
      <c r="LV90" s="645"/>
      <c r="LW90" s="646"/>
      <c r="LX90" s="645"/>
      <c r="LY90" s="646"/>
      <c r="LZ90" s="645"/>
      <c r="MA90" s="646"/>
      <c r="MB90" s="645"/>
      <c r="MC90" s="646"/>
      <c r="MD90" s="645"/>
      <c r="ME90" s="646"/>
      <c r="MF90" s="645"/>
      <c r="MG90" s="646"/>
      <c r="MH90" s="645"/>
      <c r="MI90" s="646"/>
      <c r="MJ90" s="645"/>
      <c r="MK90" s="646"/>
      <c r="ML90" s="645"/>
      <c r="MM90" s="646"/>
      <c r="MN90" s="645"/>
      <c r="MO90" s="646"/>
      <c r="MP90" s="645"/>
      <c r="MQ90" s="646"/>
      <c r="MR90" s="645"/>
      <c r="MS90" s="646"/>
      <c r="MT90" s="645"/>
      <c r="MU90" s="646"/>
      <c r="MV90" s="645"/>
      <c r="MW90" s="646"/>
      <c r="MX90" s="645"/>
      <c r="MY90" s="646"/>
      <c r="MZ90" s="645"/>
      <c r="NA90" s="646"/>
      <c r="NB90" s="645"/>
      <c r="NC90" s="646"/>
      <c r="ND90" s="645"/>
      <c r="NE90" s="646"/>
      <c r="NF90" s="645"/>
      <c r="NG90" s="646"/>
      <c r="NH90" s="645"/>
      <c r="NI90" s="646"/>
      <c r="NJ90" s="645"/>
      <c r="NK90" s="646"/>
      <c r="NL90" s="645"/>
      <c r="NM90" s="646"/>
      <c r="NN90" s="645"/>
      <c r="NO90" s="646"/>
      <c r="NP90" s="645"/>
      <c r="NQ90" s="646"/>
      <c r="NR90" s="645"/>
      <c r="NS90" s="646"/>
      <c r="NT90" s="645"/>
      <c r="NU90" s="646"/>
      <c r="NV90" s="645"/>
      <c r="NW90" s="646"/>
      <c r="NX90" s="645"/>
      <c r="NY90" s="646"/>
      <c r="NZ90" s="645"/>
      <c r="OA90" s="646"/>
      <c r="OB90" s="645"/>
      <c r="OC90" s="646"/>
      <c r="OD90" s="645"/>
      <c r="OE90" s="646"/>
      <c r="OF90" s="645"/>
      <c r="OG90" s="646"/>
      <c r="OH90" s="645"/>
      <c r="OI90" s="646"/>
      <c r="OJ90" s="645"/>
      <c r="OK90" s="646"/>
      <c r="OL90" s="645"/>
      <c r="OM90" s="646"/>
      <c r="ON90" s="645"/>
      <c r="OO90" s="646"/>
      <c r="OP90" s="645"/>
      <c r="OQ90" s="646"/>
      <c r="OR90" s="645"/>
      <c r="OS90" s="646"/>
      <c r="OT90" s="645"/>
      <c r="OU90" s="646"/>
      <c r="OV90" s="645"/>
      <c r="OW90" s="646"/>
      <c r="OX90" s="645"/>
      <c r="OY90" s="646"/>
      <c r="OZ90" s="645"/>
      <c r="PA90" s="646"/>
      <c r="PB90" s="645"/>
      <c r="PC90" s="646"/>
      <c r="PD90" s="645"/>
      <c r="PE90" s="646"/>
      <c r="PF90" s="645"/>
      <c r="PG90" s="646"/>
      <c r="PH90" s="645"/>
      <c r="PI90" s="646"/>
      <c r="PJ90" s="645"/>
      <c r="PK90" s="646"/>
      <c r="PL90" s="645"/>
      <c r="PM90" s="646"/>
      <c r="PN90" s="645"/>
      <c r="PO90" s="646"/>
      <c r="PP90" s="645"/>
      <c r="PQ90" s="646"/>
      <c r="PR90" s="645"/>
      <c r="PS90" s="646"/>
      <c r="PT90" s="645"/>
      <c r="PU90" s="646"/>
      <c r="PV90" s="645"/>
      <c r="PW90" s="646"/>
      <c r="PX90" s="645"/>
      <c r="PY90" s="646"/>
      <c r="PZ90" s="645"/>
      <c r="QA90" s="646"/>
      <c r="QB90" s="645"/>
      <c r="QC90" s="646"/>
      <c r="QD90" s="645"/>
      <c r="QE90" s="646"/>
      <c r="QF90" s="645"/>
      <c r="QG90" s="646"/>
      <c r="QH90" s="645"/>
      <c r="QI90" s="646"/>
      <c r="QJ90" s="645"/>
      <c r="QK90" s="646"/>
      <c r="QL90" s="645"/>
      <c r="QM90" s="646"/>
      <c r="QN90" s="645"/>
      <c r="QO90" s="646"/>
      <c r="QP90" s="645"/>
      <c r="QQ90" s="646"/>
      <c r="QR90" s="645"/>
      <c r="QS90" s="646"/>
      <c r="QT90" s="645"/>
      <c r="QU90" s="646"/>
      <c r="QV90" s="645"/>
      <c r="QW90" s="646"/>
      <c r="QX90" s="645"/>
      <c r="QY90" s="646"/>
      <c r="QZ90" s="645"/>
      <c r="RA90" s="646"/>
      <c r="RB90" s="645"/>
      <c r="RC90" s="646"/>
      <c r="RD90" s="645"/>
      <c r="RE90" s="646"/>
      <c r="RF90" s="645"/>
      <c r="RG90" s="646"/>
      <c r="RH90" s="645"/>
      <c r="RI90" s="646"/>
      <c r="RJ90" s="645"/>
      <c r="RK90" s="646"/>
      <c r="RL90" s="645"/>
      <c r="RM90" s="646"/>
      <c r="RN90" s="645"/>
      <c r="RO90" s="646"/>
      <c r="RP90" s="645"/>
      <c r="RQ90" s="646"/>
      <c r="RR90" s="645"/>
      <c r="RS90" s="646"/>
      <c r="RT90" s="645"/>
      <c r="RU90" s="646"/>
      <c r="RV90" s="645"/>
      <c r="RW90" s="646"/>
      <c r="RX90" s="645"/>
      <c r="RY90" s="646"/>
      <c r="RZ90" s="645"/>
      <c r="SA90" s="646"/>
      <c r="SB90" s="645"/>
      <c r="SC90" s="646"/>
      <c r="SD90" s="645"/>
      <c r="SE90" s="646"/>
      <c r="SF90" s="645"/>
      <c r="SG90" s="646"/>
      <c r="SH90" s="645"/>
      <c r="SI90" s="646"/>
      <c r="SJ90" s="645"/>
      <c r="SK90" s="646"/>
      <c r="SL90" s="645"/>
      <c r="SM90" s="646"/>
      <c r="SN90" s="645"/>
      <c r="SO90" s="646"/>
      <c r="SP90" s="645"/>
      <c r="SQ90" s="646"/>
      <c r="SR90" s="645"/>
      <c r="SS90" s="646"/>
      <c r="ST90" s="645"/>
      <c r="SU90" s="646"/>
      <c r="SV90" s="645"/>
      <c r="SW90" s="646"/>
      <c r="SX90" s="645"/>
      <c r="SY90" s="646"/>
      <c r="SZ90" s="645"/>
      <c r="TA90" s="646"/>
      <c r="TB90" s="645"/>
      <c r="TC90" s="646"/>
      <c r="TD90" s="645"/>
      <c r="TE90" s="646"/>
      <c r="TF90" s="645"/>
      <c r="TG90" s="646"/>
      <c r="TH90" s="645"/>
      <c r="TI90" s="646"/>
      <c r="TJ90" s="645"/>
      <c r="TK90" s="646"/>
      <c r="TL90" s="645"/>
      <c r="TM90" s="646"/>
      <c r="TN90" s="645"/>
      <c r="TO90" s="646"/>
      <c r="TP90" s="645"/>
      <c r="TQ90" s="646"/>
      <c r="TR90" s="645"/>
      <c r="TS90" s="646"/>
      <c r="TT90" s="645"/>
      <c r="TU90" s="646"/>
      <c r="TV90" s="645"/>
      <c r="TW90" s="646"/>
      <c r="TX90" s="645"/>
      <c r="TY90" s="646"/>
      <c r="TZ90" s="645"/>
      <c r="UA90" s="646"/>
      <c r="UB90" s="645"/>
      <c r="UC90" s="646"/>
      <c r="UD90" s="645"/>
      <c r="UE90" s="646"/>
      <c r="UF90" s="645"/>
      <c r="UG90" s="646"/>
      <c r="UH90" s="645"/>
      <c r="UI90" s="646"/>
      <c r="UJ90" s="645"/>
      <c r="UK90" s="646"/>
      <c r="UL90" s="645"/>
      <c r="UM90" s="646"/>
      <c r="UN90" s="645"/>
      <c r="UO90" s="646"/>
      <c r="UP90" s="645"/>
      <c r="UQ90" s="646"/>
      <c r="UR90" s="645"/>
      <c r="US90" s="646"/>
      <c r="UT90" s="645"/>
      <c r="UU90" s="646"/>
      <c r="UV90" s="645"/>
      <c r="UW90" s="646"/>
      <c r="UX90" s="645"/>
      <c r="UY90" s="646"/>
      <c r="UZ90" s="645"/>
      <c r="VA90" s="646"/>
      <c r="VB90" s="645"/>
      <c r="VC90" s="646"/>
      <c r="VD90" s="645"/>
      <c r="VE90" s="646"/>
      <c r="VF90" s="645"/>
      <c r="VG90" s="646"/>
      <c r="VH90" s="645"/>
      <c r="VI90" s="646"/>
      <c r="VJ90" s="645"/>
      <c r="VK90" s="646"/>
      <c r="VL90" s="645"/>
      <c r="VM90" s="646"/>
      <c r="VN90" s="645"/>
      <c r="VO90" s="646"/>
      <c r="VP90" s="645"/>
      <c r="VQ90" s="646"/>
      <c r="VR90" s="645"/>
      <c r="VS90" s="646"/>
      <c r="VT90" s="645"/>
      <c r="VU90" s="646"/>
      <c r="VV90" s="645"/>
      <c r="VW90" s="646"/>
      <c r="VX90" s="645"/>
      <c r="VY90" s="646"/>
      <c r="VZ90" s="645"/>
      <c r="WA90" s="646"/>
      <c r="WB90" s="645"/>
      <c r="WC90" s="646"/>
      <c r="WD90" s="645"/>
      <c r="WE90" s="646"/>
      <c r="WF90" s="645"/>
      <c r="WG90" s="646"/>
      <c r="WH90" s="645"/>
      <c r="WI90" s="646"/>
      <c r="WJ90" s="645"/>
      <c r="WK90" s="646"/>
      <c r="WL90" s="645"/>
      <c r="WM90" s="646"/>
      <c r="WN90" s="645"/>
      <c r="WO90" s="646"/>
      <c r="WP90" s="645"/>
      <c r="WQ90" s="646"/>
      <c r="WR90" s="645"/>
      <c r="WS90" s="646"/>
      <c r="WT90" s="645"/>
      <c r="WU90" s="646"/>
      <c r="WV90" s="645"/>
      <c r="WW90" s="646"/>
      <c r="WX90" s="645"/>
      <c r="WY90" s="646"/>
      <c r="WZ90" s="645"/>
      <c r="XA90" s="646"/>
      <c r="XB90" s="645"/>
      <c r="XC90" s="646"/>
      <c r="XD90" s="645"/>
      <c r="XE90" s="646"/>
      <c r="XF90" s="645"/>
      <c r="XG90" s="646"/>
      <c r="XH90" s="645"/>
      <c r="XI90" s="646"/>
      <c r="XJ90" s="645"/>
      <c r="XK90" s="646"/>
      <c r="XL90" s="645"/>
      <c r="XM90" s="646"/>
      <c r="XN90" s="645"/>
      <c r="XO90" s="646"/>
      <c r="XP90" s="645"/>
      <c r="XQ90" s="646"/>
      <c r="XR90" s="645"/>
      <c r="XS90" s="646"/>
      <c r="XT90" s="645"/>
      <c r="XU90" s="646"/>
      <c r="XV90" s="645"/>
      <c r="XW90" s="646"/>
      <c r="XX90" s="645"/>
      <c r="XY90" s="646"/>
      <c r="XZ90" s="645"/>
      <c r="YA90" s="646"/>
      <c r="YB90" s="645"/>
      <c r="YC90" s="646"/>
      <c r="YD90" s="645"/>
      <c r="YE90" s="646"/>
      <c r="YF90" s="645"/>
      <c r="YG90" s="646"/>
      <c r="YH90" s="645"/>
      <c r="YI90" s="646"/>
      <c r="YJ90" s="645"/>
      <c r="YK90" s="646"/>
      <c r="YL90" s="645"/>
      <c r="YM90" s="646"/>
      <c r="YN90" s="645"/>
      <c r="YO90" s="646"/>
      <c r="YP90" s="645"/>
      <c r="YQ90" s="646"/>
      <c r="YR90" s="645"/>
      <c r="YS90" s="646"/>
      <c r="YT90" s="645"/>
      <c r="YU90" s="646"/>
      <c r="YV90" s="645"/>
      <c r="YW90" s="646"/>
      <c r="YX90" s="645"/>
      <c r="YY90" s="646"/>
      <c r="YZ90" s="645"/>
      <c r="ZA90" s="646"/>
      <c r="ZB90" s="645"/>
      <c r="ZC90" s="646"/>
      <c r="ZD90" s="645"/>
      <c r="ZE90" s="646"/>
      <c r="ZF90" s="645"/>
      <c r="ZG90" s="646"/>
      <c r="ZH90" s="645"/>
      <c r="ZI90" s="646"/>
      <c r="ZJ90" s="645"/>
      <c r="ZK90" s="646"/>
      <c r="ZL90" s="645"/>
      <c r="ZM90" s="646"/>
      <c r="ZN90" s="645"/>
      <c r="ZO90" s="646"/>
      <c r="ZP90" s="645"/>
      <c r="ZQ90" s="646"/>
      <c r="ZR90" s="645"/>
      <c r="ZS90" s="646"/>
      <c r="ZT90" s="645"/>
      <c r="ZU90" s="646"/>
      <c r="ZV90" s="645"/>
      <c r="ZW90" s="646"/>
      <c r="ZX90" s="645"/>
      <c r="ZY90" s="646"/>
      <c r="ZZ90" s="645"/>
      <c r="AAA90" s="646"/>
      <c r="AAB90" s="645"/>
      <c r="AAC90" s="646"/>
      <c r="AAD90" s="645"/>
      <c r="AAE90" s="646"/>
      <c r="AAF90" s="645"/>
      <c r="AAG90" s="646"/>
      <c r="AAH90" s="645"/>
      <c r="AAI90" s="646"/>
      <c r="AAJ90" s="645"/>
      <c r="AAK90" s="646"/>
      <c r="AAL90" s="645"/>
      <c r="AAM90" s="646"/>
      <c r="AAN90" s="645"/>
      <c r="AAO90" s="646"/>
      <c r="AAP90" s="645"/>
      <c r="AAQ90" s="646"/>
      <c r="AAR90" s="645"/>
      <c r="AAS90" s="646"/>
      <c r="AAT90" s="645"/>
      <c r="AAU90" s="646"/>
      <c r="AAV90" s="645"/>
      <c r="AAW90" s="646"/>
      <c r="AAX90" s="645"/>
      <c r="AAY90" s="646"/>
      <c r="AAZ90" s="645"/>
      <c r="ABA90" s="646"/>
      <c r="ABB90" s="645"/>
      <c r="ABC90" s="646"/>
      <c r="ABD90" s="645"/>
      <c r="ABE90" s="646"/>
      <c r="ABF90" s="645"/>
      <c r="ABG90" s="646"/>
      <c r="ABH90" s="645"/>
      <c r="ABI90" s="646"/>
      <c r="ABJ90" s="645"/>
      <c r="ABK90" s="646"/>
      <c r="ABL90" s="645"/>
      <c r="ABM90" s="646"/>
      <c r="ABN90" s="645"/>
      <c r="ABO90" s="646"/>
      <c r="ABP90" s="645"/>
      <c r="ABQ90" s="646"/>
      <c r="ABR90" s="645"/>
      <c r="ABS90" s="646"/>
      <c r="ABT90" s="645"/>
      <c r="ABU90" s="646"/>
      <c r="ABV90" s="645"/>
      <c r="ABW90" s="646"/>
      <c r="ABX90" s="645"/>
      <c r="ABY90" s="646"/>
      <c r="ABZ90" s="645"/>
      <c r="ACA90" s="646"/>
      <c r="ACB90" s="645"/>
      <c r="ACC90" s="646"/>
      <c r="ACD90" s="645"/>
      <c r="ACE90" s="646"/>
      <c r="ACF90" s="645"/>
      <c r="ACG90" s="646"/>
      <c r="ACH90" s="645"/>
      <c r="ACI90" s="646"/>
      <c r="ACJ90" s="645"/>
      <c r="ACK90" s="646"/>
      <c r="ACL90" s="645"/>
      <c r="ACM90" s="646"/>
      <c r="ACN90" s="645"/>
      <c r="ACO90" s="646"/>
      <c r="ACP90" s="645"/>
      <c r="ACQ90" s="646"/>
      <c r="ACR90" s="645"/>
      <c r="ACS90" s="646"/>
      <c r="ACT90" s="645"/>
      <c r="ACU90" s="646"/>
      <c r="ACV90" s="645"/>
      <c r="ACW90" s="646"/>
      <c r="ACX90" s="645"/>
      <c r="ACY90" s="646"/>
      <c r="ACZ90" s="645"/>
      <c r="ADA90" s="646"/>
      <c r="ADB90" s="645"/>
      <c r="ADC90" s="646"/>
      <c r="ADD90" s="645"/>
      <c r="ADE90" s="646"/>
      <c r="ADF90" s="645"/>
      <c r="ADG90" s="646"/>
      <c r="ADH90" s="645"/>
      <c r="ADI90" s="646"/>
      <c r="ADJ90" s="645"/>
      <c r="ADK90" s="646"/>
      <c r="ADL90" s="645"/>
      <c r="ADM90" s="646"/>
      <c r="ADN90" s="645"/>
      <c r="ADO90" s="646"/>
      <c r="ADP90" s="645"/>
      <c r="ADQ90" s="646"/>
      <c r="ADR90" s="645"/>
      <c r="ADS90" s="646"/>
      <c r="ADT90" s="645"/>
      <c r="ADU90" s="646"/>
      <c r="ADV90" s="645"/>
      <c r="ADW90" s="646"/>
      <c r="ADX90" s="645"/>
      <c r="ADY90" s="646"/>
      <c r="ADZ90" s="645"/>
      <c r="AEA90" s="646"/>
      <c r="AEB90" s="645"/>
      <c r="AEC90" s="646"/>
      <c r="AED90" s="645"/>
      <c r="AEE90" s="646"/>
      <c r="AEF90" s="645"/>
      <c r="AEG90" s="646"/>
      <c r="AEH90" s="645"/>
      <c r="AEI90" s="646"/>
      <c r="AEJ90" s="645"/>
      <c r="AEK90" s="646"/>
      <c r="AEL90" s="645"/>
      <c r="AEM90" s="646"/>
      <c r="AEN90" s="645"/>
      <c r="AEO90" s="646"/>
      <c r="AEP90" s="645"/>
      <c r="AEQ90" s="646"/>
      <c r="AER90" s="645"/>
      <c r="AES90" s="646"/>
      <c r="AET90" s="645"/>
      <c r="AEU90" s="646"/>
      <c r="AEV90" s="645"/>
      <c r="AEW90" s="646"/>
      <c r="AEX90" s="645"/>
      <c r="AEY90" s="646"/>
      <c r="AEZ90" s="645"/>
      <c r="AFA90" s="646"/>
      <c r="AFB90" s="645"/>
      <c r="AFC90" s="646"/>
      <c r="AFD90" s="645"/>
      <c r="AFE90" s="646"/>
      <c r="AFF90" s="645"/>
      <c r="AFG90" s="646"/>
      <c r="AFH90" s="645"/>
      <c r="AFI90" s="646"/>
      <c r="AFJ90" s="645"/>
      <c r="AFK90" s="646"/>
      <c r="AFL90" s="645"/>
      <c r="AFM90" s="646"/>
      <c r="AFN90" s="645"/>
      <c r="AFO90" s="646"/>
      <c r="AFP90" s="645"/>
      <c r="AFQ90" s="646"/>
      <c r="AFR90" s="645"/>
      <c r="AFS90" s="646"/>
      <c r="AFT90" s="645"/>
      <c r="AFU90" s="646"/>
      <c r="AFV90" s="645"/>
      <c r="AFW90" s="646"/>
      <c r="AFX90" s="645"/>
      <c r="AFY90" s="646"/>
      <c r="AFZ90" s="645"/>
      <c r="AGA90" s="646"/>
      <c r="AGB90" s="645"/>
      <c r="AGC90" s="646"/>
      <c r="AGD90" s="645"/>
      <c r="AGE90" s="646"/>
      <c r="AGF90" s="645"/>
      <c r="AGG90" s="646"/>
      <c r="AGH90" s="645"/>
      <c r="AGI90" s="646"/>
      <c r="AGJ90" s="645"/>
      <c r="AGK90" s="646"/>
      <c r="AGL90" s="645"/>
      <c r="AGM90" s="646"/>
      <c r="AGN90" s="645"/>
      <c r="AGO90" s="646"/>
      <c r="AGP90" s="645"/>
      <c r="AGQ90" s="646"/>
      <c r="AGR90" s="645"/>
      <c r="AGS90" s="646"/>
      <c r="AGT90" s="645"/>
      <c r="AGU90" s="646"/>
      <c r="AGV90" s="645"/>
      <c r="AGW90" s="646"/>
      <c r="AGX90" s="645"/>
      <c r="AGY90" s="646"/>
      <c r="AGZ90" s="645"/>
      <c r="AHA90" s="646"/>
      <c r="AHB90" s="645"/>
      <c r="AHC90" s="646"/>
      <c r="AHD90" s="645"/>
      <c r="AHE90" s="646"/>
      <c r="AHF90" s="645"/>
      <c r="AHG90" s="646"/>
      <c r="AHH90" s="645"/>
      <c r="AHI90" s="646"/>
      <c r="AHJ90" s="645"/>
      <c r="AHK90" s="646"/>
      <c r="AHL90" s="645"/>
      <c r="AHM90" s="646"/>
      <c r="AHN90" s="645"/>
      <c r="AHO90" s="646"/>
      <c r="AHP90" s="645"/>
      <c r="AHQ90" s="646"/>
      <c r="AHR90" s="645"/>
      <c r="AHS90" s="646"/>
      <c r="AHT90" s="645"/>
      <c r="AHU90" s="646"/>
      <c r="AHV90" s="645"/>
      <c r="AHW90" s="646"/>
      <c r="AHX90" s="645"/>
      <c r="AHY90" s="646"/>
      <c r="AHZ90" s="645"/>
      <c r="AIA90" s="646"/>
      <c r="AIB90" s="645"/>
      <c r="AIC90" s="646"/>
      <c r="AID90" s="645"/>
      <c r="AIE90" s="646"/>
      <c r="AIF90" s="645"/>
      <c r="AIG90" s="646"/>
      <c r="AIH90" s="645"/>
      <c r="AII90" s="646"/>
      <c r="AIJ90" s="645"/>
      <c r="AIK90" s="646"/>
      <c r="AIL90" s="645"/>
      <c r="AIM90" s="646"/>
      <c r="AIN90" s="645"/>
      <c r="AIO90" s="646"/>
      <c r="AIP90" s="645"/>
      <c r="AIQ90" s="645"/>
      <c r="AIR90" s="645"/>
      <c r="AIS90" s="645"/>
      <c r="AIT90" s="645"/>
      <c r="AIU90" s="645"/>
      <c r="AIV90" s="645"/>
      <c r="AIW90" s="645"/>
      <c r="AIX90" s="645"/>
      <c r="AIY90" s="645"/>
      <c r="AIZ90" s="645"/>
      <c r="AJA90" s="645"/>
      <c r="AJB90" s="645"/>
      <c r="AJC90" s="645"/>
      <c r="AJD90" s="645"/>
      <c r="AJE90" s="645"/>
      <c r="AJF90" s="645"/>
      <c r="AJG90" s="645"/>
      <c r="AJH90" s="645"/>
      <c r="AJI90" s="645"/>
      <c r="AJJ90" s="645"/>
      <c r="AJK90" s="645"/>
      <c r="AJL90" s="645"/>
      <c r="AJM90" s="645"/>
      <c r="AJN90" s="645"/>
      <c r="AJO90" s="645"/>
      <c r="AJP90" s="645"/>
      <c r="AJQ90" s="645"/>
      <c r="AJR90" s="645"/>
      <c r="AJS90" s="645"/>
      <c r="AJT90" s="645"/>
      <c r="AJU90" s="645"/>
      <c r="AJV90" s="645"/>
      <c r="AJW90" s="645"/>
      <c r="AJX90" s="645"/>
      <c r="AJY90" s="645"/>
      <c r="AJZ90" s="645"/>
      <c r="AKA90" s="645"/>
      <c r="AKB90" s="645"/>
      <c r="AKC90" s="645"/>
      <c r="AKD90" s="645"/>
      <c r="AKE90" s="645"/>
      <c r="AKF90" s="645"/>
      <c r="AKG90" s="645"/>
      <c r="AKH90" s="645"/>
      <c r="AKI90" s="645"/>
      <c r="AKJ90" s="645"/>
      <c r="AKK90" s="645"/>
      <c r="AKL90" s="645"/>
      <c r="AKM90" s="645"/>
      <c r="AKN90" s="645"/>
      <c r="AKO90" s="645"/>
      <c r="AKP90" s="645"/>
      <c r="AKQ90" s="645"/>
      <c r="AKR90" s="645"/>
      <c r="AKS90" s="645"/>
      <c r="AKT90" s="645"/>
      <c r="AKU90" s="645"/>
      <c r="AKV90" s="645"/>
      <c r="AKW90" s="645"/>
      <c r="AKX90" s="645"/>
      <c r="AKY90" s="645"/>
      <c r="AKZ90" s="645"/>
      <c r="ALA90" s="645"/>
      <c r="ALB90" s="645"/>
      <c r="ALC90" s="645"/>
      <c r="ALD90" s="645"/>
      <c r="ALE90" s="645"/>
      <c r="ALF90" s="645"/>
      <c r="ALG90" s="645"/>
      <c r="ALH90" s="645"/>
      <c r="ALI90" s="645"/>
      <c r="ALJ90" s="645"/>
      <c r="ALK90" s="645"/>
      <c r="ALL90" s="645"/>
      <c r="ALM90" s="645"/>
      <c r="ALN90" s="645"/>
      <c r="ALO90" s="645"/>
      <c r="ALP90" s="645"/>
      <c r="ALQ90" s="645"/>
      <c r="ALR90" s="645"/>
      <c r="ALS90" s="645"/>
      <c r="ALT90" s="645"/>
      <c r="ALU90" s="645"/>
      <c r="ALV90" s="645"/>
      <c r="ALW90" s="645"/>
      <c r="ALX90" s="645"/>
      <c r="ALY90" s="645"/>
      <c r="ALZ90" s="645"/>
      <c r="AMA90" s="645"/>
      <c r="AMB90" s="645"/>
      <c r="AMC90" s="645"/>
      <c r="AMD90" s="645"/>
      <c r="AME90" s="645"/>
      <c r="AMF90" s="645"/>
      <c r="AMG90" s="645"/>
      <c r="AMH90" s="645"/>
      <c r="AMI90" s="645"/>
      <c r="AMJ90" s="645"/>
    </row>
    <row r="91" spans="1:1024" s="37" customFormat="1" ht="15.75" customHeight="1" x14ac:dyDescent="0.35">
      <c r="A91" s="600"/>
      <c r="B91" s="601" t="s">
        <v>345</v>
      </c>
      <c r="C91" s="645"/>
      <c r="D91" s="646"/>
      <c r="E91" s="645"/>
      <c r="F91" s="646"/>
      <c r="G91" s="647" t="s">
        <v>243</v>
      </c>
      <c r="H91" s="643"/>
      <c r="I91" s="645"/>
      <c r="J91" s="38"/>
      <c r="K91" s="38"/>
      <c r="L91" s="39"/>
      <c r="M91" s="38"/>
      <c r="N91" s="39"/>
      <c r="O91" s="38"/>
      <c r="P91" s="39"/>
      <c r="Q91" s="38"/>
      <c r="R91" s="39"/>
      <c r="S91" s="38"/>
      <c r="T91" s="39"/>
      <c r="U91" s="38"/>
      <c r="V91" s="39"/>
      <c r="W91" s="38"/>
      <c r="X91" s="39"/>
      <c r="Y91" s="38"/>
      <c r="Z91" s="39"/>
      <c r="AA91" s="38"/>
      <c r="AB91" s="39"/>
      <c r="AC91" s="38"/>
      <c r="AD91" s="39"/>
      <c r="AE91" s="38"/>
      <c r="AF91" s="39"/>
      <c r="AG91" s="38"/>
      <c r="AH91" s="39"/>
      <c r="AI91" s="38"/>
      <c r="AJ91" s="39"/>
      <c r="AK91" s="40"/>
      <c r="AL91" s="39"/>
      <c r="AM91" s="40"/>
      <c r="AN91" s="39"/>
      <c r="AO91" s="40"/>
      <c r="AP91" s="39"/>
      <c r="AQ91" s="40"/>
      <c r="AR91" s="39"/>
      <c r="AS91" s="40"/>
      <c r="AT91" s="39"/>
      <c r="AU91" s="40"/>
      <c r="AV91" s="39"/>
      <c r="AW91" s="40"/>
      <c r="AX91" s="39"/>
      <c r="AY91" s="40"/>
      <c r="AZ91" s="39"/>
      <c r="BA91" s="40"/>
      <c r="BB91" s="39"/>
      <c r="BC91" s="40"/>
      <c r="BD91" s="39"/>
      <c r="BE91" s="40"/>
      <c r="BF91" s="39"/>
      <c r="BG91" s="40"/>
      <c r="BH91" s="39"/>
      <c r="BI91" s="40"/>
      <c r="BJ91" s="39"/>
      <c r="BK91" s="40"/>
      <c r="BL91" s="39"/>
      <c r="BM91" s="40"/>
      <c r="BN91" s="39"/>
      <c r="BO91" s="40"/>
      <c r="BP91" s="39"/>
      <c r="BQ91" s="40"/>
      <c r="BR91" s="39"/>
      <c r="BS91" s="40"/>
      <c r="BT91" s="39"/>
      <c r="BU91" s="40"/>
      <c r="BV91" s="39"/>
      <c r="BW91" s="40"/>
      <c r="BX91" s="39"/>
      <c r="BY91" s="40"/>
      <c r="BZ91" s="39"/>
      <c r="CA91" s="40"/>
      <c r="CB91" s="39"/>
      <c r="CC91" s="40"/>
      <c r="CD91" s="39"/>
      <c r="CE91" s="40"/>
      <c r="CF91" s="39"/>
      <c r="CG91" s="40"/>
      <c r="CH91" s="39"/>
      <c r="CI91" s="40"/>
      <c r="CJ91" s="39"/>
      <c r="CK91" s="40"/>
      <c r="CL91" s="39"/>
      <c r="CM91" s="40"/>
      <c r="CN91" s="39"/>
      <c r="CO91" s="40"/>
      <c r="CP91" s="39"/>
      <c r="CQ91" s="40"/>
      <c r="CR91" s="39"/>
      <c r="CS91" s="40"/>
      <c r="CT91" s="39"/>
      <c r="CU91" s="40"/>
      <c r="CV91" s="39"/>
      <c r="CW91" s="40"/>
      <c r="CX91" s="39"/>
      <c r="CY91" s="40"/>
      <c r="CZ91" s="39"/>
      <c r="DA91" s="40"/>
      <c r="DB91" s="39"/>
      <c r="DC91" s="40"/>
      <c r="DD91" s="39"/>
      <c r="DE91" s="40"/>
      <c r="DF91" s="39"/>
      <c r="DG91" s="40"/>
      <c r="DH91" s="39"/>
      <c r="DI91" s="40"/>
      <c r="DJ91" s="39"/>
      <c r="DK91" s="40"/>
      <c r="DL91" s="39"/>
      <c r="DM91" s="40"/>
      <c r="DN91" s="39"/>
      <c r="DO91" s="40"/>
      <c r="DP91" s="39"/>
      <c r="DQ91" s="40"/>
      <c r="DR91" s="39"/>
      <c r="DS91" s="40"/>
      <c r="DT91" s="39"/>
      <c r="DU91" s="40"/>
      <c r="DV91" s="39"/>
      <c r="DW91" s="40"/>
      <c r="DX91" s="39"/>
      <c r="DY91" s="40"/>
      <c r="DZ91" s="39"/>
      <c r="EA91" s="40"/>
      <c r="EB91" s="39"/>
      <c r="EC91" s="40"/>
      <c r="ED91" s="39"/>
      <c r="EE91" s="40"/>
      <c r="EF91" s="39"/>
      <c r="EG91" s="40"/>
      <c r="EH91" s="39"/>
      <c r="EI91" s="40"/>
      <c r="EJ91" s="39"/>
      <c r="EK91" s="40"/>
      <c r="EL91" s="39"/>
      <c r="EM91" s="40"/>
      <c r="EN91" s="39"/>
      <c r="EO91" s="40"/>
      <c r="EP91" s="39"/>
      <c r="EQ91" s="40"/>
      <c r="ER91" s="39"/>
      <c r="ES91" s="40"/>
      <c r="ET91" s="39"/>
      <c r="EU91" s="40"/>
      <c r="EV91" s="39"/>
      <c r="EW91" s="40"/>
      <c r="EX91" s="39"/>
      <c r="EY91" s="40"/>
      <c r="EZ91" s="39"/>
      <c r="FA91" s="40"/>
      <c r="FB91" s="39"/>
      <c r="FC91" s="40"/>
      <c r="FD91" s="39"/>
      <c r="FE91" s="40"/>
      <c r="FF91" s="39"/>
      <c r="FG91" s="40"/>
      <c r="FH91" s="39"/>
      <c r="FI91" s="40"/>
      <c r="FJ91" s="39"/>
      <c r="FK91" s="40"/>
      <c r="FL91" s="39"/>
      <c r="FM91" s="40"/>
      <c r="FN91" s="39"/>
      <c r="FO91" s="40"/>
      <c r="FP91" s="39"/>
      <c r="FQ91" s="40"/>
      <c r="FR91" s="39"/>
      <c r="FS91" s="40"/>
      <c r="FT91" s="39"/>
      <c r="FU91" s="40"/>
      <c r="FV91" s="39"/>
      <c r="FW91" s="40"/>
      <c r="FX91" s="39"/>
      <c r="FY91" s="40"/>
      <c r="FZ91" s="39"/>
      <c r="GA91" s="40"/>
      <c r="GB91" s="39"/>
      <c r="GC91" s="40"/>
      <c r="GD91" s="39"/>
      <c r="GE91" s="40"/>
      <c r="GF91" s="39"/>
      <c r="GG91" s="40"/>
      <c r="GH91" s="39"/>
      <c r="GI91" s="40"/>
      <c r="GJ91" s="39"/>
      <c r="GK91" s="40"/>
      <c r="GL91" s="39"/>
      <c r="GM91" s="40"/>
      <c r="GN91" s="39"/>
      <c r="GO91" s="40"/>
      <c r="GP91" s="39"/>
      <c r="GQ91" s="40"/>
      <c r="GR91" s="39"/>
      <c r="GS91" s="40"/>
      <c r="GT91" s="39"/>
      <c r="GU91" s="40"/>
      <c r="GV91" s="39"/>
      <c r="GW91" s="40"/>
      <c r="GX91" s="39"/>
      <c r="GY91" s="40"/>
      <c r="GZ91" s="39"/>
      <c r="HA91" s="40"/>
      <c r="HB91" s="39"/>
      <c r="HC91" s="40"/>
      <c r="HD91" s="39"/>
      <c r="HE91" s="40"/>
      <c r="HF91" s="39"/>
      <c r="HG91" s="40"/>
      <c r="HH91" s="39"/>
      <c r="HI91" s="40"/>
      <c r="HJ91" s="39"/>
      <c r="HK91" s="40"/>
      <c r="HL91" s="39"/>
      <c r="HM91" s="40"/>
      <c r="HN91" s="39"/>
      <c r="HO91" s="40"/>
      <c r="HP91" s="39"/>
      <c r="HQ91" s="40"/>
      <c r="HR91" s="39"/>
      <c r="HS91" s="40"/>
      <c r="HT91" s="39"/>
      <c r="HU91" s="40"/>
      <c r="HV91" s="39"/>
      <c r="HW91" s="40"/>
      <c r="HX91" s="39"/>
      <c r="HY91" s="40"/>
      <c r="HZ91" s="39"/>
      <c r="IA91" s="40"/>
      <c r="IB91" s="39"/>
      <c r="IC91" s="1068"/>
      <c r="ID91" s="645"/>
      <c r="IE91" s="646"/>
      <c r="IF91" s="645"/>
      <c r="IG91" s="646"/>
      <c r="IH91" s="645"/>
      <c r="II91" s="646"/>
      <c r="IJ91" s="645"/>
      <c r="IK91" s="646"/>
      <c r="IL91" s="645"/>
      <c r="IM91" s="646"/>
      <c r="IN91" s="645"/>
      <c r="IO91" s="646"/>
      <c r="IP91" s="645"/>
      <c r="IQ91" s="646"/>
      <c r="IR91" s="645"/>
      <c r="IS91" s="646"/>
      <c r="IT91" s="645"/>
      <c r="IU91" s="646"/>
      <c r="IV91" s="645"/>
      <c r="IW91" s="646"/>
      <c r="IX91" s="645"/>
      <c r="IY91" s="646"/>
      <c r="IZ91" s="645"/>
      <c r="JA91" s="646"/>
      <c r="JB91" s="645"/>
      <c r="JC91" s="646"/>
      <c r="JD91" s="645"/>
      <c r="JE91" s="646"/>
      <c r="JF91" s="645"/>
      <c r="JG91" s="646"/>
      <c r="JH91" s="645"/>
      <c r="JI91" s="646"/>
      <c r="JJ91" s="645"/>
      <c r="JK91" s="646"/>
      <c r="JL91" s="645"/>
      <c r="JM91" s="646"/>
      <c r="JN91" s="645"/>
      <c r="JO91" s="646"/>
      <c r="JP91" s="645"/>
      <c r="JQ91" s="646"/>
      <c r="JR91" s="645"/>
      <c r="JS91" s="646"/>
      <c r="JT91" s="645"/>
      <c r="JU91" s="646"/>
      <c r="JV91" s="645"/>
      <c r="JW91" s="646"/>
      <c r="JX91" s="645"/>
      <c r="JY91" s="646"/>
      <c r="JZ91" s="645"/>
      <c r="KA91" s="646"/>
      <c r="KB91" s="645"/>
      <c r="KC91" s="646"/>
      <c r="KD91" s="645"/>
      <c r="KE91" s="646"/>
      <c r="KF91" s="645"/>
      <c r="KG91" s="646"/>
      <c r="KH91" s="645"/>
      <c r="KI91" s="646"/>
      <c r="KJ91" s="645"/>
      <c r="KK91" s="646"/>
      <c r="KL91" s="645"/>
      <c r="KM91" s="646"/>
      <c r="KN91" s="645"/>
      <c r="KO91" s="646"/>
      <c r="KP91" s="645"/>
      <c r="KQ91" s="646"/>
      <c r="KR91" s="645"/>
      <c r="KS91" s="646"/>
      <c r="KT91" s="645"/>
      <c r="KU91" s="646"/>
      <c r="KV91" s="645"/>
      <c r="KW91" s="646"/>
      <c r="KX91" s="645"/>
      <c r="KY91" s="646"/>
      <c r="KZ91" s="645"/>
      <c r="LA91" s="646"/>
      <c r="LB91" s="645"/>
      <c r="LC91" s="646"/>
      <c r="LD91" s="645"/>
      <c r="LE91" s="646"/>
      <c r="LF91" s="645"/>
      <c r="LG91" s="646"/>
      <c r="LH91" s="645"/>
      <c r="LI91" s="646"/>
      <c r="LJ91" s="645"/>
      <c r="LK91" s="646"/>
      <c r="LL91" s="645"/>
      <c r="LM91" s="646"/>
      <c r="LN91" s="645"/>
      <c r="LO91" s="646"/>
      <c r="LP91" s="645"/>
      <c r="LQ91" s="646"/>
      <c r="LR91" s="645"/>
      <c r="LS91" s="646"/>
      <c r="LT91" s="645"/>
      <c r="LU91" s="646"/>
      <c r="LV91" s="645"/>
      <c r="LW91" s="646"/>
      <c r="LX91" s="645"/>
      <c r="LY91" s="646"/>
      <c r="LZ91" s="645"/>
      <c r="MA91" s="646"/>
      <c r="MB91" s="645"/>
      <c r="MC91" s="646"/>
      <c r="MD91" s="645"/>
      <c r="ME91" s="646"/>
      <c r="MF91" s="645"/>
      <c r="MG91" s="646"/>
      <c r="MH91" s="645"/>
      <c r="MI91" s="646"/>
      <c r="MJ91" s="645"/>
      <c r="MK91" s="646"/>
      <c r="ML91" s="645"/>
      <c r="MM91" s="646"/>
      <c r="MN91" s="645"/>
      <c r="MO91" s="646"/>
      <c r="MP91" s="645"/>
      <c r="MQ91" s="646"/>
      <c r="MR91" s="645"/>
      <c r="MS91" s="646"/>
      <c r="MT91" s="645"/>
      <c r="MU91" s="646"/>
      <c r="MV91" s="645"/>
      <c r="MW91" s="646"/>
      <c r="MX91" s="645"/>
      <c r="MY91" s="646"/>
      <c r="MZ91" s="645"/>
      <c r="NA91" s="646"/>
      <c r="NB91" s="645"/>
      <c r="NC91" s="646"/>
      <c r="ND91" s="645"/>
      <c r="NE91" s="646"/>
      <c r="NF91" s="645"/>
      <c r="NG91" s="646"/>
      <c r="NH91" s="645"/>
      <c r="NI91" s="646"/>
      <c r="NJ91" s="645"/>
      <c r="NK91" s="646"/>
      <c r="NL91" s="645"/>
      <c r="NM91" s="646"/>
      <c r="NN91" s="645"/>
      <c r="NO91" s="646"/>
      <c r="NP91" s="645"/>
      <c r="NQ91" s="646"/>
      <c r="NR91" s="645"/>
      <c r="NS91" s="646"/>
      <c r="NT91" s="645"/>
      <c r="NU91" s="646"/>
      <c r="NV91" s="645"/>
      <c r="NW91" s="646"/>
      <c r="NX91" s="645"/>
      <c r="NY91" s="646"/>
      <c r="NZ91" s="645"/>
      <c r="OA91" s="646"/>
      <c r="OB91" s="645"/>
      <c r="OC91" s="646"/>
      <c r="OD91" s="645"/>
      <c r="OE91" s="646"/>
      <c r="OF91" s="645"/>
      <c r="OG91" s="646"/>
      <c r="OH91" s="645"/>
      <c r="OI91" s="646"/>
      <c r="OJ91" s="645"/>
      <c r="OK91" s="646"/>
      <c r="OL91" s="645"/>
      <c r="OM91" s="646"/>
      <c r="ON91" s="645"/>
      <c r="OO91" s="646"/>
      <c r="OP91" s="645"/>
      <c r="OQ91" s="646"/>
      <c r="OR91" s="645"/>
      <c r="OS91" s="646"/>
      <c r="OT91" s="645"/>
      <c r="OU91" s="646"/>
      <c r="OV91" s="645"/>
      <c r="OW91" s="646"/>
      <c r="OX91" s="645"/>
      <c r="OY91" s="646"/>
      <c r="OZ91" s="645"/>
      <c r="PA91" s="646"/>
      <c r="PB91" s="645"/>
      <c r="PC91" s="646"/>
      <c r="PD91" s="645"/>
      <c r="PE91" s="646"/>
      <c r="PF91" s="645"/>
      <c r="PG91" s="646"/>
      <c r="PH91" s="645"/>
      <c r="PI91" s="646"/>
      <c r="PJ91" s="645"/>
      <c r="PK91" s="646"/>
      <c r="PL91" s="645"/>
      <c r="PM91" s="646"/>
      <c r="PN91" s="645"/>
      <c r="PO91" s="646"/>
      <c r="PP91" s="645"/>
      <c r="PQ91" s="646"/>
      <c r="PR91" s="645"/>
      <c r="PS91" s="646"/>
      <c r="PT91" s="645"/>
      <c r="PU91" s="646"/>
      <c r="PV91" s="645"/>
      <c r="PW91" s="646"/>
      <c r="PX91" s="645"/>
      <c r="PY91" s="646"/>
      <c r="PZ91" s="645"/>
      <c r="QA91" s="646"/>
      <c r="QB91" s="645"/>
      <c r="QC91" s="646"/>
      <c r="QD91" s="645"/>
      <c r="QE91" s="646"/>
      <c r="QF91" s="645"/>
      <c r="QG91" s="646"/>
      <c r="QH91" s="645"/>
      <c r="QI91" s="646"/>
      <c r="QJ91" s="645"/>
      <c r="QK91" s="646"/>
      <c r="QL91" s="645"/>
      <c r="QM91" s="646"/>
      <c r="QN91" s="645"/>
      <c r="QO91" s="646"/>
      <c r="QP91" s="645"/>
      <c r="QQ91" s="646"/>
      <c r="QR91" s="645"/>
      <c r="QS91" s="646"/>
      <c r="QT91" s="645"/>
      <c r="QU91" s="646"/>
      <c r="QV91" s="645"/>
      <c r="QW91" s="646"/>
      <c r="QX91" s="645"/>
      <c r="QY91" s="646"/>
      <c r="QZ91" s="645"/>
      <c r="RA91" s="646"/>
      <c r="RB91" s="645"/>
      <c r="RC91" s="646"/>
      <c r="RD91" s="645"/>
      <c r="RE91" s="646"/>
      <c r="RF91" s="645"/>
      <c r="RG91" s="646"/>
      <c r="RH91" s="645"/>
      <c r="RI91" s="646"/>
      <c r="RJ91" s="645"/>
      <c r="RK91" s="646"/>
      <c r="RL91" s="645"/>
      <c r="RM91" s="646"/>
      <c r="RN91" s="645"/>
      <c r="RO91" s="646"/>
      <c r="RP91" s="645"/>
      <c r="RQ91" s="646"/>
      <c r="RR91" s="645"/>
      <c r="RS91" s="646"/>
      <c r="RT91" s="645"/>
      <c r="RU91" s="646"/>
      <c r="RV91" s="645"/>
      <c r="RW91" s="646"/>
      <c r="RX91" s="645"/>
      <c r="RY91" s="646"/>
      <c r="RZ91" s="645"/>
      <c r="SA91" s="646"/>
      <c r="SB91" s="645"/>
      <c r="SC91" s="646"/>
      <c r="SD91" s="645"/>
      <c r="SE91" s="646"/>
      <c r="SF91" s="645"/>
      <c r="SG91" s="646"/>
      <c r="SH91" s="645"/>
      <c r="SI91" s="646"/>
      <c r="SJ91" s="645"/>
      <c r="SK91" s="646"/>
      <c r="SL91" s="645"/>
      <c r="SM91" s="646"/>
      <c r="SN91" s="645"/>
      <c r="SO91" s="646"/>
      <c r="SP91" s="645"/>
      <c r="SQ91" s="646"/>
      <c r="SR91" s="645"/>
      <c r="SS91" s="646"/>
      <c r="ST91" s="645"/>
      <c r="SU91" s="646"/>
      <c r="SV91" s="645"/>
      <c r="SW91" s="646"/>
      <c r="SX91" s="645"/>
      <c r="SY91" s="646"/>
      <c r="SZ91" s="645"/>
      <c r="TA91" s="646"/>
      <c r="TB91" s="645"/>
      <c r="TC91" s="646"/>
      <c r="TD91" s="645"/>
      <c r="TE91" s="646"/>
      <c r="TF91" s="645"/>
      <c r="TG91" s="646"/>
      <c r="TH91" s="645"/>
      <c r="TI91" s="646"/>
      <c r="TJ91" s="645"/>
      <c r="TK91" s="646"/>
      <c r="TL91" s="645"/>
      <c r="TM91" s="646"/>
      <c r="TN91" s="645"/>
      <c r="TO91" s="646"/>
      <c r="TP91" s="645"/>
      <c r="TQ91" s="646"/>
      <c r="TR91" s="645"/>
      <c r="TS91" s="646"/>
      <c r="TT91" s="645"/>
      <c r="TU91" s="646"/>
      <c r="TV91" s="645"/>
      <c r="TW91" s="646"/>
      <c r="TX91" s="645"/>
      <c r="TY91" s="646"/>
      <c r="TZ91" s="645"/>
      <c r="UA91" s="646"/>
      <c r="UB91" s="645"/>
      <c r="UC91" s="646"/>
      <c r="UD91" s="645"/>
      <c r="UE91" s="646"/>
      <c r="UF91" s="645"/>
      <c r="UG91" s="646"/>
      <c r="UH91" s="645"/>
      <c r="UI91" s="646"/>
      <c r="UJ91" s="645"/>
      <c r="UK91" s="646"/>
      <c r="UL91" s="645"/>
      <c r="UM91" s="646"/>
      <c r="UN91" s="645"/>
      <c r="UO91" s="646"/>
      <c r="UP91" s="645"/>
      <c r="UQ91" s="646"/>
      <c r="UR91" s="645"/>
      <c r="US91" s="646"/>
      <c r="UT91" s="645"/>
      <c r="UU91" s="646"/>
      <c r="UV91" s="645"/>
      <c r="UW91" s="646"/>
      <c r="UX91" s="645"/>
      <c r="UY91" s="646"/>
      <c r="UZ91" s="645"/>
      <c r="VA91" s="646"/>
      <c r="VB91" s="645"/>
      <c r="VC91" s="646"/>
      <c r="VD91" s="645"/>
      <c r="VE91" s="646"/>
      <c r="VF91" s="645"/>
      <c r="VG91" s="646"/>
      <c r="VH91" s="645"/>
      <c r="VI91" s="646"/>
      <c r="VJ91" s="645"/>
      <c r="VK91" s="646"/>
      <c r="VL91" s="645"/>
      <c r="VM91" s="646"/>
      <c r="VN91" s="645"/>
      <c r="VO91" s="646"/>
      <c r="VP91" s="645"/>
      <c r="VQ91" s="646"/>
      <c r="VR91" s="645"/>
      <c r="VS91" s="646"/>
      <c r="VT91" s="645"/>
      <c r="VU91" s="646"/>
      <c r="VV91" s="645"/>
      <c r="VW91" s="646"/>
      <c r="VX91" s="645"/>
      <c r="VY91" s="646"/>
      <c r="VZ91" s="645"/>
      <c r="WA91" s="646"/>
      <c r="WB91" s="645"/>
      <c r="WC91" s="646"/>
      <c r="WD91" s="645"/>
      <c r="WE91" s="646"/>
      <c r="WF91" s="645"/>
      <c r="WG91" s="646"/>
      <c r="WH91" s="645"/>
      <c r="WI91" s="646"/>
      <c r="WJ91" s="645"/>
      <c r="WK91" s="646"/>
      <c r="WL91" s="645"/>
      <c r="WM91" s="646"/>
      <c r="WN91" s="645"/>
      <c r="WO91" s="646"/>
      <c r="WP91" s="645"/>
      <c r="WQ91" s="646"/>
      <c r="WR91" s="645"/>
      <c r="WS91" s="646"/>
      <c r="WT91" s="645"/>
      <c r="WU91" s="646"/>
      <c r="WV91" s="645"/>
      <c r="WW91" s="646"/>
      <c r="WX91" s="645"/>
      <c r="WY91" s="646"/>
      <c r="WZ91" s="645"/>
      <c r="XA91" s="646"/>
      <c r="XB91" s="645"/>
      <c r="XC91" s="646"/>
      <c r="XD91" s="645"/>
      <c r="XE91" s="646"/>
      <c r="XF91" s="645"/>
      <c r="XG91" s="646"/>
      <c r="XH91" s="645"/>
      <c r="XI91" s="646"/>
      <c r="XJ91" s="645"/>
      <c r="XK91" s="646"/>
      <c r="XL91" s="645"/>
      <c r="XM91" s="646"/>
      <c r="XN91" s="645"/>
      <c r="XO91" s="646"/>
      <c r="XP91" s="645"/>
      <c r="XQ91" s="646"/>
      <c r="XR91" s="645"/>
      <c r="XS91" s="646"/>
      <c r="XT91" s="645"/>
      <c r="XU91" s="646"/>
      <c r="XV91" s="645"/>
      <c r="XW91" s="646"/>
      <c r="XX91" s="645"/>
      <c r="XY91" s="646"/>
      <c r="XZ91" s="645"/>
      <c r="YA91" s="646"/>
      <c r="YB91" s="645"/>
      <c r="YC91" s="646"/>
      <c r="YD91" s="645"/>
      <c r="YE91" s="646"/>
      <c r="YF91" s="645"/>
      <c r="YG91" s="646"/>
      <c r="YH91" s="645"/>
      <c r="YI91" s="646"/>
      <c r="YJ91" s="645"/>
      <c r="YK91" s="646"/>
      <c r="YL91" s="645"/>
      <c r="YM91" s="646"/>
      <c r="YN91" s="645"/>
      <c r="YO91" s="646"/>
      <c r="YP91" s="645"/>
      <c r="YQ91" s="646"/>
      <c r="YR91" s="645"/>
      <c r="YS91" s="646"/>
      <c r="YT91" s="645"/>
      <c r="YU91" s="646"/>
      <c r="YV91" s="645"/>
      <c r="YW91" s="646"/>
      <c r="YX91" s="645"/>
      <c r="YY91" s="646"/>
      <c r="YZ91" s="645"/>
      <c r="ZA91" s="646"/>
      <c r="ZB91" s="645"/>
      <c r="ZC91" s="646"/>
      <c r="ZD91" s="645"/>
      <c r="ZE91" s="646"/>
      <c r="ZF91" s="645"/>
      <c r="ZG91" s="646"/>
      <c r="ZH91" s="645"/>
      <c r="ZI91" s="646"/>
      <c r="ZJ91" s="645"/>
      <c r="ZK91" s="646"/>
      <c r="ZL91" s="645"/>
      <c r="ZM91" s="646"/>
      <c r="ZN91" s="645"/>
      <c r="ZO91" s="646"/>
      <c r="ZP91" s="645"/>
      <c r="ZQ91" s="646"/>
      <c r="ZR91" s="645"/>
      <c r="ZS91" s="646"/>
      <c r="ZT91" s="645"/>
      <c r="ZU91" s="646"/>
      <c r="ZV91" s="645"/>
      <c r="ZW91" s="646"/>
      <c r="ZX91" s="645"/>
      <c r="ZY91" s="646"/>
      <c r="ZZ91" s="645"/>
      <c r="AAA91" s="646"/>
      <c r="AAB91" s="645"/>
      <c r="AAC91" s="646"/>
      <c r="AAD91" s="645"/>
      <c r="AAE91" s="646"/>
      <c r="AAF91" s="645"/>
      <c r="AAG91" s="646"/>
      <c r="AAH91" s="645"/>
      <c r="AAI91" s="646"/>
      <c r="AAJ91" s="645"/>
      <c r="AAK91" s="646"/>
      <c r="AAL91" s="645"/>
      <c r="AAM91" s="646"/>
      <c r="AAN91" s="645"/>
      <c r="AAO91" s="646"/>
      <c r="AAP91" s="645"/>
      <c r="AAQ91" s="646"/>
      <c r="AAR91" s="645"/>
      <c r="AAS91" s="646"/>
      <c r="AAT91" s="645"/>
      <c r="AAU91" s="646"/>
      <c r="AAV91" s="645"/>
      <c r="AAW91" s="646"/>
      <c r="AAX91" s="645"/>
      <c r="AAY91" s="646"/>
      <c r="AAZ91" s="645"/>
      <c r="ABA91" s="646"/>
      <c r="ABB91" s="645"/>
      <c r="ABC91" s="646"/>
      <c r="ABD91" s="645"/>
      <c r="ABE91" s="646"/>
      <c r="ABF91" s="645"/>
      <c r="ABG91" s="646"/>
      <c r="ABH91" s="645"/>
      <c r="ABI91" s="646"/>
      <c r="ABJ91" s="645"/>
      <c r="ABK91" s="646"/>
      <c r="ABL91" s="645"/>
      <c r="ABM91" s="646"/>
      <c r="ABN91" s="645"/>
      <c r="ABO91" s="646"/>
      <c r="ABP91" s="645"/>
      <c r="ABQ91" s="646"/>
      <c r="ABR91" s="645"/>
      <c r="ABS91" s="646"/>
      <c r="ABT91" s="645"/>
      <c r="ABU91" s="646"/>
      <c r="ABV91" s="645"/>
      <c r="ABW91" s="646"/>
      <c r="ABX91" s="645"/>
      <c r="ABY91" s="646"/>
      <c r="ABZ91" s="645"/>
      <c r="ACA91" s="646"/>
      <c r="ACB91" s="645"/>
      <c r="ACC91" s="646"/>
      <c r="ACD91" s="645"/>
      <c r="ACE91" s="646"/>
      <c r="ACF91" s="645"/>
      <c r="ACG91" s="646"/>
      <c r="ACH91" s="645"/>
      <c r="ACI91" s="646"/>
      <c r="ACJ91" s="645"/>
      <c r="ACK91" s="646"/>
      <c r="ACL91" s="645"/>
      <c r="ACM91" s="646"/>
      <c r="ACN91" s="645"/>
      <c r="ACO91" s="646"/>
      <c r="ACP91" s="645"/>
      <c r="ACQ91" s="646"/>
      <c r="ACR91" s="645"/>
      <c r="ACS91" s="646"/>
      <c r="ACT91" s="645"/>
      <c r="ACU91" s="646"/>
      <c r="ACV91" s="645"/>
      <c r="ACW91" s="646"/>
      <c r="ACX91" s="645"/>
      <c r="ACY91" s="646"/>
      <c r="ACZ91" s="645"/>
      <c r="ADA91" s="646"/>
      <c r="ADB91" s="645"/>
      <c r="ADC91" s="646"/>
      <c r="ADD91" s="645"/>
      <c r="ADE91" s="646"/>
      <c r="ADF91" s="645"/>
      <c r="ADG91" s="646"/>
      <c r="ADH91" s="645"/>
      <c r="ADI91" s="646"/>
      <c r="ADJ91" s="645"/>
      <c r="ADK91" s="646"/>
      <c r="ADL91" s="645"/>
      <c r="ADM91" s="646"/>
      <c r="ADN91" s="645"/>
      <c r="ADO91" s="646"/>
      <c r="ADP91" s="645"/>
      <c r="ADQ91" s="646"/>
      <c r="ADR91" s="645"/>
      <c r="ADS91" s="646"/>
      <c r="ADT91" s="645"/>
      <c r="ADU91" s="646"/>
      <c r="ADV91" s="645"/>
      <c r="ADW91" s="646"/>
      <c r="ADX91" s="645"/>
      <c r="ADY91" s="646"/>
      <c r="ADZ91" s="645"/>
      <c r="AEA91" s="646"/>
      <c r="AEB91" s="645"/>
      <c r="AEC91" s="646"/>
      <c r="AED91" s="645"/>
      <c r="AEE91" s="646"/>
      <c r="AEF91" s="645"/>
      <c r="AEG91" s="646"/>
      <c r="AEH91" s="645"/>
      <c r="AEI91" s="646"/>
      <c r="AEJ91" s="645"/>
      <c r="AEK91" s="646"/>
      <c r="AEL91" s="645"/>
      <c r="AEM91" s="646"/>
      <c r="AEN91" s="645"/>
      <c r="AEO91" s="646"/>
      <c r="AEP91" s="645"/>
      <c r="AEQ91" s="646"/>
      <c r="AER91" s="645"/>
      <c r="AES91" s="646"/>
      <c r="AET91" s="645"/>
      <c r="AEU91" s="646"/>
      <c r="AEV91" s="645"/>
      <c r="AEW91" s="646"/>
      <c r="AEX91" s="645"/>
      <c r="AEY91" s="646"/>
      <c r="AEZ91" s="645"/>
      <c r="AFA91" s="646"/>
      <c r="AFB91" s="645"/>
      <c r="AFC91" s="646"/>
      <c r="AFD91" s="645"/>
      <c r="AFE91" s="646"/>
      <c r="AFF91" s="645"/>
      <c r="AFG91" s="646"/>
      <c r="AFH91" s="645"/>
      <c r="AFI91" s="646"/>
      <c r="AFJ91" s="645"/>
      <c r="AFK91" s="646"/>
      <c r="AFL91" s="645"/>
      <c r="AFM91" s="646"/>
      <c r="AFN91" s="645"/>
      <c r="AFO91" s="646"/>
      <c r="AFP91" s="645"/>
      <c r="AFQ91" s="646"/>
      <c r="AFR91" s="645"/>
      <c r="AFS91" s="646"/>
      <c r="AFT91" s="645"/>
      <c r="AFU91" s="646"/>
      <c r="AFV91" s="645"/>
      <c r="AFW91" s="646"/>
      <c r="AFX91" s="645"/>
      <c r="AFY91" s="646"/>
      <c r="AFZ91" s="645"/>
      <c r="AGA91" s="646"/>
      <c r="AGB91" s="645"/>
      <c r="AGC91" s="646"/>
      <c r="AGD91" s="645"/>
      <c r="AGE91" s="646"/>
      <c r="AGF91" s="645"/>
      <c r="AGG91" s="646"/>
      <c r="AGH91" s="645"/>
      <c r="AGI91" s="646"/>
      <c r="AGJ91" s="645"/>
      <c r="AGK91" s="646"/>
      <c r="AGL91" s="645"/>
      <c r="AGM91" s="646"/>
      <c r="AGN91" s="645"/>
      <c r="AGO91" s="646"/>
      <c r="AGP91" s="645"/>
      <c r="AGQ91" s="646"/>
      <c r="AGR91" s="645"/>
      <c r="AGS91" s="646"/>
      <c r="AGT91" s="645"/>
      <c r="AGU91" s="646"/>
      <c r="AGV91" s="645"/>
      <c r="AGW91" s="646"/>
      <c r="AGX91" s="645"/>
      <c r="AGY91" s="646"/>
      <c r="AGZ91" s="645"/>
      <c r="AHA91" s="646"/>
      <c r="AHB91" s="645"/>
      <c r="AHC91" s="646"/>
      <c r="AHD91" s="645"/>
      <c r="AHE91" s="646"/>
      <c r="AHF91" s="645"/>
      <c r="AHG91" s="646"/>
      <c r="AHH91" s="645"/>
      <c r="AHI91" s="646"/>
      <c r="AHJ91" s="645"/>
      <c r="AHK91" s="646"/>
      <c r="AHL91" s="645"/>
      <c r="AHM91" s="646"/>
      <c r="AHN91" s="645"/>
      <c r="AHO91" s="646"/>
      <c r="AHP91" s="645"/>
      <c r="AHQ91" s="646"/>
      <c r="AHR91" s="645"/>
      <c r="AHS91" s="646"/>
      <c r="AHT91" s="645"/>
      <c r="AHU91" s="646"/>
      <c r="AHV91" s="645"/>
      <c r="AHW91" s="646"/>
      <c r="AHX91" s="645"/>
      <c r="AHY91" s="646"/>
      <c r="AHZ91" s="645"/>
      <c r="AIA91" s="646"/>
      <c r="AIB91" s="645"/>
      <c r="AIC91" s="646"/>
      <c r="AID91" s="645"/>
      <c r="AIE91" s="646"/>
      <c r="AIF91" s="645"/>
      <c r="AIG91" s="646"/>
      <c r="AIH91" s="645"/>
      <c r="AII91" s="646"/>
      <c r="AIJ91" s="645"/>
      <c r="AIK91" s="646"/>
      <c r="AIL91" s="645"/>
      <c r="AIM91" s="646"/>
      <c r="AIN91" s="645"/>
      <c r="AIO91" s="646"/>
      <c r="AIP91" s="645"/>
      <c r="AIQ91" s="645"/>
      <c r="AIR91" s="645"/>
      <c r="AIS91" s="645"/>
      <c r="AIT91" s="645"/>
      <c r="AIU91" s="645"/>
      <c r="AIV91" s="645"/>
      <c r="AIW91" s="645"/>
      <c r="AIX91" s="645"/>
      <c r="AIY91" s="645"/>
      <c r="AIZ91" s="645"/>
      <c r="AJA91" s="645"/>
      <c r="AJB91" s="645"/>
      <c r="AJC91" s="645"/>
      <c r="AJD91" s="645"/>
      <c r="AJE91" s="645"/>
      <c r="AJF91" s="645"/>
      <c r="AJG91" s="645"/>
      <c r="AJH91" s="645"/>
      <c r="AJI91" s="645"/>
      <c r="AJJ91" s="645"/>
      <c r="AJK91" s="645"/>
      <c r="AJL91" s="645"/>
      <c r="AJM91" s="645"/>
      <c r="AJN91" s="645"/>
      <c r="AJO91" s="645"/>
      <c r="AJP91" s="645"/>
      <c r="AJQ91" s="645"/>
      <c r="AJR91" s="645"/>
      <c r="AJS91" s="645"/>
      <c r="AJT91" s="645"/>
      <c r="AJU91" s="645"/>
      <c r="AJV91" s="645"/>
      <c r="AJW91" s="645"/>
      <c r="AJX91" s="645"/>
      <c r="AJY91" s="645"/>
      <c r="AJZ91" s="645"/>
      <c r="AKA91" s="645"/>
      <c r="AKB91" s="645"/>
      <c r="AKC91" s="645"/>
      <c r="AKD91" s="645"/>
      <c r="AKE91" s="645"/>
      <c r="AKF91" s="645"/>
      <c r="AKG91" s="645"/>
      <c r="AKH91" s="645"/>
      <c r="AKI91" s="645"/>
      <c r="AKJ91" s="645"/>
      <c r="AKK91" s="645"/>
      <c r="AKL91" s="645"/>
      <c r="AKM91" s="645"/>
      <c r="AKN91" s="645"/>
      <c r="AKO91" s="645"/>
      <c r="AKP91" s="645"/>
      <c r="AKQ91" s="645"/>
      <c r="AKR91" s="645"/>
      <c r="AKS91" s="645"/>
      <c r="AKT91" s="645"/>
      <c r="AKU91" s="645"/>
      <c r="AKV91" s="645"/>
      <c r="AKW91" s="645"/>
      <c r="AKX91" s="645"/>
      <c r="AKY91" s="645"/>
      <c r="AKZ91" s="645"/>
      <c r="ALA91" s="645"/>
      <c r="ALB91" s="645"/>
      <c r="ALC91" s="645"/>
      <c r="ALD91" s="645"/>
      <c r="ALE91" s="645"/>
      <c r="ALF91" s="645"/>
      <c r="ALG91" s="645"/>
      <c r="ALH91" s="645"/>
      <c r="ALI91" s="645"/>
      <c r="ALJ91" s="645"/>
      <c r="ALK91" s="645"/>
      <c r="ALL91" s="645"/>
      <c r="ALM91" s="645"/>
      <c r="ALN91" s="645"/>
      <c r="ALO91" s="645"/>
      <c r="ALP91" s="645"/>
      <c r="ALQ91" s="645"/>
      <c r="ALR91" s="645"/>
      <c r="ALS91" s="645"/>
      <c r="ALT91" s="645"/>
      <c r="ALU91" s="645"/>
      <c r="ALV91" s="645"/>
      <c r="ALW91" s="645"/>
      <c r="ALX91" s="645"/>
      <c r="ALY91" s="645"/>
      <c r="ALZ91" s="645"/>
      <c r="AMA91" s="645"/>
      <c r="AMB91" s="645"/>
      <c r="AMC91" s="645"/>
      <c r="AMD91" s="645"/>
      <c r="AME91" s="645"/>
      <c r="AMF91" s="645"/>
      <c r="AMG91" s="645"/>
      <c r="AMH91" s="645"/>
      <c r="AMI91" s="645"/>
      <c r="AMJ91" s="645"/>
    </row>
    <row r="92" spans="1:1024" s="37" customFormat="1" ht="15.75" customHeight="1" x14ac:dyDescent="0.35">
      <c r="A92" s="600"/>
      <c r="B92" s="601" t="s">
        <v>346</v>
      </c>
      <c r="C92" s="645"/>
      <c r="D92" s="646"/>
      <c r="E92" s="645"/>
      <c r="F92" s="646"/>
      <c r="G92" s="647" t="s">
        <v>243</v>
      </c>
      <c r="H92" s="643"/>
      <c r="I92" s="645"/>
      <c r="J92" s="38"/>
      <c r="K92" s="38"/>
      <c r="L92" s="39"/>
      <c r="M92" s="38"/>
      <c r="N92" s="39"/>
      <c r="O92" s="38"/>
      <c r="P92" s="39"/>
      <c r="Q92" s="38"/>
      <c r="R92" s="39"/>
      <c r="S92" s="38"/>
      <c r="T92" s="39"/>
      <c r="U92" s="38"/>
      <c r="V92" s="39"/>
      <c r="W92" s="38"/>
      <c r="X92" s="39"/>
      <c r="Y92" s="38"/>
      <c r="Z92" s="39"/>
      <c r="AA92" s="38"/>
      <c r="AB92" s="39"/>
      <c r="AC92" s="38"/>
      <c r="AD92" s="39"/>
      <c r="AE92" s="38"/>
      <c r="AF92" s="39"/>
      <c r="AG92" s="38"/>
      <c r="AH92" s="39"/>
      <c r="AI92" s="38"/>
      <c r="AJ92" s="39"/>
      <c r="AK92" s="40"/>
      <c r="AL92" s="39"/>
      <c r="AM92" s="40"/>
      <c r="AN92" s="39"/>
      <c r="AO92" s="40"/>
      <c r="AP92" s="39"/>
      <c r="AQ92" s="40"/>
      <c r="AR92" s="39"/>
      <c r="AS92" s="40"/>
      <c r="AT92" s="39"/>
      <c r="AU92" s="40"/>
      <c r="AV92" s="39"/>
      <c r="AW92" s="40"/>
      <c r="AX92" s="39"/>
      <c r="AY92" s="40"/>
      <c r="AZ92" s="39"/>
      <c r="BA92" s="40"/>
      <c r="BB92" s="39"/>
      <c r="BC92" s="40"/>
      <c r="BD92" s="39"/>
      <c r="BE92" s="40"/>
      <c r="BF92" s="39"/>
      <c r="BG92" s="40"/>
      <c r="BH92" s="39"/>
      <c r="BI92" s="40"/>
      <c r="BJ92" s="39"/>
      <c r="BK92" s="40"/>
      <c r="BL92" s="39"/>
      <c r="BM92" s="40"/>
      <c r="BN92" s="39"/>
      <c r="BO92" s="40"/>
      <c r="BP92" s="39"/>
      <c r="BQ92" s="40"/>
      <c r="BR92" s="39"/>
      <c r="BS92" s="40"/>
      <c r="BT92" s="39"/>
      <c r="BU92" s="40"/>
      <c r="BV92" s="39"/>
      <c r="BW92" s="40"/>
      <c r="BX92" s="39"/>
      <c r="BY92" s="40"/>
      <c r="BZ92" s="39"/>
      <c r="CA92" s="40"/>
      <c r="CB92" s="39"/>
      <c r="CC92" s="40"/>
      <c r="CD92" s="39"/>
      <c r="CE92" s="40"/>
      <c r="CF92" s="39"/>
      <c r="CG92" s="40"/>
      <c r="CH92" s="39"/>
      <c r="CI92" s="40"/>
      <c r="CJ92" s="39"/>
      <c r="CK92" s="40"/>
      <c r="CL92" s="39"/>
      <c r="CM92" s="40"/>
      <c r="CN92" s="39"/>
      <c r="CO92" s="40"/>
      <c r="CP92" s="39"/>
      <c r="CQ92" s="40"/>
      <c r="CR92" s="39"/>
      <c r="CS92" s="40"/>
      <c r="CT92" s="39"/>
      <c r="CU92" s="40"/>
      <c r="CV92" s="39"/>
      <c r="CW92" s="40"/>
      <c r="CX92" s="39"/>
      <c r="CY92" s="40"/>
      <c r="CZ92" s="39"/>
      <c r="DA92" s="40"/>
      <c r="DB92" s="39"/>
      <c r="DC92" s="40"/>
      <c r="DD92" s="39"/>
      <c r="DE92" s="40"/>
      <c r="DF92" s="39"/>
      <c r="DG92" s="40"/>
      <c r="DH92" s="39"/>
      <c r="DI92" s="40"/>
      <c r="DJ92" s="39"/>
      <c r="DK92" s="40"/>
      <c r="DL92" s="39"/>
      <c r="DM92" s="40"/>
      <c r="DN92" s="39"/>
      <c r="DO92" s="40"/>
      <c r="DP92" s="39"/>
      <c r="DQ92" s="40"/>
      <c r="DR92" s="39"/>
      <c r="DS92" s="40"/>
      <c r="DT92" s="39"/>
      <c r="DU92" s="40"/>
      <c r="DV92" s="39"/>
      <c r="DW92" s="40"/>
      <c r="DX92" s="39"/>
      <c r="DY92" s="40"/>
      <c r="DZ92" s="39"/>
      <c r="EA92" s="40"/>
      <c r="EB92" s="39"/>
      <c r="EC92" s="40"/>
      <c r="ED92" s="39"/>
      <c r="EE92" s="40"/>
      <c r="EF92" s="39"/>
      <c r="EG92" s="40"/>
      <c r="EH92" s="39"/>
      <c r="EI92" s="40"/>
      <c r="EJ92" s="39"/>
      <c r="EK92" s="40"/>
      <c r="EL92" s="39"/>
      <c r="EM92" s="40"/>
      <c r="EN92" s="39"/>
      <c r="EO92" s="40"/>
      <c r="EP92" s="39"/>
      <c r="EQ92" s="40"/>
      <c r="ER92" s="39"/>
      <c r="ES92" s="40"/>
      <c r="ET92" s="39"/>
      <c r="EU92" s="40"/>
      <c r="EV92" s="39"/>
      <c r="EW92" s="40"/>
      <c r="EX92" s="39"/>
      <c r="EY92" s="40"/>
      <c r="EZ92" s="39"/>
      <c r="FA92" s="40"/>
      <c r="FB92" s="39"/>
      <c r="FC92" s="40"/>
      <c r="FD92" s="39"/>
      <c r="FE92" s="40"/>
      <c r="FF92" s="39"/>
      <c r="FG92" s="40"/>
      <c r="FH92" s="39"/>
      <c r="FI92" s="40"/>
      <c r="FJ92" s="39"/>
      <c r="FK92" s="40"/>
      <c r="FL92" s="39"/>
      <c r="FM92" s="40"/>
      <c r="FN92" s="39"/>
      <c r="FO92" s="40"/>
      <c r="FP92" s="39"/>
      <c r="FQ92" s="40"/>
      <c r="FR92" s="39"/>
      <c r="FS92" s="40"/>
      <c r="FT92" s="39"/>
      <c r="FU92" s="40"/>
      <c r="FV92" s="39"/>
      <c r="FW92" s="40"/>
      <c r="FX92" s="39"/>
      <c r="FY92" s="40"/>
      <c r="FZ92" s="39"/>
      <c r="GA92" s="40"/>
      <c r="GB92" s="39"/>
      <c r="GC92" s="40"/>
      <c r="GD92" s="39"/>
      <c r="GE92" s="40"/>
      <c r="GF92" s="39"/>
      <c r="GG92" s="40"/>
      <c r="GH92" s="39"/>
      <c r="GI92" s="40"/>
      <c r="GJ92" s="39"/>
      <c r="GK92" s="40"/>
      <c r="GL92" s="39"/>
      <c r="GM92" s="40"/>
      <c r="GN92" s="39"/>
      <c r="GO92" s="40"/>
      <c r="GP92" s="39"/>
      <c r="GQ92" s="40"/>
      <c r="GR92" s="39"/>
      <c r="GS92" s="40"/>
      <c r="GT92" s="39"/>
      <c r="GU92" s="40"/>
      <c r="GV92" s="39"/>
      <c r="GW92" s="40"/>
      <c r="GX92" s="39"/>
      <c r="GY92" s="40"/>
      <c r="GZ92" s="39"/>
      <c r="HA92" s="40"/>
      <c r="HB92" s="39"/>
      <c r="HC92" s="40"/>
      <c r="HD92" s="39"/>
      <c r="HE92" s="40"/>
      <c r="HF92" s="39"/>
      <c r="HG92" s="40"/>
      <c r="HH92" s="39"/>
      <c r="HI92" s="40"/>
      <c r="HJ92" s="39"/>
      <c r="HK92" s="40"/>
      <c r="HL92" s="39"/>
      <c r="HM92" s="40"/>
      <c r="HN92" s="39"/>
      <c r="HO92" s="40"/>
      <c r="HP92" s="39"/>
      <c r="HQ92" s="40"/>
      <c r="HR92" s="39"/>
      <c r="HS92" s="40"/>
      <c r="HT92" s="39"/>
      <c r="HU92" s="40"/>
      <c r="HV92" s="39"/>
      <c r="HW92" s="40"/>
      <c r="HX92" s="39"/>
      <c r="HY92" s="40"/>
      <c r="HZ92" s="39"/>
      <c r="IA92" s="40"/>
      <c r="IB92" s="39"/>
      <c r="IC92" s="1068"/>
      <c r="ID92" s="645"/>
      <c r="IE92" s="646"/>
      <c r="IF92" s="645"/>
      <c r="IG92" s="646"/>
      <c r="IH92" s="645"/>
      <c r="II92" s="646"/>
      <c r="IJ92" s="645"/>
      <c r="IK92" s="646"/>
      <c r="IL92" s="645"/>
      <c r="IM92" s="646"/>
      <c r="IN92" s="645"/>
      <c r="IO92" s="646"/>
      <c r="IP92" s="645"/>
      <c r="IQ92" s="646"/>
      <c r="IR92" s="645"/>
      <c r="IS92" s="646"/>
      <c r="IT92" s="645"/>
      <c r="IU92" s="646"/>
      <c r="IV92" s="645"/>
      <c r="IW92" s="646"/>
      <c r="IX92" s="645"/>
      <c r="IY92" s="646"/>
      <c r="IZ92" s="645"/>
      <c r="JA92" s="646"/>
      <c r="JB92" s="645"/>
      <c r="JC92" s="646"/>
      <c r="JD92" s="645"/>
      <c r="JE92" s="646"/>
      <c r="JF92" s="645"/>
      <c r="JG92" s="646"/>
      <c r="JH92" s="645"/>
      <c r="JI92" s="646"/>
      <c r="JJ92" s="645"/>
      <c r="JK92" s="646"/>
      <c r="JL92" s="645"/>
      <c r="JM92" s="646"/>
      <c r="JN92" s="645"/>
      <c r="JO92" s="646"/>
      <c r="JP92" s="645"/>
      <c r="JQ92" s="646"/>
      <c r="JR92" s="645"/>
      <c r="JS92" s="646"/>
      <c r="JT92" s="645"/>
      <c r="JU92" s="646"/>
      <c r="JV92" s="645"/>
      <c r="JW92" s="646"/>
      <c r="JX92" s="645"/>
      <c r="JY92" s="646"/>
      <c r="JZ92" s="645"/>
      <c r="KA92" s="646"/>
      <c r="KB92" s="645"/>
      <c r="KC92" s="646"/>
      <c r="KD92" s="645"/>
      <c r="KE92" s="646"/>
      <c r="KF92" s="645"/>
      <c r="KG92" s="646"/>
      <c r="KH92" s="645"/>
      <c r="KI92" s="646"/>
      <c r="KJ92" s="645"/>
      <c r="KK92" s="646"/>
      <c r="KL92" s="645"/>
      <c r="KM92" s="646"/>
      <c r="KN92" s="645"/>
      <c r="KO92" s="646"/>
      <c r="KP92" s="645"/>
      <c r="KQ92" s="646"/>
      <c r="KR92" s="645"/>
      <c r="KS92" s="646"/>
      <c r="KT92" s="645"/>
      <c r="KU92" s="646"/>
      <c r="KV92" s="645"/>
      <c r="KW92" s="646"/>
      <c r="KX92" s="645"/>
      <c r="KY92" s="646"/>
      <c r="KZ92" s="645"/>
      <c r="LA92" s="646"/>
      <c r="LB92" s="645"/>
      <c r="LC92" s="646"/>
      <c r="LD92" s="645"/>
      <c r="LE92" s="646"/>
      <c r="LF92" s="645"/>
      <c r="LG92" s="646"/>
      <c r="LH92" s="645"/>
      <c r="LI92" s="646"/>
      <c r="LJ92" s="645"/>
      <c r="LK92" s="646"/>
      <c r="LL92" s="645"/>
      <c r="LM92" s="646"/>
      <c r="LN92" s="645"/>
      <c r="LO92" s="646"/>
      <c r="LP92" s="645"/>
      <c r="LQ92" s="646"/>
      <c r="LR92" s="645"/>
      <c r="LS92" s="646"/>
      <c r="LT92" s="645"/>
      <c r="LU92" s="646"/>
      <c r="LV92" s="645"/>
      <c r="LW92" s="646"/>
      <c r="LX92" s="645"/>
      <c r="LY92" s="646"/>
      <c r="LZ92" s="645"/>
      <c r="MA92" s="646"/>
      <c r="MB92" s="645"/>
      <c r="MC92" s="646"/>
      <c r="MD92" s="645"/>
      <c r="ME92" s="646"/>
      <c r="MF92" s="645"/>
      <c r="MG92" s="646"/>
      <c r="MH92" s="645"/>
      <c r="MI92" s="646"/>
      <c r="MJ92" s="645"/>
      <c r="MK92" s="646"/>
      <c r="ML92" s="645"/>
      <c r="MM92" s="646"/>
      <c r="MN92" s="645"/>
      <c r="MO92" s="646"/>
      <c r="MP92" s="645"/>
      <c r="MQ92" s="646"/>
      <c r="MR92" s="645"/>
      <c r="MS92" s="646"/>
      <c r="MT92" s="645"/>
      <c r="MU92" s="646"/>
      <c r="MV92" s="645"/>
      <c r="MW92" s="646"/>
      <c r="MX92" s="645"/>
      <c r="MY92" s="646"/>
      <c r="MZ92" s="645"/>
      <c r="NA92" s="646"/>
      <c r="NB92" s="645"/>
      <c r="NC92" s="646"/>
      <c r="ND92" s="645"/>
      <c r="NE92" s="646"/>
      <c r="NF92" s="645"/>
      <c r="NG92" s="646"/>
      <c r="NH92" s="645"/>
      <c r="NI92" s="646"/>
      <c r="NJ92" s="645"/>
      <c r="NK92" s="646"/>
      <c r="NL92" s="645"/>
      <c r="NM92" s="646"/>
      <c r="NN92" s="645"/>
      <c r="NO92" s="646"/>
      <c r="NP92" s="645"/>
      <c r="NQ92" s="646"/>
      <c r="NR92" s="645"/>
      <c r="NS92" s="646"/>
      <c r="NT92" s="645"/>
      <c r="NU92" s="646"/>
      <c r="NV92" s="645"/>
      <c r="NW92" s="646"/>
      <c r="NX92" s="645"/>
      <c r="NY92" s="646"/>
      <c r="NZ92" s="645"/>
      <c r="OA92" s="646"/>
      <c r="OB92" s="645"/>
      <c r="OC92" s="646"/>
      <c r="OD92" s="645"/>
      <c r="OE92" s="646"/>
      <c r="OF92" s="645"/>
      <c r="OG92" s="646"/>
      <c r="OH92" s="645"/>
      <c r="OI92" s="646"/>
      <c r="OJ92" s="645"/>
      <c r="OK92" s="646"/>
      <c r="OL92" s="645"/>
      <c r="OM92" s="646"/>
      <c r="ON92" s="645"/>
      <c r="OO92" s="646"/>
      <c r="OP92" s="645"/>
      <c r="OQ92" s="646"/>
      <c r="OR92" s="645"/>
      <c r="OS92" s="646"/>
      <c r="OT92" s="645"/>
      <c r="OU92" s="646"/>
      <c r="OV92" s="645"/>
      <c r="OW92" s="646"/>
      <c r="OX92" s="645"/>
      <c r="OY92" s="646"/>
      <c r="OZ92" s="645"/>
      <c r="PA92" s="646"/>
      <c r="PB92" s="645"/>
      <c r="PC92" s="646"/>
      <c r="PD92" s="645"/>
      <c r="PE92" s="646"/>
      <c r="PF92" s="645"/>
      <c r="PG92" s="646"/>
      <c r="PH92" s="645"/>
      <c r="PI92" s="646"/>
      <c r="PJ92" s="645"/>
      <c r="PK92" s="646"/>
      <c r="PL92" s="645"/>
      <c r="PM92" s="646"/>
      <c r="PN92" s="645"/>
      <c r="PO92" s="646"/>
      <c r="PP92" s="645"/>
      <c r="PQ92" s="646"/>
      <c r="PR92" s="645"/>
      <c r="PS92" s="646"/>
      <c r="PT92" s="645"/>
      <c r="PU92" s="646"/>
      <c r="PV92" s="645"/>
      <c r="PW92" s="646"/>
      <c r="PX92" s="645"/>
      <c r="PY92" s="646"/>
      <c r="PZ92" s="645"/>
      <c r="QA92" s="646"/>
      <c r="QB92" s="645"/>
      <c r="QC92" s="646"/>
      <c r="QD92" s="645"/>
      <c r="QE92" s="646"/>
      <c r="QF92" s="645"/>
      <c r="QG92" s="646"/>
      <c r="QH92" s="645"/>
      <c r="QI92" s="646"/>
      <c r="QJ92" s="645"/>
      <c r="QK92" s="646"/>
      <c r="QL92" s="645"/>
      <c r="QM92" s="646"/>
      <c r="QN92" s="645"/>
      <c r="QO92" s="646"/>
      <c r="QP92" s="645"/>
      <c r="QQ92" s="646"/>
      <c r="QR92" s="645"/>
      <c r="QS92" s="646"/>
      <c r="QT92" s="645"/>
      <c r="QU92" s="646"/>
      <c r="QV92" s="645"/>
      <c r="QW92" s="646"/>
      <c r="QX92" s="645"/>
      <c r="QY92" s="646"/>
      <c r="QZ92" s="645"/>
      <c r="RA92" s="646"/>
      <c r="RB92" s="645"/>
      <c r="RC92" s="646"/>
      <c r="RD92" s="645"/>
      <c r="RE92" s="646"/>
      <c r="RF92" s="645"/>
      <c r="RG92" s="646"/>
      <c r="RH92" s="645"/>
      <c r="RI92" s="646"/>
      <c r="RJ92" s="645"/>
      <c r="RK92" s="646"/>
      <c r="RL92" s="645"/>
      <c r="RM92" s="646"/>
      <c r="RN92" s="645"/>
      <c r="RO92" s="646"/>
      <c r="RP92" s="645"/>
      <c r="RQ92" s="646"/>
      <c r="RR92" s="645"/>
      <c r="RS92" s="646"/>
      <c r="RT92" s="645"/>
      <c r="RU92" s="646"/>
      <c r="RV92" s="645"/>
      <c r="RW92" s="646"/>
      <c r="RX92" s="645"/>
      <c r="RY92" s="646"/>
      <c r="RZ92" s="645"/>
      <c r="SA92" s="646"/>
      <c r="SB92" s="645"/>
      <c r="SC92" s="646"/>
      <c r="SD92" s="645"/>
      <c r="SE92" s="646"/>
      <c r="SF92" s="645"/>
      <c r="SG92" s="646"/>
      <c r="SH92" s="645"/>
      <c r="SI92" s="646"/>
      <c r="SJ92" s="645"/>
      <c r="SK92" s="646"/>
      <c r="SL92" s="645"/>
      <c r="SM92" s="646"/>
      <c r="SN92" s="645"/>
      <c r="SO92" s="646"/>
      <c r="SP92" s="645"/>
      <c r="SQ92" s="646"/>
      <c r="SR92" s="645"/>
      <c r="SS92" s="646"/>
      <c r="ST92" s="645"/>
      <c r="SU92" s="646"/>
      <c r="SV92" s="645"/>
      <c r="SW92" s="646"/>
      <c r="SX92" s="645"/>
      <c r="SY92" s="646"/>
      <c r="SZ92" s="645"/>
      <c r="TA92" s="646"/>
      <c r="TB92" s="645"/>
      <c r="TC92" s="646"/>
      <c r="TD92" s="645"/>
      <c r="TE92" s="646"/>
      <c r="TF92" s="645"/>
      <c r="TG92" s="646"/>
      <c r="TH92" s="645"/>
      <c r="TI92" s="646"/>
      <c r="TJ92" s="645"/>
      <c r="TK92" s="646"/>
      <c r="TL92" s="645"/>
      <c r="TM92" s="646"/>
      <c r="TN92" s="645"/>
      <c r="TO92" s="646"/>
      <c r="TP92" s="645"/>
      <c r="TQ92" s="646"/>
      <c r="TR92" s="645"/>
      <c r="TS92" s="646"/>
      <c r="TT92" s="645"/>
      <c r="TU92" s="646"/>
      <c r="TV92" s="645"/>
      <c r="TW92" s="646"/>
      <c r="TX92" s="645"/>
      <c r="TY92" s="646"/>
      <c r="TZ92" s="645"/>
      <c r="UA92" s="646"/>
      <c r="UB92" s="645"/>
      <c r="UC92" s="646"/>
      <c r="UD92" s="645"/>
      <c r="UE92" s="646"/>
      <c r="UF92" s="645"/>
      <c r="UG92" s="646"/>
      <c r="UH92" s="645"/>
      <c r="UI92" s="646"/>
      <c r="UJ92" s="645"/>
      <c r="UK92" s="646"/>
      <c r="UL92" s="645"/>
      <c r="UM92" s="646"/>
      <c r="UN92" s="645"/>
      <c r="UO92" s="646"/>
      <c r="UP92" s="645"/>
      <c r="UQ92" s="646"/>
      <c r="UR92" s="645"/>
      <c r="US92" s="646"/>
      <c r="UT92" s="645"/>
      <c r="UU92" s="646"/>
      <c r="UV92" s="645"/>
      <c r="UW92" s="646"/>
      <c r="UX92" s="645"/>
      <c r="UY92" s="646"/>
      <c r="UZ92" s="645"/>
      <c r="VA92" s="646"/>
      <c r="VB92" s="645"/>
      <c r="VC92" s="646"/>
      <c r="VD92" s="645"/>
      <c r="VE92" s="646"/>
      <c r="VF92" s="645"/>
      <c r="VG92" s="646"/>
      <c r="VH92" s="645"/>
      <c r="VI92" s="646"/>
      <c r="VJ92" s="645"/>
      <c r="VK92" s="646"/>
      <c r="VL92" s="645"/>
      <c r="VM92" s="646"/>
      <c r="VN92" s="645"/>
      <c r="VO92" s="646"/>
      <c r="VP92" s="645"/>
      <c r="VQ92" s="646"/>
      <c r="VR92" s="645"/>
      <c r="VS92" s="646"/>
      <c r="VT92" s="645"/>
      <c r="VU92" s="646"/>
      <c r="VV92" s="645"/>
      <c r="VW92" s="646"/>
      <c r="VX92" s="645"/>
      <c r="VY92" s="646"/>
      <c r="VZ92" s="645"/>
      <c r="WA92" s="646"/>
      <c r="WB92" s="645"/>
      <c r="WC92" s="646"/>
      <c r="WD92" s="645"/>
      <c r="WE92" s="646"/>
      <c r="WF92" s="645"/>
      <c r="WG92" s="646"/>
      <c r="WH92" s="645"/>
      <c r="WI92" s="646"/>
      <c r="WJ92" s="645"/>
      <c r="WK92" s="646"/>
      <c r="WL92" s="645"/>
      <c r="WM92" s="646"/>
      <c r="WN92" s="645"/>
      <c r="WO92" s="646"/>
      <c r="WP92" s="645"/>
      <c r="WQ92" s="646"/>
      <c r="WR92" s="645"/>
      <c r="WS92" s="646"/>
      <c r="WT92" s="645"/>
      <c r="WU92" s="646"/>
      <c r="WV92" s="645"/>
      <c r="WW92" s="646"/>
      <c r="WX92" s="645"/>
      <c r="WY92" s="646"/>
      <c r="WZ92" s="645"/>
      <c r="XA92" s="646"/>
      <c r="XB92" s="645"/>
      <c r="XC92" s="646"/>
      <c r="XD92" s="645"/>
      <c r="XE92" s="646"/>
      <c r="XF92" s="645"/>
      <c r="XG92" s="646"/>
      <c r="XH92" s="645"/>
      <c r="XI92" s="646"/>
      <c r="XJ92" s="645"/>
      <c r="XK92" s="646"/>
      <c r="XL92" s="645"/>
      <c r="XM92" s="646"/>
      <c r="XN92" s="645"/>
      <c r="XO92" s="646"/>
      <c r="XP92" s="645"/>
      <c r="XQ92" s="646"/>
      <c r="XR92" s="645"/>
      <c r="XS92" s="646"/>
      <c r="XT92" s="645"/>
      <c r="XU92" s="646"/>
      <c r="XV92" s="645"/>
      <c r="XW92" s="646"/>
      <c r="XX92" s="645"/>
      <c r="XY92" s="646"/>
      <c r="XZ92" s="645"/>
      <c r="YA92" s="646"/>
      <c r="YB92" s="645"/>
      <c r="YC92" s="646"/>
      <c r="YD92" s="645"/>
      <c r="YE92" s="646"/>
      <c r="YF92" s="645"/>
      <c r="YG92" s="646"/>
      <c r="YH92" s="645"/>
      <c r="YI92" s="646"/>
      <c r="YJ92" s="645"/>
      <c r="YK92" s="646"/>
      <c r="YL92" s="645"/>
      <c r="YM92" s="646"/>
      <c r="YN92" s="645"/>
      <c r="YO92" s="646"/>
      <c r="YP92" s="645"/>
      <c r="YQ92" s="646"/>
      <c r="YR92" s="645"/>
      <c r="YS92" s="646"/>
      <c r="YT92" s="645"/>
      <c r="YU92" s="646"/>
      <c r="YV92" s="645"/>
      <c r="YW92" s="646"/>
      <c r="YX92" s="645"/>
      <c r="YY92" s="646"/>
      <c r="YZ92" s="645"/>
      <c r="ZA92" s="646"/>
      <c r="ZB92" s="645"/>
      <c r="ZC92" s="646"/>
      <c r="ZD92" s="645"/>
      <c r="ZE92" s="646"/>
      <c r="ZF92" s="645"/>
      <c r="ZG92" s="646"/>
      <c r="ZH92" s="645"/>
      <c r="ZI92" s="646"/>
      <c r="ZJ92" s="645"/>
      <c r="ZK92" s="646"/>
      <c r="ZL92" s="645"/>
      <c r="ZM92" s="646"/>
      <c r="ZN92" s="645"/>
      <c r="ZO92" s="646"/>
      <c r="ZP92" s="645"/>
      <c r="ZQ92" s="646"/>
      <c r="ZR92" s="645"/>
      <c r="ZS92" s="646"/>
      <c r="ZT92" s="645"/>
      <c r="ZU92" s="646"/>
      <c r="ZV92" s="645"/>
      <c r="ZW92" s="646"/>
      <c r="ZX92" s="645"/>
      <c r="ZY92" s="646"/>
      <c r="ZZ92" s="645"/>
      <c r="AAA92" s="646"/>
      <c r="AAB92" s="645"/>
      <c r="AAC92" s="646"/>
      <c r="AAD92" s="645"/>
      <c r="AAE92" s="646"/>
      <c r="AAF92" s="645"/>
      <c r="AAG92" s="646"/>
      <c r="AAH92" s="645"/>
      <c r="AAI92" s="646"/>
      <c r="AAJ92" s="645"/>
      <c r="AAK92" s="646"/>
      <c r="AAL92" s="645"/>
      <c r="AAM92" s="646"/>
      <c r="AAN92" s="645"/>
      <c r="AAO92" s="646"/>
      <c r="AAP92" s="645"/>
      <c r="AAQ92" s="646"/>
      <c r="AAR92" s="645"/>
      <c r="AAS92" s="646"/>
      <c r="AAT92" s="645"/>
      <c r="AAU92" s="646"/>
      <c r="AAV92" s="645"/>
      <c r="AAW92" s="646"/>
      <c r="AAX92" s="645"/>
      <c r="AAY92" s="646"/>
      <c r="AAZ92" s="645"/>
      <c r="ABA92" s="646"/>
      <c r="ABB92" s="645"/>
      <c r="ABC92" s="646"/>
      <c r="ABD92" s="645"/>
      <c r="ABE92" s="646"/>
      <c r="ABF92" s="645"/>
      <c r="ABG92" s="646"/>
      <c r="ABH92" s="645"/>
      <c r="ABI92" s="646"/>
      <c r="ABJ92" s="645"/>
      <c r="ABK92" s="646"/>
      <c r="ABL92" s="645"/>
      <c r="ABM92" s="646"/>
      <c r="ABN92" s="645"/>
      <c r="ABO92" s="646"/>
      <c r="ABP92" s="645"/>
      <c r="ABQ92" s="646"/>
      <c r="ABR92" s="645"/>
      <c r="ABS92" s="646"/>
      <c r="ABT92" s="645"/>
      <c r="ABU92" s="646"/>
      <c r="ABV92" s="645"/>
      <c r="ABW92" s="646"/>
      <c r="ABX92" s="645"/>
      <c r="ABY92" s="646"/>
      <c r="ABZ92" s="645"/>
      <c r="ACA92" s="646"/>
      <c r="ACB92" s="645"/>
      <c r="ACC92" s="646"/>
      <c r="ACD92" s="645"/>
      <c r="ACE92" s="646"/>
      <c r="ACF92" s="645"/>
      <c r="ACG92" s="646"/>
      <c r="ACH92" s="645"/>
      <c r="ACI92" s="646"/>
      <c r="ACJ92" s="645"/>
      <c r="ACK92" s="646"/>
      <c r="ACL92" s="645"/>
      <c r="ACM92" s="646"/>
      <c r="ACN92" s="645"/>
      <c r="ACO92" s="646"/>
      <c r="ACP92" s="645"/>
      <c r="ACQ92" s="646"/>
      <c r="ACR92" s="645"/>
      <c r="ACS92" s="646"/>
      <c r="ACT92" s="645"/>
      <c r="ACU92" s="646"/>
      <c r="ACV92" s="645"/>
      <c r="ACW92" s="646"/>
      <c r="ACX92" s="645"/>
      <c r="ACY92" s="646"/>
      <c r="ACZ92" s="645"/>
      <c r="ADA92" s="646"/>
      <c r="ADB92" s="645"/>
      <c r="ADC92" s="646"/>
      <c r="ADD92" s="645"/>
      <c r="ADE92" s="646"/>
      <c r="ADF92" s="645"/>
      <c r="ADG92" s="646"/>
      <c r="ADH92" s="645"/>
      <c r="ADI92" s="646"/>
      <c r="ADJ92" s="645"/>
      <c r="ADK92" s="646"/>
      <c r="ADL92" s="645"/>
      <c r="ADM92" s="646"/>
      <c r="ADN92" s="645"/>
      <c r="ADO92" s="646"/>
      <c r="ADP92" s="645"/>
      <c r="ADQ92" s="646"/>
      <c r="ADR92" s="645"/>
      <c r="ADS92" s="646"/>
      <c r="ADT92" s="645"/>
      <c r="ADU92" s="646"/>
      <c r="ADV92" s="645"/>
      <c r="ADW92" s="646"/>
      <c r="ADX92" s="645"/>
      <c r="ADY92" s="646"/>
      <c r="ADZ92" s="645"/>
      <c r="AEA92" s="646"/>
      <c r="AEB92" s="645"/>
      <c r="AEC92" s="646"/>
      <c r="AED92" s="645"/>
      <c r="AEE92" s="646"/>
      <c r="AEF92" s="645"/>
      <c r="AEG92" s="646"/>
      <c r="AEH92" s="645"/>
      <c r="AEI92" s="646"/>
      <c r="AEJ92" s="645"/>
      <c r="AEK92" s="646"/>
      <c r="AEL92" s="645"/>
      <c r="AEM92" s="646"/>
      <c r="AEN92" s="645"/>
      <c r="AEO92" s="646"/>
      <c r="AEP92" s="645"/>
      <c r="AEQ92" s="646"/>
      <c r="AER92" s="645"/>
      <c r="AES92" s="646"/>
      <c r="AET92" s="645"/>
      <c r="AEU92" s="646"/>
      <c r="AEV92" s="645"/>
      <c r="AEW92" s="646"/>
      <c r="AEX92" s="645"/>
      <c r="AEY92" s="646"/>
      <c r="AEZ92" s="645"/>
      <c r="AFA92" s="646"/>
      <c r="AFB92" s="645"/>
      <c r="AFC92" s="646"/>
      <c r="AFD92" s="645"/>
      <c r="AFE92" s="646"/>
      <c r="AFF92" s="645"/>
      <c r="AFG92" s="646"/>
      <c r="AFH92" s="645"/>
      <c r="AFI92" s="646"/>
      <c r="AFJ92" s="645"/>
      <c r="AFK92" s="646"/>
      <c r="AFL92" s="645"/>
      <c r="AFM92" s="646"/>
      <c r="AFN92" s="645"/>
      <c r="AFO92" s="646"/>
      <c r="AFP92" s="645"/>
      <c r="AFQ92" s="646"/>
      <c r="AFR92" s="645"/>
      <c r="AFS92" s="646"/>
      <c r="AFT92" s="645"/>
      <c r="AFU92" s="646"/>
      <c r="AFV92" s="645"/>
      <c r="AFW92" s="646"/>
      <c r="AFX92" s="645"/>
      <c r="AFY92" s="646"/>
      <c r="AFZ92" s="645"/>
      <c r="AGA92" s="646"/>
      <c r="AGB92" s="645"/>
      <c r="AGC92" s="646"/>
      <c r="AGD92" s="645"/>
      <c r="AGE92" s="646"/>
      <c r="AGF92" s="645"/>
      <c r="AGG92" s="646"/>
      <c r="AGH92" s="645"/>
      <c r="AGI92" s="646"/>
      <c r="AGJ92" s="645"/>
      <c r="AGK92" s="646"/>
      <c r="AGL92" s="645"/>
      <c r="AGM92" s="646"/>
      <c r="AGN92" s="645"/>
      <c r="AGO92" s="646"/>
      <c r="AGP92" s="645"/>
      <c r="AGQ92" s="646"/>
      <c r="AGR92" s="645"/>
      <c r="AGS92" s="646"/>
      <c r="AGT92" s="645"/>
      <c r="AGU92" s="646"/>
      <c r="AGV92" s="645"/>
      <c r="AGW92" s="646"/>
      <c r="AGX92" s="645"/>
      <c r="AGY92" s="646"/>
      <c r="AGZ92" s="645"/>
      <c r="AHA92" s="646"/>
      <c r="AHB92" s="645"/>
      <c r="AHC92" s="646"/>
      <c r="AHD92" s="645"/>
      <c r="AHE92" s="646"/>
      <c r="AHF92" s="645"/>
      <c r="AHG92" s="646"/>
      <c r="AHH92" s="645"/>
      <c r="AHI92" s="646"/>
      <c r="AHJ92" s="645"/>
      <c r="AHK92" s="646"/>
      <c r="AHL92" s="645"/>
      <c r="AHM92" s="646"/>
      <c r="AHN92" s="645"/>
      <c r="AHO92" s="646"/>
      <c r="AHP92" s="645"/>
      <c r="AHQ92" s="646"/>
      <c r="AHR92" s="645"/>
      <c r="AHS92" s="646"/>
      <c r="AHT92" s="645"/>
      <c r="AHU92" s="646"/>
      <c r="AHV92" s="645"/>
      <c r="AHW92" s="646"/>
      <c r="AHX92" s="645"/>
      <c r="AHY92" s="646"/>
      <c r="AHZ92" s="645"/>
      <c r="AIA92" s="646"/>
      <c r="AIB92" s="645"/>
      <c r="AIC92" s="646"/>
      <c r="AID92" s="645"/>
      <c r="AIE92" s="646"/>
      <c r="AIF92" s="645"/>
      <c r="AIG92" s="646"/>
      <c r="AIH92" s="645"/>
      <c r="AII92" s="646"/>
      <c r="AIJ92" s="645"/>
      <c r="AIK92" s="646"/>
      <c r="AIL92" s="645"/>
      <c r="AIM92" s="646"/>
      <c r="AIN92" s="645"/>
      <c r="AIO92" s="646"/>
      <c r="AIP92" s="645"/>
      <c r="AIQ92" s="645"/>
      <c r="AIR92" s="645"/>
      <c r="AIS92" s="645"/>
      <c r="AIT92" s="645"/>
      <c r="AIU92" s="645"/>
      <c r="AIV92" s="645"/>
      <c r="AIW92" s="645"/>
      <c r="AIX92" s="645"/>
      <c r="AIY92" s="645"/>
      <c r="AIZ92" s="645"/>
      <c r="AJA92" s="645"/>
      <c r="AJB92" s="645"/>
      <c r="AJC92" s="645"/>
      <c r="AJD92" s="645"/>
      <c r="AJE92" s="645"/>
      <c r="AJF92" s="645"/>
      <c r="AJG92" s="645"/>
      <c r="AJH92" s="645"/>
      <c r="AJI92" s="645"/>
      <c r="AJJ92" s="645"/>
      <c r="AJK92" s="645"/>
      <c r="AJL92" s="645"/>
      <c r="AJM92" s="645"/>
      <c r="AJN92" s="645"/>
      <c r="AJO92" s="645"/>
      <c r="AJP92" s="645"/>
      <c r="AJQ92" s="645"/>
      <c r="AJR92" s="645"/>
      <c r="AJS92" s="645"/>
      <c r="AJT92" s="645"/>
      <c r="AJU92" s="645"/>
      <c r="AJV92" s="645"/>
      <c r="AJW92" s="645"/>
      <c r="AJX92" s="645"/>
      <c r="AJY92" s="645"/>
      <c r="AJZ92" s="645"/>
      <c r="AKA92" s="645"/>
      <c r="AKB92" s="645"/>
      <c r="AKC92" s="645"/>
      <c r="AKD92" s="645"/>
      <c r="AKE92" s="645"/>
      <c r="AKF92" s="645"/>
      <c r="AKG92" s="645"/>
      <c r="AKH92" s="645"/>
      <c r="AKI92" s="645"/>
      <c r="AKJ92" s="645"/>
      <c r="AKK92" s="645"/>
      <c r="AKL92" s="645"/>
      <c r="AKM92" s="645"/>
      <c r="AKN92" s="645"/>
      <c r="AKO92" s="645"/>
      <c r="AKP92" s="645"/>
      <c r="AKQ92" s="645"/>
      <c r="AKR92" s="645"/>
      <c r="AKS92" s="645"/>
      <c r="AKT92" s="645"/>
      <c r="AKU92" s="645"/>
      <c r="AKV92" s="645"/>
      <c r="AKW92" s="645"/>
      <c r="AKX92" s="645"/>
      <c r="AKY92" s="645"/>
      <c r="AKZ92" s="645"/>
      <c r="ALA92" s="645"/>
      <c r="ALB92" s="645"/>
      <c r="ALC92" s="645"/>
      <c r="ALD92" s="645"/>
      <c r="ALE92" s="645"/>
      <c r="ALF92" s="645"/>
      <c r="ALG92" s="645"/>
      <c r="ALH92" s="645"/>
      <c r="ALI92" s="645"/>
      <c r="ALJ92" s="645"/>
      <c r="ALK92" s="645"/>
      <c r="ALL92" s="645"/>
      <c r="ALM92" s="645"/>
      <c r="ALN92" s="645"/>
      <c r="ALO92" s="645"/>
      <c r="ALP92" s="645"/>
      <c r="ALQ92" s="645"/>
      <c r="ALR92" s="645"/>
      <c r="ALS92" s="645"/>
      <c r="ALT92" s="645"/>
      <c r="ALU92" s="645"/>
      <c r="ALV92" s="645"/>
      <c r="ALW92" s="645"/>
      <c r="ALX92" s="645"/>
      <c r="ALY92" s="645"/>
      <c r="ALZ92" s="645"/>
      <c r="AMA92" s="645"/>
      <c r="AMB92" s="645"/>
      <c r="AMC92" s="645"/>
      <c r="AMD92" s="645"/>
      <c r="AME92" s="645"/>
      <c r="AMF92" s="645"/>
      <c r="AMG92" s="645"/>
      <c r="AMH92" s="645"/>
      <c r="AMI92" s="645"/>
      <c r="AMJ92" s="645"/>
    </row>
    <row r="93" spans="1:1024" s="37" customFormat="1" ht="15.75" customHeight="1" x14ac:dyDescent="0.35">
      <c r="A93" s="600"/>
      <c r="B93" s="644" t="s">
        <v>347</v>
      </c>
      <c r="C93" s="645"/>
      <c r="D93" s="646"/>
      <c r="E93" s="645"/>
      <c r="F93" s="646"/>
      <c r="G93" s="647" t="s">
        <v>243</v>
      </c>
      <c r="H93" s="643"/>
      <c r="I93" s="645"/>
      <c r="J93" s="38"/>
      <c r="K93" s="38"/>
      <c r="L93" s="39"/>
      <c r="M93" s="38"/>
      <c r="N93" s="39"/>
      <c r="O93" s="38"/>
      <c r="P93" s="39"/>
      <c r="Q93" s="38"/>
      <c r="R93" s="39"/>
      <c r="S93" s="38"/>
      <c r="T93" s="39"/>
      <c r="U93" s="38"/>
      <c r="V93" s="39"/>
      <c r="W93" s="38"/>
      <c r="X93" s="39"/>
      <c r="Y93" s="38"/>
      <c r="Z93" s="39"/>
      <c r="AA93" s="38"/>
      <c r="AB93" s="39"/>
      <c r="AC93" s="38"/>
      <c r="AD93" s="39"/>
      <c r="AE93" s="38"/>
      <c r="AF93" s="39"/>
      <c r="AG93" s="38"/>
      <c r="AH93" s="39"/>
      <c r="AI93" s="38"/>
      <c r="AJ93" s="39"/>
      <c r="AK93" s="40"/>
      <c r="AL93" s="39"/>
      <c r="AM93" s="40"/>
      <c r="AN93" s="39"/>
      <c r="AO93" s="40"/>
      <c r="AP93" s="39"/>
      <c r="AQ93" s="40"/>
      <c r="AR93" s="39"/>
      <c r="AS93" s="40"/>
      <c r="AT93" s="39"/>
      <c r="AU93" s="40"/>
      <c r="AV93" s="39"/>
      <c r="AW93" s="40"/>
      <c r="AX93" s="39"/>
      <c r="AY93" s="40"/>
      <c r="AZ93" s="39"/>
      <c r="BA93" s="40"/>
      <c r="BB93" s="39"/>
      <c r="BC93" s="40"/>
      <c r="BD93" s="39"/>
      <c r="BE93" s="40"/>
      <c r="BF93" s="39"/>
      <c r="BG93" s="40"/>
      <c r="BH93" s="39"/>
      <c r="BI93" s="40"/>
      <c r="BJ93" s="39"/>
      <c r="BK93" s="40"/>
      <c r="BL93" s="39"/>
      <c r="BM93" s="40"/>
      <c r="BN93" s="39"/>
      <c r="BO93" s="40"/>
      <c r="BP93" s="39"/>
      <c r="BQ93" s="40"/>
      <c r="BR93" s="39"/>
      <c r="BS93" s="40"/>
      <c r="BT93" s="39"/>
      <c r="BU93" s="40"/>
      <c r="BV93" s="39"/>
      <c r="BW93" s="40"/>
      <c r="BX93" s="39"/>
      <c r="BY93" s="40"/>
      <c r="BZ93" s="39"/>
      <c r="CA93" s="40"/>
      <c r="CB93" s="39"/>
      <c r="CC93" s="40"/>
      <c r="CD93" s="39"/>
      <c r="CE93" s="40"/>
      <c r="CF93" s="39"/>
      <c r="CG93" s="40"/>
      <c r="CH93" s="39"/>
      <c r="CI93" s="40"/>
      <c r="CJ93" s="39"/>
      <c r="CK93" s="40"/>
      <c r="CL93" s="39"/>
      <c r="CM93" s="40"/>
      <c r="CN93" s="39"/>
      <c r="CO93" s="40"/>
      <c r="CP93" s="39"/>
      <c r="CQ93" s="40"/>
      <c r="CR93" s="39"/>
      <c r="CS93" s="40"/>
      <c r="CT93" s="39"/>
      <c r="CU93" s="40"/>
      <c r="CV93" s="39"/>
      <c r="CW93" s="40"/>
      <c r="CX93" s="39"/>
      <c r="CY93" s="40"/>
      <c r="CZ93" s="39"/>
      <c r="DA93" s="40"/>
      <c r="DB93" s="39"/>
      <c r="DC93" s="40"/>
      <c r="DD93" s="39"/>
      <c r="DE93" s="40"/>
      <c r="DF93" s="39"/>
      <c r="DG93" s="40"/>
      <c r="DH93" s="39"/>
      <c r="DI93" s="40"/>
      <c r="DJ93" s="39"/>
      <c r="DK93" s="40"/>
      <c r="DL93" s="39"/>
      <c r="DM93" s="40"/>
      <c r="DN93" s="39"/>
      <c r="DO93" s="40"/>
      <c r="DP93" s="39"/>
      <c r="DQ93" s="40"/>
      <c r="DR93" s="39"/>
      <c r="DS93" s="40"/>
      <c r="DT93" s="39"/>
      <c r="DU93" s="40"/>
      <c r="DV93" s="39"/>
      <c r="DW93" s="40"/>
      <c r="DX93" s="39"/>
      <c r="DY93" s="40"/>
      <c r="DZ93" s="39"/>
      <c r="EA93" s="40"/>
      <c r="EB93" s="39"/>
      <c r="EC93" s="40"/>
      <c r="ED93" s="39"/>
      <c r="EE93" s="40"/>
      <c r="EF93" s="39"/>
      <c r="EG93" s="40"/>
      <c r="EH93" s="39"/>
      <c r="EI93" s="40"/>
      <c r="EJ93" s="39"/>
      <c r="EK93" s="40"/>
      <c r="EL93" s="39"/>
      <c r="EM93" s="40"/>
      <c r="EN93" s="39"/>
      <c r="EO93" s="40"/>
      <c r="EP93" s="39"/>
      <c r="EQ93" s="40"/>
      <c r="ER93" s="39"/>
      <c r="ES93" s="40"/>
      <c r="ET93" s="39"/>
      <c r="EU93" s="40"/>
      <c r="EV93" s="39"/>
      <c r="EW93" s="40"/>
      <c r="EX93" s="39"/>
      <c r="EY93" s="40"/>
      <c r="EZ93" s="39"/>
      <c r="FA93" s="40"/>
      <c r="FB93" s="39"/>
      <c r="FC93" s="40"/>
      <c r="FD93" s="39"/>
      <c r="FE93" s="40"/>
      <c r="FF93" s="39"/>
      <c r="FG93" s="40"/>
      <c r="FH93" s="39"/>
      <c r="FI93" s="40"/>
      <c r="FJ93" s="39"/>
      <c r="FK93" s="40"/>
      <c r="FL93" s="39"/>
      <c r="FM93" s="40"/>
      <c r="FN93" s="39"/>
      <c r="FO93" s="40"/>
      <c r="FP93" s="39"/>
      <c r="FQ93" s="40"/>
      <c r="FR93" s="39"/>
      <c r="FS93" s="40"/>
      <c r="FT93" s="39"/>
      <c r="FU93" s="40"/>
      <c r="FV93" s="39"/>
      <c r="FW93" s="40"/>
      <c r="FX93" s="39"/>
      <c r="FY93" s="40"/>
      <c r="FZ93" s="39"/>
      <c r="GA93" s="40"/>
      <c r="GB93" s="39"/>
      <c r="GC93" s="40"/>
      <c r="GD93" s="39"/>
      <c r="GE93" s="40"/>
      <c r="GF93" s="39"/>
      <c r="GG93" s="40"/>
      <c r="GH93" s="39"/>
      <c r="GI93" s="40"/>
      <c r="GJ93" s="39"/>
      <c r="GK93" s="40"/>
      <c r="GL93" s="39"/>
      <c r="GM93" s="40"/>
      <c r="GN93" s="39"/>
      <c r="GO93" s="40"/>
      <c r="GP93" s="39"/>
      <c r="GQ93" s="40"/>
      <c r="GR93" s="39"/>
      <c r="GS93" s="40"/>
      <c r="GT93" s="39"/>
      <c r="GU93" s="40"/>
      <c r="GV93" s="39"/>
      <c r="GW93" s="40"/>
      <c r="GX93" s="39"/>
      <c r="GY93" s="40"/>
      <c r="GZ93" s="39"/>
      <c r="HA93" s="40"/>
      <c r="HB93" s="39"/>
      <c r="HC93" s="40"/>
      <c r="HD93" s="39"/>
      <c r="HE93" s="40"/>
      <c r="HF93" s="39"/>
      <c r="HG93" s="40"/>
      <c r="HH93" s="39"/>
      <c r="HI93" s="40"/>
      <c r="HJ93" s="39"/>
      <c r="HK93" s="40"/>
      <c r="HL93" s="39"/>
      <c r="HM93" s="40"/>
      <c r="HN93" s="39"/>
      <c r="HO93" s="40"/>
      <c r="HP93" s="39"/>
      <c r="HQ93" s="40"/>
      <c r="HR93" s="39"/>
      <c r="HS93" s="40"/>
      <c r="HT93" s="39"/>
      <c r="HU93" s="40"/>
      <c r="HV93" s="39"/>
      <c r="HW93" s="40"/>
      <c r="HX93" s="39"/>
      <c r="HY93" s="40"/>
      <c r="HZ93" s="39"/>
      <c r="IA93" s="40"/>
      <c r="IB93" s="39"/>
      <c r="IC93" s="1068"/>
      <c r="ID93" s="645"/>
      <c r="IE93" s="646"/>
      <c r="IF93" s="645"/>
      <c r="IG93" s="646"/>
      <c r="IH93" s="645"/>
      <c r="II93" s="646"/>
      <c r="IJ93" s="645"/>
      <c r="IK93" s="646"/>
      <c r="IL93" s="645"/>
      <c r="IM93" s="646"/>
      <c r="IN93" s="645"/>
      <c r="IO93" s="646"/>
      <c r="IP93" s="645"/>
      <c r="IQ93" s="646"/>
      <c r="IR93" s="645"/>
      <c r="IS93" s="646"/>
      <c r="IT93" s="645"/>
      <c r="IU93" s="646"/>
      <c r="IV93" s="645"/>
      <c r="IW93" s="646"/>
      <c r="IX93" s="645"/>
      <c r="IY93" s="646"/>
      <c r="IZ93" s="645"/>
      <c r="JA93" s="646"/>
      <c r="JB93" s="645"/>
      <c r="JC93" s="646"/>
      <c r="JD93" s="645"/>
      <c r="JE93" s="646"/>
      <c r="JF93" s="645"/>
      <c r="JG93" s="646"/>
      <c r="JH93" s="645"/>
      <c r="JI93" s="646"/>
      <c r="JJ93" s="645"/>
      <c r="JK93" s="646"/>
      <c r="JL93" s="645"/>
      <c r="JM93" s="646"/>
      <c r="JN93" s="645"/>
      <c r="JO93" s="646"/>
      <c r="JP93" s="645"/>
      <c r="JQ93" s="646"/>
      <c r="JR93" s="645"/>
      <c r="JS93" s="646"/>
      <c r="JT93" s="645"/>
      <c r="JU93" s="646"/>
      <c r="JV93" s="645"/>
      <c r="JW93" s="646"/>
      <c r="JX93" s="645"/>
      <c r="JY93" s="646"/>
      <c r="JZ93" s="645"/>
      <c r="KA93" s="646"/>
      <c r="KB93" s="645"/>
      <c r="KC93" s="646"/>
      <c r="KD93" s="645"/>
      <c r="KE93" s="646"/>
      <c r="KF93" s="645"/>
      <c r="KG93" s="646"/>
      <c r="KH93" s="645"/>
      <c r="KI93" s="646"/>
      <c r="KJ93" s="645"/>
      <c r="KK93" s="646"/>
      <c r="KL93" s="645"/>
      <c r="KM93" s="646"/>
      <c r="KN93" s="645"/>
      <c r="KO93" s="646"/>
      <c r="KP93" s="645"/>
      <c r="KQ93" s="646"/>
      <c r="KR93" s="645"/>
      <c r="KS93" s="646"/>
      <c r="KT93" s="645"/>
      <c r="KU93" s="646"/>
      <c r="KV93" s="645"/>
      <c r="KW93" s="646"/>
      <c r="KX93" s="645"/>
      <c r="KY93" s="646"/>
      <c r="KZ93" s="645"/>
      <c r="LA93" s="646"/>
      <c r="LB93" s="645"/>
      <c r="LC93" s="646"/>
      <c r="LD93" s="645"/>
      <c r="LE93" s="646"/>
      <c r="LF93" s="645"/>
      <c r="LG93" s="646"/>
      <c r="LH93" s="645"/>
      <c r="LI93" s="646"/>
      <c r="LJ93" s="645"/>
      <c r="LK93" s="646"/>
      <c r="LL93" s="645"/>
      <c r="LM93" s="646"/>
      <c r="LN93" s="645"/>
      <c r="LO93" s="646"/>
      <c r="LP93" s="645"/>
      <c r="LQ93" s="646"/>
      <c r="LR93" s="645"/>
      <c r="LS93" s="646"/>
      <c r="LT93" s="645"/>
      <c r="LU93" s="646"/>
      <c r="LV93" s="645"/>
      <c r="LW93" s="646"/>
      <c r="LX93" s="645"/>
      <c r="LY93" s="646"/>
      <c r="LZ93" s="645"/>
      <c r="MA93" s="646"/>
      <c r="MB93" s="645"/>
      <c r="MC93" s="646"/>
      <c r="MD93" s="645"/>
      <c r="ME93" s="646"/>
      <c r="MF93" s="645"/>
      <c r="MG93" s="646"/>
      <c r="MH93" s="645"/>
      <c r="MI93" s="646"/>
      <c r="MJ93" s="645"/>
      <c r="MK93" s="646"/>
      <c r="ML93" s="645"/>
      <c r="MM93" s="646"/>
      <c r="MN93" s="645"/>
      <c r="MO93" s="646"/>
      <c r="MP93" s="645"/>
      <c r="MQ93" s="646"/>
      <c r="MR93" s="645"/>
      <c r="MS93" s="646"/>
      <c r="MT93" s="645"/>
      <c r="MU93" s="646"/>
      <c r="MV93" s="645"/>
      <c r="MW93" s="646"/>
      <c r="MX93" s="645"/>
      <c r="MY93" s="646"/>
      <c r="MZ93" s="645"/>
      <c r="NA93" s="646"/>
      <c r="NB93" s="645"/>
      <c r="NC93" s="646"/>
      <c r="ND93" s="645"/>
      <c r="NE93" s="646"/>
      <c r="NF93" s="645"/>
      <c r="NG93" s="646"/>
      <c r="NH93" s="645"/>
      <c r="NI93" s="646"/>
      <c r="NJ93" s="645"/>
      <c r="NK93" s="646"/>
      <c r="NL93" s="645"/>
      <c r="NM93" s="646"/>
      <c r="NN93" s="645"/>
      <c r="NO93" s="646"/>
      <c r="NP93" s="645"/>
      <c r="NQ93" s="646"/>
      <c r="NR93" s="645"/>
      <c r="NS93" s="646"/>
      <c r="NT93" s="645"/>
      <c r="NU93" s="646"/>
      <c r="NV93" s="645"/>
      <c r="NW93" s="646"/>
      <c r="NX93" s="645"/>
      <c r="NY93" s="646"/>
      <c r="NZ93" s="645"/>
      <c r="OA93" s="646"/>
      <c r="OB93" s="645"/>
      <c r="OC93" s="646"/>
      <c r="OD93" s="645"/>
      <c r="OE93" s="646"/>
      <c r="OF93" s="645"/>
      <c r="OG93" s="646"/>
      <c r="OH93" s="645"/>
      <c r="OI93" s="646"/>
      <c r="OJ93" s="645"/>
      <c r="OK93" s="646"/>
      <c r="OL93" s="645"/>
      <c r="OM93" s="646"/>
      <c r="ON93" s="645"/>
      <c r="OO93" s="646"/>
      <c r="OP93" s="645"/>
      <c r="OQ93" s="646"/>
      <c r="OR93" s="645"/>
      <c r="OS93" s="646"/>
      <c r="OT93" s="645"/>
      <c r="OU93" s="646"/>
      <c r="OV93" s="645"/>
      <c r="OW93" s="646"/>
      <c r="OX93" s="645"/>
      <c r="OY93" s="646"/>
      <c r="OZ93" s="645"/>
      <c r="PA93" s="646"/>
      <c r="PB93" s="645"/>
      <c r="PC93" s="646"/>
      <c r="PD93" s="645"/>
      <c r="PE93" s="646"/>
      <c r="PF93" s="645"/>
      <c r="PG93" s="646"/>
      <c r="PH93" s="645"/>
      <c r="PI93" s="646"/>
      <c r="PJ93" s="645"/>
      <c r="PK93" s="646"/>
      <c r="PL93" s="645"/>
      <c r="PM93" s="646"/>
      <c r="PN93" s="645"/>
      <c r="PO93" s="646"/>
      <c r="PP93" s="645"/>
      <c r="PQ93" s="646"/>
      <c r="PR93" s="645"/>
      <c r="PS93" s="646"/>
      <c r="PT93" s="645"/>
      <c r="PU93" s="646"/>
      <c r="PV93" s="645"/>
      <c r="PW93" s="646"/>
      <c r="PX93" s="645"/>
      <c r="PY93" s="646"/>
      <c r="PZ93" s="645"/>
      <c r="QA93" s="646"/>
      <c r="QB93" s="645"/>
      <c r="QC93" s="646"/>
      <c r="QD93" s="645"/>
      <c r="QE93" s="646"/>
      <c r="QF93" s="645"/>
      <c r="QG93" s="646"/>
      <c r="QH93" s="645"/>
      <c r="QI93" s="646"/>
      <c r="QJ93" s="645"/>
      <c r="QK93" s="646"/>
      <c r="QL93" s="645"/>
      <c r="QM93" s="646"/>
      <c r="QN93" s="645"/>
      <c r="QO93" s="646"/>
      <c r="QP93" s="645"/>
      <c r="QQ93" s="646"/>
      <c r="QR93" s="645"/>
      <c r="QS93" s="646"/>
      <c r="QT93" s="645"/>
      <c r="QU93" s="646"/>
      <c r="QV93" s="645"/>
      <c r="QW93" s="646"/>
      <c r="QX93" s="645"/>
      <c r="QY93" s="646"/>
      <c r="QZ93" s="645"/>
      <c r="RA93" s="646"/>
      <c r="RB93" s="645"/>
      <c r="RC93" s="646"/>
      <c r="RD93" s="645"/>
      <c r="RE93" s="646"/>
      <c r="RF93" s="645"/>
      <c r="RG93" s="646"/>
      <c r="RH93" s="645"/>
      <c r="RI93" s="646"/>
      <c r="RJ93" s="645"/>
      <c r="RK93" s="646"/>
      <c r="RL93" s="645"/>
      <c r="RM93" s="646"/>
      <c r="RN93" s="645"/>
      <c r="RO93" s="646"/>
      <c r="RP93" s="645"/>
      <c r="RQ93" s="646"/>
      <c r="RR93" s="645"/>
      <c r="RS93" s="646"/>
      <c r="RT93" s="645"/>
      <c r="RU93" s="646"/>
      <c r="RV93" s="645"/>
      <c r="RW93" s="646"/>
      <c r="RX93" s="645"/>
      <c r="RY93" s="646"/>
      <c r="RZ93" s="645"/>
      <c r="SA93" s="646"/>
      <c r="SB93" s="645"/>
      <c r="SC93" s="646"/>
      <c r="SD93" s="645"/>
      <c r="SE93" s="646"/>
      <c r="SF93" s="645"/>
      <c r="SG93" s="646"/>
      <c r="SH93" s="645"/>
      <c r="SI93" s="646"/>
      <c r="SJ93" s="645"/>
      <c r="SK93" s="646"/>
      <c r="SL93" s="645"/>
      <c r="SM93" s="646"/>
      <c r="SN93" s="645"/>
      <c r="SO93" s="646"/>
      <c r="SP93" s="645"/>
      <c r="SQ93" s="646"/>
      <c r="SR93" s="645"/>
      <c r="SS93" s="646"/>
      <c r="ST93" s="645"/>
      <c r="SU93" s="646"/>
      <c r="SV93" s="645"/>
      <c r="SW93" s="646"/>
      <c r="SX93" s="645"/>
      <c r="SY93" s="646"/>
      <c r="SZ93" s="645"/>
      <c r="TA93" s="646"/>
      <c r="TB93" s="645"/>
      <c r="TC93" s="646"/>
      <c r="TD93" s="645"/>
      <c r="TE93" s="646"/>
      <c r="TF93" s="645"/>
      <c r="TG93" s="646"/>
      <c r="TH93" s="645"/>
      <c r="TI93" s="646"/>
      <c r="TJ93" s="645"/>
      <c r="TK93" s="646"/>
      <c r="TL93" s="645"/>
      <c r="TM93" s="646"/>
      <c r="TN93" s="645"/>
      <c r="TO93" s="646"/>
      <c r="TP93" s="645"/>
      <c r="TQ93" s="646"/>
      <c r="TR93" s="645"/>
      <c r="TS93" s="646"/>
      <c r="TT93" s="645"/>
      <c r="TU93" s="646"/>
      <c r="TV93" s="645"/>
      <c r="TW93" s="646"/>
      <c r="TX93" s="645"/>
      <c r="TY93" s="646"/>
      <c r="TZ93" s="645"/>
      <c r="UA93" s="646"/>
      <c r="UB93" s="645"/>
      <c r="UC93" s="646"/>
      <c r="UD93" s="645"/>
      <c r="UE93" s="646"/>
      <c r="UF93" s="645"/>
      <c r="UG93" s="646"/>
      <c r="UH93" s="645"/>
      <c r="UI93" s="646"/>
      <c r="UJ93" s="645"/>
      <c r="UK93" s="646"/>
      <c r="UL93" s="645"/>
      <c r="UM93" s="646"/>
      <c r="UN93" s="645"/>
      <c r="UO93" s="646"/>
      <c r="UP93" s="645"/>
      <c r="UQ93" s="646"/>
      <c r="UR93" s="645"/>
      <c r="US93" s="646"/>
      <c r="UT93" s="645"/>
      <c r="UU93" s="646"/>
      <c r="UV93" s="645"/>
      <c r="UW93" s="646"/>
      <c r="UX93" s="645"/>
      <c r="UY93" s="646"/>
      <c r="UZ93" s="645"/>
      <c r="VA93" s="646"/>
      <c r="VB93" s="645"/>
      <c r="VC93" s="646"/>
      <c r="VD93" s="645"/>
      <c r="VE93" s="646"/>
      <c r="VF93" s="645"/>
      <c r="VG93" s="646"/>
      <c r="VH93" s="645"/>
      <c r="VI93" s="646"/>
      <c r="VJ93" s="645"/>
      <c r="VK93" s="646"/>
      <c r="VL93" s="645"/>
      <c r="VM93" s="646"/>
      <c r="VN93" s="645"/>
      <c r="VO93" s="646"/>
      <c r="VP93" s="645"/>
      <c r="VQ93" s="646"/>
      <c r="VR93" s="645"/>
      <c r="VS93" s="646"/>
      <c r="VT93" s="645"/>
      <c r="VU93" s="646"/>
      <c r="VV93" s="645"/>
      <c r="VW93" s="646"/>
      <c r="VX93" s="645"/>
      <c r="VY93" s="646"/>
      <c r="VZ93" s="645"/>
      <c r="WA93" s="646"/>
      <c r="WB93" s="645"/>
      <c r="WC93" s="646"/>
      <c r="WD93" s="645"/>
      <c r="WE93" s="646"/>
      <c r="WF93" s="645"/>
      <c r="WG93" s="646"/>
      <c r="WH93" s="645"/>
      <c r="WI93" s="646"/>
      <c r="WJ93" s="645"/>
      <c r="WK93" s="646"/>
      <c r="WL93" s="645"/>
      <c r="WM93" s="646"/>
      <c r="WN93" s="645"/>
      <c r="WO93" s="646"/>
      <c r="WP93" s="645"/>
      <c r="WQ93" s="646"/>
      <c r="WR93" s="645"/>
      <c r="WS93" s="646"/>
      <c r="WT93" s="645"/>
      <c r="WU93" s="646"/>
      <c r="WV93" s="645"/>
      <c r="WW93" s="646"/>
      <c r="WX93" s="645"/>
      <c r="WY93" s="646"/>
      <c r="WZ93" s="645"/>
      <c r="XA93" s="646"/>
      <c r="XB93" s="645"/>
      <c r="XC93" s="646"/>
      <c r="XD93" s="645"/>
      <c r="XE93" s="646"/>
      <c r="XF93" s="645"/>
      <c r="XG93" s="646"/>
      <c r="XH93" s="645"/>
      <c r="XI93" s="646"/>
      <c r="XJ93" s="645"/>
      <c r="XK93" s="646"/>
      <c r="XL93" s="645"/>
      <c r="XM93" s="646"/>
      <c r="XN93" s="645"/>
      <c r="XO93" s="646"/>
      <c r="XP93" s="645"/>
      <c r="XQ93" s="646"/>
      <c r="XR93" s="645"/>
      <c r="XS93" s="646"/>
      <c r="XT93" s="645"/>
      <c r="XU93" s="646"/>
      <c r="XV93" s="645"/>
      <c r="XW93" s="646"/>
      <c r="XX93" s="645"/>
      <c r="XY93" s="646"/>
      <c r="XZ93" s="645"/>
      <c r="YA93" s="646"/>
      <c r="YB93" s="645"/>
      <c r="YC93" s="646"/>
      <c r="YD93" s="645"/>
      <c r="YE93" s="646"/>
      <c r="YF93" s="645"/>
      <c r="YG93" s="646"/>
      <c r="YH93" s="645"/>
      <c r="YI93" s="646"/>
      <c r="YJ93" s="645"/>
      <c r="YK93" s="646"/>
      <c r="YL93" s="645"/>
      <c r="YM93" s="646"/>
      <c r="YN93" s="645"/>
      <c r="YO93" s="646"/>
      <c r="YP93" s="645"/>
      <c r="YQ93" s="646"/>
      <c r="YR93" s="645"/>
      <c r="YS93" s="646"/>
      <c r="YT93" s="645"/>
      <c r="YU93" s="646"/>
      <c r="YV93" s="645"/>
      <c r="YW93" s="646"/>
      <c r="YX93" s="645"/>
      <c r="YY93" s="646"/>
      <c r="YZ93" s="645"/>
      <c r="ZA93" s="646"/>
      <c r="ZB93" s="645"/>
      <c r="ZC93" s="646"/>
      <c r="ZD93" s="645"/>
      <c r="ZE93" s="646"/>
      <c r="ZF93" s="645"/>
      <c r="ZG93" s="646"/>
      <c r="ZH93" s="645"/>
      <c r="ZI93" s="646"/>
      <c r="ZJ93" s="645"/>
      <c r="ZK93" s="646"/>
      <c r="ZL93" s="645"/>
      <c r="ZM93" s="646"/>
      <c r="ZN93" s="645"/>
      <c r="ZO93" s="646"/>
      <c r="ZP93" s="645"/>
      <c r="ZQ93" s="646"/>
      <c r="ZR93" s="645"/>
      <c r="ZS93" s="646"/>
      <c r="ZT93" s="645"/>
      <c r="ZU93" s="646"/>
      <c r="ZV93" s="645"/>
      <c r="ZW93" s="646"/>
      <c r="ZX93" s="645"/>
      <c r="ZY93" s="646"/>
      <c r="ZZ93" s="645"/>
      <c r="AAA93" s="646"/>
      <c r="AAB93" s="645"/>
      <c r="AAC93" s="646"/>
      <c r="AAD93" s="645"/>
      <c r="AAE93" s="646"/>
      <c r="AAF93" s="645"/>
      <c r="AAG93" s="646"/>
      <c r="AAH93" s="645"/>
      <c r="AAI93" s="646"/>
      <c r="AAJ93" s="645"/>
      <c r="AAK93" s="646"/>
      <c r="AAL93" s="645"/>
      <c r="AAM93" s="646"/>
      <c r="AAN93" s="645"/>
      <c r="AAO93" s="646"/>
      <c r="AAP93" s="645"/>
      <c r="AAQ93" s="646"/>
      <c r="AAR93" s="645"/>
      <c r="AAS93" s="646"/>
      <c r="AAT93" s="645"/>
      <c r="AAU93" s="646"/>
      <c r="AAV93" s="645"/>
      <c r="AAW93" s="646"/>
      <c r="AAX93" s="645"/>
      <c r="AAY93" s="646"/>
      <c r="AAZ93" s="645"/>
      <c r="ABA93" s="646"/>
      <c r="ABB93" s="645"/>
      <c r="ABC93" s="646"/>
      <c r="ABD93" s="645"/>
      <c r="ABE93" s="646"/>
      <c r="ABF93" s="645"/>
      <c r="ABG93" s="646"/>
      <c r="ABH93" s="645"/>
      <c r="ABI93" s="646"/>
      <c r="ABJ93" s="645"/>
      <c r="ABK93" s="646"/>
      <c r="ABL93" s="645"/>
      <c r="ABM93" s="646"/>
      <c r="ABN93" s="645"/>
      <c r="ABO93" s="646"/>
      <c r="ABP93" s="645"/>
      <c r="ABQ93" s="646"/>
      <c r="ABR93" s="645"/>
      <c r="ABS93" s="646"/>
      <c r="ABT93" s="645"/>
      <c r="ABU93" s="646"/>
      <c r="ABV93" s="645"/>
      <c r="ABW93" s="646"/>
      <c r="ABX93" s="645"/>
      <c r="ABY93" s="646"/>
      <c r="ABZ93" s="645"/>
      <c r="ACA93" s="646"/>
      <c r="ACB93" s="645"/>
      <c r="ACC93" s="646"/>
      <c r="ACD93" s="645"/>
      <c r="ACE93" s="646"/>
      <c r="ACF93" s="645"/>
      <c r="ACG93" s="646"/>
      <c r="ACH93" s="645"/>
      <c r="ACI93" s="646"/>
      <c r="ACJ93" s="645"/>
      <c r="ACK93" s="646"/>
      <c r="ACL93" s="645"/>
      <c r="ACM93" s="646"/>
      <c r="ACN93" s="645"/>
      <c r="ACO93" s="646"/>
      <c r="ACP93" s="645"/>
      <c r="ACQ93" s="646"/>
      <c r="ACR93" s="645"/>
      <c r="ACS93" s="646"/>
      <c r="ACT93" s="645"/>
      <c r="ACU93" s="646"/>
      <c r="ACV93" s="645"/>
      <c r="ACW93" s="646"/>
      <c r="ACX93" s="645"/>
      <c r="ACY93" s="646"/>
      <c r="ACZ93" s="645"/>
      <c r="ADA93" s="646"/>
      <c r="ADB93" s="645"/>
      <c r="ADC93" s="646"/>
      <c r="ADD93" s="645"/>
      <c r="ADE93" s="646"/>
      <c r="ADF93" s="645"/>
      <c r="ADG93" s="646"/>
      <c r="ADH93" s="645"/>
      <c r="ADI93" s="646"/>
      <c r="ADJ93" s="645"/>
      <c r="ADK93" s="646"/>
      <c r="ADL93" s="645"/>
      <c r="ADM93" s="646"/>
      <c r="ADN93" s="645"/>
      <c r="ADO93" s="646"/>
      <c r="ADP93" s="645"/>
      <c r="ADQ93" s="646"/>
      <c r="ADR93" s="645"/>
      <c r="ADS93" s="646"/>
      <c r="ADT93" s="645"/>
      <c r="ADU93" s="646"/>
      <c r="ADV93" s="645"/>
      <c r="ADW93" s="646"/>
      <c r="ADX93" s="645"/>
      <c r="ADY93" s="646"/>
      <c r="ADZ93" s="645"/>
      <c r="AEA93" s="646"/>
      <c r="AEB93" s="645"/>
      <c r="AEC93" s="646"/>
      <c r="AED93" s="645"/>
      <c r="AEE93" s="646"/>
      <c r="AEF93" s="645"/>
      <c r="AEG93" s="646"/>
      <c r="AEH93" s="645"/>
      <c r="AEI93" s="646"/>
      <c r="AEJ93" s="645"/>
      <c r="AEK93" s="646"/>
      <c r="AEL93" s="645"/>
      <c r="AEM93" s="646"/>
      <c r="AEN93" s="645"/>
      <c r="AEO93" s="646"/>
      <c r="AEP93" s="645"/>
      <c r="AEQ93" s="646"/>
      <c r="AER93" s="645"/>
      <c r="AES93" s="646"/>
      <c r="AET93" s="645"/>
      <c r="AEU93" s="646"/>
      <c r="AEV93" s="645"/>
      <c r="AEW93" s="646"/>
      <c r="AEX93" s="645"/>
      <c r="AEY93" s="646"/>
      <c r="AEZ93" s="645"/>
      <c r="AFA93" s="646"/>
      <c r="AFB93" s="645"/>
      <c r="AFC93" s="646"/>
      <c r="AFD93" s="645"/>
      <c r="AFE93" s="646"/>
      <c r="AFF93" s="645"/>
      <c r="AFG93" s="646"/>
      <c r="AFH93" s="645"/>
      <c r="AFI93" s="646"/>
      <c r="AFJ93" s="645"/>
      <c r="AFK93" s="646"/>
      <c r="AFL93" s="645"/>
      <c r="AFM93" s="646"/>
      <c r="AFN93" s="645"/>
      <c r="AFO93" s="646"/>
      <c r="AFP93" s="645"/>
      <c r="AFQ93" s="646"/>
      <c r="AFR93" s="645"/>
      <c r="AFS93" s="646"/>
      <c r="AFT93" s="645"/>
      <c r="AFU93" s="646"/>
      <c r="AFV93" s="645"/>
      <c r="AFW93" s="646"/>
      <c r="AFX93" s="645"/>
      <c r="AFY93" s="646"/>
      <c r="AFZ93" s="645"/>
      <c r="AGA93" s="646"/>
      <c r="AGB93" s="645"/>
      <c r="AGC93" s="646"/>
      <c r="AGD93" s="645"/>
      <c r="AGE93" s="646"/>
      <c r="AGF93" s="645"/>
      <c r="AGG93" s="646"/>
      <c r="AGH93" s="645"/>
      <c r="AGI93" s="646"/>
      <c r="AGJ93" s="645"/>
      <c r="AGK93" s="646"/>
      <c r="AGL93" s="645"/>
      <c r="AGM93" s="646"/>
      <c r="AGN93" s="645"/>
      <c r="AGO93" s="646"/>
      <c r="AGP93" s="645"/>
      <c r="AGQ93" s="646"/>
      <c r="AGR93" s="645"/>
      <c r="AGS93" s="646"/>
      <c r="AGT93" s="645"/>
      <c r="AGU93" s="646"/>
      <c r="AGV93" s="645"/>
      <c r="AGW93" s="646"/>
      <c r="AGX93" s="645"/>
      <c r="AGY93" s="646"/>
      <c r="AGZ93" s="645"/>
      <c r="AHA93" s="646"/>
      <c r="AHB93" s="645"/>
      <c r="AHC93" s="646"/>
      <c r="AHD93" s="645"/>
      <c r="AHE93" s="646"/>
      <c r="AHF93" s="645"/>
      <c r="AHG93" s="646"/>
      <c r="AHH93" s="645"/>
      <c r="AHI93" s="646"/>
      <c r="AHJ93" s="645"/>
      <c r="AHK93" s="646"/>
      <c r="AHL93" s="645"/>
      <c r="AHM93" s="646"/>
      <c r="AHN93" s="645"/>
      <c r="AHO93" s="646"/>
      <c r="AHP93" s="645"/>
      <c r="AHQ93" s="646"/>
      <c r="AHR93" s="645"/>
      <c r="AHS93" s="646"/>
      <c r="AHT93" s="645"/>
      <c r="AHU93" s="646"/>
      <c r="AHV93" s="645"/>
      <c r="AHW93" s="646"/>
      <c r="AHX93" s="645"/>
      <c r="AHY93" s="646"/>
      <c r="AHZ93" s="645"/>
      <c r="AIA93" s="646"/>
      <c r="AIB93" s="645"/>
      <c r="AIC93" s="646"/>
      <c r="AID93" s="645"/>
      <c r="AIE93" s="646"/>
      <c r="AIF93" s="645"/>
      <c r="AIG93" s="646"/>
      <c r="AIH93" s="645"/>
      <c r="AII93" s="646"/>
      <c r="AIJ93" s="645"/>
      <c r="AIK93" s="646"/>
      <c r="AIL93" s="645"/>
      <c r="AIM93" s="646"/>
      <c r="AIN93" s="645"/>
      <c r="AIO93" s="646"/>
      <c r="AIP93" s="645"/>
      <c r="AIQ93" s="645"/>
      <c r="AIR93" s="645"/>
      <c r="AIS93" s="645"/>
      <c r="AIT93" s="645"/>
      <c r="AIU93" s="645"/>
      <c r="AIV93" s="645"/>
      <c r="AIW93" s="645"/>
      <c r="AIX93" s="645"/>
      <c r="AIY93" s="645"/>
      <c r="AIZ93" s="645"/>
      <c r="AJA93" s="645"/>
      <c r="AJB93" s="645"/>
      <c r="AJC93" s="645"/>
      <c r="AJD93" s="645"/>
      <c r="AJE93" s="645"/>
      <c r="AJF93" s="645"/>
      <c r="AJG93" s="645"/>
      <c r="AJH93" s="645"/>
      <c r="AJI93" s="645"/>
      <c r="AJJ93" s="645"/>
      <c r="AJK93" s="645"/>
      <c r="AJL93" s="645"/>
      <c r="AJM93" s="645"/>
      <c r="AJN93" s="645"/>
      <c r="AJO93" s="645"/>
      <c r="AJP93" s="645"/>
      <c r="AJQ93" s="645"/>
      <c r="AJR93" s="645"/>
      <c r="AJS93" s="645"/>
      <c r="AJT93" s="645"/>
      <c r="AJU93" s="645"/>
      <c r="AJV93" s="645"/>
      <c r="AJW93" s="645"/>
      <c r="AJX93" s="645"/>
      <c r="AJY93" s="645"/>
      <c r="AJZ93" s="645"/>
      <c r="AKA93" s="645"/>
      <c r="AKB93" s="645"/>
      <c r="AKC93" s="645"/>
      <c r="AKD93" s="645"/>
      <c r="AKE93" s="645"/>
      <c r="AKF93" s="645"/>
      <c r="AKG93" s="645"/>
      <c r="AKH93" s="645"/>
      <c r="AKI93" s="645"/>
      <c r="AKJ93" s="645"/>
      <c r="AKK93" s="645"/>
      <c r="AKL93" s="645"/>
      <c r="AKM93" s="645"/>
      <c r="AKN93" s="645"/>
      <c r="AKO93" s="645"/>
      <c r="AKP93" s="645"/>
      <c r="AKQ93" s="645"/>
      <c r="AKR93" s="645"/>
      <c r="AKS93" s="645"/>
      <c r="AKT93" s="645"/>
      <c r="AKU93" s="645"/>
      <c r="AKV93" s="645"/>
      <c r="AKW93" s="645"/>
      <c r="AKX93" s="645"/>
      <c r="AKY93" s="645"/>
      <c r="AKZ93" s="645"/>
      <c r="ALA93" s="645"/>
      <c r="ALB93" s="645"/>
      <c r="ALC93" s="645"/>
      <c r="ALD93" s="645"/>
      <c r="ALE93" s="645"/>
      <c r="ALF93" s="645"/>
      <c r="ALG93" s="645"/>
      <c r="ALH93" s="645"/>
      <c r="ALI93" s="645"/>
      <c r="ALJ93" s="645"/>
      <c r="ALK93" s="645"/>
      <c r="ALL93" s="645"/>
      <c r="ALM93" s="645"/>
      <c r="ALN93" s="645"/>
      <c r="ALO93" s="645"/>
      <c r="ALP93" s="645"/>
      <c r="ALQ93" s="645"/>
      <c r="ALR93" s="645"/>
      <c r="ALS93" s="645"/>
      <c r="ALT93" s="645"/>
      <c r="ALU93" s="645"/>
      <c r="ALV93" s="645"/>
      <c r="ALW93" s="645"/>
      <c r="ALX93" s="645"/>
      <c r="ALY93" s="645"/>
      <c r="ALZ93" s="645"/>
      <c r="AMA93" s="645"/>
      <c r="AMB93" s="645"/>
      <c r="AMC93" s="645"/>
      <c r="AMD93" s="645"/>
      <c r="AME93" s="645"/>
      <c r="AMF93" s="645"/>
      <c r="AMG93" s="645"/>
      <c r="AMH93" s="645"/>
      <c r="AMI93" s="645"/>
      <c r="AMJ93" s="645"/>
    </row>
    <row r="94" spans="1:1024" s="37" customFormat="1" ht="15.75" customHeight="1" x14ac:dyDescent="0.35">
      <c r="A94" s="600"/>
      <c r="B94" s="644" t="s">
        <v>348</v>
      </c>
      <c r="C94" s="645"/>
      <c r="D94" s="646"/>
      <c r="E94" s="645"/>
      <c r="F94" s="646"/>
      <c r="G94" s="647" t="s">
        <v>243</v>
      </c>
      <c r="H94" s="643"/>
      <c r="I94" s="645"/>
      <c r="J94" s="38"/>
      <c r="K94" s="38"/>
      <c r="L94" s="39"/>
      <c r="M94" s="38"/>
      <c r="N94" s="39"/>
      <c r="O94" s="38"/>
      <c r="P94" s="39"/>
      <c r="Q94" s="38"/>
      <c r="R94" s="39"/>
      <c r="S94" s="38"/>
      <c r="T94" s="39"/>
      <c r="U94" s="38"/>
      <c r="V94" s="39"/>
      <c r="W94" s="38"/>
      <c r="X94" s="39"/>
      <c r="Y94" s="38"/>
      <c r="Z94" s="39"/>
      <c r="AA94" s="38"/>
      <c r="AB94" s="39"/>
      <c r="AC94" s="38"/>
      <c r="AD94" s="39"/>
      <c r="AE94" s="38"/>
      <c r="AF94" s="39"/>
      <c r="AG94" s="38"/>
      <c r="AH94" s="39"/>
      <c r="AI94" s="38"/>
      <c r="AJ94" s="39"/>
      <c r="AK94" s="40"/>
      <c r="AL94" s="39"/>
      <c r="AM94" s="40"/>
      <c r="AN94" s="39"/>
      <c r="AO94" s="40"/>
      <c r="AP94" s="39"/>
      <c r="AQ94" s="40"/>
      <c r="AR94" s="39"/>
      <c r="AS94" s="40"/>
      <c r="AT94" s="39"/>
      <c r="AU94" s="40"/>
      <c r="AV94" s="39"/>
      <c r="AW94" s="40"/>
      <c r="AX94" s="39"/>
      <c r="AY94" s="40"/>
      <c r="AZ94" s="39"/>
      <c r="BA94" s="40"/>
      <c r="BB94" s="39"/>
      <c r="BC94" s="40"/>
      <c r="BD94" s="39"/>
      <c r="BE94" s="40"/>
      <c r="BF94" s="39"/>
      <c r="BG94" s="40"/>
      <c r="BH94" s="39"/>
      <c r="BI94" s="40"/>
      <c r="BJ94" s="39"/>
      <c r="BK94" s="40"/>
      <c r="BL94" s="39"/>
      <c r="BM94" s="40"/>
      <c r="BN94" s="39"/>
      <c r="BO94" s="40"/>
      <c r="BP94" s="39"/>
      <c r="BQ94" s="40"/>
      <c r="BR94" s="39"/>
      <c r="BS94" s="40"/>
      <c r="BT94" s="39"/>
      <c r="BU94" s="40"/>
      <c r="BV94" s="39"/>
      <c r="BW94" s="40"/>
      <c r="BX94" s="39"/>
      <c r="BY94" s="40"/>
      <c r="BZ94" s="39"/>
      <c r="CA94" s="40"/>
      <c r="CB94" s="39"/>
      <c r="CC94" s="40"/>
      <c r="CD94" s="39"/>
      <c r="CE94" s="40"/>
      <c r="CF94" s="39"/>
      <c r="CG94" s="40"/>
      <c r="CH94" s="39"/>
      <c r="CI94" s="40"/>
      <c r="CJ94" s="39"/>
      <c r="CK94" s="40"/>
      <c r="CL94" s="39"/>
      <c r="CM94" s="40"/>
      <c r="CN94" s="39"/>
      <c r="CO94" s="40"/>
      <c r="CP94" s="39"/>
      <c r="CQ94" s="40"/>
      <c r="CR94" s="39"/>
      <c r="CS94" s="40"/>
      <c r="CT94" s="39"/>
      <c r="CU94" s="40"/>
      <c r="CV94" s="39"/>
      <c r="CW94" s="40"/>
      <c r="CX94" s="39"/>
      <c r="CY94" s="40"/>
      <c r="CZ94" s="39"/>
      <c r="DA94" s="40"/>
      <c r="DB94" s="39"/>
      <c r="DC94" s="40"/>
      <c r="DD94" s="39"/>
      <c r="DE94" s="40"/>
      <c r="DF94" s="39"/>
      <c r="DG94" s="40"/>
      <c r="DH94" s="39"/>
      <c r="DI94" s="40"/>
      <c r="DJ94" s="39"/>
      <c r="DK94" s="40"/>
      <c r="DL94" s="39"/>
      <c r="DM94" s="40"/>
      <c r="DN94" s="39"/>
      <c r="DO94" s="40"/>
      <c r="DP94" s="39"/>
      <c r="DQ94" s="40"/>
      <c r="DR94" s="39"/>
      <c r="DS94" s="40"/>
      <c r="DT94" s="39"/>
      <c r="DU94" s="40"/>
      <c r="DV94" s="39"/>
      <c r="DW94" s="40"/>
      <c r="DX94" s="39"/>
      <c r="DY94" s="40"/>
      <c r="DZ94" s="39"/>
      <c r="EA94" s="40"/>
      <c r="EB94" s="39"/>
      <c r="EC94" s="40"/>
      <c r="ED94" s="39"/>
      <c r="EE94" s="40"/>
      <c r="EF94" s="39"/>
      <c r="EG94" s="40"/>
      <c r="EH94" s="39"/>
      <c r="EI94" s="40"/>
      <c r="EJ94" s="39"/>
      <c r="EK94" s="40"/>
      <c r="EL94" s="39"/>
      <c r="EM94" s="40"/>
      <c r="EN94" s="39"/>
      <c r="EO94" s="40"/>
      <c r="EP94" s="39"/>
      <c r="EQ94" s="40"/>
      <c r="ER94" s="39"/>
      <c r="ES94" s="40"/>
      <c r="ET94" s="39"/>
      <c r="EU94" s="40"/>
      <c r="EV94" s="39"/>
      <c r="EW94" s="40"/>
      <c r="EX94" s="39"/>
      <c r="EY94" s="40"/>
      <c r="EZ94" s="39"/>
      <c r="FA94" s="40"/>
      <c r="FB94" s="39"/>
      <c r="FC94" s="40"/>
      <c r="FD94" s="39"/>
      <c r="FE94" s="40"/>
      <c r="FF94" s="39"/>
      <c r="FG94" s="40"/>
      <c r="FH94" s="39"/>
      <c r="FI94" s="40"/>
      <c r="FJ94" s="39"/>
      <c r="FK94" s="40"/>
      <c r="FL94" s="39"/>
      <c r="FM94" s="40"/>
      <c r="FN94" s="39"/>
      <c r="FO94" s="40"/>
      <c r="FP94" s="39"/>
      <c r="FQ94" s="40"/>
      <c r="FR94" s="39"/>
      <c r="FS94" s="40"/>
      <c r="FT94" s="39"/>
      <c r="FU94" s="40"/>
      <c r="FV94" s="39"/>
      <c r="FW94" s="40"/>
      <c r="FX94" s="39"/>
      <c r="FY94" s="40"/>
      <c r="FZ94" s="39"/>
      <c r="GA94" s="40"/>
      <c r="GB94" s="39"/>
      <c r="GC94" s="40"/>
      <c r="GD94" s="39"/>
      <c r="GE94" s="40"/>
      <c r="GF94" s="39"/>
      <c r="GG94" s="40"/>
      <c r="GH94" s="39"/>
      <c r="GI94" s="40"/>
      <c r="GJ94" s="39"/>
      <c r="GK94" s="40"/>
      <c r="GL94" s="39"/>
      <c r="GM94" s="40"/>
      <c r="GN94" s="39"/>
      <c r="GO94" s="40"/>
      <c r="GP94" s="39"/>
      <c r="GQ94" s="40"/>
      <c r="GR94" s="39"/>
      <c r="GS94" s="40"/>
      <c r="GT94" s="39"/>
      <c r="GU94" s="40"/>
      <c r="GV94" s="39"/>
      <c r="GW94" s="40"/>
      <c r="GX94" s="39"/>
      <c r="GY94" s="40"/>
      <c r="GZ94" s="39"/>
      <c r="HA94" s="40"/>
      <c r="HB94" s="39"/>
      <c r="HC94" s="40"/>
      <c r="HD94" s="39"/>
      <c r="HE94" s="40"/>
      <c r="HF94" s="39"/>
      <c r="HG94" s="40"/>
      <c r="HH94" s="39"/>
      <c r="HI94" s="40"/>
      <c r="HJ94" s="39"/>
      <c r="HK94" s="40"/>
      <c r="HL94" s="39"/>
      <c r="HM94" s="40"/>
      <c r="HN94" s="39"/>
      <c r="HO94" s="40"/>
      <c r="HP94" s="39"/>
      <c r="HQ94" s="40"/>
      <c r="HR94" s="39"/>
      <c r="HS94" s="40"/>
      <c r="HT94" s="39"/>
      <c r="HU94" s="40"/>
      <c r="HV94" s="39"/>
      <c r="HW94" s="40"/>
      <c r="HX94" s="39"/>
      <c r="HY94" s="40"/>
      <c r="HZ94" s="39"/>
      <c r="IA94" s="40"/>
      <c r="IB94" s="39"/>
      <c r="IC94" s="1068"/>
      <c r="ID94" s="645"/>
      <c r="IE94" s="646"/>
      <c r="IF94" s="645"/>
      <c r="IG94" s="646"/>
      <c r="IH94" s="645"/>
      <c r="II94" s="646"/>
      <c r="IJ94" s="645"/>
      <c r="IK94" s="646"/>
      <c r="IL94" s="645"/>
      <c r="IM94" s="646"/>
      <c r="IN94" s="645"/>
      <c r="IO94" s="646"/>
      <c r="IP94" s="645"/>
      <c r="IQ94" s="646"/>
      <c r="IR94" s="645"/>
      <c r="IS94" s="646"/>
      <c r="IT94" s="645"/>
      <c r="IU94" s="646"/>
      <c r="IV94" s="645"/>
      <c r="IW94" s="646"/>
      <c r="IX94" s="645"/>
      <c r="IY94" s="646"/>
      <c r="IZ94" s="645"/>
      <c r="JA94" s="646"/>
      <c r="JB94" s="645"/>
      <c r="JC94" s="646"/>
      <c r="JD94" s="645"/>
      <c r="JE94" s="646"/>
      <c r="JF94" s="645"/>
      <c r="JG94" s="646"/>
      <c r="JH94" s="645"/>
      <c r="JI94" s="646"/>
      <c r="JJ94" s="645"/>
      <c r="JK94" s="646"/>
      <c r="JL94" s="645"/>
      <c r="JM94" s="646"/>
      <c r="JN94" s="645"/>
      <c r="JO94" s="646"/>
      <c r="JP94" s="645"/>
      <c r="JQ94" s="646"/>
      <c r="JR94" s="645"/>
      <c r="JS94" s="646"/>
      <c r="JT94" s="645"/>
      <c r="JU94" s="646"/>
      <c r="JV94" s="645"/>
      <c r="JW94" s="646"/>
      <c r="JX94" s="645"/>
      <c r="JY94" s="646"/>
      <c r="JZ94" s="645"/>
      <c r="KA94" s="646"/>
      <c r="KB94" s="645"/>
      <c r="KC94" s="646"/>
      <c r="KD94" s="645"/>
      <c r="KE94" s="646"/>
      <c r="KF94" s="645"/>
      <c r="KG94" s="646"/>
      <c r="KH94" s="645"/>
      <c r="KI94" s="646"/>
      <c r="KJ94" s="645"/>
      <c r="KK94" s="646"/>
      <c r="KL94" s="645"/>
      <c r="KM94" s="646"/>
      <c r="KN94" s="645"/>
      <c r="KO94" s="646"/>
      <c r="KP94" s="645"/>
      <c r="KQ94" s="646"/>
      <c r="KR94" s="645"/>
      <c r="KS94" s="646"/>
      <c r="KT94" s="645"/>
      <c r="KU94" s="646"/>
      <c r="KV94" s="645"/>
      <c r="KW94" s="646"/>
      <c r="KX94" s="645"/>
      <c r="KY94" s="646"/>
      <c r="KZ94" s="645"/>
      <c r="LA94" s="646"/>
      <c r="LB94" s="645"/>
      <c r="LC94" s="646"/>
      <c r="LD94" s="645"/>
      <c r="LE94" s="646"/>
      <c r="LF94" s="645"/>
      <c r="LG94" s="646"/>
      <c r="LH94" s="645"/>
      <c r="LI94" s="646"/>
      <c r="LJ94" s="645"/>
      <c r="LK94" s="646"/>
      <c r="LL94" s="645"/>
      <c r="LM94" s="646"/>
      <c r="LN94" s="645"/>
      <c r="LO94" s="646"/>
      <c r="LP94" s="645"/>
      <c r="LQ94" s="646"/>
      <c r="LR94" s="645"/>
      <c r="LS94" s="646"/>
      <c r="LT94" s="645"/>
      <c r="LU94" s="646"/>
      <c r="LV94" s="645"/>
      <c r="LW94" s="646"/>
      <c r="LX94" s="645"/>
      <c r="LY94" s="646"/>
      <c r="LZ94" s="645"/>
      <c r="MA94" s="646"/>
      <c r="MB94" s="645"/>
      <c r="MC94" s="646"/>
      <c r="MD94" s="645"/>
      <c r="ME94" s="646"/>
      <c r="MF94" s="645"/>
      <c r="MG94" s="646"/>
      <c r="MH94" s="645"/>
      <c r="MI94" s="646"/>
      <c r="MJ94" s="645"/>
      <c r="MK94" s="646"/>
      <c r="ML94" s="645"/>
      <c r="MM94" s="646"/>
      <c r="MN94" s="645"/>
      <c r="MO94" s="646"/>
      <c r="MP94" s="645"/>
      <c r="MQ94" s="646"/>
      <c r="MR94" s="645"/>
      <c r="MS94" s="646"/>
      <c r="MT94" s="645"/>
      <c r="MU94" s="646"/>
      <c r="MV94" s="645"/>
      <c r="MW94" s="646"/>
      <c r="MX94" s="645"/>
      <c r="MY94" s="646"/>
      <c r="MZ94" s="645"/>
      <c r="NA94" s="646"/>
      <c r="NB94" s="645"/>
      <c r="NC94" s="646"/>
      <c r="ND94" s="645"/>
      <c r="NE94" s="646"/>
      <c r="NF94" s="645"/>
      <c r="NG94" s="646"/>
      <c r="NH94" s="645"/>
      <c r="NI94" s="646"/>
      <c r="NJ94" s="645"/>
      <c r="NK94" s="646"/>
      <c r="NL94" s="645"/>
      <c r="NM94" s="646"/>
      <c r="NN94" s="645"/>
      <c r="NO94" s="646"/>
      <c r="NP94" s="645"/>
      <c r="NQ94" s="646"/>
      <c r="NR94" s="645"/>
      <c r="NS94" s="646"/>
      <c r="NT94" s="645"/>
      <c r="NU94" s="646"/>
      <c r="NV94" s="645"/>
      <c r="NW94" s="646"/>
      <c r="NX94" s="645"/>
      <c r="NY94" s="646"/>
      <c r="NZ94" s="645"/>
      <c r="OA94" s="646"/>
      <c r="OB94" s="645"/>
      <c r="OC94" s="646"/>
      <c r="OD94" s="645"/>
      <c r="OE94" s="646"/>
      <c r="OF94" s="645"/>
      <c r="OG94" s="646"/>
      <c r="OH94" s="645"/>
      <c r="OI94" s="646"/>
      <c r="OJ94" s="645"/>
      <c r="OK94" s="646"/>
      <c r="OL94" s="645"/>
      <c r="OM94" s="646"/>
      <c r="ON94" s="645"/>
      <c r="OO94" s="646"/>
      <c r="OP94" s="645"/>
      <c r="OQ94" s="646"/>
      <c r="OR94" s="645"/>
      <c r="OS94" s="646"/>
      <c r="OT94" s="645"/>
      <c r="OU94" s="646"/>
      <c r="OV94" s="645"/>
      <c r="OW94" s="646"/>
      <c r="OX94" s="645"/>
      <c r="OY94" s="646"/>
      <c r="OZ94" s="645"/>
      <c r="PA94" s="646"/>
      <c r="PB94" s="645"/>
      <c r="PC94" s="646"/>
      <c r="PD94" s="645"/>
      <c r="PE94" s="646"/>
      <c r="PF94" s="645"/>
      <c r="PG94" s="646"/>
      <c r="PH94" s="645"/>
      <c r="PI94" s="646"/>
      <c r="PJ94" s="645"/>
      <c r="PK94" s="646"/>
      <c r="PL94" s="645"/>
      <c r="PM94" s="646"/>
      <c r="PN94" s="645"/>
      <c r="PO94" s="646"/>
      <c r="PP94" s="645"/>
      <c r="PQ94" s="646"/>
      <c r="PR94" s="645"/>
      <c r="PS94" s="646"/>
      <c r="PT94" s="645"/>
      <c r="PU94" s="646"/>
      <c r="PV94" s="645"/>
      <c r="PW94" s="646"/>
      <c r="PX94" s="645"/>
      <c r="PY94" s="646"/>
      <c r="PZ94" s="645"/>
      <c r="QA94" s="646"/>
      <c r="QB94" s="645"/>
      <c r="QC94" s="646"/>
      <c r="QD94" s="645"/>
      <c r="QE94" s="646"/>
      <c r="QF94" s="645"/>
      <c r="QG94" s="646"/>
      <c r="QH94" s="645"/>
      <c r="QI94" s="646"/>
      <c r="QJ94" s="645"/>
      <c r="QK94" s="646"/>
      <c r="QL94" s="645"/>
      <c r="QM94" s="646"/>
      <c r="QN94" s="645"/>
      <c r="QO94" s="646"/>
      <c r="QP94" s="645"/>
      <c r="QQ94" s="646"/>
      <c r="QR94" s="645"/>
      <c r="QS94" s="646"/>
      <c r="QT94" s="645"/>
      <c r="QU94" s="646"/>
      <c r="QV94" s="645"/>
      <c r="QW94" s="646"/>
      <c r="QX94" s="645"/>
      <c r="QY94" s="646"/>
      <c r="QZ94" s="645"/>
      <c r="RA94" s="646"/>
      <c r="RB94" s="645"/>
      <c r="RC94" s="646"/>
      <c r="RD94" s="645"/>
      <c r="RE94" s="646"/>
      <c r="RF94" s="645"/>
      <c r="RG94" s="646"/>
      <c r="RH94" s="645"/>
      <c r="RI94" s="646"/>
      <c r="RJ94" s="645"/>
      <c r="RK94" s="646"/>
      <c r="RL94" s="645"/>
      <c r="RM94" s="646"/>
      <c r="RN94" s="645"/>
      <c r="RO94" s="646"/>
      <c r="RP94" s="645"/>
      <c r="RQ94" s="646"/>
      <c r="RR94" s="645"/>
      <c r="RS94" s="646"/>
      <c r="RT94" s="645"/>
      <c r="RU94" s="646"/>
      <c r="RV94" s="645"/>
      <c r="RW94" s="646"/>
      <c r="RX94" s="645"/>
      <c r="RY94" s="646"/>
      <c r="RZ94" s="645"/>
      <c r="SA94" s="646"/>
      <c r="SB94" s="645"/>
      <c r="SC94" s="646"/>
      <c r="SD94" s="645"/>
      <c r="SE94" s="646"/>
      <c r="SF94" s="645"/>
      <c r="SG94" s="646"/>
      <c r="SH94" s="645"/>
      <c r="SI94" s="646"/>
      <c r="SJ94" s="645"/>
      <c r="SK94" s="646"/>
      <c r="SL94" s="645"/>
      <c r="SM94" s="646"/>
      <c r="SN94" s="645"/>
      <c r="SO94" s="646"/>
      <c r="SP94" s="645"/>
      <c r="SQ94" s="646"/>
      <c r="SR94" s="645"/>
      <c r="SS94" s="646"/>
      <c r="ST94" s="645"/>
      <c r="SU94" s="646"/>
      <c r="SV94" s="645"/>
      <c r="SW94" s="646"/>
      <c r="SX94" s="645"/>
      <c r="SY94" s="646"/>
      <c r="SZ94" s="645"/>
      <c r="TA94" s="646"/>
      <c r="TB94" s="645"/>
      <c r="TC94" s="646"/>
      <c r="TD94" s="645"/>
      <c r="TE94" s="646"/>
      <c r="TF94" s="645"/>
      <c r="TG94" s="646"/>
      <c r="TH94" s="645"/>
      <c r="TI94" s="646"/>
      <c r="TJ94" s="645"/>
      <c r="TK94" s="646"/>
      <c r="TL94" s="645"/>
      <c r="TM94" s="646"/>
      <c r="TN94" s="645"/>
      <c r="TO94" s="646"/>
      <c r="TP94" s="645"/>
      <c r="TQ94" s="646"/>
      <c r="TR94" s="645"/>
      <c r="TS94" s="646"/>
      <c r="TT94" s="645"/>
      <c r="TU94" s="646"/>
      <c r="TV94" s="645"/>
      <c r="TW94" s="646"/>
      <c r="TX94" s="645"/>
      <c r="TY94" s="646"/>
      <c r="TZ94" s="645"/>
      <c r="UA94" s="646"/>
      <c r="UB94" s="645"/>
      <c r="UC94" s="646"/>
      <c r="UD94" s="645"/>
      <c r="UE94" s="646"/>
      <c r="UF94" s="645"/>
      <c r="UG94" s="646"/>
      <c r="UH94" s="645"/>
      <c r="UI94" s="646"/>
      <c r="UJ94" s="645"/>
      <c r="UK94" s="646"/>
      <c r="UL94" s="645"/>
      <c r="UM94" s="646"/>
      <c r="UN94" s="645"/>
      <c r="UO94" s="646"/>
      <c r="UP94" s="645"/>
      <c r="UQ94" s="646"/>
      <c r="UR94" s="645"/>
      <c r="US94" s="646"/>
      <c r="UT94" s="645"/>
      <c r="UU94" s="646"/>
      <c r="UV94" s="645"/>
      <c r="UW94" s="646"/>
      <c r="UX94" s="645"/>
      <c r="UY94" s="646"/>
      <c r="UZ94" s="645"/>
      <c r="VA94" s="646"/>
      <c r="VB94" s="645"/>
      <c r="VC94" s="646"/>
      <c r="VD94" s="645"/>
      <c r="VE94" s="646"/>
      <c r="VF94" s="645"/>
      <c r="VG94" s="646"/>
      <c r="VH94" s="645"/>
      <c r="VI94" s="646"/>
      <c r="VJ94" s="645"/>
      <c r="VK94" s="646"/>
      <c r="VL94" s="645"/>
      <c r="VM94" s="646"/>
      <c r="VN94" s="645"/>
      <c r="VO94" s="646"/>
      <c r="VP94" s="645"/>
      <c r="VQ94" s="646"/>
      <c r="VR94" s="645"/>
      <c r="VS94" s="646"/>
      <c r="VT94" s="645"/>
      <c r="VU94" s="646"/>
      <c r="VV94" s="645"/>
      <c r="VW94" s="646"/>
      <c r="VX94" s="645"/>
      <c r="VY94" s="646"/>
      <c r="VZ94" s="645"/>
      <c r="WA94" s="646"/>
      <c r="WB94" s="645"/>
      <c r="WC94" s="646"/>
      <c r="WD94" s="645"/>
      <c r="WE94" s="646"/>
      <c r="WF94" s="645"/>
      <c r="WG94" s="646"/>
      <c r="WH94" s="645"/>
      <c r="WI94" s="646"/>
      <c r="WJ94" s="645"/>
      <c r="WK94" s="646"/>
      <c r="WL94" s="645"/>
      <c r="WM94" s="646"/>
      <c r="WN94" s="645"/>
      <c r="WO94" s="646"/>
      <c r="WP94" s="645"/>
      <c r="WQ94" s="646"/>
      <c r="WR94" s="645"/>
      <c r="WS94" s="646"/>
      <c r="WT94" s="645"/>
      <c r="WU94" s="646"/>
      <c r="WV94" s="645"/>
      <c r="WW94" s="646"/>
      <c r="WX94" s="645"/>
      <c r="WY94" s="646"/>
      <c r="WZ94" s="645"/>
      <c r="XA94" s="646"/>
      <c r="XB94" s="645"/>
      <c r="XC94" s="646"/>
      <c r="XD94" s="645"/>
      <c r="XE94" s="646"/>
      <c r="XF94" s="645"/>
      <c r="XG94" s="646"/>
      <c r="XH94" s="645"/>
      <c r="XI94" s="646"/>
      <c r="XJ94" s="645"/>
      <c r="XK94" s="646"/>
      <c r="XL94" s="645"/>
      <c r="XM94" s="646"/>
      <c r="XN94" s="645"/>
      <c r="XO94" s="646"/>
      <c r="XP94" s="645"/>
      <c r="XQ94" s="646"/>
      <c r="XR94" s="645"/>
      <c r="XS94" s="646"/>
      <c r="XT94" s="645"/>
      <c r="XU94" s="646"/>
      <c r="XV94" s="645"/>
      <c r="XW94" s="646"/>
      <c r="XX94" s="645"/>
      <c r="XY94" s="646"/>
      <c r="XZ94" s="645"/>
      <c r="YA94" s="646"/>
      <c r="YB94" s="645"/>
      <c r="YC94" s="646"/>
      <c r="YD94" s="645"/>
      <c r="YE94" s="646"/>
      <c r="YF94" s="645"/>
      <c r="YG94" s="646"/>
      <c r="YH94" s="645"/>
      <c r="YI94" s="646"/>
      <c r="YJ94" s="645"/>
      <c r="YK94" s="646"/>
      <c r="YL94" s="645"/>
      <c r="YM94" s="646"/>
      <c r="YN94" s="645"/>
      <c r="YO94" s="646"/>
      <c r="YP94" s="645"/>
      <c r="YQ94" s="646"/>
      <c r="YR94" s="645"/>
      <c r="YS94" s="646"/>
      <c r="YT94" s="645"/>
      <c r="YU94" s="646"/>
      <c r="YV94" s="645"/>
      <c r="YW94" s="646"/>
      <c r="YX94" s="645"/>
      <c r="YY94" s="646"/>
      <c r="YZ94" s="645"/>
      <c r="ZA94" s="646"/>
      <c r="ZB94" s="645"/>
      <c r="ZC94" s="646"/>
      <c r="ZD94" s="645"/>
      <c r="ZE94" s="646"/>
      <c r="ZF94" s="645"/>
      <c r="ZG94" s="646"/>
      <c r="ZH94" s="645"/>
      <c r="ZI94" s="646"/>
      <c r="ZJ94" s="645"/>
      <c r="ZK94" s="646"/>
      <c r="ZL94" s="645"/>
      <c r="ZM94" s="646"/>
      <c r="ZN94" s="645"/>
      <c r="ZO94" s="646"/>
      <c r="ZP94" s="645"/>
      <c r="ZQ94" s="646"/>
      <c r="ZR94" s="645"/>
      <c r="ZS94" s="646"/>
      <c r="ZT94" s="645"/>
      <c r="ZU94" s="646"/>
      <c r="ZV94" s="645"/>
      <c r="ZW94" s="646"/>
      <c r="ZX94" s="645"/>
      <c r="ZY94" s="646"/>
      <c r="ZZ94" s="645"/>
      <c r="AAA94" s="646"/>
      <c r="AAB94" s="645"/>
      <c r="AAC94" s="646"/>
      <c r="AAD94" s="645"/>
      <c r="AAE94" s="646"/>
      <c r="AAF94" s="645"/>
      <c r="AAG94" s="646"/>
      <c r="AAH94" s="645"/>
      <c r="AAI94" s="646"/>
      <c r="AAJ94" s="645"/>
      <c r="AAK94" s="646"/>
      <c r="AAL94" s="645"/>
      <c r="AAM94" s="646"/>
      <c r="AAN94" s="645"/>
      <c r="AAO94" s="646"/>
      <c r="AAP94" s="645"/>
      <c r="AAQ94" s="646"/>
      <c r="AAR94" s="645"/>
      <c r="AAS94" s="646"/>
      <c r="AAT94" s="645"/>
      <c r="AAU94" s="646"/>
      <c r="AAV94" s="645"/>
      <c r="AAW94" s="646"/>
      <c r="AAX94" s="645"/>
      <c r="AAY94" s="646"/>
      <c r="AAZ94" s="645"/>
      <c r="ABA94" s="646"/>
      <c r="ABB94" s="645"/>
      <c r="ABC94" s="646"/>
      <c r="ABD94" s="645"/>
      <c r="ABE94" s="646"/>
      <c r="ABF94" s="645"/>
      <c r="ABG94" s="646"/>
      <c r="ABH94" s="645"/>
      <c r="ABI94" s="646"/>
      <c r="ABJ94" s="645"/>
      <c r="ABK94" s="646"/>
      <c r="ABL94" s="645"/>
      <c r="ABM94" s="646"/>
      <c r="ABN94" s="645"/>
      <c r="ABO94" s="646"/>
      <c r="ABP94" s="645"/>
      <c r="ABQ94" s="646"/>
      <c r="ABR94" s="645"/>
      <c r="ABS94" s="646"/>
      <c r="ABT94" s="645"/>
      <c r="ABU94" s="646"/>
      <c r="ABV94" s="645"/>
      <c r="ABW94" s="646"/>
      <c r="ABX94" s="645"/>
      <c r="ABY94" s="646"/>
      <c r="ABZ94" s="645"/>
      <c r="ACA94" s="646"/>
      <c r="ACB94" s="645"/>
      <c r="ACC94" s="646"/>
      <c r="ACD94" s="645"/>
      <c r="ACE94" s="646"/>
      <c r="ACF94" s="645"/>
      <c r="ACG94" s="646"/>
      <c r="ACH94" s="645"/>
      <c r="ACI94" s="646"/>
      <c r="ACJ94" s="645"/>
      <c r="ACK94" s="646"/>
      <c r="ACL94" s="645"/>
      <c r="ACM94" s="646"/>
      <c r="ACN94" s="645"/>
      <c r="ACO94" s="646"/>
      <c r="ACP94" s="645"/>
      <c r="ACQ94" s="646"/>
      <c r="ACR94" s="645"/>
      <c r="ACS94" s="646"/>
      <c r="ACT94" s="645"/>
      <c r="ACU94" s="646"/>
      <c r="ACV94" s="645"/>
      <c r="ACW94" s="646"/>
      <c r="ACX94" s="645"/>
      <c r="ACY94" s="646"/>
      <c r="ACZ94" s="645"/>
      <c r="ADA94" s="646"/>
      <c r="ADB94" s="645"/>
      <c r="ADC94" s="646"/>
      <c r="ADD94" s="645"/>
      <c r="ADE94" s="646"/>
      <c r="ADF94" s="645"/>
      <c r="ADG94" s="646"/>
      <c r="ADH94" s="645"/>
      <c r="ADI94" s="646"/>
      <c r="ADJ94" s="645"/>
      <c r="ADK94" s="646"/>
      <c r="ADL94" s="645"/>
      <c r="ADM94" s="646"/>
      <c r="ADN94" s="645"/>
      <c r="ADO94" s="646"/>
      <c r="ADP94" s="645"/>
      <c r="ADQ94" s="646"/>
      <c r="ADR94" s="645"/>
      <c r="ADS94" s="646"/>
      <c r="ADT94" s="645"/>
      <c r="ADU94" s="646"/>
      <c r="ADV94" s="645"/>
      <c r="ADW94" s="646"/>
      <c r="ADX94" s="645"/>
      <c r="ADY94" s="646"/>
      <c r="ADZ94" s="645"/>
      <c r="AEA94" s="646"/>
      <c r="AEB94" s="645"/>
      <c r="AEC94" s="646"/>
      <c r="AED94" s="645"/>
      <c r="AEE94" s="646"/>
      <c r="AEF94" s="645"/>
      <c r="AEG94" s="646"/>
      <c r="AEH94" s="645"/>
      <c r="AEI94" s="646"/>
      <c r="AEJ94" s="645"/>
      <c r="AEK94" s="646"/>
      <c r="AEL94" s="645"/>
      <c r="AEM94" s="646"/>
      <c r="AEN94" s="645"/>
      <c r="AEO94" s="646"/>
      <c r="AEP94" s="645"/>
      <c r="AEQ94" s="646"/>
      <c r="AER94" s="645"/>
      <c r="AES94" s="646"/>
      <c r="AET94" s="645"/>
      <c r="AEU94" s="646"/>
      <c r="AEV94" s="645"/>
      <c r="AEW94" s="646"/>
      <c r="AEX94" s="645"/>
      <c r="AEY94" s="646"/>
      <c r="AEZ94" s="645"/>
      <c r="AFA94" s="646"/>
      <c r="AFB94" s="645"/>
      <c r="AFC94" s="646"/>
      <c r="AFD94" s="645"/>
      <c r="AFE94" s="646"/>
      <c r="AFF94" s="645"/>
      <c r="AFG94" s="646"/>
      <c r="AFH94" s="645"/>
      <c r="AFI94" s="646"/>
      <c r="AFJ94" s="645"/>
      <c r="AFK94" s="646"/>
      <c r="AFL94" s="645"/>
      <c r="AFM94" s="646"/>
      <c r="AFN94" s="645"/>
      <c r="AFO94" s="646"/>
      <c r="AFP94" s="645"/>
      <c r="AFQ94" s="646"/>
      <c r="AFR94" s="645"/>
      <c r="AFS94" s="646"/>
      <c r="AFT94" s="645"/>
      <c r="AFU94" s="646"/>
      <c r="AFV94" s="645"/>
      <c r="AFW94" s="646"/>
      <c r="AFX94" s="645"/>
      <c r="AFY94" s="646"/>
      <c r="AFZ94" s="645"/>
      <c r="AGA94" s="646"/>
      <c r="AGB94" s="645"/>
      <c r="AGC94" s="646"/>
      <c r="AGD94" s="645"/>
      <c r="AGE94" s="646"/>
      <c r="AGF94" s="645"/>
      <c r="AGG94" s="646"/>
      <c r="AGH94" s="645"/>
      <c r="AGI94" s="646"/>
      <c r="AGJ94" s="645"/>
      <c r="AGK94" s="646"/>
      <c r="AGL94" s="645"/>
      <c r="AGM94" s="646"/>
      <c r="AGN94" s="645"/>
      <c r="AGO94" s="646"/>
      <c r="AGP94" s="645"/>
      <c r="AGQ94" s="646"/>
      <c r="AGR94" s="645"/>
      <c r="AGS94" s="646"/>
      <c r="AGT94" s="645"/>
      <c r="AGU94" s="646"/>
      <c r="AGV94" s="645"/>
      <c r="AGW94" s="646"/>
      <c r="AGX94" s="645"/>
      <c r="AGY94" s="646"/>
      <c r="AGZ94" s="645"/>
      <c r="AHA94" s="646"/>
      <c r="AHB94" s="645"/>
      <c r="AHC94" s="646"/>
      <c r="AHD94" s="645"/>
      <c r="AHE94" s="646"/>
      <c r="AHF94" s="645"/>
      <c r="AHG94" s="646"/>
      <c r="AHH94" s="645"/>
      <c r="AHI94" s="646"/>
      <c r="AHJ94" s="645"/>
      <c r="AHK94" s="646"/>
      <c r="AHL94" s="645"/>
      <c r="AHM94" s="646"/>
      <c r="AHN94" s="645"/>
      <c r="AHO94" s="646"/>
      <c r="AHP94" s="645"/>
      <c r="AHQ94" s="646"/>
      <c r="AHR94" s="645"/>
      <c r="AHS94" s="646"/>
      <c r="AHT94" s="645"/>
      <c r="AHU94" s="646"/>
      <c r="AHV94" s="645"/>
      <c r="AHW94" s="646"/>
      <c r="AHX94" s="645"/>
      <c r="AHY94" s="646"/>
      <c r="AHZ94" s="645"/>
      <c r="AIA94" s="646"/>
      <c r="AIB94" s="645"/>
      <c r="AIC94" s="646"/>
      <c r="AID94" s="645"/>
      <c r="AIE94" s="646"/>
      <c r="AIF94" s="645"/>
      <c r="AIG94" s="646"/>
      <c r="AIH94" s="645"/>
      <c r="AII94" s="646"/>
      <c r="AIJ94" s="645"/>
      <c r="AIK94" s="646"/>
      <c r="AIL94" s="645"/>
      <c r="AIM94" s="646"/>
      <c r="AIN94" s="645"/>
      <c r="AIO94" s="646"/>
      <c r="AIP94" s="645"/>
      <c r="AIQ94" s="645"/>
      <c r="AIR94" s="645"/>
      <c r="AIS94" s="645"/>
      <c r="AIT94" s="645"/>
      <c r="AIU94" s="645"/>
      <c r="AIV94" s="645"/>
      <c r="AIW94" s="645"/>
      <c r="AIX94" s="645"/>
      <c r="AIY94" s="645"/>
      <c r="AIZ94" s="645"/>
      <c r="AJA94" s="645"/>
      <c r="AJB94" s="645"/>
      <c r="AJC94" s="645"/>
      <c r="AJD94" s="645"/>
      <c r="AJE94" s="645"/>
      <c r="AJF94" s="645"/>
      <c r="AJG94" s="645"/>
      <c r="AJH94" s="645"/>
      <c r="AJI94" s="645"/>
      <c r="AJJ94" s="645"/>
      <c r="AJK94" s="645"/>
      <c r="AJL94" s="645"/>
      <c r="AJM94" s="645"/>
      <c r="AJN94" s="645"/>
      <c r="AJO94" s="645"/>
      <c r="AJP94" s="645"/>
      <c r="AJQ94" s="645"/>
      <c r="AJR94" s="645"/>
      <c r="AJS94" s="645"/>
      <c r="AJT94" s="645"/>
      <c r="AJU94" s="645"/>
      <c r="AJV94" s="645"/>
      <c r="AJW94" s="645"/>
      <c r="AJX94" s="645"/>
      <c r="AJY94" s="645"/>
      <c r="AJZ94" s="645"/>
      <c r="AKA94" s="645"/>
      <c r="AKB94" s="645"/>
      <c r="AKC94" s="645"/>
      <c r="AKD94" s="645"/>
      <c r="AKE94" s="645"/>
      <c r="AKF94" s="645"/>
      <c r="AKG94" s="645"/>
      <c r="AKH94" s="645"/>
      <c r="AKI94" s="645"/>
      <c r="AKJ94" s="645"/>
      <c r="AKK94" s="645"/>
      <c r="AKL94" s="645"/>
      <c r="AKM94" s="645"/>
      <c r="AKN94" s="645"/>
      <c r="AKO94" s="645"/>
      <c r="AKP94" s="645"/>
      <c r="AKQ94" s="645"/>
      <c r="AKR94" s="645"/>
      <c r="AKS94" s="645"/>
      <c r="AKT94" s="645"/>
      <c r="AKU94" s="645"/>
      <c r="AKV94" s="645"/>
      <c r="AKW94" s="645"/>
      <c r="AKX94" s="645"/>
      <c r="AKY94" s="645"/>
      <c r="AKZ94" s="645"/>
      <c r="ALA94" s="645"/>
      <c r="ALB94" s="645"/>
      <c r="ALC94" s="645"/>
      <c r="ALD94" s="645"/>
      <c r="ALE94" s="645"/>
      <c r="ALF94" s="645"/>
      <c r="ALG94" s="645"/>
      <c r="ALH94" s="645"/>
      <c r="ALI94" s="645"/>
      <c r="ALJ94" s="645"/>
      <c r="ALK94" s="645"/>
      <c r="ALL94" s="645"/>
      <c r="ALM94" s="645"/>
      <c r="ALN94" s="645"/>
      <c r="ALO94" s="645"/>
      <c r="ALP94" s="645"/>
      <c r="ALQ94" s="645"/>
      <c r="ALR94" s="645"/>
      <c r="ALS94" s="645"/>
      <c r="ALT94" s="645"/>
      <c r="ALU94" s="645"/>
      <c r="ALV94" s="645"/>
      <c r="ALW94" s="645"/>
      <c r="ALX94" s="645"/>
      <c r="ALY94" s="645"/>
      <c r="ALZ94" s="645"/>
      <c r="AMA94" s="645"/>
      <c r="AMB94" s="645"/>
      <c r="AMC94" s="645"/>
      <c r="AMD94" s="645"/>
      <c r="AME94" s="645"/>
      <c r="AMF94" s="645"/>
      <c r="AMG94" s="645"/>
      <c r="AMH94" s="645"/>
      <c r="AMI94" s="645"/>
      <c r="AMJ94" s="645"/>
    </row>
    <row r="95" spans="1:1024" s="37" customFormat="1" ht="15.75" customHeight="1" x14ac:dyDescent="0.35">
      <c r="A95" s="600"/>
      <c r="B95" s="644" t="s">
        <v>349</v>
      </c>
      <c r="C95" s="645"/>
      <c r="D95" s="646"/>
      <c r="E95" s="645"/>
      <c r="F95" s="646"/>
      <c r="G95" s="647" t="s">
        <v>243</v>
      </c>
      <c r="H95" s="643"/>
      <c r="I95" s="645"/>
      <c r="J95" s="38"/>
      <c r="K95" s="38"/>
      <c r="L95" s="39"/>
      <c r="M95" s="38"/>
      <c r="N95" s="39"/>
      <c r="O95" s="38"/>
      <c r="P95" s="39"/>
      <c r="Q95" s="38"/>
      <c r="R95" s="39"/>
      <c r="S95" s="38"/>
      <c r="T95" s="39"/>
      <c r="U95" s="38"/>
      <c r="V95" s="39"/>
      <c r="W95" s="38"/>
      <c r="X95" s="39"/>
      <c r="Y95" s="38"/>
      <c r="Z95" s="39"/>
      <c r="AA95" s="38"/>
      <c r="AB95" s="39"/>
      <c r="AC95" s="38"/>
      <c r="AD95" s="39"/>
      <c r="AE95" s="38"/>
      <c r="AF95" s="39"/>
      <c r="AG95" s="38"/>
      <c r="AH95" s="39"/>
      <c r="AI95" s="38"/>
      <c r="AJ95" s="39"/>
      <c r="AK95" s="40"/>
      <c r="AL95" s="39"/>
      <c r="AM95" s="40"/>
      <c r="AN95" s="39"/>
      <c r="AO95" s="40"/>
      <c r="AP95" s="39"/>
      <c r="AQ95" s="40"/>
      <c r="AR95" s="39"/>
      <c r="AS95" s="40"/>
      <c r="AT95" s="39"/>
      <c r="AU95" s="40"/>
      <c r="AV95" s="39"/>
      <c r="AW95" s="40"/>
      <c r="AX95" s="39"/>
      <c r="AY95" s="40"/>
      <c r="AZ95" s="39"/>
      <c r="BA95" s="40"/>
      <c r="BB95" s="39"/>
      <c r="BC95" s="40"/>
      <c r="BD95" s="39"/>
      <c r="BE95" s="40"/>
      <c r="BF95" s="39"/>
      <c r="BG95" s="40"/>
      <c r="BH95" s="39"/>
      <c r="BI95" s="40"/>
      <c r="BJ95" s="39"/>
      <c r="BK95" s="40"/>
      <c r="BL95" s="39"/>
      <c r="BM95" s="40"/>
      <c r="BN95" s="39"/>
      <c r="BO95" s="40"/>
      <c r="BP95" s="39"/>
      <c r="BQ95" s="40"/>
      <c r="BR95" s="39"/>
      <c r="BS95" s="40"/>
      <c r="BT95" s="39"/>
      <c r="BU95" s="40"/>
      <c r="BV95" s="39"/>
      <c r="BW95" s="40"/>
      <c r="BX95" s="39"/>
      <c r="BY95" s="40"/>
      <c r="BZ95" s="39"/>
      <c r="CA95" s="40"/>
      <c r="CB95" s="39"/>
      <c r="CC95" s="40"/>
      <c r="CD95" s="39"/>
      <c r="CE95" s="40"/>
      <c r="CF95" s="39"/>
      <c r="CG95" s="40"/>
      <c r="CH95" s="39"/>
      <c r="CI95" s="40"/>
      <c r="CJ95" s="39"/>
      <c r="CK95" s="40"/>
      <c r="CL95" s="39"/>
      <c r="CM95" s="40"/>
      <c r="CN95" s="39"/>
      <c r="CO95" s="40"/>
      <c r="CP95" s="39"/>
      <c r="CQ95" s="40"/>
      <c r="CR95" s="39"/>
      <c r="CS95" s="40"/>
      <c r="CT95" s="39"/>
      <c r="CU95" s="40"/>
      <c r="CV95" s="39"/>
      <c r="CW95" s="40"/>
      <c r="CX95" s="39"/>
      <c r="CY95" s="40"/>
      <c r="CZ95" s="39"/>
      <c r="DA95" s="40"/>
      <c r="DB95" s="39"/>
      <c r="DC95" s="40"/>
      <c r="DD95" s="39"/>
      <c r="DE95" s="40"/>
      <c r="DF95" s="39"/>
      <c r="DG95" s="40"/>
      <c r="DH95" s="39"/>
      <c r="DI95" s="40"/>
      <c r="DJ95" s="39"/>
      <c r="DK95" s="40"/>
      <c r="DL95" s="39"/>
      <c r="DM95" s="40"/>
      <c r="DN95" s="39"/>
      <c r="DO95" s="40"/>
      <c r="DP95" s="39"/>
      <c r="DQ95" s="40"/>
      <c r="DR95" s="39"/>
      <c r="DS95" s="40"/>
      <c r="DT95" s="39"/>
      <c r="DU95" s="40"/>
      <c r="DV95" s="39"/>
      <c r="DW95" s="40"/>
      <c r="DX95" s="39"/>
      <c r="DY95" s="40"/>
      <c r="DZ95" s="39"/>
      <c r="EA95" s="40"/>
      <c r="EB95" s="39"/>
      <c r="EC95" s="40"/>
      <c r="ED95" s="39"/>
      <c r="EE95" s="40"/>
      <c r="EF95" s="39"/>
      <c r="EG95" s="40"/>
      <c r="EH95" s="39"/>
      <c r="EI95" s="40"/>
      <c r="EJ95" s="39"/>
      <c r="EK95" s="40"/>
      <c r="EL95" s="39"/>
      <c r="EM95" s="40"/>
      <c r="EN95" s="39"/>
      <c r="EO95" s="40"/>
      <c r="EP95" s="39"/>
      <c r="EQ95" s="40"/>
      <c r="ER95" s="39"/>
      <c r="ES95" s="40"/>
      <c r="ET95" s="39"/>
      <c r="EU95" s="40"/>
      <c r="EV95" s="39"/>
      <c r="EW95" s="40"/>
      <c r="EX95" s="39"/>
      <c r="EY95" s="40"/>
      <c r="EZ95" s="39"/>
      <c r="FA95" s="40"/>
      <c r="FB95" s="39"/>
      <c r="FC95" s="40"/>
      <c r="FD95" s="39"/>
      <c r="FE95" s="40"/>
      <c r="FF95" s="39"/>
      <c r="FG95" s="40"/>
      <c r="FH95" s="39"/>
      <c r="FI95" s="40"/>
      <c r="FJ95" s="39"/>
      <c r="FK95" s="40"/>
      <c r="FL95" s="39"/>
      <c r="FM95" s="40"/>
      <c r="FN95" s="39"/>
      <c r="FO95" s="40"/>
      <c r="FP95" s="39"/>
      <c r="FQ95" s="40"/>
      <c r="FR95" s="39"/>
      <c r="FS95" s="40"/>
      <c r="FT95" s="39"/>
      <c r="FU95" s="40"/>
      <c r="FV95" s="39"/>
      <c r="FW95" s="40"/>
      <c r="FX95" s="39"/>
      <c r="FY95" s="40"/>
      <c r="FZ95" s="39"/>
      <c r="GA95" s="40"/>
      <c r="GB95" s="39"/>
      <c r="GC95" s="40"/>
      <c r="GD95" s="39"/>
      <c r="GE95" s="40"/>
      <c r="GF95" s="39"/>
      <c r="GG95" s="40"/>
      <c r="GH95" s="39"/>
      <c r="GI95" s="40"/>
      <c r="GJ95" s="39"/>
      <c r="GK95" s="40"/>
      <c r="GL95" s="39"/>
      <c r="GM95" s="40"/>
      <c r="GN95" s="39"/>
      <c r="GO95" s="40"/>
      <c r="GP95" s="39"/>
      <c r="GQ95" s="40"/>
      <c r="GR95" s="39"/>
      <c r="GS95" s="40"/>
      <c r="GT95" s="39"/>
      <c r="GU95" s="40"/>
      <c r="GV95" s="39"/>
      <c r="GW95" s="40"/>
      <c r="GX95" s="39"/>
      <c r="GY95" s="40"/>
      <c r="GZ95" s="39"/>
      <c r="HA95" s="40"/>
      <c r="HB95" s="39"/>
      <c r="HC95" s="40"/>
      <c r="HD95" s="39"/>
      <c r="HE95" s="40"/>
      <c r="HF95" s="39"/>
      <c r="HG95" s="40"/>
      <c r="HH95" s="39"/>
      <c r="HI95" s="40"/>
      <c r="HJ95" s="39"/>
      <c r="HK95" s="40"/>
      <c r="HL95" s="39"/>
      <c r="HM95" s="40"/>
      <c r="HN95" s="39"/>
      <c r="HO95" s="40"/>
      <c r="HP95" s="39"/>
      <c r="HQ95" s="40"/>
      <c r="HR95" s="39"/>
      <c r="HS95" s="40"/>
      <c r="HT95" s="39"/>
      <c r="HU95" s="40"/>
      <c r="HV95" s="39"/>
      <c r="HW95" s="40"/>
      <c r="HX95" s="39"/>
      <c r="HY95" s="40"/>
      <c r="HZ95" s="39"/>
      <c r="IA95" s="40"/>
      <c r="IB95" s="39"/>
      <c r="IC95" s="1068"/>
      <c r="ID95" s="645"/>
      <c r="IE95" s="646"/>
      <c r="IF95" s="645"/>
      <c r="IG95" s="646"/>
      <c r="IH95" s="645"/>
      <c r="II95" s="646"/>
      <c r="IJ95" s="645"/>
      <c r="IK95" s="646"/>
      <c r="IL95" s="645"/>
      <c r="IM95" s="646"/>
      <c r="IN95" s="645"/>
      <c r="IO95" s="646"/>
      <c r="IP95" s="645"/>
      <c r="IQ95" s="646"/>
      <c r="IR95" s="645"/>
      <c r="IS95" s="646"/>
      <c r="IT95" s="645"/>
      <c r="IU95" s="646"/>
      <c r="IV95" s="645"/>
      <c r="IW95" s="646"/>
      <c r="IX95" s="645"/>
      <c r="IY95" s="646"/>
      <c r="IZ95" s="645"/>
      <c r="JA95" s="646"/>
      <c r="JB95" s="645"/>
      <c r="JC95" s="646"/>
      <c r="JD95" s="645"/>
      <c r="JE95" s="646"/>
      <c r="JF95" s="645"/>
      <c r="JG95" s="646"/>
      <c r="JH95" s="645"/>
      <c r="JI95" s="646"/>
      <c r="JJ95" s="645"/>
      <c r="JK95" s="646"/>
      <c r="JL95" s="645"/>
      <c r="JM95" s="646"/>
      <c r="JN95" s="645"/>
      <c r="JO95" s="646"/>
      <c r="JP95" s="645"/>
      <c r="JQ95" s="646"/>
      <c r="JR95" s="645"/>
      <c r="JS95" s="646"/>
      <c r="JT95" s="645"/>
      <c r="JU95" s="646"/>
      <c r="JV95" s="645"/>
      <c r="JW95" s="646"/>
      <c r="JX95" s="645"/>
      <c r="JY95" s="646"/>
      <c r="JZ95" s="645"/>
      <c r="KA95" s="646"/>
      <c r="KB95" s="645"/>
      <c r="KC95" s="646"/>
      <c r="KD95" s="645"/>
      <c r="KE95" s="646"/>
      <c r="KF95" s="645"/>
      <c r="KG95" s="646"/>
      <c r="KH95" s="645"/>
      <c r="KI95" s="646"/>
      <c r="KJ95" s="645"/>
      <c r="KK95" s="646"/>
      <c r="KL95" s="645"/>
      <c r="KM95" s="646"/>
      <c r="KN95" s="645"/>
      <c r="KO95" s="646"/>
      <c r="KP95" s="645"/>
      <c r="KQ95" s="646"/>
      <c r="KR95" s="645"/>
      <c r="KS95" s="646"/>
      <c r="KT95" s="645"/>
      <c r="KU95" s="646"/>
      <c r="KV95" s="645"/>
      <c r="KW95" s="646"/>
      <c r="KX95" s="645"/>
      <c r="KY95" s="646"/>
      <c r="KZ95" s="645"/>
      <c r="LA95" s="646"/>
      <c r="LB95" s="645"/>
      <c r="LC95" s="646"/>
      <c r="LD95" s="645"/>
      <c r="LE95" s="646"/>
      <c r="LF95" s="645"/>
      <c r="LG95" s="646"/>
      <c r="LH95" s="645"/>
      <c r="LI95" s="646"/>
      <c r="LJ95" s="645"/>
      <c r="LK95" s="646"/>
      <c r="LL95" s="645"/>
      <c r="LM95" s="646"/>
      <c r="LN95" s="645"/>
      <c r="LO95" s="646"/>
      <c r="LP95" s="645"/>
      <c r="LQ95" s="646"/>
      <c r="LR95" s="645"/>
      <c r="LS95" s="646"/>
      <c r="LT95" s="645"/>
      <c r="LU95" s="646"/>
      <c r="LV95" s="645"/>
      <c r="LW95" s="646"/>
      <c r="LX95" s="645"/>
      <c r="LY95" s="646"/>
      <c r="LZ95" s="645"/>
      <c r="MA95" s="646"/>
      <c r="MB95" s="645"/>
      <c r="MC95" s="646"/>
      <c r="MD95" s="645"/>
      <c r="ME95" s="646"/>
      <c r="MF95" s="645"/>
      <c r="MG95" s="646"/>
      <c r="MH95" s="645"/>
      <c r="MI95" s="646"/>
      <c r="MJ95" s="645"/>
      <c r="MK95" s="646"/>
      <c r="ML95" s="645"/>
      <c r="MM95" s="646"/>
      <c r="MN95" s="645"/>
      <c r="MO95" s="646"/>
      <c r="MP95" s="645"/>
      <c r="MQ95" s="646"/>
      <c r="MR95" s="645"/>
      <c r="MS95" s="646"/>
      <c r="MT95" s="645"/>
      <c r="MU95" s="646"/>
      <c r="MV95" s="645"/>
      <c r="MW95" s="646"/>
      <c r="MX95" s="645"/>
      <c r="MY95" s="646"/>
      <c r="MZ95" s="645"/>
      <c r="NA95" s="646"/>
      <c r="NB95" s="645"/>
      <c r="NC95" s="646"/>
      <c r="ND95" s="645"/>
      <c r="NE95" s="646"/>
      <c r="NF95" s="645"/>
      <c r="NG95" s="646"/>
      <c r="NH95" s="645"/>
      <c r="NI95" s="646"/>
      <c r="NJ95" s="645"/>
      <c r="NK95" s="646"/>
      <c r="NL95" s="645"/>
      <c r="NM95" s="646"/>
      <c r="NN95" s="645"/>
      <c r="NO95" s="646"/>
      <c r="NP95" s="645"/>
      <c r="NQ95" s="646"/>
      <c r="NR95" s="645"/>
      <c r="NS95" s="646"/>
      <c r="NT95" s="645"/>
      <c r="NU95" s="646"/>
      <c r="NV95" s="645"/>
      <c r="NW95" s="646"/>
      <c r="NX95" s="645"/>
      <c r="NY95" s="646"/>
      <c r="NZ95" s="645"/>
      <c r="OA95" s="646"/>
      <c r="OB95" s="645"/>
      <c r="OC95" s="646"/>
      <c r="OD95" s="645"/>
      <c r="OE95" s="646"/>
      <c r="OF95" s="645"/>
      <c r="OG95" s="646"/>
      <c r="OH95" s="645"/>
      <c r="OI95" s="646"/>
      <c r="OJ95" s="645"/>
      <c r="OK95" s="646"/>
      <c r="OL95" s="645"/>
      <c r="OM95" s="646"/>
      <c r="ON95" s="645"/>
      <c r="OO95" s="646"/>
      <c r="OP95" s="645"/>
      <c r="OQ95" s="646"/>
      <c r="OR95" s="645"/>
      <c r="OS95" s="646"/>
      <c r="OT95" s="645"/>
      <c r="OU95" s="646"/>
      <c r="OV95" s="645"/>
      <c r="OW95" s="646"/>
      <c r="OX95" s="645"/>
      <c r="OY95" s="646"/>
      <c r="OZ95" s="645"/>
      <c r="PA95" s="646"/>
      <c r="PB95" s="645"/>
      <c r="PC95" s="646"/>
      <c r="PD95" s="645"/>
      <c r="PE95" s="646"/>
      <c r="PF95" s="645"/>
      <c r="PG95" s="646"/>
      <c r="PH95" s="645"/>
      <c r="PI95" s="646"/>
      <c r="PJ95" s="645"/>
      <c r="PK95" s="646"/>
      <c r="PL95" s="645"/>
      <c r="PM95" s="646"/>
      <c r="PN95" s="645"/>
      <c r="PO95" s="646"/>
      <c r="PP95" s="645"/>
      <c r="PQ95" s="646"/>
      <c r="PR95" s="645"/>
      <c r="PS95" s="646"/>
      <c r="PT95" s="645"/>
      <c r="PU95" s="646"/>
      <c r="PV95" s="645"/>
      <c r="PW95" s="646"/>
      <c r="PX95" s="645"/>
      <c r="PY95" s="646"/>
      <c r="PZ95" s="645"/>
      <c r="QA95" s="646"/>
      <c r="QB95" s="645"/>
      <c r="QC95" s="646"/>
      <c r="QD95" s="645"/>
      <c r="QE95" s="646"/>
      <c r="QF95" s="645"/>
      <c r="QG95" s="646"/>
      <c r="QH95" s="645"/>
      <c r="QI95" s="646"/>
      <c r="QJ95" s="645"/>
      <c r="QK95" s="646"/>
      <c r="QL95" s="645"/>
      <c r="QM95" s="646"/>
      <c r="QN95" s="645"/>
      <c r="QO95" s="646"/>
      <c r="QP95" s="645"/>
      <c r="QQ95" s="646"/>
      <c r="QR95" s="645"/>
      <c r="QS95" s="646"/>
      <c r="QT95" s="645"/>
      <c r="QU95" s="646"/>
      <c r="QV95" s="645"/>
      <c r="QW95" s="646"/>
      <c r="QX95" s="645"/>
      <c r="QY95" s="646"/>
      <c r="QZ95" s="645"/>
      <c r="RA95" s="646"/>
      <c r="RB95" s="645"/>
      <c r="RC95" s="646"/>
      <c r="RD95" s="645"/>
      <c r="RE95" s="646"/>
      <c r="RF95" s="645"/>
      <c r="RG95" s="646"/>
      <c r="RH95" s="645"/>
      <c r="RI95" s="646"/>
      <c r="RJ95" s="645"/>
      <c r="RK95" s="646"/>
      <c r="RL95" s="645"/>
      <c r="RM95" s="646"/>
      <c r="RN95" s="645"/>
      <c r="RO95" s="646"/>
      <c r="RP95" s="645"/>
      <c r="RQ95" s="646"/>
      <c r="RR95" s="645"/>
      <c r="RS95" s="646"/>
      <c r="RT95" s="645"/>
      <c r="RU95" s="646"/>
      <c r="RV95" s="645"/>
      <c r="RW95" s="646"/>
      <c r="RX95" s="645"/>
      <c r="RY95" s="646"/>
      <c r="RZ95" s="645"/>
      <c r="SA95" s="646"/>
      <c r="SB95" s="645"/>
      <c r="SC95" s="646"/>
      <c r="SD95" s="645"/>
      <c r="SE95" s="646"/>
      <c r="SF95" s="645"/>
      <c r="SG95" s="646"/>
      <c r="SH95" s="645"/>
      <c r="SI95" s="646"/>
      <c r="SJ95" s="645"/>
      <c r="SK95" s="646"/>
      <c r="SL95" s="645"/>
      <c r="SM95" s="646"/>
      <c r="SN95" s="645"/>
      <c r="SO95" s="646"/>
      <c r="SP95" s="645"/>
      <c r="SQ95" s="646"/>
      <c r="SR95" s="645"/>
      <c r="SS95" s="646"/>
      <c r="ST95" s="645"/>
      <c r="SU95" s="646"/>
      <c r="SV95" s="645"/>
      <c r="SW95" s="646"/>
      <c r="SX95" s="645"/>
      <c r="SY95" s="646"/>
      <c r="SZ95" s="645"/>
      <c r="TA95" s="646"/>
      <c r="TB95" s="645"/>
      <c r="TC95" s="646"/>
      <c r="TD95" s="645"/>
      <c r="TE95" s="646"/>
      <c r="TF95" s="645"/>
      <c r="TG95" s="646"/>
      <c r="TH95" s="645"/>
      <c r="TI95" s="646"/>
      <c r="TJ95" s="645"/>
      <c r="TK95" s="646"/>
      <c r="TL95" s="645"/>
      <c r="TM95" s="646"/>
      <c r="TN95" s="645"/>
      <c r="TO95" s="646"/>
      <c r="TP95" s="645"/>
      <c r="TQ95" s="646"/>
      <c r="TR95" s="645"/>
      <c r="TS95" s="646"/>
      <c r="TT95" s="645"/>
      <c r="TU95" s="646"/>
      <c r="TV95" s="645"/>
      <c r="TW95" s="646"/>
      <c r="TX95" s="645"/>
      <c r="TY95" s="646"/>
      <c r="TZ95" s="645"/>
      <c r="UA95" s="646"/>
      <c r="UB95" s="645"/>
      <c r="UC95" s="646"/>
      <c r="UD95" s="645"/>
      <c r="UE95" s="646"/>
      <c r="UF95" s="645"/>
      <c r="UG95" s="646"/>
      <c r="UH95" s="645"/>
      <c r="UI95" s="646"/>
      <c r="UJ95" s="645"/>
      <c r="UK95" s="646"/>
      <c r="UL95" s="645"/>
      <c r="UM95" s="646"/>
      <c r="UN95" s="645"/>
      <c r="UO95" s="646"/>
      <c r="UP95" s="645"/>
      <c r="UQ95" s="646"/>
      <c r="UR95" s="645"/>
      <c r="US95" s="646"/>
      <c r="UT95" s="645"/>
      <c r="UU95" s="646"/>
      <c r="UV95" s="645"/>
      <c r="UW95" s="646"/>
      <c r="UX95" s="645"/>
      <c r="UY95" s="646"/>
      <c r="UZ95" s="645"/>
      <c r="VA95" s="646"/>
      <c r="VB95" s="645"/>
      <c r="VC95" s="646"/>
      <c r="VD95" s="645"/>
      <c r="VE95" s="646"/>
      <c r="VF95" s="645"/>
      <c r="VG95" s="646"/>
      <c r="VH95" s="645"/>
      <c r="VI95" s="646"/>
      <c r="VJ95" s="645"/>
      <c r="VK95" s="646"/>
      <c r="VL95" s="645"/>
      <c r="VM95" s="646"/>
      <c r="VN95" s="645"/>
      <c r="VO95" s="646"/>
      <c r="VP95" s="645"/>
      <c r="VQ95" s="646"/>
      <c r="VR95" s="645"/>
      <c r="VS95" s="646"/>
      <c r="VT95" s="645"/>
      <c r="VU95" s="646"/>
      <c r="VV95" s="645"/>
      <c r="VW95" s="646"/>
      <c r="VX95" s="645"/>
      <c r="VY95" s="646"/>
      <c r="VZ95" s="645"/>
      <c r="WA95" s="646"/>
      <c r="WB95" s="645"/>
      <c r="WC95" s="646"/>
      <c r="WD95" s="645"/>
      <c r="WE95" s="646"/>
      <c r="WF95" s="645"/>
      <c r="WG95" s="646"/>
      <c r="WH95" s="645"/>
      <c r="WI95" s="646"/>
      <c r="WJ95" s="645"/>
      <c r="WK95" s="646"/>
      <c r="WL95" s="645"/>
      <c r="WM95" s="646"/>
      <c r="WN95" s="645"/>
      <c r="WO95" s="646"/>
      <c r="WP95" s="645"/>
      <c r="WQ95" s="646"/>
      <c r="WR95" s="645"/>
      <c r="WS95" s="646"/>
      <c r="WT95" s="645"/>
      <c r="WU95" s="646"/>
      <c r="WV95" s="645"/>
      <c r="WW95" s="646"/>
      <c r="WX95" s="645"/>
      <c r="WY95" s="646"/>
      <c r="WZ95" s="645"/>
      <c r="XA95" s="646"/>
      <c r="XB95" s="645"/>
      <c r="XC95" s="646"/>
      <c r="XD95" s="645"/>
      <c r="XE95" s="646"/>
      <c r="XF95" s="645"/>
      <c r="XG95" s="646"/>
      <c r="XH95" s="645"/>
      <c r="XI95" s="646"/>
      <c r="XJ95" s="645"/>
      <c r="XK95" s="646"/>
      <c r="XL95" s="645"/>
      <c r="XM95" s="646"/>
      <c r="XN95" s="645"/>
      <c r="XO95" s="646"/>
      <c r="XP95" s="645"/>
      <c r="XQ95" s="646"/>
      <c r="XR95" s="645"/>
      <c r="XS95" s="646"/>
      <c r="XT95" s="645"/>
      <c r="XU95" s="646"/>
      <c r="XV95" s="645"/>
      <c r="XW95" s="646"/>
      <c r="XX95" s="645"/>
      <c r="XY95" s="646"/>
      <c r="XZ95" s="645"/>
      <c r="YA95" s="646"/>
      <c r="YB95" s="645"/>
      <c r="YC95" s="646"/>
      <c r="YD95" s="645"/>
      <c r="YE95" s="646"/>
      <c r="YF95" s="645"/>
      <c r="YG95" s="646"/>
      <c r="YH95" s="645"/>
      <c r="YI95" s="646"/>
      <c r="YJ95" s="645"/>
      <c r="YK95" s="646"/>
      <c r="YL95" s="645"/>
      <c r="YM95" s="646"/>
      <c r="YN95" s="645"/>
      <c r="YO95" s="646"/>
      <c r="YP95" s="645"/>
      <c r="YQ95" s="646"/>
      <c r="YR95" s="645"/>
      <c r="YS95" s="646"/>
      <c r="YT95" s="645"/>
      <c r="YU95" s="646"/>
      <c r="YV95" s="645"/>
      <c r="YW95" s="646"/>
      <c r="YX95" s="645"/>
      <c r="YY95" s="646"/>
      <c r="YZ95" s="645"/>
      <c r="ZA95" s="646"/>
      <c r="ZB95" s="645"/>
      <c r="ZC95" s="646"/>
      <c r="ZD95" s="645"/>
      <c r="ZE95" s="646"/>
      <c r="ZF95" s="645"/>
      <c r="ZG95" s="646"/>
      <c r="ZH95" s="645"/>
      <c r="ZI95" s="646"/>
      <c r="ZJ95" s="645"/>
      <c r="ZK95" s="646"/>
      <c r="ZL95" s="645"/>
      <c r="ZM95" s="646"/>
      <c r="ZN95" s="645"/>
      <c r="ZO95" s="646"/>
      <c r="ZP95" s="645"/>
      <c r="ZQ95" s="646"/>
      <c r="ZR95" s="645"/>
      <c r="ZS95" s="646"/>
      <c r="ZT95" s="645"/>
      <c r="ZU95" s="646"/>
      <c r="ZV95" s="645"/>
      <c r="ZW95" s="646"/>
      <c r="ZX95" s="645"/>
      <c r="ZY95" s="646"/>
      <c r="ZZ95" s="645"/>
      <c r="AAA95" s="646"/>
      <c r="AAB95" s="645"/>
      <c r="AAC95" s="646"/>
      <c r="AAD95" s="645"/>
      <c r="AAE95" s="646"/>
      <c r="AAF95" s="645"/>
      <c r="AAG95" s="646"/>
      <c r="AAH95" s="645"/>
      <c r="AAI95" s="646"/>
      <c r="AAJ95" s="645"/>
      <c r="AAK95" s="646"/>
      <c r="AAL95" s="645"/>
      <c r="AAM95" s="646"/>
      <c r="AAN95" s="645"/>
      <c r="AAO95" s="646"/>
      <c r="AAP95" s="645"/>
      <c r="AAQ95" s="646"/>
      <c r="AAR95" s="645"/>
      <c r="AAS95" s="646"/>
      <c r="AAT95" s="645"/>
      <c r="AAU95" s="646"/>
      <c r="AAV95" s="645"/>
      <c r="AAW95" s="646"/>
      <c r="AAX95" s="645"/>
      <c r="AAY95" s="646"/>
      <c r="AAZ95" s="645"/>
      <c r="ABA95" s="646"/>
      <c r="ABB95" s="645"/>
      <c r="ABC95" s="646"/>
      <c r="ABD95" s="645"/>
      <c r="ABE95" s="646"/>
      <c r="ABF95" s="645"/>
      <c r="ABG95" s="646"/>
      <c r="ABH95" s="645"/>
      <c r="ABI95" s="646"/>
      <c r="ABJ95" s="645"/>
      <c r="ABK95" s="646"/>
      <c r="ABL95" s="645"/>
      <c r="ABM95" s="646"/>
      <c r="ABN95" s="645"/>
      <c r="ABO95" s="646"/>
      <c r="ABP95" s="645"/>
      <c r="ABQ95" s="646"/>
      <c r="ABR95" s="645"/>
      <c r="ABS95" s="646"/>
      <c r="ABT95" s="645"/>
      <c r="ABU95" s="646"/>
      <c r="ABV95" s="645"/>
      <c r="ABW95" s="646"/>
      <c r="ABX95" s="645"/>
      <c r="ABY95" s="646"/>
      <c r="ABZ95" s="645"/>
      <c r="ACA95" s="646"/>
      <c r="ACB95" s="645"/>
      <c r="ACC95" s="646"/>
      <c r="ACD95" s="645"/>
      <c r="ACE95" s="646"/>
      <c r="ACF95" s="645"/>
      <c r="ACG95" s="646"/>
      <c r="ACH95" s="645"/>
      <c r="ACI95" s="646"/>
      <c r="ACJ95" s="645"/>
      <c r="ACK95" s="646"/>
      <c r="ACL95" s="645"/>
      <c r="ACM95" s="646"/>
      <c r="ACN95" s="645"/>
      <c r="ACO95" s="646"/>
      <c r="ACP95" s="645"/>
      <c r="ACQ95" s="646"/>
      <c r="ACR95" s="645"/>
      <c r="ACS95" s="646"/>
      <c r="ACT95" s="645"/>
      <c r="ACU95" s="646"/>
      <c r="ACV95" s="645"/>
      <c r="ACW95" s="646"/>
      <c r="ACX95" s="645"/>
      <c r="ACY95" s="646"/>
      <c r="ACZ95" s="645"/>
      <c r="ADA95" s="646"/>
      <c r="ADB95" s="645"/>
      <c r="ADC95" s="646"/>
      <c r="ADD95" s="645"/>
      <c r="ADE95" s="646"/>
      <c r="ADF95" s="645"/>
      <c r="ADG95" s="646"/>
      <c r="ADH95" s="645"/>
      <c r="ADI95" s="646"/>
      <c r="ADJ95" s="645"/>
      <c r="ADK95" s="646"/>
      <c r="ADL95" s="645"/>
      <c r="ADM95" s="646"/>
      <c r="ADN95" s="645"/>
      <c r="ADO95" s="646"/>
      <c r="ADP95" s="645"/>
      <c r="ADQ95" s="646"/>
      <c r="ADR95" s="645"/>
      <c r="ADS95" s="646"/>
      <c r="ADT95" s="645"/>
      <c r="ADU95" s="646"/>
      <c r="ADV95" s="645"/>
      <c r="ADW95" s="646"/>
      <c r="ADX95" s="645"/>
      <c r="ADY95" s="646"/>
      <c r="ADZ95" s="645"/>
      <c r="AEA95" s="646"/>
      <c r="AEB95" s="645"/>
      <c r="AEC95" s="646"/>
      <c r="AED95" s="645"/>
      <c r="AEE95" s="646"/>
      <c r="AEF95" s="645"/>
      <c r="AEG95" s="646"/>
      <c r="AEH95" s="645"/>
      <c r="AEI95" s="646"/>
      <c r="AEJ95" s="645"/>
      <c r="AEK95" s="646"/>
      <c r="AEL95" s="645"/>
      <c r="AEM95" s="646"/>
      <c r="AEN95" s="645"/>
      <c r="AEO95" s="646"/>
      <c r="AEP95" s="645"/>
      <c r="AEQ95" s="646"/>
      <c r="AER95" s="645"/>
      <c r="AES95" s="646"/>
      <c r="AET95" s="645"/>
      <c r="AEU95" s="646"/>
      <c r="AEV95" s="645"/>
      <c r="AEW95" s="646"/>
      <c r="AEX95" s="645"/>
      <c r="AEY95" s="646"/>
      <c r="AEZ95" s="645"/>
      <c r="AFA95" s="646"/>
      <c r="AFB95" s="645"/>
      <c r="AFC95" s="646"/>
      <c r="AFD95" s="645"/>
      <c r="AFE95" s="646"/>
      <c r="AFF95" s="645"/>
      <c r="AFG95" s="646"/>
      <c r="AFH95" s="645"/>
      <c r="AFI95" s="646"/>
      <c r="AFJ95" s="645"/>
      <c r="AFK95" s="646"/>
      <c r="AFL95" s="645"/>
      <c r="AFM95" s="646"/>
      <c r="AFN95" s="645"/>
      <c r="AFO95" s="646"/>
      <c r="AFP95" s="645"/>
      <c r="AFQ95" s="646"/>
      <c r="AFR95" s="645"/>
      <c r="AFS95" s="646"/>
      <c r="AFT95" s="645"/>
      <c r="AFU95" s="646"/>
      <c r="AFV95" s="645"/>
      <c r="AFW95" s="646"/>
      <c r="AFX95" s="645"/>
      <c r="AFY95" s="646"/>
      <c r="AFZ95" s="645"/>
      <c r="AGA95" s="646"/>
      <c r="AGB95" s="645"/>
      <c r="AGC95" s="646"/>
      <c r="AGD95" s="645"/>
      <c r="AGE95" s="646"/>
      <c r="AGF95" s="645"/>
      <c r="AGG95" s="646"/>
      <c r="AGH95" s="645"/>
      <c r="AGI95" s="646"/>
      <c r="AGJ95" s="645"/>
      <c r="AGK95" s="646"/>
      <c r="AGL95" s="645"/>
      <c r="AGM95" s="646"/>
      <c r="AGN95" s="645"/>
      <c r="AGO95" s="646"/>
      <c r="AGP95" s="645"/>
      <c r="AGQ95" s="646"/>
      <c r="AGR95" s="645"/>
      <c r="AGS95" s="646"/>
      <c r="AGT95" s="645"/>
      <c r="AGU95" s="646"/>
      <c r="AGV95" s="645"/>
      <c r="AGW95" s="646"/>
      <c r="AGX95" s="645"/>
      <c r="AGY95" s="646"/>
      <c r="AGZ95" s="645"/>
      <c r="AHA95" s="646"/>
      <c r="AHB95" s="645"/>
      <c r="AHC95" s="646"/>
      <c r="AHD95" s="645"/>
      <c r="AHE95" s="646"/>
      <c r="AHF95" s="645"/>
      <c r="AHG95" s="646"/>
      <c r="AHH95" s="645"/>
      <c r="AHI95" s="646"/>
      <c r="AHJ95" s="645"/>
      <c r="AHK95" s="646"/>
      <c r="AHL95" s="645"/>
      <c r="AHM95" s="646"/>
      <c r="AHN95" s="645"/>
      <c r="AHO95" s="646"/>
      <c r="AHP95" s="645"/>
      <c r="AHQ95" s="646"/>
      <c r="AHR95" s="645"/>
      <c r="AHS95" s="646"/>
      <c r="AHT95" s="645"/>
      <c r="AHU95" s="646"/>
      <c r="AHV95" s="645"/>
      <c r="AHW95" s="646"/>
      <c r="AHX95" s="645"/>
      <c r="AHY95" s="646"/>
      <c r="AHZ95" s="645"/>
      <c r="AIA95" s="646"/>
      <c r="AIB95" s="645"/>
      <c r="AIC95" s="646"/>
      <c r="AID95" s="645"/>
      <c r="AIE95" s="646"/>
      <c r="AIF95" s="645"/>
      <c r="AIG95" s="646"/>
      <c r="AIH95" s="645"/>
      <c r="AII95" s="646"/>
      <c r="AIJ95" s="645"/>
      <c r="AIK95" s="646"/>
      <c r="AIL95" s="645"/>
      <c r="AIM95" s="646"/>
      <c r="AIN95" s="645"/>
      <c r="AIO95" s="646"/>
      <c r="AIP95" s="645"/>
      <c r="AIQ95" s="645"/>
      <c r="AIR95" s="645"/>
      <c r="AIS95" s="645"/>
      <c r="AIT95" s="645"/>
      <c r="AIU95" s="645"/>
      <c r="AIV95" s="645"/>
      <c r="AIW95" s="645"/>
      <c r="AIX95" s="645"/>
      <c r="AIY95" s="645"/>
      <c r="AIZ95" s="645"/>
      <c r="AJA95" s="645"/>
      <c r="AJB95" s="645"/>
      <c r="AJC95" s="645"/>
      <c r="AJD95" s="645"/>
      <c r="AJE95" s="645"/>
      <c r="AJF95" s="645"/>
      <c r="AJG95" s="645"/>
      <c r="AJH95" s="645"/>
      <c r="AJI95" s="645"/>
      <c r="AJJ95" s="645"/>
      <c r="AJK95" s="645"/>
      <c r="AJL95" s="645"/>
      <c r="AJM95" s="645"/>
      <c r="AJN95" s="645"/>
      <c r="AJO95" s="645"/>
      <c r="AJP95" s="645"/>
      <c r="AJQ95" s="645"/>
      <c r="AJR95" s="645"/>
      <c r="AJS95" s="645"/>
      <c r="AJT95" s="645"/>
      <c r="AJU95" s="645"/>
      <c r="AJV95" s="645"/>
      <c r="AJW95" s="645"/>
      <c r="AJX95" s="645"/>
      <c r="AJY95" s="645"/>
      <c r="AJZ95" s="645"/>
      <c r="AKA95" s="645"/>
      <c r="AKB95" s="645"/>
      <c r="AKC95" s="645"/>
      <c r="AKD95" s="645"/>
      <c r="AKE95" s="645"/>
      <c r="AKF95" s="645"/>
      <c r="AKG95" s="645"/>
      <c r="AKH95" s="645"/>
      <c r="AKI95" s="645"/>
      <c r="AKJ95" s="645"/>
      <c r="AKK95" s="645"/>
      <c r="AKL95" s="645"/>
      <c r="AKM95" s="645"/>
      <c r="AKN95" s="645"/>
      <c r="AKO95" s="645"/>
      <c r="AKP95" s="645"/>
      <c r="AKQ95" s="645"/>
      <c r="AKR95" s="645"/>
      <c r="AKS95" s="645"/>
      <c r="AKT95" s="645"/>
      <c r="AKU95" s="645"/>
      <c r="AKV95" s="645"/>
      <c r="AKW95" s="645"/>
      <c r="AKX95" s="645"/>
      <c r="AKY95" s="645"/>
      <c r="AKZ95" s="645"/>
      <c r="ALA95" s="645"/>
      <c r="ALB95" s="645"/>
      <c r="ALC95" s="645"/>
      <c r="ALD95" s="645"/>
      <c r="ALE95" s="645"/>
      <c r="ALF95" s="645"/>
      <c r="ALG95" s="645"/>
      <c r="ALH95" s="645"/>
      <c r="ALI95" s="645"/>
      <c r="ALJ95" s="645"/>
      <c r="ALK95" s="645"/>
      <c r="ALL95" s="645"/>
      <c r="ALM95" s="645"/>
      <c r="ALN95" s="645"/>
      <c r="ALO95" s="645"/>
      <c r="ALP95" s="645"/>
      <c r="ALQ95" s="645"/>
      <c r="ALR95" s="645"/>
      <c r="ALS95" s="645"/>
      <c r="ALT95" s="645"/>
      <c r="ALU95" s="645"/>
      <c r="ALV95" s="645"/>
      <c r="ALW95" s="645"/>
      <c r="ALX95" s="645"/>
      <c r="ALY95" s="645"/>
      <c r="ALZ95" s="645"/>
      <c r="AMA95" s="645"/>
      <c r="AMB95" s="645"/>
      <c r="AMC95" s="645"/>
      <c r="AMD95" s="645"/>
      <c r="AME95" s="645"/>
      <c r="AMF95" s="645"/>
      <c r="AMG95" s="645"/>
      <c r="AMH95" s="645"/>
      <c r="AMI95" s="645"/>
      <c r="AMJ95" s="645"/>
    </row>
    <row r="96" spans="1:1024" s="37" customFormat="1" ht="15.75" customHeight="1" x14ac:dyDescent="0.35">
      <c r="A96" s="600"/>
      <c r="B96" s="644" t="s">
        <v>350</v>
      </c>
      <c r="C96" s="645"/>
      <c r="D96" s="646"/>
      <c r="E96" s="645"/>
      <c r="F96" s="646"/>
      <c r="G96" s="647" t="s">
        <v>243</v>
      </c>
      <c r="H96" s="643"/>
      <c r="I96" s="645"/>
      <c r="J96" s="38"/>
      <c r="K96" s="38"/>
      <c r="L96" s="39"/>
      <c r="M96" s="38"/>
      <c r="N96" s="39"/>
      <c r="O96" s="38"/>
      <c r="P96" s="39"/>
      <c r="Q96" s="38"/>
      <c r="R96" s="39"/>
      <c r="S96" s="38"/>
      <c r="T96" s="39"/>
      <c r="U96" s="38"/>
      <c r="V96" s="39"/>
      <c r="W96" s="38"/>
      <c r="X96" s="39"/>
      <c r="Y96" s="38"/>
      <c r="Z96" s="39"/>
      <c r="AA96" s="38"/>
      <c r="AB96" s="39"/>
      <c r="AC96" s="38"/>
      <c r="AD96" s="39"/>
      <c r="AE96" s="38"/>
      <c r="AF96" s="39"/>
      <c r="AG96" s="38"/>
      <c r="AH96" s="39"/>
      <c r="AI96" s="38"/>
      <c r="AJ96" s="39"/>
      <c r="AK96" s="40"/>
      <c r="AL96" s="39"/>
      <c r="AM96" s="40"/>
      <c r="AN96" s="39"/>
      <c r="AO96" s="40"/>
      <c r="AP96" s="39"/>
      <c r="AQ96" s="40"/>
      <c r="AR96" s="39"/>
      <c r="AS96" s="40"/>
      <c r="AT96" s="39"/>
      <c r="AU96" s="40"/>
      <c r="AV96" s="39"/>
      <c r="AW96" s="40"/>
      <c r="AX96" s="39"/>
      <c r="AY96" s="40"/>
      <c r="AZ96" s="39"/>
      <c r="BA96" s="40"/>
      <c r="BB96" s="39"/>
      <c r="BC96" s="40"/>
      <c r="BD96" s="39"/>
      <c r="BE96" s="40"/>
      <c r="BF96" s="39"/>
      <c r="BG96" s="40"/>
      <c r="BH96" s="39"/>
      <c r="BI96" s="40"/>
      <c r="BJ96" s="39"/>
      <c r="BK96" s="40"/>
      <c r="BL96" s="39"/>
      <c r="BM96" s="40"/>
      <c r="BN96" s="39"/>
      <c r="BO96" s="40"/>
      <c r="BP96" s="39"/>
      <c r="BQ96" s="40"/>
      <c r="BR96" s="39"/>
      <c r="BS96" s="40"/>
      <c r="BT96" s="39"/>
      <c r="BU96" s="40"/>
      <c r="BV96" s="39"/>
      <c r="BW96" s="40"/>
      <c r="BX96" s="39"/>
      <c r="BY96" s="40"/>
      <c r="BZ96" s="39"/>
      <c r="CA96" s="40"/>
      <c r="CB96" s="39"/>
      <c r="CC96" s="40"/>
      <c r="CD96" s="39"/>
      <c r="CE96" s="40"/>
      <c r="CF96" s="39"/>
      <c r="CG96" s="40"/>
      <c r="CH96" s="39"/>
      <c r="CI96" s="40"/>
      <c r="CJ96" s="39"/>
      <c r="CK96" s="40"/>
      <c r="CL96" s="39"/>
      <c r="CM96" s="40"/>
      <c r="CN96" s="39"/>
      <c r="CO96" s="40"/>
      <c r="CP96" s="39"/>
      <c r="CQ96" s="40"/>
      <c r="CR96" s="39"/>
      <c r="CS96" s="40"/>
      <c r="CT96" s="39"/>
      <c r="CU96" s="40"/>
      <c r="CV96" s="39"/>
      <c r="CW96" s="40"/>
      <c r="CX96" s="39"/>
      <c r="CY96" s="40"/>
      <c r="CZ96" s="39"/>
      <c r="DA96" s="40"/>
      <c r="DB96" s="39"/>
      <c r="DC96" s="40"/>
      <c r="DD96" s="39"/>
      <c r="DE96" s="40"/>
      <c r="DF96" s="39"/>
      <c r="DG96" s="40"/>
      <c r="DH96" s="39"/>
      <c r="DI96" s="40"/>
      <c r="DJ96" s="39"/>
      <c r="DK96" s="40"/>
      <c r="DL96" s="39"/>
      <c r="DM96" s="40"/>
      <c r="DN96" s="39"/>
      <c r="DO96" s="40"/>
      <c r="DP96" s="39"/>
      <c r="DQ96" s="40"/>
      <c r="DR96" s="39"/>
      <c r="DS96" s="40"/>
      <c r="DT96" s="39"/>
      <c r="DU96" s="40"/>
      <c r="DV96" s="39"/>
      <c r="DW96" s="40"/>
      <c r="DX96" s="39"/>
      <c r="DY96" s="40"/>
      <c r="DZ96" s="39"/>
      <c r="EA96" s="40"/>
      <c r="EB96" s="39"/>
      <c r="EC96" s="40"/>
      <c r="ED96" s="39"/>
      <c r="EE96" s="40"/>
      <c r="EF96" s="39"/>
      <c r="EG96" s="40"/>
      <c r="EH96" s="39"/>
      <c r="EI96" s="40"/>
      <c r="EJ96" s="39"/>
      <c r="EK96" s="40"/>
      <c r="EL96" s="39"/>
      <c r="EM96" s="40"/>
      <c r="EN96" s="39"/>
      <c r="EO96" s="40"/>
      <c r="EP96" s="39"/>
      <c r="EQ96" s="40"/>
      <c r="ER96" s="39"/>
      <c r="ES96" s="40"/>
      <c r="ET96" s="39"/>
      <c r="EU96" s="40"/>
      <c r="EV96" s="39"/>
      <c r="EW96" s="40"/>
      <c r="EX96" s="39"/>
      <c r="EY96" s="40"/>
      <c r="EZ96" s="39"/>
      <c r="FA96" s="40"/>
      <c r="FB96" s="39"/>
      <c r="FC96" s="40"/>
      <c r="FD96" s="39"/>
      <c r="FE96" s="40"/>
      <c r="FF96" s="39"/>
      <c r="FG96" s="40"/>
      <c r="FH96" s="39"/>
      <c r="FI96" s="40"/>
      <c r="FJ96" s="39"/>
      <c r="FK96" s="40"/>
      <c r="FL96" s="39"/>
      <c r="FM96" s="40"/>
      <c r="FN96" s="39"/>
      <c r="FO96" s="40"/>
      <c r="FP96" s="39"/>
      <c r="FQ96" s="40"/>
      <c r="FR96" s="39"/>
      <c r="FS96" s="40"/>
      <c r="FT96" s="39"/>
      <c r="FU96" s="40"/>
      <c r="FV96" s="39"/>
      <c r="FW96" s="40"/>
      <c r="FX96" s="39"/>
      <c r="FY96" s="40"/>
      <c r="FZ96" s="39"/>
      <c r="GA96" s="40"/>
      <c r="GB96" s="39"/>
      <c r="GC96" s="40"/>
      <c r="GD96" s="39"/>
      <c r="GE96" s="40"/>
      <c r="GF96" s="39"/>
      <c r="GG96" s="40"/>
      <c r="GH96" s="39"/>
      <c r="GI96" s="40"/>
      <c r="GJ96" s="39"/>
      <c r="GK96" s="40"/>
      <c r="GL96" s="39"/>
      <c r="GM96" s="40"/>
      <c r="GN96" s="39"/>
      <c r="GO96" s="40"/>
      <c r="GP96" s="39"/>
      <c r="GQ96" s="40"/>
      <c r="GR96" s="39"/>
      <c r="GS96" s="40"/>
      <c r="GT96" s="39"/>
      <c r="GU96" s="40"/>
      <c r="GV96" s="39"/>
      <c r="GW96" s="40"/>
      <c r="GX96" s="39"/>
      <c r="GY96" s="40"/>
      <c r="GZ96" s="39"/>
      <c r="HA96" s="40"/>
      <c r="HB96" s="39"/>
      <c r="HC96" s="40"/>
      <c r="HD96" s="39"/>
      <c r="HE96" s="40"/>
      <c r="HF96" s="39"/>
      <c r="HG96" s="40"/>
      <c r="HH96" s="39"/>
      <c r="HI96" s="40"/>
      <c r="HJ96" s="39"/>
      <c r="HK96" s="40"/>
      <c r="HL96" s="39"/>
      <c r="HM96" s="40"/>
      <c r="HN96" s="39"/>
      <c r="HO96" s="40"/>
      <c r="HP96" s="39"/>
      <c r="HQ96" s="40"/>
      <c r="HR96" s="39"/>
      <c r="HS96" s="40"/>
      <c r="HT96" s="39"/>
      <c r="HU96" s="40"/>
      <c r="HV96" s="39"/>
      <c r="HW96" s="40"/>
      <c r="HX96" s="39"/>
      <c r="HY96" s="40"/>
      <c r="HZ96" s="39"/>
      <c r="IA96" s="40"/>
      <c r="IB96" s="39"/>
      <c r="IC96" s="1068"/>
      <c r="ID96" s="645"/>
      <c r="IE96" s="646"/>
      <c r="IF96" s="645"/>
      <c r="IG96" s="646"/>
      <c r="IH96" s="645"/>
      <c r="II96" s="646"/>
      <c r="IJ96" s="645"/>
      <c r="IK96" s="646"/>
      <c r="IL96" s="645"/>
      <c r="IM96" s="646"/>
      <c r="IN96" s="645"/>
      <c r="IO96" s="646"/>
      <c r="IP96" s="645"/>
      <c r="IQ96" s="646"/>
      <c r="IR96" s="645"/>
      <c r="IS96" s="646"/>
      <c r="IT96" s="645"/>
      <c r="IU96" s="646"/>
      <c r="IV96" s="645"/>
      <c r="IW96" s="646"/>
      <c r="IX96" s="645"/>
      <c r="IY96" s="646"/>
      <c r="IZ96" s="645"/>
      <c r="JA96" s="646"/>
      <c r="JB96" s="645"/>
      <c r="JC96" s="646"/>
      <c r="JD96" s="645"/>
      <c r="JE96" s="646"/>
      <c r="JF96" s="645"/>
      <c r="JG96" s="646"/>
      <c r="JH96" s="645"/>
      <c r="JI96" s="646"/>
      <c r="JJ96" s="645"/>
      <c r="JK96" s="646"/>
      <c r="JL96" s="645"/>
      <c r="JM96" s="646"/>
      <c r="JN96" s="645"/>
      <c r="JO96" s="646"/>
      <c r="JP96" s="645"/>
      <c r="JQ96" s="646"/>
      <c r="JR96" s="645"/>
      <c r="JS96" s="646"/>
      <c r="JT96" s="645"/>
      <c r="JU96" s="646"/>
      <c r="JV96" s="645"/>
      <c r="JW96" s="646"/>
      <c r="JX96" s="645"/>
      <c r="JY96" s="646"/>
      <c r="JZ96" s="645"/>
      <c r="KA96" s="646"/>
      <c r="KB96" s="645"/>
      <c r="KC96" s="646"/>
      <c r="KD96" s="645"/>
      <c r="KE96" s="646"/>
      <c r="KF96" s="645"/>
      <c r="KG96" s="646"/>
      <c r="KH96" s="645"/>
      <c r="KI96" s="646"/>
      <c r="KJ96" s="645"/>
      <c r="KK96" s="646"/>
      <c r="KL96" s="645"/>
      <c r="KM96" s="646"/>
      <c r="KN96" s="645"/>
      <c r="KO96" s="646"/>
      <c r="KP96" s="645"/>
      <c r="KQ96" s="646"/>
      <c r="KR96" s="645"/>
      <c r="KS96" s="646"/>
      <c r="KT96" s="645"/>
      <c r="KU96" s="646"/>
      <c r="KV96" s="645"/>
      <c r="KW96" s="646"/>
      <c r="KX96" s="645"/>
      <c r="KY96" s="646"/>
      <c r="KZ96" s="645"/>
      <c r="LA96" s="646"/>
      <c r="LB96" s="645"/>
      <c r="LC96" s="646"/>
      <c r="LD96" s="645"/>
      <c r="LE96" s="646"/>
      <c r="LF96" s="645"/>
      <c r="LG96" s="646"/>
      <c r="LH96" s="645"/>
      <c r="LI96" s="646"/>
      <c r="LJ96" s="645"/>
      <c r="LK96" s="646"/>
      <c r="LL96" s="645"/>
      <c r="LM96" s="646"/>
      <c r="LN96" s="645"/>
      <c r="LO96" s="646"/>
      <c r="LP96" s="645"/>
      <c r="LQ96" s="646"/>
      <c r="LR96" s="645"/>
      <c r="LS96" s="646"/>
      <c r="LT96" s="645"/>
      <c r="LU96" s="646"/>
      <c r="LV96" s="645"/>
      <c r="LW96" s="646"/>
      <c r="LX96" s="645"/>
      <c r="LY96" s="646"/>
      <c r="LZ96" s="645"/>
      <c r="MA96" s="646"/>
      <c r="MB96" s="645"/>
      <c r="MC96" s="646"/>
      <c r="MD96" s="645"/>
      <c r="ME96" s="646"/>
      <c r="MF96" s="645"/>
      <c r="MG96" s="646"/>
      <c r="MH96" s="645"/>
      <c r="MI96" s="646"/>
      <c r="MJ96" s="645"/>
      <c r="MK96" s="646"/>
      <c r="ML96" s="645"/>
      <c r="MM96" s="646"/>
      <c r="MN96" s="645"/>
      <c r="MO96" s="646"/>
      <c r="MP96" s="645"/>
      <c r="MQ96" s="646"/>
      <c r="MR96" s="645"/>
      <c r="MS96" s="646"/>
      <c r="MT96" s="645"/>
      <c r="MU96" s="646"/>
      <c r="MV96" s="645"/>
      <c r="MW96" s="646"/>
      <c r="MX96" s="645"/>
      <c r="MY96" s="646"/>
      <c r="MZ96" s="645"/>
      <c r="NA96" s="646"/>
      <c r="NB96" s="645"/>
      <c r="NC96" s="646"/>
      <c r="ND96" s="645"/>
      <c r="NE96" s="646"/>
      <c r="NF96" s="645"/>
      <c r="NG96" s="646"/>
      <c r="NH96" s="645"/>
      <c r="NI96" s="646"/>
      <c r="NJ96" s="645"/>
      <c r="NK96" s="646"/>
      <c r="NL96" s="645"/>
      <c r="NM96" s="646"/>
      <c r="NN96" s="645"/>
      <c r="NO96" s="646"/>
      <c r="NP96" s="645"/>
      <c r="NQ96" s="646"/>
      <c r="NR96" s="645"/>
      <c r="NS96" s="646"/>
      <c r="NT96" s="645"/>
      <c r="NU96" s="646"/>
      <c r="NV96" s="645"/>
      <c r="NW96" s="646"/>
      <c r="NX96" s="645"/>
      <c r="NY96" s="646"/>
      <c r="NZ96" s="645"/>
      <c r="OA96" s="646"/>
      <c r="OB96" s="645"/>
      <c r="OC96" s="646"/>
      <c r="OD96" s="645"/>
      <c r="OE96" s="646"/>
      <c r="OF96" s="645"/>
      <c r="OG96" s="646"/>
      <c r="OH96" s="645"/>
      <c r="OI96" s="646"/>
      <c r="OJ96" s="645"/>
      <c r="OK96" s="646"/>
      <c r="OL96" s="645"/>
      <c r="OM96" s="646"/>
      <c r="ON96" s="645"/>
      <c r="OO96" s="646"/>
      <c r="OP96" s="645"/>
      <c r="OQ96" s="646"/>
      <c r="OR96" s="645"/>
      <c r="OS96" s="646"/>
      <c r="OT96" s="645"/>
      <c r="OU96" s="646"/>
      <c r="OV96" s="645"/>
      <c r="OW96" s="646"/>
      <c r="OX96" s="645"/>
      <c r="OY96" s="646"/>
      <c r="OZ96" s="645"/>
      <c r="PA96" s="646"/>
      <c r="PB96" s="645"/>
      <c r="PC96" s="646"/>
      <c r="PD96" s="645"/>
      <c r="PE96" s="646"/>
      <c r="PF96" s="645"/>
      <c r="PG96" s="646"/>
      <c r="PH96" s="645"/>
      <c r="PI96" s="646"/>
      <c r="PJ96" s="645"/>
      <c r="PK96" s="646"/>
      <c r="PL96" s="645"/>
      <c r="PM96" s="646"/>
      <c r="PN96" s="645"/>
      <c r="PO96" s="646"/>
      <c r="PP96" s="645"/>
      <c r="PQ96" s="646"/>
      <c r="PR96" s="645"/>
      <c r="PS96" s="646"/>
      <c r="PT96" s="645"/>
      <c r="PU96" s="646"/>
      <c r="PV96" s="645"/>
      <c r="PW96" s="646"/>
      <c r="PX96" s="645"/>
      <c r="PY96" s="646"/>
      <c r="PZ96" s="645"/>
      <c r="QA96" s="646"/>
      <c r="QB96" s="645"/>
      <c r="QC96" s="646"/>
      <c r="QD96" s="645"/>
      <c r="QE96" s="646"/>
      <c r="QF96" s="645"/>
      <c r="QG96" s="646"/>
      <c r="QH96" s="645"/>
      <c r="QI96" s="646"/>
      <c r="QJ96" s="645"/>
      <c r="QK96" s="646"/>
      <c r="QL96" s="645"/>
      <c r="QM96" s="646"/>
      <c r="QN96" s="645"/>
      <c r="QO96" s="646"/>
      <c r="QP96" s="645"/>
      <c r="QQ96" s="646"/>
      <c r="QR96" s="645"/>
      <c r="QS96" s="646"/>
      <c r="QT96" s="645"/>
      <c r="QU96" s="646"/>
      <c r="QV96" s="645"/>
      <c r="QW96" s="646"/>
      <c r="QX96" s="645"/>
      <c r="QY96" s="646"/>
      <c r="QZ96" s="645"/>
      <c r="RA96" s="646"/>
      <c r="RB96" s="645"/>
      <c r="RC96" s="646"/>
      <c r="RD96" s="645"/>
      <c r="RE96" s="646"/>
      <c r="RF96" s="645"/>
      <c r="RG96" s="646"/>
      <c r="RH96" s="645"/>
      <c r="RI96" s="646"/>
      <c r="RJ96" s="645"/>
      <c r="RK96" s="646"/>
      <c r="RL96" s="645"/>
      <c r="RM96" s="646"/>
      <c r="RN96" s="645"/>
      <c r="RO96" s="646"/>
      <c r="RP96" s="645"/>
      <c r="RQ96" s="646"/>
      <c r="RR96" s="645"/>
      <c r="RS96" s="646"/>
      <c r="RT96" s="645"/>
      <c r="RU96" s="646"/>
      <c r="RV96" s="645"/>
      <c r="RW96" s="646"/>
      <c r="RX96" s="645"/>
      <c r="RY96" s="646"/>
      <c r="RZ96" s="645"/>
      <c r="SA96" s="646"/>
      <c r="SB96" s="645"/>
      <c r="SC96" s="646"/>
      <c r="SD96" s="645"/>
      <c r="SE96" s="646"/>
      <c r="SF96" s="645"/>
      <c r="SG96" s="646"/>
      <c r="SH96" s="645"/>
      <c r="SI96" s="646"/>
      <c r="SJ96" s="645"/>
      <c r="SK96" s="646"/>
      <c r="SL96" s="645"/>
      <c r="SM96" s="646"/>
      <c r="SN96" s="645"/>
      <c r="SO96" s="646"/>
      <c r="SP96" s="645"/>
      <c r="SQ96" s="646"/>
      <c r="SR96" s="645"/>
      <c r="SS96" s="646"/>
      <c r="ST96" s="645"/>
      <c r="SU96" s="646"/>
      <c r="SV96" s="645"/>
      <c r="SW96" s="646"/>
      <c r="SX96" s="645"/>
      <c r="SY96" s="646"/>
      <c r="SZ96" s="645"/>
      <c r="TA96" s="646"/>
      <c r="TB96" s="645"/>
      <c r="TC96" s="646"/>
      <c r="TD96" s="645"/>
      <c r="TE96" s="646"/>
      <c r="TF96" s="645"/>
      <c r="TG96" s="646"/>
      <c r="TH96" s="645"/>
      <c r="TI96" s="646"/>
      <c r="TJ96" s="645"/>
      <c r="TK96" s="646"/>
      <c r="TL96" s="645"/>
      <c r="TM96" s="646"/>
      <c r="TN96" s="645"/>
      <c r="TO96" s="646"/>
      <c r="TP96" s="645"/>
      <c r="TQ96" s="646"/>
      <c r="TR96" s="645"/>
      <c r="TS96" s="646"/>
      <c r="TT96" s="645"/>
      <c r="TU96" s="646"/>
      <c r="TV96" s="645"/>
      <c r="TW96" s="646"/>
      <c r="TX96" s="645"/>
      <c r="TY96" s="646"/>
      <c r="TZ96" s="645"/>
      <c r="UA96" s="646"/>
      <c r="UB96" s="645"/>
      <c r="UC96" s="646"/>
      <c r="UD96" s="645"/>
      <c r="UE96" s="646"/>
      <c r="UF96" s="645"/>
      <c r="UG96" s="646"/>
      <c r="UH96" s="645"/>
      <c r="UI96" s="646"/>
      <c r="UJ96" s="645"/>
      <c r="UK96" s="646"/>
      <c r="UL96" s="645"/>
      <c r="UM96" s="646"/>
      <c r="UN96" s="645"/>
      <c r="UO96" s="646"/>
      <c r="UP96" s="645"/>
      <c r="UQ96" s="646"/>
      <c r="UR96" s="645"/>
      <c r="US96" s="646"/>
      <c r="UT96" s="645"/>
      <c r="UU96" s="646"/>
      <c r="UV96" s="645"/>
      <c r="UW96" s="646"/>
      <c r="UX96" s="645"/>
      <c r="UY96" s="646"/>
      <c r="UZ96" s="645"/>
      <c r="VA96" s="646"/>
      <c r="VB96" s="645"/>
      <c r="VC96" s="646"/>
      <c r="VD96" s="645"/>
      <c r="VE96" s="646"/>
      <c r="VF96" s="645"/>
      <c r="VG96" s="646"/>
      <c r="VH96" s="645"/>
      <c r="VI96" s="646"/>
      <c r="VJ96" s="645"/>
      <c r="VK96" s="646"/>
      <c r="VL96" s="645"/>
      <c r="VM96" s="646"/>
      <c r="VN96" s="645"/>
      <c r="VO96" s="646"/>
      <c r="VP96" s="645"/>
      <c r="VQ96" s="646"/>
      <c r="VR96" s="645"/>
      <c r="VS96" s="646"/>
      <c r="VT96" s="645"/>
      <c r="VU96" s="646"/>
      <c r="VV96" s="645"/>
      <c r="VW96" s="646"/>
      <c r="VX96" s="645"/>
      <c r="VY96" s="646"/>
      <c r="VZ96" s="645"/>
      <c r="WA96" s="646"/>
      <c r="WB96" s="645"/>
      <c r="WC96" s="646"/>
      <c r="WD96" s="645"/>
      <c r="WE96" s="646"/>
      <c r="WF96" s="645"/>
      <c r="WG96" s="646"/>
      <c r="WH96" s="645"/>
      <c r="WI96" s="646"/>
      <c r="WJ96" s="645"/>
      <c r="WK96" s="646"/>
      <c r="WL96" s="645"/>
      <c r="WM96" s="646"/>
      <c r="WN96" s="645"/>
      <c r="WO96" s="646"/>
      <c r="WP96" s="645"/>
      <c r="WQ96" s="646"/>
      <c r="WR96" s="645"/>
      <c r="WS96" s="646"/>
      <c r="WT96" s="645"/>
      <c r="WU96" s="646"/>
      <c r="WV96" s="645"/>
      <c r="WW96" s="646"/>
      <c r="WX96" s="645"/>
      <c r="WY96" s="646"/>
      <c r="WZ96" s="645"/>
      <c r="XA96" s="646"/>
      <c r="XB96" s="645"/>
      <c r="XC96" s="646"/>
      <c r="XD96" s="645"/>
      <c r="XE96" s="646"/>
      <c r="XF96" s="645"/>
      <c r="XG96" s="646"/>
      <c r="XH96" s="645"/>
      <c r="XI96" s="646"/>
      <c r="XJ96" s="645"/>
      <c r="XK96" s="646"/>
      <c r="XL96" s="645"/>
      <c r="XM96" s="646"/>
      <c r="XN96" s="645"/>
      <c r="XO96" s="646"/>
      <c r="XP96" s="645"/>
      <c r="XQ96" s="646"/>
      <c r="XR96" s="645"/>
      <c r="XS96" s="646"/>
      <c r="XT96" s="645"/>
      <c r="XU96" s="646"/>
      <c r="XV96" s="645"/>
      <c r="XW96" s="646"/>
      <c r="XX96" s="645"/>
      <c r="XY96" s="646"/>
      <c r="XZ96" s="645"/>
      <c r="YA96" s="646"/>
      <c r="YB96" s="645"/>
      <c r="YC96" s="646"/>
      <c r="YD96" s="645"/>
      <c r="YE96" s="646"/>
      <c r="YF96" s="645"/>
      <c r="YG96" s="646"/>
      <c r="YH96" s="645"/>
      <c r="YI96" s="646"/>
      <c r="YJ96" s="645"/>
      <c r="YK96" s="646"/>
      <c r="YL96" s="645"/>
      <c r="YM96" s="646"/>
      <c r="YN96" s="645"/>
      <c r="YO96" s="646"/>
      <c r="YP96" s="645"/>
      <c r="YQ96" s="646"/>
      <c r="YR96" s="645"/>
      <c r="YS96" s="646"/>
      <c r="YT96" s="645"/>
      <c r="YU96" s="646"/>
      <c r="YV96" s="645"/>
      <c r="YW96" s="646"/>
      <c r="YX96" s="645"/>
      <c r="YY96" s="646"/>
      <c r="YZ96" s="645"/>
      <c r="ZA96" s="646"/>
      <c r="ZB96" s="645"/>
      <c r="ZC96" s="646"/>
      <c r="ZD96" s="645"/>
      <c r="ZE96" s="646"/>
      <c r="ZF96" s="645"/>
      <c r="ZG96" s="646"/>
      <c r="ZH96" s="645"/>
      <c r="ZI96" s="646"/>
      <c r="ZJ96" s="645"/>
      <c r="ZK96" s="646"/>
      <c r="ZL96" s="645"/>
      <c r="ZM96" s="646"/>
      <c r="ZN96" s="645"/>
      <c r="ZO96" s="646"/>
      <c r="ZP96" s="645"/>
      <c r="ZQ96" s="646"/>
      <c r="ZR96" s="645"/>
      <c r="ZS96" s="646"/>
      <c r="ZT96" s="645"/>
      <c r="ZU96" s="646"/>
      <c r="ZV96" s="645"/>
      <c r="ZW96" s="646"/>
      <c r="ZX96" s="645"/>
      <c r="ZY96" s="646"/>
      <c r="ZZ96" s="645"/>
      <c r="AAA96" s="646"/>
      <c r="AAB96" s="645"/>
      <c r="AAC96" s="646"/>
      <c r="AAD96" s="645"/>
      <c r="AAE96" s="646"/>
      <c r="AAF96" s="645"/>
      <c r="AAG96" s="646"/>
      <c r="AAH96" s="645"/>
      <c r="AAI96" s="646"/>
      <c r="AAJ96" s="645"/>
      <c r="AAK96" s="646"/>
      <c r="AAL96" s="645"/>
      <c r="AAM96" s="646"/>
      <c r="AAN96" s="645"/>
      <c r="AAO96" s="646"/>
      <c r="AAP96" s="645"/>
      <c r="AAQ96" s="646"/>
      <c r="AAR96" s="645"/>
      <c r="AAS96" s="646"/>
      <c r="AAT96" s="645"/>
      <c r="AAU96" s="646"/>
      <c r="AAV96" s="645"/>
      <c r="AAW96" s="646"/>
      <c r="AAX96" s="645"/>
      <c r="AAY96" s="646"/>
      <c r="AAZ96" s="645"/>
      <c r="ABA96" s="646"/>
      <c r="ABB96" s="645"/>
      <c r="ABC96" s="646"/>
      <c r="ABD96" s="645"/>
      <c r="ABE96" s="646"/>
      <c r="ABF96" s="645"/>
      <c r="ABG96" s="646"/>
      <c r="ABH96" s="645"/>
      <c r="ABI96" s="646"/>
      <c r="ABJ96" s="645"/>
      <c r="ABK96" s="646"/>
      <c r="ABL96" s="645"/>
      <c r="ABM96" s="646"/>
      <c r="ABN96" s="645"/>
      <c r="ABO96" s="646"/>
      <c r="ABP96" s="645"/>
      <c r="ABQ96" s="646"/>
      <c r="ABR96" s="645"/>
      <c r="ABS96" s="646"/>
      <c r="ABT96" s="645"/>
      <c r="ABU96" s="646"/>
      <c r="ABV96" s="645"/>
      <c r="ABW96" s="646"/>
      <c r="ABX96" s="645"/>
      <c r="ABY96" s="646"/>
      <c r="ABZ96" s="645"/>
      <c r="ACA96" s="646"/>
      <c r="ACB96" s="645"/>
      <c r="ACC96" s="646"/>
      <c r="ACD96" s="645"/>
      <c r="ACE96" s="646"/>
      <c r="ACF96" s="645"/>
      <c r="ACG96" s="646"/>
      <c r="ACH96" s="645"/>
      <c r="ACI96" s="646"/>
      <c r="ACJ96" s="645"/>
      <c r="ACK96" s="646"/>
      <c r="ACL96" s="645"/>
      <c r="ACM96" s="646"/>
      <c r="ACN96" s="645"/>
      <c r="ACO96" s="646"/>
      <c r="ACP96" s="645"/>
      <c r="ACQ96" s="646"/>
      <c r="ACR96" s="645"/>
      <c r="ACS96" s="646"/>
      <c r="ACT96" s="645"/>
      <c r="ACU96" s="646"/>
      <c r="ACV96" s="645"/>
      <c r="ACW96" s="646"/>
      <c r="ACX96" s="645"/>
      <c r="ACY96" s="646"/>
      <c r="ACZ96" s="645"/>
      <c r="ADA96" s="646"/>
      <c r="ADB96" s="645"/>
      <c r="ADC96" s="646"/>
      <c r="ADD96" s="645"/>
      <c r="ADE96" s="646"/>
      <c r="ADF96" s="645"/>
      <c r="ADG96" s="646"/>
      <c r="ADH96" s="645"/>
      <c r="ADI96" s="646"/>
      <c r="ADJ96" s="645"/>
      <c r="ADK96" s="646"/>
      <c r="ADL96" s="645"/>
      <c r="ADM96" s="646"/>
      <c r="ADN96" s="645"/>
      <c r="ADO96" s="646"/>
      <c r="ADP96" s="645"/>
      <c r="ADQ96" s="646"/>
      <c r="ADR96" s="645"/>
      <c r="ADS96" s="646"/>
      <c r="ADT96" s="645"/>
      <c r="ADU96" s="646"/>
      <c r="ADV96" s="645"/>
      <c r="ADW96" s="646"/>
      <c r="ADX96" s="645"/>
      <c r="ADY96" s="646"/>
      <c r="ADZ96" s="645"/>
      <c r="AEA96" s="646"/>
      <c r="AEB96" s="645"/>
      <c r="AEC96" s="646"/>
      <c r="AED96" s="645"/>
      <c r="AEE96" s="646"/>
      <c r="AEF96" s="645"/>
      <c r="AEG96" s="646"/>
      <c r="AEH96" s="645"/>
      <c r="AEI96" s="646"/>
      <c r="AEJ96" s="645"/>
      <c r="AEK96" s="646"/>
      <c r="AEL96" s="645"/>
      <c r="AEM96" s="646"/>
      <c r="AEN96" s="645"/>
      <c r="AEO96" s="646"/>
      <c r="AEP96" s="645"/>
      <c r="AEQ96" s="646"/>
      <c r="AER96" s="645"/>
      <c r="AES96" s="646"/>
      <c r="AET96" s="645"/>
      <c r="AEU96" s="646"/>
      <c r="AEV96" s="645"/>
      <c r="AEW96" s="646"/>
      <c r="AEX96" s="645"/>
      <c r="AEY96" s="646"/>
      <c r="AEZ96" s="645"/>
      <c r="AFA96" s="646"/>
      <c r="AFB96" s="645"/>
      <c r="AFC96" s="646"/>
      <c r="AFD96" s="645"/>
      <c r="AFE96" s="646"/>
      <c r="AFF96" s="645"/>
      <c r="AFG96" s="646"/>
      <c r="AFH96" s="645"/>
      <c r="AFI96" s="646"/>
      <c r="AFJ96" s="645"/>
      <c r="AFK96" s="646"/>
      <c r="AFL96" s="645"/>
      <c r="AFM96" s="646"/>
      <c r="AFN96" s="645"/>
      <c r="AFO96" s="646"/>
      <c r="AFP96" s="645"/>
      <c r="AFQ96" s="646"/>
      <c r="AFR96" s="645"/>
      <c r="AFS96" s="646"/>
      <c r="AFT96" s="645"/>
      <c r="AFU96" s="646"/>
      <c r="AFV96" s="645"/>
      <c r="AFW96" s="646"/>
      <c r="AFX96" s="645"/>
      <c r="AFY96" s="646"/>
      <c r="AFZ96" s="645"/>
      <c r="AGA96" s="646"/>
      <c r="AGB96" s="645"/>
      <c r="AGC96" s="646"/>
      <c r="AGD96" s="645"/>
      <c r="AGE96" s="646"/>
      <c r="AGF96" s="645"/>
      <c r="AGG96" s="646"/>
      <c r="AGH96" s="645"/>
      <c r="AGI96" s="646"/>
      <c r="AGJ96" s="645"/>
      <c r="AGK96" s="646"/>
      <c r="AGL96" s="645"/>
      <c r="AGM96" s="646"/>
      <c r="AGN96" s="645"/>
      <c r="AGO96" s="646"/>
      <c r="AGP96" s="645"/>
      <c r="AGQ96" s="646"/>
      <c r="AGR96" s="645"/>
      <c r="AGS96" s="646"/>
      <c r="AGT96" s="645"/>
      <c r="AGU96" s="646"/>
      <c r="AGV96" s="645"/>
      <c r="AGW96" s="646"/>
      <c r="AGX96" s="645"/>
      <c r="AGY96" s="646"/>
      <c r="AGZ96" s="645"/>
      <c r="AHA96" s="646"/>
      <c r="AHB96" s="645"/>
      <c r="AHC96" s="646"/>
      <c r="AHD96" s="645"/>
      <c r="AHE96" s="646"/>
      <c r="AHF96" s="645"/>
      <c r="AHG96" s="646"/>
      <c r="AHH96" s="645"/>
      <c r="AHI96" s="646"/>
      <c r="AHJ96" s="645"/>
      <c r="AHK96" s="646"/>
      <c r="AHL96" s="645"/>
      <c r="AHM96" s="646"/>
      <c r="AHN96" s="645"/>
      <c r="AHO96" s="646"/>
      <c r="AHP96" s="645"/>
      <c r="AHQ96" s="646"/>
      <c r="AHR96" s="645"/>
      <c r="AHS96" s="646"/>
      <c r="AHT96" s="645"/>
      <c r="AHU96" s="646"/>
      <c r="AHV96" s="645"/>
      <c r="AHW96" s="646"/>
      <c r="AHX96" s="645"/>
      <c r="AHY96" s="646"/>
      <c r="AHZ96" s="645"/>
      <c r="AIA96" s="646"/>
      <c r="AIB96" s="645"/>
      <c r="AIC96" s="646"/>
      <c r="AID96" s="645"/>
      <c r="AIE96" s="646"/>
      <c r="AIF96" s="645"/>
      <c r="AIG96" s="646"/>
      <c r="AIH96" s="645"/>
      <c r="AII96" s="646"/>
      <c r="AIJ96" s="645"/>
      <c r="AIK96" s="646"/>
      <c r="AIL96" s="645"/>
      <c r="AIM96" s="646"/>
      <c r="AIN96" s="645"/>
      <c r="AIO96" s="646"/>
      <c r="AIP96" s="645"/>
      <c r="AIQ96" s="645"/>
      <c r="AIR96" s="645"/>
      <c r="AIS96" s="645"/>
      <c r="AIT96" s="645"/>
      <c r="AIU96" s="645"/>
      <c r="AIV96" s="645"/>
      <c r="AIW96" s="645"/>
      <c r="AIX96" s="645"/>
      <c r="AIY96" s="645"/>
      <c r="AIZ96" s="645"/>
      <c r="AJA96" s="645"/>
      <c r="AJB96" s="645"/>
      <c r="AJC96" s="645"/>
      <c r="AJD96" s="645"/>
      <c r="AJE96" s="645"/>
      <c r="AJF96" s="645"/>
      <c r="AJG96" s="645"/>
      <c r="AJH96" s="645"/>
      <c r="AJI96" s="645"/>
      <c r="AJJ96" s="645"/>
      <c r="AJK96" s="645"/>
      <c r="AJL96" s="645"/>
      <c r="AJM96" s="645"/>
      <c r="AJN96" s="645"/>
      <c r="AJO96" s="645"/>
      <c r="AJP96" s="645"/>
      <c r="AJQ96" s="645"/>
      <c r="AJR96" s="645"/>
      <c r="AJS96" s="645"/>
      <c r="AJT96" s="645"/>
      <c r="AJU96" s="645"/>
      <c r="AJV96" s="645"/>
      <c r="AJW96" s="645"/>
      <c r="AJX96" s="645"/>
      <c r="AJY96" s="645"/>
      <c r="AJZ96" s="645"/>
      <c r="AKA96" s="645"/>
      <c r="AKB96" s="645"/>
      <c r="AKC96" s="645"/>
      <c r="AKD96" s="645"/>
      <c r="AKE96" s="645"/>
      <c r="AKF96" s="645"/>
      <c r="AKG96" s="645"/>
      <c r="AKH96" s="645"/>
      <c r="AKI96" s="645"/>
      <c r="AKJ96" s="645"/>
      <c r="AKK96" s="645"/>
      <c r="AKL96" s="645"/>
      <c r="AKM96" s="645"/>
      <c r="AKN96" s="645"/>
      <c r="AKO96" s="645"/>
      <c r="AKP96" s="645"/>
      <c r="AKQ96" s="645"/>
      <c r="AKR96" s="645"/>
      <c r="AKS96" s="645"/>
      <c r="AKT96" s="645"/>
      <c r="AKU96" s="645"/>
      <c r="AKV96" s="645"/>
      <c r="AKW96" s="645"/>
      <c r="AKX96" s="645"/>
      <c r="AKY96" s="645"/>
      <c r="AKZ96" s="645"/>
      <c r="ALA96" s="645"/>
      <c r="ALB96" s="645"/>
      <c r="ALC96" s="645"/>
      <c r="ALD96" s="645"/>
      <c r="ALE96" s="645"/>
      <c r="ALF96" s="645"/>
      <c r="ALG96" s="645"/>
      <c r="ALH96" s="645"/>
      <c r="ALI96" s="645"/>
      <c r="ALJ96" s="645"/>
      <c r="ALK96" s="645"/>
      <c r="ALL96" s="645"/>
      <c r="ALM96" s="645"/>
      <c r="ALN96" s="645"/>
      <c r="ALO96" s="645"/>
      <c r="ALP96" s="645"/>
      <c r="ALQ96" s="645"/>
      <c r="ALR96" s="645"/>
      <c r="ALS96" s="645"/>
      <c r="ALT96" s="645"/>
      <c r="ALU96" s="645"/>
      <c r="ALV96" s="645"/>
      <c r="ALW96" s="645"/>
      <c r="ALX96" s="645"/>
      <c r="ALY96" s="645"/>
      <c r="ALZ96" s="645"/>
      <c r="AMA96" s="645"/>
      <c r="AMB96" s="645"/>
      <c r="AMC96" s="645"/>
      <c r="AMD96" s="645"/>
      <c r="AME96" s="645"/>
      <c r="AMF96" s="645"/>
      <c r="AMG96" s="645"/>
      <c r="AMH96" s="645"/>
      <c r="AMI96" s="645"/>
      <c r="AMJ96" s="645"/>
    </row>
    <row r="97" spans="1:1024" s="37" customFormat="1" ht="15.75" customHeight="1" x14ac:dyDescent="0.35">
      <c r="A97" s="600"/>
      <c r="B97" s="644" t="s">
        <v>351</v>
      </c>
      <c r="C97" s="645"/>
      <c r="D97" s="646"/>
      <c r="E97" s="645"/>
      <c r="F97" s="646"/>
      <c r="G97" s="647" t="s">
        <v>243</v>
      </c>
      <c r="H97" s="643"/>
      <c r="I97" s="645"/>
      <c r="J97" s="38"/>
      <c r="K97" s="38"/>
      <c r="L97" s="39"/>
      <c r="M97" s="38"/>
      <c r="N97" s="39"/>
      <c r="O97" s="38"/>
      <c r="P97" s="39"/>
      <c r="Q97" s="38"/>
      <c r="R97" s="39"/>
      <c r="S97" s="38"/>
      <c r="T97" s="39"/>
      <c r="U97" s="38"/>
      <c r="V97" s="39"/>
      <c r="W97" s="38"/>
      <c r="X97" s="39"/>
      <c r="Y97" s="38"/>
      <c r="Z97" s="39"/>
      <c r="AA97" s="38"/>
      <c r="AB97" s="39"/>
      <c r="AC97" s="38"/>
      <c r="AD97" s="39"/>
      <c r="AE97" s="38"/>
      <c r="AF97" s="39"/>
      <c r="AG97" s="38"/>
      <c r="AH97" s="39"/>
      <c r="AI97" s="38"/>
      <c r="AJ97" s="39"/>
      <c r="AK97" s="40"/>
      <c r="AL97" s="39"/>
      <c r="AM97" s="40"/>
      <c r="AN97" s="39"/>
      <c r="AO97" s="40"/>
      <c r="AP97" s="39"/>
      <c r="AQ97" s="40"/>
      <c r="AR97" s="39"/>
      <c r="AS97" s="40"/>
      <c r="AT97" s="39"/>
      <c r="AU97" s="40"/>
      <c r="AV97" s="39"/>
      <c r="AW97" s="40"/>
      <c r="AX97" s="39"/>
      <c r="AY97" s="40"/>
      <c r="AZ97" s="39"/>
      <c r="BA97" s="40"/>
      <c r="BB97" s="39"/>
      <c r="BC97" s="40"/>
      <c r="BD97" s="39"/>
      <c r="BE97" s="40"/>
      <c r="BF97" s="39"/>
      <c r="BG97" s="40"/>
      <c r="BH97" s="39"/>
      <c r="BI97" s="40"/>
      <c r="BJ97" s="39"/>
      <c r="BK97" s="40"/>
      <c r="BL97" s="39"/>
      <c r="BM97" s="40"/>
      <c r="BN97" s="39"/>
      <c r="BO97" s="40"/>
      <c r="BP97" s="39"/>
      <c r="BQ97" s="40"/>
      <c r="BR97" s="39"/>
      <c r="BS97" s="40"/>
      <c r="BT97" s="39"/>
      <c r="BU97" s="40"/>
      <c r="BV97" s="39"/>
      <c r="BW97" s="40"/>
      <c r="BX97" s="39"/>
      <c r="BY97" s="40"/>
      <c r="BZ97" s="39"/>
      <c r="CA97" s="40"/>
      <c r="CB97" s="39"/>
      <c r="CC97" s="40"/>
      <c r="CD97" s="39"/>
      <c r="CE97" s="40"/>
      <c r="CF97" s="39"/>
      <c r="CG97" s="40"/>
      <c r="CH97" s="39"/>
      <c r="CI97" s="40"/>
      <c r="CJ97" s="39"/>
      <c r="CK97" s="40"/>
      <c r="CL97" s="39"/>
      <c r="CM97" s="40"/>
      <c r="CN97" s="39"/>
      <c r="CO97" s="40"/>
      <c r="CP97" s="39"/>
      <c r="CQ97" s="40"/>
      <c r="CR97" s="39"/>
      <c r="CS97" s="40"/>
      <c r="CT97" s="39"/>
      <c r="CU97" s="40"/>
      <c r="CV97" s="39"/>
      <c r="CW97" s="40"/>
      <c r="CX97" s="39"/>
      <c r="CY97" s="40"/>
      <c r="CZ97" s="39"/>
      <c r="DA97" s="40"/>
      <c r="DB97" s="39"/>
      <c r="DC97" s="40"/>
      <c r="DD97" s="39"/>
      <c r="DE97" s="40"/>
      <c r="DF97" s="39"/>
      <c r="DG97" s="40"/>
      <c r="DH97" s="39"/>
      <c r="DI97" s="40"/>
      <c r="DJ97" s="39"/>
      <c r="DK97" s="40"/>
      <c r="DL97" s="39"/>
      <c r="DM97" s="40"/>
      <c r="DN97" s="39"/>
      <c r="DO97" s="40"/>
      <c r="DP97" s="39"/>
      <c r="DQ97" s="40"/>
      <c r="DR97" s="39"/>
      <c r="DS97" s="40"/>
      <c r="DT97" s="39"/>
      <c r="DU97" s="40"/>
      <c r="DV97" s="39"/>
      <c r="DW97" s="40"/>
      <c r="DX97" s="39"/>
      <c r="DY97" s="40"/>
      <c r="DZ97" s="39"/>
      <c r="EA97" s="40"/>
      <c r="EB97" s="39"/>
      <c r="EC97" s="40"/>
      <c r="ED97" s="39"/>
      <c r="EE97" s="40"/>
      <c r="EF97" s="39"/>
      <c r="EG97" s="40"/>
      <c r="EH97" s="39"/>
      <c r="EI97" s="40"/>
      <c r="EJ97" s="39"/>
      <c r="EK97" s="40"/>
      <c r="EL97" s="39"/>
      <c r="EM97" s="40"/>
      <c r="EN97" s="39"/>
      <c r="EO97" s="40"/>
      <c r="EP97" s="39"/>
      <c r="EQ97" s="40"/>
      <c r="ER97" s="39"/>
      <c r="ES97" s="40"/>
      <c r="ET97" s="39"/>
      <c r="EU97" s="40"/>
      <c r="EV97" s="39"/>
      <c r="EW97" s="40"/>
      <c r="EX97" s="39"/>
      <c r="EY97" s="40"/>
      <c r="EZ97" s="39"/>
      <c r="FA97" s="40"/>
      <c r="FB97" s="39"/>
      <c r="FC97" s="40"/>
      <c r="FD97" s="39"/>
      <c r="FE97" s="40"/>
      <c r="FF97" s="39"/>
      <c r="FG97" s="40"/>
      <c r="FH97" s="39"/>
      <c r="FI97" s="40"/>
      <c r="FJ97" s="39"/>
      <c r="FK97" s="40"/>
      <c r="FL97" s="39"/>
      <c r="FM97" s="40"/>
      <c r="FN97" s="39"/>
      <c r="FO97" s="40"/>
      <c r="FP97" s="39"/>
      <c r="FQ97" s="40"/>
      <c r="FR97" s="39"/>
      <c r="FS97" s="40"/>
      <c r="FT97" s="39"/>
      <c r="FU97" s="40"/>
      <c r="FV97" s="39"/>
      <c r="FW97" s="40"/>
      <c r="FX97" s="39"/>
      <c r="FY97" s="40"/>
      <c r="FZ97" s="39"/>
      <c r="GA97" s="40"/>
      <c r="GB97" s="39"/>
      <c r="GC97" s="40"/>
      <c r="GD97" s="39"/>
      <c r="GE97" s="40"/>
      <c r="GF97" s="39"/>
      <c r="GG97" s="40"/>
      <c r="GH97" s="39"/>
      <c r="GI97" s="40"/>
      <c r="GJ97" s="39"/>
      <c r="GK97" s="40"/>
      <c r="GL97" s="39"/>
      <c r="GM97" s="40"/>
      <c r="GN97" s="39"/>
      <c r="GO97" s="40"/>
      <c r="GP97" s="39"/>
      <c r="GQ97" s="40"/>
      <c r="GR97" s="39"/>
      <c r="GS97" s="40"/>
      <c r="GT97" s="39"/>
      <c r="GU97" s="40"/>
      <c r="GV97" s="39"/>
      <c r="GW97" s="40"/>
      <c r="GX97" s="39"/>
      <c r="GY97" s="40"/>
      <c r="GZ97" s="39"/>
      <c r="HA97" s="40"/>
      <c r="HB97" s="39"/>
      <c r="HC97" s="40"/>
      <c r="HD97" s="39"/>
      <c r="HE97" s="40"/>
      <c r="HF97" s="39"/>
      <c r="HG97" s="40"/>
      <c r="HH97" s="39"/>
      <c r="HI97" s="40"/>
      <c r="HJ97" s="39"/>
      <c r="HK97" s="40"/>
      <c r="HL97" s="39"/>
      <c r="HM97" s="40"/>
      <c r="HN97" s="39"/>
      <c r="HO97" s="40"/>
      <c r="HP97" s="39"/>
      <c r="HQ97" s="40"/>
      <c r="HR97" s="39"/>
      <c r="HS97" s="40"/>
      <c r="HT97" s="39"/>
      <c r="HU97" s="40"/>
      <c r="HV97" s="39"/>
      <c r="HW97" s="40"/>
      <c r="HX97" s="39"/>
      <c r="HY97" s="40"/>
      <c r="HZ97" s="39"/>
      <c r="IA97" s="40"/>
      <c r="IB97" s="39"/>
      <c r="IC97" s="1068"/>
      <c r="ID97" s="645"/>
      <c r="IE97" s="646"/>
      <c r="IF97" s="645"/>
      <c r="IG97" s="646"/>
      <c r="IH97" s="645"/>
      <c r="II97" s="646"/>
      <c r="IJ97" s="645"/>
      <c r="IK97" s="646"/>
      <c r="IL97" s="645"/>
      <c r="IM97" s="646"/>
      <c r="IN97" s="645"/>
      <c r="IO97" s="646"/>
      <c r="IP97" s="645"/>
      <c r="IQ97" s="646"/>
      <c r="IR97" s="645"/>
      <c r="IS97" s="646"/>
      <c r="IT97" s="645"/>
      <c r="IU97" s="646"/>
      <c r="IV97" s="645"/>
      <c r="IW97" s="646"/>
      <c r="IX97" s="645"/>
      <c r="IY97" s="646"/>
      <c r="IZ97" s="645"/>
      <c r="JA97" s="646"/>
      <c r="JB97" s="645"/>
      <c r="JC97" s="646"/>
      <c r="JD97" s="645"/>
      <c r="JE97" s="646"/>
      <c r="JF97" s="645"/>
      <c r="JG97" s="646"/>
      <c r="JH97" s="645"/>
      <c r="JI97" s="646"/>
      <c r="JJ97" s="645"/>
      <c r="JK97" s="646"/>
      <c r="JL97" s="645"/>
      <c r="JM97" s="646"/>
      <c r="JN97" s="645"/>
      <c r="JO97" s="646"/>
      <c r="JP97" s="645"/>
      <c r="JQ97" s="646"/>
      <c r="JR97" s="645"/>
      <c r="JS97" s="646"/>
      <c r="JT97" s="645"/>
      <c r="JU97" s="646"/>
      <c r="JV97" s="645"/>
      <c r="JW97" s="646"/>
      <c r="JX97" s="645"/>
      <c r="JY97" s="646"/>
      <c r="JZ97" s="645"/>
      <c r="KA97" s="646"/>
      <c r="KB97" s="645"/>
      <c r="KC97" s="646"/>
      <c r="KD97" s="645"/>
      <c r="KE97" s="646"/>
      <c r="KF97" s="645"/>
      <c r="KG97" s="646"/>
      <c r="KH97" s="645"/>
      <c r="KI97" s="646"/>
      <c r="KJ97" s="645"/>
      <c r="KK97" s="646"/>
      <c r="KL97" s="645"/>
      <c r="KM97" s="646"/>
      <c r="KN97" s="645"/>
      <c r="KO97" s="646"/>
      <c r="KP97" s="645"/>
      <c r="KQ97" s="646"/>
      <c r="KR97" s="645"/>
      <c r="KS97" s="646"/>
      <c r="KT97" s="645"/>
      <c r="KU97" s="646"/>
      <c r="KV97" s="645"/>
      <c r="KW97" s="646"/>
      <c r="KX97" s="645"/>
      <c r="KY97" s="646"/>
      <c r="KZ97" s="645"/>
      <c r="LA97" s="646"/>
      <c r="LB97" s="645"/>
      <c r="LC97" s="646"/>
      <c r="LD97" s="645"/>
      <c r="LE97" s="646"/>
      <c r="LF97" s="645"/>
      <c r="LG97" s="646"/>
      <c r="LH97" s="645"/>
      <c r="LI97" s="646"/>
      <c r="LJ97" s="645"/>
      <c r="LK97" s="646"/>
      <c r="LL97" s="645"/>
      <c r="LM97" s="646"/>
      <c r="LN97" s="645"/>
      <c r="LO97" s="646"/>
      <c r="LP97" s="645"/>
      <c r="LQ97" s="646"/>
      <c r="LR97" s="645"/>
      <c r="LS97" s="646"/>
      <c r="LT97" s="645"/>
      <c r="LU97" s="646"/>
      <c r="LV97" s="645"/>
      <c r="LW97" s="646"/>
      <c r="LX97" s="645"/>
      <c r="LY97" s="646"/>
      <c r="LZ97" s="645"/>
      <c r="MA97" s="646"/>
      <c r="MB97" s="645"/>
      <c r="MC97" s="646"/>
      <c r="MD97" s="645"/>
      <c r="ME97" s="646"/>
      <c r="MF97" s="645"/>
      <c r="MG97" s="646"/>
      <c r="MH97" s="645"/>
      <c r="MI97" s="646"/>
      <c r="MJ97" s="645"/>
      <c r="MK97" s="646"/>
      <c r="ML97" s="645"/>
      <c r="MM97" s="646"/>
      <c r="MN97" s="645"/>
      <c r="MO97" s="646"/>
      <c r="MP97" s="645"/>
      <c r="MQ97" s="646"/>
      <c r="MR97" s="645"/>
      <c r="MS97" s="646"/>
      <c r="MT97" s="645"/>
      <c r="MU97" s="646"/>
      <c r="MV97" s="645"/>
      <c r="MW97" s="646"/>
      <c r="MX97" s="645"/>
      <c r="MY97" s="646"/>
      <c r="MZ97" s="645"/>
      <c r="NA97" s="646"/>
      <c r="NB97" s="645"/>
      <c r="NC97" s="646"/>
      <c r="ND97" s="645"/>
      <c r="NE97" s="646"/>
      <c r="NF97" s="645"/>
      <c r="NG97" s="646"/>
      <c r="NH97" s="645"/>
      <c r="NI97" s="646"/>
      <c r="NJ97" s="645"/>
      <c r="NK97" s="646"/>
      <c r="NL97" s="645"/>
      <c r="NM97" s="646"/>
      <c r="NN97" s="645"/>
      <c r="NO97" s="646"/>
      <c r="NP97" s="645"/>
      <c r="NQ97" s="646"/>
      <c r="NR97" s="645"/>
      <c r="NS97" s="646"/>
      <c r="NT97" s="645"/>
      <c r="NU97" s="646"/>
      <c r="NV97" s="645"/>
      <c r="NW97" s="646"/>
      <c r="NX97" s="645"/>
      <c r="NY97" s="646"/>
      <c r="NZ97" s="645"/>
      <c r="OA97" s="646"/>
      <c r="OB97" s="645"/>
      <c r="OC97" s="646"/>
      <c r="OD97" s="645"/>
      <c r="OE97" s="646"/>
      <c r="OF97" s="645"/>
      <c r="OG97" s="646"/>
      <c r="OH97" s="645"/>
      <c r="OI97" s="646"/>
      <c r="OJ97" s="645"/>
      <c r="OK97" s="646"/>
      <c r="OL97" s="645"/>
      <c r="OM97" s="646"/>
      <c r="ON97" s="645"/>
      <c r="OO97" s="646"/>
      <c r="OP97" s="645"/>
      <c r="OQ97" s="646"/>
      <c r="OR97" s="645"/>
      <c r="OS97" s="646"/>
      <c r="OT97" s="645"/>
      <c r="OU97" s="646"/>
      <c r="OV97" s="645"/>
      <c r="OW97" s="646"/>
      <c r="OX97" s="645"/>
      <c r="OY97" s="646"/>
      <c r="OZ97" s="645"/>
      <c r="PA97" s="646"/>
      <c r="PB97" s="645"/>
      <c r="PC97" s="646"/>
      <c r="PD97" s="645"/>
      <c r="PE97" s="646"/>
      <c r="PF97" s="645"/>
      <c r="PG97" s="646"/>
      <c r="PH97" s="645"/>
      <c r="PI97" s="646"/>
      <c r="PJ97" s="645"/>
      <c r="PK97" s="646"/>
      <c r="PL97" s="645"/>
      <c r="PM97" s="646"/>
      <c r="PN97" s="645"/>
      <c r="PO97" s="646"/>
      <c r="PP97" s="645"/>
      <c r="PQ97" s="646"/>
      <c r="PR97" s="645"/>
      <c r="PS97" s="646"/>
      <c r="PT97" s="645"/>
      <c r="PU97" s="646"/>
      <c r="PV97" s="645"/>
      <c r="PW97" s="646"/>
      <c r="PX97" s="645"/>
      <c r="PY97" s="646"/>
      <c r="PZ97" s="645"/>
      <c r="QA97" s="646"/>
      <c r="QB97" s="645"/>
      <c r="QC97" s="646"/>
      <c r="QD97" s="645"/>
      <c r="QE97" s="646"/>
      <c r="QF97" s="645"/>
      <c r="QG97" s="646"/>
      <c r="QH97" s="645"/>
      <c r="QI97" s="646"/>
      <c r="QJ97" s="645"/>
      <c r="QK97" s="646"/>
      <c r="QL97" s="645"/>
      <c r="QM97" s="646"/>
      <c r="QN97" s="645"/>
      <c r="QO97" s="646"/>
      <c r="QP97" s="645"/>
      <c r="QQ97" s="646"/>
      <c r="QR97" s="645"/>
      <c r="QS97" s="646"/>
      <c r="QT97" s="645"/>
      <c r="QU97" s="646"/>
      <c r="QV97" s="645"/>
      <c r="QW97" s="646"/>
      <c r="QX97" s="645"/>
      <c r="QY97" s="646"/>
      <c r="QZ97" s="645"/>
      <c r="RA97" s="646"/>
      <c r="RB97" s="645"/>
      <c r="RC97" s="646"/>
      <c r="RD97" s="645"/>
      <c r="RE97" s="646"/>
      <c r="RF97" s="645"/>
      <c r="RG97" s="646"/>
      <c r="RH97" s="645"/>
      <c r="RI97" s="646"/>
      <c r="RJ97" s="645"/>
      <c r="RK97" s="646"/>
      <c r="RL97" s="645"/>
      <c r="RM97" s="646"/>
      <c r="RN97" s="645"/>
      <c r="RO97" s="646"/>
      <c r="RP97" s="645"/>
      <c r="RQ97" s="646"/>
      <c r="RR97" s="645"/>
      <c r="RS97" s="646"/>
      <c r="RT97" s="645"/>
      <c r="RU97" s="646"/>
      <c r="RV97" s="645"/>
      <c r="RW97" s="646"/>
      <c r="RX97" s="645"/>
      <c r="RY97" s="646"/>
      <c r="RZ97" s="645"/>
      <c r="SA97" s="646"/>
      <c r="SB97" s="645"/>
      <c r="SC97" s="646"/>
      <c r="SD97" s="645"/>
      <c r="SE97" s="646"/>
      <c r="SF97" s="645"/>
      <c r="SG97" s="646"/>
      <c r="SH97" s="645"/>
      <c r="SI97" s="646"/>
      <c r="SJ97" s="645"/>
      <c r="SK97" s="646"/>
      <c r="SL97" s="645"/>
      <c r="SM97" s="646"/>
      <c r="SN97" s="645"/>
      <c r="SO97" s="646"/>
      <c r="SP97" s="645"/>
      <c r="SQ97" s="646"/>
      <c r="SR97" s="645"/>
      <c r="SS97" s="646"/>
      <c r="ST97" s="645"/>
      <c r="SU97" s="646"/>
      <c r="SV97" s="645"/>
      <c r="SW97" s="646"/>
      <c r="SX97" s="645"/>
      <c r="SY97" s="646"/>
      <c r="SZ97" s="645"/>
      <c r="TA97" s="646"/>
      <c r="TB97" s="645"/>
      <c r="TC97" s="646"/>
      <c r="TD97" s="645"/>
      <c r="TE97" s="646"/>
      <c r="TF97" s="645"/>
      <c r="TG97" s="646"/>
      <c r="TH97" s="645"/>
      <c r="TI97" s="646"/>
      <c r="TJ97" s="645"/>
      <c r="TK97" s="646"/>
      <c r="TL97" s="645"/>
      <c r="TM97" s="646"/>
      <c r="TN97" s="645"/>
      <c r="TO97" s="646"/>
      <c r="TP97" s="645"/>
      <c r="TQ97" s="646"/>
      <c r="TR97" s="645"/>
      <c r="TS97" s="646"/>
      <c r="TT97" s="645"/>
      <c r="TU97" s="646"/>
      <c r="TV97" s="645"/>
      <c r="TW97" s="646"/>
      <c r="TX97" s="645"/>
      <c r="TY97" s="646"/>
      <c r="TZ97" s="645"/>
      <c r="UA97" s="646"/>
      <c r="UB97" s="645"/>
      <c r="UC97" s="646"/>
      <c r="UD97" s="645"/>
      <c r="UE97" s="646"/>
      <c r="UF97" s="645"/>
      <c r="UG97" s="646"/>
      <c r="UH97" s="645"/>
      <c r="UI97" s="646"/>
      <c r="UJ97" s="645"/>
      <c r="UK97" s="646"/>
      <c r="UL97" s="645"/>
      <c r="UM97" s="646"/>
      <c r="UN97" s="645"/>
      <c r="UO97" s="646"/>
      <c r="UP97" s="645"/>
      <c r="UQ97" s="646"/>
      <c r="UR97" s="645"/>
      <c r="US97" s="646"/>
      <c r="UT97" s="645"/>
      <c r="UU97" s="646"/>
      <c r="UV97" s="645"/>
      <c r="UW97" s="646"/>
      <c r="UX97" s="645"/>
      <c r="UY97" s="646"/>
      <c r="UZ97" s="645"/>
      <c r="VA97" s="646"/>
      <c r="VB97" s="645"/>
      <c r="VC97" s="646"/>
      <c r="VD97" s="645"/>
      <c r="VE97" s="646"/>
      <c r="VF97" s="645"/>
      <c r="VG97" s="646"/>
      <c r="VH97" s="645"/>
      <c r="VI97" s="646"/>
      <c r="VJ97" s="645"/>
      <c r="VK97" s="646"/>
      <c r="VL97" s="645"/>
      <c r="VM97" s="646"/>
      <c r="VN97" s="645"/>
      <c r="VO97" s="646"/>
      <c r="VP97" s="645"/>
      <c r="VQ97" s="646"/>
      <c r="VR97" s="645"/>
      <c r="VS97" s="646"/>
      <c r="VT97" s="645"/>
      <c r="VU97" s="646"/>
      <c r="VV97" s="645"/>
      <c r="VW97" s="646"/>
      <c r="VX97" s="645"/>
      <c r="VY97" s="646"/>
      <c r="VZ97" s="645"/>
      <c r="WA97" s="646"/>
      <c r="WB97" s="645"/>
      <c r="WC97" s="646"/>
      <c r="WD97" s="645"/>
      <c r="WE97" s="646"/>
      <c r="WF97" s="645"/>
      <c r="WG97" s="646"/>
      <c r="WH97" s="645"/>
      <c r="WI97" s="646"/>
      <c r="WJ97" s="645"/>
      <c r="WK97" s="646"/>
      <c r="WL97" s="645"/>
      <c r="WM97" s="646"/>
      <c r="WN97" s="645"/>
      <c r="WO97" s="646"/>
      <c r="WP97" s="645"/>
      <c r="WQ97" s="646"/>
      <c r="WR97" s="645"/>
      <c r="WS97" s="646"/>
      <c r="WT97" s="645"/>
      <c r="WU97" s="646"/>
      <c r="WV97" s="645"/>
      <c r="WW97" s="646"/>
      <c r="WX97" s="645"/>
      <c r="WY97" s="646"/>
      <c r="WZ97" s="645"/>
      <c r="XA97" s="646"/>
      <c r="XB97" s="645"/>
      <c r="XC97" s="646"/>
      <c r="XD97" s="645"/>
      <c r="XE97" s="646"/>
      <c r="XF97" s="645"/>
      <c r="XG97" s="646"/>
      <c r="XH97" s="645"/>
      <c r="XI97" s="646"/>
      <c r="XJ97" s="645"/>
      <c r="XK97" s="646"/>
      <c r="XL97" s="645"/>
      <c r="XM97" s="646"/>
      <c r="XN97" s="645"/>
      <c r="XO97" s="646"/>
      <c r="XP97" s="645"/>
      <c r="XQ97" s="646"/>
      <c r="XR97" s="645"/>
      <c r="XS97" s="646"/>
      <c r="XT97" s="645"/>
      <c r="XU97" s="646"/>
      <c r="XV97" s="645"/>
      <c r="XW97" s="646"/>
      <c r="XX97" s="645"/>
      <c r="XY97" s="646"/>
      <c r="XZ97" s="645"/>
      <c r="YA97" s="646"/>
      <c r="YB97" s="645"/>
      <c r="YC97" s="646"/>
      <c r="YD97" s="645"/>
      <c r="YE97" s="646"/>
      <c r="YF97" s="645"/>
      <c r="YG97" s="646"/>
      <c r="YH97" s="645"/>
      <c r="YI97" s="646"/>
      <c r="YJ97" s="645"/>
      <c r="YK97" s="646"/>
      <c r="YL97" s="645"/>
      <c r="YM97" s="646"/>
      <c r="YN97" s="645"/>
      <c r="YO97" s="646"/>
      <c r="YP97" s="645"/>
      <c r="YQ97" s="646"/>
      <c r="YR97" s="645"/>
      <c r="YS97" s="646"/>
      <c r="YT97" s="645"/>
      <c r="YU97" s="646"/>
      <c r="YV97" s="645"/>
      <c r="YW97" s="646"/>
      <c r="YX97" s="645"/>
      <c r="YY97" s="646"/>
      <c r="YZ97" s="645"/>
      <c r="ZA97" s="646"/>
      <c r="ZB97" s="645"/>
      <c r="ZC97" s="646"/>
      <c r="ZD97" s="645"/>
      <c r="ZE97" s="646"/>
      <c r="ZF97" s="645"/>
      <c r="ZG97" s="646"/>
      <c r="ZH97" s="645"/>
      <c r="ZI97" s="646"/>
      <c r="ZJ97" s="645"/>
      <c r="ZK97" s="646"/>
      <c r="ZL97" s="645"/>
      <c r="ZM97" s="646"/>
      <c r="ZN97" s="645"/>
      <c r="ZO97" s="646"/>
      <c r="ZP97" s="645"/>
      <c r="ZQ97" s="646"/>
      <c r="ZR97" s="645"/>
      <c r="ZS97" s="646"/>
      <c r="ZT97" s="645"/>
      <c r="ZU97" s="646"/>
      <c r="ZV97" s="645"/>
      <c r="ZW97" s="646"/>
      <c r="ZX97" s="645"/>
      <c r="ZY97" s="646"/>
      <c r="ZZ97" s="645"/>
      <c r="AAA97" s="646"/>
      <c r="AAB97" s="645"/>
      <c r="AAC97" s="646"/>
      <c r="AAD97" s="645"/>
      <c r="AAE97" s="646"/>
      <c r="AAF97" s="645"/>
      <c r="AAG97" s="646"/>
      <c r="AAH97" s="645"/>
      <c r="AAI97" s="646"/>
      <c r="AAJ97" s="645"/>
      <c r="AAK97" s="646"/>
      <c r="AAL97" s="645"/>
      <c r="AAM97" s="646"/>
      <c r="AAN97" s="645"/>
      <c r="AAO97" s="646"/>
      <c r="AAP97" s="645"/>
      <c r="AAQ97" s="646"/>
      <c r="AAR97" s="645"/>
      <c r="AAS97" s="646"/>
      <c r="AAT97" s="645"/>
      <c r="AAU97" s="646"/>
      <c r="AAV97" s="645"/>
      <c r="AAW97" s="646"/>
      <c r="AAX97" s="645"/>
      <c r="AAY97" s="646"/>
      <c r="AAZ97" s="645"/>
      <c r="ABA97" s="646"/>
      <c r="ABB97" s="645"/>
      <c r="ABC97" s="646"/>
      <c r="ABD97" s="645"/>
      <c r="ABE97" s="646"/>
      <c r="ABF97" s="645"/>
      <c r="ABG97" s="646"/>
      <c r="ABH97" s="645"/>
      <c r="ABI97" s="646"/>
      <c r="ABJ97" s="645"/>
      <c r="ABK97" s="646"/>
      <c r="ABL97" s="645"/>
      <c r="ABM97" s="646"/>
      <c r="ABN97" s="645"/>
      <c r="ABO97" s="646"/>
      <c r="ABP97" s="645"/>
      <c r="ABQ97" s="646"/>
      <c r="ABR97" s="645"/>
      <c r="ABS97" s="646"/>
      <c r="ABT97" s="645"/>
      <c r="ABU97" s="646"/>
      <c r="ABV97" s="645"/>
      <c r="ABW97" s="646"/>
      <c r="ABX97" s="645"/>
      <c r="ABY97" s="646"/>
      <c r="ABZ97" s="645"/>
      <c r="ACA97" s="646"/>
      <c r="ACB97" s="645"/>
      <c r="ACC97" s="646"/>
      <c r="ACD97" s="645"/>
      <c r="ACE97" s="646"/>
      <c r="ACF97" s="645"/>
      <c r="ACG97" s="646"/>
      <c r="ACH97" s="645"/>
      <c r="ACI97" s="646"/>
      <c r="ACJ97" s="645"/>
      <c r="ACK97" s="646"/>
      <c r="ACL97" s="645"/>
      <c r="ACM97" s="646"/>
      <c r="ACN97" s="645"/>
      <c r="ACO97" s="646"/>
      <c r="ACP97" s="645"/>
      <c r="ACQ97" s="646"/>
      <c r="ACR97" s="645"/>
      <c r="ACS97" s="646"/>
      <c r="ACT97" s="645"/>
      <c r="ACU97" s="646"/>
      <c r="ACV97" s="645"/>
      <c r="ACW97" s="646"/>
      <c r="ACX97" s="645"/>
      <c r="ACY97" s="646"/>
      <c r="ACZ97" s="645"/>
      <c r="ADA97" s="646"/>
      <c r="ADB97" s="645"/>
      <c r="ADC97" s="646"/>
      <c r="ADD97" s="645"/>
      <c r="ADE97" s="646"/>
      <c r="ADF97" s="645"/>
      <c r="ADG97" s="646"/>
      <c r="ADH97" s="645"/>
      <c r="ADI97" s="646"/>
      <c r="ADJ97" s="645"/>
      <c r="ADK97" s="646"/>
      <c r="ADL97" s="645"/>
      <c r="ADM97" s="646"/>
      <c r="ADN97" s="645"/>
      <c r="ADO97" s="646"/>
      <c r="ADP97" s="645"/>
      <c r="ADQ97" s="646"/>
      <c r="ADR97" s="645"/>
      <c r="ADS97" s="646"/>
      <c r="ADT97" s="645"/>
      <c r="ADU97" s="646"/>
      <c r="ADV97" s="645"/>
      <c r="ADW97" s="646"/>
      <c r="ADX97" s="645"/>
      <c r="ADY97" s="646"/>
      <c r="ADZ97" s="645"/>
      <c r="AEA97" s="646"/>
      <c r="AEB97" s="645"/>
      <c r="AEC97" s="646"/>
      <c r="AED97" s="645"/>
      <c r="AEE97" s="646"/>
      <c r="AEF97" s="645"/>
      <c r="AEG97" s="646"/>
      <c r="AEH97" s="645"/>
      <c r="AEI97" s="646"/>
      <c r="AEJ97" s="645"/>
      <c r="AEK97" s="646"/>
      <c r="AEL97" s="645"/>
      <c r="AEM97" s="646"/>
      <c r="AEN97" s="645"/>
      <c r="AEO97" s="646"/>
      <c r="AEP97" s="645"/>
      <c r="AEQ97" s="646"/>
      <c r="AER97" s="645"/>
      <c r="AES97" s="646"/>
      <c r="AET97" s="645"/>
      <c r="AEU97" s="646"/>
      <c r="AEV97" s="645"/>
      <c r="AEW97" s="646"/>
      <c r="AEX97" s="645"/>
      <c r="AEY97" s="646"/>
      <c r="AEZ97" s="645"/>
      <c r="AFA97" s="646"/>
      <c r="AFB97" s="645"/>
      <c r="AFC97" s="646"/>
      <c r="AFD97" s="645"/>
      <c r="AFE97" s="646"/>
      <c r="AFF97" s="645"/>
      <c r="AFG97" s="646"/>
      <c r="AFH97" s="645"/>
      <c r="AFI97" s="646"/>
      <c r="AFJ97" s="645"/>
      <c r="AFK97" s="646"/>
      <c r="AFL97" s="645"/>
      <c r="AFM97" s="646"/>
      <c r="AFN97" s="645"/>
      <c r="AFO97" s="646"/>
      <c r="AFP97" s="645"/>
      <c r="AFQ97" s="646"/>
      <c r="AFR97" s="645"/>
      <c r="AFS97" s="646"/>
      <c r="AFT97" s="645"/>
      <c r="AFU97" s="646"/>
      <c r="AFV97" s="645"/>
      <c r="AFW97" s="646"/>
      <c r="AFX97" s="645"/>
      <c r="AFY97" s="646"/>
      <c r="AFZ97" s="645"/>
      <c r="AGA97" s="646"/>
      <c r="AGB97" s="645"/>
      <c r="AGC97" s="646"/>
      <c r="AGD97" s="645"/>
      <c r="AGE97" s="646"/>
      <c r="AGF97" s="645"/>
      <c r="AGG97" s="646"/>
      <c r="AGH97" s="645"/>
      <c r="AGI97" s="646"/>
      <c r="AGJ97" s="645"/>
      <c r="AGK97" s="646"/>
      <c r="AGL97" s="645"/>
      <c r="AGM97" s="646"/>
      <c r="AGN97" s="645"/>
      <c r="AGO97" s="646"/>
      <c r="AGP97" s="645"/>
      <c r="AGQ97" s="646"/>
      <c r="AGR97" s="645"/>
      <c r="AGS97" s="646"/>
      <c r="AGT97" s="645"/>
      <c r="AGU97" s="646"/>
      <c r="AGV97" s="645"/>
      <c r="AGW97" s="646"/>
      <c r="AGX97" s="645"/>
      <c r="AGY97" s="646"/>
      <c r="AGZ97" s="645"/>
      <c r="AHA97" s="646"/>
      <c r="AHB97" s="645"/>
      <c r="AHC97" s="646"/>
      <c r="AHD97" s="645"/>
      <c r="AHE97" s="646"/>
      <c r="AHF97" s="645"/>
      <c r="AHG97" s="646"/>
      <c r="AHH97" s="645"/>
      <c r="AHI97" s="646"/>
      <c r="AHJ97" s="645"/>
      <c r="AHK97" s="646"/>
      <c r="AHL97" s="645"/>
      <c r="AHM97" s="646"/>
      <c r="AHN97" s="645"/>
      <c r="AHO97" s="646"/>
      <c r="AHP97" s="645"/>
      <c r="AHQ97" s="646"/>
      <c r="AHR97" s="645"/>
      <c r="AHS97" s="646"/>
      <c r="AHT97" s="645"/>
      <c r="AHU97" s="646"/>
      <c r="AHV97" s="645"/>
      <c r="AHW97" s="646"/>
      <c r="AHX97" s="645"/>
      <c r="AHY97" s="646"/>
      <c r="AHZ97" s="645"/>
      <c r="AIA97" s="646"/>
      <c r="AIB97" s="645"/>
      <c r="AIC97" s="646"/>
      <c r="AID97" s="645"/>
      <c r="AIE97" s="646"/>
      <c r="AIF97" s="645"/>
      <c r="AIG97" s="646"/>
      <c r="AIH97" s="645"/>
      <c r="AII97" s="646"/>
      <c r="AIJ97" s="645"/>
      <c r="AIK97" s="646"/>
      <c r="AIL97" s="645"/>
      <c r="AIM97" s="646"/>
      <c r="AIN97" s="645"/>
      <c r="AIO97" s="646"/>
      <c r="AIP97" s="645"/>
      <c r="AIQ97" s="645"/>
      <c r="AIR97" s="645"/>
      <c r="AIS97" s="645"/>
      <c r="AIT97" s="645"/>
      <c r="AIU97" s="645"/>
      <c r="AIV97" s="645"/>
      <c r="AIW97" s="645"/>
      <c r="AIX97" s="645"/>
      <c r="AIY97" s="645"/>
      <c r="AIZ97" s="645"/>
      <c r="AJA97" s="645"/>
      <c r="AJB97" s="645"/>
      <c r="AJC97" s="645"/>
      <c r="AJD97" s="645"/>
      <c r="AJE97" s="645"/>
      <c r="AJF97" s="645"/>
      <c r="AJG97" s="645"/>
      <c r="AJH97" s="645"/>
      <c r="AJI97" s="645"/>
      <c r="AJJ97" s="645"/>
      <c r="AJK97" s="645"/>
      <c r="AJL97" s="645"/>
      <c r="AJM97" s="645"/>
      <c r="AJN97" s="645"/>
      <c r="AJO97" s="645"/>
      <c r="AJP97" s="645"/>
      <c r="AJQ97" s="645"/>
      <c r="AJR97" s="645"/>
      <c r="AJS97" s="645"/>
      <c r="AJT97" s="645"/>
      <c r="AJU97" s="645"/>
      <c r="AJV97" s="645"/>
      <c r="AJW97" s="645"/>
      <c r="AJX97" s="645"/>
      <c r="AJY97" s="645"/>
      <c r="AJZ97" s="645"/>
      <c r="AKA97" s="645"/>
      <c r="AKB97" s="645"/>
      <c r="AKC97" s="645"/>
      <c r="AKD97" s="645"/>
      <c r="AKE97" s="645"/>
      <c r="AKF97" s="645"/>
      <c r="AKG97" s="645"/>
      <c r="AKH97" s="645"/>
      <c r="AKI97" s="645"/>
      <c r="AKJ97" s="645"/>
      <c r="AKK97" s="645"/>
      <c r="AKL97" s="645"/>
      <c r="AKM97" s="645"/>
      <c r="AKN97" s="645"/>
      <c r="AKO97" s="645"/>
      <c r="AKP97" s="645"/>
      <c r="AKQ97" s="645"/>
      <c r="AKR97" s="645"/>
      <c r="AKS97" s="645"/>
      <c r="AKT97" s="645"/>
      <c r="AKU97" s="645"/>
      <c r="AKV97" s="645"/>
      <c r="AKW97" s="645"/>
      <c r="AKX97" s="645"/>
      <c r="AKY97" s="645"/>
      <c r="AKZ97" s="645"/>
      <c r="ALA97" s="645"/>
      <c r="ALB97" s="645"/>
      <c r="ALC97" s="645"/>
      <c r="ALD97" s="645"/>
      <c r="ALE97" s="645"/>
      <c r="ALF97" s="645"/>
      <c r="ALG97" s="645"/>
      <c r="ALH97" s="645"/>
      <c r="ALI97" s="645"/>
      <c r="ALJ97" s="645"/>
      <c r="ALK97" s="645"/>
      <c r="ALL97" s="645"/>
      <c r="ALM97" s="645"/>
      <c r="ALN97" s="645"/>
      <c r="ALO97" s="645"/>
      <c r="ALP97" s="645"/>
      <c r="ALQ97" s="645"/>
      <c r="ALR97" s="645"/>
      <c r="ALS97" s="645"/>
      <c r="ALT97" s="645"/>
      <c r="ALU97" s="645"/>
      <c r="ALV97" s="645"/>
      <c r="ALW97" s="645"/>
      <c r="ALX97" s="645"/>
      <c r="ALY97" s="645"/>
      <c r="ALZ97" s="645"/>
      <c r="AMA97" s="645"/>
      <c r="AMB97" s="645"/>
      <c r="AMC97" s="645"/>
      <c r="AMD97" s="645"/>
      <c r="AME97" s="645"/>
      <c r="AMF97" s="645"/>
      <c r="AMG97" s="645"/>
      <c r="AMH97" s="645"/>
      <c r="AMI97" s="645"/>
      <c r="AMJ97" s="645"/>
    </row>
    <row r="98" spans="1:1024" s="37" customFormat="1" ht="15.75" customHeight="1" x14ac:dyDescent="0.35">
      <c r="A98" s="600"/>
      <c r="B98" s="644" t="s">
        <v>352</v>
      </c>
      <c r="C98" s="645"/>
      <c r="D98" s="646"/>
      <c r="E98" s="645"/>
      <c r="F98" s="646"/>
      <c r="G98" s="647" t="s">
        <v>243</v>
      </c>
      <c r="H98" s="643"/>
      <c r="I98" s="645"/>
      <c r="J98" s="38"/>
      <c r="K98" s="38"/>
      <c r="L98" s="39"/>
      <c r="M98" s="38"/>
      <c r="N98" s="39"/>
      <c r="O98" s="38"/>
      <c r="P98" s="39"/>
      <c r="Q98" s="38"/>
      <c r="R98" s="39"/>
      <c r="S98" s="38"/>
      <c r="T98" s="39"/>
      <c r="U98" s="38"/>
      <c r="V98" s="39"/>
      <c r="W98" s="38"/>
      <c r="X98" s="39"/>
      <c r="Y98" s="38"/>
      <c r="Z98" s="39"/>
      <c r="AA98" s="38"/>
      <c r="AB98" s="39"/>
      <c r="AC98" s="38"/>
      <c r="AD98" s="39"/>
      <c r="AE98" s="38"/>
      <c r="AF98" s="39"/>
      <c r="AG98" s="38"/>
      <c r="AH98" s="39"/>
      <c r="AI98" s="38"/>
      <c r="AJ98" s="39"/>
      <c r="AK98" s="40"/>
      <c r="AL98" s="39"/>
      <c r="AM98" s="40"/>
      <c r="AN98" s="39"/>
      <c r="AO98" s="40"/>
      <c r="AP98" s="39"/>
      <c r="AQ98" s="40"/>
      <c r="AR98" s="39"/>
      <c r="AS98" s="40"/>
      <c r="AT98" s="39"/>
      <c r="AU98" s="40"/>
      <c r="AV98" s="39"/>
      <c r="AW98" s="40"/>
      <c r="AX98" s="39"/>
      <c r="AY98" s="40"/>
      <c r="AZ98" s="39"/>
      <c r="BA98" s="40"/>
      <c r="BB98" s="39"/>
      <c r="BC98" s="40"/>
      <c r="BD98" s="39"/>
      <c r="BE98" s="40"/>
      <c r="BF98" s="39"/>
      <c r="BG98" s="40"/>
      <c r="BH98" s="39"/>
      <c r="BI98" s="40"/>
      <c r="BJ98" s="39"/>
      <c r="BK98" s="40"/>
      <c r="BL98" s="39"/>
      <c r="BM98" s="40"/>
      <c r="BN98" s="39"/>
      <c r="BO98" s="40"/>
      <c r="BP98" s="39"/>
      <c r="BQ98" s="40"/>
      <c r="BR98" s="39"/>
      <c r="BS98" s="40"/>
      <c r="BT98" s="39"/>
      <c r="BU98" s="40"/>
      <c r="BV98" s="39"/>
      <c r="BW98" s="40"/>
      <c r="BX98" s="39"/>
      <c r="BY98" s="40"/>
      <c r="BZ98" s="39"/>
      <c r="CA98" s="40"/>
      <c r="CB98" s="39"/>
      <c r="CC98" s="40"/>
      <c r="CD98" s="39"/>
      <c r="CE98" s="40"/>
      <c r="CF98" s="39"/>
      <c r="CG98" s="40"/>
      <c r="CH98" s="39"/>
      <c r="CI98" s="40"/>
      <c r="CJ98" s="39"/>
      <c r="CK98" s="40"/>
      <c r="CL98" s="39"/>
      <c r="CM98" s="40"/>
      <c r="CN98" s="39"/>
      <c r="CO98" s="40"/>
      <c r="CP98" s="39"/>
      <c r="CQ98" s="40"/>
      <c r="CR98" s="39"/>
      <c r="CS98" s="40"/>
      <c r="CT98" s="39"/>
      <c r="CU98" s="40"/>
      <c r="CV98" s="39"/>
      <c r="CW98" s="40"/>
      <c r="CX98" s="39"/>
      <c r="CY98" s="40"/>
      <c r="CZ98" s="39"/>
      <c r="DA98" s="40"/>
      <c r="DB98" s="39"/>
      <c r="DC98" s="40"/>
      <c r="DD98" s="39"/>
      <c r="DE98" s="40"/>
      <c r="DF98" s="39"/>
      <c r="DG98" s="40"/>
      <c r="DH98" s="39"/>
      <c r="DI98" s="40"/>
      <c r="DJ98" s="39"/>
      <c r="DK98" s="40"/>
      <c r="DL98" s="39"/>
      <c r="DM98" s="40"/>
      <c r="DN98" s="39"/>
      <c r="DO98" s="40"/>
      <c r="DP98" s="39"/>
      <c r="DQ98" s="40"/>
      <c r="DR98" s="39"/>
      <c r="DS98" s="40"/>
      <c r="DT98" s="39"/>
      <c r="DU98" s="40"/>
      <c r="DV98" s="39"/>
      <c r="DW98" s="40"/>
      <c r="DX98" s="39"/>
      <c r="DY98" s="40"/>
      <c r="DZ98" s="39"/>
      <c r="EA98" s="40"/>
      <c r="EB98" s="39"/>
      <c r="EC98" s="40"/>
      <c r="ED98" s="39"/>
      <c r="EE98" s="40"/>
      <c r="EF98" s="39"/>
      <c r="EG98" s="40"/>
      <c r="EH98" s="39"/>
      <c r="EI98" s="40"/>
      <c r="EJ98" s="39"/>
      <c r="EK98" s="40"/>
      <c r="EL98" s="39"/>
      <c r="EM98" s="40"/>
      <c r="EN98" s="39"/>
      <c r="EO98" s="40"/>
      <c r="EP98" s="39"/>
      <c r="EQ98" s="40"/>
      <c r="ER98" s="39"/>
      <c r="ES98" s="40"/>
      <c r="ET98" s="39"/>
      <c r="EU98" s="40"/>
      <c r="EV98" s="39"/>
      <c r="EW98" s="40"/>
      <c r="EX98" s="39"/>
      <c r="EY98" s="40"/>
      <c r="EZ98" s="39"/>
      <c r="FA98" s="40"/>
      <c r="FB98" s="39"/>
      <c r="FC98" s="40"/>
      <c r="FD98" s="39"/>
      <c r="FE98" s="40"/>
      <c r="FF98" s="39"/>
      <c r="FG98" s="40"/>
      <c r="FH98" s="39"/>
      <c r="FI98" s="40"/>
      <c r="FJ98" s="39"/>
      <c r="FK98" s="40"/>
      <c r="FL98" s="39"/>
      <c r="FM98" s="40"/>
      <c r="FN98" s="39"/>
      <c r="FO98" s="40"/>
      <c r="FP98" s="39"/>
      <c r="FQ98" s="40"/>
      <c r="FR98" s="39"/>
      <c r="FS98" s="40"/>
      <c r="FT98" s="39"/>
      <c r="FU98" s="40"/>
      <c r="FV98" s="39"/>
      <c r="FW98" s="40"/>
      <c r="FX98" s="39"/>
      <c r="FY98" s="40"/>
      <c r="FZ98" s="39"/>
      <c r="GA98" s="40"/>
      <c r="GB98" s="39"/>
      <c r="GC98" s="40"/>
      <c r="GD98" s="39"/>
      <c r="GE98" s="40"/>
      <c r="GF98" s="39"/>
      <c r="GG98" s="40"/>
      <c r="GH98" s="39"/>
      <c r="GI98" s="40"/>
      <c r="GJ98" s="39"/>
      <c r="GK98" s="40"/>
      <c r="GL98" s="39"/>
      <c r="GM98" s="40"/>
      <c r="GN98" s="39"/>
      <c r="GO98" s="40"/>
      <c r="GP98" s="39"/>
      <c r="GQ98" s="40"/>
      <c r="GR98" s="39"/>
      <c r="GS98" s="40"/>
      <c r="GT98" s="39"/>
      <c r="GU98" s="40"/>
      <c r="GV98" s="39"/>
      <c r="GW98" s="40"/>
      <c r="GX98" s="39"/>
      <c r="GY98" s="40"/>
      <c r="GZ98" s="39"/>
      <c r="HA98" s="40"/>
      <c r="HB98" s="39"/>
      <c r="HC98" s="40"/>
      <c r="HD98" s="39"/>
      <c r="HE98" s="40"/>
      <c r="HF98" s="39"/>
      <c r="HG98" s="40"/>
      <c r="HH98" s="39"/>
      <c r="HI98" s="40"/>
      <c r="HJ98" s="39"/>
      <c r="HK98" s="40"/>
      <c r="HL98" s="39"/>
      <c r="HM98" s="40"/>
      <c r="HN98" s="39"/>
      <c r="HO98" s="40"/>
      <c r="HP98" s="39"/>
      <c r="HQ98" s="40"/>
      <c r="HR98" s="39"/>
      <c r="HS98" s="40"/>
      <c r="HT98" s="39"/>
      <c r="HU98" s="40"/>
      <c r="HV98" s="39"/>
      <c r="HW98" s="40"/>
      <c r="HX98" s="39"/>
      <c r="HY98" s="40"/>
      <c r="HZ98" s="39"/>
      <c r="IA98" s="40"/>
      <c r="IB98" s="39"/>
      <c r="IC98" s="1068"/>
      <c r="ID98" s="645"/>
      <c r="IE98" s="646"/>
      <c r="IF98" s="645"/>
      <c r="IG98" s="646"/>
      <c r="IH98" s="645"/>
      <c r="II98" s="646"/>
      <c r="IJ98" s="645"/>
      <c r="IK98" s="646"/>
      <c r="IL98" s="645"/>
      <c r="IM98" s="646"/>
      <c r="IN98" s="645"/>
      <c r="IO98" s="646"/>
      <c r="IP98" s="645"/>
      <c r="IQ98" s="646"/>
      <c r="IR98" s="645"/>
      <c r="IS98" s="646"/>
      <c r="IT98" s="645"/>
      <c r="IU98" s="646"/>
      <c r="IV98" s="645"/>
      <c r="IW98" s="646"/>
      <c r="IX98" s="645"/>
      <c r="IY98" s="646"/>
      <c r="IZ98" s="645"/>
      <c r="JA98" s="646"/>
      <c r="JB98" s="645"/>
      <c r="JC98" s="646"/>
      <c r="JD98" s="645"/>
      <c r="JE98" s="646"/>
      <c r="JF98" s="645"/>
      <c r="JG98" s="646"/>
      <c r="JH98" s="645"/>
      <c r="JI98" s="646"/>
      <c r="JJ98" s="645"/>
      <c r="JK98" s="646"/>
      <c r="JL98" s="645"/>
      <c r="JM98" s="646"/>
      <c r="JN98" s="645"/>
      <c r="JO98" s="646"/>
      <c r="JP98" s="645"/>
      <c r="JQ98" s="646"/>
      <c r="JR98" s="645"/>
      <c r="JS98" s="646"/>
      <c r="JT98" s="645"/>
      <c r="JU98" s="646"/>
      <c r="JV98" s="645"/>
      <c r="JW98" s="646"/>
      <c r="JX98" s="645"/>
      <c r="JY98" s="646"/>
      <c r="JZ98" s="645"/>
      <c r="KA98" s="646"/>
      <c r="KB98" s="645"/>
      <c r="KC98" s="646"/>
      <c r="KD98" s="645"/>
      <c r="KE98" s="646"/>
      <c r="KF98" s="645"/>
      <c r="KG98" s="646"/>
      <c r="KH98" s="645"/>
      <c r="KI98" s="646"/>
      <c r="KJ98" s="645"/>
      <c r="KK98" s="646"/>
      <c r="KL98" s="645"/>
      <c r="KM98" s="646"/>
      <c r="KN98" s="645"/>
      <c r="KO98" s="646"/>
      <c r="KP98" s="645"/>
      <c r="KQ98" s="646"/>
      <c r="KR98" s="645"/>
      <c r="KS98" s="646"/>
      <c r="KT98" s="645"/>
      <c r="KU98" s="646"/>
      <c r="KV98" s="645"/>
      <c r="KW98" s="646"/>
      <c r="KX98" s="645"/>
      <c r="KY98" s="646"/>
      <c r="KZ98" s="645"/>
      <c r="LA98" s="646"/>
      <c r="LB98" s="645"/>
      <c r="LC98" s="646"/>
      <c r="LD98" s="645"/>
      <c r="LE98" s="646"/>
      <c r="LF98" s="645"/>
      <c r="LG98" s="646"/>
      <c r="LH98" s="645"/>
      <c r="LI98" s="646"/>
      <c r="LJ98" s="645"/>
      <c r="LK98" s="646"/>
      <c r="LL98" s="645"/>
      <c r="LM98" s="646"/>
      <c r="LN98" s="645"/>
      <c r="LO98" s="646"/>
      <c r="LP98" s="645"/>
      <c r="LQ98" s="646"/>
      <c r="LR98" s="645"/>
      <c r="LS98" s="646"/>
      <c r="LT98" s="645"/>
      <c r="LU98" s="646"/>
      <c r="LV98" s="645"/>
      <c r="LW98" s="646"/>
      <c r="LX98" s="645"/>
      <c r="LY98" s="646"/>
      <c r="LZ98" s="645"/>
      <c r="MA98" s="646"/>
      <c r="MB98" s="645"/>
      <c r="MC98" s="646"/>
      <c r="MD98" s="645"/>
      <c r="ME98" s="646"/>
      <c r="MF98" s="645"/>
      <c r="MG98" s="646"/>
      <c r="MH98" s="645"/>
      <c r="MI98" s="646"/>
      <c r="MJ98" s="645"/>
      <c r="MK98" s="646"/>
      <c r="ML98" s="645"/>
      <c r="MM98" s="646"/>
      <c r="MN98" s="645"/>
      <c r="MO98" s="646"/>
      <c r="MP98" s="645"/>
      <c r="MQ98" s="646"/>
      <c r="MR98" s="645"/>
      <c r="MS98" s="646"/>
      <c r="MT98" s="645"/>
      <c r="MU98" s="646"/>
      <c r="MV98" s="645"/>
      <c r="MW98" s="646"/>
      <c r="MX98" s="645"/>
      <c r="MY98" s="646"/>
      <c r="MZ98" s="645"/>
      <c r="NA98" s="646"/>
      <c r="NB98" s="645"/>
      <c r="NC98" s="646"/>
      <c r="ND98" s="645"/>
      <c r="NE98" s="646"/>
      <c r="NF98" s="645"/>
      <c r="NG98" s="646"/>
      <c r="NH98" s="645"/>
      <c r="NI98" s="646"/>
      <c r="NJ98" s="645"/>
      <c r="NK98" s="646"/>
      <c r="NL98" s="645"/>
      <c r="NM98" s="646"/>
      <c r="NN98" s="645"/>
      <c r="NO98" s="646"/>
      <c r="NP98" s="645"/>
      <c r="NQ98" s="646"/>
      <c r="NR98" s="645"/>
      <c r="NS98" s="646"/>
      <c r="NT98" s="645"/>
      <c r="NU98" s="646"/>
      <c r="NV98" s="645"/>
      <c r="NW98" s="646"/>
      <c r="NX98" s="645"/>
      <c r="NY98" s="646"/>
      <c r="NZ98" s="645"/>
      <c r="OA98" s="646"/>
      <c r="OB98" s="645"/>
      <c r="OC98" s="646"/>
      <c r="OD98" s="645"/>
      <c r="OE98" s="646"/>
      <c r="OF98" s="645"/>
      <c r="OG98" s="646"/>
      <c r="OH98" s="645"/>
      <c r="OI98" s="646"/>
      <c r="OJ98" s="645"/>
      <c r="OK98" s="646"/>
      <c r="OL98" s="645"/>
      <c r="OM98" s="646"/>
      <c r="ON98" s="645"/>
      <c r="OO98" s="646"/>
      <c r="OP98" s="645"/>
      <c r="OQ98" s="646"/>
      <c r="OR98" s="645"/>
      <c r="OS98" s="646"/>
      <c r="OT98" s="645"/>
      <c r="OU98" s="646"/>
      <c r="OV98" s="645"/>
      <c r="OW98" s="646"/>
      <c r="OX98" s="645"/>
      <c r="OY98" s="646"/>
      <c r="OZ98" s="645"/>
      <c r="PA98" s="646"/>
      <c r="PB98" s="645"/>
      <c r="PC98" s="646"/>
      <c r="PD98" s="645"/>
      <c r="PE98" s="646"/>
      <c r="PF98" s="645"/>
      <c r="PG98" s="646"/>
      <c r="PH98" s="645"/>
      <c r="PI98" s="646"/>
      <c r="PJ98" s="645"/>
      <c r="PK98" s="646"/>
      <c r="PL98" s="645"/>
      <c r="PM98" s="646"/>
      <c r="PN98" s="645"/>
      <c r="PO98" s="646"/>
      <c r="PP98" s="645"/>
      <c r="PQ98" s="646"/>
      <c r="PR98" s="645"/>
      <c r="PS98" s="646"/>
      <c r="PT98" s="645"/>
      <c r="PU98" s="646"/>
      <c r="PV98" s="645"/>
      <c r="PW98" s="646"/>
      <c r="PX98" s="645"/>
      <c r="PY98" s="646"/>
      <c r="PZ98" s="645"/>
      <c r="QA98" s="646"/>
      <c r="QB98" s="645"/>
      <c r="QC98" s="646"/>
      <c r="QD98" s="645"/>
      <c r="QE98" s="646"/>
      <c r="QF98" s="645"/>
      <c r="QG98" s="646"/>
      <c r="QH98" s="645"/>
      <c r="QI98" s="646"/>
      <c r="QJ98" s="645"/>
      <c r="QK98" s="646"/>
      <c r="QL98" s="645"/>
      <c r="QM98" s="646"/>
      <c r="QN98" s="645"/>
      <c r="QO98" s="646"/>
      <c r="QP98" s="645"/>
      <c r="QQ98" s="646"/>
      <c r="QR98" s="645"/>
      <c r="QS98" s="646"/>
      <c r="QT98" s="645"/>
      <c r="QU98" s="646"/>
      <c r="QV98" s="645"/>
      <c r="QW98" s="646"/>
      <c r="QX98" s="645"/>
      <c r="QY98" s="646"/>
      <c r="QZ98" s="645"/>
      <c r="RA98" s="646"/>
      <c r="RB98" s="645"/>
      <c r="RC98" s="646"/>
      <c r="RD98" s="645"/>
      <c r="RE98" s="646"/>
      <c r="RF98" s="645"/>
      <c r="RG98" s="646"/>
      <c r="RH98" s="645"/>
      <c r="RI98" s="646"/>
      <c r="RJ98" s="645"/>
      <c r="RK98" s="646"/>
      <c r="RL98" s="645"/>
      <c r="RM98" s="646"/>
      <c r="RN98" s="645"/>
      <c r="RO98" s="646"/>
      <c r="RP98" s="645"/>
      <c r="RQ98" s="646"/>
      <c r="RR98" s="645"/>
      <c r="RS98" s="646"/>
      <c r="RT98" s="645"/>
      <c r="RU98" s="646"/>
      <c r="RV98" s="645"/>
      <c r="RW98" s="646"/>
      <c r="RX98" s="645"/>
      <c r="RY98" s="646"/>
      <c r="RZ98" s="645"/>
      <c r="SA98" s="646"/>
      <c r="SB98" s="645"/>
      <c r="SC98" s="646"/>
      <c r="SD98" s="645"/>
      <c r="SE98" s="646"/>
      <c r="SF98" s="645"/>
      <c r="SG98" s="646"/>
      <c r="SH98" s="645"/>
      <c r="SI98" s="646"/>
      <c r="SJ98" s="645"/>
      <c r="SK98" s="646"/>
      <c r="SL98" s="645"/>
      <c r="SM98" s="646"/>
      <c r="SN98" s="645"/>
      <c r="SO98" s="646"/>
      <c r="SP98" s="645"/>
      <c r="SQ98" s="646"/>
      <c r="SR98" s="645"/>
      <c r="SS98" s="646"/>
      <c r="ST98" s="645"/>
      <c r="SU98" s="646"/>
      <c r="SV98" s="645"/>
      <c r="SW98" s="646"/>
      <c r="SX98" s="645"/>
      <c r="SY98" s="646"/>
      <c r="SZ98" s="645"/>
      <c r="TA98" s="646"/>
      <c r="TB98" s="645"/>
      <c r="TC98" s="646"/>
      <c r="TD98" s="645"/>
      <c r="TE98" s="646"/>
      <c r="TF98" s="645"/>
      <c r="TG98" s="646"/>
      <c r="TH98" s="645"/>
      <c r="TI98" s="646"/>
      <c r="TJ98" s="645"/>
      <c r="TK98" s="646"/>
      <c r="TL98" s="645"/>
      <c r="TM98" s="646"/>
      <c r="TN98" s="645"/>
      <c r="TO98" s="646"/>
      <c r="TP98" s="645"/>
      <c r="TQ98" s="646"/>
      <c r="TR98" s="645"/>
      <c r="TS98" s="646"/>
      <c r="TT98" s="645"/>
      <c r="TU98" s="646"/>
      <c r="TV98" s="645"/>
      <c r="TW98" s="646"/>
      <c r="TX98" s="645"/>
      <c r="TY98" s="646"/>
      <c r="TZ98" s="645"/>
      <c r="UA98" s="646"/>
      <c r="UB98" s="645"/>
      <c r="UC98" s="646"/>
      <c r="UD98" s="645"/>
      <c r="UE98" s="646"/>
      <c r="UF98" s="645"/>
      <c r="UG98" s="646"/>
      <c r="UH98" s="645"/>
      <c r="UI98" s="646"/>
      <c r="UJ98" s="645"/>
      <c r="UK98" s="646"/>
      <c r="UL98" s="645"/>
      <c r="UM98" s="646"/>
      <c r="UN98" s="645"/>
      <c r="UO98" s="646"/>
      <c r="UP98" s="645"/>
      <c r="UQ98" s="646"/>
      <c r="UR98" s="645"/>
      <c r="US98" s="646"/>
      <c r="UT98" s="645"/>
      <c r="UU98" s="646"/>
      <c r="UV98" s="645"/>
      <c r="UW98" s="646"/>
      <c r="UX98" s="645"/>
      <c r="UY98" s="646"/>
      <c r="UZ98" s="645"/>
      <c r="VA98" s="646"/>
      <c r="VB98" s="645"/>
      <c r="VC98" s="646"/>
      <c r="VD98" s="645"/>
      <c r="VE98" s="646"/>
      <c r="VF98" s="645"/>
      <c r="VG98" s="646"/>
      <c r="VH98" s="645"/>
      <c r="VI98" s="646"/>
      <c r="VJ98" s="645"/>
      <c r="VK98" s="646"/>
      <c r="VL98" s="645"/>
      <c r="VM98" s="646"/>
      <c r="VN98" s="645"/>
      <c r="VO98" s="646"/>
      <c r="VP98" s="645"/>
      <c r="VQ98" s="646"/>
      <c r="VR98" s="645"/>
      <c r="VS98" s="646"/>
      <c r="VT98" s="645"/>
      <c r="VU98" s="646"/>
      <c r="VV98" s="645"/>
      <c r="VW98" s="646"/>
      <c r="VX98" s="645"/>
      <c r="VY98" s="646"/>
      <c r="VZ98" s="645"/>
      <c r="WA98" s="646"/>
      <c r="WB98" s="645"/>
      <c r="WC98" s="646"/>
      <c r="WD98" s="645"/>
      <c r="WE98" s="646"/>
      <c r="WF98" s="645"/>
      <c r="WG98" s="646"/>
      <c r="WH98" s="645"/>
      <c r="WI98" s="646"/>
      <c r="WJ98" s="645"/>
      <c r="WK98" s="646"/>
      <c r="WL98" s="645"/>
      <c r="WM98" s="646"/>
      <c r="WN98" s="645"/>
      <c r="WO98" s="646"/>
      <c r="WP98" s="645"/>
      <c r="WQ98" s="646"/>
      <c r="WR98" s="645"/>
      <c r="WS98" s="646"/>
      <c r="WT98" s="645"/>
      <c r="WU98" s="646"/>
      <c r="WV98" s="645"/>
      <c r="WW98" s="646"/>
      <c r="WX98" s="645"/>
      <c r="WY98" s="646"/>
      <c r="WZ98" s="645"/>
      <c r="XA98" s="646"/>
      <c r="XB98" s="645"/>
      <c r="XC98" s="646"/>
      <c r="XD98" s="645"/>
      <c r="XE98" s="646"/>
      <c r="XF98" s="645"/>
      <c r="XG98" s="646"/>
      <c r="XH98" s="645"/>
      <c r="XI98" s="646"/>
      <c r="XJ98" s="645"/>
      <c r="XK98" s="646"/>
      <c r="XL98" s="645"/>
      <c r="XM98" s="646"/>
      <c r="XN98" s="645"/>
      <c r="XO98" s="646"/>
      <c r="XP98" s="645"/>
      <c r="XQ98" s="646"/>
      <c r="XR98" s="645"/>
      <c r="XS98" s="646"/>
      <c r="XT98" s="645"/>
      <c r="XU98" s="646"/>
      <c r="XV98" s="645"/>
      <c r="XW98" s="646"/>
      <c r="XX98" s="645"/>
      <c r="XY98" s="646"/>
      <c r="XZ98" s="645"/>
      <c r="YA98" s="646"/>
      <c r="YB98" s="645"/>
      <c r="YC98" s="646"/>
      <c r="YD98" s="645"/>
      <c r="YE98" s="646"/>
      <c r="YF98" s="645"/>
      <c r="YG98" s="646"/>
      <c r="YH98" s="645"/>
      <c r="YI98" s="646"/>
      <c r="YJ98" s="645"/>
      <c r="YK98" s="646"/>
      <c r="YL98" s="645"/>
      <c r="YM98" s="646"/>
      <c r="YN98" s="645"/>
      <c r="YO98" s="646"/>
      <c r="YP98" s="645"/>
      <c r="YQ98" s="646"/>
      <c r="YR98" s="645"/>
      <c r="YS98" s="646"/>
      <c r="YT98" s="645"/>
      <c r="YU98" s="646"/>
      <c r="YV98" s="645"/>
      <c r="YW98" s="646"/>
      <c r="YX98" s="645"/>
      <c r="YY98" s="646"/>
      <c r="YZ98" s="645"/>
      <c r="ZA98" s="646"/>
      <c r="ZB98" s="645"/>
      <c r="ZC98" s="646"/>
      <c r="ZD98" s="645"/>
      <c r="ZE98" s="646"/>
      <c r="ZF98" s="645"/>
      <c r="ZG98" s="646"/>
      <c r="ZH98" s="645"/>
      <c r="ZI98" s="646"/>
      <c r="ZJ98" s="645"/>
      <c r="ZK98" s="646"/>
      <c r="ZL98" s="645"/>
      <c r="ZM98" s="646"/>
      <c r="ZN98" s="645"/>
      <c r="ZO98" s="646"/>
      <c r="ZP98" s="645"/>
      <c r="ZQ98" s="646"/>
      <c r="ZR98" s="645"/>
      <c r="ZS98" s="646"/>
      <c r="ZT98" s="645"/>
      <c r="ZU98" s="646"/>
      <c r="ZV98" s="645"/>
      <c r="ZW98" s="646"/>
      <c r="ZX98" s="645"/>
      <c r="ZY98" s="646"/>
      <c r="ZZ98" s="645"/>
      <c r="AAA98" s="646"/>
      <c r="AAB98" s="645"/>
      <c r="AAC98" s="646"/>
      <c r="AAD98" s="645"/>
      <c r="AAE98" s="646"/>
      <c r="AAF98" s="645"/>
      <c r="AAG98" s="646"/>
      <c r="AAH98" s="645"/>
      <c r="AAI98" s="646"/>
      <c r="AAJ98" s="645"/>
      <c r="AAK98" s="646"/>
      <c r="AAL98" s="645"/>
      <c r="AAM98" s="646"/>
      <c r="AAN98" s="645"/>
      <c r="AAO98" s="646"/>
      <c r="AAP98" s="645"/>
      <c r="AAQ98" s="646"/>
      <c r="AAR98" s="645"/>
      <c r="AAS98" s="646"/>
      <c r="AAT98" s="645"/>
      <c r="AAU98" s="646"/>
      <c r="AAV98" s="645"/>
      <c r="AAW98" s="646"/>
      <c r="AAX98" s="645"/>
      <c r="AAY98" s="646"/>
      <c r="AAZ98" s="645"/>
      <c r="ABA98" s="646"/>
      <c r="ABB98" s="645"/>
      <c r="ABC98" s="646"/>
      <c r="ABD98" s="645"/>
      <c r="ABE98" s="646"/>
      <c r="ABF98" s="645"/>
      <c r="ABG98" s="646"/>
      <c r="ABH98" s="645"/>
      <c r="ABI98" s="646"/>
      <c r="ABJ98" s="645"/>
      <c r="ABK98" s="646"/>
      <c r="ABL98" s="645"/>
      <c r="ABM98" s="646"/>
      <c r="ABN98" s="645"/>
      <c r="ABO98" s="646"/>
      <c r="ABP98" s="645"/>
      <c r="ABQ98" s="646"/>
      <c r="ABR98" s="645"/>
      <c r="ABS98" s="646"/>
      <c r="ABT98" s="645"/>
      <c r="ABU98" s="646"/>
      <c r="ABV98" s="645"/>
      <c r="ABW98" s="646"/>
      <c r="ABX98" s="645"/>
      <c r="ABY98" s="646"/>
      <c r="ABZ98" s="645"/>
      <c r="ACA98" s="646"/>
      <c r="ACB98" s="645"/>
      <c r="ACC98" s="646"/>
      <c r="ACD98" s="645"/>
      <c r="ACE98" s="646"/>
      <c r="ACF98" s="645"/>
      <c r="ACG98" s="646"/>
      <c r="ACH98" s="645"/>
      <c r="ACI98" s="646"/>
      <c r="ACJ98" s="645"/>
      <c r="ACK98" s="646"/>
      <c r="ACL98" s="645"/>
      <c r="ACM98" s="646"/>
      <c r="ACN98" s="645"/>
      <c r="ACO98" s="646"/>
      <c r="ACP98" s="645"/>
      <c r="ACQ98" s="646"/>
      <c r="ACR98" s="645"/>
      <c r="ACS98" s="646"/>
      <c r="ACT98" s="645"/>
      <c r="ACU98" s="646"/>
      <c r="ACV98" s="645"/>
      <c r="ACW98" s="646"/>
      <c r="ACX98" s="645"/>
      <c r="ACY98" s="646"/>
      <c r="ACZ98" s="645"/>
      <c r="ADA98" s="646"/>
      <c r="ADB98" s="645"/>
      <c r="ADC98" s="646"/>
      <c r="ADD98" s="645"/>
      <c r="ADE98" s="646"/>
      <c r="ADF98" s="645"/>
      <c r="ADG98" s="646"/>
      <c r="ADH98" s="645"/>
      <c r="ADI98" s="646"/>
      <c r="ADJ98" s="645"/>
      <c r="ADK98" s="646"/>
      <c r="ADL98" s="645"/>
      <c r="ADM98" s="646"/>
      <c r="ADN98" s="645"/>
      <c r="ADO98" s="646"/>
      <c r="ADP98" s="645"/>
      <c r="ADQ98" s="646"/>
      <c r="ADR98" s="645"/>
      <c r="ADS98" s="646"/>
      <c r="ADT98" s="645"/>
      <c r="ADU98" s="646"/>
      <c r="ADV98" s="645"/>
      <c r="ADW98" s="646"/>
      <c r="ADX98" s="645"/>
      <c r="ADY98" s="646"/>
      <c r="ADZ98" s="645"/>
      <c r="AEA98" s="646"/>
      <c r="AEB98" s="645"/>
      <c r="AEC98" s="646"/>
      <c r="AED98" s="645"/>
      <c r="AEE98" s="646"/>
      <c r="AEF98" s="645"/>
      <c r="AEG98" s="646"/>
      <c r="AEH98" s="645"/>
      <c r="AEI98" s="646"/>
      <c r="AEJ98" s="645"/>
      <c r="AEK98" s="646"/>
      <c r="AEL98" s="645"/>
      <c r="AEM98" s="646"/>
      <c r="AEN98" s="645"/>
      <c r="AEO98" s="646"/>
      <c r="AEP98" s="645"/>
      <c r="AEQ98" s="646"/>
      <c r="AER98" s="645"/>
      <c r="AES98" s="646"/>
      <c r="AET98" s="645"/>
      <c r="AEU98" s="646"/>
      <c r="AEV98" s="645"/>
      <c r="AEW98" s="646"/>
      <c r="AEX98" s="645"/>
      <c r="AEY98" s="646"/>
      <c r="AEZ98" s="645"/>
      <c r="AFA98" s="646"/>
      <c r="AFB98" s="645"/>
      <c r="AFC98" s="646"/>
      <c r="AFD98" s="645"/>
      <c r="AFE98" s="646"/>
      <c r="AFF98" s="645"/>
      <c r="AFG98" s="646"/>
      <c r="AFH98" s="645"/>
      <c r="AFI98" s="646"/>
      <c r="AFJ98" s="645"/>
      <c r="AFK98" s="646"/>
      <c r="AFL98" s="645"/>
      <c r="AFM98" s="646"/>
      <c r="AFN98" s="645"/>
      <c r="AFO98" s="646"/>
      <c r="AFP98" s="645"/>
      <c r="AFQ98" s="646"/>
      <c r="AFR98" s="645"/>
      <c r="AFS98" s="646"/>
      <c r="AFT98" s="645"/>
      <c r="AFU98" s="646"/>
      <c r="AFV98" s="645"/>
      <c r="AFW98" s="646"/>
      <c r="AFX98" s="645"/>
      <c r="AFY98" s="646"/>
      <c r="AFZ98" s="645"/>
      <c r="AGA98" s="646"/>
      <c r="AGB98" s="645"/>
      <c r="AGC98" s="646"/>
      <c r="AGD98" s="645"/>
      <c r="AGE98" s="646"/>
      <c r="AGF98" s="645"/>
      <c r="AGG98" s="646"/>
      <c r="AGH98" s="645"/>
      <c r="AGI98" s="646"/>
      <c r="AGJ98" s="645"/>
      <c r="AGK98" s="646"/>
      <c r="AGL98" s="645"/>
      <c r="AGM98" s="646"/>
      <c r="AGN98" s="645"/>
      <c r="AGO98" s="646"/>
      <c r="AGP98" s="645"/>
      <c r="AGQ98" s="646"/>
      <c r="AGR98" s="645"/>
      <c r="AGS98" s="646"/>
      <c r="AGT98" s="645"/>
      <c r="AGU98" s="646"/>
      <c r="AGV98" s="645"/>
      <c r="AGW98" s="646"/>
      <c r="AGX98" s="645"/>
      <c r="AGY98" s="646"/>
      <c r="AGZ98" s="645"/>
      <c r="AHA98" s="646"/>
      <c r="AHB98" s="645"/>
      <c r="AHC98" s="646"/>
      <c r="AHD98" s="645"/>
      <c r="AHE98" s="646"/>
      <c r="AHF98" s="645"/>
      <c r="AHG98" s="646"/>
      <c r="AHH98" s="645"/>
      <c r="AHI98" s="646"/>
      <c r="AHJ98" s="645"/>
      <c r="AHK98" s="646"/>
      <c r="AHL98" s="645"/>
      <c r="AHM98" s="646"/>
      <c r="AHN98" s="645"/>
      <c r="AHO98" s="646"/>
      <c r="AHP98" s="645"/>
      <c r="AHQ98" s="646"/>
      <c r="AHR98" s="645"/>
      <c r="AHS98" s="646"/>
      <c r="AHT98" s="645"/>
      <c r="AHU98" s="646"/>
      <c r="AHV98" s="645"/>
      <c r="AHW98" s="646"/>
      <c r="AHX98" s="645"/>
      <c r="AHY98" s="646"/>
      <c r="AHZ98" s="645"/>
      <c r="AIA98" s="646"/>
      <c r="AIB98" s="645"/>
      <c r="AIC98" s="646"/>
      <c r="AID98" s="645"/>
      <c r="AIE98" s="646"/>
      <c r="AIF98" s="645"/>
      <c r="AIG98" s="646"/>
      <c r="AIH98" s="645"/>
      <c r="AII98" s="646"/>
      <c r="AIJ98" s="645"/>
      <c r="AIK98" s="646"/>
      <c r="AIL98" s="645"/>
      <c r="AIM98" s="646"/>
      <c r="AIN98" s="645"/>
      <c r="AIO98" s="646"/>
      <c r="AIP98" s="645"/>
      <c r="AIQ98" s="645"/>
      <c r="AIR98" s="645"/>
      <c r="AIS98" s="645"/>
      <c r="AIT98" s="645"/>
      <c r="AIU98" s="645"/>
      <c r="AIV98" s="645"/>
      <c r="AIW98" s="645"/>
      <c r="AIX98" s="645"/>
      <c r="AIY98" s="645"/>
      <c r="AIZ98" s="645"/>
      <c r="AJA98" s="645"/>
      <c r="AJB98" s="645"/>
      <c r="AJC98" s="645"/>
      <c r="AJD98" s="645"/>
      <c r="AJE98" s="645"/>
      <c r="AJF98" s="645"/>
      <c r="AJG98" s="645"/>
      <c r="AJH98" s="645"/>
      <c r="AJI98" s="645"/>
      <c r="AJJ98" s="645"/>
      <c r="AJK98" s="645"/>
      <c r="AJL98" s="645"/>
      <c r="AJM98" s="645"/>
      <c r="AJN98" s="645"/>
      <c r="AJO98" s="645"/>
      <c r="AJP98" s="645"/>
      <c r="AJQ98" s="645"/>
      <c r="AJR98" s="645"/>
      <c r="AJS98" s="645"/>
      <c r="AJT98" s="645"/>
      <c r="AJU98" s="645"/>
      <c r="AJV98" s="645"/>
      <c r="AJW98" s="645"/>
      <c r="AJX98" s="645"/>
      <c r="AJY98" s="645"/>
      <c r="AJZ98" s="645"/>
      <c r="AKA98" s="645"/>
      <c r="AKB98" s="645"/>
      <c r="AKC98" s="645"/>
      <c r="AKD98" s="645"/>
      <c r="AKE98" s="645"/>
      <c r="AKF98" s="645"/>
      <c r="AKG98" s="645"/>
      <c r="AKH98" s="645"/>
      <c r="AKI98" s="645"/>
      <c r="AKJ98" s="645"/>
      <c r="AKK98" s="645"/>
      <c r="AKL98" s="645"/>
      <c r="AKM98" s="645"/>
      <c r="AKN98" s="645"/>
      <c r="AKO98" s="645"/>
      <c r="AKP98" s="645"/>
      <c r="AKQ98" s="645"/>
      <c r="AKR98" s="645"/>
      <c r="AKS98" s="645"/>
      <c r="AKT98" s="645"/>
      <c r="AKU98" s="645"/>
      <c r="AKV98" s="645"/>
      <c r="AKW98" s="645"/>
      <c r="AKX98" s="645"/>
      <c r="AKY98" s="645"/>
      <c r="AKZ98" s="645"/>
      <c r="ALA98" s="645"/>
      <c r="ALB98" s="645"/>
      <c r="ALC98" s="645"/>
      <c r="ALD98" s="645"/>
      <c r="ALE98" s="645"/>
      <c r="ALF98" s="645"/>
      <c r="ALG98" s="645"/>
      <c r="ALH98" s="645"/>
      <c r="ALI98" s="645"/>
      <c r="ALJ98" s="645"/>
      <c r="ALK98" s="645"/>
      <c r="ALL98" s="645"/>
      <c r="ALM98" s="645"/>
      <c r="ALN98" s="645"/>
      <c r="ALO98" s="645"/>
      <c r="ALP98" s="645"/>
      <c r="ALQ98" s="645"/>
      <c r="ALR98" s="645"/>
      <c r="ALS98" s="645"/>
      <c r="ALT98" s="645"/>
      <c r="ALU98" s="645"/>
      <c r="ALV98" s="645"/>
      <c r="ALW98" s="645"/>
      <c r="ALX98" s="645"/>
      <c r="ALY98" s="645"/>
      <c r="ALZ98" s="645"/>
      <c r="AMA98" s="645"/>
      <c r="AMB98" s="645"/>
      <c r="AMC98" s="645"/>
      <c r="AMD98" s="645"/>
      <c r="AME98" s="645"/>
      <c r="AMF98" s="645"/>
      <c r="AMG98" s="645"/>
      <c r="AMH98" s="645"/>
      <c r="AMI98" s="645"/>
      <c r="AMJ98" s="645"/>
    </row>
    <row r="99" spans="1:1024" s="37" customFormat="1" ht="15.75" customHeight="1" x14ac:dyDescent="0.35">
      <c r="A99" s="600"/>
      <c r="B99" s="644" t="s">
        <v>353</v>
      </c>
      <c r="C99" s="645"/>
      <c r="D99" s="646"/>
      <c r="E99" s="645"/>
      <c r="F99" s="646"/>
      <c r="G99" s="647" t="s">
        <v>243</v>
      </c>
      <c r="H99" s="643"/>
      <c r="I99" s="645"/>
      <c r="J99" s="38"/>
      <c r="K99" s="38"/>
      <c r="L99" s="39"/>
      <c r="M99" s="38"/>
      <c r="N99" s="39"/>
      <c r="O99" s="38"/>
      <c r="P99" s="39"/>
      <c r="Q99" s="38"/>
      <c r="R99" s="39"/>
      <c r="S99" s="38"/>
      <c r="T99" s="39"/>
      <c r="U99" s="38"/>
      <c r="V99" s="39"/>
      <c r="W99" s="38"/>
      <c r="X99" s="39"/>
      <c r="Y99" s="38"/>
      <c r="Z99" s="39"/>
      <c r="AA99" s="38"/>
      <c r="AB99" s="39"/>
      <c r="AC99" s="38"/>
      <c r="AD99" s="39"/>
      <c r="AE99" s="38"/>
      <c r="AF99" s="39"/>
      <c r="AG99" s="38"/>
      <c r="AH99" s="39"/>
      <c r="AI99" s="38"/>
      <c r="AJ99" s="39"/>
      <c r="AK99" s="40"/>
      <c r="AL99" s="39"/>
      <c r="AM99" s="40"/>
      <c r="AN99" s="39"/>
      <c r="AO99" s="40"/>
      <c r="AP99" s="39"/>
      <c r="AQ99" s="40"/>
      <c r="AR99" s="39"/>
      <c r="AS99" s="40"/>
      <c r="AT99" s="39"/>
      <c r="AU99" s="40"/>
      <c r="AV99" s="39"/>
      <c r="AW99" s="40"/>
      <c r="AX99" s="39"/>
      <c r="AY99" s="40"/>
      <c r="AZ99" s="39"/>
      <c r="BA99" s="40"/>
      <c r="BB99" s="39"/>
      <c r="BC99" s="40"/>
      <c r="BD99" s="39"/>
      <c r="BE99" s="40"/>
      <c r="BF99" s="39"/>
      <c r="BG99" s="40"/>
      <c r="BH99" s="39"/>
      <c r="BI99" s="40"/>
      <c r="BJ99" s="39"/>
      <c r="BK99" s="40"/>
      <c r="BL99" s="39"/>
      <c r="BM99" s="40"/>
      <c r="BN99" s="39"/>
      <c r="BO99" s="40"/>
      <c r="BP99" s="39"/>
      <c r="BQ99" s="40"/>
      <c r="BR99" s="39"/>
      <c r="BS99" s="40"/>
      <c r="BT99" s="39"/>
      <c r="BU99" s="40"/>
      <c r="BV99" s="39"/>
      <c r="BW99" s="40"/>
      <c r="BX99" s="39"/>
      <c r="BY99" s="40"/>
      <c r="BZ99" s="39"/>
      <c r="CA99" s="40"/>
      <c r="CB99" s="39"/>
      <c r="CC99" s="40"/>
      <c r="CD99" s="39"/>
      <c r="CE99" s="40"/>
      <c r="CF99" s="39"/>
      <c r="CG99" s="40"/>
      <c r="CH99" s="39"/>
      <c r="CI99" s="40"/>
      <c r="CJ99" s="39"/>
      <c r="CK99" s="40"/>
      <c r="CL99" s="39"/>
      <c r="CM99" s="40"/>
      <c r="CN99" s="39"/>
      <c r="CO99" s="40"/>
      <c r="CP99" s="39"/>
      <c r="CQ99" s="40"/>
      <c r="CR99" s="39"/>
      <c r="CS99" s="40"/>
      <c r="CT99" s="39"/>
      <c r="CU99" s="40"/>
      <c r="CV99" s="39"/>
      <c r="CW99" s="40"/>
      <c r="CX99" s="39"/>
      <c r="CY99" s="40"/>
      <c r="CZ99" s="39"/>
      <c r="DA99" s="40"/>
      <c r="DB99" s="39"/>
      <c r="DC99" s="40"/>
      <c r="DD99" s="39"/>
      <c r="DE99" s="40"/>
      <c r="DF99" s="39"/>
      <c r="DG99" s="40"/>
      <c r="DH99" s="39"/>
      <c r="DI99" s="40"/>
      <c r="DJ99" s="39"/>
      <c r="DK99" s="40"/>
      <c r="DL99" s="39"/>
      <c r="DM99" s="40"/>
      <c r="DN99" s="39"/>
      <c r="DO99" s="40"/>
      <c r="DP99" s="39"/>
      <c r="DQ99" s="40"/>
      <c r="DR99" s="39"/>
      <c r="DS99" s="40"/>
      <c r="DT99" s="39"/>
      <c r="DU99" s="40"/>
      <c r="DV99" s="39"/>
      <c r="DW99" s="40"/>
      <c r="DX99" s="39"/>
      <c r="DY99" s="40"/>
      <c r="DZ99" s="39"/>
      <c r="EA99" s="40"/>
      <c r="EB99" s="39"/>
      <c r="EC99" s="40"/>
      <c r="ED99" s="39"/>
      <c r="EE99" s="40"/>
      <c r="EF99" s="39"/>
      <c r="EG99" s="40"/>
      <c r="EH99" s="39"/>
      <c r="EI99" s="40"/>
      <c r="EJ99" s="39"/>
      <c r="EK99" s="40"/>
      <c r="EL99" s="39"/>
      <c r="EM99" s="40"/>
      <c r="EN99" s="39"/>
      <c r="EO99" s="40"/>
      <c r="EP99" s="39"/>
      <c r="EQ99" s="40"/>
      <c r="ER99" s="39"/>
      <c r="ES99" s="40"/>
      <c r="ET99" s="39"/>
      <c r="EU99" s="40"/>
      <c r="EV99" s="39"/>
      <c r="EW99" s="40"/>
      <c r="EX99" s="39"/>
      <c r="EY99" s="40"/>
      <c r="EZ99" s="39"/>
      <c r="FA99" s="40"/>
      <c r="FB99" s="39"/>
      <c r="FC99" s="40"/>
      <c r="FD99" s="39"/>
      <c r="FE99" s="40"/>
      <c r="FF99" s="39"/>
      <c r="FG99" s="40"/>
      <c r="FH99" s="39"/>
      <c r="FI99" s="40"/>
      <c r="FJ99" s="39"/>
      <c r="FK99" s="40"/>
      <c r="FL99" s="39"/>
      <c r="FM99" s="40"/>
      <c r="FN99" s="39"/>
      <c r="FO99" s="40"/>
      <c r="FP99" s="39"/>
      <c r="FQ99" s="40"/>
      <c r="FR99" s="39"/>
      <c r="FS99" s="40"/>
      <c r="FT99" s="39"/>
      <c r="FU99" s="40"/>
      <c r="FV99" s="39"/>
      <c r="FW99" s="40"/>
      <c r="FX99" s="39"/>
      <c r="FY99" s="40"/>
      <c r="FZ99" s="39"/>
      <c r="GA99" s="40"/>
      <c r="GB99" s="39"/>
      <c r="GC99" s="40"/>
      <c r="GD99" s="39"/>
      <c r="GE99" s="40"/>
      <c r="GF99" s="39"/>
      <c r="GG99" s="40"/>
      <c r="GH99" s="39"/>
      <c r="GI99" s="40"/>
      <c r="GJ99" s="39"/>
      <c r="GK99" s="40"/>
      <c r="GL99" s="39"/>
      <c r="GM99" s="40"/>
      <c r="GN99" s="39"/>
      <c r="GO99" s="40"/>
      <c r="GP99" s="39"/>
      <c r="GQ99" s="40"/>
      <c r="GR99" s="39"/>
      <c r="GS99" s="40"/>
      <c r="GT99" s="39"/>
      <c r="GU99" s="40"/>
      <c r="GV99" s="39"/>
      <c r="GW99" s="40"/>
      <c r="GX99" s="39"/>
      <c r="GY99" s="40"/>
      <c r="GZ99" s="39"/>
      <c r="HA99" s="40"/>
      <c r="HB99" s="39"/>
      <c r="HC99" s="40"/>
      <c r="HD99" s="39"/>
      <c r="HE99" s="40"/>
      <c r="HF99" s="39"/>
      <c r="HG99" s="40"/>
      <c r="HH99" s="39"/>
      <c r="HI99" s="40"/>
      <c r="HJ99" s="39"/>
      <c r="HK99" s="40"/>
      <c r="HL99" s="39"/>
      <c r="HM99" s="40"/>
      <c r="HN99" s="39"/>
      <c r="HO99" s="40"/>
      <c r="HP99" s="39"/>
      <c r="HQ99" s="40"/>
      <c r="HR99" s="39"/>
      <c r="HS99" s="40"/>
      <c r="HT99" s="39"/>
      <c r="HU99" s="40"/>
      <c r="HV99" s="39"/>
      <c r="HW99" s="40"/>
      <c r="HX99" s="39"/>
      <c r="HY99" s="40"/>
      <c r="HZ99" s="39"/>
      <c r="IA99" s="40"/>
      <c r="IB99" s="39"/>
      <c r="IC99" s="1068"/>
      <c r="ID99" s="645"/>
      <c r="IE99" s="646"/>
      <c r="IF99" s="645"/>
      <c r="IG99" s="646"/>
      <c r="IH99" s="645"/>
      <c r="II99" s="646"/>
      <c r="IJ99" s="645"/>
      <c r="IK99" s="646"/>
      <c r="IL99" s="645"/>
      <c r="IM99" s="646"/>
      <c r="IN99" s="645"/>
      <c r="IO99" s="646"/>
      <c r="IP99" s="645"/>
      <c r="IQ99" s="646"/>
      <c r="IR99" s="645"/>
      <c r="IS99" s="646"/>
      <c r="IT99" s="645"/>
      <c r="IU99" s="646"/>
      <c r="IV99" s="645"/>
      <c r="IW99" s="646"/>
      <c r="IX99" s="645"/>
      <c r="IY99" s="646"/>
      <c r="IZ99" s="645"/>
      <c r="JA99" s="646"/>
      <c r="JB99" s="645"/>
      <c r="JC99" s="646"/>
      <c r="JD99" s="645"/>
      <c r="JE99" s="646"/>
      <c r="JF99" s="645"/>
      <c r="JG99" s="646"/>
      <c r="JH99" s="645"/>
      <c r="JI99" s="646"/>
      <c r="JJ99" s="645"/>
      <c r="JK99" s="646"/>
      <c r="JL99" s="645"/>
      <c r="JM99" s="646"/>
      <c r="JN99" s="645"/>
      <c r="JO99" s="646"/>
      <c r="JP99" s="645"/>
      <c r="JQ99" s="646"/>
      <c r="JR99" s="645"/>
      <c r="JS99" s="646"/>
      <c r="JT99" s="645"/>
      <c r="JU99" s="646"/>
      <c r="JV99" s="645"/>
      <c r="JW99" s="646"/>
      <c r="JX99" s="645"/>
      <c r="JY99" s="646"/>
      <c r="JZ99" s="645"/>
      <c r="KA99" s="646"/>
      <c r="KB99" s="645"/>
      <c r="KC99" s="646"/>
      <c r="KD99" s="645"/>
      <c r="KE99" s="646"/>
      <c r="KF99" s="645"/>
      <c r="KG99" s="646"/>
      <c r="KH99" s="645"/>
      <c r="KI99" s="646"/>
      <c r="KJ99" s="645"/>
      <c r="KK99" s="646"/>
      <c r="KL99" s="645"/>
      <c r="KM99" s="646"/>
      <c r="KN99" s="645"/>
      <c r="KO99" s="646"/>
      <c r="KP99" s="645"/>
      <c r="KQ99" s="646"/>
      <c r="KR99" s="645"/>
      <c r="KS99" s="646"/>
      <c r="KT99" s="645"/>
      <c r="KU99" s="646"/>
      <c r="KV99" s="645"/>
      <c r="KW99" s="646"/>
      <c r="KX99" s="645"/>
      <c r="KY99" s="646"/>
      <c r="KZ99" s="645"/>
      <c r="LA99" s="646"/>
      <c r="LB99" s="645"/>
      <c r="LC99" s="646"/>
      <c r="LD99" s="645"/>
      <c r="LE99" s="646"/>
      <c r="LF99" s="645"/>
      <c r="LG99" s="646"/>
      <c r="LH99" s="645"/>
      <c r="LI99" s="646"/>
      <c r="LJ99" s="645"/>
      <c r="LK99" s="646"/>
      <c r="LL99" s="645"/>
      <c r="LM99" s="646"/>
      <c r="LN99" s="645"/>
      <c r="LO99" s="646"/>
      <c r="LP99" s="645"/>
      <c r="LQ99" s="646"/>
      <c r="LR99" s="645"/>
      <c r="LS99" s="646"/>
      <c r="LT99" s="645"/>
      <c r="LU99" s="646"/>
      <c r="LV99" s="645"/>
      <c r="LW99" s="646"/>
      <c r="LX99" s="645"/>
      <c r="LY99" s="646"/>
      <c r="LZ99" s="645"/>
      <c r="MA99" s="646"/>
      <c r="MB99" s="645"/>
      <c r="MC99" s="646"/>
      <c r="MD99" s="645"/>
      <c r="ME99" s="646"/>
      <c r="MF99" s="645"/>
      <c r="MG99" s="646"/>
      <c r="MH99" s="645"/>
      <c r="MI99" s="646"/>
      <c r="MJ99" s="645"/>
      <c r="MK99" s="646"/>
      <c r="ML99" s="645"/>
      <c r="MM99" s="646"/>
      <c r="MN99" s="645"/>
      <c r="MO99" s="646"/>
      <c r="MP99" s="645"/>
      <c r="MQ99" s="646"/>
      <c r="MR99" s="645"/>
      <c r="MS99" s="646"/>
      <c r="MT99" s="645"/>
      <c r="MU99" s="646"/>
      <c r="MV99" s="645"/>
      <c r="MW99" s="646"/>
      <c r="MX99" s="645"/>
      <c r="MY99" s="646"/>
      <c r="MZ99" s="645"/>
      <c r="NA99" s="646"/>
      <c r="NB99" s="645"/>
      <c r="NC99" s="646"/>
      <c r="ND99" s="645"/>
      <c r="NE99" s="646"/>
      <c r="NF99" s="645"/>
      <c r="NG99" s="646"/>
      <c r="NH99" s="645"/>
      <c r="NI99" s="646"/>
      <c r="NJ99" s="645"/>
      <c r="NK99" s="646"/>
      <c r="NL99" s="645"/>
      <c r="NM99" s="646"/>
      <c r="NN99" s="645"/>
      <c r="NO99" s="646"/>
      <c r="NP99" s="645"/>
      <c r="NQ99" s="646"/>
      <c r="NR99" s="645"/>
      <c r="NS99" s="646"/>
      <c r="NT99" s="645"/>
      <c r="NU99" s="646"/>
      <c r="NV99" s="645"/>
      <c r="NW99" s="646"/>
      <c r="NX99" s="645"/>
      <c r="NY99" s="646"/>
      <c r="NZ99" s="645"/>
      <c r="OA99" s="646"/>
      <c r="OB99" s="645"/>
      <c r="OC99" s="646"/>
      <c r="OD99" s="645"/>
      <c r="OE99" s="646"/>
      <c r="OF99" s="645"/>
      <c r="OG99" s="646"/>
      <c r="OH99" s="645"/>
      <c r="OI99" s="646"/>
      <c r="OJ99" s="645"/>
      <c r="OK99" s="646"/>
      <c r="OL99" s="645"/>
      <c r="OM99" s="646"/>
      <c r="ON99" s="645"/>
      <c r="OO99" s="646"/>
      <c r="OP99" s="645"/>
      <c r="OQ99" s="646"/>
      <c r="OR99" s="645"/>
      <c r="OS99" s="646"/>
      <c r="OT99" s="645"/>
      <c r="OU99" s="646"/>
      <c r="OV99" s="645"/>
      <c r="OW99" s="646"/>
      <c r="OX99" s="645"/>
      <c r="OY99" s="646"/>
      <c r="OZ99" s="645"/>
      <c r="PA99" s="646"/>
      <c r="PB99" s="645"/>
      <c r="PC99" s="646"/>
      <c r="PD99" s="645"/>
      <c r="PE99" s="646"/>
      <c r="PF99" s="645"/>
      <c r="PG99" s="646"/>
      <c r="PH99" s="645"/>
      <c r="PI99" s="646"/>
      <c r="PJ99" s="645"/>
      <c r="PK99" s="646"/>
      <c r="PL99" s="645"/>
      <c r="PM99" s="646"/>
      <c r="PN99" s="645"/>
      <c r="PO99" s="646"/>
      <c r="PP99" s="645"/>
      <c r="PQ99" s="646"/>
      <c r="PR99" s="645"/>
      <c r="PS99" s="646"/>
      <c r="PT99" s="645"/>
      <c r="PU99" s="646"/>
      <c r="PV99" s="645"/>
      <c r="PW99" s="646"/>
      <c r="PX99" s="645"/>
      <c r="PY99" s="646"/>
      <c r="PZ99" s="645"/>
      <c r="QA99" s="646"/>
      <c r="QB99" s="645"/>
      <c r="QC99" s="646"/>
      <c r="QD99" s="645"/>
      <c r="QE99" s="646"/>
      <c r="QF99" s="645"/>
      <c r="QG99" s="646"/>
      <c r="QH99" s="645"/>
      <c r="QI99" s="646"/>
      <c r="QJ99" s="645"/>
      <c r="QK99" s="646"/>
      <c r="QL99" s="645"/>
      <c r="QM99" s="646"/>
      <c r="QN99" s="645"/>
      <c r="QO99" s="646"/>
      <c r="QP99" s="645"/>
      <c r="QQ99" s="646"/>
      <c r="QR99" s="645"/>
      <c r="QS99" s="646"/>
      <c r="QT99" s="645"/>
      <c r="QU99" s="646"/>
      <c r="QV99" s="645"/>
      <c r="QW99" s="646"/>
      <c r="QX99" s="645"/>
      <c r="QY99" s="646"/>
      <c r="QZ99" s="645"/>
      <c r="RA99" s="646"/>
      <c r="RB99" s="645"/>
      <c r="RC99" s="646"/>
      <c r="RD99" s="645"/>
      <c r="RE99" s="646"/>
      <c r="RF99" s="645"/>
      <c r="RG99" s="646"/>
      <c r="RH99" s="645"/>
      <c r="RI99" s="646"/>
      <c r="RJ99" s="645"/>
      <c r="RK99" s="646"/>
      <c r="RL99" s="645"/>
      <c r="RM99" s="646"/>
      <c r="RN99" s="645"/>
      <c r="RO99" s="646"/>
      <c r="RP99" s="645"/>
      <c r="RQ99" s="646"/>
      <c r="RR99" s="645"/>
      <c r="RS99" s="646"/>
      <c r="RT99" s="645"/>
      <c r="RU99" s="646"/>
      <c r="RV99" s="645"/>
      <c r="RW99" s="646"/>
      <c r="RX99" s="645"/>
      <c r="RY99" s="646"/>
      <c r="RZ99" s="645"/>
      <c r="SA99" s="646"/>
      <c r="SB99" s="645"/>
      <c r="SC99" s="646"/>
      <c r="SD99" s="645"/>
      <c r="SE99" s="646"/>
      <c r="SF99" s="645"/>
      <c r="SG99" s="646"/>
      <c r="SH99" s="645"/>
      <c r="SI99" s="646"/>
      <c r="SJ99" s="645"/>
      <c r="SK99" s="646"/>
      <c r="SL99" s="645"/>
      <c r="SM99" s="646"/>
      <c r="SN99" s="645"/>
      <c r="SO99" s="646"/>
      <c r="SP99" s="645"/>
      <c r="SQ99" s="646"/>
      <c r="SR99" s="645"/>
      <c r="SS99" s="646"/>
      <c r="ST99" s="645"/>
      <c r="SU99" s="646"/>
      <c r="SV99" s="645"/>
      <c r="SW99" s="646"/>
      <c r="SX99" s="645"/>
      <c r="SY99" s="646"/>
      <c r="SZ99" s="645"/>
      <c r="TA99" s="646"/>
      <c r="TB99" s="645"/>
      <c r="TC99" s="646"/>
      <c r="TD99" s="645"/>
      <c r="TE99" s="646"/>
      <c r="TF99" s="645"/>
      <c r="TG99" s="646"/>
      <c r="TH99" s="645"/>
      <c r="TI99" s="646"/>
      <c r="TJ99" s="645"/>
      <c r="TK99" s="646"/>
      <c r="TL99" s="645"/>
      <c r="TM99" s="646"/>
      <c r="TN99" s="645"/>
      <c r="TO99" s="646"/>
      <c r="TP99" s="645"/>
      <c r="TQ99" s="646"/>
      <c r="TR99" s="645"/>
      <c r="TS99" s="646"/>
      <c r="TT99" s="645"/>
      <c r="TU99" s="646"/>
      <c r="TV99" s="645"/>
      <c r="TW99" s="646"/>
      <c r="TX99" s="645"/>
      <c r="TY99" s="646"/>
      <c r="TZ99" s="645"/>
      <c r="UA99" s="646"/>
      <c r="UB99" s="645"/>
      <c r="UC99" s="646"/>
      <c r="UD99" s="645"/>
      <c r="UE99" s="646"/>
      <c r="UF99" s="645"/>
      <c r="UG99" s="646"/>
      <c r="UH99" s="645"/>
      <c r="UI99" s="646"/>
      <c r="UJ99" s="645"/>
      <c r="UK99" s="646"/>
      <c r="UL99" s="645"/>
      <c r="UM99" s="646"/>
      <c r="UN99" s="645"/>
      <c r="UO99" s="646"/>
      <c r="UP99" s="645"/>
      <c r="UQ99" s="646"/>
      <c r="UR99" s="645"/>
      <c r="US99" s="646"/>
      <c r="UT99" s="645"/>
      <c r="UU99" s="646"/>
      <c r="UV99" s="645"/>
      <c r="UW99" s="646"/>
      <c r="UX99" s="645"/>
      <c r="UY99" s="646"/>
      <c r="UZ99" s="645"/>
      <c r="VA99" s="646"/>
      <c r="VB99" s="645"/>
      <c r="VC99" s="646"/>
      <c r="VD99" s="645"/>
      <c r="VE99" s="646"/>
      <c r="VF99" s="645"/>
      <c r="VG99" s="646"/>
      <c r="VH99" s="645"/>
      <c r="VI99" s="646"/>
      <c r="VJ99" s="645"/>
      <c r="VK99" s="646"/>
      <c r="VL99" s="645"/>
      <c r="VM99" s="646"/>
      <c r="VN99" s="645"/>
      <c r="VO99" s="646"/>
      <c r="VP99" s="645"/>
      <c r="VQ99" s="646"/>
      <c r="VR99" s="645"/>
      <c r="VS99" s="646"/>
      <c r="VT99" s="645"/>
      <c r="VU99" s="646"/>
      <c r="VV99" s="645"/>
      <c r="VW99" s="646"/>
      <c r="VX99" s="645"/>
      <c r="VY99" s="646"/>
      <c r="VZ99" s="645"/>
      <c r="WA99" s="646"/>
      <c r="WB99" s="645"/>
      <c r="WC99" s="646"/>
      <c r="WD99" s="645"/>
      <c r="WE99" s="646"/>
      <c r="WF99" s="645"/>
      <c r="WG99" s="646"/>
      <c r="WH99" s="645"/>
      <c r="WI99" s="646"/>
      <c r="WJ99" s="645"/>
      <c r="WK99" s="646"/>
      <c r="WL99" s="645"/>
      <c r="WM99" s="646"/>
      <c r="WN99" s="645"/>
      <c r="WO99" s="646"/>
      <c r="WP99" s="645"/>
      <c r="WQ99" s="646"/>
      <c r="WR99" s="645"/>
      <c r="WS99" s="646"/>
      <c r="WT99" s="645"/>
      <c r="WU99" s="646"/>
      <c r="WV99" s="645"/>
      <c r="WW99" s="646"/>
      <c r="WX99" s="645"/>
      <c r="WY99" s="646"/>
      <c r="WZ99" s="645"/>
      <c r="XA99" s="646"/>
      <c r="XB99" s="645"/>
      <c r="XC99" s="646"/>
      <c r="XD99" s="645"/>
      <c r="XE99" s="646"/>
      <c r="XF99" s="645"/>
      <c r="XG99" s="646"/>
      <c r="XH99" s="645"/>
      <c r="XI99" s="646"/>
      <c r="XJ99" s="645"/>
      <c r="XK99" s="646"/>
      <c r="XL99" s="645"/>
      <c r="XM99" s="646"/>
      <c r="XN99" s="645"/>
      <c r="XO99" s="646"/>
      <c r="XP99" s="645"/>
      <c r="XQ99" s="646"/>
      <c r="XR99" s="645"/>
      <c r="XS99" s="646"/>
      <c r="XT99" s="645"/>
      <c r="XU99" s="646"/>
      <c r="XV99" s="645"/>
      <c r="XW99" s="646"/>
      <c r="XX99" s="645"/>
      <c r="XY99" s="646"/>
      <c r="XZ99" s="645"/>
      <c r="YA99" s="646"/>
      <c r="YB99" s="645"/>
      <c r="YC99" s="646"/>
      <c r="YD99" s="645"/>
      <c r="YE99" s="646"/>
      <c r="YF99" s="645"/>
      <c r="YG99" s="646"/>
      <c r="YH99" s="645"/>
      <c r="YI99" s="646"/>
      <c r="YJ99" s="645"/>
      <c r="YK99" s="646"/>
      <c r="YL99" s="645"/>
      <c r="YM99" s="646"/>
      <c r="YN99" s="645"/>
      <c r="YO99" s="646"/>
      <c r="YP99" s="645"/>
      <c r="YQ99" s="646"/>
      <c r="YR99" s="645"/>
      <c r="YS99" s="646"/>
      <c r="YT99" s="645"/>
      <c r="YU99" s="646"/>
      <c r="YV99" s="645"/>
      <c r="YW99" s="646"/>
      <c r="YX99" s="645"/>
      <c r="YY99" s="646"/>
      <c r="YZ99" s="645"/>
      <c r="ZA99" s="646"/>
      <c r="ZB99" s="645"/>
      <c r="ZC99" s="646"/>
      <c r="ZD99" s="645"/>
      <c r="ZE99" s="646"/>
      <c r="ZF99" s="645"/>
      <c r="ZG99" s="646"/>
      <c r="ZH99" s="645"/>
      <c r="ZI99" s="646"/>
      <c r="ZJ99" s="645"/>
      <c r="ZK99" s="646"/>
      <c r="ZL99" s="645"/>
      <c r="ZM99" s="646"/>
      <c r="ZN99" s="645"/>
      <c r="ZO99" s="646"/>
      <c r="ZP99" s="645"/>
      <c r="ZQ99" s="646"/>
      <c r="ZR99" s="645"/>
      <c r="ZS99" s="646"/>
      <c r="ZT99" s="645"/>
      <c r="ZU99" s="646"/>
      <c r="ZV99" s="645"/>
      <c r="ZW99" s="646"/>
      <c r="ZX99" s="645"/>
      <c r="ZY99" s="646"/>
      <c r="ZZ99" s="645"/>
      <c r="AAA99" s="646"/>
      <c r="AAB99" s="645"/>
      <c r="AAC99" s="646"/>
      <c r="AAD99" s="645"/>
      <c r="AAE99" s="646"/>
      <c r="AAF99" s="645"/>
      <c r="AAG99" s="646"/>
      <c r="AAH99" s="645"/>
      <c r="AAI99" s="646"/>
      <c r="AAJ99" s="645"/>
      <c r="AAK99" s="646"/>
      <c r="AAL99" s="645"/>
      <c r="AAM99" s="646"/>
      <c r="AAN99" s="645"/>
      <c r="AAO99" s="646"/>
      <c r="AAP99" s="645"/>
      <c r="AAQ99" s="646"/>
      <c r="AAR99" s="645"/>
      <c r="AAS99" s="646"/>
      <c r="AAT99" s="645"/>
      <c r="AAU99" s="646"/>
      <c r="AAV99" s="645"/>
      <c r="AAW99" s="646"/>
      <c r="AAX99" s="645"/>
      <c r="AAY99" s="646"/>
      <c r="AAZ99" s="645"/>
      <c r="ABA99" s="646"/>
      <c r="ABB99" s="645"/>
      <c r="ABC99" s="646"/>
      <c r="ABD99" s="645"/>
      <c r="ABE99" s="646"/>
      <c r="ABF99" s="645"/>
      <c r="ABG99" s="646"/>
      <c r="ABH99" s="645"/>
      <c r="ABI99" s="646"/>
      <c r="ABJ99" s="645"/>
      <c r="ABK99" s="646"/>
      <c r="ABL99" s="645"/>
      <c r="ABM99" s="646"/>
      <c r="ABN99" s="645"/>
      <c r="ABO99" s="646"/>
      <c r="ABP99" s="645"/>
      <c r="ABQ99" s="646"/>
      <c r="ABR99" s="645"/>
      <c r="ABS99" s="646"/>
      <c r="ABT99" s="645"/>
      <c r="ABU99" s="646"/>
      <c r="ABV99" s="645"/>
      <c r="ABW99" s="646"/>
      <c r="ABX99" s="645"/>
      <c r="ABY99" s="646"/>
      <c r="ABZ99" s="645"/>
      <c r="ACA99" s="646"/>
      <c r="ACB99" s="645"/>
      <c r="ACC99" s="646"/>
      <c r="ACD99" s="645"/>
      <c r="ACE99" s="646"/>
      <c r="ACF99" s="645"/>
      <c r="ACG99" s="646"/>
      <c r="ACH99" s="645"/>
      <c r="ACI99" s="646"/>
      <c r="ACJ99" s="645"/>
      <c r="ACK99" s="646"/>
      <c r="ACL99" s="645"/>
      <c r="ACM99" s="646"/>
      <c r="ACN99" s="645"/>
      <c r="ACO99" s="646"/>
      <c r="ACP99" s="645"/>
      <c r="ACQ99" s="646"/>
      <c r="ACR99" s="645"/>
      <c r="ACS99" s="646"/>
      <c r="ACT99" s="645"/>
      <c r="ACU99" s="646"/>
      <c r="ACV99" s="645"/>
      <c r="ACW99" s="646"/>
      <c r="ACX99" s="645"/>
      <c r="ACY99" s="646"/>
      <c r="ACZ99" s="645"/>
      <c r="ADA99" s="646"/>
      <c r="ADB99" s="645"/>
      <c r="ADC99" s="646"/>
      <c r="ADD99" s="645"/>
      <c r="ADE99" s="646"/>
      <c r="ADF99" s="645"/>
      <c r="ADG99" s="646"/>
      <c r="ADH99" s="645"/>
      <c r="ADI99" s="646"/>
      <c r="ADJ99" s="645"/>
      <c r="ADK99" s="646"/>
      <c r="ADL99" s="645"/>
      <c r="ADM99" s="646"/>
      <c r="ADN99" s="645"/>
      <c r="ADO99" s="646"/>
      <c r="ADP99" s="645"/>
      <c r="ADQ99" s="646"/>
      <c r="ADR99" s="645"/>
      <c r="ADS99" s="646"/>
      <c r="ADT99" s="645"/>
      <c r="ADU99" s="646"/>
      <c r="ADV99" s="645"/>
      <c r="ADW99" s="646"/>
      <c r="ADX99" s="645"/>
      <c r="ADY99" s="646"/>
      <c r="ADZ99" s="645"/>
      <c r="AEA99" s="646"/>
      <c r="AEB99" s="645"/>
      <c r="AEC99" s="646"/>
      <c r="AED99" s="645"/>
      <c r="AEE99" s="646"/>
      <c r="AEF99" s="645"/>
      <c r="AEG99" s="646"/>
      <c r="AEH99" s="645"/>
      <c r="AEI99" s="646"/>
      <c r="AEJ99" s="645"/>
      <c r="AEK99" s="646"/>
      <c r="AEL99" s="645"/>
      <c r="AEM99" s="646"/>
      <c r="AEN99" s="645"/>
      <c r="AEO99" s="646"/>
      <c r="AEP99" s="645"/>
      <c r="AEQ99" s="646"/>
      <c r="AER99" s="645"/>
      <c r="AES99" s="646"/>
      <c r="AET99" s="645"/>
      <c r="AEU99" s="646"/>
      <c r="AEV99" s="645"/>
      <c r="AEW99" s="646"/>
      <c r="AEX99" s="645"/>
      <c r="AEY99" s="646"/>
      <c r="AEZ99" s="645"/>
      <c r="AFA99" s="646"/>
      <c r="AFB99" s="645"/>
      <c r="AFC99" s="646"/>
      <c r="AFD99" s="645"/>
      <c r="AFE99" s="646"/>
      <c r="AFF99" s="645"/>
      <c r="AFG99" s="646"/>
      <c r="AFH99" s="645"/>
      <c r="AFI99" s="646"/>
      <c r="AFJ99" s="645"/>
      <c r="AFK99" s="646"/>
      <c r="AFL99" s="645"/>
      <c r="AFM99" s="646"/>
      <c r="AFN99" s="645"/>
      <c r="AFO99" s="646"/>
      <c r="AFP99" s="645"/>
      <c r="AFQ99" s="646"/>
      <c r="AFR99" s="645"/>
      <c r="AFS99" s="646"/>
      <c r="AFT99" s="645"/>
      <c r="AFU99" s="646"/>
      <c r="AFV99" s="645"/>
      <c r="AFW99" s="646"/>
      <c r="AFX99" s="645"/>
      <c r="AFY99" s="646"/>
      <c r="AFZ99" s="645"/>
      <c r="AGA99" s="646"/>
      <c r="AGB99" s="645"/>
      <c r="AGC99" s="646"/>
      <c r="AGD99" s="645"/>
      <c r="AGE99" s="646"/>
      <c r="AGF99" s="645"/>
      <c r="AGG99" s="646"/>
      <c r="AGH99" s="645"/>
      <c r="AGI99" s="646"/>
      <c r="AGJ99" s="645"/>
      <c r="AGK99" s="646"/>
      <c r="AGL99" s="645"/>
      <c r="AGM99" s="646"/>
      <c r="AGN99" s="645"/>
      <c r="AGO99" s="646"/>
      <c r="AGP99" s="645"/>
      <c r="AGQ99" s="646"/>
      <c r="AGR99" s="645"/>
      <c r="AGS99" s="646"/>
      <c r="AGT99" s="645"/>
      <c r="AGU99" s="646"/>
      <c r="AGV99" s="645"/>
      <c r="AGW99" s="646"/>
      <c r="AGX99" s="645"/>
      <c r="AGY99" s="646"/>
      <c r="AGZ99" s="645"/>
      <c r="AHA99" s="646"/>
      <c r="AHB99" s="645"/>
      <c r="AHC99" s="646"/>
      <c r="AHD99" s="645"/>
      <c r="AHE99" s="646"/>
      <c r="AHF99" s="645"/>
      <c r="AHG99" s="646"/>
      <c r="AHH99" s="645"/>
      <c r="AHI99" s="646"/>
      <c r="AHJ99" s="645"/>
      <c r="AHK99" s="646"/>
      <c r="AHL99" s="645"/>
      <c r="AHM99" s="646"/>
      <c r="AHN99" s="645"/>
      <c r="AHO99" s="646"/>
      <c r="AHP99" s="645"/>
      <c r="AHQ99" s="646"/>
      <c r="AHR99" s="645"/>
      <c r="AHS99" s="646"/>
      <c r="AHT99" s="645"/>
      <c r="AHU99" s="646"/>
      <c r="AHV99" s="645"/>
      <c r="AHW99" s="646"/>
      <c r="AHX99" s="645"/>
      <c r="AHY99" s="646"/>
      <c r="AHZ99" s="645"/>
      <c r="AIA99" s="646"/>
      <c r="AIB99" s="645"/>
      <c r="AIC99" s="646"/>
      <c r="AID99" s="645"/>
      <c r="AIE99" s="646"/>
      <c r="AIF99" s="645"/>
      <c r="AIG99" s="646"/>
      <c r="AIH99" s="645"/>
      <c r="AII99" s="646"/>
      <c r="AIJ99" s="645"/>
      <c r="AIK99" s="646"/>
      <c r="AIL99" s="645"/>
      <c r="AIM99" s="646"/>
      <c r="AIN99" s="645"/>
      <c r="AIO99" s="646"/>
      <c r="AIP99" s="645"/>
      <c r="AIQ99" s="645"/>
      <c r="AIR99" s="645"/>
      <c r="AIS99" s="645"/>
      <c r="AIT99" s="645"/>
      <c r="AIU99" s="645"/>
      <c r="AIV99" s="645"/>
      <c r="AIW99" s="645"/>
      <c r="AIX99" s="645"/>
      <c r="AIY99" s="645"/>
      <c r="AIZ99" s="645"/>
      <c r="AJA99" s="645"/>
      <c r="AJB99" s="645"/>
      <c r="AJC99" s="645"/>
      <c r="AJD99" s="645"/>
      <c r="AJE99" s="645"/>
      <c r="AJF99" s="645"/>
      <c r="AJG99" s="645"/>
      <c r="AJH99" s="645"/>
      <c r="AJI99" s="645"/>
      <c r="AJJ99" s="645"/>
      <c r="AJK99" s="645"/>
      <c r="AJL99" s="645"/>
      <c r="AJM99" s="645"/>
      <c r="AJN99" s="645"/>
      <c r="AJO99" s="645"/>
      <c r="AJP99" s="645"/>
      <c r="AJQ99" s="645"/>
      <c r="AJR99" s="645"/>
      <c r="AJS99" s="645"/>
      <c r="AJT99" s="645"/>
      <c r="AJU99" s="645"/>
      <c r="AJV99" s="645"/>
      <c r="AJW99" s="645"/>
      <c r="AJX99" s="645"/>
      <c r="AJY99" s="645"/>
      <c r="AJZ99" s="645"/>
      <c r="AKA99" s="645"/>
      <c r="AKB99" s="645"/>
      <c r="AKC99" s="645"/>
      <c r="AKD99" s="645"/>
      <c r="AKE99" s="645"/>
      <c r="AKF99" s="645"/>
      <c r="AKG99" s="645"/>
      <c r="AKH99" s="645"/>
      <c r="AKI99" s="645"/>
      <c r="AKJ99" s="645"/>
      <c r="AKK99" s="645"/>
      <c r="AKL99" s="645"/>
      <c r="AKM99" s="645"/>
      <c r="AKN99" s="645"/>
      <c r="AKO99" s="645"/>
      <c r="AKP99" s="645"/>
      <c r="AKQ99" s="645"/>
      <c r="AKR99" s="645"/>
      <c r="AKS99" s="645"/>
      <c r="AKT99" s="645"/>
      <c r="AKU99" s="645"/>
      <c r="AKV99" s="645"/>
      <c r="AKW99" s="645"/>
      <c r="AKX99" s="645"/>
      <c r="AKY99" s="645"/>
      <c r="AKZ99" s="645"/>
      <c r="ALA99" s="645"/>
      <c r="ALB99" s="645"/>
      <c r="ALC99" s="645"/>
      <c r="ALD99" s="645"/>
      <c r="ALE99" s="645"/>
      <c r="ALF99" s="645"/>
      <c r="ALG99" s="645"/>
      <c r="ALH99" s="645"/>
      <c r="ALI99" s="645"/>
      <c r="ALJ99" s="645"/>
      <c r="ALK99" s="645"/>
      <c r="ALL99" s="645"/>
      <c r="ALM99" s="645"/>
      <c r="ALN99" s="645"/>
      <c r="ALO99" s="645"/>
      <c r="ALP99" s="645"/>
      <c r="ALQ99" s="645"/>
      <c r="ALR99" s="645"/>
      <c r="ALS99" s="645"/>
      <c r="ALT99" s="645"/>
      <c r="ALU99" s="645"/>
      <c r="ALV99" s="645"/>
      <c r="ALW99" s="645"/>
      <c r="ALX99" s="645"/>
      <c r="ALY99" s="645"/>
      <c r="ALZ99" s="645"/>
      <c r="AMA99" s="645"/>
      <c r="AMB99" s="645"/>
      <c r="AMC99" s="645"/>
      <c r="AMD99" s="645"/>
      <c r="AME99" s="645"/>
      <c r="AMF99" s="645"/>
      <c r="AMG99" s="645"/>
      <c r="AMH99" s="645"/>
      <c r="AMI99" s="645"/>
      <c r="AMJ99" s="645"/>
    </row>
    <row r="100" spans="1:1024" s="37" customFormat="1" ht="15.75" customHeight="1" x14ac:dyDescent="0.35">
      <c r="A100" s="600"/>
      <c r="B100" s="644" t="s">
        <v>354</v>
      </c>
      <c r="C100" s="645"/>
      <c r="D100" s="646"/>
      <c r="E100" s="645"/>
      <c r="F100" s="646"/>
      <c r="G100" s="647" t="s">
        <v>243</v>
      </c>
      <c r="H100" s="643"/>
      <c r="I100" s="645"/>
      <c r="J100" s="38"/>
      <c r="K100" s="38"/>
      <c r="L100" s="39"/>
      <c r="M100" s="38"/>
      <c r="N100" s="39"/>
      <c r="O100" s="38"/>
      <c r="P100" s="39"/>
      <c r="Q100" s="38"/>
      <c r="R100" s="39"/>
      <c r="S100" s="38"/>
      <c r="T100" s="39"/>
      <c r="U100" s="38"/>
      <c r="V100" s="39"/>
      <c r="W100" s="38"/>
      <c r="X100" s="39"/>
      <c r="Y100" s="38"/>
      <c r="Z100" s="39"/>
      <c r="AA100" s="38"/>
      <c r="AB100" s="39"/>
      <c r="AC100" s="38"/>
      <c r="AD100" s="39"/>
      <c r="AE100" s="38"/>
      <c r="AF100" s="39"/>
      <c r="AG100" s="38"/>
      <c r="AH100" s="39"/>
      <c r="AI100" s="38"/>
      <c r="AJ100" s="39"/>
      <c r="AK100" s="40"/>
      <c r="AL100" s="39"/>
      <c r="AM100" s="40"/>
      <c r="AN100" s="39"/>
      <c r="AO100" s="40"/>
      <c r="AP100" s="39"/>
      <c r="AQ100" s="40"/>
      <c r="AR100" s="39"/>
      <c r="AS100" s="40"/>
      <c r="AT100" s="39"/>
      <c r="AU100" s="40"/>
      <c r="AV100" s="39"/>
      <c r="AW100" s="40"/>
      <c r="AX100" s="39"/>
      <c r="AY100" s="40"/>
      <c r="AZ100" s="39"/>
      <c r="BA100" s="40"/>
      <c r="BB100" s="39"/>
      <c r="BC100" s="40"/>
      <c r="BD100" s="39"/>
      <c r="BE100" s="40"/>
      <c r="BF100" s="39"/>
      <c r="BG100" s="40"/>
      <c r="BH100" s="39"/>
      <c r="BI100" s="40"/>
      <c r="BJ100" s="39"/>
      <c r="BK100" s="40"/>
      <c r="BL100" s="39"/>
      <c r="BM100" s="40"/>
      <c r="BN100" s="39"/>
      <c r="BO100" s="40"/>
      <c r="BP100" s="39"/>
      <c r="BQ100" s="40"/>
      <c r="BR100" s="39"/>
      <c r="BS100" s="40"/>
      <c r="BT100" s="39"/>
      <c r="BU100" s="40"/>
      <c r="BV100" s="39"/>
      <c r="BW100" s="40"/>
      <c r="BX100" s="39"/>
      <c r="BY100" s="40"/>
      <c r="BZ100" s="39"/>
      <c r="CA100" s="40"/>
      <c r="CB100" s="39"/>
      <c r="CC100" s="40"/>
      <c r="CD100" s="39"/>
      <c r="CE100" s="40"/>
      <c r="CF100" s="39"/>
      <c r="CG100" s="40"/>
      <c r="CH100" s="39"/>
      <c r="CI100" s="40"/>
      <c r="CJ100" s="39"/>
      <c r="CK100" s="40"/>
      <c r="CL100" s="39"/>
      <c r="CM100" s="40"/>
      <c r="CN100" s="39"/>
      <c r="CO100" s="40"/>
      <c r="CP100" s="39"/>
      <c r="CQ100" s="40"/>
      <c r="CR100" s="39"/>
      <c r="CS100" s="40"/>
      <c r="CT100" s="39"/>
      <c r="CU100" s="40"/>
      <c r="CV100" s="39"/>
      <c r="CW100" s="40"/>
      <c r="CX100" s="39"/>
      <c r="CY100" s="40"/>
      <c r="CZ100" s="39"/>
      <c r="DA100" s="40"/>
      <c r="DB100" s="39"/>
      <c r="DC100" s="40"/>
      <c r="DD100" s="39"/>
      <c r="DE100" s="40"/>
      <c r="DF100" s="39"/>
      <c r="DG100" s="40"/>
      <c r="DH100" s="39"/>
      <c r="DI100" s="40"/>
      <c r="DJ100" s="39"/>
      <c r="DK100" s="40"/>
      <c r="DL100" s="39"/>
      <c r="DM100" s="40"/>
      <c r="DN100" s="39"/>
      <c r="DO100" s="40"/>
      <c r="DP100" s="39"/>
      <c r="DQ100" s="40"/>
      <c r="DR100" s="39"/>
      <c r="DS100" s="40"/>
      <c r="DT100" s="39"/>
      <c r="DU100" s="40"/>
      <c r="DV100" s="39"/>
      <c r="DW100" s="40"/>
      <c r="DX100" s="39"/>
      <c r="DY100" s="40"/>
      <c r="DZ100" s="39"/>
      <c r="EA100" s="40"/>
      <c r="EB100" s="39"/>
      <c r="EC100" s="40"/>
      <c r="ED100" s="39"/>
      <c r="EE100" s="40"/>
      <c r="EF100" s="39"/>
      <c r="EG100" s="40"/>
      <c r="EH100" s="39"/>
      <c r="EI100" s="40"/>
      <c r="EJ100" s="39"/>
      <c r="EK100" s="40"/>
      <c r="EL100" s="39"/>
      <c r="EM100" s="40"/>
      <c r="EN100" s="39"/>
      <c r="EO100" s="40"/>
      <c r="EP100" s="39"/>
      <c r="EQ100" s="40"/>
      <c r="ER100" s="39"/>
      <c r="ES100" s="40"/>
      <c r="ET100" s="39"/>
      <c r="EU100" s="40"/>
      <c r="EV100" s="39"/>
      <c r="EW100" s="40"/>
      <c r="EX100" s="39"/>
      <c r="EY100" s="40"/>
      <c r="EZ100" s="39"/>
      <c r="FA100" s="40"/>
      <c r="FB100" s="39"/>
      <c r="FC100" s="40"/>
      <c r="FD100" s="39"/>
      <c r="FE100" s="40"/>
      <c r="FF100" s="39"/>
      <c r="FG100" s="40"/>
      <c r="FH100" s="39"/>
      <c r="FI100" s="40"/>
      <c r="FJ100" s="39"/>
      <c r="FK100" s="40"/>
      <c r="FL100" s="39"/>
      <c r="FM100" s="40"/>
      <c r="FN100" s="39"/>
      <c r="FO100" s="40"/>
      <c r="FP100" s="39"/>
      <c r="FQ100" s="40"/>
      <c r="FR100" s="39"/>
      <c r="FS100" s="40"/>
      <c r="FT100" s="39"/>
      <c r="FU100" s="40"/>
      <c r="FV100" s="39"/>
      <c r="FW100" s="40"/>
      <c r="FX100" s="39"/>
      <c r="FY100" s="40"/>
      <c r="FZ100" s="39"/>
      <c r="GA100" s="40"/>
      <c r="GB100" s="39"/>
      <c r="GC100" s="40"/>
      <c r="GD100" s="39"/>
      <c r="GE100" s="40"/>
      <c r="GF100" s="39"/>
      <c r="GG100" s="40"/>
      <c r="GH100" s="39"/>
      <c r="GI100" s="40"/>
      <c r="GJ100" s="39"/>
      <c r="GK100" s="40"/>
      <c r="GL100" s="39"/>
      <c r="GM100" s="40"/>
      <c r="GN100" s="39"/>
      <c r="GO100" s="40"/>
      <c r="GP100" s="39"/>
      <c r="GQ100" s="40"/>
      <c r="GR100" s="39"/>
      <c r="GS100" s="40"/>
      <c r="GT100" s="39"/>
      <c r="GU100" s="40"/>
      <c r="GV100" s="39"/>
      <c r="GW100" s="40"/>
      <c r="GX100" s="39"/>
      <c r="GY100" s="40"/>
      <c r="GZ100" s="39"/>
      <c r="HA100" s="40"/>
      <c r="HB100" s="39"/>
      <c r="HC100" s="40"/>
      <c r="HD100" s="39"/>
      <c r="HE100" s="40"/>
      <c r="HF100" s="39"/>
      <c r="HG100" s="40"/>
      <c r="HH100" s="39"/>
      <c r="HI100" s="40"/>
      <c r="HJ100" s="39"/>
      <c r="HK100" s="40"/>
      <c r="HL100" s="39"/>
      <c r="HM100" s="40"/>
      <c r="HN100" s="39"/>
      <c r="HO100" s="40"/>
      <c r="HP100" s="39"/>
      <c r="HQ100" s="40"/>
      <c r="HR100" s="39"/>
      <c r="HS100" s="40"/>
      <c r="HT100" s="39"/>
      <c r="HU100" s="40"/>
      <c r="HV100" s="39"/>
      <c r="HW100" s="40"/>
      <c r="HX100" s="39"/>
      <c r="HY100" s="40"/>
      <c r="HZ100" s="39"/>
      <c r="IA100" s="40"/>
      <c r="IB100" s="39"/>
      <c r="IC100" s="1068"/>
      <c r="ID100" s="645"/>
      <c r="IE100" s="646"/>
      <c r="IF100" s="645"/>
      <c r="IG100" s="646"/>
      <c r="IH100" s="645"/>
      <c r="II100" s="646"/>
      <c r="IJ100" s="645"/>
      <c r="IK100" s="646"/>
      <c r="IL100" s="645"/>
      <c r="IM100" s="646"/>
      <c r="IN100" s="645"/>
      <c r="IO100" s="646"/>
      <c r="IP100" s="645"/>
      <c r="IQ100" s="646"/>
      <c r="IR100" s="645"/>
      <c r="IS100" s="646"/>
      <c r="IT100" s="645"/>
      <c r="IU100" s="646"/>
      <c r="IV100" s="645"/>
      <c r="IW100" s="646"/>
      <c r="IX100" s="645"/>
      <c r="IY100" s="646"/>
      <c r="IZ100" s="645"/>
      <c r="JA100" s="646"/>
      <c r="JB100" s="645"/>
      <c r="JC100" s="646"/>
      <c r="JD100" s="645"/>
      <c r="JE100" s="646"/>
      <c r="JF100" s="645"/>
      <c r="JG100" s="646"/>
      <c r="JH100" s="645"/>
      <c r="JI100" s="646"/>
      <c r="JJ100" s="645"/>
      <c r="JK100" s="646"/>
      <c r="JL100" s="645"/>
      <c r="JM100" s="646"/>
      <c r="JN100" s="645"/>
      <c r="JO100" s="646"/>
      <c r="JP100" s="645"/>
      <c r="JQ100" s="646"/>
      <c r="JR100" s="645"/>
      <c r="JS100" s="646"/>
      <c r="JT100" s="645"/>
      <c r="JU100" s="646"/>
      <c r="JV100" s="645"/>
      <c r="JW100" s="646"/>
      <c r="JX100" s="645"/>
      <c r="JY100" s="646"/>
      <c r="JZ100" s="645"/>
      <c r="KA100" s="646"/>
      <c r="KB100" s="645"/>
      <c r="KC100" s="646"/>
      <c r="KD100" s="645"/>
      <c r="KE100" s="646"/>
      <c r="KF100" s="645"/>
      <c r="KG100" s="646"/>
      <c r="KH100" s="645"/>
      <c r="KI100" s="646"/>
      <c r="KJ100" s="645"/>
      <c r="KK100" s="646"/>
      <c r="KL100" s="645"/>
      <c r="KM100" s="646"/>
      <c r="KN100" s="645"/>
      <c r="KO100" s="646"/>
      <c r="KP100" s="645"/>
      <c r="KQ100" s="646"/>
      <c r="KR100" s="645"/>
      <c r="KS100" s="646"/>
      <c r="KT100" s="645"/>
      <c r="KU100" s="646"/>
      <c r="KV100" s="645"/>
      <c r="KW100" s="646"/>
      <c r="KX100" s="645"/>
      <c r="KY100" s="646"/>
      <c r="KZ100" s="645"/>
      <c r="LA100" s="646"/>
      <c r="LB100" s="645"/>
      <c r="LC100" s="646"/>
      <c r="LD100" s="645"/>
      <c r="LE100" s="646"/>
      <c r="LF100" s="645"/>
      <c r="LG100" s="646"/>
      <c r="LH100" s="645"/>
      <c r="LI100" s="646"/>
      <c r="LJ100" s="645"/>
      <c r="LK100" s="646"/>
      <c r="LL100" s="645"/>
      <c r="LM100" s="646"/>
      <c r="LN100" s="645"/>
      <c r="LO100" s="646"/>
      <c r="LP100" s="645"/>
      <c r="LQ100" s="646"/>
      <c r="LR100" s="645"/>
      <c r="LS100" s="646"/>
      <c r="LT100" s="645"/>
      <c r="LU100" s="646"/>
      <c r="LV100" s="645"/>
      <c r="LW100" s="646"/>
      <c r="LX100" s="645"/>
      <c r="LY100" s="646"/>
      <c r="LZ100" s="645"/>
      <c r="MA100" s="646"/>
      <c r="MB100" s="645"/>
      <c r="MC100" s="646"/>
      <c r="MD100" s="645"/>
      <c r="ME100" s="646"/>
      <c r="MF100" s="645"/>
      <c r="MG100" s="646"/>
      <c r="MH100" s="645"/>
      <c r="MI100" s="646"/>
      <c r="MJ100" s="645"/>
      <c r="MK100" s="646"/>
      <c r="ML100" s="645"/>
      <c r="MM100" s="646"/>
      <c r="MN100" s="645"/>
      <c r="MO100" s="646"/>
      <c r="MP100" s="645"/>
      <c r="MQ100" s="646"/>
      <c r="MR100" s="645"/>
      <c r="MS100" s="646"/>
      <c r="MT100" s="645"/>
      <c r="MU100" s="646"/>
      <c r="MV100" s="645"/>
      <c r="MW100" s="646"/>
      <c r="MX100" s="645"/>
      <c r="MY100" s="646"/>
      <c r="MZ100" s="645"/>
      <c r="NA100" s="646"/>
      <c r="NB100" s="645"/>
      <c r="NC100" s="646"/>
      <c r="ND100" s="645"/>
      <c r="NE100" s="646"/>
      <c r="NF100" s="645"/>
      <c r="NG100" s="646"/>
      <c r="NH100" s="645"/>
      <c r="NI100" s="646"/>
      <c r="NJ100" s="645"/>
      <c r="NK100" s="646"/>
      <c r="NL100" s="645"/>
      <c r="NM100" s="646"/>
      <c r="NN100" s="645"/>
      <c r="NO100" s="646"/>
      <c r="NP100" s="645"/>
      <c r="NQ100" s="646"/>
      <c r="NR100" s="645"/>
      <c r="NS100" s="646"/>
      <c r="NT100" s="645"/>
      <c r="NU100" s="646"/>
      <c r="NV100" s="645"/>
      <c r="NW100" s="646"/>
      <c r="NX100" s="645"/>
      <c r="NY100" s="646"/>
      <c r="NZ100" s="645"/>
      <c r="OA100" s="646"/>
      <c r="OB100" s="645"/>
      <c r="OC100" s="646"/>
      <c r="OD100" s="645"/>
      <c r="OE100" s="646"/>
      <c r="OF100" s="645"/>
      <c r="OG100" s="646"/>
      <c r="OH100" s="645"/>
      <c r="OI100" s="646"/>
      <c r="OJ100" s="645"/>
      <c r="OK100" s="646"/>
      <c r="OL100" s="645"/>
      <c r="OM100" s="646"/>
      <c r="ON100" s="645"/>
      <c r="OO100" s="646"/>
      <c r="OP100" s="645"/>
      <c r="OQ100" s="646"/>
      <c r="OR100" s="645"/>
      <c r="OS100" s="646"/>
      <c r="OT100" s="645"/>
      <c r="OU100" s="646"/>
      <c r="OV100" s="645"/>
      <c r="OW100" s="646"/>
      <c r="OX100" s="645"/>
      <c r="OY100" s="646"/>
      <c r="OZ100" s="645"/>
      <c r="PA100" s="646"/>
      <c r="PB100" s="645"/>
      <c r="PC100" s="646"/>
      <c r="PD100" s="645"/>
      <c r="PE100" s="646"/>
      <c r="PF100" s="645"/>
      <c r="PG100" s="646"/>
      <c r="PH100" s="645"/>
      <c r="PI100" s="646"/>
      <c r="PJ100" s="645"/>
      <c r="PK100" s="646"/>
      <c r="PL100" s="645"/>
      <c r="PM100" s="646"/>
      <c r="PN100" s="645"/>
      <c r="PO100" s="646"/>
      <c r="PP100" s="645"/>
      <c r="PQ100" s="646"/>
      <c r="PR100" s="645"/>
      <c r="PS100" s="646"/>
      <c r="PT100" s="645"/>
      <c r="PU100" s="646"/>
      <c r="PV100" s="645"/>
      <c r="PW100" s="646"/>
      <c r="PX100" s="645"/>
      <c r="PY100" s="646"/>
      <c r="PZ100" s="645"/>
      <c r="QA100" s="646"/>
      <c r="QB100" s="645"/>
      <c r="QC100" s="646"/>
      <c r="QD100" s="645"/>
      <c r="QE100" s="646"/>
      <c r="QF100" s="645"/>
      <c r="QG100" s="646"/>
      <c r="QH100" s="645"/>
      <c r="QI100" s="646"/>
      <c r="QJ100" s="645"/>
      <c r="QK100" s="646"/>
      <c r="QL100" s="645"/>
      <c r="QM100" s="646"/>
      <c r="QN100" s="645"/>
      <c r="QO100" s="646"/>
      <c r="QP100" s="645"/>
      <c r="QQ100" s="646"/>
      <c r="QR100" s="645"/>
      <c r="QS100" s="646"/>
      <c r="QT100" s="645"/>
      <c r="QU100" s="646"/>
      <c r="QV100" s="645"/>
      <c r="QW100" s="646"/>
      <c r="QX100" s="645"/>
      <c r="QY100" s="646"/>
      <c r="QZ100" s="645"/>
      <c r="RA100" s="646"/>
      <c r="RB100" s="645"/>
      <c r="RC100" s="646"/>
      <c r="RD100" s="645"/>
      <c r="RE100" s="646"/>
      <c r="RF100" s="645"/>
      <c r="RG100" s="646"/>
      <c r="RH100" s="645"/>
      <c r="RI100" s="646"/>
      <c r="RJ100" s="645"/>
      <c r="RK100" s="646"/>
      <c r="RL100" s="645"/>
      <c r="RM100" s="646"/>
      <c r="RN100" s="645"/>
      <c r="RO100" s="646"/>
      <c r="RP100" s="645"/>
      <c r="RQ100" s="646"/>
      <c r="RR100" s="645"/>
      <c r="RS100" s="646"/>
      <c r="RT100" s="645"/>
      <c r="RU100" s="646"/>
      <c r="RV100" s="645"/>
      <c r="RW100" s="646"/>
      <c r="RX100" s="645"/>
      <c r="RY100" s="646"/>
      <c r="RZ100" s="645"/>
      <c r="SA100" s="646"/>
      <c r="SB100" s="645"/>
      <c r="SC100" s="646"/>
      <c r="SD100" s="645"/>
      <c r="SE100" s="646"/>
      <c r="SF100" s="645"/>
      <c r="SG100" s="646"/>
      <c r="SH100" s="645"/>
      <c r="SI100" s="646"/>
      <c r="SJ100" s="645"/>
      <c r="SK100" s="646"/>
      <c r="SL100" s="645"/>
      <c r="SM100" s="646"/>
      <c r="SN100" s="645"/>
      <c r="SO100" s="646"/>
      <c r="SP100" s="645"/>
      <c r="SQ100" s="646"/>
      <c r="SR100" s="645"/>
      <c r="SS100" s="646"/>
      <c r="ST100" s="645"/>
      <c r="SU100" s="646"/>
      <c r="SV100" s="645"/>
      <c r="SW100" s="646"/>
      <c r="SX100" s="645"/>
      <c r="SY100" s="646"/>
      <c r="SZ100" s="645"/>
      <c r="TA100" s="646"/>
      <c r="TB100" s="645"/>
      <c r="TC100" s="646"/>
      <c r="TD100" s="645"/>
      <c r="TE100" s="646"/>
      <c r="TF100" s="645"/>
      <c r="TG100" s="646"/>
      <c r="TH100" s="645"/>
      <c r="TI100" s="646"/>
      <c r="TJ100" s="645"/>
      <c r="TK100" s="646"/>
      <c r="TL100" s="645"/>
      <c r="TM100" s="646"/>
      <c r="TN100" s="645"/>
      <c r="TO100" s="646"/>
      <c r="TP100" s="645"/>
      <c r="TQ100" s="646"/>
      <c r="TR100" s="645"/>
      <c r="TS100" s="646"/>
      <c r="TT100" s="645"/>
      <c r="TU100" s="646"/>
      <c r="TV100" s="645"/>
      <c r="TW100" s="646"/>
      <c r="TX100" s="645"/>
      <c r="TY100" s="646"/>
      <c r="TZ100" s="645"/>
      <c r="UA100" s="646"/>
      <c r="UB100" s="645"/>
      <c r="UC100" s="646"/>
      <c r="UD100" s="645"/>
      <c r="UE100" s="646"/>
      <c r="UF100" s="645"/>
      <c r="UG100" s="646"/>
      <c r="UH100" s="645"/>
      <c r="UI100" s="646"/>
      <c r="UJ100" s="645"/>
      <c r="UK100" s="646"/>
      <c r="UL100" s="645"/>
      <c r="UM100" s="646"/>
      <c r="UN100" s="645"/>
      <c r="UO100" s="646"/>
      <c r="UP100" s="645"/>
      <c r="UQ100" s="646"/>
      <c r="UR100" s="645"/>
      <c r="US100" s="646"/>
      <c r="UT100" s="645"/>
      <c r="UU100" s="646"/>
      <c r="UV100" s="645"/>
      <c r="UW100" s="646"/>
      <c r="UX100" s="645"/>
      <c r="UY100" s="646"/>
      <c r="UZ100" s="645"/>
      <c r="VA100" s="646"/>
      <c r="VB100" s="645"/>
      <c r="VC100" s="646"/>
      <c r="VD100" s="645"/>
      <c r="VE100" s="646"/>
      <c r="VF100" s="645"/>
      <c r="VG100" s="646"/>
      <c r="VH100" s="645"/>
      <c r="VI100" s="646"/>
      <c r="VJ100" s="645"/>
      <c r="VK100" s="646"/>
      <c r="VL100" s="645"/>
      <c r="VM100" s="646"/>
      <c r="VN100" s="645"/>
      <c r="VO100" s="646"/>
      <c r="VP100" s="645"/>
      <c r="VQ100" s="646"/>
      <c r="VR100" s="645"/>
      <c r="VS100" s="646"/>
      <c r="VT100" s="645"/>
      <c r="VU100" s="646"/>
      <c r="VV100" s="645"/>
      <c r="VW100" s="646"/>
      <c r="VX100" s="645"/>
      <c r="VY100" s="646"/>
      <c r="VZ100" s="645"/>
      <c r="WA100" s="646"/>
      <c r="WB100" s="645"/>
      <c r="WC100" s="646"/>
      <c r="WD100" s="645"/>
      <c r="WE100" s="646"/>
      <c r="WF100" s="645"/>
      <c r="WG100" s="646"/>
      <c r="WH100" s="645"/>
      <c r="WI100" s="646"/>
      <c r="WJ100" s="645"/>
      <c r="WK100" s="646"/>
      <c r="WL100" s="645"/>
      <c r="WM100" s="646"/>
      <c r="WN100" s="645"/>
      <c r="WO100" s="646"/>
      <c r="WP100" s="645"/>
      <c r="WQ100" s="646"/>
      <c r="WR100" s="645"/>
      <c r="WS100" s="646"/>
      <c r="WT100" s="645"/>
      <c r="WU100" s="646"/>
      <c r="WV100" s="645"/>
      <c r="WW100" s="646"/>
      <c r="WX100" s="645"/>
      <c r="WY100" s="646"/>
      <c r="WZ100" s="645"/>
      <c r="XA100" s="646"/>
      <c r="XB100" s="645"/>
      <c r="XC100" s="646"/>
      <c r="XD100" s="645"/>
      <c r="XE100" s="646"/>
      <c r="XF100" s="645"/>
      <c r="XG100" s="646"/>
      <c r="XH100" s="645"/>
      <c r="XI100" s="646"/>
      <c r="XJ100" s="645"/>
      <c r="XK100" s="646"/>
      <c r="XL100" s="645"/>
      <c r="XM100" s="646"/>
      <c r="XN100" s="645"/>
      <c r="XO100" s="646"/>
      <c r="XP100" s="645"/>
      <c r="XQ100" s="646"/>
      <c r="XR100" s="645"/>
      <c r="XS100" s="646"/>
      <c r="XT100" s="645"/>
      <c r="XU100" s="646"/>
      <c r="XV100" s="645"/>
      <c r="XW100" s="646"/>
      <c r="XX100" s="645"/>
      <c r="XY100" s="646"/>
      <c r="XZ100" s="645"/>
      <c r="YA100" s="646"/>
      <c r="YB100" s="645"/>
      <c r="YC100" s="646"/>
      <c r="YD100" s="645"/>
      <c r="YE100" s="646"/>
      <c r="YF100" s="645"/>
      <c r="YG100" s="646"/>
      <c r="YH100" s="645"/>
      <c r="YI100" s="646"/>
      <c r="YJ100" s="645"/>
      <c r="YK100" s="646"/>
      <c r="YL100" s="645"/>
      <c r="YM100" s="646"/>
      <c r="YN100" s="645"/>
      <c r="YO100" s="646"/>
      <c r="YP100" s="645"/>
      <c r="YQ100" s="646"/>
      <c r="YR100" s="645"/>
      <c r="YS100" s="646"/>
      <c r="YT100" s="645"/>
      <c r="YU100" s="646"/>
      <c r="YV100" s="645"/>
      <c r="YW100" s="646"/>
      <c r="YX100" s="645"/>
      <c r="YY100" s="646"/>
      <c r="YZ100" s="645"/>
      <c r="ZA100" s="646"/>
      <c r="ZB100" s="645"/>
      <c r="ZC100" s="646"/>
      <c r="ZD100" s="645"/>
      <c r="ZE100" s="646"/>
      <c r="ZF100" s="645"/>
      <c r="ZG100" s="646"/>
      <c r="ZH100" s="645"/>
      <c r="ZI100" s="646"/>
      <c r="ZJ100" s="645"/>
      <c r="ZK100" s="646"/>
      <c r="ZL100" s="645"/>
      <c r="ZM100" s="646"/>
      <c r="ZN100" s="645"/>
      <c r="ZO100" s="646"/>
      <c r="ZP100" s="645"/>
      <c r="ZQ100" s="646"/>
      <c r="ZR100" s="645"/>
      <c r="ZS100" s="646"/>
      <c r="ZT100" s="645"/>
      <c r="ZU100" s="646"/>
      <c r="ZV100" s="645"/>
      <c r="ZW100" s="646"/>
      <c r="ZX100" s="645"/>
      <c r="ZY100" s="646"/>
      <c r="ZZ100" s="645"/>
      <c r="AAA100" s="646"/>
      <c r="AAB100" s="645"/>
      <c r="AAC100" s="646"/>
      <c r="AAD100" s="645"/>
      <c r="AAE100" s="646"/>
      <c r="AAF100" s="645"/>
      <c r="AAG100" s="646"/>
      <c r="AAH100" s="645"/>
      <c r="AAI100" s="646"/>
      <c r="AAJ100" s="645"/>
      <c r="AAK100" s="646"/>
      <c r="AAL100" s="645"/>
      <c r="AAM100" s="646"/>
      <c r="AAN100" s="645"/>
      <c r="AAO100" s="646"/>
      <c r="AAP100" s="645"/>
      <c r="AAQ100" s="646"/>
      <c r="AAR100" s="645"/>
      <c r="AAS100" s="646"/>
      <c r="AAT100" s="645"/>
      <c r="AAU100" s="646"/>
      <c r="AAV100" s="645"/>
      <c r="AAW100" s="646"/>
      <c r="AAX100" s="645"/>
      <c r="AAY100" s="646"/>
      <c r="AAZ100" s="645"/>
      <c r="ABA100" s="646"/>
      <c r="ABB100" s="645"/>
      <c r="ABC100" s="646"/>
      <c r="ABD100" s="645"/>
      <c r="ABE100" s="646"/>
      <c r="ABF100" s="645"/>
      <c r="ABG100" s="646"/>
      <c r="ABH100" s="645"/>
      <c r="ABI100" s="646"/>
      <c r="ABJ100" s="645"/>
      <c r="ABK100" s="646"/>
      <c r="ABL100" s="645"/>
      <c r="ABM100" s="646"/>
      <c r="ABN100" s="645"/>
      <c r="ABO100" s="646"/>
      <c r="ABP100" s="645"/>
      <c r="ABQ100" s="646"/>
      <c r="ABR100" s="645"/>
      <c r="ABS100" s="646"/>
      <c r="ABT100" s="645"/>
      <c r="ABU100" s="646"/>
      <c r="ABV100" s="645"/>
      <c r="ABW100" s="646"/>
      <c r="ABX100" s="645"/>
      <c r="ABY100" s="646"/>
      <c r="ABZ100" s="645"/>
      <c r="ACA100" s="646"/>
      <c r="ACB100" s="645"/>
      <c r="ACC100" s="646"/>
      <c r="ACD100" s="645"/>
      <c r="ACE100" s="646"/>
      <c r="ACF100" s="645"/>
      <c r="ACG100" s="646"/>
      <c r="ACH100" s="645"/>
      <c r="ACI100" s="646"/>
      <c r="ACJ100" s="645"/>
      <c r="ACK100" s="646"/>
      <c r="ACL100" s="645"/>
      <c r="ACM100" s="646"/>
      <c r="ACN100" s="645"/>
      <c r="ACO100" s="646"/>
      <c r="ACP100" s="645"/>
      <c r="ACQ100" s="646"/>
      <c r="ACR100" s="645"/>
      <c r="ACS100" s="646"/>
      <c r="ACT100" s="645"/>
      <c r="ACU100" s="646"/>
      <c r="ACV100" s="645"/>
      <c r="ACW100" s="646"/>
      <c r="ACX100" s="645"/>
      <c r="ACY100" s="646"/>
      <c r="ACZ100" s="645"/>
      <c r="ADA100" s="646"/>
      <c r="ADB100" s="645"/>
      <c r="ADC100" s="646"/>
      <c r="ADD100" s="645"/>
      <c r="ADE100" s="646"/>
      <c r="ADF100" s="645"/>
      <c r="ADG100" s="646"/>
      <c r="ADH100" s="645"/>
      <c r="ADI100" s="646"/>
      <c r="ADJ100" s="645"/>
      <c r="ADK100" s="646"/>
      <c r="ADL100" s="645"/>
      <c r="ADM100" s="646"/>
      <c r="ADN100" s="645"/>
      <c r="ADO100" s="646"/>
      <c r="ADP100" s="645"/>
      <c r="ADQ100" s="646"/>
      <c r="ADR100" s="645"/>
      <c r="ADS100" s="646"/>
      <c r="ADT100" s="645"/>
      <c r="ADU100" s="646"/>
      <c r="ADV100" s="645"/>
      <c r="ADW100" s="646"/>
      <c r="ADX100" s="645"/>
      <c r="ADY100" s="646"/>
      <c r="ADZ100" s="645"/>
      <c r="AEA100" s="646"/>
      <c r="AEB100" s="645"/>
      <c r="AEC100" s="646"/>
      <c r="AED100" s="645"/>
      <c r="AEE100" s="646"/>
      <c r="AEF100" s="645"/>
      <c r="AEG100" s="646"/>
      <c r="AEH100" s="645"/>
      <c r="AEI100" s="646"/>
      <c r="AEJ100" s="645"/>
      <c r="AEK100" s="646"/>
      <c r="AEL100" s="645"/>
      <c r="AEM100" s="646"/>
      <c r="AEN100" s="645"/>
      <c r="AEO100" s="646"/>
      <c r="AEP100" s="645"/>
      <c r="AEQ100" s="646"/>
      <c r="AER100" s="645"/>
      <c r="AES100" s="646"/>
      <c r="AET100" s="645"/>
      <c r="AEU100" s="646"/>
      <c r="AEV100" s="645"/>
      <c r="AEW100" s="646"/>
      <c r="AEX100" s="645"/>
      <c r="AEY100" s="646"/>
      <c r="AEZ100" s="645"/>
      <c r="AFA100" s="646"/>
      <c r="AFB100" s="645"/>
      <c r="AFC100" s="646"/>
      <c r="AFD100" s="645"/>
      <c r="AFE100" s="646"/>
      <c r="AFF100" s="645"/>
      <c r="AFG100" s="646"/>
      <c r="AFH100" s="645"/>
      <c r="AFI100" s="646"/>
      <c r="AFJ100" s="645"/>
      <c r="AFK100" s="646"/>
      <c r="AFL100" s="645"/>
      <c r="AFM100" s="646"/>
      <c r="AFN100" s="645"/>
      <c r="AFO100" s="646"/>
      <c r="AFP100" s="645"/>
      <c r="AFQ100" s="646"/>
      <c r="AFR100" s="645"/>
      <c r="AFS100" s="646"/>
      <c r="AFT100" s="645"/>
      <c r="AFU100" s="646"/>
      <c r="AFV100" s="645"/>
      <c r="AFW100" s="646"/>
      <c r="AFX100" s="645"/>
      <c r="AFY100" s="646"/>
      <c r="AFZ100" s="645"/>
      <c r="AGA100" s="646"/>
      <c r="AGB100" s="645"/>
      <c r="AGC100" s="646"/>
      <c r="AGD100" s="645"/>
      <c r="AGE100" s="646"/>
      <c r="AGF100" s="645"/>
      <c r="AGG100" s="646"/>
      <c r="AGH100" s="645"/>
      <c r="AGI100" s="646"/>
      <c r="AGJ100" s="645"/>
      <c r="AGK100" s="646"/>
      <c r="AGL100" s="645"/>
      <c r="AGM100" s="646"/>
      <c r="AGN100" s="645"/>
      <c r="AGO100" s="646"/>
      <c r="AGP100" s="645"/>
      <c r="AGQ100" s="646"/>
      <c r="AGR100" s="645"/>
      <c r="AGS100" s="646"/>
      <c r="AGT100" s="645"/>
      <c r="AGU100" s="646"/>
      <c r="AGV100" s="645"/>
      <c r="AGW100" s="646"/>
      <c r="AGX100" s="645"/>
      <c r="AGY100" s="646"/>
      <c r="AGZ100" s="645"/>
      <c r="AHA100" s="646"/>
      <c r="AHB100" s="645"/>
      <c r="AHC100" s="646"/>
      <c r="AHD100" s="645"/>
      <c r="AHE100" s="646"/>
      <c r="AHF100" s="645"/>
      <c r="AHG100" s="646"/>
      <c r="AHH100" s="645"/>
      <c r="AHI100" s="646"/>
      <c r="AHJ100" s="645"/>
      <c r="AHK100" s="646"/>
      <c r="AHL100" s="645"/>
      <c r="AHM100" s="646"/>
      <c r="AHN100" s="645"/>
      <c r="AHO100" s="646"/>
      <c r="AHP100" s="645"/>
      <c r="AHQ100" s="646"/>
      <c r="AHR100" s="645"/>
      <c r="AHS100" s="646"/>
      <c r="AHT100" s="645"/>
      <c r="AHU100" s="646"/>
      <c r="AHV100" s="645"/>
      <c r="AHW100" s="646"/>
      <c r="AHX100" s="645"/>
      <c r="AHY100" s="646"/>
      <c r="AHZ100" s="645"/>
      <c r="AIA100" s="646"/>
      <c r="AIB100" s="645"/>
      <c r="AIC100" s="646"/>
      <c r="AID100" s="645"/>
      <c r="AIE100" s="646"/>
      <c r="AIF100" s="645"/>
      <c r="AIG100" s="646"/>
      <c r="AIH100" s="645"/>
      <c r="AII100" s="646"/>
      <c r="AIJ100" s="645"/>
      <c r="AIK100" s="646"/>
      <c r="AIL100" s="645"/>
      <c r="AIM100" s="646"/>
      <c r="AIN100" s="645"/>
      <c r="AIO100" s="646"/>
      <c r="AIP100" s="645"/>
      <c r="AIQ100" s="645"/>
      <c r="AIR100" s="645"/>
      <c r="AIS100" s="645"/>
      <c r="AIT100" s="645"/>
      <c r="AIU100" s="645"/>
      <c r="AIV100" s="645"/>
      <c r="AIW100" s="645"/>
      <c r="AIX100" s="645"/>
      <c r="AIY100" s="645"/>
      <c r="AIZ100" s="645"/>
      <c r="AJA100" s="645"/>
      <c r="AJB100" s="645"/>
      <c r="AJC100" s="645"/>
      <c r="AJD100" s="645"/>
      <c r="AJE100" s="645"/>
      <c r="AJF100" s="645"/>
      <c r="AJG100" s="645"/>
      <c r="AJH100" s="645"/>
      <c r="AJI100" s="645"/>
      <c r="AJJ100" s="645"/>
      <c r="AJK100" s="645"/>
      <c r="AJL100" s="645"/>
      <c r="AJM100" s="645"/>
      <c r="AJN100" s="645"/>
      <c r="AJO100" s="645"/>
      <c r="AJP100" s="645"/>
      <c r="AJQ100" s="645"/>
      <c r="AJR100" s="645"/>
      <c r="AJS100" s="645"/>
      <c r="AJT100" s="645"/>
      <c r="AJU100" s="645"/>
      <c r="AJV100" s="645"/>
      <c r="AJW100" s="645"/>
      <c r="AJX100" s="645"/>
      <c r="AJY100" s="645"/>
      <c r="AJZ100" s="645"/>
      <c r="AKA100" s="645"/>
      <c r="AKB100" s="645"/>
      <c r="AKC100" s="645"/>
      <c r="AKD100" s="645"/>
      <c r="AKE100" s="645"/>
      <c r="AKF100" s="645"/>
      <c r="AKG100" s="645"/>
      <c r="AKH100" s="645"/>
      <c r="AKI100" s="645"/>
      <c r="AKJ100" s="645"/>
      <c r="AKK100" s="645"/>
      <c r="AKL100" s="645"/>
      <c r="AKM100" s="645"/>
      <c r="AKN100" s="645"/>
      <c r="AKO100" s="645"/>
      <c r="AKP100" s="645"/>
      <c r="AKQ100" s="645"/>
      <c r="AKR100" s="645"/>
      <c r="AKS100" s="645"/>
      <c r="AKT100" s="645"/>
      <c r="AKU100" s="645"/>
      <c r="AKV100" s="645"/>
      <c r="AKW100" s="645"/>
      <c r="AKX100" s="645"/>
      <c r="AKY100" s="645"/>
      <c r="AKZ100" s="645"/>
      <c r="ALA100" s="645"/>
      <c r="ALB100" s="645"/>
      <c r="ALC100" s="645"/>
      <c r="ALD100" s="645"/>
      <c r="ALE100" s="645"/>
      <c r="ALF100" s="645"/>
      <c r="ALG100" s="645"/>
      <c r="ALH100" s="645"/>
      <c r="ALI100" s="645"/>
      <c r="ALJ100" s="645"/>
      <c r="ALK100" s="645"/>
      <c r="ALL100" s="645"/>
      <c r="ALM100" s="645"/>
      <c r="ALN100" s="645"/>
      <c r="ALO100" s="645"/>
      <c r="ALP100" s="645"/>
      <c r="ALQ100" s="645"/>
      <c r="ALR100" s="645"/>
      <c r="ALS100" s="645"/>
      <c r="ALT100" s="645"/>
      <c r="ALU100" s="645"/>
      <c r="ALV100" s="645"/>
      <c r="ALW100" s="645"/>
      <c r="ALX100" s="645"/>
      <c r="ALY100" s="645"/>
      <c r="ALZ100" s="645"/>
      <c r="AMA100" s="645"/>
      <c r="AMB100" s="645"/>
      <c r="AMC100" s="645"/>
      <c r="AMD100" s="645"/>
      <c r="AME100" s="645"/>
      <c r="AMF100" s="645"/>
      <c r="AMG100" s="645"/>
      <c r="AMH100" s="645"/>
      <c r="AMI100" s="645"/>
      <c r="AMJ100" s="645"/>
    </row>
    <row r="101" spans="1:1024" s="37" customFormat="1" ht="15.75" customHeight="1" x14ac:dyDescent="0.35">
      <c r="A101" s="600"/>
      <c r="B101" s="644" t="s">
        <v>355</v>
      </c>
      <c r="C101" s="645"/>
      <c r="D101" s="646"/>
      <c r="E101" s="645"/>
      <c r="F101" s="646"/>
      <c r="G101" s="647" t="s">
        <v>243</v>
      </c>
      <c r="H101" s="643"/>
      <c r="I101" s="645"/>
      <c r="J101" s="38"/>
      <c r="K101" s="38"/>
      <c r="L101" s="39"/>
      <c r="M101" s="38"/>
      <c r="N101" s="39"/>
      <c r="O101" s="38"/>
      <c r="P101" s="39"/>
      <c r="Q101" s="38"/>
      <c r="R101" s="39"/>
      <c r="S101" s="38"/>
      <c r="T101" s="39"/>
      <c r="U101" s="38"/>
      <c r="V101" s="39"/>
      <c r="W101" s="38"/>
      <c r="X101" s="39"/>
      <c r="Y101" s="38"/>
      <c r="Z101" s="39"/>
      <c r="AA101" s="38"/>
      <c r="AB101" s="39"/>
      <c r="AC101" s="38"/>
      <c r="AD101" s="39"/>
      <c r="AE101" s="38"/>
      <c r="AF101" s="39"/>
      <c r="AG101" s="38"/>
      <c r="AH101" s="39"/>
      <c r="AI101" s="38"/>
      <c r="AJ101" s="39"/>
      <c r="AK101" s="40"/>
      <c r="AL101" s="39"/>
      <c r="AM101" s="40"/>
      <c r="AN101" s="39"/>
      <c r="AO101" s="40"/>
      <c r="AP101" s="39"/>
      <c r="AQ101" s="40"/>
      <c r="AR101" s="39"/>
      <c r="AS101" s="40"/>
      <c r="AT101" s="39"/>
      <c r="AU101" s="40"/>
      <c r="AV101" s="39"/>
      <c r="AW101" s="40"/>
      <c r="AX101" s="39"/>
      <c r="AY101" s="40"/>
      <c r="AZ101" s="39"/>
      <c r="BA101" s="40"/>
      <c r="BB101" s="39"/>
      <c r="BC101" s="40"/>
      <c r="BD101" s="39"/>
      <c r="BE101" s="40"/>
      <c r="BF101" s="39"/>
      <c r="BG101" s="40"/>
      <c r="BH101" s="39"/>
      <c r="BI101" s="40"/>
      <c r="BJ101" s="39"/>
      <c r="BK101" s="40"/>
      <c r="BL101" s="39"/>
      <c r="BM101" s="40"/>
      <c r="BN101" s="39"/>
      <c r="BO101" s="40"/>
      <c r="BP101" s="39"/>
      <c r="BQ101" s="40"/>
      <c r="BR101" s="39"/>
      <c r="BS101" s="40"/>
      <c r="BT101" s="39"/>
      <c r="BU101" s="40"/>
      <c r="BV101" s="39"/>
      <c r="BW101" s="40"/>
      <c r="BX101" s="39"/>
      <c r="BY101" s="40"/>
      <c r="BZ101" s="39"/>
      <c r="CA101" s="40"/>
      <c r="CB101" s="39"/>
      <c r="CC101" s="40"/>
      <c r="CD101" s="39"/>
      <c r="CE101" s="40"/>
      <c r="CF101" s="39"/>
      <c r="CG101" s="40"/>
      <c r="CH101" s="39"/>
      <c r="CI101" s="40"/>
      <c r="CJ101" s="39"/>
      <c r="CK101" s="40"/>
      <c r="CL101" s="39"/>
      <c r="CM101" s="40"/>
      <c r="CN101" s="39"/>
      <c r="CO101" s="40"/>
      <c r="CP101" s="39"/>
      <c r="CQ101" s="40"/>
      <c r="CR101" s="39"/>
      <c r="CS101" s="40"/>
      <c r="CT101" s="39"/>
      <c r="CU101" s="40"/>
      <c r="CV101" s="39"/>
      <c r="CW101" s="40"/>
      <c r="CX101" s="39"/>
      <c r="CY101" s="40"/>
      <c r="CZ101" s="39"/>
      <c r="DA101" s="40"/>
      <c r="DB101" s="39"/>
      <c r="DC101" s="40"/>
      <c r="DD101" s="39"/>
      <c r="DE101" s="40"/>
      <c r="DF101" s="39"/>
      <c r="DG101" s="40"/>
      <c r="DH101" s="39"/>
      <c r="DI101" s="40"/>
      <c r="DJ101" s="39"/>
      <c r="DK101" s="40"/>
      <c r="DL101" s="39"/>
      <c r="DM101" s="40"/>
      <c r="DN101" s="39"/>
      <c r="DO101" s="40"/>
      <c r="DP101" s="39"/>
      <c r="DQ101" s="40"/>
      <c r="DR101" s="39"/>
      <c r="DS101" s="40"/>
      <c r="DT101" s="39"/>
      <c r="DU101" s="40"/>
      <c r="DV101" s="39"/>
      <c r="DW101" s="40"/>
      <c r="DX101" s="39"/>
      <c r="DY101" s="40"/>
      <c r="DZ101" s="39"/>
      <c r="EA101" s="40"/>
      <c r="EB101" s="39"/>
      <c r="EC101" s="40"/>
      <c r="ED101" s="39"/>
      <c r="EE101" s="40"/>
      <c r="EF101" s="39"/>
      <c r="EG101" s="40"/>
      <c r="EH101" s="39"/>
      <c r="EI101" s="40"/>
      <c r="EJ101" s="39"/>
      <c r="EK101" s="40"/>
      <c r="EL101" s="39"/>
      <c r="EM101" s="40"/>
      <c r="EN101" s="39"/>
      <c r="EO101" s="40"/>
      <c r="EP101" s="39"/>
      <c r="EQ101" s="40"/>
      <c r="ER101" s="39"/>
      <c r="ES101" s="40"/>
      <c r="ET101" s="39"/>
      <c r="EU101" s="40"/>
      <c r="EV101" s="39"/>
      <c r="EW101" s="40"/>
      <c r="EX101" s="39"/>
      <c r="EY101" s="40"/>
      <c r="EZ101" s="39"/>
      <c r="FA101" s="40"/>
      <c r="FB101" s="39"/>
      <c r="FC101" s="40"/>
      <c r="FD101" s="39"/>
      <c r="FE101" s="40"/>
      <c r="FF101" s="39"/>
      <c r="FG101" s="40"/>
      <c r="FH101" s="39"/>
      <c r="FI101" s="40"/>
      <c r="FJ101" s="39"/>
      <c r="FK101" s="40"/>
      <c r="FL101" s="39"/>
      <c r="FM101" s="40"/>
      <c r="FN101" s="39"/>
      <c r="FO101" s="40"/>
      <c r="FP101" s="39"/>
      <c r="FQ101" s="40"/>
      <c r="FR101" s="39"/>
      <c r="FS101" s="40"/>
      <c r="FT101" s="39"/>
      <c r="FU101" s="40"/>
      <c r="FV101" s="39"/>
      <c r="FW101" s="40"/>
      <c r="FX101" s="39"/>
      <c r="FY101" s="40"/>
      <c r="FZ101" s="39"/>
      <c r="GA101" s="40"/>
      <c r="GB101" s="39"/>
      <c r="GC101" s="40"/>
      <c r="GD101" s="39"/>
      <c r="GE101" s="40"/>
      <c r="GF101" s="39"/>
      <c r="GG101" s="40"/>
      <c r="GH101" s="39"/>
      <c r="GI101" s="40"/>
      <c r="GJ101" s="39"/>
      <c r="GK101" s="40"/>
      <c r="GL101" s="39"/>
      <c r="GM101" s="40"/>
      <c r="GN101" s="39"/>
      <c r="GO101" s="40"/>
      <c r="GP101" s="39"/>
      <c r="GQ101" s="40"/>
      <c r="GR101" s="39"/>
      <c r="GS101" s="40"/>
      <c r="GT101" s="39"/>
      <c r="GU101" s="40"/>
      <c r="GV101" s="39"/>
      <c r="GW101" s="40"/>
      <c r="GX101" s="39"/>
      <c r="GY101" s="40"/>
      <c r="GZ101" s="39"/>
      <c r="HA101" s="40"/>
      <c r="HB101" s="39"/>
      <c r="HC101" s="40"/>
      <c r="HD101" s="39"/>
      <c r="HE101" s="40"/>
      <c r="HF101" s="39"/>
      <c r="HG101" s="40"/>
      <c r="HH101" s="39"/>
      <c r="HI101" s="40"/>
      <c r="HJ101" s="39"/>
      <c r="HK101" s="40"/>
      <c r="HL101" s="39"/>
      <c r="HM101" s="40"/>
      <c r="HN101" s="39"/>
      <c r="HO101" s="40"/>
      <c r="HP101" s="39"/>
      <c r="HQ101" s="40"/>
      <c r="HR101" s="39"/>
      <c r="HS101" s="40"/>
      <c r="HT101" s="39"/>
      <c r="HU101" s="40"/>
      <c r="HV101" s="39"/>
      <c r="HW101" s="40"/>
      <c r="HX101" s="39"/>
      <c r="HY101" s="40"/>
      <c r="HZ101" s="39"/>
      <c r="IA101" s="40"/>
      <c r="IB101" s="39"/>
      <c r="IC101" s="1068"/>
      <c r="ID101" s="645"/>
      <c r="IE101" s="646"/>
      <c r="IF101" s="645"/>
      <c r="IG101" s="646"/>
      <c r="IH101" s="645"/>
      <c r="II101" s="646"/>
      <c r="IJ101" s="645"/>
      <c r="IK101" s="646"/>
      <c r="IL101" s="645"/>
      <c r="IM101" s="646"/>
      <c r="IN101" s="645"/>
      <c r="IO101" s="646"/>
      <c r="IP101" s="645"/>
      <c r="IQ101" s="646"/>
      <c r="IR101" s="645"/>
      <c r="IS101" s="646"/>
      <c r="IT101" s="645"/>
      <c r="IU101" s="646"/>
      <c r="IV101" s="645"/>
      <c r="IW101" s="646"/>
      <c r="IX101" s="645"/>
      <c r="IY101" s="646"/>
      <c r="IZ101" s="645"/>
      <c r="JA101" s="646"/>
      <c r="JB101" s="645"/>
      <c r="JC101" s="646"/>
      <c r="JD101" s="645"/>
      <c r="JE101" s="646"/>
      <c r="JF101" s="645"/>
      <c r="JG101" s="646"/>
      <c r="JH101" s="645"/>
      <c r="JI101" s="646"/>
      <c r="JJ101" s="645"/>
      <c r="JK101" s="646"/>
      <c r="JL101" s="645"/>
      <c r="JM101" s="646"/>
      <c r="JN101" s="645"/>
      <c r="JO101" s="646"/>
      <c r="JP101" s="645"/>
      <c r="JQ101" s="646"/>
      <c r="JR101" s="645"/>
      <c r="JS101" s="646"/>
      <c r="JT101" s="645"/>
      <c r="JU101" s="646"/>
      <c r="JV101" s="645"/>
      <c r="JW101" s="646"/>
      <c r="JX101" s="645"/>
      <c r="JY101" s="646"/>
      <c r="JZ101" s="645"/>
      <c r="KA101" s="646"/>
      <c r="KB101" s="645"/>
      <c r="KC101" s="646"/>
      <c r="KD101" s="645"/>
      <c r="KE101" s="646"/>
      <c r="KF101" s="645"/>
      <c r="KG101" s="646"/>
      <c r="KH101" s="645"/>
      <c r="KI101" s="646"/>
      <c r="KJ101" s="645"/>
      <c r="KK101" s="646"/>
      <c r="KL101" s="645"/>
      <c r="KM101" s="646"/>
      <c r="KN101" s="645"/>
      <c r="KO101" s="646"/>
      <c r="KP101" s="645"/>
      <c r="KQ101" s="646"/>
      <c r="KR101" s="645"/>
      <c r="KS101" s="646"/>
      <c r="KT101" s="645"/>
      <c r="KU101" s="646"/>
      <c r="KV101" s="645"/>
      <c r="KW101" s="646"/>
      <c r="KX101" s="645"/>
      <c r="KY101" s="646"/>
      <c r="KZ101" s="645"/>
      <c r="LA101" s="646"/>
      <c r="LB101" s="645"/>
      <c r="LC101" s="646"/>
      <c r="LD101" s="645"/>
      <c r="LE101" s="646"/>
      <c r="LF101" s="645"/>
      <c r="LG101" s="646"/>
      <c r="LH101" s="645"/>
      <c r="LI101" s="646"/>
      <c r="LJ101" s="645"/>
      <c r="LK101" s="646"/>
      <c r="LL101" s="645"/>
      <c r="LM101" s="646"/>
      <c r="LN101" s="645"/>
      <c r="LO101" s="646"/>
      <c r="LP101" s="645"/>
      <c r="LQ101" s="646"/>
      <c r="LR101" s="645"/>
      <c r="LS101" s="646"/>
      <c r="LT101" s="645"/>
      <c r="LU101" s="646"/>
      <c r="LV101" s="645"/>
      <c r="LW101" s="646"/>
      <c r="LX101" s="645"/>
      <c r="LY101" s="646"/>
      <c r="LZ101" s="645"/>
      <c r="MA101" s="646"/>
      <c r="MB101" s="645"/>
      <c r="MC101" s="646"/>
      <c r="MD101" s="645"/>
      <c r="ME101" s="646"/>
      <c r="MF101" s="645"/>
      <c r="MG101" s="646"/>
      <c r="MH101" s="645"/>
      <c r="MI101" s="646"/>
      <c r="MJ101" s="645"/>
      <c r="MK101" s="646"/>
      <c r="ML101" s="645"/>
      <c r="MM101" s="646"/>
      <c r="MN101" s="645"/>
      <c r="MO101" s="646"/>
      <c r="MP101" s="645"/>
      <c r="MQ101" s="646"/>
      <c r="MR101" s="645"/>
      <c r="MS101" s="646"/>
      <c r="MT101" s="645"/>
      <c r="MU101" s="646"/>
      <c r="MV101" s="645"/>
      <c r="MW101" s="646"/>
      <c r="MX101" s="645"/>
      <c r="MY101" s="646"/>
      <c r="MZ101" s="645"/>
      <c r="NA101" s="646"/>
      <c r="NB101" s="645"/>
      <c r="NC101" s="646"/>
      <c r="ND101" s="645"/>
      <c r="NE101" s="646"/>
      <c r="NF101" s="645"/>
      <c r="NG101" s="646"/>
      <c r="NH101" s="645"/>
      <c r="NI101" s="646"/>
      <c r="NJ101" s="645"/>
      <c r="NK101" s="646"/>
      <c r="NL101" s="645"/>
      <c r="NM101" s="646"/>
      <c r="NN101" s="645"/>
      <c r="NO101" s="646"/>
      <c r="NP101" s="645"/>
      <c r="NQ101" s="646"/>
      <c r="NR101" s="645"/>
      <c r="NS101" s="646"/>
      <c r="NT101" s="645"/>
      <c r="NU101" s="646"/>
      <c r="NV101" s="645"/>
      <c r="NW101" s="646"/>
      <c r="NX101" s="645"/>
      <c r="NY101" s="646"/>
      <c r="NZ101" s="645"/>
      <c r="OA101" s="646"/>
      <c r="OB101" s="645"/>
      <c r="OC101" s="646"/>
      <c r="OD101" s="645"/>
      <c r="OE101" s="646"/>
      <c r="OF101" s="645"/>
      <c r="OG101" s="646"/>
      <c r="OH101" s="645"/>
      <c r="OI101" s="646"/>
      <c r="OJ101" s="645"/>
      <c r="OK101" s="646"/>
      <c r="OL101" s="645"/>
      <c r="OM101" s="646"/>
      <c r="ON101" s="645"/>
      <c r="OO101" s="646"/>
      <c r="OP101" s="645"/>
      <c r="OQ101" s="646"/>
      <c r="OR101" s="645"/>
      <c r="OS101" s="646"/>
      <c r="OT101" s="645"/>
      <c r="OU101" s="646"/>
      <c r="OV101" s="645"/>
      <c r="OW101" s="646"/>
      <c r="OX101" s="645"/>
      <c r="OY101" s="646"/>
      <c r="OZ101" s="645"/>
      <c r="PA101" s="646"/>
      <c r="PB101" s="645"/>
      <c r="PC101" s="646"/>
      <c r="PD101" s="645"/>
      <c r="PE101" s="646"/>
      <c r="PF101" s="645"/>
      <c r="PG101" s="646"/>
      <c r="PH101" s="645"/>
      <c r="PI101" s="646"/>
      <c r="PJ101" s="645"/>
      <c r="PK101" s="646"/>
      <c r="PL101" s="645"/>
      <c r="PM101" s="646"/>
      <c r="PN101" s="645"/>
      <c r="PO101" s="646"/>
      <c r="PP101" s="645"/>
      <c r="PQ101" s="646"/>
      <c r="PR101" s="645"/>
      <c r="PS101" s="646"/>
      <c r="PT101" s="645"/>
      <c r="PU101" s="646"/>
      <c r="PV101" s="645"/>
      <c r="PW101" s="646"/>
      <c r="PX101" s="645"/>
      <c r="PY101" s="646"/>
      <c r="PZ101" s="645"/>
      <c r="QA101" s="646"/>
      <c r="QB101" s="645"/>
      <c r="QC101" s="646"/>
      <c r="QD101" s="645"/>
      <c r="QE101" s="646"/>
      <c r="QF101" s="645"/>
      <c r="QG101" s="646"/>
      <c r="QH101" s="645"/>
      <c r="QI101" s="646"/>
      <c r="QJ101" s="645"/>
      <c r="QK101" s="646"/>
      <c r="QL101" s="645"/>
      <c r="QM101" s="646"/>
      <c r="QN101" s="645"/>
      <c r="QO101" s="646"/>
      <c r="QP101" s="645"/>
      <c r="QQ101" s="646"/>
      <c r="QR101" s="645"/>
      <c r="QS101" s="646"/>
      <c r="QT101" s="645"/>
      <c r="QU101" s="646"/>
      <c r="QV101" s="645"/>
      <c r="QW101" s="646"/>
      <c r="QX101" s="645"/>
      <c r="QY101" s="646"/>
      <c r="QZ101" s="645"/>
      <c r="RA101" s="646"/>
      <c r="RB101" s="645"/>
      <c r="RC101" s="646"/>
      <c r="RD101" s="645"/>
      <c r="RE101" s="646"/>
      <c r="RF101" s="645"/>
      <c r="RG101" s="646"/>
      <c r="RH101" s="645"/>
      <c r="RI101" s="646"/>
      <c r="RJ101" s="645"/>
      <c r="RK101" s="646"/>
      <c r="RL101" s="645"/>
      <c r="RM101" s="646"/>
      <c r="RN101" s="645"/>
      <c r="RO101" s="646"/>
      <c r="RP101" s="645"/>
      <c r="RQ101" s="646"/>
      <c r="RR101" s="645"/>
      <c r="RS101" s="646"/>
      <c r="RT101" s="645"/>
      <c r="RU101" s="646"/>
      <c r="RV101" s="645"/>
      <c r="RW101" s="646"/>
      <c r="RX101" s="645"/>
      <c r="RY101" s="646"/>
      <c r="RZ101" s="645"/>
      <c r="SA101" s="646"/>
      <c r="SB101" s="645"/>
      <c r="SC101" s="646"/>
      <c r="SD101" s="645"/>
      <c r="SE101" s="646"/>
      <c r="SF101" s="645"/>
      <c r="SG101" s="646"/>
      <c r="SH101" s="645"/>
      <c r="SI101" s="646"/>
      <c r="SJ101" s="645"/>
      <c r="SK101" s="646"/>
      <c r="SL101" s="645"/>
      <c r="SM101" s="646"/>
      <c r="SN101" s="645"/>
      <c r="SO101" s="646"/>
      <c r="SP101" s="645"/>
      <c r="SQ101" s="646"/>
      <c r="SR101" s="645"/>
      <c r="SS101" s="646"/>
      <c r="ST101" s="645"/>
      <c r="SU101" s="646"/>
      <c r="SV101" s="645"/>
      <c r="SW101" s="646"/>
      <c r="SX101" s="645"/>
      <c r="SY101" s="646"/>
      <c r="SZ101" s="645"/>
      <c r="TA101" s="646"/>
      <c r="TB101" s="645"/>
      <c r="TC101" s="646"/>
      <c r="TD101" s="645"/>
      <c r="TE101" s="646"/>
      <c r="TF101" s="645"/>
      <c r="TG101" s="646"/>
      <c r="TH101" s="645"/>
      <c r="TI101" s="646"/>
      <c r="TJ101" s="645"/>
      <c r="TK101" s="646"/>
      <c r="TL101" s="645"/>
      <c r="TM101" s="646"/>
      <c r="TN101" s="645"/>
      <c r="TO101" s="646"/>
      <c r="TP101" s="645"/>
      <c r="TQ101" s="646"/>
      <c r="TR101" s="645"/>
      <c r="TS101" s="646"/>
      <c r="TT101" s="645"/>
      <c r="TU101" s="646"/>
      <c r="TV101" s="645"/>
      <c r="TW101" s="646"/>
      <c r="TX101" s="645"/>
      <c r="TY101" s="646"/>
      <c r="TZ101" s="645"/>
      <c r="UA101" s="646"/>
      <c r="UB101" s="645"/>
      <c r="UC101" s="646"/>
      <c r="UD101" s="645"/>
      <c r="UE101" s="646"/>
      <c r="UF101" s="645"/>
      <c r="UG101" s="646"/>
      <c r="UH101" s="645"/>
      <c r="UI101" s="646"/>
      <c r="UJ101" s="645"/>
      <c r="UK101" s="646"/>
      <c r="UL101" s="645"/>
      <c r="UM101" s="646"/>
      <c r="UN101" s="645"/>
      <c r="UO101" s="646"/>
      <c r="UP101" s="645"/>
      <c r="UQ101" s="646"/>
      <c r="UR101" s="645"/>
      <c r="US101" s="646"/>
      <c r="UT101" s="645"/>
      <c r="UU101" s="646"/>
      <c r="UV101" s="645"/>
      <c r="UW101" s="646"/>
      <c r="UX101" s="645"/>
      <c r="UY101" s="646"/>
      <c r="UZ101" s="645"/>
      <c r="VA101" s="646"/>
      <c r="VB101" s="645"/>
      <c r="VC101" s="646"/>
      <c r="VD101" s="645"/>
      <c r="VE101" s="646"/>
      <c r="VF101" s="645"/>
      <c r="VG101" s="646"/>
      <c r="VH101" s="645"/>
      <c r="VI101" s="646"/>
      <c r="VJ101" s="645"/>
      <c r="VK101" s="646"/>
      <c r="VL101" s="645"/>
      <c r="VM101" s="646"/>
      <c r="VN101" s="645"/>
      <c r="VO101" s="646"/>
      <c r="VP101" s="645"/>
      <c r="VQ101" s="646"/>
      <c r="VR101" s="645"/>
      <c r="VS101" s="646"/>
      <c r="VT101" s="645"/>
      <c r="VU101" s="646"/>
      <c r="VV101" s="645"/>
      <c r="VW101" s="646"/>
      <c r="VX101" s="645"/>
      <c r="VY101" s="646"/>
      <c r="VZ101" s="645"/>
      <c r="WA101" s="646"/>
      <c r="WB101" s="645"/>
      <c r="WC101" s="646"/>
      <c r="WD101" s="645"/>
      <c r="WE101" s="646"/>
      <c r="WF101" s="645"/>
      <c r="WG101" s="646"/>
      <c r="WH101" s="645"/>
      <c r="WI101" s="646"/>
      <c r="WJ101" s="645"/>
      <c r="WK101" s="646"/>
      <c r="WL101" s="645"/>
      <c r="WM101" s="646"/>
      <c r="WN101" s="645"/>
      <c r="WO101" s="646"/>
      <c r="WP101" s="645"/>
      <c r="WQ101" s="646"/>
      <c r="WR101" s="645"/>
      <c r="WS101" s="646"/>
      <c r="WT101" s="645"/>
      <c r="WU101" s="646"/>
      <c r="WV101" s="645"/>
      <c r="WW101" s="646"/>
      <c r="WX101" s="645"/>
      <c r="WY101" s="646"/>
      <c r="WZ101" s="645"/>
      <c r="XA101" s="646"/>
      <c r="XB101" s="645"/>
      <c r="XC101" s="646"/>
      <c r="XD101" s="645"/>
      <c r="XE101" s="646"/>
      <c r="XF101" s="645"/>
      <c r="XG101" s="646"/>
      <c r="XH101" s="645"/>
      <c r="XI101" s="646"/>
      <c r="XJ101" s="645"/>
      <c r="XK101" s="646"/>
      <c r="XL101" s="645"/>
      <c r="XM101" s="646"/>
      <c r="XN101" s="645"/>
      <c r="XO101" s="646"/>
      <c r="XP101" s="645"/>
      <c r="XQ101" s="646"/>
      <c r="XR101" s="645"/>
      <c r="XS101" s="646"/>
      <c r="XT101" s="645"/>
      <c r="XU101" s="646"/>
      <c r="XV101" s="645"/>
      <c r="XW101" s="646"/>
      <c r="XX101" s="645"/>
      <c r="XY101" s="646"/>
      <c r="XZ101" s="645"/>
      <c r="YA101" s="646"/>
      <c r="YB101" s="645"/>
      <c r="YC101" s="646"/>
      <c r="YD101" s="645"/>
      <c r="YE101" s="646"/>
      <c r="YF101" s="645"/>
      <c r="YG101" s="646"/>
      <c r="YH101" s="645"/>
      <c r="YI101" s="646"/>
      <c r="YJ101" s="645"/>
      <c r="YK101" s="646"/>
      <c r="YL101" s="645"/>
      <c r="YM101" s="646"/>
      <c r="YN101" s="645"/>
      <c r="YO101" s="646"/>
      <c r="YP101" s="645"/>
      <c r="YQ101" s="646"/>
      <c r="YR101" s="645"/>
      <c r="YS101" s="646"/>
      <c r="YT101" s="645"/>
      <c r="YU101" s="646"/>
      <c r="YV101" s="645"/>
      <c r="YW101" s="646"/>
      <c r="YX101" s="645"/>
      <c r="YY101" s="646"/>
      <c r="YZ101" s="645"/>
      <c r="ZA101" s="646"/>
      <c r="ZB101" s="645"/>
      <c r="ZC101" s="646"/>
      <c r="ZD101" s="645"/>
      <c r="ZE101" s="646"/>
      <c r="ZF101" s="645"/>
      <c r="ZG101" s="646"/>
      <c r="ZH101" s="645"/>
      <c r="ZI101" s="646"/>
      <c r="ZJ101" s="645"/>
      <c r="ZK101" s="646"/>
      <c r="ZL101" s="645"/>
      <c r="ZM101" s="646"/>
      <c r="ZN101" s="645"/>
      <c r="ZO101" s="646"/>
      <c r="ZP101" s="645"/>
      <c r="ZQ101" s="646"/>
      <c r="ZR101" s="645"/>
      <c r="ZS101" s="646"/>
      <c r="ZT101" s="645"/>
      <c r="ZU101" s="646"/>
      <c r="ZV101" s="645"/>
      <c r="ZW101" s="646"/>
      <c r="ZX101" s="645"/>
      <c r="ZY101" s="646"/>
      <c r="ZZ101" s="645"/>
      <c r="AAA101" s="646"/>
      <c r="AAB101" s="645"/>
      <c r="AAC101" s="646"/>
      <c r="AAD101" s="645"/>
      <c r="AAE101" s="646"/>
      <c r="AAF101" s="645"/>
      <c r="AAG101" s="646"/>
      <c r="AAH101" s="645"/>
      <c r="AAI101" s="646"/>
      <c r="AAJ101" s="645"/>
      <c r="AAK101" s="646"/>
      <c r="AAL101" s="645"/>
      <c r="AAM101" s="646"/>
      <c r="AAN101" s="645"/>
      <c r="AAO101" s="646"/>
      <c r="AAP101" s="645"/>
      <c r="AAQ101" s="646"/>
      <c r="AAR101" s="645"/>
      <c r="AAS101" s="646"/>
      <c r="AAT101" s="645"/>
      <c r="AAU101" s="646"/>
      <c r="AAV101" s="645"/>
      <c r="AAW101" s="646"/>
      <c r="AAX101" s="645"/>
      <c r="AAY101" s="646"/>
      <c r="AAZ101" s="645"/>
      <c r="ABA101" s="646"/>
      <c r="ABB101" s="645"/>
      <c r="ABC101" s="646"/>
      <c r="ABD101" s="645"/>
      <c r="ABE101" s="646"/>
      <c r="ABF101" s="645"/>
      <c r="ABG101" s="646"/>
      <c r="ABH101" s="645"/>
      <c r="ABI101" s="646"/>
      <c r="ABJ101" s="645"/>
      <c r="ABK101" s="646"/>
      <c r="ABL101" s="645"/>
      <c r="ABM101" s="646"/>
      <c r="ABN101" s="645"/>
      <c r="ABO101" s="646"/>
      <c r="ABP101" s="645"/>
      <c r="ABQ101" s="646"/>
      <c r="ABR101" s="645"/>
      <c r="ABS101" s="646"/>
      <c r="ABT101" s="645"/>
      <c r="ABU101" s="646"/>
      <c r="ABV101" s="645"/>
      <c r="ABW101" s="646"/>
      <c r="ABX101" s="645"/>
      <c r="ABY101" s="646"/>
      <c r="ABZ101" s="645"/>
      <c r="ACA101" s="646"/>
      <c r="ACB101" s="645"/>
      <c r="ACC101" s="646"/>
      <c r="ACD101" s="645"/>
      <c r="ACE101" s="646"/>
      <c r="ACF101" s="645"/>
      <c r="ACG101" s="646"/>
      <c r="ACH101" s="645"/>
      <c r="ACI101" s="646"/>
      <c r="ACJ101" s="645"/>
      <c r="ACK101" s="646"/>
      <c r="ACL101" s="645"/>
      <c r="ACM101" s="646"/>
      <c r="ACN101" s="645"/>
      <c r="ACO101" s="646"/>
      <c r="ACP101" s="645"/>
      <c r="ACQ101" s="646"/>
      <c r="ACR101" s="645"/>
      <c r="ACS101" s="646"/>
      <c r="ACT101" s="645"/>
      <c r="ACU101" s="646"/>
      <c r="ACV101" s="645"/>
      <c r="ACW101" s="646"/>
      <c r="ACX101" s="645"/>
      <c r="ACY101" s="646"/>
      <c r="ACZ101" s="645"/>
      <c r="ADA101" s="646"/>
      <c r="ADB101" s="645"/>
      <c r="ADC101" s="646"/>
      <c r="ADD101" s="645"/>
      <c r="ADE101" s="646"/>
      <c r="ADF101" s="645"/>
      <c r="ADG101" s="646"/>
      <c r="ADH101" s="645"/>
      <c r="ADI101" s="646"/>
      <c r="ADJ101" s="645"/>
      <c r="ADK101" s="646"/>
      <c r="ADL101" s="645"/>
      <c r="ADM101" s="646"/>
      <c r="ADN101" s="645"/>
      <c r="ADO101" s="646"/>
      <c r="ADP101" s="645"/>
      <c r="ADQ101" s="646"/>
      <c r="ADR101" s="645"/>
      <c r="ADS101" s="646"/>
      <c r="ADT101" s="645"/>
      <c r="ADU101" s="646"/>
      <c r="ADV101" s="645"/>
      <c r="ADW101" s="646"/>
      <c r="ADX101" s="645"/>
      <c r="ADY101" s="646"/>
      <c r="ADZ101" s="645"/>
      <c r="AEA101" s="646"/>
      <c r="AEB101" s="645"/>
      <c r="AEC101" s="646"/>
      <c r="AED101" s="645"/>
      <c r="AEE101" s="646"/>
      <c r="AEF101" s="645"/>
      <c r="AEG101" s="646"/>
      <c r="AEH101" s="645"/>
      <c r="AEI101" s="646"/>
      <c r="AEJ101" s="645"/>
      <c r="AEK101" s="646"/>
      <c r="AEL101" s="645"/>
      <c r="AEM101" s="646"/>
      <c r="AEN101" s="645"/>
      <c r="AEO101" s="646"/>
      <c r="AEP101" s="645"/>
      <c r="AEQ101" s="646"/>
      <c r="AER101" s="645"/>
      <c r="AES101" s="646"/>
      <c r="AET101" s="645"/>
      <c r="AEU101" s="646"/>
      <c r="AEV101" s="645"/>
      <c r="AEW101" s="646"/>
      <c r="AEX101" s="645"/>
      <c r="AEY101" s="646"/>
      <c r="AEZ101" s="645"/>
      <c r="AFA101" s="646"/>
      <c r="AFB101" s="645"/>
      <c r="AFC101" s="646"/>
      <c r="AFD101" s="645"/>
      <c r="AFE101" s="646"/>
      <c r="AFF101" s="645"/>
      <c r="AFG101" s="646"/>
      <c r="AFH101" s="645"/>
      <c r="AFI101" s="646"/>
      <c r="AFJ101" s="645"/>
      <c r="AFK101" s="646"/>
      <c r="AFL101" s="645"/>
      <c r="AFM101" s="646"/>
      <c r="AFN101" s="645"/>
      <c r="AFO101" s="646"/>
      <c r="AFP101" s="645"/>
      <c r="AFQ101" s="646"/>
      <c r="AFR101" s="645"/>
      <c r="AFS101" s="646"/>
      <c r="AFT101" s="645"/>
      <c r="AFU101" s="646"/>
      <c r="AFV101" s="645"/>
      <c r="AFW101" s="646"/>
      <c r="AFX101" s="645"/>
      <c r="AFY101" s="646"/>
      <c r="AFZ101" s="645"/>
      <c r="AGA101" s="646"/>
      <c r="AGB101" s="645"/>
      <c r="AGC101" s="646"/>
      <c r="AGD101" s="645"/>
      <c r="AGE101" s="646"/>
      <c r="AGF101" s="645"/>
      <c r="AGG101" s="646"/>
      <c r="AGH101" s="645"/>
      <c r="AGI101" s="646"/>
      <c r="AGJ101" s="645"/>
      <c r="AGK101" s="646"/>
      <c r="AGL101" s="645"/>
      <c r="AGM101" s="646"/>
      <c r="AGN101" s="645"/>
      <c r="AGO101" s="646"/>
      <c r="AGP101" s="645"/>
      <c r="AGQ101" s="646"/>
      <c r="AGR101" s="645"/>
      <c r="AGS101" s="646"/>
      <c r="AGT101" s="645"/>
      <c r="AGU101" s="646"/>
      <c r="AGV101" s="645"/>
      <c r="AGW101" s="646"/>
      <c r="AGX101" s="645"/>
      <c r="AGY101" s="646"/>
      <c r="AGZ101" s="645"/>
      <c r="AHA101" s="646"/>
      <c r="AHB101" s="645"/>
      <c r="AHC101" s="646"/>
      <c r="AHD101" s="645"/>
      <c r="AHE101" s="646"/>
      <c r="AHF101" s="645"/>
      <c r="AHG101" s="646"/>
      <c r="AHH101" s="645"/>
      <c r="AHI101" s="646"/>
      <c r="AHJ101" s="645"/>
      <c r="AHK101" s="646"/>
      <c r="AHL101" s="645"/>
      <c r="AHM101" s="646"/>
      <c r="AHN101" s="645"/>
      <c r="AHO101" s="646"/>
      <c r="AHP101" s="645"/>
      <c r="AHQ101" s="646"/>
      <c r="AHR101" s="645"/>
      <c r="AHS101" s="646"/>
      <c r="AHT101" s="645"/>
      <c r="AHU101" s="646"/>
      <c r="AHV101" s="645"/>
      <c r="AHW101" s="646"/>
      <c r="AHX101" s="645"/>
      <c r="AHY101" s="646"/>
      <c r="AHZ101" s="645"/>
      <c r="AIA101" s="646"/>
      <c r="AIB101" s="645"/>
      <c r="AIC101" s="646"/>
      <c r="AID101" s="645"/>
      <c r="AIE101" s="646"/>
      <c r="AIF101" s="645"/>
      <c r="AIG101" s="646"/>
      <c r="AIH101" s="645"/>
      <c r="AII101" s="646"/>
      <c r="AIJ101" s="645"/>
      <c r="AIK101" s="646"/>
      <c r="AIL101" s="645"/>
      <c r="AIM101" s="646"/>
      <c r="AIN101" s="645"/>
      <c r="AIO101" s="646"/>
      <c r="AIP101" s="645"/>
      <c r="AIQ101" s="645"/>
      <c r="AIR101" s="645"/>
      <c r="AIS101" s="645"/>
      <c r="AIT101" s="645"/>
      <c r="AIU101" s="645"/>
      <c r="AIV101" s="645"/>
      <c r="AIW101" s="645"/>
      <c r="AIX101" s="645"/>
      <c r="AIY101" s="645"/>
      <c r="AIZ101" s="645"/>
      <c r="AJA101" s="645"/>
      <c r="AJB101" s="645"/>
      <c r="AJC101" s="645"/>
      <c r="AJD101" s="645"/>
      <c r="AJE101" s="645"/>
      <c r="AJF101" s="645"/>
      <c r="AJG101" s="645"/>
      <c r="AJH101" s="645"/>
      <c r="AJI101" s="645"/>
      <c r="AJJ101" s="645"/>
      <c r="AJK101" s="645"/>
      <c r="AJL101" s="645"/>
      <c r="AJM101" s="645"/>
      <c r="AJN101" s="645"/>
      <c r="AJO101" s="645"/>
      <c r="AJP101" s="645"/>
      <c r="AJQ101" s="645"/>
      <c r="AJR101" s="645"/>
      <c r="AJS101" s="645"/>
      <c r="AJT101" s="645"/>
      <c r="AJU101" s="645"/>
      <c r="AJV101" s="645"/>
      <c r="AJW101" s="645"/>
      <c r="AJX101" s="645"/>
      <c r="AJY101" s="645"/>
      <c r="AJZ101" s="645"/>
      <c r="AKA101" s="645"/>
      <c r="AKB101" s="645"/>
      <c r="AKC101" s="645"/>
      <c r="AKD101" s="645"/>
      <c r="AKE101" s="645"/>
      <c r="AKF101" s="645"/>
      <c r="AKG101" s="645"/>
      <c r="AKH101" s="645"/>
      <c r="AKI101" s="645"/>
      <c r="AKJ101" s="645"/>
      <c r="AKK101" s="645"/>
      <c r="AKL101" s="645"/>
      <c r="AKM101" s="645"/>
      <c r="AKN101" s="645"/>
      <c r="AKO101" s="645"/>
      <c r="AKP101" s="645"/>
      <c r="AKQ101" s="645"/>
      <c r="AKR101" s="645"/>
      <c r="AKS101" s="645"/>
      <c r="AKT101" s="645"/>
      <c r="AKU101" s="645"/>
      <c r="AKV101" s="645"/>
      <c r="AKW101" s="645"/>
      <c r="AKX101" s="645"/>
      <c r="AKY101" s="645"/>
      <c r="AKZ101" s="645"/>
      <c r="ALA101" s="645"/>
      <c r="ALB101" s="645"/>
      <c r="ALC101" s="645"/>
      <c r="ALD101" s="645"/>
      <c r="ALE101" s="645"/>
      <c r="ALF101" s="645"/>
      <c r="ALG101" s="645"/>
      <c r="ALH101" s="645"/>
      <c r="ALI101" s="645"/>
      <c r="ALJ101" s="645"/>
      <c r="ALK101" s="645"/>
      <c r="ALL101" s="645"/>
      <c r="ALM101" s="645"/>
      <c r="ALN101" s="645"/>
      <c r="ALO101" s="645"/>
      <c r="ALP101" s="645"/>
      <c r="ALQ101" s="645"/>
      <c r="ALR101" s="645"/>
      <c r="ALS101" s="645"/>
      <c r="ALT101" s="645"/>
      <c r="ALU101" s="645"/>
      <c r="ALV101" s="645"/>
      <c r="ALW101" s="645"/>
      <c r="ALX101" s="645"/>
      <c r="ALY101" s="645"/>
      <c r="ALZ101" s="645"/>
      <c r="AMA101" s="645"/>
      <c r="AMB101" s="645"/>
      <c r="AMC101" s="645"/>
      <c r="AMD101" s="645"/>
      <c r="AME101" s="645"/>
      <c r="AMF101" s="645"/>
      <c r="AMG101" s="645"/>
      <c r="AMH101" s="645"/>
      <c r="AMI101" s="645"/>
      <c r="AMJ101" s="645"/>
    </row>
    <row r="102" spans="1:1024" s="37" customFormat="1" ht="15.75" customHeight="1" x14ac:dyDescent="0.35">
      <c r="A102" s="600"/>
      <c r="B102" s="644" t="s">
        <v>356</v>
      </c>
      <c r="C102" s="645"/>
      <c r="D102" s="646"/>
      <c r="E102" s="645"/>
      <c r="F102" s="646"/>
      <c r="G102" s="647" t="s">
        <v>243</v>
      </c>
      <c r="H102" s="643"/>
      <c r="I102" s="645"/>
      <c r="J102" s="38"/>
      <c r="K102" s="38"/>
      <c r="L102" s="39"/>
      <c r="M102" s="38"/>
      <c r="N102" s="39"/>
      <c r="O102" s="38"/>
      <c r="P102" s="39"/>
      <c r="Q102" s="38"/>
      <c r="R102" s="39"/>
      <c r="S102" s="38"/>
      <c r="T102" s="39"/>
      <c r="U102" s="38"/>
      <c r="V102" s="39"/>
      <c r="W102" s="38"/>
      <c r="X102" s="39"/>
      <c r="Y102" s="38"/>
      <c r="Z102" s="39"/>
      <c r="AA102" s="38"/>
      <c r="AB102" s="39"/>
      <c r="AC102" s="38"/>
      <c r="AD102" s="39"/>
      <c r="AE102" s="38"/>
      <c r="AF102" s="39"/>
      <c r="AG102" s="38"/>
      <c r="AH102" s="39"/>
      <c r="AI102" s="38"/>
      <c r="AJ102" s="39"/>
      <c r="AK102" s="40"/>
      <c r="AL102" s="39"/>
      <c r="AM102" s="40"/>
      <c r="AN102" s="39"/>
      <c r="AO102" s="40"/>
      <c r="AP102" s="39"/>
      <c r="AQ102" s="40"/>
      <c r="AR102" s="39"/>
      <c r="AS102" s="40"/>
      <c r="AT102" s="39"/>
      <c r="AU102" s="40"/>
      <c r="AV102" s="39"/>
      <c r="AW102" s="40"/>
      <c r="AX102" s="39"/>
      <c r="AY102" s="40"/>
      <c r="AZ102" s="39"/>
      <c r="BA102" s="40"/>
      <c r="BB102" s="39"/>
      <c r="BC102" s="40"/>
      <c r="BD102" s="39"/>
      <c r="BE102" s="40"/>
      <c r="BF102" s="39"/>
      <c r="BG102" s="40"/>
      <c r="BH102" s="39"/>
      <c r="BI102" s="40"/>
      <c r="BJ102" s="39"/>
      <c r="BK102" s="40"/>
      <c r="BL102" s="39"/>
      <c r="BM102" s="40"/>
      <c r="BN102" s="39"/>
      <c r="BO102" s="40"/>
      <c r="BP102" s="39"/>
      <c r="BQ102" s="40"/>
      <c r="BR102" s="39"/>
      <c r="BS102" s="40"/>
      <c r="BT102" s="39"/>
      <c r="BU102" s="40"/>
      <c r="BV102" s="39"/>
      <c r="BW102" s="40"/>
      <c r="BX102" s="39"/>
      <c r="BY102" s="40"/>
      <c r="BZ102" s="39"/>
      <c r="CA102" s="40"/>
      <c r="CB102" s="39"/>
      <c r="CC102" s="40"/>
      <c r="CD102" s="39"/>
      <c r="CE102" s="40"/>
      <c r="CF102" s="39"/>
      <c r="CG102" s="40"/>
      <c r="CH102" s="39"/>
      <c r="CI102" s="40"/>
      <c r="CJ102" s="39"/>
      <c r="CK102" s="40"/>
      <c r="CL102" s="39"/>
      <c r="CM102" s="40"/>
      <c r="CN102" s="39"/>
      <c r="CO102" s="40"/>
      <c r="CP102" s="39"/>
      <c r="CQ102" s="40"/>
      <c r="CR102" s="39"/>
      <c r="CS102" s="40"/>
      <c r="CT102" s="39"/>
      <c r="CU102" s="40"/>
      <c r="CV102" s="39"/>
      <c r="CW102" s="40"/>
      <c r="CX102" s="39"/>
      <c r="CY102" s="40"/>
      <c r="CZ102" s="39"/>
      <c r="DA102" s="40"/>
      <c r="DB102" s="39"/>
      <c r="DC102" s="40"/>
      <c r="DD102" s="39"/>
      <c r="DE102" s="40"/>
      <c r="DF102" s="39"/>
      <c r="DG102" s="40"/>
      <c r="DH102" s="39"/>
      <c r="DI102" s="40"/>
      <c r="DJ102" s="39"/>
      <c r="DK102" s="40"/>
      <c r="DL102" s="39"/>
      <c r="DM102" s="40"/>
      <c r="DN102" s="39"/>
      <c r="DO102" s="40"/>
      <c r="DP102" s="39"/>
      <c r="DQ102" s="40"/>
      <c r="DR102" s="39"/>
      <c r="DS102" s="40"/>
      <c r="DT102" s="39"/>
      <c r="DU102" s="40"/>
      <c r="DV102" s="39"/>
      <c r="DW102" s="40"/>
      <c r="DX102" s="39"/>
      <c r="DY102" s="40"/>
      <c r="DZ102" s="39"/>
      <c r="EA102" s="40"/>
      <c r="EB102" s="39"/>
      <c r="EC102" s="40"/>
      <c r="ED102" s="39"/>
      <c r="EE102" s="40"/>
      <c r="EF102" s="39"/>
      <c r="EG102" s="40"/>
      <c r="EH102" s="39"/>
      <c r="EI102" s="40"/>
      <c r="EJ102" s="39"/>
      <c r="EK102" s="40"/>
      <c r="EL102" s="39"/>
      <c r="EM102" s="40"/>
      <c r="EN102" s="39"/>
      <c r="EO102" s="40"/>
      <c r="EP102" s="39"/>
      <c r="EQ102" s="40"/>
      <c r="ER102" s="39"/>
      <c r="ES102" s="40"/>
      <c r="ET102" s="39"/>
      <c r="EU102" s="40"/>
      <c r="EV102" s="39"/>
      <c r="EW102" s="40"/>
      <c r="EX102" s="39"/>
      <c r="EY102" s="40"/>
      <c r="EZ102" s="39"/>
      <c r="FA102" s="40"/>
      <c r="FB102" s="39"/>
      <c r="FC102" s="40"/>
      <c r="FD102" s="39"/>
      <c r="FE102" s="40"/>
      <c r="FF102" s="39"/>
      <c r="FG102" s="40"/>
      <c r="FH102" s="39"/>
      <c r="FI102" s="40"/>
      <c r="FJ102" s="39"/>
      <c r="FK102" s="40"/>
      <c r="FL102" s="39"/>
      <c r="FM102" s="40"/>
      <c r="FN102" s="39"/>
      <c r="FO102" s="40"/>
      <c r="FP102" s="39"/>
      <c r="FQ102" s="40"/>
      <c r="FR102" s="39"/>
      <c r="FS102" s="40"/>
      <c r="FT102" s="39"/>
      <c r="FU102" s="40"/>
      <c r="FV102" s="39"/>
      <c r="FW102" s="40"/>
      <c r="FX102" s="39"/>
      <c r="FY102" s="40"/>
      <c r="FZ102" s="39"/>
      <c r="GA102" s="40"/>
      <c r="GB102" s="39"/>
      <c r="GC102" s="40"/>
      <c r="GD102" s="39"/>
      <c r="GE102" s="40"/>
      <c r="GF102" s="39"/>
      <c r="GG102" s="40"/>
      <c r="GH102" s="39"/>
      <c r="GI102" s="40"/>
      <c r="GJ102" s="39"/>
      <c r="GK102" s="40"/>
      <c r="GL102" s="39"/>
      <c r="GM102" s="40"/>
      <c r="GN102" s="39"/>
      <c r="GO102" s="40"/>
      <c r="GP102" s="39"/>
      <c r="GQ102" s="40"/>
      <c r="GR102" s="39"/>
      <c r="GS102" s="40"/>
      <c r="GT102" s="39"/>
      <c r="GU102" s="40"/>
      <c r="GV102" s="39"/>
      <c r="GW102" s="40"/>
      <c r="GX102" s="39"/>
      <c r="GY102" s="40"/>
      <c r="GZ102" s="39"/>
      <c r="HA102" s="40"/>
      <c r="HB102" s="39"/>
      <c r="HC102" s="40"/>
      <c r="HD102" s="39"/>
      <c r="HE102" s="40"/>
      <c r="HF102" s="39"/>
      <c r="HG102" s="40"/>
      <c r="HH102" s="39"/>
      <c r="HI102" s="40"/>
      <c r="HJ102" s="39"/>
      <c r="HK102" s="40"/>
      <c r="HL102" s="39"/>
      <c r="HM102" s="40"/>
      <c r="HN102" s="39"/>
      <c r="HO102" s="40"/>
      <c r="HP102" s="39"/>
      <c r="HQ102" s="40"/>
      <c r="HR102" s="39"/>
      <c r="HS102" s="40"/>
      <c r="HT102" s="39"/>
      <c r="HU102" s="40"/>
      <c r="HV102" s="39"/>
      <c r="HW102" s="40"/>
      <c r="HX102" s="39"/>
      <c r="HY102" s="40"/>
      <c r="HZ102" s="39"/>
      <c r="IA102" s="40"/>
      <c r="IB102" s="39"/>
      <c r="IC102" s="1068"/>
      <c r="ID102" s="645"/>
      <c r="IE102" s="646"/>
      <c r="IF102" s="645"/>
      <c r="IG102" s="646"/>
      <c r="IH102" s="645"/>
      <c r="II102" s="646"/>
      <c r="IJ102" s="645"/>
      <c r="IK102" s="646"/>
      <c r="IL102" s="645"/>
      <c r="IM102" s="646"/>
      <c r="IN102" s="645"/>
      <c r="IO102" s="646"/>
      <c r="IP102" s="645"/>
      <c r="IQ102" s="646"/>
      <c r="IR102" s="645"/>
      <c r="IS102" s="646"/>
      <c r="IT102" s="645"/>
      <c r="IU102" s="646"/>
      <c r="IV102" s="645"/>
      <c r="IW102" s="646"/>
      <c r="IX102" s="645"/>
      <c r="IY102" s="646"/>
      <c r="IZ102" s="645"/>
      <c r="JA102" s="646"/>
      <c r="JB102" s="645"/>
      <c r="JC102" s="646"/>
      <c r="JD102" s="645"/>
      <c r="JE102" s="646"/>
      <c r="JF102" s="645"/>
      <c r="JG102" s="646"/>
      <c r="JH102" s="645"/>
      <c r="JI102" s="646"/>
      <c r="JJ102" s="645"/>
      <c r="JK102" s="646"/>
      <c r="JL102" s="645"/>
      <c r="JM102" s="646"/>
      <c r="JN102" s="645"/>
      <c r="JO102" s="646"/>
      <c r="JP102" s="645"/>
      <c r="JQ102" s="646"/>
      <c r="JR102" s="645"/>
      <c r="JS102" s="646"/>
      <c r="JT102" s="645"/>
      <c r="JU102" s="646"/>
      <c r="JV102" s="645"/>
      <c r="JW102" s="646"/>
      <c r="JX102" s="645"/>
      <c r="JY102" s="646"/>
      <c r="JZ102" s="645"/>
      <c r="KA102" s="646"/>
      <c r="KB102" s="645"/>
      <c r="KC102" s="646"/>
      <c r="KD102" s="645"/>
      <c r="KE102" s="646"/>
      <c r="KF102" s="645"/>
      <c r="KG102" s="646"/>
      <c r="KH102" s="645"/>
      <c r="KI102" s="646"/>
      <c r="KJ102" s="645"/>
      <c r="KK102" s="646"/>
      <c r="KL102" s="645"/>
      <c r="KM102" s="646"/>
      <c r="KN102" s="645"/>
      <c r="KO102" s="646"/>
      <c r="KP102" s="645"/>
      <c r="KQ102" s="646"/>
      <c r="KR102" s="645"/>
      <c r="KS102" s="646"/>
      <c r="KT102" s="645"/>
      <c r="KU102" s="646"/>
      <c r="KV102" s="645"/>
      <c r="KW102" s="646"/>
      <c r="KX102" s="645"/>
      <c r="KY102" s="646"/>
      <c r="KZ102" s="645"/>
      <c r="LA102" s="646"/>
      <c r="LB102" s="645"/>
      <c r="LC102" s="646"/>
      <c r="LD102" s="645"/>
      <c r="LE102" s="646"/>
      <c r="LF102" s="645"/>
      <c r="LG102" s="646"/>
      <c r="LH102" s="645"/>
      <c r="LI102" s="646"/>
      <c r="LJ102" s="645"/>
      <c r="LK102" s="646"/>
      <c r="LL102" s="645"/>
      <c r="LM102" s="646"/>
      <c r="LN102" s="645"/>
      <c r="LO102" s="646"/>
      <c r="LP102" s="645"/>
      <c r="LQ102" s="646"/>
      <c r="LR102" s="645"/>
      <c r="LS102" s="646"/>
      <c r="LT102" s="645"/>
      <c r="LU102" s="646"/>
      <c r="LV102" s="645"/>
      <c r="LW102" s="646"/>
      <c r="LX102" s="645"/>
      <c r="LY102" s="646"/>
      <c r="LZ102" s="645"/>
      <c r="MA102" s="646"/>
      <c r="MB102" s="645"/>
      <c r="MC102" s="646"/>
      <c r="MD102" s="645"/>
      <c r="ME102" s="646"/>
      <c r="MF102" s="645"/>
      <c r="MG102" s="646"/>
      <c r="MH102" s="645"/>
      <c r="MI102" s="646"/>
      <c r="MJ102" s="645"/>
      <c r="MK102" s="646"/>
      <c r="ML102" s="645"/>
      <c r="MM102" s="646"/>
      <c r="MN102" s="645"/>
      <c r="MO102" s="646"/>
      <c r="MP102" s="645"/>
      <c r="MQ102" s="646"/>
      <c r="MR102" s="645"/>
      <c r="MS102" s="646"/>
      <c r="MT102" s="645"/>
      <c r="MU102" s="646"/>
      <c r="MV102" s="645"/>
      <c r="MW102" s="646"/>
      <c r="MX102" s="645"/>
      <c r="MY102" s="646"/>
      <c r="MZ102" s="645"/>
      <c r="NA102" s="646"/>
      <c r="NB102" s="645"/>
      <c r="NC102" s="646"/>
      <c r="ND102" s="645"/>
      <c r="NE102" s="646"/>
      <c r="NF102" s="645"/>
      <c r="NG102" s="646"/>
      <c r="NH102" s="645"/>
      <c r="NI102" s="646"/>
      <c r="NJ102" s="645"/>
      <c r="NK102" s="646"/>
      <c r="NL102" s="645"/>
      <c r="NM102" s="646"/>
      <c r="NN102" s="645"/>
      <c r="NO102" s="646"/>
      <c r="NP102" s="645"/>
      <c r="NQ102" s="646"/>
      <c r="NR102" s="645"/>
      <c r="NS102" s="646"/>
      <c r="NT102" s="645"/>
      <c r="NU102" s="646"/>
      <c r="NV102" s="645"/>
      <c r="NW102" s="646"/>
      <c r="NX102" s="645"/>
      <c r="NY102" s="646"/>
      <c r="NZ102" s="645"/>
      <c r="OA102" s="646"/>
      <c r="OB102" s="645"/>
      <c r="OC102" s="646"/>
      <c r="OD102" s="645"/>
      <c r="OE102" s="646"/>
      <c r="OF102" s="645"/>
      <c r="OG102" s="646"/>
      <c r="OH102" s="645"/>
      <c r="OI102" s="646"/>
      <c r="OJ102" s="645"/>
      <c r="OK102" s="646"/>
      <c r="OL102" s="645"/>
      <c r="OM102" s="646"/>
      <c r="ON102" s="645"/>
      <c r="OO102" s="646"/>
      <c r="OP102" s="645"/>
      <c r="OQ102" s="646"/>
      <c r="OR102" s="645"/>
      <c r="OS102" s="646"/>
      <c r="OT102" s="645"/>
      <c r="OU102" s="646"/>
      <c r="OV102" s="645"/>
      <c r="OW102" s="646"/>
      <c r="OX102" s="645"/>
      <c r="OY102" s="646"/>
      <c r="OZ102" s="645"/>
      <c r="PA102" s="646"/>
      <c r="PB102" s="645"/>
      <c r="PC102" s="646"/>
      <c r="PD102" s="645"/>
      <c r="PE102" s="646"/>
      <c r="PF102" s="645"/>
      <c r="PG102" s="646"/>
      <c r="PH102" s="645"/>
      <c r="PI102" s="646"/>
      <c r="PJ102" s="645"/>
      <c r="PK102" s="646"/>
      <c r="PL102" s="645"/>
      <c r="PM102" s="646"/>
      <c r="PN102" s="645"/>
      <c r="PO102" s="646"/>
      <c r="PP102" s="645"/>
      <c r="PQ102" s="646"/>
      <c r="PR102" s="645"/>
      <c r="PS102" s="646"/>
      <c r="PT102" s="645"/>
      <c r="PU102" s="646"/>
      <c r="PV102" s="645"/>
      <c r="PW102" s="646"/>
      <c r="PX102" s="645"/>
      <c r="PY102" s="646"/>
      <c r="PZ102" s="645"/>
      <c r="QA102" s="646"/>
      <c r="QB102" s="645"/>
      <c r="QC102" s="646"/>
      <c r="QD102" s="645"/>
      <c r="QE102" s="646"/>
      <c r="QF102" s="645"/>
      <c r="QG102" s="646"/>
      <c r="QH102" s="645"/>
      <c r="QI102" s="646"/>
      <c r="QJ102" s="645"/>
      <c r="QK102" s="646"/>
      <c r="QL102" s="645"/>
      <c r="QM102" s="646"/>
      <c r="QN102" s="645"/>
      <c r="QO102" s="646"/>
      <c r="QP102" s="645"/>
      <c r="QQ102" s="646"/>
      <c r="QR102" s="645"/>
      <c r="QS102" s="646"/>
      <c r="QT102" s="645"/>
      <c r="QU102" s="646"/>
      <c r="QV102" s="645"/>
      <c r="QW102" s="646"/>
      <c r="QX102" s="645"/>
      <c r="QY102" s="646"/>
      <c r="QZ102" s="645"/>
      <c r="RA102" s="646"/>
      <c r="RB102" s="645"/>
      <c r="RC102" s="646"/>
      <c r="RD102" s="645"/>
      <c r="RE102" s="646"/>
      <c r="RF102" s="645"/>
      <c r="RG102" s="646"/>
      <c r="RH102" s="645"/>
      <c r="RI102" s="646"/>
      <c r="RJ102" s="645"/>
      <c r="RK102" s="646"/>
      <c r="RL102" s="645"/>
      <c r="RM102" s="646"/>
      <c r="RN102" s="645"/>
      <c r="RO102" s="646"/>
      <c r="RP102" s="645"/>
      <c r="RQ102" s="646"/>
      <c r="RR102" s="645"/>
      <c r="RS102" s="646"/>
      <c r="RT102" s="645"/>
      <c r="RU102" s="646"/>
      <c r="RV102" s="645"/>
      <c r="RW102" s="646"/>
      <c r="RX102" s="645"/>
      <c r="RY102" s="646"/>
      <c r="RZ102" s="645"/>
      <c r="SA102" s="646"/>
      <c r="SB102" s="645"/>
      <c r="SC102" s="646"/>
      <c r="SD102" s="645"/>
      <c r="SE102" s="646"/>
      <c r="SF102" s="645"/>
      <c r="SG102" s="646"/>
      <c r="SH102" s="645"/>
      <c r="SI102" s="646"/>
      <c r="SJ102" s="645"/>
      <c r="SK102" s="646"/>
      <c r="SL102" s="645"/>
      <c r="SM102" s="646"/>
      <c r="SN102" s="645"/>
      <c r="SO102" s="646"/>
      <c r="SP102" s="645"/>
      <c r="SQ102" s="646"/>
      <c r="SR102" s="645"/>
      <c r="SS102" s="646"/>
      <c r="ST102" s="645"/>
      <c r="SU102" s="646"/>
      <c r="SV102" s="645"/>
      <c r="SW102" s="646"/>
      <c r="SX102" s="645"/>
      <c r="SY102" s="646"/>
      <c r="SZ102" s="645"/>
      <c r="TA102" s="646"/>
      <c r="TB102" s="645"/>
      <c r="TC102" s="646"/>
      <c r="TD102" s="645"/>
      <c r="TE102" s="646"/>
      <c r="TF102" s="645"/>
      <c r="TG102" s="646"/>
      <c r="TH102" s="645"/>
      <c r="TI102" s="646"/>
      <c r="TJ102" s="645"/>
      <c r="TK102" s="646"/>
      <c r="TL102" s="645"/>
      <c r="TM102" s="646"/>
      <c r="TN102" s="645"/>
      <c r="TO102" s="646"/>
      <c r="TP102" s="645"/>
      <c r="TQ102" s="646"/>
      <c r="TR102" s="645"/>
      <c r="TS102" s="646"/>
      <c r="TT102" s="645"/>
      <c r="TU102" s="646"/>
      <c r="TV102" s="645"/>
      <c r="TW102" s="646"/>
      <c r="TX102" s="645"/>
      <c r="TY102" s="646"/>
      <c r="TZ102" s="645"/>
      <c r="UA102" s="646"/>
      <c r="UB102" s="645"/>
      <c r="UC102" s="646"/>
      <c r="UD102" s="645"/>
      <c r="UE102" s="646"/>
      <c r="UF102" s="645"/>
      <c r="UG102" s="646"/>
      <c r="UH102" s="645"/>
      <c r="UI102" s="646"/>
      <c r="UJ102" s="645"/>
      <c r="UK102" s="646"/>
      <c r="UL102" s="645"/>
      <c r="UM102" s="646"/>
      <c r="UN102" s="645"/>
      <c r="UO102" s="646"/>
      <c r="UP102" s="645"/>
      <c r="UQ102" s="646"/>
      <c r="UR102" s="645"/>
      <c r="US102" s="646"/>
      <c r="UT102" s="645"/>
      <c r="UU102" s="646"/>
      <c r="UV102" s="645"/>
      <c r="UW102" s="646"/>
      <c r="UX102" s="645"/>
      <c r="UY102" s="646"/>
      <c r="UZ102" s="645"/>
      <c r="VA102" s="646"/>
      <c r="VB102" s="645"/>
      <c r="VC102" s="646"/>
      <c r="VD102" s="645"/>
      <c r="VE102" s="646"/>
      <c r="VF102" s="645"/>
      <c r="VG102" s="646"/>
      <c r="VH102" s="645"/>
      <c r="VI102" s="646"/>
      <c r="VJ102" s="645"/>
      <c r="VK102" s="646"/>
      <c r="VL102" s="645"/>
      <c r="VM102" s="646"/>
      <c r="VN102" s="645"/>
      <c r="VO102" s="646"/>
      <c r="VP102" s="645"/>
      <c r="VQ102" s="646"/>
      <c r="VR102" s="645"/>
      <c r="VS102" s="646"/>
      <c r="VT102" s="645"/>
      <c r="VU102" s="646"/>
      <c r="VV102" s="645"/>
      <c r="VW102" s="646"/>
      <c r="VX102" s="645"/>
      <c r="VY102" s="646"/>
      <c r="VZ102" s="645"/>
      <c r="WA102" s="646"/>
      <c r="WB102" s="645"/>
      <c r="WC102" s="646"/>
      <c r="WD102" s="645"/>
      <c r="WE102" s="646"/>
      <c r="WF102" s="645"/>
      <c r="WG102" s="646"/>
      <c r="WH102" s="645"/>
      <c r="WI102" s="646"/>
      <c r="WJ102" s="645"/>
      <c r="WK102" s="646"/>
      <c r="WL102" s="645"/>
      <c r="WM102" s="646"/>
      <c r="WN102" s="645"/>
      <c r="WO102" s="646"/>
      <c r="WP102" s="645"/>
      <c r="WQ102" s="646"/>
      <c r="WR102" s="645"/>
      <c r="WS102" s="646"/>
      <c r="WT102" s="645"/>
      <c r="WU102" s="646"/>
      <c r="WV102" s="645"/>
      <c r="WW102" s="646"/>
      <c r="WX102" s="645"/>
      <c r="WY102" s="646"/>
      <c r="WZ102" s="645"/>
      <c r="XA102" s="646"/>
      <c r="XB102" s="645"/>
      <c r="XC102" s="646"/>
      <c r="XD102" s="645"/>
      <c r="XE102" s="646"/>
      <c r="XF102" s="645"/>
      <c r="XG102" s="646"/>
      <c r="XH102" s="645"/>
      <c r="XI102" s="646"/>
      <c r="XJ102" s="645"/>
      <c r="XK102" s="646"/>
      <c r="XL102" s="645"/>
      <c r="XM102" s="646"/>
      <c r="XN102" s="645"/>
      <c r="XO102" s="646"/>
      <c r="XP102" s="645"/>
      <c r="XQ102" s="646"/>
      <c r="XR102" s="645"/>
      <c r="XS102" s="646"/>
      <c r="XT102" s="645"/>
      <c r="XU102" s="646"/>
      <c r="XV102" s="645"/>
      <c r="XW102" s="646"/>
      <c r="XX102" s="645"/>
      <c r="XY102" s="646"/>
      <c r="XZ102" s="645"/>
      <c r="YA102" s="646"/>
      <c r="YB102" s="645"/>
      <c r="YC102" s="646"/>
      <c r="YD102" s="645"/>
      <c r="YE102" s="646"/>
      <c r="YF102" s="645"/>
      <c r="YG102" s="646"/>
      <c r="YH102" s="645"/>
      <c r="YI102" s="646"/>
      <c r="YJ102" s="645"/>
      <c r="YK102" s="646"/>
      <c r="YL102" s="645"/>
      <c r="YM102" s="646"/>
      <c r="YN102" s="645"/>
      <c r="YO102" s="646"/>
      <c r="YP102" s="645"/>
      <c r="YQ102" s="646"/>
      <c r="YR102" s="645"/>
      <c r="YS102" s="646"/>
      <c r="YT102" s="645"/>
      <c r="YU102" s="646"/>
      <c r="YV102" s="645"/>
      <c r="YW102" s="646"/>
      <c r="YX102" s="645"/>
      <c r="YY102" s="646"/>
      <c r="YZ102" s="645"/>
      <c r="ZA102" s="646"/>
      <c r="ZB102" s="645"/>
      <c r="ZC102" s="646"/>
      <c r="ZD102" s="645"/>
      <c r="ZE102" s="646"/>
      <c r="ZF102" s="645"/>
      <c r="ZG102" s="646"/>
      <c r="ZH102" s="645"/>
      <c r="ZI102" s="646"/>
      <c r="ZJ102" s="645"/>
      <c r="ZK102" s="646"/>
      <c r="ZL102" s="645"/>
      <c r="ZM102" s="646"/>
      <c r="ZN102" s="645"/>
      <c r="ZO102" s="646"/>
      <c r="ZP102" s="645"/>
      <c r="ZQ102" s="646"/>
      <c r="ZR102" s="645"/>
      <c r="ZS102" s="646"/>
      <c r="ZT102" s="645"/>
      <c r="ZU102" s="646"/>
      <c r="ZV102" s="645"/>
      <c r="ZW102" s="646"/>
      <c r="ZX102" s="645"/>
      <c r="ZY102" s="646"/>
      <c r="ZZ102" s="645"/>
      <c r="AAA102" s="646"/>
      <c r="AAB102" s="645"/>
      <c r="AAC102" s="646"/>
      <c r="AAD102" s="645"/>
      <c r="AAE102" s="646"/>
      <c r="AAF102" s="645"/>
      <c r="AAG102" s="646"/>
      <c r="AAH102" s="645"/>
      <c r="AAI102" s="646"/>
      <c r="AAJ102" s="645"/>
      <c r="AAK102" s="646"/>
      <c r="AAL102" s="645"/>
      <c r="AAM102" s="646"/>
      <c r="AAN102" s="645"/>
      <c r="AAO102" s="646"/>
      <c r="AAP102" s="645"/>
      <c r="AAQ102" s="646"/>
      <c r="AAR102" s="645"/>
      <c r="AAS102" s="646"/>
      <c r="AAT102" s="645"/>
      <c r="AAU102" s="646"/>
      <c r="AAV102" s="645"/>
      <c r="AAW102" s="646"/>
      <c r="AAX102" s="645"/>
      <c r="AAY102" s="646"/>
      <c r="AAZ102" s="645"/>
      <c r="ABA102" s="646"/>
      <c r="ABB102" s="645"/>
      <c r="ABC102" s="646"/>
      <c r="ABD102" s="645"/>
      <c r="ABE102" s="646"/>
      <c r="ABF102" s="645"/>
      <c r="ABG102" s="646"/>
      <c r="ABH102" s="645"/>
      <c r="ABI102" s="646"/>
      <c r="ABJ102" s="645"/>
      <c r="ABK102" s="646"/>
      <c r="ABL102" s="645"/>
      <c r="ABM102" s="646"/>
      <c r="ABN102" s="645"/>
      <c r="ABO102" s="646"/>
      <c r="ABP102" s="645"/>
      <c r="ABQ102" s="646"/>
      <c r="ABR102" s="645"/>
      <c r="ABS102" s="646"/>
      <c r="ABT102" s="645"/>
      <c r="ABU102" s="646"/>
      <c r="ABV102" s="645"/>
      <c r="ABW102" s="646"/>
      <c r="ABX102" s="645"/>
      <c r="ABY102" s="646"/>
      <c r="ABZ102" s="645"/>
      <c r="ACA102" s="646"/>
      <c r="ACB102" s="645"/>
      <c r="ACC102" s="646"/>
      <c r="ACD102" s="645"/>
      <c r="ACE102" s="646"/>
      <c r="ACF102" s="645"/>
      <c r="ACG102" s="646"/>
      <c r="ACH102" s="645"/>
      <c r="ACI102" s="646"/>
      <c r="ACJ102" s="645"/>
      <c r="ACK102" s="646"/>
      <c r="ACL102" s="645"/>
      <c r="ACM102" s="646"/>
      <c r="ACN102" s="645"/>
      <c r="ACO102" s="646"/>
      <c r="ACP102" s="645"/>
      <c r="ACQ102" s="646"/>
      <c r="ACR102" s="645"/>
      <c r="ACS102" s="646"/>
      <c r="ACT102" s="645"/>
      <c r="ACU102" s="646"/>
      <c r="ACV102" s="645"/>
      <c r="ACW102" s="646"/>
      <c r="ACX102" s="645"/>
      <c r="ACY102" s="646"/>
      <c r="ACZ102" s="645"/>
      <c r="ADA102" s="646"/>
      <c r="ADB102" s="645"/>
      <c r="ADC102" s="646"/>
      <c r="ADD102" s="645"/>
      <c r="ADE102" s="646"/>
      <c r="ADF102" s="645"/>
      <c r="ADG102" s="646"/>
      <c r="ADH102" s="645"/>
      <c r="ADI102" s="646"/>
      <c r="ADJ102" s="645"/>
      <c r="ADK102" s="646"/>
      <c r="ADL102" s="645"/>
      <c r="ADM102" s="646"/>
      <c r="ADN102" s="645"/>
      <c r="ADO102" s="646"/>
      <c r="ADP102" s="645"/>
      <c r="ADQ102" s="646"/>
      <c r="ADR102" s="645"/>
      <c r="ADS102" s="646"/>
      <c r="ADT102" s="645"/>
      <c r="ADU102" s="646"/>
      <c r="ADV102" s="645"/>
      <c r="ADW102" s="646"/>
      <c r="ADX102" s="645"/>
      <c r="ADY102" s="646"/>
      <c r="ADZ102" s="645"/>
      <c r="AEA102" s="646"/>
      <c r="AEB102" s="645"/>
      <c r="AEC102" s="646"/>
      <c r="AED102" s="645"/>
      <c r="AEE102" s="646"/>
      <c r="AEF102" s="645"/>
      <c r="AEG102" s="646"/>
      <c r="AEH102" s="645"/>
      <c r="AEI102" s="646"/>
      <c r="AEJ102" s="645"/>
      <c r="AEK102" s="646"/>
      <c r="AEL102" s="645"/>
      <c r="AEM102" s="646"/>
      <c r="AEN102" s="645"/>
      <c r="AEO102" s="646"/>
      <c r="AEP102" s="645"/>
      <c r="AEQ102" s="646"/>
      <c r="AER102" s="645"/>
      <c r="AES102" s="646"/>
      <c r="AET102" s="645"/>
      <c r="AEU102" s="646"/>
      <c r="AEV102" s="645"/>
      <c r="AEW102" s="646"/>
      <c r="AEX102" s="645"/>
      <c r="AEY102" s="646"/>
      <c r="AEZ102" s="645"/>
      <c r="AFA102" s="646"/>
      <c r="AFB102" s="645"/>
      <c r="AFC102" s="646"/>
      <c r="AFD102" s="645"/>
      <c r="AFE102" s="646"/>
      <c r="AFF102" s="645"/>
      <c r="AFG102" s="646"/>
      <c r="AFH102" s="645"/>
      <c r="AFI102" s="646"/>
      <c r="AFJ102" s="645"/>
      <c r="AFK102" s="646"/>
      <c r="AFL102" s="645"/>
      <c r="AFM102" s="646"/>
      <c r="AFN102" s="645"/>
      <c r="AFO102" s="646"/>
      <c r="AFP102" s="645"/>
      <c r="AFQ102" s="646"/>
      <c r="AFR102" s="645"/>
      <c r="AFS102" s="646"/>
      <c r="AFT102" s="645"/>
      <c r="AFU102" s="646"/>
      <c r="AFV102" s="645"/>
      <c r="AFW102" s="646"/>
      <c r="AFX102" s="645"/>
      <c r="AFY102" s="646"/>
      <c r="AFZ102" s="645"/>
      <c r="AGA102" s="646"/>
      <c r="AGB102" s="645"/>
      <c r="AGC102" s="646"/>
      <c r="AGD102" s="645"/>
      <c r="AGE102" s="646"/>
      <c r="AGF102" s="645"/>
      <c r="AGG102" s="646"/>
      <c r="AGH102" s="645"/>
      <c r="AGI102" s="646"/>
      <c r="AGJ102" s="645"/>
      <c r="AGK102" s="646"/>
      <c r="AGL102" s="645"/>
      <c r="AGM102" s="646"/>
      <c r="AGN102" s="645"/>
      <c r="AGO102" s="646"/>
      <c r="AGP102" s="645"/>
      <c r="AGQ102" s="646"/>
      <c r="AGR102" s="645"/>
      <c r="AGS102" s="646"/>
      <c r="AGT102" s="645"/>
      <c r="AGU102" s="646"/>
      <c r="AGV102" s="645"/>
      <c r="AGW102" s="646"/>
      <c r="AGX102" s="645"/>
      <c r="AGY102" s="646"/>
      <c r="AGZ102" s="645"/>
      <c r="AHA102" s="646"/>
      <c r="AHB102" s="645"/>
      <c r="AHC102" s="646"/>
      <c r="AHD102" s="645"/>
      <c r="AHE102" s="646"/>
      <c r="AHF102" s="645"/>
      <c r="AHG102" s="646"/>
      <c r="AHH102" s="645"/>
      <c r="AHI102" s="646"/>
      <c r="AHJ102" s="645"/>
      <c r="AHK102" s="646"/>
      <c r="AHL102" s="645"/>
      <c r="AHM102" s="646"/>
      <c r="AHN102" s="645"/>
      <c r="AHO102" s="646"/>
      <c r="AHP102" s="645"/>
      <c r="AHQ102" s="646"/>
      <c r="AHR102" s="645"/>
      <c r="AHS102" s="646"/>
      <c r="AHT102" s="645"/>
      <c r="AHU102" s="646"/>
      <c r="AHV102" s="645"/>
      <c r="AHW102" s="646"/>
      <c r="AHX102" s="645"/>
      <c r="AHY102" s="646"/>
      <c r="AHZ102" s="645"/>
      <c r="AIA102" s="646"/>
      <c r="AIB102" s="645"/>
      <c r="AIC102" s="646"/>
      <c r="AID102" s="645"/>
      <c r="AIE102" s="646"/>
      <c r="AIF102" s="645"/>
      <c r="AIG102" s="646"/>
      <c r="AIH102" s="645"/>
      <c r="AII102" s="646"/>
      <c r="AIJ102" s="645"/>
      <c r="AIK102" s="646"/>
      <c r="AIL102" s="645"/>
      <c r="AIM102" s="646"/>
      <c r="AIN102" s="645"/>
      <c r="AIO102" s="646"/>
      <c r="AIP102" s="645"/>
      <c r="AIQ102" s="645"/>
      <c r="AIR102" s="645"/>
      <c r="AIS102" s="645"/>
      <c r="AIT102" s="645"/>
      <c r="AIU102" s="645"/>
      <c r="AIV102" s="645"/>
      <c r="AIW102" s="645"/>
      <c r="AIX102" s="645"/>
      <c r="AIY102" s="645"/>
      <c r="AIZ102" s="645"/>
      <c r="AJA102" s="645"/>
      <c r="AJB102" s="645"/>
      <c r="AJC102" s="645"/>
      <c r="AJD102" s="645"/>
      <c r="AJE102" s="645"/>
      <c r="AJF102" s="645"/>
      <c r="AJG102" s="645"/>
      <c r="AJH102" s="645"/>
      <c r="AJI102" s="645"/>
      <c r="AJJ102" s="645"/>
      <c r="AJK102" s="645"/>
      <c r="AJL102" s="645"/>
      <c r="AJM102" s="645"/>
      <c r="AJN102" s="645"/>
      <c r="AJO102" s="645"/>
      <c r="AJP102" s="645"/>
      <c r="AJQ102" s="645"/>
      <c r="AJR102" s="645"/>
      <c r="AJS102" s="645"/>
      <c r="AJT102" s="645"/>
      <c r="AJU102" s="645"/>
      <c r="AJV102" s="645"/>
      <c r="AJW102" s="645"/>
      <c r="AJX102" s="645"/>
      <c r="AJY102" s="645"/>
      <c r="AJZ102" s="645"/>
      <c r="AKA102" s="645"/>
      <c r="AKB102" s="645"/>
      <c r="AKC102" s="645"/>
      <c r="AKD102" s="645"/>
      <c r="AKE102" s="645"/>
      <c r="AKF102" s="645"/>
      <c r="AKG102" s="645"/>
      <c r="AKH102" s="645"/>
      <c r="AKI102" s="645"/>
      <c r="AKJ102" s="645"/>
      <c r="AKK102" s="645"/>
      <c r="AKL102" s="645"/>
      <c r="AKM102" s="645"/>
      <c r="AKN102" s="645"/>
      <c r="AKO102" s="645"/>
      <c r="AKP102" s="645"/>
      <c r="AKQ102" s="645"/>
      <c r="AKR102" s="645"/>
      <c r="AKS102" s="645"/>
      <c r="AKT102" s="645"/>
      <c r="AKU102" s="645"/>
      <c r="AKV102" s="645"/>
      <c r="AKW102" s="645"/>
      <c r="AKX102" s="645"/>
      <c r="AKY102" s="645"/>
      <c r="AKZ102" s="645"/>
      <c r="ALA102" s="645"/>
      <c r="ALB102" s="645"/>
      <c r="ALC102" s="645"/>
      <c r="ALD102" s="645"/>
      <c r="ALE102" s="645"/>
      <c r="ALF102" s="645"/>
      <c r="ALG102" s="645"/>
      <c r="ALH102" s="645"/>
      <c r="ALI102" s="645"/>
      <c r="ALJ102" s="645"/>
      <c r="ALK102" s="645"/>
      <c r="ALL102" s="645"/>
      <c r="ALM102" s="645"/>
      <c r="ALN102" s="645"/>
      <c r="ALO102" s="645"/>
      <c r="ALP102" s="645"/>
      <c r="ALQ102" s="645"/>
      <c r="ALR102" s="645"/>
      <c r="ALS102" s="645"/>
      <c r="ALT102" s="645"/>
      <c r="ALU102" s="645"/>
      <c r="ALV102" s="645"/>
      <c r="ALW102" s="645"/>
      <c r="ALX102" s="645"/>
      <c r="ALY102" s="645"/>
      <c r="ALZ102" s="645"/>
      <c r="AMA102" s="645"/>
      <c r="AMB102" s="645"/>
      <c r="AMC102" s="645"/>
      <c r="AMD102" s="645"/>
      <c r="AME102" s="645"/>
      <c r="AMF102" s="645"/>
      <c r="AMG102" s="645"/>
      <c r="AMH102" s="645"/>
      <c r="AMI102" s="645"/>
      <c r="AMJ102" s="645"/>
    </row>
    <row r="103" spans="1:1024" s="37" customFormat="1" ht="15.75" customHeight="1" x14ac:dyDescent="0.35">
      <c r="A103" s="600"/>
      <c r="B103" s="644" t="s">
        <v>357</v>
      </c>
      <c r="C103" s="645"/>
      <c r="D103" s="646"/>
      <c r="E103" s="645"/>
      <c r="F103" s="646"/>
      <c r="G103" s="647" t="s">
        <v>243</v>
      </c>
      <c r="H103" s="643"/>
      <c r="I103" s="645"/>
      <c r="J103" s="38"/>
      <c r="K103" s="38"/>
      <c r="L103" s="39"/>
      <c r="M103" s="38"/>
      <c r="N103" s="39"/>
      <c r="O103" s="38"/>
      <c r="P103" s="39"/>
      <c r="Q103" s="38"/>
      <c r="R103" s="39"/>
      <c r="S103" s="38"/>
      <c r="T103" s="39"/>
      <c r="U103" s="38"/>
      <c r="V103" s="39"/>
      <c r="W103" s="38"/>
      <c r="X103" s="39"/>
      <c r="Y103" s="38"/>
      <c r="Z103" s="39"/>
      <c r="AA103" s="38"/>
      <c r="AB103" s="39"/>
      <c r="AC103" s="38"/>
      <c r="AD103" s="39"/>
      <c r="AE103" s="38"/>
      <c r="AF103" s="39"/>
      <c r="AG103" s="38"/>
      <c r="AH103" s="39"/>
      <c r="AI103" s="38"/>
      <c r="AJ103" s="39"/>
      <c r="AK103" s="40"/>
      <c r="AL103" s="39"/>
      <c r="AM103" s="40"/>
      <c r="AN103" s="39"/>
      <c r="AO103" s="40"/>
      <c r="AP103" s="39"/>
      <c r="AQ103" s="40"/>
      <c r="AR103" s="39"/>
      <c r="AS103" s="40"/>
      <c r="AT103" s="39"/>
      <c r="AU103" s="40"/>
      <c r="AV103" s="39"/>
      <c r="AW103" s="40"/>
      <c r="AX103" s="39"/>
      <c r="AY103" s="40"/>
      <c r="AZ103" s="39"/>
      <c r="BA103" s="40"/>
      <c r="BB103" s="39"/>
      <c r="BC103" s="40"/>
      <c r="BD103" s="39"/>
      <c r="BE103" s="40"/>
      <c r="BF103" s="39"/>
      <c r="BG103" s="40"/>
      <c r="BH103" s="39"/>
      <c r="BI103" s="40"/>
      <c r="BJ103" s="39"/>
      <c r="BK103" s="40"/>
      <c r="BL103" s="39"/>
      <c r="BM103" s="40"/>
      <c r="BN103" s="39"/>
      <c r="BO103" s="40"/>
      <c r="BP103" s="39"/>
      <c r="BQ103" s="40"/>
      <c r="BR103" s="39"/>
      <c r="BS103" s="40"/>
      <c r="BT103" s="39"/>
      <c r="BU103" s="40"/>
      <c r="BV103" s="39"/>
      <c r="BW103" s="40"/>
      <c r="BX103" s="39"/>
      <c r="BY103" s="40"/>
      <c r="BZ103" s="39"/>
      <c r="CA103" s="40"/>
      <c r="CB103" s="39"/>
      <c r="CC103" s="40"/>
      <c r="CD103" s="39"/>
      <c r="CE103" s="40"/>
      <c r="CF103" s="39"/>
      <c r="CG103" s="40"/>
      <c r="CH103" s="39"/>
      <c r="CI103" s="40"/>
      <c r="CJ103" s="39"/>
      <c r="CK103" s="40"/>
      <c r="CL103" s="39"/>
      <c r="CM103" s="40"/>
      <c r="CN103" s="39"/>
      <c r="CO103" s="40"/>
      <c r="CP103" s="39"/>
      <c r="CQ103" s="40"/>
      <c r="CR103" s="39"/>
      <c r="CS103" s="40"/>
      <c r="CT103" s="39"/>
      <c r="CU103" s="40"/>
      <c r="CV103" s="39"/>
      <c r="CW103" s="40"/>
      <c r="CX103" s="39"/>
      <c r="CY103" s="40"/>
      <c r="CZ103" s="39"/>
      <c r="DA103" s="40"/>
      <c r="DB103" s="39"/>
      <c r="DC103" s="40"/>
      <c r="DD103" s="39"/>
      <c r="DE103" s="40"/>
      <c r="DF103" s="39"/>
      <c r="DG103" s="40"/>
      <c r="DH103" s="39"/>
      <c r="DI103" s="40"/>
      <c r="DJ103" s="39"/>
      <c r="DK103" s="40"/>
      <c r="DL103" s="39"/>
      <c r="DM103" s="40"/>
      <c r="DN103" s="39"/>
      <c r="DO103" s="40"/>
      <c r="DP103" s="39"/>
      <c r="DQ103" s="40"/>
      <c r="DR103" s="39"/>
      <c r="DS103" s="40"/>
      <c r="DT103" s="39"/>
      <c r="DU103" s="40"/>
      <c r="DV103" s="39"/>
      <c r="DW103" s="40"/>
      <c r="DX103" s="39"/>
      <c r="DY103" s="40"/>
      <c r="DZ103" s="39"/>
      <c r="EA103" s="40"/>
      <c r="EB103" s="39"/>
      <c r="EC103" s="40"/>
      <c r="ED103" s="39"/>
      <c r="EE103" s="40"/>
      <c r="EF103" s="39"/>
      <c r="EG103" s="40"/>
      <c r="EH103" s="39"/>
      <c r="EI103" s="40"/>
      <c r="EJ103" s="39"/>
      <c r="EK103" s="40"/>
      <c r="EL103" s="39"/>
      <c r="EM103" s="40"/>
      <c r="EN103" s="39"/>
      <c r="EO103" s="40"/>
      <c r="EP103" s="39"/>
      <c r="EQ103" s="40"/>
      <c r="ER103" s="39"/>
      <c r="ES103" s="40"/>
      <c r="ET103" s="39"/>
      <c r="EU103" s="40"/>
      <c r="EV103" s="39"/>
      <c r="EW103" s="40"/>
      <c r="EX103" s="39"/>
      <c r="EY103" s="40"/>
      <c r="EZ103" s="39"/>
      <c r="FA103" s="40"/>
      <c r="FB103" s="39"/>
      <c r="FC103" s="40"/>
      <c r="FD103" s="39"/>
      <c r="FE103" s="40"/>
      <c r="FF103" s="39"/>
      <c r="FG103" s="40"/>
      <c r="FH103" s="39"/>
      <c r="FI103" s="40"/>
      <c r="FJ103" s="39"/>
      <c r="FK103" s="40"/>
      <c r="FL103" s="39"/>
      <c r="FM103" s="40"/>
      <c r="FN103" s="39"/>
      <c r="FO103" s="40"/>
      <c r="FP103" s="39"/>
      <c r="FQ103" s="40"/>
      <c r="FR103" s="39"/>
      <c r="FS103" s="40"/>
      <c r="FT103" s="39"/>
      <c r="FU103" s="40"/>
      <c r="FV103" s="39"/>
      <c r="FW103" s="40"/>
      <c r="FX103" s="39"/>
      <c r="FY103" s="40"/>
      <c r="FZ103" s="39"/>
      <c r="GA103" s="40"/>
      <c r="GB103" s="39"/>
      <c r="GC103" s="40"/>
      <c r="GD103" s="39"/>
      <c r="GE103" s="40"/>
      <c r="GF103" s="39"/>
      <c r="GG103" s="40"/>
      <c r="GH103" s="39"/>
      <c r="GI103" s="40"/>
      <c r="GJ103" s="39"/>
      <c r="GK103" s="40"/>
      <c r="GL103" s="39"/>
      <c r="GM103" s="40"/>
      <c r="GN103" s="39"/>
      <c r="GO103" s="40"/>
      <c r="GP103" s="39"/>
      <c r="GQ103" s="40"/>
      <c r="GR103" s="39"/>
      <c r="GS103" s="40"/>
      <c r="GT103" s="39"/>
      <c r="GU103" s="40"/>
      <c r="GV103" s="39"/>
      <c r="GW103" s="40"/>
      <c r="GX103" s="39"/>
      <c r="GY103" s="40"/>
      <c r="GZ103" s="39"/>
      <c r="HA103" s="40"/>
      <c r="HB103" s="39"/>
      <c r="HC103" s="40"/>
      <c r="HD103" s="39"/>
      <c r="HE103" s="40"/>
      <c r="HF103" s="39"/>
      <c r="HG103" s="40"/>
      <c r="HH103" s="39"/>
      <c r="HI103" s="40"/>
      <c r="HJ103" s="39"/>
      <c r="HK103" s="40"/>
      <c r="HL103" s="39"/>
      <c r="HM103" s="40"/>
      <c r="HN103" s="39"/>
      <c r="HO103" s="40"/>
      <c r="HP103" s="39"/>
      <c r="HQ103" s="40"/>
      <c r="HR103" s="39"/>
      <c r="HS103" s="40"/>
      <c r="HT103" s="39"/>
      <c r="HU103" s="40"/>
      <c r="HV103" s="39"/>
      <c r="HW103" s="40"/>
      <c r="HX103" s="39"/>
      <c r="HY103" s="40"/>
      <c r="HZ103" s="39"/>
      <c r="IA103" s="40"/>
      <c r="IB103" s="39"/>
      <c r="IC103" s="1068"/>
      <c r="ID103" s="645"/>
      <c r="IE103" s="646"/>
      <c r="IF103" s="645"/>
      <c r="IG103" s="646"/>
      <c r="IH103" s="645"/>
      <c r="II103" s="646"/>
      <c r="IJ103" s="645"/>
      <c r="IK103" s="646"/>
      <c r="IL103" s="645"/>
      <c r="IM103" s="646"/>
      <c r="IN103" s="645"/>
      <c r="IO103" s="646"/>
      <c r="IP103" s="645"/>
      <c r="IQ103" s="646"/>
      <c r="IR103" s="645"/>
      <c r="IS103" s="646"/>
      <c r="IT103" s="645"/>
      <c r="IU103" s="646"/>
      <c r="IV103" s="645"/>
      <c r="IW103" s="646"/>
      <c r="IX103" s="645"/>
      <c r="IY103" s="646"/>
      <c r="IZ103" s="645"/>
      <c r="JA103" s="646"/>
      <c r="JB103" s="645"/>
      <c r="JC103" s="646"/>
      <c r="JD103" s="645"/>
      <c r="JE103" s="646"/>
      <c r="JF103" s="645"/>
      <c r="JG103" s="646"/>
      <c r="JH103" s="645"/>
      <c r="JI103" s="646"/>
      <c r="JJ103" s="645"/>
      <c r="JK103" s="646"/>
      <c r="JL103" s="645"/>
      <c r="JM103" s="646"/>
      <c r="JN103" s="645"/>
      <c r="JO103" s="646"/>
      <c r="JP103" s="645"/>
      <c r="JQ103" s="646"/>
      <c r="JR103" s="645"/>
      <c r="JS103" s="646"/>
      <c r="JT103" s="645"/>
      <c r="JU103" s="646"/>
      <c r="JV103" s="645"/>
      <c r="JW103" s="646"/>
      <c r="JX103" s="645"/>
      <c r="JY103" s="646"/>
      <c r="JZ103" s="645"/>
      <c r="KA103" s="646"/>
      <c r="KB103" s="645"/>
      <c r="KC103" s="646"/>
      <c r="KD103" s="645"/>
      <c r="KE103" s="646"/>
      <c r="KF103" s="645"/>
      <c r="KG103" s="646"/>
      <c r="KH103" s="645"/>
      <c r="KI103" s="646"/>
      <c r="KJ103" s="645"/>
      <c r="KK103" s="646"/>
      <c r="KL103" s="645"/>
      <c r="KM103" s="646"/>
      <c r="KN103" s="645"/>
      <c r="KO103" s="646"/>
      <c r="KP103" s="645"/>
      <c r="KQ103" s="646"/>
      <c r="KR103" s="645"/>
      <c r="KS103" s="646"/>
      <c r="KT103" s="645"/>
      <c r="KU103" s="646"/>
      <c r="KV103" s="645"/>
      <c r="KW103" s="646"/>
      <c r="KX103" s="645"/>
      <c r="KY103" s="646"/>
      <c r="KZ103" s="645"/>
      <c r="LA103" s="646"/>
      <c r="LB103" s="645"/>
      <c r="LC103" s="646"/>
      <c r="LD103" s="645"/>
      <c r="LE103" s="646"/>
      <c r="LF103" s="645"/>
      <c r="LG103" s="646"/>
      <c r="LH103" s="645"/>
      <c r="LI103" s="646"/>
      <c r="LJ103" s="645"/>
      <c r="LK103" s="646"/>
      <c r="LL103" s="645"/>
      <c r="LM103" s="646"/>
      <c r="LN103" s="645"/>
      <c r="LO103" s="646"/>
      <c r="LP103" s="645"/>
      <c r="LQ103" s="646"/>
      <c r="LR103" s="645"/>
      <c r="LS103" s="646"/>
      <c r="LT103" s="645"/>
      <c r="LU103" s="646"/>
      <c r="LV103" s="645"/>
      <c r="LW103" s="646"/>
      <c r="LX103" s="645"/>
      <c r="LY103" s="646"/>
      <c r="LZ103" s="645"/>
      <c r="MA103" s="646"/>
      <c r="MB103" s="645"/>
      <c r="MC103" s="646"/>
      <c r="MD103" s="645"/>
      <c r="ME103" s="646"/>
      <c r="MF103" s="645"/>
      <c r="MG103" s="646"/>
      <c r="MH103" s="645"/>
      <c r="MI103" s="646"/>
      <c r="MJ103" s="645"/>
      <c r="MK103" s="646"/>
      <c r="ML103" s="645"/>
      <c r="MM103" s="646"/>
      <c r="MN103" s="645"/>
      <c r="MO103" s="646"/>
      <c r="MP103" s="645"/>
      <c r="MQ103" s="646"/>
      <c r="MR103" s="645"/>
      <c r="MS103" s="646"/>
      <c r="MT103" s="645"/>
      <c r="MU103" s="646"/>
      <c r="MV103" s="645"/>
      <c r="MW103" s="646"/>
      <c r="MX103" s="645"/>
      <c r="MY103" s="646"/>
      <c r="MZ103" s="645"/>
      <c r="NA103" s="646"/>
      <c r="NB103" s="645"/>
      <c r="NC103" s="646"/>
      <c r="ND103" s="645"/>
      <c r="NE103" s="646"/>
      <c r="NF103" s="645"/>
      <c r="NG103" s="646"/>
      <c r="NH103" s="645"/>
      <c r="NI103" s="646"/>
      <c r="NJ103" s="645"/>
      <c r="NK103" s="646"/>
      <c r="NL103" s="645"/>
      <c r="NM103" s="646"/>
      <c r="NN103" s="645"/>
      <c r="NO103" s="646"/>
      <c r="NP103" s="645"/>
      <c r="NQ103" s="646"/>
      <c r="NR103" s="645"/>
      <c r="NS103" s="646"/>
      <c r="NT103" s="645"/>
      <c r="NU103" s="646"/>
      <c r="NV103" s="645"/>
      <c r="NW103" s="646"/>
      <c r="NX103" s="645"/>
      <c r="NY103" s="646"/>
      <c r="NZ103" s="645"/>
      <c r="OA103" s="646"/>
      <c r="OB103" s="645"/>
      <c r="OC103" s="646"/>
      <c r="OD103" s="645"/>
      <c r="OE103" s="646"/>
      <c r="OF103" s="645"/>
      <c r="OG103" s="646"/>
      <c r="OH103" s="645"/>
      <c r="OI103" s="646"/>
      <c r="OJ103" s="645"/>
      <c r="OK103" s="646"/>
      <c r="OL103" s="645"/>
      <c r="OM103" s="646"/>
      <c r="ON103" s="645"/>
      <c r="OO103" s="646"/>
      <c r="OP103" s="645"/>
      <c r="OQ103" s="646"/>
      <c r="OR103" s="645"/>
      <c r="OS103" s="646"/>
      <c r="OT103" s="645"/>
      <c r="OU103" s="646"/>
      <c r="OV103" s="645"/>
      <c r="OW103" s="646"/>
      <c r="OX103" s="645"/>
      <c r="OY103" s="646"/>
      <c r="OZ103" s="645"/>
      <c r="PA103" s="646"/>
      <c r="PB103" s="645"/>
      <c r="PC103" s="646"/>
      <c r="PD103" s="645"/>
      <c r="PE103" s="646"/>
      <c r="PF103" s="645"/>
      <c r="PG103" s="646"/>
      <c r="PH103" s="645"/>
      <c r="PI103" s="646"/>
      <c r="PJ103" s="645"/>
      <c r="PK103" s="646"/>
      <c r="PL103" s="645"/>
      <c r="PM103" s="646"/>
      <c r="PN103" s="645"/>
      <c r="PO103" s="646"/>
      <c r="PP103" s="645"/>
      <c r="PQ103" s="646"/>
      <c r="PR103" s="645"/>
      <c r="PS103" s="646"/>
      <c r="PT103" s="645"/>
      <c r="PU103" s="646"/>
      <c r="PV103" s="645"/>
      <c r="PW103" s="646"/>
      <c r="PX103" s="645"/>
      <c r="PY103" s="646"/>
      <c r="PZ103" s="645"/>
      <c r="QA103" s="646"/>
      <c r="QB103" s="645"/>
      <c r="QC103" s="646"/>
      <c r="QD103" s="645"/>
      <c r="QE103" s="646"/>
      <c r="QF103" s="645"/>
      <c r="QG103" s="646"/>
      <c r="QH103" s="645"/>
      <c r="QI103" s="646"/>
      <c r="QJ103" s="645"/>
      <c r="QK103" s="646"/>
      <c r="QL103" s="645"/>
      <c r="QM103" s="646"/>
      <c r="QN103" s="645"/>
      <c r="QO103" s="646"/>
      <c r="QP103" s="645"/>
      <c r="QQ103" s="646"/>
      <c r="QR103" s="645"/>
      <c r="QS103" s="646"/>
      <c r="QT103" s="645"/>
      <c r="QU103" s="646"/>
      <c r="QV103" s="645"/>
      <c r="QW103" s="646"/>
      <c r="QX103" s="645"/>
      <c r="QY103" s="646"/>
      <c r="QZ103" s="645"/>
      <c r="RA103" s="646"/>
      <c r="RB103" s="645"/>
      <c r="RC103" s="646"/>
      <c r="RD103" s="645"/>
      <c r="RE103" s="646"/>
      <c r="RF103" s="645"/>
      <c r="RG103" s="646"/>
      <c r="RH103" s="645"/>
      <c r="RI103" s="646"/>
      <c r="RJ103" s="645"/>
      <c r="RK103" s="646"/>
      <c r="RL103" s="645"/>
      <c r="RM103" s="646"/>
      <c r="RN103" s="645"/>
      <c r="RO103" s="646"/>
      <c r="RP103" s="645"/>
      <c r="RQ103" s="646"/>
      <c r="RR103" s="645"/>
      <c r="RS103" s="646"/>
      <c r="RT103" s="645"/>
      <c r="RU103" s="646"/>
      <c r="RV103" s="645"/>
      <c r="RW103" s="646"/>
      <c r="RX103" s="645"/>
      <c r="RY103" s="646"/>
      <c r="RZ103" s="645"/>
      <c r="SA103" s="646"/>
      <c r="SB103" s="645"/>
      <c r="SC103" s="646"/>
      <c r="SD103" s="645"/>
      <c r="SE103" s="646"/>
      <c r="SF103" s="645"/>
      <c r="SG103" s="646"/>
      <c r="SH103" s="645"/>
      <c r="SI103" s="646"/>
      <c r="SJ103" s="645"/>
      <c r="SK103" s="646"/>
      <c r="SL103" s="645"/>
      <c r="SM103" s="646"/>
      <c r="SN103" s="645"/>
      <c r="SO103" s="646"/>
      <c r="SP103" s="645"/>
      <c r="SQ103" s="646"/>
      <c r="SR103" s="645"/>
      <c r="SS103" s="646"/>
      <c r="ST103" s="645"/>
      <c r="SU103" s="646"/>
      <c r="SV103" s="645"/>
      <c r="SW103" s="646"/>
      <c r="SX103" s="645"/>
      <c r="SY103" s="646"/>
      <c r="SZ103" s="645"/>
      <c r="TA103" s="646"/>
      <c r="TB103" s="645"/>
      <c r="TC103" s="646"/>
      <c r="TD103" s="645"/>
      <c r="TE103" s="646"/>
      <c r="TF103" s="645"/>
      <c r="TG103" s="646"/>
      <c r="TH103" s="645"/>
      <c r="TI103" s="646"/>
      <c r="TJ103" s="645"/>
      <c r="TK103" s="646"/>
      <c r="TL103" s="645"/>
      <c r="TM103" s="646"/>
      <c r="TN103" s="645"/>
      <c r="TO103" s="646"/>
      <c r="TP103" s="645"/>
      <c r="TQ103" s="646"/>
      <c r="TR103" s="645"/>
      <c r="TS103" s="646"/>
      <c r="TT103" s="645"/>
      <c r="TU103" s="646"/>
      <c r="TV103" s="645"/>
      <c r="TW103" s="646"/>
      <c r="TX103" s="645"/>
      <c r="TY103" s="646"/>
      <c r="TZ103" s="645"/>
      <c r="UA103" s="646"/>
      <c r="UB103" s="645"/>
      <c r="UC103" s="646"/>
      <c r="UD103" s="645"/>
      <c r="UE103" s="646"/>
      <c r="UF103" s="645"/>
      <c r="UG103" s="646"/>
      <c r="UH103" s="645"/>
      <c r="UI103" s="646"/>
      <c r="UJ103" s="645"/>
      <c r="UK103" s="646"/>
      <c r="UL103" s="645"/>
      <c r="UM103" s="646"/>
      <c r="UN103" s="645"/>
      <c r="UO103" s="646"/>
      <c r="UP103" s="645"/>
      <c r="UQ103" s="646"/>
      <c r="UR103" s="645"/>
      <c r="US103" s="646"/>
      <c r="UT103" s="645"/>
      <c r="UU103" s="646"/>
      <c r="UV103" s="645"/>
      <c r="UW103" s="646"/>
      <c r="UX103" s="645"/>
      <c r="UY103" s="646"/>
      <c r="UZ103" s="645"/>
      <c r="VA103" s="646"/>
      <c r="VB103" s="645"/>
      <c r="VC103" s="646"/>
      <c r="VD103" s="645"/>
      <c r="VE103" s="646"/>
      <c r="VF103" s="645"/>
      <c r="VG103" s="646"/>
      <c r="VH103" s="645"/>
      <c r="VI103" s="646"/>
      <c r="VJ103" s="645"/>
      <c r="VK103" s="646"/>
      <c r="VL103" s="645"/>
      <c r="VM103" s="646"/>
      <c r="VN103" s="645"/>
      <c r="VO103" s="646"/>
      <c r="VP103" s="645"/>
      <c r="VQ103" s="646"/>
      <c r="VR103" s="645"/>
      <c r="VS103" s="646"/>
      <c r="VT103" s="645"/>
      <c r="VU103" s="646"/>
      <c r="VV103" s="645"/>
      <c r="VW103" s="646"/>
      <c r="VX103" s="645"/>
      <c r="VY103" s="646"/>
      <c r="VZ103" s="645"/>
      <c r="WA103" s="646"/>
      <c r="WB103" s="645"/>
      <c r="WC103" s="646"/>
      <c r="WD103" s="645"/>
      <c r="WE103" s="646"/>
      <c r="WF103" s="645"/>
      <c r="WG103" s="646"/>
      <c r="WH103" s="645"/>
      <c r="WI103" s="646"/>
      <c r="WJ103" s="645"/>
      <c r="WK103" s="646"/>
      <c r="WL103" s="645"/>
      <c r="WM103" s="646"/>
      <c r="WN103" s="645"/>
      <c r="WO103" s="646"/>
      <c r="WP103" s="645"/>
      <c r="WQ103" s="646"/>
      <c r="WR103" s="645"/>
      <c r="WS103" s="646"/>
      <c r="WT103" s="645"/>
      <c r="WU103" s="646"/>
      <c r="WV103" s="645"/>
      <c r="WW103" s="646"/>
      <c r="WX103" s="645"/>
      <c r="WY103" s="646"/>
      <c r="WZ103" s="645"/>
      <c r="XA103" s="646"/>
      <c r="XB103" s="645"/>
      <c r="XC103" s="646"/>
      <c r="XD103" s="645"/>
      <c r="XE103" s="646"/>
      <c r="XF103" s="645"/>
      <c r="XG103" s="646"/>
      <c r="XH103" s="645"/>
      <c r="XI103" s="646"/>
      <c r="XJ103" s="645"/>
      <c r="XK103" s="646"/>
      <c r="XL103" s="645"/>
      <c r="XM103" s="646"/>
      <c r="XN103" s="645"/>
      <c r="XO103" s="646"/>
      <c r="XP103" s="645"/>
      <c r="XQ103" s="646"/>
      <c r="XR103" s="645"/>
      <c r="XS103" s="646"/>
      <c r="XT103" s="645"/>
      <c r="XU103" s="646"/>
      <c r="XV103" s="645"/>
      <c r="XW103" s="646"/>
      <c r="XX103" s="645"/>
      <c r="XY103" s="646"/>
      <c r="XZ103" s="645"/>
      <c r="YA103" s="646"/>
      <c r="YB103" s="645"/>
      <c r="YC103" s="646"/>
      <c r="YD103" s="645"/>
      <c r="YE103" s="646"/>
      <c r="YF103" s="645"/>
      <c r="YG103" s="646"/>
      <c r="YH103" s="645"/>
      <c r="YI103" s="646"/>
      <c r="YJ103" s="645"/>
      <c r="YK103" s="646"/>
      <c r="YL103" s="645"/>
      <c r="YM103" s="646"/>
      <c r="YN103" s="645"/>
      <c r="YO103" s="646"/>
      <c r="YP103" s="645"/>
      <c r="YQ103" s="646"/>
      <c r="YR103" s="645"/>
      <c r="YS103" s="646"/>
      <c r="YT103" s="645"/>
      <c r="YU103" s="646"/>
      <c r="YV103" s="645"/>
      <c r="YW103" s="646"/>
      <c r="YX103" s="645"/>
      <c r="YY103" s="646"/>
      <c r="YZ103" s="645"/>
      <c r="ZA103" s="646"/>
      <c r="ZB103" s="645"/>
      <c r="ZC103" s="646"/>
      <c r="ZD103" s="645"/>
      <c r="ZE103" s="646"/>
      <c r="ZF103" s="645"/>
      <c r="ZG103" s="646"/>
      <c r="ZH103" s="645"/>
      <c r="ZI103" s="646"/>
      <c r="ZJ103" s="645"/>
      <c r="ZK103" s="646"/>
      <c r="ZL103" s="645"/>
      <c r="ZM103" s="646"/>
      <c r="ZN103" s="645"/>
      <c r="ZO103" s="646"/>
      <c r="ZP103" s="645"/>
      <c r="ZQ103" s="646"/>
      <c r="ZR103" s="645"/>
      <c r="ZS103" s="646"/>
      <c r="ZT103" s="645"/>
      <c r="ZU103" s="646"/>
      <c r="ZV103" s="645"/>
      <c r="ZW103" s="646"/>
      <c r="ZX103" s="645"/>
      <c r="ZY103" s="646"/>
      <c r="ZZ103" s="645"/>
      <c r="AAA103" s="646"/>
      <c r="AAB103" s="645"/>
      <c r="AAC103" s="646"/>
      <c r="AAD103" s="645"/>
      <c r="AAE103" s="646"/>
      <c r="AAF103" s="645"/>
      <c r="AAG103" s="646"/>
      <c r="AAH103" s="645"/>
      <c r="AAI103" s="646"/>
      <c r="AAJ103" s="645"/>
      <c r="AAK103" s="646"/>
      <c r="AAL103" s="645"/>
      <c r="AAM103" s="646"/>
      <c r="AAN103" s="645"/>
      <c r="AAO103" s="646"/>
      <c r="AAP103" s="645"/>
      <c r="AAQ103" s="646"/>
      <c r="AAR103" s="645"/>
      <c r="AAS103" s="646"/>
      <c r="AAT103" s="645"/>
      <c r="AAU103" s="646"/>
      <c r="AAV103" s="645"/>
      <c r="AAW103" s="646"/>
      <c r="AAX103" s="645"/>
      <c r="AAY103" s="646"/>
      <c r="AAZ103" s="645"/>
      <c r="ABA103" s="646"/>
      <c r="ABB103" s="645"/>
      <c r="ABC103" s="646"/>
      <c r="ABD103" s="645"/>
      <c r="ABE103" s="646"/>
      <c r="ABF103" s="645"/>
      <c r="ABG103" s="646"/>
      <c r="ABH103" s="645"/>
      <c r="ABI103" s="646"/>
      <c r="ABJ103" s="645"/>
      <c r="ABK103" s="646"/>
      <c r="ABL103" s="645"/>
      <c r="ABM103" s="646"/>
      <c r="ABN103" s="645"/>
      <c r="ABO103" s="646"/>
      <c r="ABP103" s="645"/>
      <c r="ABQ103" s="646"/>
      <c r="ABR103" s="645"/>
      <c r="ABS103" s="646"/>
      <c r="ABT103" s="645"/>
      <c r="ABU103" s="646"/>
      <c r="ABV103" s="645"/>
      <c r="ABW103" s="646"/>
      <c r="ABX103" s="645"/>
      <c r="ABY103" s="646"/>
      <c r="ABZ103" s="645"/>
      <c r="ACA103" s="646"/>
      <c r="ACB103" s="645"/>
      <c r="ACC103" s="646"/>
      <c r="ACD103" s="645"/>
      <c r="ACE103" s="646"/>
      <c r="ACF103" s="645"/>
      <c r="ACG103" s="646"/>
      <c r="ACH103" s="645"/>
      <c r="ACI103" s="646"/>
      <c r="ACJ103" s="645"/>
      <c r="ACK103" s="646"/>
      <c r="ACL103" s="645"/>
      <c r="ACM103" s="646"/>
      <c r="ACN103" s="645"/>
      <c r="ACO103" s="646"/>
      <c r="ACP103" s="645"/>
      <c r="ACQ103" s="646"/>
      <c r="ACR103" s="645"/>
      <c r="ACS103" s="646"/>
      <c r="ACT103" s="645"/>
      <c r="ACU103" s="646"/>
      <c r="ACV103" s="645"/>
      <c r="ACW103" s="646"/>
      <c r="ACX103" s="645"/>
      <c r="ACY103" s="646"/>
      <c r="ACZ103" s="645"/>
      <c r="ADA103" s="646"/>
      <c r="ADB103" s="645"/>
      <c r="ADC103" s="646"/>
      <c r="ADD103" s="645"/>
      <c r="ADE103" s="646"/>
      <c r="ADF103" s="645"/>
      <c r="ADG103" s="646"/>
      <c r="ADH103" s="645"/>
      <c r="ADI103" s="646"/>
      <c r="ADJ103" s="645"/>
      <c r="ADK103" s="646"/>
      <c r="ADL103" s="645"/>
      <c r="ADM103" s="646"/>
      <c r="ADN103" s="645"/>
      <c r="ADO103" s="646"/>
      <c r="ADP103" s="645"/>
      <c r="ADQ103" s="646"/>
      <c r="ADR103" s="645"/>
      <c r="ADS103" s="646"/>
      <c r="ADT103" s="645"/>
      <c r="ADU103" s="646"/>
      <c r="ADV103" s="645"/>
      <c r="ADW103" s="646"/>
      <c r="ADX103" s="645"/>
      <c r="ADY103" s="646"/>
      <c r="ADZ103" s="645"/>
      <c r="AEA103" s="646"/>
      <c r="AEB103" s="645"/>
      <c r="AEC103" s="646"/>
      <c r="AED103" s="645"/>
      <c r="AEE103" s="646"/>
      <c r="AEF103" s="645"/>
      <c r="AEG103" s="646"/>
      <c r="AEH103" s="645"/>
      <c r="AEI103" s="646"/>
      <c r="AEJ103" s="645"/>
      <c r="AEK103" s="646"/>
      <c r="AEL103" s="645"/>
      <c r="AEM103" s="646"/>
      <c r="AEN103" s="645"/>
      <c r="AEO103" s="646"/>
      <c r="AEP103" s="645"/>
      <c r="AEQ103" s="646"/>
      <c r="AER103" s="645"/>
      <c r="AES103" s="646"/>
      <c r="AET103" s="645"/>
      <c r="AEU103" s="646"/>
      <c r="AEV103" s="645"/>
      <c r="AEW103" s="646"/>
      <c r="AEX103" s="645"/>
      <c r="AEY103" s="646"/>
      <c r="AEZ103" s="645"/>
      <c r="AFA103" s="646"/>
      <c r="AFB103" s="645"/>
      <c r="AFC103" s="646"/>
      <c r="AFD103" s="645"/>
      <c r="AFE103" s="646"/>
      <c r="AFF103" s="645"/>
      <c r="AFG103" s="646"/>
      <c r="AFH103" s="645"/>
      <c r="AFI103" s="646"/>
      <c r="AFJ103" s="645"/>
      <c r="AFK103" s="646"/>
      <c r="AFL103" s="645"/>
      <c r="AFM103" s="646"/>
      <c r="AFN103" s="645"/>
      <c r="AFO103" s="646"/>
      <c r="AFP103" s="645"/>
      <c r="AFQ103" s="646"/>
      <c r="AFR103" s="645"/>
      <c r="AFS103" s="646"/>
      <c r="AFT103" s="645"/>
      <c r="AFU103" s="646"/>
      <c r="AFV103" s="645"/>
      <c r="AFW103" s="646"/>
      <c r="AFX103" s="645"/>
      <c r="AFY103" s="646"/>
      <c r="AFZ103" s="645"/>
      <c r="AGA103" s="646"/>
      <c r="AGB103" s="645"/>
      <c r="AGC103" s="646"/>
      <c r="AGD103" s="645"/>
      <c r="AGE103" s="646"/>
      <c r="AGF103" s="645"/>
      <c r="AGG103" s="646"/>
      <c r="AGH103" s="645"/>
      <c r="AGI103" s="646"/>
      <c r="AGJ103" s="645"/>
      <c r="AGK103" s="646"/>
      <c r="AGL103" s="645"/>
      <c r="AGM103" s="646"/>
      <c r="AGN103" s="645"/>
      <c r="AGO103" s="646"/>
      <c r="AGP103" s="645"/>
      <c r="AGQ103" s="646"/>
      <c r="AGR103" s="645"/>
      <c r="AGS103" s="646"/>
      <c r="AGT103" s="645"/>
      <c r="AGU103" s="646"/>
      <c r="AGV103" s="645"/>
      <c r="AGW103" s="646"/>
      <c r="AGX103" s="645"/>
      <c r="AGY103" s="646"/>
      <c r="AGZ103" s="645"/>
      <c r="AHA103" s="646"/>
      <c r="AHB103" s="645"/>
      <c r="AHC103" s="646"/>
      <c r="AHD103" s="645"/>
      <c r="AHE103" s="646"/>
      <c r="AHF103" s="645"/>
      <c r="AHG103" s="646"/>
      <c r="AHH103" s="645"/>
      <c r="AHI103" s="646"/>
      <c r="AHJ103" s="645"/>
      <c r="AHK103" s="646"/>
      <c r="AHL103" s="645"/>
      <c r="AHM103" s="646"/>
      <c r="AHN103" s="645"/>
      <c r="AHO103" s="646"/>
      <c r="AHP103" s="645"/>
      <c r="AHQ103" s="646"/>
      <c r="AHR103" s="645"/>
      <c r="AHS103" s="646"/>
      <c r="AHT103" s="645"/>
      <c r="AHU103" s="646"/>
      <c r="AHV103" s="645"/>
      <c r="AHW103" s="646"/>
      <c r="AHX103" s="645"/>
      <c r="AHY103" s="646"/>
      <c r="AHZ103" s="645"/>
      <c r="AIA103" s="646"/>
      <c r="AIB103" s="645"/>
      <c r="AIC103" s="646"/>
      <c r="AID103" s="645"/>
      <c r="AIE103" s="646"/>
      <c r="AIF103" s="645"/>
      <c r="AIG103" s="646"/>
      <c r="AIH103" s="645"/>
      <c r="AII103" s="646"/>
      <c r="AIJ103" s="645"/>
      <c r="AIK103" s="646"/>
      <c r="AIL103" s="645"/>
      <c r="AIM103" s="646"/>
      <c r="AIN103" s="645"/>
      <c r="AIO103" s="646"/>
      <c r="AIP103" s="645"/>
      <c r="AIQ103" s="645"/>
      <c r="AIR103" s="645"/>
      <c r="AIS103" s="645"/>
      <c r="AIT103" s="645"/>
      <c r="AIU103" s="645"/>
      <c r="AIV103" s="645"/>
      <c r="AIW103" s="645"/>
      <c r="AIX103" s="645"/>
      <c r="AIY103" s="645"/>
      <c r="AIZ103" s="645"/>
      <c r="AJA103" s="645"/>
      <c r="AJB103" s="645"/>
      <c r="AJC103" s="645"/>
      <c r="AJD103" s="645"/>
      <c r="AJE103" s="645"/>
      <c r="AJF103" s="645"/>
      <c r="AJG103" s="645"/>
      <c r="AJH103" s="645"/>
      <c r="AJI103" s="645"/>
      <c r="AJJ103" s="645"/>
      <c r="AJK103" s="645"/>
      <c r="AJL103" s="645"/>
      <c r="AJM103" s="645"/>
      <c r="AJN103" s="645"/>
      <c r="AJO103" s="645"/>
      <c r="AJP103" s="645"/>
      <c r="AJQ103" s="645"/>
      <c r="AJR103" s="645"/>
      <c r="AJS103" s="645"/>
      <c r="AJT103" s="645"/>
      <c r="AJU103" s="645"/>
      <c r="AJV103" s="645"/>
      <c r="AJW103" s="645"/>
      <c r="AJX103" s="645"/>
      <c r="AJY103" s="645"/>
      <c r="AJZ103" s="645"/>
      <c r="AKA103" s="645"/>
      <c r="AKB103" s="645"/>
      <c r="AKC103" s="645"/>
      <c r="AKD103" s="645"/>
      <c r="AKE103" s="645"/>
      <c r="AKF103" s="645"/>
      <c r="AKG103" s="645"/>
      <c r="AKH103" s="645"/>
      <c r="AKI103" s="645"/>
      <c r="AKJ103" s="645"/>
      <c r="AKK103" s="645"/>
      <c r="AKL103" s="645"/>
      <c r="AKM103" s="645"/>
      <c r="AKN103" s="645"/>
      <c r="AKO103" s="645"/>
      <c r="AKP103" s="645"/>
      <c r="AKQ103" s="645"/>
      <c r="AKR103" s="645"/>
      <c r="AKS103" s="645"/>
      <c r="AKT103" s="645"/>
      <c r="AKU103" s="645"/>
      <c r="AKV103" s="645"/>
      <c r="AKW103" s="645"/>
      <c r="AKX103" s="645"/>
      <c r="AKY103" s="645"/>
      <c r="AKZ103" s="645"/>
      <c r="ALA103" s="645"/>
      <c r="ALB103" s="645"/>
      <c r="ALC103" s="645"/>
      <c r="ALD103" s="645"/>
      <c r="ALE103" s="645"/>
      <c r="ALF103" s="645"/>
      <c r="ALG103" s="645"/>
      <c r="ALH103" s="645"/>
      <c r="ALI103" s="645"/>
      <c r="ALJ103" s="645"/>
      <c r="ALK103" s="645"/>
      <c r="ALL103" s="645"/>
      <c r="ALM103" s="645"/>
      <c r="ALN103" s="645"/>
      <c r="ALO103" s="645"/>
      <c r="ALP103" s="645"/>
      <c r="ALQ103" s="645"/>
      <c r="ALR103" s="645"/>
      <c r="ALS103" s="645"/>
      <c r="ALT103" s="645"/>
      <c r="ALU103" s="645"/>
      <c r="ALV103" s="645"/>
      <c r="ALW103" s="645"/>
      <c r="ALX103" s="645"/>
      <c r="ALY103" s="645"/>
      <c r="ALZ103" s="645"/>
      <c r="AMA103" s="645"/>
      <c r="AMB103" s="645"/>
      <c r="AMC103" s="645"/>
      <c r="AMD103" s="645"/>
      <c r="AME103" s="645"/>
      <c r="AMF103" s="645"/>
      <c r="AMG103" s="645"/>
      <c r="AMH103" s="645"/>
      <c r="AMI103" s="645"/>
      <c r="AMJ103" s="645"/>
    </row>
    <row r="104" spans="1:1024" s="37" customFormat="1" ht="15.75" customHeight="1" x14ac:dyDescent="0.35">
      <c r="A104" s="600"/>
      <c r="B104" s="644" t="s">
        <v>358</v>
      </c>
      <c r="C104" s="645"/>
      <c r="D104" s="646"/>
      <c r="E104" s="645"/>
      <c r="F104" s="646"/>
      <c r="G104" s="647" t="s">
        <v>243</v>
      </c>
      <c r="H104" s="643"/>
      <c r="I104" s="645"/>
      <c r="J104" s="38"/>
      <c r="K104" s="38"/>
      <c r="L104" s="39"/>
      <c r="M104" s="38"/>
      <c r="N104" s="39"/>
      <c r="O104" s="38"/>
      <c r="P104" s="39"/>
      <c r="Q104" s="38"/>
      <c r="R104" s="39"/>
      <c r="S104" s="38"/>
      <c r="T104" s="39"/>
      <c r="U104" s="38"/>
      <c r="V104" s="39"/>
      <c r="W104" s="38"/>
      <c r="X104" s="39"/>
      <c r="Y104" s="38"/>
      <c r="Z104" s="39"/>
      <c r="AA104" s="38"/>
      <c r="AB104" s="39"/>
      <c r="AC104" s="38"/>
      <c r="AD104" s="39"/>
      <c r="AE104" s="38"/>
      <c r="AF104" s="39"/>
      <c r="AG104" s="38"/>
      <c r="AH104" s="39"/>
      <c r="AI104" s="38"/>
      <c r="AJ104" s="39"/>
      <c r="AK104" s="40"/>
      <c r="AL104" s="39"/>
      <c r="AM104" s="40"/>
      <c r="AN104" s="39"/>
      <c r="AO104" s="40"/>
      <c r="AP104" s="39"/>
      <c r="AQ104" s="40"/>
      <c r="AR104" s="39"/>
      <c r="AS104" s="40"/>
      <c r="AT104" s="39"/>
      <c r="AU104" s="40"/>
      <c r="AV104" s="39"/>
      <c r="AW104" s="40"/>
      <c r="AX104" s="39"/>
      <c r="AY104" s="40"/>
      <c r="AZ104" s="39"/>
      <c r="BA104" s="40"/>
      <c r="BB104" s="39"/>
      <c r="BC104" s="40"/>
      <c r="BD104" s="39"/>
      <c r="BE104" s="40"/>
      <c r="BF104" s="39"/>
      <c r="BG104" s="40"/>
      <c r="BH104" s="39"/>
      <c r="BI104" s="40"/>
      <c r="BJ104" s="39"/>
      <c r="BK104" s="40"/>
      <c r="BL104" s="39"/>
      <c r="BM104" s="40"/>
      <c r="BN104" s="39"/>
      <c r="BO104" s="40"/>
      <c r="BP104" s="39"/>
      <c r="BQ104" s="40"/>
      <c r="BR104" s="39"/>
      <c r="BS104" s="40"/>
      <c r="BT104" s="39"/>
      <c r="BU104" s="40"/>
      <c r="BV104" s="39"/>
      <c r="BW104" s="40"/>
      <c r="BX104" s="39"/>
      <c r="BY104" s="40"/>
      <c r="BZ104" s="39"/>
      <c r="CA104" s="40"/>
      <c r="CB104" s="39"/>
      <c r="CC104" s="40"/>
      <c r="CD104" s="39"/>
      <c r="CE104" s="40"/>
      <c r="CF104" s="39"/>
      <c r="CG104" s="40"/>
      <c r="CH104" s="39"/>
      <c r="CI104" s="40"/>
      <c r="CJ104" s="39"/>
      <c r="CK104" s="40"/>
      <c r="CL104" s="39"/>
      <c r="CM104" s="40"/>
      <c r="CN104" s="39"/>
      <c r="CO104" s="40"/>
      <c r="CP104" s="39"/>
      <c r="CQ104" s="40"/>
      <c r="CR104" s="39"/>
      <c r="CS104" s="40"/>
      <c r="CT104" s="39"/>
      <c r="CU104" s="40"/>
      <c r="CV104" s="39"/>
      <c r="CW104" s="40"/>
      <c r="CX104" s="39"/>
      <c r="CY104" s="40"/>
      <c r="CZ104" s="39"/>
      <c r="DA104" s="40"/>
      <c r="DB104" s="39"/>
      <c r="DC104" s="40"/>
      <c r="DD104" s="39"/>
      <c r="DE104" s="40"/>
      <c r="DF104" s="39"/>
      <c r="DG104" s="40"/>
      <c r="DH104" s="39"/>
      <c r="DI104" s="40"/>
      <c r="DJ104" s="39"/>
      <c r="DK104" s="40"/>
      <c r="DL104" s="39"/>
      <c r="DM104" s="40"/>
      <c r="DN104" s="39"/>
      <c r="DO104" s="40"/>
      <c r="DP104" s="39"/>
      <c r="DQ104" s="40"/>
      <c r="DR104" s="39"/>
      <c r="DS104" s="40"/>
      <c r="DT104" s="39"/>
      <c r="DU104" s="40"/>
      <c r="DV104" s="39"/>
      <c r="DW104" s="40"/>
      <c r="DX104" s="39"/>
      <c r="DY104" s="40"/>
      <c r="DZ104" s="39"/>
      <c r="EA104" s="40"/>
      <c r="EB104" s="39"/>
      <c r="EC104" s="40"/>
      <c r="ED104" s="39"/>
      <c r="EE104" s="40"/>
      <c r="EF104" s="39"/>
      <c r="EG104" s="40"/>
      <c r="EH104" s="39"/>
      <c r="EI104" s="40"/>
      <c r="EJ104" s="39"/>
      <c r="EK104" s="40"/>
      <c r="EL104" s="39"/>
      <c r="EM104" s="40"/>
      <c r="EN104" s="39"/>
      <c r="EO104" s="40"/>
      <c r="EP104" s="39"/>
      <c r="EQ104" s="40"/>
      <c r="ER104" s="39"/>
      <c r="ES104" s="40"/>
      <c r="ET104" s="39"/>
      <c r="EU104" s="40"/>
      <c r="EV104" s="39"/>
      <c r="EW104" s="40"/>
      <c r="EX104" s="39"/>
      <c r="EY104" s="40"/>
      <c r="EZ104" s="39"/>
      <c r="FA104" s="40"/>
      <c r="FB104" s="39"/>
      <c r="FC104" s="40"/>
      <c r="FD104" s="39"/>
      <c r="FE104" s="40"/>
      <c r="FF104" s="39"/>
      <c r="FG104" s="40"/>
      <c r="FH104" s="39"/>
      <c r="FI104" s="40"/>
      <c r="FJ104" s="39"/>
      <c r="FK104" s="40"/>
      <c r="FL104" s="39"/>
      <c r="FM104" s="40"/>
      <c r="FN104" s="39"/>
      <c r="FO104" s="40"/>
      <c r="FP104" s="39"/>
      <c r="FQ104" s="40"/>
      <c r="FR104" s="39"/>
      <c r="FS104" s="40"/>
      <c r="FT104" s="39"/>
      <c r="FU104" s="40"/>
      <c r="FV104" s="39"/>
      <c r="FW104" s="40"/>
      <c r="FX104" s="39"/>
      <c r="FY104" s="40"/>
      <c r="FZ104" s="39"/>
      <c r="GA104" s="40"/>
      <c r="GB104" s="39"/>
      <c r="GC104" s="40"/>
      <c r="GD104" s="39"/>
      <c r="GE104" s="40"/>
      <c r="GF104" s="39"/>
      <c r="GG104" s="40"/>
      <c r="GH104" s="39"/>
      <c r="GI104" s="40"/>
      <c r="GJ104" s="39"/>
      <c r="GK104" s="40"/>
      <c r="GL104" s="39"/>
      <c r="GM104" s="40"/>
      <c r="GN104" s="39"/>
      <c r="GO104" s="40"/>
      <c r="GP104" s="39"/>
      <c r="GQ104" s="40"/>
      <c r="GR104" s="39"/>
      <c r="GS104" s="40"/>
      <c r="GT104" s="39"/>
      <c r="GU104" s="40"/>
      <c r="GV104" s="39"/>
      <c r="GW104" s="40"/>
      <c r="GX104" s="39"/>
      <c r="GY104" s="40"/>
      <c r="GZ104" s="39"/>
      <c r="HA104" s="40"/>
      <c r="HB104" s="39"/>
      <c r="HC104" s="40"/>
      <c r="HD104" s="39"/>
      <c r="HE104" s="40"/>
      <c r="HF104" s="39"/>
      <c r="HG104" s="40"/>
      <c r="HH104" s="39"/>
      <c r="HI104" s="40"/>
      <c r="HJ104" s="39"/>
      <c r="HK104" s="40"/>
      <c r="HL104" s="39"/>
      <c r="HM104" s="40"/>
      <c r="HN104" s="39"/>
      <c r="HO104" s="40"/>
      <c r="HP104" s="39"/>
      <c r="HQ104" s="40"/>
      <c r="HR104" s="39"/>
      <c r="HS104" s="40"/>
      <c r="HT104" s="39"/>
      <c r="HU104" s="40"/>
      <c r="HV104" s="39"/>
      <c r="HW104" s="40"/>
      <c r="HX104" s="39"/>
      <c r="HY104" s="40"/>
      <c r="HZ104" s="39"/>
      <c r="IA104" s="40"/>
      <c r="IB104" s="39"/>
      <c r="IC104" s="1068"/>
      <c r="ID104" s="645"/>
      <c r="IE104" s="646"/>
      <c r="IF104" s="645"/>
      <c r="IG104" s="646"/>
      <c r="IH104" s="645"/>
      <c r="II104" s="646"/>
      <c r="IJ104" s="645"/>
      <c r="IK104" s="646"/>
      <c r="IL104" s="645"/>
      <c r="IM104" s="646"/>
      <c r="IN104" s="645"/>
      <c r="IO104" s="646"/>
      <c r="IP104" s="645"/>
      <c r="IQ104" s="646"/>
      <c r="IR104" s="645"/>
      <c r="IS104" s="646"/>
      <c r="IT104" s="645"/>
      <c r="IU104" s="646"/>
      <c r="IV104" s="645"/>
      <c r="IW104" s="646"/>
      <c r="IX104" s="645"/>
      <c r="IY104" s="646"/>
      <c r="IZ104" s="645"/>
      <c r="JA104" s="646"/>
      <c r="JB104" s="645"/>
      <c r="JC104" s="646"/>
      <c r="JD104" s="645"/>
      <c r="JE104" s="646"/>
      <c r="JF104" s="645"/>
      <c r="JG104" s="646"/>
      <c r="JH104" s="645"/>
      <c r="JI104" s="646"/>
      <c r="JJ104" s="645"/>
      <c r="JK104" s="646"/>
      <c r="JL104" s="645"/>
      <c r="JM104" s="646"/>
      <c r="JN104" s="645"/>
      <c r="JO104" s="646"/>
      <c r="JP104" s="645"/>
      <c r="JQ104" s="646"/>
      <c r="JR104" s="645"/>
      <c r="JS104" s="646"/>
      <c r="JT104" s="645"/>
      <c r="JU104" s="646"/>
      <c r="JV104" s="645"/>
      <c r="JW104" s="646"/>
      <c r="JX104" s="645"/>
      <c r="JY104" s="646"/>
      <c r="JZ104" s="645"/>
      <c r="KA104" s="646"/>
      <c r="KB104" s="645"/>
      <c r="KC104" s="646"/>
      <c r="KD104" s="645"/>
      <c r="KE104" s="646"/>
      <c r="KF104" s="645"/>
      <c r="KG104" s="646"/>
      <c r="KH104" s="645"/>
      <c r="KI104" s="646"/>
      <c r="KJ104" s="645"/>
      <c r="KK104" s="646"/>
      <c r="KL104" s="645"/>
      <c r="KM104" s="646"/>
      <c r="KN104" s="645"/>
      <c r="KO104" s="646"/>
      <c r="KP104" s="645"/>
      <c r="KQ104" s="646"/>
      <c r="KR104" s="645"/>
      <c r="KS104" s="646"/>
      <c r="KT104" s="645"/>
      <c r="KU104" s="646"/>
      <c r="KV104" s="645"/>
      <c r="KW104" s="646"/>
      <c r="KX104" s="645"/>
      <c r="KY104" s="646"/>
      <c r="KZ104" s="645"/>
      <c r="LA104" s="646"/>
      <c r="LB104" s="645"/>
      <c r="LC104" s="646"/>
      <c r="LD104" s="645"/>
      <c r="LE104" s="646"/>
      <c r="LF104" s="645"/>
      <c r="LG104" s="646"/>
      <c r="LH104" s="645"/>
      <c r="LI104" s="646"/>
      <c r="LJ104" s="645"/>
      <c r="LK104" s="646"/>
      <c r="LL104" s="645"/>
      <c r="LM104" s="646"/>
      <c r="LN104" s="645"/>
      <c r="LO104" s="646"/>
      <c r="LP104" s="645"/>
      <c r="LQ104" s="646"/>
      <c r="LR104" s="645"/>
      <c r="LS104" s="646"/>
      <c r="LT104" s="645"/>
      <c r="LU104" s="646"/>
      <c r="LV104" s="645"/>
      <c r="LW104" s="646"/>
      <c r="LX104" s="645"/>
      <c r="LY104" s="646"/>
      <c r="LZ104" s="645"/>
      <c r="MA104" s="646"/>
      <c r="MB104" s="645"/>
      <c r="MC104" s="646"/>
      <c r="MD104" s="645"/>
      <c r="ME104" s="646"/>
      <c r="MF104" s="645"/>
      <c r="MG104" s="646"/>
      <c r="MH104" s="645"/>
      <c r="MI104" s="646"/>
      <c r="MJ104" s="645"/>
      <c r="MK104" s="646"/>
      <c r="ML104" s="645"/>
      <c r="MM104" s="646"/>
      <c r="MN104" s="645"/>
      <c r="MO104" s="646"/>
      <c r="MP104" s="645"/>
      <c r="MQ104" s="646"/>
      <c r="MR104" s="645"/>
      <c r="MS104" s="646"/>
      <c r="MT104" s="645"/>
      <c r="MU104" s="646"/>
      <c r="MV104" s="645"/>
      <c r="MW104" s="646"/>
      <c r="MX104" s="645"/>
      <c r="MY104" s="646"/>
      <c r="MZ104" s="645"/>
      <c r="NA104" s="646"/>
      <c r="NB104" s="645"/>
      <c r="NC104" s="646"/>
      <c r="ND104" s="645"/>
      <c r="NE104" s="646"/>
      <c r="NF104" s="645"/>
      <c r="NG104" s="646"/>
      <c r="NH104" s="645"/>
      <c r="NI104" s="646"/>
      <c r="NJ104" s="645"/>
      <c r="NK104" s="646"/>
      <c r="NL104" s="645"/>
      <c r="NM104" s="646"/>
      <c r="NN104" s="645"/>
      <c r="NO104" s="646"/>
      <c r="NP104" s="645"/>
      <c r="NQ104" s="646"/>
      <c r="NR104" s="645"/>
      <c r="NS104" s="646"/>
      <c r="NT104" s="645"/>
      <c r="NU104" s="646"/>
      <c r="NV104" s="645"/>
      <c r="NW104" s="646"/>
      <c r="NX104" s="645"/>
      <c r="NY104" s="646"/>
      <c r="NZ104" s="645"/>
      <c r="OA104" s="646"/>
      <c r="OB104" s="645"/>
      <c r="OC104" s="646"/>
      <c r="OD104" s="645"/>
      <c r="OE104" s="646"/>
      <c r="OF104" s="645"/>
      <c r="OG104" s="646"/>
      <c r="OH104" s="645"/>
      <c r="OI104" s="646"/>
      <c r="OJ104" s="645"/>
      <c r="OK104" s="646"/>
      <c r="OL104" s="645"/>
      <c r="OM104" s="646"/>
      <c r="ON104" s="645"/>
      <c r="OO104" s="646"/>
      <c r="OP104" s="645"/>
      <c r="OQ104" s="646"/>
      <c r="OR104" s="645"/>
      <c r="OS104" s="646"/>
      <c r="OT104" s="645"/>
      <c r="OU104" s="646"/>
      <c r="OV104" s="645"/>
      <c r="OW104" s="646"/>
      <c r="OX104" s="645"/>
      <c r="OY104" s="646"/>
      <c r="OZ104" s="645"/>
      <c r="PA104" s="646"/>
      <c r="PB104" s="645"/>
      <c r="PC104" s="646"/>
      <c r="PD104" s="645"/>
      <c r="PE104" s="646"/>
      <c r="PF104" s="645"/>
      <c r="PG104" s="646"/>
      <c r="PH104" s="645"/>
      <c r="PI104" s="646"/>
      <c r="PJ104" s="645"/>
      <c r="PK104" s="646"/>
      <c r="PL104" s="645"/>
      <c r="PM104" s="646"/>
      <c r="PN104" s="645"/>
      <c r="PO104" s="646"/>
      <c r="PP104" s="645"/>
      <c r="PQ104" s="646"/>
      <c r="PR104" s="645"/>
      <c r="PS104" s="646"/>
      <c r="PT104" s="645"/>
      <c r="PU104" s="646"/>
      <c r="PV104" s="645"/>
      <c r="PW104" s="646"/>
      <c r="PX104" s="645"/>
      <c r="PY104" s="646"/>
      <c r="PZ104" s="645"/>
      <c r="QA104" s="646"/>
      <c r="QB104" s="645"/>
      <c r="QC104" s="646"/>
      <c r="QD104" s="645"/>
      <c r="QE104" s="646"/>
      <c r="QF104" s="645"/>
      <c r="QG104" s="646"/>
      <c r="QH104" s="645"/>
      <c r="QI104" s="646"/>
      <c r="QJ104" s="645"/>
      <c r="QK104" s="646"/>
      <c r="QL104" s="645"/>
      <c r="QM104" s="646"/>
      <c r="QN104" s="645"/>
      <c r="QO104" s="646"/>
      <c r="QP104" s="645"/>
      <c r="QQ104" s="646"/>
      <c r="QR104" s="645"/>
      <c r="QS104" s="646"/>
      <c r="QT104" s="645"/>
      <c r="QU104" s="646"/>
      <c r="QV104" s="645"/>
      <c r="QW104" s="646"/>
      <c r="QX104" s="645"/>
      <c r="QY104" s="646"/>
      <c r="QZ104" s="645"/>
      <c r="RA104" s="646"/>
      <c r="RB104" s="645"/>
      <c r="RC104" s="646"/>
      <c r="RD104" s="645"/>
      <c r="RE104" s="646"/>
      <c r="RF104" s="645"/>
      <c r="RG104" s="646"/>
      <c r="RH104" s="645"/>
      <c r="RI104" s="646"/>
      <c r="RJ104" s="645"/>
      <c r="RK104" s="646"/>
      <c r="RL104" s="645"/>
      <c r="RM104" s="646"/>
      <c r="RN104" s="645"/>
      <c r="RO104" s="646"/>
      <c r="RP104" s="645"/>
      <c r="RQ104" s="646"/>
      <c r="RR104" s="645"/>
      <c r="RS104" s="646"/>
      <c r="RT104" s="645"/>
      <c r="RU104" s="646"/>
      <c r="RV104" s="645"/>
      <c r="RW104" s="646"/>
      <c r="RX104" s="645"/>
      <c r="RY104" s="646"/>
      <c r="RZ104" s="645"/>
      <c r="SA104" s="646"/>
      <c r="SB104" s="645"/>
      <c r="SC104" s="646"/>
      <c r="SD104" s="645"/>
      <c r="SE104" s="646"/>
      <c r="SF104" s="645"/>
      <c r="SG104" s="646"/>
      <c r="SH104" s="645"/>
      <c r="SI104" s="646"/>
      <c r="SJ104" s="645"/>
      <c r="SK104" s="646"/>
      <c r="SL104" s="645"/>
      <c r="SM104" s="646"/>
      <c r="SN104" s="645"/>
      <c r="SO104" s="646"/>
      <c r="SP104" s="645"/>
      <c r="SQ104" s="646"/>
      <c r="SR104" s="645"/>
      <c r="SS104" s="646"/>
      <c r="ST104" s="645"/>
      <c r="SU104" s="646"/>
      <c r="SV104" s="645"/>
      <c r="SW104" s="646"/>
      <c r="SX104" s="645"/>
      <c r="SY104" s="646"/>
      <c r="SZ104" s="645"/>
      <c r="TA104" s="646"/>
      <c r="TB104" s="645"/>
      <c r="TC104" s="646"/>
      <c r="TD104" s="645"/>
      <c r="TE104" s="646"/>
      <c r="TF104" s="645"/>
      <c r="TG104" s="646"/>
      <c r="TH104" s="645"/>
      <c r="TI104" s="646"/>
      <c r="TJ104" s="645"/>
      <c r="TK104" s="646"/>
      <c r="TL104" s="645"/>
      <c r="TM104" s="646"/>
      <c r="TN104" s="645"/>
      <c r="TO104" s="646"/>
      <c r="TP104" s="645"/>
      <c r="TQ104" s="646"/>
      <c r="TR104" s="645"/>
      <c r="TS104" s="646"/>
      <c r="TT104" s="645"/>
      <c r="TU104" s="646"/>
      <c r="TV104" s="645"/>
      <c r="TW104" s="646"/>
      <c r="TX104" s="645"/>
      <c r="TY104" s="646"/>
      <c r="TZ104" s="645"/>
      <c r="UA104" s="646"/>
      <c r="UB104" s="645"/>
      <c r="UC104" s="646"/>
      <c r="UD104" s="645"/>
      <c r="UE104" s="646"/>
      <c r="UF104" s="645"/>
      <c r="UG104" s="646"/>
      <c r="UH104" s="645"/>
      <c r="UI104" s="646"/>
      <c r="UJ104" s="645"/>
      <c r="UK104" s="646"/>
      <c r="UL104" s="645"/>
      <c r="UM104" s="646"/>
      <c r="UN104" s="645"/>
      <c r="UO104" s="646"/>
      <c r="UP104" s="645"/>
      <c r="UQ104" s="646"/>
      <c r="UR104" s="645"/>
      <c r="US104" s="646"/>
      <c r="UT104" s="645"/>
      <c r="UU104" s="646"/>
      <c r="UV104" s="645"/>
      <c r="UW104" s="646"/>
      <c r="UX104" s="645"/>
      <c r="UY104" s="646"/>
      <c r="UZ104" s="645"/>
      <c r="VA104" s="646"/>
      <c r="VB104" s="645"/>
      <c r="VC104" s="646"/>
      <c r="VD104" s="645"/>
      <c r="VE104" s="646"/>
      <c r="VF104" s="645"/>
      <c r="VG104" s="646"/>
      <c r="VH104" s="645"/>
      <c r="VI104" s="646"/>
      <c r="VJ104" s="645"/>
      <c r="VK104" s="646"/>
      <c r="VL104" s="645"/>
      <c r="VM104" s="646"/>
      <c r="VN104" s="645"/>
      <c r="VO104" s="646"/>
      <c r="VP104" s="645"/>
      <c r="VQ104" s="646"/>
      <c r="VR104" s="645"/>
      <c r="VS104" s="646"/>
      <c r="VT104" s="645"/>
      <c r="VU104" s="646"/>
      <c r="VV104" s="645"/>
      <c r="VW104" s="646"/>
      <c r="VX104" s="645"/>
      <c r="VY104" s="646"/>
      <c r="VZ104" s="645"/>
      <c r="WA104" s="646"/>
      <c r="WB104" s="645"/>
      <c r="WC104" s="646"/>
      <c r="WD104" s="645"/>
      <c r="WE104" s="646"/>
      <c r="WF104" s="645"/>
      <c r="WG104" s="646"/>
      <c r="WH104" s="645"/>
      <c r="WI104" s="646"/>
      <c r="WJ104" s="645"/>
      <c r="WK104" s="646"/>
      <c r="WL104" s="645"/>
      <c r="WM104" s="646"/>
      <c r="WN104" s="645"/>
      <c r="WO104" s="646"/>
      <c r="WP104" s="645"/>
      <c r="WQ104" s="646"/>
      <c r="WR104" s="645"/>
      <c r="WS104" s="646"/>
      <c r="WT104" s="645"/>
      <c r="WU104" s="646"/>
      <c r="WV104" s="645"/>
      <c r="WW104" s="646"/>
      <c r="WX104" s="645"/>
      <c r="WY104" s="646"/>
      <c r="WZ104" s="645"/>
      <c r="XA104" s="646"/>
      <c r="XB104" s="645"/>
      <c r="XC104" s="646"/>
      <c r="XD104" s="645"/>
      <c r="XE104" s="646"/>
      <c r="XF104" s="645"/>
      <c r="XG104" s="646"/>
      <c r="XH104" s="645"/>
      <c r="XI104" s="646"/>
      <c r="XJ104" s="645"/>
      <c r="XK104" s="646"/>
      <c r="XL104" s="645"/>
      <c r="XM104" s="646"/>
      <c r="XN104" s="645"/>
      <c r="XO104" s="646"/>
      <c r="XP104" s="645"/>
      <c r="XQ104" s="646"/>
      <c r="XR104" s="645"/>
      <c r="XS104" s="646"/>
      <c r="XT104" s="645"/>
      <c r="XU104" s="646"/>
      <c r="XV104" s="645"/>
      <c r="XW104" s="646"/>
      <c r="XX104" s="645"/>
      <c r="XY104" s="646"/>
      <c r="XZ104" s="645"/>
      <c r="YA104" s="646"/>
      <c r="YB104" s="645"/>
      <c r="YC104" s="646"/>
      <c r="YD104" s="645"/>
      <c r="YE104" s="646"/>
      <c r="YF104" s="645"/>
      <c r="YG104" s="646"/>
      <c r="YH104" s="645"/>
      <c r="YI104" s="646"/>
      <c r="YJ104" s="645"/>
      <c r="YK104" s="646"/>
      <c r="YL104" s="645"/>
      <c r="YM104" s="646"/>
      <c r="YN104" s="645"/>
      <c r="YO104" s="646"/>
      <c r="YP104" s="645"/>
      <c r="YQ104" s="646"/>
      <c r="YR104" s="645"/>
      <c r="YS104" s="646"/>
      <c r="YT104" s="645"/>
      <c r="YU104" s="646"/>
      <c r="YV104" s="645"/>
      <c r="YW104" s="646"/>
      <c r="YX104" s="645"/>
      <c r="YY104" s="646"/>
      <c r="YZ104" s="645"/>
      <c r="ZA104" s="646"/>
      <c r="ZB104" s="645"/>
      <c r="ZC104" s="646"/>
      <c r="ZD104" s="645"/>
      <c r="ZE104" s="646"/>
      <c r="ZF104" s="645"/>
      <c r="ZG104" s="646"/>
      <c r="ZH104" s="645"/>
      <c r="ZI104" s="646"/>
      <c r="ZJ104" s="645"/>
      <c r="ZK104" s="646"/>
      <c r="ZL104" s="645"/>
      <c r="ZM104" s="646"/>
      <c r="ZN104" s="645"/>
      <c r="ZO104" s="646"/>
      <c r="ZP104" s="645"/>
      <c r="ZQ104" s="646"/>
      <c r="ZR104" s="645"/>
      <c r="ZS104" s="646"/>
      <c r="ZT104" s="645"/>
      <c r="ZU104" s="646"/>
      <c r="ZV104" s="645"/>
      <c r="ZW104" s="646"/>
      <c r="ZX104" s="645"/>
      <c r="ZY104" s="646"/>
      <c r="ZZ104" s="645"/>
      <c r="AAA104" s="646"/>
      <c r="AAB104" s="645"/>
      <c r="AAC104" s="646"/>
      <c r="AAD104" s="645"/>
      <c r="AAE104" s="646"/>
      <c r="AAF104" s="645"/>
      <c r="AAG104" s="646"/>
      <c r="AAH104" s="645"/>
      <c r="AAI104" s="646"/>
      <c r="AAJ104" s="645"/>
      <c r="AAK104" s="646"/>
      <c r="AAL104" s="645"/>
      <c r="AAM104" s="646"/>
      <c r="AAN104" s="645"/>
      <c r="AAO104" s="646"/>
      <c r="AAP104" s="645"/>
      <c r="AAQ104" s="646"/>
      <c r="AAR104" s="645"/>
      <c r="AAS104" s="646"/>
      <c r="AAT104" s="645"/>
      <c r="AAU104" s="646"/>
      <c r="AAV104" s="645"/>
      <c r="AAW104" s="646"/>
      <c r="AAX104" s="645"/>
      <c r="AAY104" s="646"/>
      <c r="AAZ104" s="645"/>
      <c r="ABA104" s="646"/>
      <c r="ABB104" s="645"/>
      <c r="ABC104" s="646"/>
      <c r="ABD104" s="645"/>
      <c r="ABE104" s="646"/>
      <c r="ABF104" s="645"/>
      <c r="ABG104" s="646"/>
      <c r="ABH104" s="645"/>
      <c r="ABI104" s="646"/>
      <c r="ABJ104" s="645"/>
      <c r="ABK104" s="646"/>
      <c r="ABL104" s="645"/>
      <c r="ABM104" s="646"/>
      <c r="ABN104" s="645"/>
      <c r="ABO104" s="646"/>
      <c r="ABP104" s="645"/>
      <c r="ABQ104" s="646"/>
      <c r="ABR104" s="645"/>
      <c r="ABS104" s="646"/>
      <c r="ABT104" s="645"/>
      <c r="ABU104" s="646"/>
      <c r="ABV104" s="645"/>
      <c r="ABW104" s="646"/>
      <c r="ABX104" s="645"/>
      <c r="ABY104" s="646"/>
      <c r="ABZ104" s="645"/>
      <c r="ACA104" s="646"/>
      <c r="ACB104" s="645"/>
      <c r="ACC104" s="646"/>
      <c r="ACD104" s="645"/>
      <c r="ACE104" s="646"/>
      <c r="ACF104" s="645"/>
      <c r="ACG104" s="646"/>
      <c r="ACH104" s="645"/>
      <c r="ACI104" s="646"/>
      <c r="ACJ104" s="645"/>
      <c r="ACK104" s="646"/>
      <c r="ACL104" s="645"/>
      <c r="ACM104" s="646"/>
      <c r="ACN104" s="645"/>
      <c r="ACO104" s="646"/>
      <c r="ACP104" s="645"/>
      <c r="ACQ104" s="646"/>
      <c r="ACR104" s="645"/>
      <c r="ACS104" s="646"/>
      <c r="ACT104" s="645"/>
      <c r="ACU104" s="646"/>
      <c r="ACV104" s="645"/>
      <c r="ACW104" s="646"/>
      <c r="ACX104" s="645"/>
      <c r="ACY104" s="646"/>
      <c r="ACZ104" s="645"/>
      <c r="ADA104" s="646"/>
      <c r="ADB104" s="645"/>
      <c r="ADC104" s="646"/>
      <c r="ADD104" s="645"/>
      <c r="ADE104" s="646"/>
      <c r="ADF104" s="645"/>
      <c r="ADG104" s="646"/>
      <c r="ADH104" s="645"/>
      <c r="ADI104" s="646"/>
      <c r="ADJ104" s="645"/>
      <c r="ADK104" s="646"/>
      <c r="ADL104" s="645"/>
      <c r="ADM104" s="646"/>
      <c r="ADN104" s="645"/>
      <c r="ADO104" s="646"/>
      <c r="ADP104" s="645"/>
      <c r="ADQ104" s="646"/>
      <c r="ADR104" s="645"/>
      <c r="ADS104" s="646"/>
      <c r="ADT104" s="645"/>
      <c r="ADU104" s="646"/>
      <c r="ADV104" s="645"/>
      <c r="ADW104" s="646"/>
      <c r="ADX104" s="645"/>
      <c r="ADY104" s="646"/>
      <c r="ADZ104" s="645"/>
      <c r="AEA104" s="646"/>
      <c r="AEB104" s="645"/>
      <c r="AEC104" s="646"/>
      <c r="AED104" s="645"/>
      <c r="AEE104" s="646"/>
      <c r="AEF104" s="645"/>
      <c r="AEG104" s="646"/>
      <c r="AEH104" s="645"/>
      <c r="AEI104" s="646"/>
      <c r="AEJ104" s="645"/>
      <c r="AEK104" s="646"/>
      <c r="AEL104" s="645"/>
      <c r="AEM104" s="646"/>
      <c r="AEN104" s="645"/>
      <c r="AEO104" s="646"/>
      <c r="AEP104" s="645"/>
      <c r="AEQ104" s="646"/>
      <c r="AER104" s="645"/>
      <c r="AES104" s="646"/>
      <c r="AET104" s="645"/>
      <c r="AEU104" s="646"/>
      <c r="AEV104" s="645"/>
      <c r="AEW104" s="646"/>
      <c r="AEX104" s="645"/>
      <c r="AEY104" s="646"/>
      <c r="AEZ104" s="645"/>
      <c r="AFA104" s="646"/>
      <c r="AFB104" s="645"/>
      <c r="AFC104" s="646"/>
      <c r="AFD104" s="645"/>
      <c r="AFE104" s="646"/>
      <c r="AFF104" s="645"/>
      <c r="AFG104" s="646"/>
      <c r="AFH104" s="645"/>
      <c r="AFI104" s="646"/>
      <c r="AFJ104" s="645"/>
      <c r="AFK104" s="646"/>
      <c r="AFL104" s="645"/>
      <c r="AFM104" s="646"/>
      <c r="AFN104" s="645"/>
      <c r="AFO104" s="646"/>
      <c r="AFP104" s="645"/>
      <c r="AFQ104" s="646"/>
      <c r="AFR104" s="645"/>
      <c r="AFS104" s="646"/>
      <c r="AFT104" s="645"/>
      <c r="AFU104" s="646"/>
      <c r="AFV104" s="645"/>
      <c r="AFW104" s="646"/>
      <c r="AFX104" s="645"/>
      <c r="AFY104" s="646"/>
      <c r="AFZ104" s="645"/>
      <c r="AGA104" s="646"/>
      <c r="AGB104" s="645"/>
      <c r="AGC104" s="646"/>
      <c r="AGD104" s="645"/>
      <c r="AGE104" s="646"/>
      <c r="AGF104" s="645"/>
      <c r="AGG104" s="646"/>
      <c r="AGH104" s="645"/>
      <c r="AGI104" s="646"/>
      <c r="AGJ104" s="645"/>
      <c r="AGK104" s="646"/>
      <c r="AGL104" s="645"/>
      <c r="AGM104" s="646"/>
      <c r="AGN104" s="645"/>
      <c r="AGO104" s="646"/>
      <c r="AGP104" s="645"/>
      <c r="AGQ104" s="646"/>
      <c r="AGR104" s="645"/>
      <c r="AGS104" s="646"/>
      <c r="AGT104" s="645"/>
      <c r="AGU104" s="646"/>
      <c r="AGV104" s="645"/>
      <c r="AGW104" s="646"/>
      <c r="AGX104" s="645"/>
      <c r="AGY104" s="646"/>
      <c r="AGZ104" s="645"/>
      <c r="AHA104" s="646"/>
      <c r="AHB104" s="645"/>
      <c r="AHC104" s="646"/>
      <c r="AHD104" s="645"/>
      <c r="AHE104" s="646"/>
      <c r="AHF104" s="645"/>
      <c r="AHG104" s="646"/>
      <c r="AHH104" s="645"/>
      <c r="AHI104" s="646"/>
      <c r="AHJ104" s="645"/>
      <c r="AHK104" s="646"/>
      <c r="AHL104" s="645"/>
      <c r="AHM104" s="646"/>
      <c r="AHN104" s="645"/>
      <c r="AHO104" s="646"/>
      <c r="AHP104" s="645"/>
      <c r="AHQ104" s="646"/>
      <c r="AHR104" s="645"/>
      <c r="AHS104" s="646"/>
      <c r="AHT104" s="645"/>
      <c r="AHU104" s="646"/>
      <c r="AHV104" s="645"/>
      <c r="AHW104" s="646"/>
      <c r="AHX104" s="645"/>
      <c r="AHY104" s="646"/>
      <c r="AHZ104" s="645"/>
      <c r="AIA104" s="646"/>
      <c r="AIB104" s="645"/>
      <c r="AIC104" s="646"/>
      <c r="AID104" s="645"/>
      <c r="AIE104" s="646"/>
      <c r="AIF104" s="645"/>
      <c r="AIG104" s="646"/>
      <c r="AIH104" s="645"/>
      <c r="AII104" s="646"/>
      <c r="AIJ104" s="645"/>
      <c r="AIK104" s="646"/>
      <c r="AIL104" s="645"/>
      <c r="AIM104" s="646"/>
      <c r="AIN104" s="645"/>
      <c r="AIO104" s="646"/>
      <c r="AIP104" s="645"/>
      <c r="AIQ104" s="645"/>
      <c r="AIR104" s="645"/>
      <c r="AIS104" s="645"/>
      <c r="AIT104" s="645"/>
      <c r="AIU104" s="645"/>
      <c r="AIV104" s="645"/>
      <c r="AIW104" s="645"/>
      <c r="AIX104" s="645"/>
      <c r="AIY104" s="645"/>
      <c r="AIZ104" s="645"/>
      <c r="AJA104" s="645"/>
      <c r="AJB104" s="645"/>
      <c r="AJC104" s="645"/>
      <c r="AJD104" s="645"/>
      <c r="AJE104" s="645"/>
      <c r="AJF104" s="645"/>
      <c r="AJG104" s="645"/>
      <c r="AJH104" s="645"/>
      <c r="AJI104" s="645"/>
      <c r="AJJ104" s="645"/>
      <c r="AJK104" s="645"/>
      <c r="AJL104" s="645"/>
      <c r="AJM104" s="645"/>
      <c r="AJN104" s="645"/>
      <c r="AJO104" s="645"/>
      <c r="AJP104" s="645"/>
      <c r="AJQ104" s="645"/>
      <c r="AJR104" s="645"/>
      <c r="AJS104" s="645"/>
      <c r="AJT104" s="645"/>
      <c r="AJU104" s="645"/>
      <c r="AJV104" s="645"/>
      <c r="AJW104" s="645"/>
      <c r="AJX104" s="645"/>
      <c r="AJY104" s="645"/>
      <c r="AJZ104" s="645"/>
      <c r="AKA104" s="645"/>
      <c r="AKB104" s="645"/>
      <c r="AKC104" s="645"/>
      <c r="AKD104" s="645"/>
      <c r="AKE104" s="645"/>
      <c r="AKF104" s="645"/>
      <c r="AKG104" s="645"/>
      <c r="AKH104" s="645"/>
      <c r="AKI104" s="645"/>
      <c r="AKJ104" s="645"/>
      <c r="AKK104" s="645"/>
      <c r="AKL104" s="645"/>
      <c r="AKM104" s="645"/>
      <c r="AKN104" s="645"/>
      <c r="AKO104" s="645"/>
      <c r="AKP104" s="645"/>
      <c r="AKQ104" s="645"/>
      <c r="AKR104" s="645"/>
      <c r="AKS104" s="645"/>
      <c r="AKT104" s="645"/>
      <c r="AKU104" s="645"/>
      <c r="AKV104" s="645"/>
      <c r="AKW104" s="645"/>
      <c r="AKX104" s="645"/>
      <c r="AKY104" s="645"/>
      <c r="AKZ104" s="645"/>
      <c r="ALA104" s="645"/>
      <c r="ALB104" s="645"/>
      <c r="ALC104" s="645"/>
      <c r="ALD104" s="645"/>
      <c r="ALE104" s="645"/>
      <c r="ALF104" s="645"/>
      <c r="ALG104" s="645"/>
      <c r="ALH104" s="645"/>
      <c r="ALI104" s="645"/>
      <c r="ALJ104" s="645"/>
      <c r="ALK104" s="645"/>
      <c r="ALL104" s="645"/>
      <c r="ALM104" s="645"/>
      <c r="ALN104" s="645"/>
      <c r="ALO104" s="645"/>
      <c r="ALP104" s="645"/>
      <c r="ALQ104" s="645"/>
      <c r="ALR104" s="645"/>
      <c r="ALS104" s="645"/>
      <c r="ALT104" s="645"/>
      <c r="ALU104" s="645"/>
      <c r="ALV104" s="645"/>
      <c r="ALW104" s="645"/>
      <c r="ALX104" s="645"/>
      <c r="ALY104" s="645"/>
      <c r="ALZ104" s="645"/>
      <c r="AMA104" s="645"/>
      <c r="AMB104" s="645"/>
      <c r="AMC104" s="645"/>
      <c r="AMD104" s="645"/>
      <c r="AME104" s="645"/>
      <c r="AMF104" s="645"/>
      <c r="AMG104" s="645"/>
      <c r="AMH104" s="645"/>
      <c r="AMI104" s="645"/>
      <c r="AMJ104" s="645"/>
    </row>
    <row r="105" spans="1:1024" s="37" customFormat="1" ht="15.75" customHeight="1" x14ac:dyDescent="0.35">
      <c r="A105" s="600"/>
      <c r="B105" s="644" t="s">
        <v>359</v>
      </c>
      <c r="C105" s="645"/>
      <c r="D105" s="646"/>
      <c r="E105" s="645"/>
      <c r="F105" s="646"/>
      <c r="G105" s="647" t="s">
        <v>243</v>
      </c>
      <c r="H105" s="643"/>
      <c r="I105" s="645"/>
      <c r="J105" s="38"/>
      <c r="K105" s="38"/>
      <c r="L105" s="39"/>
      <c r="M105" s="38"/>
      <c r="N105" s="39"/>
      <c r="O105" s="38"/>
      <c r="P105" s="39"/>
      <c r="Q105" s="38"/>
      <c r="R105" s="39"/>
      <c r="S105" s="38"/>
      <c r="T105" s="39"/>
      <c r="U105" s="38"/>
      <c r="V105" s="39"/>
      <c r="W105" s="38"/>
      <c r="X105" s="39"/>
      <c r="Y105" s="38"/>
      <c r="Z105" s="39"/>
      <c r="AA105" s="38"/>
      <c r="AB105" s="39"/>
      <c r="AC105" s="38"/>
      <c r="AD105" s="39"/>
      <c r="AE105" s="38"/>
      <c r="AF105" s="39"/>
      <c r="AG105" s="38"/>
      <c r="AH105" s="39"/>
      <c r="AI105" s="38"/>
      <c r="AJ105" s="39"/>
      <c r="AK105" s="40"/>
      <c r="AL105" s="39"/>
      <c r="AM105" s="40"/>
      <c r="AN105" s="39"/>
      <c r="AO105" s="40"/>
      <c r="AP105" s="39"/>
      <c r="AQ105" s="40"/>
      <c r="AR105" s="39"/>
      <c r="AS105" s="40"/>
      <c r="AT105" s="39"/>
      <c r="AU105" s="40"/>
      <c r="AV105" s="39"/>
      <c r="AW105" s="40"/>
      <c r="AX105" s="39"/>
      <c r="AY105" s="40"/>
      <c r="AZ105" s="39"/>
      <c r="BA105" s="40"/>
      <c r="BB105" s="39"/>
      <c r="BC105" s="40"/>
      <c r="BD105" s="39"/>
      <c r="BE105" s="40"/>
      <c r="BF105" s="39"/>
      <c r="BG105" s="40"/>
      <c r="BH105" s="39"/>
      <c r="BI105" s="40"/>
      <c r="BJ105" s="39"/>
      <c r="BK105" s="40"/>
      <c r="BL105" s="39"/>
      <c r="BM105" s="40"/>
      <c r="BN105" s="39"/>
      <c r="BO105" s="40"/>
      <c r="BP105" s="39"/>
      <c r="BQ105" s="40"/>
      <c r="BR105" s="39"/>
      <c r="BS105" s="40"/>
      <c r="BT105" s="39"/>
      <c r="BU105" s="40"/>
      <c r="BV105" s="39"/>
      <c r="BW105" s="40"/>
      <c r="BX105" s="39"/>
      <c r="BY105" s="40"/>
      <c r="BZ105" s="39"/>
      <c r="CA105" s="40"/>
      <c r="CB105" s="39"/>
      <c r="CC105" s="40"/>
      <c r="CD105" s="39"/>
      <c r="CE105" s="40"/>
      <c r="CF105" s="39"/>
      <c r="CG105" s="40"/>
      <c r="CH105" s="39"/>
      <c r="CI105" s="40"/>
      <c r="CJ105" s="39"/>
      <c r="CK105" s="40"/>
      <c r="CL105" s="39"/>
      <c r="CM105" s="40"/>
      <c r="CN105" s="39"/>
      <c r="CO105" s="40"/>
      <c r="CP105" s="39"/>
      <c r="CQ105" s="40"/>
      <c r="CR105" s="39"/>
      <c r="CS105" s="40"/>
      <c r="CT105" s="39"/>
      <c r="CU105" s="40"/>
      <c r="CV105" s="39"/>
      <c r="CW105" s="40"/>
      <c r="CX105" s="39"/>
      <c r="CY105" s="40"/>
      <c r="CZ105" s="39"/>
      <c r="DA105" s="40"/>
      <c r="DB105" s="39"/>
      <c r="DC105" s="40"/>
      <c r="DD105" s="39"/>
      <c r="DE105" s="40"/>
      <c r="DF105" s="39"/>
      <c r="DG105" s="40"/>
      <c r="DH105" s="39"/>
      <c r="DI105" s="40"/>
      <c r="DJ105" s="39"/>
      <c r="DK105" s="40"/>
      <c r="DL105" s="39"/>
      <c r="DM105" s="40"/>
      <c r="DN105" s="39"/>
      <c r="DO105" s="40"/>
      <c r="DP105" s="39"/>
      <c r="DQ105" s="40"/>
      <c r="DR105" s="39"/>
      <c r="DS105" s="40"/>
      <c r="DT105" s="39"/>
      <c r="DU105" s="40"/>
      <c r="DV105" s="39"/>
      <c r="DW105" s="40"/>
      <c r="DX105" s="39"/>
      <c r="DY105" s="40"/>
      <c r="DZ105" s="39"/>
      <c r="EA105" s="40"/>
      <c r="EB105" s="39"/>
      <c r="EC105" s="40"/>
      <c r="ED105" s="39"/>
      <c r="EE105" s="40"/>
      <c r="EF105" s="39"/>
      <c r="EG105" s="40"/>
      <c r="EH105" s="39"/>
      <c r="EI105" s="40"/>
      <c r="EJ105" s="39"/>
      <c r="EK105" s="40"/>
      <c r="EL105" s="39"/>
      <c r="EM105" s="40"/>
      <c r="EN105" s="39"/>
      <c r="EO105" s="40"/>
      <c r="EP105" s="39"/>
      <c r="EQ105" s="40"/>
      <c r="ER105" s="39"/>
      <c r="ES105" s="40"/>
      <c r="ET105" s="39"/>
      <c r="EU105" s="40"/>
      <c r="EV105" s="39"/>
      <c r="EW105" s="40"/>
      <c r="EX105" s="39"/>
      <c r="EY105" s="40"/>
      <c r="EZ105" s="39"/>
      <c r="FA105" s="40"/>
      <c r="FB105" s="39"/>
      <c r="FC105" s="40"/>
      <c r="FD105" s="39"/>
      <c r="FE105" s="40"/>
      <c r="FF105" s="39"/>
      <c r="FG105" s="40"/>
      <c r="FH105" s="39"/>
      <c r="FI105" s="40"/>
      <c r="FJ105" s="39"/>
      <c r="FK105" s="40"/>
      <c r="FL105" s="39"/>
      <c r="FM105" s="40"/>
      <c r="FN105" s="39"/>
      <c r="FO105" s="40"/>
      <c r="FP105" s="39"/>
      <c r="FQ105" s="40"/>
      <c r="FR105" s="39"/>
      <c r="FS105" s="40"/>
      <c r="FT105" s="39"/>
      <c r="FU105" s="40"/>
      <c r="FV105" s="39"/>
      <c r="FW105" s="40"/>
      <c r="FX105" s="39"/>
      <c r="FY105" s="40"/>
      <c r="FZ105" s="39"/>
      <c r="GA105" s="40"/>
      <c r="GB105" s="39"/>
      <c r="GC105" s="40"/>
      <c r="GD105" s="39"/>
      <c r="GE105" s="40"/>
      <c r="GF105" s="39"/>
      <c r="GG105" s="40"/>
      <c r="GH105" s="39"/>
      <c r="GI105" s="40"/>
      <c r="GJ105" s="39"/>
      <c r="GK105" s="40"/>
      <c r="GL105" s="39"/>
      <c r="GM105" s="40"/>
      <c r="GN105" s="39"/>
      <c r="GO105" s="40"/>
      <c r="GP105" s="39"/>
      <c r="GQ105" s="40"/>
      <c r="GR105" s="39"/>
      <c r="GS105" s="40"/>
      <c r="GT105" s="39"/>
      <c r="GU105" s="40"/>
      <c r="GV105" s="39"/>
      <c r="GW105" s="40"/>
      <c r="GX105" s="39"/>
      <c r="GY105" s="40"/>
      <c r="GZ105" s="39"/>
      <c r="HA105" s="40"/>
      <c r="HB105" s="39"/>
      <c r="HC105" s="40"/>
      <c r="HD105" s="39"/>
      <c r="HE105" s="40"/>
      <c r="HF105" s="39"/>
      <c r="HG105" s="40"/>
      <c r="HH105" s="39"/>
      <c r="HI105" s="40"/>
      <c r="HJ105" s="39"/>
      <c r="HK105" s="40"/>
      <c r="HL105" s="39"/>
      <c r="HM105" s="40"/>
      <c r="HN105" s="39"/>
      <c r="HO105" s="40"/>
      <c r="HP105" s="39"/>
      <c r="HQ105" s="40"/>
      <c r="HR105" s="39"/>
      <c r="HS105" s="40"/>
      <c r="HT105" s="39"/>
      <c r="HU105" s="40"/>
      <c r="HV105" s="39"/>
      <c r="HW105" s="40"/>
      <c r="HX105" s="39"/>
      <c r="HY105" s="40"/>
      <c r="HZ105" s="39"/>
      <c r="IA105" s="40"/>
      <c r="IB105" s="39"/>
      <c r="IC105" s="1068"/>
      <c r="ID105" s="645"/>
      <c r="IE105" s="646"/>
      <c r="IF105" s="645"/>
      <c r="IG105" s="646"/>
      <c r="IH105" s="645"/>
      <c r="II105" s="646"/>
      <c r="IJ105" s="645"/>
      <c r="IK105" s="646"/>
      <c r="IL105" s="645"/>
      <c r="IM105" s="646"/>
      <c r="IN105" s="645"/>
      <c r="IO105" s="646"/>
      <c r="IP105" s="645"/>
      <c r="IQ105" s="646"/>
      <c r="IR105" s="645"/>
      <c r="IS105" s="646"/>
      <c r="IT105" s="645"/>
      <c r="IU105" s="646"/>
      <c r="IV105" s="645"/>
      <c r="IW105" s="646"/>
      <c r="IX105" s="645"/>
      <c r="IY105" s="646"/>
      <c r="IZ105" s="645"/>
      <c r="JA105" s="646"/>
      <c r="JB105" s="645"/>
      <c r="JC105" s="646"/>
      <c r="JD105" s="645"/>
      <c r="JE105" s="646"/>
      <c r="JF105" s="645"/>
      <c r="JG105" s="646"/>
      <c r="JH105" s="645"/>
      <c r="JI105" s="646"/>
      <c r="JJ105" s="645"/>
      <c r="JK105" s="646"/>
      <c r="JL105" s="645"/>
      <c r="JM105" s="646"/>
      <c r="JN105" s="645"/>
      <c r="JO105" s="646"/>
      <c r="JP105" s="645"/>
      <c r="JQ105" s="646"/>
      <c r="JR105" s="645"/>
      <c r="JS105" s="646"/>
      <c r="JT105" s="645"/>
      <c r="JU105" s="646"/>
      <c r="JV105" s="645"/>
      <c r="JW105" s="646"/>
      <c r="JX105" s="645"/>
      <c r="JY105" s="646"/>
      <c r="JZ105" s="645"/>
      <c r="KA105" s="646"/>
      <c r="KB105" s="645"/>
      <c r="KC105" s="646"/>
      <c r="KD105" s="645"/>
      <c r="KE105" s="646"/>
      <c r="KF105" s="645"/>
      <c r="KG105" s="646"/>
      <c r="KH105" s="645"/>
      <c r="KI105" s="646"/>
      <c r="KJ105" s="645"/>
      <c r="KK105" s="646"/>
      <c r="KL105" s="645"/>
      <c r="KM105" s="646"/>
      <c r="KN105" s="645"/>
      <c r="KO105" s="646"/>
      <c r="KP105" s="645"/>
      <c r="KQ105" s="646"/>
      <c r="KR105" s="645"/>
      <c r="KS105" s="646"/>
      <c r="KT105" s="645"/>
      <c r="KU105" s="646"/>
      <c r="KV105" s="645"/>
      <c r="KW105" s="646"/>
      <c r="KX105" s="645"/>
      <c r="KY105" s="646"/>
      <c r="KZ105" s="645"/>
      <c r="LA105" s="646"/>
      <c r="LB105" s="645"/>
      <c r="LC105" s="646"/>
      <c r="LD105" s="645"/>
      <c r="LE105" s="646"/>
      <c r="LF105" s="645"/>
      <c r="LG105" s="646"/>
      <c r="LH105" s="645"/>
      <c r="LI105" s="646"/>
      <c r="LJ105" s="645"/>
      <c r="LK105" s="646"/>
      <c r="LL105" s="645"/>
      <c r="LM105" s="646"/>
      <c r="LN105" s="645"/>
      <c r="LO105" s="646"/>
      <c r="LP105" s="645"/>
      <c r="LQ105" s="646"/>
      <c r="LR105" s="645"/>
      <c r="LS105" s="646"/>
      <c r="LT105" s="645"/>
      <c r="LU105" s="646"/>
      <c r="LV105" s="645"/>
      <c r="LW105" s="646"/>
      <c r="LX105" s="645"/>
      <c r="LY105" s="646"/>
      <c r="LZ105" s="645"/>
      <c r="MA105" s="646"/>
      <c r="MB105" s="645"/>
      <c r="MC105" s="646"/>
      <c r="MD105" s="645"/>
      <c r="ME105" s="646"/>
      <c r="MF105" s="645"/>
      <c r="MG105" s="646"/>
      <c r="MH105" s="645"/>
      <c r="MI105" s="646"/>
      <c r="MJ105" s="645"/>
      <c r="MK105" s="646"/>
      <c r="ML105" s="645"/>
      <c r="MM105" s="646"/>
      <c r="MN105" s="645"/>
      <c r="MO105" s="646"/>
      <c r="MP105" s="645"/>
      <c r="MQ105" s="646"/>
      <c r="MR105" s="645"/>
      <c r="MS105" s="646"/>
      <c r="MT105" s="645"/>
      <c r="MU105" s="646"/>
      <c r="MV105" s="645"/>
      <c r="MW105" s="646"/>
      <c r="MX105" s="645"/>
      <c r="MY105" s="646"/>
      <c r="MZ105" s="645"/>
      <c r="NA105" s="646"/>
      <c r="NB105" s="645"/>
      <c r="NC105" s="646"/>
      <c r="ND105" s="645"/>
      <c r="NE105" s="646"/>
      <c r="NF105" s="645"/>
      <c r="NG105" s="646"/>
      <c r="NH105" s="645"/>
      <c r="NI105" s="646"/>
      <c r="NJ105" s="645"/>
      <c r="NK105" s="646"/>
      <c r="NL105" s="645"/>
      <c r="NM105" s="646"/>
      <c r="NN105" s="645"/>
      <c r="NO105" s="646"/>
      <c r="NP105" s="645"/>
      <c r="NQ105" s="646"/>
      <c r="NR105" s="645"/>
      <c r="NS105" s="646"/>
      <c r="NT105" s="645"/>
      <c r="NU105" s="646"/>
      <c r="NV105" s="645"/>
      <c r="NW105" s="646"/>
      <c r="NX105" s="645"/>
      <c r="NY105" s="646"/>
      <c r="NZ105" s="645"/>
      <c r="OA105" s="646"/>
      <c r="OB105" s="645"/>
      <c r="OC105" s="646"/>
      <c r="OD105" s="645"/>
      <c r="OE105" s="646"/>
      <c r="OF105" s="645"/>
      <c r="OG105" s="646"/>
      <c r="OH105" s="645"/>
      <c r="OI105" s="646"/>
      <c r="OJ105" s="645"/>
      <c r="OK105" s="646"/>
      <c r="OL105" s="645"/>
      <c r="OM105" s="646"/>
      <c r="ON105" s="645"/>
      <c r="OO105" s="646"/>
      <c r="OP105" s="645"/>
      <c r="OQ105" s="646"/>
      <c r="OR105" s="645"/>
      <c r="OS105" s="646"/>
      <c r="OT105" s="645"/>
      <c r="OU105" s="646"/>
      <c r="OV105" s="645"/>
      <c r="OW105" s="646"/>
      <c r="OX105" s="645"/>
      <c r="OY105" s="646"/>
      <c r="OZ105" s="645"/>
      <c r="PA105" s="646"/>
      <c r="PB105" s="645"/>
      <c r="PC105" s="646"/>
      <c r="PD105" s="645"/>
      <c r="PE105" s="646"/>
      <c r="PF105" s="645"/>
      <c r="PG105" s="646"/>
      <c r="PH105" s="645"/>
      <c r="PI105" s="646"/>
      <c r="PJ105" s="645"/>
      <c r="PK105" s="646"/>
      <c r="PL105" s="645"/>
      <c r="PM105" s="646"/>
      <c r="PN105" s="645"/>
      <c r="PO105" s="646"/>
      <c r="PP105" s="645"/>
      <c r="PQ105" s="646"/>
      <c r="PR105" s="645"/>
      <c r="PS105" s="646"/>
      <c r="PT105" s="645"/>
      <c r="PU105" s="646"/>
      <c r="PV105" s="645"/>
      <c r="PW105" s="646"/>
      <c r="PX105" s="645"/>
      <c r="PY105" s="646"/>
      <c r="PZ105" s="645"/>
      <c r="QA105" s="646"/>
      <c r="QB105" s="645"/>
      <c r="QC105" s="646"/>
      <c r="QD105" s="645"/>
      <c r="QE105" s="646"/>
      <c r="QF105" s="645"/>
      <c r="QG105" s="646"/>
      <c r="QH105" s="645"/>
      <c r="QI105" s="646"/>
      <c r="QJ105" s="645"/>
      <c r="QK105" s="646"/>
      <c r="QL105" s="645"/>
      <c r="QM105" s="646"/>
      <c r="QN105" s="645"/>
      <c r="QO105" s="646"/>
      <c r="QP105" s="645"/>
      <c r="QQ105" s="646"/>
      <c r="QR105" s="645"/>
      <c r="QS105" s="646"/>
      <c r="QT105" s="645"/>
      <c r="QU105" s="646"/>
      <c r="QV105" s="645"/>
      <c r="QW105" s="646"/>
      <c r="QX105" s="645"/>
      <c r="QY105" s="646"/>
      <c r="QZ105" s="645"/>
      <c r="RA105" s="646"/>
      <c r="RB105" s="645"/>
      <c r="RC105" s="646"/>
      <c r="RD105" s="645"/>
      <c r="RE105" s="646"/>
      <c r="RF105" s="645"/>
      <c r="RG105" s="646"/>
      <c r="RH105" s="645"/>
      <c r="RI105" s="646"/>
      <c r="RJ105" s="645"/>
      <c r="RK105" s="646"/>
      <c r="RL105" s="645"/>
      <c r="RM105" s="646"/>
      <c r="RN105" s="645"/>
      <c r="RO105" s="646"/>
      <c r="RP105" s="645"/>
      <c r="RQ105" s="646"/>
      <c r="RR105" s="645"/>
      <c r="RS105" s="646"/>
      <c r="RT105" s="645"/>
      <c r="RU105" s="646"/>
      <c r="RV105" s="645"/>
      <c r="RW105" s="646"/>
      <c r="RX105" s="645"/>
      <c r="RY105" s="646"/>
      <c r="RZ105" s="645"/>
      <c r="SA105" s="646"/>
      <c r="SB105" s="645"/>
      <c r="SC105" s="646"/>
      <c r="SD105" s="645"/>
      <c r="SE105" s="646"/>
      <c r="SF105" s="645"/>
      <c r="SG105" s="646"/>
      <c r="SH105" s="645"/>
      <c r="SI105" s="646"/>
      <c r="SJ105" s="645"/>
      <c r="SK105" s="646"/>
      <c r="SL105" s="645"/>
      <c r="SM105" s="646"/>
      <c r="SN105" s="645"/>
      <c r="SO105" s="646"/>
      <c r="SP105" s="645"/>
      <c r="SQ105" s="646"/>
      <c r="SR105" s="645"/>
      <c r="SS105" s="646"/>
      <c r="ST105" s="645"/>
      <c r="SU105" s="646"/>
      <c r="SV105" s="645"/>
      <c r="SW105" s="646"/>
      <c r="SX105" s="645"/>
      <c r="SY105" s="646"/>
      <c r="SZ105" s="645"/>
      <c r="TA105" s="646"/>
      <c r="TB105" s="645"/>
      <c r="TC105" s="646"/>
      <c r="TD105" s="645"/>
      <c r="TE105" s="646"/>
      <c r="TF105" s="645"/>
      <c r="TG105" s="646"/>
      <c r="TH105" s="645"/>
      <c r="TI105" s="646"/>
      <c r="TJ105" s="645"/>
      <c r="TK105" s="646"/>
      <c r="TL105" s="645"/>
      <c r="TM105" s="646"/>
      <c r="TN105" s="645"/>
      <c r="TO105" s="646"/>
      <c r="TP105" s="645"/>
      <c r="TQ105" s="646"/>
      <c r="TR105" s="645"/>
      <c r="TS105" s="646"/>
      <c r="TT105" s="645"/>
      <c r="TU105" s="646"/>
      <c r="TV105" s="645"/>
      <c r="TW105" s="646"/>
      <c r="TX105" s="645"/>
      <c r="TY105" s="646"/>
      <c r="TZ105" s="645"/>
      <c r="UA105" s="646"/>
      <c r="UB105" s="645"/>
      <c r="UC105" s="646"/>
      <c r="UD105" s="645"/>
      <c r="UE105" s="646"/>
      <c r="UF105" s="645"/>
      <c r="UG105" s="646"/>
      <c r="UH105" s="645"/>
      <c r="UI105" s="646"/>
      <c r="UJ105" s="645"/>
      <c r="UK105" s="646"/>
      <c r="UL105" s="645"/>
      <c r="UM105" s="646"/>
      <c r="UN105" s="645"/>
      <c r="UO105" s="646"/>
      <c r="UP105" s="645"/>
      <c r="UQ105" s="646"/>
      <c r="UR105" s="645"/>
      <c r="US105" s="646"/>
      <c r="UT105" s="645"/>
      <c r="UU105" s="646"/>
      <c r="UV105" s="645"/>
      <c r="UW105" s="646"/>
      <c r="UX105" s="645"/>
      <c r="UY105" s="646"/>
      <c r="UZ105" s="645"/>
      <c r="VA105" s="646"/>
      <c r="VB105" s="645"/>
      <c r="VC105" s="646"/>
      <c r="VD105" s="645"/>
      <c r="VE105" s="646"/>
      <c r="VF105" s="645"/>
      <c r="VG105" s="646"/>
      <c r="VH105" s="645"/>
      <c r="VI105" s="646"/>
      <c r="VJ105" s="645"/>
      <c r="VK105" s="646"/>
      <c r="VL105" s="645"/>
      <c r="VM105" s="646"/>
      <c r="VN105" s="645"/>
      <c r="VO105" s="646"/>
      <c r="VP105" s="645"/>
      <c r="VQ105" s="646"/>
      <c r="VR105" s="645"/>
      <c r="VS105" s="646"/>
      <c r="VT105" s="645"/>
      <c r="VU105" s="646"/>
      <c r="VV105" s="645"/>
      <c r="VW105" s="646"/>
      <c r="VX105" s="645"/>
      <c r="VY105" s="646"/>
      <c r="VZ105" s="645"/>
      <c r="WA105" s="646"/>
      <c r="WB105" s="645"/>
      <c r="WC105" s="646"/>
      <c r="WD105" s="645"/>
      <c r="WE105" s="646"/>
      <c r="WF105" s="645"/>
      <c r="WG105" s="646"/>
      <c r="WH105" s="645"/>
      <c r="WI105" s="646"/>
      <c r="WJ105" s="645"/>
      <c r="WK105" s="646"/>
      <c r="WL105" s="645"/>
      <c r="WM105" s="646"/>
      <c r="WN105" s="645"/>
      <c r="WO105" s="646"/>
      <c r="WP105" s="645"/>
      <c r="WQ105" s="646"/>
      <c r="WR105" s="645"/>
      <c r="WS105" s="646"/>
      <c r="WT105" s="645"/>
      <c r="WU105" s="646"/>
      <c r="WV105" s="645"/>
      <c r="WW105" s="646"/>
      <c r="WX105" s="645"/>
      <c r="WY105" s="646"/>
      <c r="WZ105" s="645"/>
      <c r="XA105" s="646"/>
      <c r="XB105" s="645"/>
      <c r="XC105" s="646"/>
      <c r="XD105" s="645"/>
      <c r="XE105" s="646"/>
      <c r="XF105" s="645"/>
      <c r="XG105" s="646"/>
      <c r="XH105" s="645"/>
      <c r="XI105" s="646"/>
      <c r="XJ105" s="645"/>
      <c r="XK105" s="646"/>
      <c r="XL105" s="645"/>
      <c r="XM105" s="646"/>
      <c r="XN105" s="645"/>
      <c r="XO105" s="646"/>
      <c r="XP105" s="645"/>
      <c r="XQ105" s="646"/>
      <c r="XR105" s="645"/>
      <c r="XS105" s="646"/>
      <c r="XT105" s="645"/>
      <c r="XU105" s="646"/>
      <c r="XV105" s="645"/>
      <c r="XW105" s="646"/>
      <c r="XX105" s="645"/>
      <c r="XY105" s="646"/>
      <c r="XZ105" s="645"/>
      <c r="YA105" s="646"/>
      <c r="YB105" s="645"/>
      <c r="YC105" s="646"/>
      <c r="YD105" s="645"/>
      <c r="YE105" s="646"/>
      <c r="YF105" s="645"/>
      <c r="YG105" s="646"/>
      <c r="YH105" s="645"/>
      <c r="YI105" s="646"/>
      <c r="YJ105" s="645"/>
      <c r="YK105" s="646"/>
      <c r="YL105" s="645"/>
      <c r="YM105" s="646"/>
      <c r="YN105" s="645"/>
      <c r="YO105" s="646"/>
      <c r="YP105" s="645"/>
      <c r="YQ105" s="646"/>
      <c r="YR105" s="645"/>
      <c r="YS105" s="646"/>
      <c r="YT105" s="645"/>
      <c r="YU105" s="646"/>
      <c r="YV105" s="645"/>
      <c r="YW105" s="646"/>
      <c r="YX105" s="645"/>
      <c r="YY105" s="646"/>
      <c r="YZ105" s="645"/>
      <c r="ZA105" s="646"/>
      <c r="ZB105" s="645"/>
      <c r="ZC105" s="646"/>
      <c r="ZD105" s="645"/>
      <c r="ZE105" s="646"/>
      <c r="ZF105" s="645"/>
      <c r="ZG105" s="646"/>
      <c r="ZH105" s="645"/>
      <c r="ZI105" s="646"/>
      <c r="ZJ105" s="645"/>
      <c r="ZK105" s="646"/>
      <c r="ZL105" s="645"/>
      <c r="ZM105" s="646"/>
      <c r="ZN105" s="645"/>
      <c r="ZO105" s="646"/>
      <c r="ZP105" s="645"/>
      <c r="ZQ105" s="646"/>
      <c r="ZR105" s="645"/>
      <c r="ZS105" s="646"/>
      <c r="ZT105" s="645"/>
      <c r="ZU105" s="646"/>
      <c r="ZV105" s="645"/>
      <c r="ZW105" s="646"/>
      <c r="ZX105" s="645"/>
      <c r="ZY105" s="646"/>
      <c r="ZZ105" s="645"/>
      <c r="AAA105" s="646"/>
      <c r="AAB105" s="645"/>
      <c r="AAC105" s="646"/>
      <c r="AAD105" s="645"/>
      <c r="AAE105" s="646"/>
      <c r="AAF105" s="645"/>
      <c r="AAG105" s="646"/>
      <c r="AAH105" s="645"/>
      <c r="AAI105" s="646"/>
      <c r="AAJ105" s="645"/>
      <c r="AAK105" s="646"/>
      <c r="AAL105" s="645"/>
      <c r="AAM105" s="646"/>
      <c r="AAN105" s="645"/>
      <c r="AAO105" s="646"/>
      <c r="AAP105" s="645"/>
      <c r="AAQ105" s="646"/>
      <c r="AAR105" s="645"/>
      <c r="AAS105" s="646"/>
      <c r="AAT105" s="645"/>
      <c r="AAU105" s="646"/>
      <c r="AAV105" s="645"/>
      <c r="AAW105" s="646"/>
      <c r="AAX105" s="645"/>
      <c r="AAY105" s="646"/>
      <c r="AAZ105" s="645"/>
      <c r="ABA105" s="646"/>
      <c r="ABB105" s="645"/>
      <c r="ABC105" s="646"/>
      <c r="ABD105" s="645"/>
      <c r="ABE105" s="646"/>
      <c r="ABF105" s="645"/>
      <c r="ABG105" s="646"/>
      <c r="ABH105" s="645"/>
      <c r="ABI105" s="646"/>
      <c r="ABJ105" s="645"/>
      <c r="ABK105" s="646"/>
      <c r="ABL105" s="645"/>
      <c r="ABM105" s="646"/>
      <c r="ABN105" s="645"/>
      <c r="ABO105" s="646"/>
      <c r="ABP105" s="645"/>
      <c r="ABQ105" s="646"/>
      <c r="ABR105" s="645"/>
      <c r="ABS105" s="646"/>
      <c r="ABT105" s="645"/>
      <c r="ABU105" s="646"/>
      <c r="ABV105" s="645"/>
      <c r="ABW105" s="646"/>
      <c r="ABX105" s="645"/>
      <c r="ABY105" s="646"/>
      <c r="ABZ105" s="645"/>
      <c r="ACA105" s="646"/>
      <c r="ACB105" s="645"/>
      <c r="ACC105" s="646"/>
      <c r="ACD105" s="645"/>
      <c r="ACE105" s="646"/>
      <c r="ACF105" s="645"/>
      <c r="ACG105" s="646"/>
      <c r="ACH105" s="645"/>
      <c r="ACI105" s="646"/>
      <c r="ACJ105" s="645"/>
      <c r="ACK105" s="646"/>
      <c r="ACL105" s="645"/>
      <c r="ACM105" s="646"/>
      <c r="ACN105" s="645"/>
      <c r="ACO105" s="646"/>
      <c r="ACP105" s="645"/>
      <c r="ACQ105" s="646"/>
      <c r="ACR105" s="645"/>
      <c r="ACS105" s="646"/>
      <c r="ACT105" s="645"/>
      <c r="ACU105" s="646"/>
      <c r="ACV105" s="645"/>
      <c r="ACW105" s="646"/>
      <c r="ACX105" s="645"/>
      <c r="ACY105" s="646"/>
      <c r="ACZ105" s="645"/>
      <c r="ADA105" s="646"/>
      <c r="ADB105" s="645"/>
      <c r="ADC105" s="646"/>
      <c r="ADD105" s="645"/>
      <c r="ADE105" s="646"/>
      <c r="ADF105" s="645"/>
      <c r="ADG105" s="646"/>
      <c r="ADH105" s="645"/>
      <c r="ADI105" s="646"/>
      <c r="ADJ105" s="645"/>
      <c r="ADK105" s="646"/>
      <c r="ADL105" s="645"/>
      <c r="ADM105" s="646"/>
      <c r="ADN105" s="645"/>
      <c r="ADO105" s="646"/>
      <c r="ADP105" s="645"/>
      <c r="ADQ105" s="646"/>
      <c r="ADR105" s="645"/>
      <c r="ADS105" s="646"/>
      <c r="ADT105" s="645"/>
      <c r="ADU105" s="646"/>
      <c r="ADV105" s="645"/>
      <c r="ADW105" s="646"/>
      <c r="ADX105" s="645"/>
      <c r="ADY105" s="646"/>
      <c r="ADZ105" s="645"/>
      <c r="AEA105" s="646"/>
      <c r="AEB105" s="645"/>
      <c r="AEC105" s="646"/>
      <c r="AED105" s="645"/>
      <c r="AEE105" s="646"/>
      <c r="AEF105" s="645"/>
      <c r="AEG105" s="646"/>
      <c r="AEH105" s="645"/>
      <c r="AEI105" s="646"/>
      <c r="AEJ105" s="645"/>
      <c r="AEK105" s="646"/>
      <c r="AEL105" s="645"/>
      <c r="AEM105" s="646"/>
      <c r="AEN105" s="645"/>
      <c r="AEO105" s="646"/>
      <c r="AEP105" s="645"/>
      <c r="AEQ105" s="646"/>
      <c r="AER105" s="645"/>
      <c r="AES105" s="646"/>
      <c r="AET105" s="645"/>
      <c r="AEU105" s="646"/>
      <c r="AEV105" s="645"/>
      <c r="AEW105" s="646"/>
      <c r="AEX105" s="645"/>
      <c r="AEY105" s="646"/>
      <c r="AEZ105" s="645"/>
      <c r="AFA105" s="646"/>
      <c r="AFB105" s="645"/>
      <c r="AFC105" s="646"/>
      <c r="AFD105" s="645"/>
      <c r="AFE105" s="646"/>
      <c r="AFF105" s="645"/>
      <c r="AFG105" s="646"/>
      <c r="AFH105" s="645"/>
      <c r="AFI105" s="646"/>
      <c r="AFJ105" s="645"/>
      <c r="AFK105" s="646"/>
      <c r="AFL105" s="645"/>
      <c r="AFM105" s="646"/>
      <c r="AFN105" s="645"/>
      <c r="AFO105" s="646"/>
      <c r="AFP105" s="645"/>
      <c r="AFQ105" s="646"/>
      <c r="AFR105" s="645"/>
      <c r="AFS105" s="646"/>
      <c r="AFT105" s="645"/>
      <c r="AFU105" s="646"/>
      <c r="AFV105" s="645"/>
      <c r="AFW105" s="646"/>
      <c r="AFX105" s="645"/>
      <c r="AFY105" s="646"/>
      <c r="AFZ105" s="645"/>
      <c r="AGA105" s="646"/>
      <c r="AGB105" s="645"/>
      <c r="AGC105" s="646"/>
      <c r="AGD105" s="645"/>
      <c r="AGE105" s="646"/>
      <c r="AGF105" s="645"/>
      <c r="AGG105" s="646"/>
      <c r="AGH105" s="645"/>
      <c r="AGI105" s="646"/>
      <c r="AGJ105" s="645"/>
      <c r="AGK105" s="646"/>
      <c r="AGL105" s="645"/>
      <c r="AGM105" s="646"/>
      <c r="AGN105" s="645"/>
      <c r="AGO105" s="646"/>
      <c r="AGP105" s="645"/>
      <c r="AGQ105" s="646"/>
      <c r="AGR105" s="645"/>
      <c r="AGS105" s="646"/>
      <c r="AGT105" s="645"/>
      <c r="AGU105" s="646"/>
      <c r="AGV105" s="645"/>
      <c r="AGW105" s="646"/>
      <c r="AGX105" s="645"/>
      <c r="AGY105" s="646"/>
      <c r="AGZ105" s="645"/>
      <c r="AHA105" s="646"/>
      <c r="AHB105" s="645"/>
      <c r="AHC105" s="646"/>
      <c r="AHD105" s="645"/>
      <c r="AHE105" s="646"/>
      <c r="AHF105" s="645"/>
      <c r="AHG105" s="646"/>
      <c r="AHH105" s="645"/>
      <c r="AHI105" s="646"/>
      <c r="AHJ105" s="645"/>
      <c r="AHK105" s="646"/>
      <c r="AHL105" s="645"/>
      <c r="AHM105" s="646"/>
      <c r="AHN105" s="645"/>
      <c r="AHO105" s="646"/>
      <c r="AHP105" s="645"/>
      <c r="AHQ105" s="646"/>
      <c r="AHR105" s="645"/>
      <c r="AHS105" s="646"/>
      <c r="AHT105" s="645"/>
      <c r="AHU105" s="646"/>
      <c r="AHV105" s="645"/>
      <c r="AHW105" s="646"/>
      <c r="AHX105" s="645"/>
      <c r="AHY105" s="646"/>
      <c r="AHZ105" s="645"/>
      <c r="AIA105" s="646"/>
      <c r="AIB105" s="645"/>
      <c r="AIC105" s="646"/>
      <c r="AID105" s="645"/>
      <c r="AIE105" s="646"/>
      <c r="AIF105" s="645"/>
      <c r="AIG105" s="646"/>
      <c r="AIH105" s="645"/>
      <c r="AII105" s="646"/>
      <c r="AIJ105" s="645"/>
      <c r="AIK105" s="646"/>
      <c r="AIL105" s="645"/>
      <c r="AIM105" s="646"/>
      <c r="AIN105" s="645"/>
      <c r="AIO105" s="646"/>
      <c r="AIP105" s="645"/>
      <c r="AIQ105" s="645"/>
      <c r="AIR105" s="645"/>
      <c r="AIS105" s="645"/>
      <c r="AIT105" s="645"/>
      <c r="AIU105" s="645"/>
      <c r="AIV105" s="645"/>
      <c r="AIW105" s="645"/>
      <c r="AIX105" s="645"/>
      <c r="AIY105" s="645"/>
      <c r="AIZ105" s="645"/>
      <c r="AJA105" s="645"/>
      <c r="AJB105" s="645"/>
      <c r="AJC105" s="645"/>
      <c r="AJD105" s="645"/>
      <c r="AJE105" s="645"/>
      <c r="AJF105" s="645"/>
      <c r="AJG105" s="645"/>
      <c r="AJH105" s="645"/>
      <c r="AJI105" s="645"/>
      <c r="AJJ105" s="645"/>
      <c r="AJK105" s="645"/>
      <c r="AJL105" s="645"/>
      <c r="AJM105" s="645"/>
      <c r="AJN105" s="645"/>
      <c r="AJO105" s="645"/>
      <c r="AJP105" s="645"/>
      <c r="AJQ105" s="645"/>
      <c r="AJR105" s="645"/>
      <c r="AJS105" s="645"/>
      <c r="AJT105" s="645"/>
      <c r="AJU105" s="645"/>
      <c r="AJV105" s="645"/>
      <c r="AJW105" s="645"/>
      <c r="AJX105" s="645"/>
      <c r="AJY105" s="645"/>
      <c r="AJZ105" s="645"/>
      <c r="AKA105" s="645"/>
      <c r="AKB105" s="645"/>
      <c r="AKC105" s="645"/>
      <c r="AKD105" s="645"/>
      <c r="AKE105" s="645"/>
      <c r="AKF105" s="645"/>
      <c r="AKG105" s="645"/>
      <c r="AKH105" s="645"/>
      <c r="AKI105" s="645"/>
      <c r="AKJ105" s="645"/>
      <c r="AKK105" s="645"/>
      <c r="AKL105" s="645"/>
      <c r="AKM105" s="645"/>
      <c r="AKN105" s="645"/>
      <c r="AKO105" s="645"/>
      <c r="AKP105" s="645"/>
      <c r="AKQ105" s="645"/>
      <c r="AKR105" s="645"/>
      <c r="AKS105" s="645"/>
      <c r="AKT105" s="645"/>
      <c r="AKU105" s="645"/>
      <c r="AKV105" s="645"/>
      <c r="AKW105" s="645"/>
      <c r="AKX105" s="645"/>
      <c r="AKY105" s="645"/>
      <c r="AKZ105" s="645"/>
      <c r="ALA105" s="645"/>
      <c r="ALB105" s="645"/>
      <c r="ALC105" s="645"/>
      <c r="ALD105" s="645"/>
      <c r="ALE105" s="645"/>
      <c r="ALF105" s="645"/>
      <c r="ALG105" s="645"/>
      <c r="ALH105" s="645"/>
      <c r="ALI105" s="645"/>
      <c r="ALJ105" s="645"/>
      <c r="ALK105" s="645"/>
      <c r="ALL105" s="645"/>
      <c r="ALM105" s="645"/>
      <c r="ALN105" s="645"/>
      <c r="ALO105" s="645"/>
      <c r="ALP105" s="645"/>
      <c r="ALQ105" s="645"/>
      <c r="ALR105" s="645"/>
      <c r="ALS105" s="645"/>
      <c r="ALT105" s="645"/>
      <c r="ALU105" s="645"/>
      <c r="ALV105" s="645"/>
      <c r="ALW105" s="645"/>
      <c r="ALX105" s="645"/>
      <c r="ALY105" s="645"/>
      <c r="ALZ105" s="645"/>
      <c r="AMA105" s="645"/>
      <c r="AMB105" s="645"/>
      <c r="AMC105" s="645"/>
      <c r="AMD105" s="645"/>
      <c r="AME105" s="645"/>
      <c r="AMF105" s="645"/>
      <c r="AMG105" s="645"/>
      <c r="AMH105" s="645"/>
      <c r="AMI105" s="645"/>
      <c r="AMJ105" s="645"/>
    </row>
    <row r="106" spans="1:1024" s="37" customFormat="1" ht="15.75" customHeight="1" x14ac:dyDescent="0.35">
      <c r="A106" s="600"/>
      <c r="B106" s="644" t="s">
        <v>360</v>
      </c>
      <c r="C106" s="645"/>
      <c r="D106" s="646"/>
      <c r="E106" s="645"/>
      <c r="F106" s="646"/>
      <c r="G106" s="647" t="s">
        <v>243</v>
      </c>
      <c r="H106" s="643"/>
      <c r="I106" s="645"/>
      <c r="J106" s="38"/>
      <c r="K106" s="38"/>
      <c r="L106" s="39"/>
      <c r="M106" s="38"/>
      <c r="N106" s="39"/>
      <c r="O106" s="38"/>
      <c r="P106" s="39"/>
      <c r="Q106" s="38"/>
      <c r="R106" s="39"/>
      <c r="S106" s="38"/>
      <c r="T106" s="39"/>
      <c r="U106" s="38"/>
      <c r="V106" s="39"/>
      <c r="W106" s="38"/>
      <c r="X106" s="39"/>
      <c r="Y106" s="38"/>
      <c r="Z106" s="39"/>
      <c r="AA106" s="38"/>
      <c r="AB106" s="39"/>
      <c r="AC106" s="38"/>
      <c r="AD106" s="39"/>
      <c r="AE106" s="38"/>
      <c r="AF106" s="39"/>
      <c r="AG106" s="38"/>
      <c r="AH106" s="39"/>
      <c r="AI106" s="38"/>
      <c r="AJ106" s="39"/>
      <c r="AK106" s="40"/>
      <c r="AL106" s="39"/>
      <c r="AM106" s="40"/>
      <c r="AN106" s="39"/>
      <c r="AO106" s="40"/>
      <c r="AP106" s="39"/>
      <c r="AQ106" s="40"/>
      <c r="AR106" s="39"/>
      <c r="AS106" s="40"/>
      <c r="AT106" s="39"/>
      <c r="AU106" s="40"/>
      <c r="AV106" s="39"/>
      <c r="AW106" s="40"/>
      <c r="AX106" s="39"/>
      <c r="AY106" s="40"/>
      <c r="AZ106" s="39"/>
      <c r="BA106" s="40"/>
      <c r="BB106" s="39"/>
      <c r="BC106" s="40"/>
      <c r="BD106" s="39"/>
      <c r="BE106" s="40"/>
      <c r="BF106" s="39"/>
      <c r="BG106" s="40"/>
      <c r="BH106" s="39"/>
      <c r="BI106" s="40"/>
      <c r="BJ106" s="39"/>
      <c r="BK106" s="40"/>
      <c r="BL106" s="39"/>
      <c r="BM106" s="40"/>
      <c r="BN106" s="39"/>
      <c r="BO106" s="40"/>
      <c r="BP106" s="39"/>
      <c r="BQ106" s="40"/>
      <c r="BR106" s="39"/>
      <c r="BS106" s="40"/>
      <c r="BT106" s="39"/>
      <c r="BU106" s="40"/>
      <c r="BV106" s="39"/>
      <c r="BW106" s="40"/>
      <c r="BX106" s="39"/>
      <c r="BY106" s="40"/>
      <c r="BZ106" s="39"/>
      <c r="CA106" s="40"/>
      <c r="CB106" s="39"/>
      <c r="CC106" s="40"/>
      <c r="CD106" s="39"/>
      <c r="CE106" s="40"/>
      <c r="CF106" s="39"/>
      <c r="CG106" s="40"/>
      <c r="CH106" s="39"/>
      <c r="CI106" s="40"/>
      <c r="CJ106" s="39"/>
      <c r="CK106" s="40"/>
      <c r="CL106" s="39"/>
      <c r="CM106" s="40"/>
      <c r="CN106" s="39"/>
      <c r="CO106" s="40"/>
      <c r="CP106" s="39"/>
      <c r="CQ106" s="40"/>
      <c r="CR106" s="39"/>
      <c r="CS106" s="40"/>
      <c r="CT106" s="39"/>
      <c r="CU106" s="40"/>
      <c r="CV106" s="39"/>
      <c r="CW106" s="40"/>
      <c r="CX106" s="39"/>
      <c r="CY106" s="40"/>
      <c r="CZ106" s="39"/>
      <c r="DA106" s="40"/>
      <c r="DB106" s="39"/>
      <c r="DC106" s="40"/>
      <c r="DD106" s="39"/>
      <c r="DE106" s="40"/>
      <c r="DF106" s="39"/>
      <c r="DG106" s="40"/>
      <c r="DH106" s="39"/>
      <c r="DI106" s="40"/>
      <c r="DJ106" s="39"/>
      <c r="DK106" s="40"/>
      <c r="DL106" s="39"/>
      <c r="DM106" s="40"/>
      <c r="DN106" s="39"/>
      <c r="DO106" s="40"/>
      <c r="DP106" s="39"/>
      <c r="DQ106" s="40"/>
      <c r="DR106" s="39"/>
      <c r="DS106" s="40"/>
      <c r="DT106" s="39"/>
      <c r="DU106" s="40"/>
      <c r="DV106" s="39"/>
      <c r="DW106" s="40"/>
      <c r="DX106" s="39"/>
      <c r="DY106" s="40"/>
      <c r="DZ106" s="39"/>
      <c r="EA106" s="40"/>
      <c r="EB106" s="39"/>
      <c r="EC106" s="40"/>
      <c r="ED106" s="39"/>
      <c r="EE106" s="40"/>
      <c r="EF106" s="39"/>
      <c r="EG106" s="40"/>
      <c r="EH106" s="39"/>
      <c r="EI106" s="40"/>
      <c r="EJ106" s="39"/>
      <c r="EK106" s="40"/>
      <c r="EL106" s="39"/>
      <c r="EM106" s="40"/>
      <c r="EN106" s="39"/>
      <c r="EO106" s="40"/>
      <c r="EP106" s="39"/>
      <c r="EQ106" s="40"/>
      <c r="ER106" s="39"/>
      <c r="ES106" s="40"/>
      <c r="ET106" s="39"/>
      <c r="EU106" s="40"/>
      <c r="EV106" s="39"/>
      <c r="EW106" s="40"/>
      <c r="EX106" s="39"/>
      <c r="EY106" s="40"/>
      <c r="EZ106" s="39"/>
      <c r="FA106" s="40"/>
      <c r="FB106" s="39"/>
      <c r="FC106" s="40"/>
      <c r="FD106" s="39"/>
      <c r="FE106" s="40"/>
      <c r="FF106" s="39"/>
      <c r="FG106" s="40"/>
      <c r="FH106" s="39"/>
      <c r="FI106" s="40"/>
      <c r="FJ106" s="39"/>
      <c r="FK106" s="40"/>
      <c r="FL106" s="39"/>
      <c r="FM106" s="40"/>
      <c r="FN106" s="39"/>
      <c r="FO106" s="40"/>
      <c r="FP106" s="39"/>
      <c r="FQ106" s="40"/>
      <c r="FR106" s="39"/>
      <c r="FS106" s="40"/>
      <c r="FT106" s="39"/>
      <c r="FU106" s="40"/>
      <c r="FV106" s="39"/>
      <c r="FW106" s="40"/>
      <c r="FX106" s="39"/>
      <c r="FY106" s="40"/>
      <c r="FZ106" s="39"/>
      <c r="GA106" s="40"/>
      <c r="GB106" s="39"/>
      <c r="GC106" s="40"/>
      <c r="GD106" s="39"/>
      <c r="GE106" s="40"/>
      <c r="GF106" s="39"/>
      <c r="GG106" s="40"/>
      <c r="GH106" s="39"/>
      <c r="GI106" s="40"/>
      <c r="GJ106" s="39"/>
      <c r="GK106" s="40"/>
      <c r="GL106" s="39"/>
      <c r="GM106" s="40"/>
      <c r="GN106" s="39"/>
      <c r="GO106" s="40"/>
      <c r="GP106" s="39"/>
      <c r="GQ106" s="40"/>
      <c r="GR106" s="39"/>
      <c r="GS106" s="40"/>
      <c r="GT106" s="39"/>
      <c r="GU106" s="40"/>
      <c r="GV106" s="39"/>
      <c r="GW106" s="40"/>
      <c r="GX106" s="39"/>
      <c r="GY106" s="40"/>
      <c r="GZ106" s="39"/>
      <c r="HA106" s="40"/>
      <c r="HB106" s="39"/>
      <c r="HC106" s="40"/>
      <c r="HD106" s="39"/>
      <c r="HE106" s="40"/>
      <c r="HF106" s="39"/>
      <c r="HG106" s="40"/>
      <c r="HH106" s="39"/>
      <c r="HI106" s="40"/>
      <c r="HJ106" s="39"/>
      <c r="HK106" s="40"/>
      <c r="HL106" s="39"/>
      <c r="HM106" s="40"/>
      <c r="HN106" s="39"/>
      <c r="HO106" s="40"/>
      <c r="HP106" s="39"/>
      <c r="HQ106" s="40"/>
      <c r="HR106" s="39"/>
      <c r="HS106" s="40"/>
      <c r="HT106" s="39"/>
      <c r="HU106" s="40"/>
      <c r="HV106" s="39"/>
      <c r="HW106" s="40"/>
      <c r="HX106" s="39"/>
      <c r="HY106" s="40"/>
      <c r="HZ106" s="39"/>
      <c r="IA106" s="40"/>
      <c r="IB106" s="39"/>
      <c r="IC106" s="1068"/>
      <c r="ID106" s="645"/>
      <c r="IE106" s="646"/>
      <c r="IF106" s="645"/>
      <c r="IG106" s="646"/>
      <c r="IH106" s="645"/>
      <c r="II106" s="646"/>
      <c r="IJ106" s="645"/>
      <c r="IK106" s="646"/>
      <c r="IL106" s="645"/>
      <c r="IM106" s="646"/>
      <c r="IN106" s="645"/>
      <c r="IO106" s="646"/>
      <c r="IP106" s="645"/>
      <c r="IQ106" s="646"/>
      <c r="IR106" s="645"/>
      <c r="IS106" s="646"/>
      <c r="IT106" s="645"/>
      <c r="IU106" s="646"/>
      <c r="IV106" s="645"/>
      <c r="IW106" s="646"/>
      <c r="IX106" s="645"/>
      <c r="IY106" s="646"/>
      <c r="IZ106" s="645"/>
      <c r="JA106" s="646"/>
      <c r="JB106" s="645"/>
      <c r="JC106" s="646"/>
      <c r="JD106" s="645"/>
      <c r="JE106" s="646"/>
      <c r="JF106" s="645"/>
      <c r="JG106" s="646"/>
      <c r="JH106" s="645"/>
      <c r="JI106" s="646"/>
      <c r="JJ106" s="645"/>
      <c r="JK106" s="646"/>
      <c r="JL106" s="645"/>
      <c r="JM106" s="646"/>
      <c r="JN106" s="645"/>
      <c r="JO106" s="646"/>
      <c r="JP106" s="645"/>
      <c r="JQ106" s="646"/>
      <c r="JR106" s="645"/>
      <c r="JS106" s="646"/>
      <c r="JT106" s="645"/>
      <c r="JU106" s="646"/>
      <c r="JV106" s="645"/>
      <c r="JW106" s="646"/>
      <c r="JX106" s="645"/>
      <c r="JY106" s="646"/>
      <c r="JZ106" s="645"/>
      <c r="KA106" s="646"/>
      <c r="KB106" s="645"/>
      <c r="KC106" s="646"/>
      <c r="KD106" s="645"/>
      <c r="KE106" s="646"/>
      <c r="KF106" s="645"/>
      <c r="KG106" s="646"/>
      <c r="KH106" s="645"/>
      <c r="KI106" s="646"/>
      <c r="KJ106" s="645"/>
      <c r="KK106" s="646"/>
      <c r="KL106" s="645"/>
      <c r="KM106" s="646"/>
      <c r="KN106" s="645"/>
      <c r="KO106" s="646"/>
      <c r="KP106" s="645"/>
      <c r="KQ106" s="646"/>
      <c r="KR106" s="645"/>
      <c r="KS106" s="646"/>
      <c r="KT106" s="645"/>
      <c r="KU106" s="646"/>
      <c r="KV106" s="645"/>
      <c r="KW106" s="646"/>
      <c r="KX106" s="645"/>
      <c r="KY106" s="646"/>
      <c r="KZ106" s="645"/>
      <c r="LA106" s="646"/>
      <c r="LB106" s="645"/>
      <c r="LC106" s="646"/>
      <c r="LD106" s="645"/>
      <c r="LE106" s="646"/>
      <c r="LF106" s="645"/>
      <c r="LG106" s="646"/>
      <c r="LH106" s="645"/>
      <c r="LI106" s="646"/>
      <c r="LJ106" s="645"/>
      <c r="LK106" s="646"/>
      <c r="LL106" s="645"/>
      <c r="LM106" s="646"/>
      <c r="LN106" s="645"/>
      <c r="LO106" s="646"/>
      <c r="LP106" s="645"/>
      <c r="LQ106" s="646"/>
      <c r="LR106" s="645"/>
      <c r="LS106" s="646"/>
      <c r="LT106" s="645"/>
      <c r="LU106" s="646"/>
      <c r="LV106" s="645"/>
      <c r="LW106" s="646"/>
      <c r="LX106" s="645"/>
      <c r="LY106" s="646"/>
      <c r="LZ106" s="645"/>
      <c r="MA106" s="646"/>
      <c r="MB106" s="645"/>
      <c r="MC106" s="646"/>
      <c r="MD106" s="645"/>
      <c r="ME106" s="646"/>
      <c r="MF106" s="645"/>
      <c r="MG106" s="646"/>
      <c r="MH106" s="645"/>
      <c r="MI106" s="646"/>
      <c r="MJ106" s="645"/>
      <c r="MK106" s="646"/>
      <c r="ML106" s="645"/>
      <c r="MM106" s="646"/>
      <c r="MN106" s="645"/>
      <c r="MO106" s="646"/>
      <c r="MP106" s="645"/>
      <c r="MQ106" s="646"/>
      <c r="MR106" s="645"/>
      <c r="MS106" s="646"/>
      <c r="MT106" s="645"/>
      <c r="MU106" s="646"/>
      <c r="MV106" s="645"/>
      <c r="MW106" s="646"/>
      <c r="MX106" s="645"/>
      <c r="MY106" s="646"/>
      <c r="MZ106" s="645"/>
      <c r="NA106" s="646"/>
      <c r="NB106" s="645"/>
      <c r="NC106" s="646"/>
      <c r="ND106" s="645"/>
      <c r="NE106" s="646"/>
      <c r="NF106" s="645"/>
      <c r="NG106" s="646"/>
      <c r="NH106" s="645"/>
      <c r="NI106" s="646"/>
      <c r="NJ106" s="645"/>
      <c r="NK106" s="646"/>
      <c r="NL106" s="645"/>
      <c r="NM106" s="646"/>
      <c r="NN106" s="645"/>
      <c r="NO106" s="646"/>
      <c r="NP106" s="645"/>
      <c r="NQ106" s="646"/>
      <c r="NR106" s="645"/>
      <c r="NS106" s="646"/>
      <c r="NT106" s="645"/>
      <c r="NU106" s="646"/>
      <c r="NV106" s="645"/>
      <c r="NW106" s="646"/>
      <c r="NX106" s="645"/>
      <c r="NY106" s="646"/>
      <c r="NZ106" s="645"/>
      <c r="OA106" s="646"/>
      <c r="OB106" s="645"/>
      <c r="OC106" s="646"/>
      <c r="OD106" s="645"/>
      <c r="OE106" s="646"/>
      <c r="OF106" s="645"/>
      <c r="OG106" s="646"/>
      <c r="OH106" s="645"/>
      <c r="OI106" s="646"/>
      <c r="OJ106" s="645"/>
      <c r="OK106" s="646"/>
      <c r="OL106" s="645"/>
      <c r="OM106" s="646"/>
      <c r="ON106" s="645"/>
      <c r="OO106" s="646"/>
      <c r="OP106" s="645"/>
      <c r="OQ106" s="646"/>
      <c r="OR106" s="645"/>
      <c r="OS106" s="646"/>
      <c r="OT106" s="645"/>
      <c r="OU106" s="646"/>
      <c r="OV106" s="645"/>
      <c r="OW106" s="646"/>
      <c r="OX106" s="645"/>
      <c r="OY106" s="646"/>
      <c r="OZ106" s="645"/>
      <c r="PA106" s="646"/>
      <c r="PB106" s="645"/>
      <c r="PC106" s="646"/>
      <c r="PD106" s="645"/>
      <c r="PE106" s="646"/>
      <c r="PF106" s="645"/>
      <c r="PG106" s="646"/>
      <c r="PH106" s="645"/>
      <c r="PI106" s="646"/>
      <c r="PJ106" s="645"/>
      <c r="PK106" s="646"/>
      <c r="PL106" s="645"/>
      <c r="PM106" s="646"/>
      <c r="PN106" s="645"/>
      <c r="PO106" s="646"/>
      <c r="PP106" s="645"/>
      <c r="PQ106" s="646"/>
      <c r="PR106" s="645"/>
      <c r="PS106" s="646"/>
      <c r="PT106" s="645"/>
      <c r="PU106" s="646"/>
      <c r="PV106" s="645"/>
      <c r="PW106" s="646"/>
      <c r="PX106" s="645"/>
      <c r="PY106" s="646"/>
      <c r="PZ106" s="645"/>
      <c r="QA106" s="646"/>
      <c r="QB106" s="645"/>
      <c r="QC106" s="646"/>
      <c r="QD106" s="645"/>
      <c r="QE106" s="646"/>
      <c r="QF106" s="645"/>
      <c r="QG106" s="646"/>
      <c r="QH106" s="645"/>
      <c r="QI106" s="646"/>
      <c r="QJ106" s="645"/>
      <c r="QK106" s="646"/>
      <c r="QL106" s="645"/>
      <c r="QM106" s="646"/>
      <c r="QN106" s="645"/>
      <c r="QO106" s="646"/>
      <c r="QP106" s="645"/>
      <c r="QQ106" s="646"/>
      <c r="QR106" s="645"/>
      <c r="QS106" s="646"/>
      <c r="QT106" s="645"/>
      <c r="QU106" s="646"/>
      <c r="QV106" s="645"/>
      <c r="QW106" s="646"/>
      <c r="QX106" s="645"/>
      <c r="QY106" s="646"/>
      <c r="QZ106" s="645"/>
      <c r="RA106" s="646"/>
      <c r="RB106" s="645"/>
      <c r="RC106" s="646"/>
      <c r="RD106" s="645"/>
      <c r="RE106" s="646"/>
      <c r="RF106" s="645"/>
      <c r="RG106" s="646"/>
      <c r="RH106" s="645"/>
      <c r="RI106" s="646"/>
      <c r="RJ106" s="645"/>
      <c r="RK106" s="646"/>
      <c r="RL106" s="645"/>
      <c r="RM106" s="646"/>
      <c r="RN106" s="645"/>
      <c r="RO106" s="646"/>
      <c r="RP106" s="645"/>
      <c r="RQ106" s="646"/>
      <c r="RR106" s="645"/>
      <c r="RS106" s="646"/>
      <c r="RT106" s="645"/>
      <c r="RU106" s="646"/>
      <c r="RV106" s="645"/>
      <c r="RW106" s="646"/>
      <c r="RX106" s="645"/>
      <c r="RY106" s="646"/>
      <c r="RZ106" s="645"/>
      <c r="SA106" s="646"/>
      <c r="SB106" s="645"/>
      <c r="SC106" s="646"/>
      <c r="SD106" s="645"/>
      <c r="SE106" s="646"/>
      <c r="SF106" s="645"/>
      <c r="SG106" s="646"/>
      <c r="SH106" s="645"/>
      <c r="SI106" s="646"/>
      <c r="SJ106" s="645"/>
      <c r="SK106" s="646"/>
      <c r="SL106" s="645"/>
      <c r="SM106" s="646"/>
      <c r="SN106" s="645"/>
      <c r="SO106" s="646"/>
      <c r="SP106" s="645"/>
      <c r="SQ106" s="646"/>
      <c r="SR106" s="645"/>
      <c r="SS106" s="646"/>
      <c r="ST106" s="645"/>
      <c r="SU106" s="646"/>
      <c r="SV106" s="645"/>
      <c r="SW106" s="646"/>
      <c r="SX106" s="645"/>
      <c r="SY106" s="646"/>
      <c r="SZ106" s="645"/>
      <c r="TA106" s="646"/>
      <c r="TB106" s="645"/>
      <c r="TC106" s="646"/>
      <c r="TD106" s="645"/>
      <c r="TE106" s="646"/>
      <c r="TF106" s="645"/>
      <c r="TG106" s="646"/>
      <c r="TH106" s="645"/>
      <c r="TI106" s="646"/>
      <c r="TJ106" s="645"/>
      <c r="TK106" s="646"/>
      <c r="TL106" s="645"/>
      <c r="TM106" s="646"/>
      <c r="TN106" s="645"/>
      <c r="TO106" s="646"/>
      <c r="TP106" s="645"/>
      <c r="TQ106" s="646"/>
      <c r="TR106" s="645"/>
      <c r="TS106" s="646"/>
      <c r="TT106" s="645"/>
      <c r="TU106" s="646"/>
      <c r="TV106" s="645"/>
      <c r="TW106" s="646"/>
      <c r="TX106" s="645"/>
      <c r="TY106" s="646"/>
      <c r="TZ106" s="645"/>
      <c r="UA106" s="646"/>
      <c r="UB106" s="645"/>
      <c r="UC106" s="646"/>
      <c r="UD106" s="645"/>
      <c r="UE106" s="646"/>
      <c r="UF106" s="645"/>
      <c r="UG106" s="646"/>
      <c r="UH106" s="645"/>
      <c r="UI106" s="646"/>
      <c r="UJ106" s="645"/>
      <c r="UK106" s="646"/>
      <c r="UL106" s="645"/>
      <c r="UM106" s="646"/>
      <c r="UN106" s="645"/>
      <c r="UO106" s="646"/>
      <c r="UP106" s="645"/>
      <c r="UQ106" s="646"/>
      <c r="UR106" s="645"/>
      <c r="US106" s="646"/>
      <c r="UT106" s="645"/>
      <c r="UU106" s="646"/>
      <c r="UV106" s="645"/>
      <c r="UW106" s="646"/>
      <c r="UX106" s="645"/>
      <c r="UY106" s="646"/>
      <c r="UZ106" s="645"/>
      <c r="VA106" s="646"/>
      <c r="VB106" s="645"/>
      <c r="VC106" s="646"/>
      <c r="VD106" s="645"/>
      <c r="VE106" s="646"/>
      <c r="VF106" s="645"/>
      <c r="VG106" s="646"/>
      <c r="VH106" s="645"/>
      <c r="VI106" s="646"/>
      <c r="VJ106" s="645"/>
      <c r="VK106" s="646"/>
      <c r="VL106" s="645"/>
      <c r="VM106" s="646"/>
      <c r="VN106" s="645"/>
      <c r="VO106" s="646"/>
      <c r="VP106" s="645"/>
      <c r="VQ106" s="646"/>
      <c r="VR106" s="645"/>
      <c r="VS106" s="646"/>
      <c r="VT106" s="645"/>
      <c r="VU106" s="646"/>
      <c r="VV106" s="645"/>
      <c r="VW106" s="646"/>
      <c r="VX106" s="645"/>
      <c r="VY106" s="646"/>
      <c r="VZ106" s="645"/>
      <c r="WA106" s="646"/>
      <c r="WB106" s="645"/>
      <c r="WC106" s="646"/>
      <c r="WD106" s="645"/>
      <c r="WE106" s="646"/>
      <c r="WF106" s="645"/>
      <c r="WG106" s="646"/>
      <c r="WH106" s="645"/>
      <c r="WI106" s="646"/>
      <c r="WJ106" s="645"/>
      <c r="WK106" s="646"/>
      <c r="WL106" s="645"/>
      <c r="WM106" s="646"/>
      <c r="WN106" s="645"/>
      <c r="WO106" s="646"/>
      <c r="WP106" s="645"/>
      <c r="WQ106" s="646"/>
      <c r="WR106" s="645"/>
      <c r="WS106" s="646"/>
      <c r="WT106" s="645"/>
      <c r="WU106" s="646"/>
      <c r="WV106" s="645"/>
      <c r="WW106" s="646"/>
      <c r="WX106" s="645"/>
      <c r="WY106" s="646"/>
      <c r="WZ106" s="645"/>
      <c r="XA106" s="646"/>
      <c r="XB106" s="645"/>
      <c r="XC106" s="646"/>
      <c r="XD106" s="645"/>
      <c r="XE106" s="646"/>
      <c r="XF106" s="645"/>
      <c r="XG106" s="646"/>
      <c r="XH106" s="645"/>
      <c r="XI106" s="646"/>
      <c r="XJ106" s="645"/>
      <c r="XK106" s="646"/>
      <c r="XL106" s="645"/>
      <c r="XM106" s="646"/>
      <c r="XN106" s="645"/>
      <c r="XO106" s="646"/>
      <c r="XP106" s="645"/>
      <c r="XQ106" s="646"/>
      <c r="XR106" s="645"/>
      <c r="XS106" s="646"/>
      <c r="XT106" s="645"/>
      <c r="XU106" s="646"/>
      <c r="XV106" s="645"/>
      <c r="XW106" s="646"/>
      <c r="XX106" s="645"/>
      <c r="XY106" s="646"/>
      <c r="XZ106" s="645"/>
      <c r="YA106" s="646"/>
      <c r="YB106" s="645"/>
      <c r="YC106" s="646"/>
      <c r="YD106" s="645"/>
      <c r="YE106" s="646"/>
      <c r="YF106" s="645"/>
      <c r="YG106" s="646"/>
      <c r="YH106" s="645"/>
      <c r="YI106" s="646"/>
      <c r="YJ106" s="645"/>
      <c r="YK106" s="646"/>
      <c r="YL106" s="645"/>
      <c r="YM106" s="646"/>
      <c r="YN106" s="645"/>
      <c r="YO106" s="646"/>
      <c r="YP106" s="645"/>
      <c r="YQ106" s="646"/>
      <c r="YR106" s="645"/>
      <c r="YS106" s="646"/>
      <c r="YT106" s="645"/>
      <c r="YU106" s="646"/>
      <c r="YV106" s="645"/>
      <c r="YW106" s="646"/>
      <c r="YX106" s="645"/>
      <c r="YY106" s="646"/>
      <c r="YZ106" s="645"/>
      <c r="ZA106" s="646"/>
      <c r="ZB106" s="645"/>
      <c r="ZC106" s="646"/>
      <c r="ZD106" s="645"/>
      <c r="ZE106" s="646"/>
      <c r="ZF106" s="645"/>
      <c r="ZG106" s="646"/>
      <c r="ZH106" s="645"/>
      <c r="ZI106" s="646"/>
      <c r="ZJ106" s="645"/>
      <c r="ZK106" s="646"/>
      <c r="ZL106" s="645"/>
      <c r="ZM106" s="646"/>
      <c r="ZN106" s="645"/>
      <c r="ZO106" s="646"/>
      <c r="ZP106" s="645"/>
      <c r="ZQ106" s="646"/>
      <c r="ZR106" s="645"/>
      <c r="ZS106" s="646"/>
      <c r="ZT106" s="645"/>
      <c r="ZU106" s="646"/>
      <c r="ZV106" s="645"/>
      <c r="ZW106" s="646"/>
      <c r="ZX106" s="645"/>
      <c r="ZY106" s="646"/>
      <c r="ZZ106" s="645"/>
      <c r="AAA106" s="646"/>
      <c r="AAB106" s="645"/>
      <c r="AAC106" s="646"/>
      <c r="AAD106" s="645"/>
      <c r="AAE106" s="646"/>
      <c r="AAF106" s="645"/>
      <c r="AAG106" s="646"/>
      <c r="AAH106" s="645"/>
      <c r="AAI106" s="646"/>
      <c r="AAJ106" s="645"/>
      <c r="AAK106" s="646"/>
      <c r="AAL106" s="645"/>
      <c r="AAM106" s="646"/>
      <c r="AAN106" s="645"/>
      <c r="AAO106" s="646"/>
      <c r="AAP106" s="645"/>
      <c r="AAQ106" s="646"/>
      <c r="AAR106" s="645"/>
      <c r="AAS106" s="646"/>
      <c r="AAT106" s="645"/>
      <c r="AAU106" s="646"/>
      <c r="AAV106" s="645"/>
      <c r="AAW106" s="646"/>
      <c r="AAX106" s="645"/>
      <c r="AAY106" s="646"/>
      <c r="AAZ106" s="645"/>
      <c r="ABA106" s="646"/>
      <c r="ABB106" s="645"/>
      <c r="ABC106" s="646"/>
      <c r="ABD106" s="645"/>
      <c r="ABE106" s="646"/>
      <c r="ABF106" s="645"/>
      <c r="ABG106" s="646"/>
      <c r="ABH106" s="645"/>
      <c r="ABI106" s="646"/>
      <c r="ABJ106" s="645"/>
      <c r="ABK106" s="646"/>
      <c r="ABL106" s="645"/>
      <c r="ABM106" s="646"/>
      <c r="ABN106" s="645"/>
      <c r="ABO106" s="646"/>
      <c r="ABP106" s="645"/>
      <c r="ABQ106" s="646"/>
      <c r="ABR106" s="645"/>
      <c r="ABS106" s="646"/>
      <c r="ABT106" s="645"/>
      <c r="ABU106" s="646"/>
      <c r="ABV106" s="645"/>
      <c r="ABW106" s="646"/>
      <c r="ABX106" s="645"/>
      <c r="ABY106" s="646"/>
      <c r="ABZ106" s="645"/>
      <c r="ACA106" s="646"/>
      <c r="ACB106" s="645"/>
      <c r="ACC106" s="646"/>
      <c r="ACD106" s="645"/>
      <c r="ACE106" s="646"/>
      <c r="ACF106" s="645"/>
      <c r="ACG106" s="646"/>
      <c r="ACH106" s="645"/>
      <c r="ACI106" s="646"/>
      <c r="ACJ106" s="645"/>
      <c r="ACK106" s="646"/>
      <c r="ACL106" s="645"/>
      <c r="ACM106" s="646"/>
      <c r="ACN106" s="645"/>
      <c r="ACO106" s="646"/>
      <c r="ACP106" s="645"/>
      <c r="ACQ106" s="646"/>
      <c r="ACR106" s="645"/>
      <c r="ACS106" s="646"/>
      <c r="ACT106" s="645"/>
      <c r="ACU106" s="646"/>
      <c r="ACV106" s="645"/>
      <c r="ACW106" s="646"/>
      <c r="ACX106" s="645"/>
      <c r="ACY106" s="646"/>
      <c r="ACZ106" s="645"/>
      <c r="ADA106" s="646"/>
      <c r="ADB106" s="645"/>
      <c r="ADC106" s="646"/>
      <c r="ADD106" s="645"/>
      <c r="ADE106" s="646"/>
      <c r="ADF106" s="645"/>
      <c r="ADG106" s="646"/>
      <c r="ADH106" s="645"/>
      <c r="ADI106" s="646"/>
      <c r="ADJ106" s="645"/>
      <c r="ADK106" s="646"/>
      <c r="ADL106" s="645"/>
      <c r="ADM106" s="646"/>
      <c r="ADN106" s="645"/>
      <c r="ADO106" s="646"/>
      <c r="ADP106" s="645"/>
      <c r="ADQ106" s="646"/>
      <c r="ADR106" s="645"/>
      <c r="ADS106" s="646"/>
      <c r="ADT106" s="645"/>
      <c r="ADU106" s="646"/>
      <c r="ADV106" s="645"/>
      <c r="ADW106" s="646"/>
      <c r="ADX106" s="645"/>
      <c r="ADY106" s="646"/>
      <c r="ADZ106" s="645"/>
      <c r="AEA106" s="646"/>
      <c r="AEB106" s="645"/>
      <c r="AEC106" s="646"/>
      <c r="AED106" s="645"/>
      <c r="AEE106" s="646"/>
      <c r="AEF106" s="645"/>
      <c r="AEG106" s="646"/>
      <c r="AEH106" s="645"/>
      <c r="AEI106" s="646"/>
      <c r="AEJ106" s="645"/>
      <c r="AEK106" s="646"/>
      <c r="AEL106" s="645"/>
      <c r="AEM106" s="646"/>
      <c r="AEN106" s="645"/>
      <c r="AEO106" s="646"/>
      <c r="AEP106" s="645"/>
      <c r="AEQ106" s="646"/>
      <c r="AER106" s="645"/>
      <c r="AES106" s="646"/>
      <c r="AET106" s="645"/>
      <c r="AEU106" s="646"/>
      <c r="AEV106" s="645"/>
      <c r="AEW106" s="646"/>
      <c r="AEX106" s="645"/>
      <c r="AEY106" s="646"/>
      <c r="AEZ106" s="645"/>
      <c r="AFA106" s="646"/>
      <c r="AFB106" s="645"/>
      <c r="AFC106" s="646"/>
      <c r="AFD106" s="645"/>
      <c r="AFE106" s="646"/>
      <c r="AFF106" s="645"/>
      <c r="AFG106" s="646"/>
      <c r="AFH106" s="645"/>
      <c r="AFI106" s="646"/>
      <c r="AFJ106" s="645"/>
      <c r="AFK106" s="646"/>
      <c r="AFL106" s="645"/>
      <c r="AFM106" s="646"/>
      <c r="AFN106" s="645"/>
      <c r="AFO106" s="646"/>
      <c r="AFP106" s="645"/>
      <c r="AFQ106" s="646"/>
      <c r="AFR106" s="645"/>
      <c r="AFS106" s="646"/>
      <c r="AFT106" s="645"/>
      <c r="AFU106" s="646"/>
      <c r="AFV106" s="645"/>
      <c r="AFW106" s="646"/>
      <c r="AFX106" s="645"/>
      <c r="AFY106" s="646"/>
      <c r="AFZ106" s="645"/>
      <c r="AGA106" s="646"/>
      <c r="AGB106" s="645"/>
      <c r="AGC106" s="646"/>
      <c r="AGD106" s="645"/>
      <c r="AGE106" s="646"/>
      <c r="AGF106" s="645"/>
      <c r="AGG106" s="646"/>
      <c r="AGH106" s="645"/>
      <c r="AGI106" s="646"/>
      <c r="AGJ106" s="645"/>
      <c r="AGK106" s="646"/>
      <c r="AGL106" s="645"/>
      <c r="AGM106" s="646"/>
      <c r="AGN106" s="645"/>
      <c r="AGO106" s="646"/>
      <c r="AGP106" s="645"/>
      <c r="AGQ106" s="646"/>
      <c r="AGR106" s="645"/>
      <c r="AGS106" s="646"/>
      <c r="AGT106" s="645"/>
      <c r="AGU106" s="646"/>
      <c r="AGV106" s="645"/>
      <c r="AGW106" s="646"/>
      <c r="AGX106" s="645"/>
      <c r="AGY106" s="646"/>
      <c r="AGZ106" s="645"/>
      <c r="AHA106" s="646"/>
      <c r="AHB106" s="645"/>
      <c r="AHC106" s="646"/>
      <c r="AHD106" s="645"/>
      <c r="AHE106" s="646"/>
      <c r="AHF106" s="645"/>
      <c r="AHG106" s="646"/>
      <c r="AHH106" s="645"/>
      <c r="AHI106" s="646"/>
      <c r="AHJ106" s="645"/>
      <c r="AHK106" s="646"/>
      <c r="AHL106" s="645"/>
      <c r="AHM106" s="646"/>
      <c r="AHN106" s="645"/>
      <c r="AHO106" s="646"/>
      <c r="AHP106" s="645"/>
      <c r="AHQ106" s="646"/>
      <c r="AHR106" s="645"/>
      <c r="AHS106" s="646"/>
      <c r="AHT106" s="645"/>
      <c r="AHU106" s="646"/>
      <c r="AHV106" s="645"/>
      <c r="AHW106" s="646"/>
      <c r="AHX106" s="645"/>
      <c r="AHY106" s="646"/>
      <c r="AHZ106" s="645"/>
      <c r="AIA106" s="646"/>
      <c r="AIB106" s="645"/>
      <c r="AIC106" s="646"/>
      <c r="AID106" s="645"/>
      <c r="AIE106" s="646"/>
      <c r="AIF106" s="645"/>
      <c r="AIG106" s="646"/>
      <c r="AIH106" s="645"/>
      <c r="AII106" s="646"/>
      <c r="AIJ106" s="645"/>
      <c r="AIK106" s="646"/>
      <c r="AIL106" s="645"/>
      <c r="AIM106" s="646"/>
      <c r="AIN106" s="645"/>
      <c r="AIO106" s="646"/>
      <c r="AIP106" s="645"/>
      <c r="AIQ106" s="645"/>
      <c r="AIR106" s="645"/>
      <c r="AIS106" s="645"/>
      <c r="AIT106" s="645"/>
      <c r="AIU106" s="645"/>
      <c r="AIV106" s="645"/>
      <c r="AIW106" s="645"/>
      <c r="AIX106" s="645"/>
      <c r="AIY106" s="645"/>
      <c r="AIZ106" s="645"/>
      <c r="AJA106" s="645"/>
      <c r="AJB106" s="645"/>
      <c r="AJC106" s="645"/>
      <c r="AJD106" s="645"/>
      <c r="AJE106" s="645"/>
      <c r="AJF106" s="645"/>
      <c r="AJG106" s="645"/>
      <c r="AJH106" s="645"/>
      <c r="AJI106" s="645"/>
      <c r="AJJ106" s="645"/>
      <c r="AJK106" s="645"/>
      <c r="AJL106" s="645"/>
      <c r="AJM106" s="645"/>
      <c r="AJN106" s="645"/>
      <c r="AJO106" s="645"/>
      <c r="AJP106" s="645"/>
      <c r="AJQ106" s="645"/>
      <c r="AJR106" s="645"/>
      <c r="AJS106" s="645"/>
      <c r="AJT106" s="645"/>
      <c r="AJU106" s="645"/>
      <c r="AJV106" s="645"/>
      <c r="AJW106" s="645"/>
      <c r="AJX106" s="645"/>
      <c r="AJY106" s="645"/>
      <c r="AJZ106" s="645"/>
      <c r="AKA106" s="645"/>
      <c r="AKB106" s="645"/>
      <c r="AKC106" s="645"/>
      <c r="AKD106" s="645"/>
      <c r="AKE106" s="645"/>
      <c r="AKF106" s="645"/>
      <c r="AKG106" s="645"/>
      <c r="AKH106" s="645"/>
      <c r="AKI106" s="645"/>
      <c r="AKJ106" s="645"/>
      <c r="AKK106" s="645"/>
      <c r="AKL106" s="645"/>
      <c r="AKM106" s="645"/>
      <c r="AKN106" s="645"/>
      <c r="AKO106" s="645"/>
      <c r="AKP106" s="645"/>
      <c r="AKQ106" s="645"/>
      <c r="AKR106" s="645"/>
      <c r="AKS106" s="645"/>
      <c r="AKT106" s="645"/>
      <c r="AKU106" s="645"/>
      <c r="AKV106" s="645"/>
      <c r="AKW106" s="645"/>
      <c r="AKX106" s="645"/>
      <c r="AKY106" s="645"/>
      <c r="AKZ106" s="645"/>
      <c r="ALA106" s="645"/>
      <c r="ALB106" s="645"/>
      <c r="ALC106" s="645"/>
      <c r="ALD106" s="645"/>
      <c r="ALE106" s="645"/>
      <c r="ALF106" s="645"/>
      <c r="ALG106" s="645"/>
      <c r="ALH106" s="645"/>
      <c r="ALI106" s="645"/>
      <c r="ALJ106" s="645"/>
      <c r="ALK106" s="645"/>
      <c r="ALL106" s="645"/>
      <c r="ALM106" s="645"/>
      <c r="ALN106" s="645"/>
      <c r="ALO106" s="645"/>
      <c r="ALP106" s="645"/>
      <c r="ALQ106" s="645"/>
      <c r="ALR106" s="645"/>
      <c r="ALS106" s="645"/>
      <c r="ALT106" s="645"/>
      <c r="ALU106" s="645"/>
      <c r="ALV106" s="645"/>
      <c r="ALW106" s="645"/>
      <c r="ALX106" s="645"/>
      <c r="ALY106" s="645"/>
      <c r="ALZ106" s="645"/>
      <c r="AMA106" s="645"/>
      <c r="AMB106" s="645"/>
      <c r="AMC106" s="645"/>
      <c r="AMD106" s="645"/>
      <c r="AME106" s="645"/>
      <c r="AMF106" s="645"/>
      <c r="AMG106" s="645"/>
      <c r="AMH106" s="645"/>
      <c r="AMI106" s="645"/>
      <c r="AMJ106" s="645"/>
    </row>
    <row r="107" spans="1:1024" s="37" customFormat="1" ht="15.75" customHeight="1" x14ac:dyDescent="0.35">
      <c r="A107" s="600"/>
      <c r="B107" s="601" t="s">
        <v>361</v>
      </c>
      <c r="C107" s="645"/>
      <c r="D107" s="650"/>
      <c r="E107" s="645"/>
      <c r="F107" s="650"/>
      <c r="G107" s="453" t="s">
        <v>311</v>
      </c>
      <c r="H107" s="643" t="s">
        <v>259</v>
      </c>
      <c r="I107" s="645"/>
      <c r="J107" s="38"/>
      <c r="K107" s="38"/>
      <c r="L107" s="39"/>
      <c r="M107" s="38"/>
      <c r="N107" s="39"/>
      <c r="O107" s="38"/>
      <c r="P107" s="39"/>
      <c r="Q107" s="38"/>
      <c r="R107" s="39"/>
      <c r="S107" s="38"/>
      <c r="T107" s="39"/>
      <c r="U107" s="38"/>
      <c r="V107" s="39"/>
      <c r="W107" s="38"/>
      <c r="X107" s="39"/>
      <c r="Y107" s="38"/>
      <c r="Z107" s="39"/>
      <c r="AA107" s="38"/>
      <c r="AB107" s="39"/>
      <c r="AC107" s="38"/>
      <c r="AD107" s="39"/>
      <c r="AE107" s="38"/>
      <c r="AF107" s="39"/>
      <c r="AG107" s="38"/>
      <c r="AH107" s="39"/>
      <c r="AI107" s="38"/>
      <c r="AJ107" s="39"/>
      <c r="AK107" s="38"/>
      <c r="AL107" s="39"/>
      <c r="AM107" s="38"/>
      <c r="AN107" s="39"/>
      <c r="AO107" s="38"/>
      <c r="AP107" s="39"/>
      <c r="AQ107" s="38"/>
      <c r="AR107" s="39"/>
      <c r="AS107" s="38"/>
      <c r="AT107" s="39"/>
      <c r="AU107" s="38"/>
      <c r="AV107" s="39"/>
      <c r="AW107" s="38"/>
      <c r="AX107" s="39"/>
      <c r="AY107" s="38"/>
      <c r="AZ107" s="39"/>
      <c r="BA107" s="38"/>
      <c r="BB107" s="39"/>
      <c r="BC107" s="38"/>
      <c r="BD107" s="39"/>
      <c r="BE107" s="38"/>
      <c r="BF107" s="39"/>
      <c r="BG107" s="38"/>
      <c r="BH107" s="39"/>
      <c r="BI107" s="38"/>
      <c r="BJ107" s="39"/>
      <c r="BK107" s="38"/>
      <c r="BL107" s="39"/>
      <c r="BM107" s="38"/>
      <c r="BN107" s="39"/>
      <c r="BO107" s="38"/>
      <c r="BP107" s="39"/>
      <c r="BQ107" s="38"/>
      <c r="BR107" s="39"/>
      <c r="BS107" s="38"/>
      <c r="BT107" s="39"/>
      <c r="BU107" s="38"/>
      <c r="BV107" s="39"/>
      <c r="BW107" s="38"/>
      <c r="BX107" s="39"/>
      <c r="BY107" s="38"/>
      <c r="BZ107" s="39"/>
      <c r="CA107" s="38"/>
      <c r="CB107" s="39"/>
      <c r="CC107" s="38"/>
      <c r="CD107" s="39"/>
      <c r="CE107" s="38"/>
      <c r="CF107" s="39"/>
      <c r="CG107" s="38"/>
      <c r="CH107" s="39"/>
      <c r="CI107" s="38"/>
      <c r="CJ107" s="39"/>
      <c r="CK107" s="38"/>
      <c r="CL107" s="39"/>
      <c r="CM107" s="38"/>
      <c r="CN107" s="39"/>
      <c r="CO107" s="38"/>
      <c r="CP107" s="39"/>
      <c r="CQ107" s="38"/>
      <c r="CR107" s="39"/>
      <c r="CS107" s="38"/>
      <c r="CT107" s="39"/>
      <c r="CU107" s="38"/>
      <c r="CV107" s="39"/>
      <c r="CW107" s="38"/>
      <c r="CX107" s="39"/>
      <c r="CY107" s="38"/>
      <c r="CZ107" s="39"/>
      <c r="DA107" s="38"/>
      <c r="DB107" s="39"/>
      <c r="DC107" s="38"/>
      <c r="DD107" s="39"/>
      <c r="DE107" s="38"/>
      <c r="DF107" s="39"/>
      <c r="DG107" s="38"/>
      <c r="DH107" s="39"/>
      <c r="DI107" s="38"/>
      <c r="DJ107" s="39"/>
      <c r="DK107" s="38"/>
      <c r="DL107" s="39"/>
      <c r="DM107" s="38"/>
      <c r="DN107" s="39"/>
      <c r="DO107" s="38"/>
      <c r="DP107" s="39"/>
      <c r="DQ107" s="38"/>
      <c r="DR107" s="39"/>
      <c r="DS107" s="38"/>
      <c r="DT107" s="39"/>
      <c r="DU107" s="38"/>
      <c r="DV107" s="39"/>
      <c r="DW107" s="38"/>
      <c r="DX107" s="39"/>
      <c r="DY107" s="38"/>
      <c r="DZ107" s="39"/>
      <c r="EA107" s="38"/>
      <c r="EB107" s="39"/>
      <c r="EC107" s="38"/>
      <c r="ED107" s="39"/>
      <c r="EE107" s="38"/>
      <c r="EF107" s="39"/>
      <c r="EG107" s="38"/>
      <c r="EH107" s="39"/>
      <c r="EI107" s="38"/>
      <c r="EJ107" s="39"/>
      <c r="EK107" s="38"/>
      <c r="EL107" s="39"/>
      <c r="EM107" s="38"/>
      <c r="EN107" s="39"/>
      <c r="EO107" s="38"/>
      <c r="EP107" s="39"/>
      <c r="EQ107" s="38"/>
      <c r="ER107" s="39"/>
      <c r="ES107" s="38"/>
      <c r="ET107" s="39"/>
      <c r="EU107" s="38"/>
      <c r="EV107" s="39"/>
      <c r="EW107" s="38"/>
      <c r="EX107" s="39"/>
      <c r="EY107" s="38"/>
      <c r="EZ107" s="39"/>
      <c r="FA107" s="38"/>
      <c r="FB107" s="39"/>
      <c r="FC107" s="38"/>
      <c r="FD107" s="39"/>
      <c r="FE107" s="38"/>
      <c r="FF107" s="39"/>
      <c r="FG107" s="38"/>
      <c r="FH107" s="39"/>
      <c r="FI107" s="38"/>
      <c r="FJ107" s="39"/>
      <c r="FK107" s="38"/>
      <c r="FL107" s="39"/>
      <c r="FM107" s="38"/>
      <c r="FN107" s="39"/>
      <c r="FO107" s="38"/>
      <c r="FP107" s="39"/>
      <c r="FQ107" s="38"/>
      <c r="FR107" s="39"/>
      <c r="FS107" s="38"/>
      <c r="FT107" s="39"/>
      <c r="FU107" s="38"/>
      <c r="FV107" s="39"/>
      <c r="FW107" s="38"/>
      <c r="FX107" s="39"/>
      <c r="FY107" s="38"/>
      <c r="FZ107" s="39"/>
      <c r="GA107" s="38"/>
      <c r="GB107" s="39"/>
      <c r="GC107" s="38"/>
      <c r="GD107" s="39"/>
      <c r="GE107" s="38"/>
      <c r="GF107" s="39"/>
      <c r="GG107" s="38"/>
      <c r="GH107" s="39"/>
      <c r="GI107" s="38"/>
      <c r="GJ107" s="39"/>
      <c r="GK107" s="38"/>
      <c r="GL107" s="39"/>
      <c r="GM107" s="38"/>
      <c r="GN107" s="39"/>
      <c r="GO107" s="38"/>
      <c r="GP107" s="39"/>
      <c r="GQ107" s="38"/>
      <c r="GR107" s="39"/>
      <c r="GS107" s="38"/>
      <c r="GT107" s="39"/>
      <c r="GU107" s="38"/>
      <c r="GV107" s="39"/>
      <c r="GW107" s="38"/>
      <c r="GX107" s="39"/>
      <c r="GY107" s="38"/>
      <c r="GZ107" s="39"/>
      <c r="HA107" s="38"/>
      <c r="HB107" s="39"/>
      <c r="HC107" s="38"/>
      <c r="HD107" s="39"/>
      <c r="HE107" s="38"/>
      <c r="HF107" s="39"/>
      <c r="HG107" s="38"/>
      <c r="HH107" s="39"/>
      <c r="HI107" s="38"/>
      <c r="HJ107" s="39"/>
      <c r="HK107" s="38"/>
      <c r="HL107" s="39"/>
      <c r="HM107" s="38"/>
      <c r="HN107" s="39"/>
      <c r="HO107" s="38"/>
      <c r="HP107" s="39"/>
      <c r="HQ107" s="38"/>
      <c r="HR107" s="39"/>
      <c r="HS107" s="38"/>
      <c r="HT107" s="39"/>
      <c r="HU107" s="38"/>
      <c r="HV107" s="39"/>
      <c r="HW107" s="38"/>
      <c r="HX107" s="39"/>
      <c r="HY107" s="38"/>
      <c r="HZ107" s="39"/>
      <c r="IA107" s="38"/>
      <c r="IB107" s="39"/>
      <c r="IC107" s="1069"/>
      <c r="ID107" s="645"/>
      <c r="IE107" s="650"/>
      <c r="IF107" s="645"/>
      <c r="IG107" s="650"/>
      <c r="IH107" s="645"/>
      <c r="II107" s="650"/>
      <c r="IJ107" s="645"/>
      <c r="IK107" s="650"/>
      <c r="IL107" s="645"/>
      <c r="IM107" s="650"/>
      <c r="IN107" s="645"/>
      <c r="IO107" s="650"/>
      <c r="IP107" s="645"/>
      <c r="IQ107" s="650"/>
      <c r="IR107" s="645"/>
      <c r="IS107" s="650"/>
      <c r="IT107" s="645"/>
      <c r="IU107" s="650"/>
      <c r="IV107" s="645"/>
      <c r="IW107" s="650"/>
      <c r="IX107" s="645"/>
      <c r="IY107" s="650"/>
      <c r="IZ107" s="645"/>
      <c r="JA107" s="650"/>
      <c r="JB107" s="645"/>
      <c r="JC107" s="650"/>
      <c r="JD107" s="645"/>
      <c r="JE107" s="650"/>
      <c r="JF107" s="645"/>
      <c r="JG107" s="650"/>
      <c r="JH107" s="645"/>
      <c r="JI107" s="650"/>
      <c r="JJ107" s="645"/>
      <c r="JK107" s="650"/>
      <c r="JL107" s="645"/>
      <c r="JM107" s="650"/>
      <c r="JN107" s="645"/>
      <c r="JO107" s="650"/>
      <c r="JP107" s="645"/>
      <c r="JQ107" s="650"/>
      <c r="JR107" s="645"/>
      <c r="JS107" s="650"/>
      <c r="JT107" s="645"/>
      <c r="JU107" s="650"/>
      <c r="JV107" s="645"/>
      <c r="JW107" s="650"/>
      <c r="JX107" s="645"/>
      <c r="JY107" s="650"/>
      <c r="JZ107" s="645"/>
      <c r="KA107" s="650"/>
      <c r="KB107" s="645"/>
      <c r="KC107" s="650"/>
      <c r="KD107" s="645"/>
      <c r="KE107" s="650"/>
      <c r="KF107" s="645"/>
      <c r="KG107" s="650"/>
      <c r="KH107" s="645"/>
      <c r="KI107" s="650"/>
      <c r="KJ107" s="645"/>
      <c r="KK107" s="650"/>
      <c r="KL107" s="645"/>
      <c r="KM107" s="650"/>
      <c r="KN107" s="645"/>
      <c r="KO107" s="650"/>
      <c r="KP107" s="645"/>
      <c r="KQ107" s="650"/>
      <c r="KR107" s="645"/>
      <c r="KS107" s="650"/>
      <c r="KT107" s="645"/>
      <c r="KU107" s="650"/>
      <c r="KV107" s="645"/>
      <c r="KW107" s="650"/>
      <c r="KX107" s="645"/>
      <c r="KY107" s="650"/>
      <c r="KZ107" s="645"/>
      <c r="LA107" s="650"/>
      <c r="LB107" s="645"/>
      <c r="LC107" s="650"/>
      <c r="LD107" s="645"/>
      <c r="LE107" s="650"/>
      <c r="LF107" s="645"/>
      <c r="LG107" s="650"/>
      <c r="LH107" s="645"/>
      <c r="LI107" s="650"/>
      <c r="LJ107" s="645"/>
      <c r="LK107" s="650"/>
      <c r="LL107" s="645"/>
      <c r="LM107" s="650"/>
      <c r="LN107" s="645"/>
      <c r="LO107" s="650"/>
      <c r="LP107" s="645"/>
      <c r="LQ107" s="650"/>
      <c r="LR107" s="645"/>
      <c r="LS107" s="650"/>
      <c r="LT107" s="645"/>
      <c r="LU107" s="650"/>
      <c r="LV107" s="645"/>
      <c r="LW107" s="650"/>
      <c r="LX107" s="645"/>
      <c r="LY107" s="650"/>
      <c r="LZ107" s="645"/>
      <c r="MA107" s="650"/>
      <c r="MB107" s="645"/>
      <c r="MC107" s="650"/>
      <c r="MD107" s="645"/>
      <c r="ME107" s="650"/>
      <c r="MF107" s="645"/>
      <c r="MG107" s="650"/>
      <c r="MH107" s="645"/>
      <c r="MI107" s="650"/>
      <c r="MJ107" s="645"/>
      <c r="MK107" s="650"/>
      <c r="ML107" s="645"/>
      <c r="MM107" s="650"/>
      <c r="MN107" s="645"/>
      <c r="MO107" s="650"/>
      <c r="MP107" s="645"/>
      <c r="MQ107" s="650"/>
      <c r="MR107" s="645"/>
      <c r="MS107" s="650"/>
      <c r="MT107" s="645"/>
      <c r="MU107" s="650"/>
      <c r="MV107" s="645"/>
      <c r="MW107" s="650"/>
      <c r="MX107" s="645"/>
      <c r="MY107" s="650"/>
      <c r="MZ107" s="645"/>
      <c r="NA107" s="650"/>
      <c r="NB107" s="645"/>
      <c r="NC107" s="650"/>
      <c r="ND107" s="645"/>
      <c r="NE107" s="650"/>
      <c r="NF107" s="645"/>
      <c r="NG107" s="650"/>
      <c r="NH107" s="645"/>
      <c r="NI107" s="650"/>
      <c r="NJ107" s="645"/>
      <c r="NK107" s="650"/>
      <c r="NL107" s="645"/>
      <c r="NM107" s="650"/>
      <c r="NN107" s="645"/>
      <c r="NO107" s="650"/>
      <c r="NP107" s="645"/>
      <c r="NQ107" s="650"/>
      <c r="NR107" s="645"/>
      <c r="NS107" s="650"/>
      <c r="NT107" s="645"/>
      <c r="NU107" s="650"/>
      <c r="NV107" s="645"/>
      <c r="NW107" s="650"/>
      <c r="NX107" s="645"/>
      <c r="NY107" s="650"/>
      <c r="NZ107" s="645"/>
      <c r="OA107" s="650"/>
      <c r="OB107" s="645"/>
      <c r="OC107" s="650"/>
      <c r="OD107" s="645"/>
      <c r="OE107" s="650"/>
      <c r="OF107" s="645"/>
      <c r="OG107" s="650"/>
      <c r="OH107" s="645"/>
      <c r="OI107" s="650"/>
      <c r="OJ107" s="645"/>
      <c r="OK107" s="650"/>
      <c r="OL107" s="645"/>
      <c r="OM107" s="650"/>
      <c r="ON107" s="645"/>
      <c r="OO107" s="650"/>
      <c r="OP107" s="645"/>
      <c r="OQ107" s="650"/>
      <c r="OR107" s="645"/>
      <c r="OS107" s="650"/>
      <c r="OT107" s="645"/>
      <c r="OU107" s="650"/>
      <c r="OV107" s="645"/>
      <c r="OW107" s="650"/>
      <c r="OX107" s="645"/>
      <c r="OY107" s="650"/>
      <c r="OZ107" s="645"/>
      <c r="PA107" s="650"/>
      <c r="PB107" s="645"/>
      <c r="PC107" s="650"/>
      <c r="PD107" s="645"/>
      <c r="PE107" s="650"/>
      <c r="PF107" s="645"/>
      <c r="PG107" s="650"/>
      <c r="PH107" s="645"/>
      <c r="PI107" s="650"/>
      <c r="PJ107" s="645"/>
      <c r="PK107" s="650"/>
      <c r="PL107" s="645"/>
      <c r="PM107" s="650"/>
      <c r="PN107" s="645"/>
      <c r="PO107" s="650"/>
      <c r="PP107" s="645"/>
      <c r="PQ107" s="650"/>
      <c r="PR107" s="645"/>
      <c r="PS107" s="650"/>
      <c r="PT107" s="645"/>
      <c r="PU107" s="650"/>
      <c r="PV107" s="645"/>
      <c r="PW107" s="650"/>
      <c r="PX107" s="645"/>
      <c r="PY107" s="650"/>
      <c r="PZ107" s="645"/>
      <c r="QA107" s="650"/>
      <c r="QB107" s="645"/>
      <c r="QC107" s="650"/>
      <c r="QD107" s="645"/>
      <c r="QE107" s="650"/>
      <c r="QF107" s="645"/>
      <c r="QG107" s="650"/>
      <c r="QH107" s="645"/>
      <c r="QI107" s="650"/>
      <c r="QJ107" s="645"/>
      <c r="QK107" s="650"/>
      <c r="QL107" s="645"/>
      <c r="QM107" s="650"/>
      <c r="QN107" s="645"/>
      <c r="QO107" s="650"/>
      <c r="QP107" s="645"/>
      <c r="QQ107" s="650"/>
      <c r="QR107" s="645"/>
      <c r="QS107" s="650"/>
      <c r="QT107" s="645"/>
      <c r="QU107" s="650"/>
      <c r="QV107" s="645"/>
      <c r="QW107" s="650"/>
      <c r="QX107" s="645"/>
      <c r="QY107" s="650"/>
      <c r="QZ107" s="645"/>
      <c r="RA107" s="650"/>
      <c r="RB107" s="645"/>
      <c r="RC107" s="650"/>
      <c r="RD107" s="645"/>
      <c r="RE107" s="650"/>
      <c r="RF107" s="645"/>
      <c r="RG107" s="650"/>
      <c r="RH107" s="645"/>
      <c r="RI107" s="650"/>
      <c r="RJ107" s="645"/>
      <c r="RK107" s="650"/>
      <c r="RL107" s="645"/>
      <c r="RM107" s="650"/>
      <c r="RN107" s="645"/>
      <c r="RO107" s="650"/>
      <c r="RP107" s="645"/>
      <c r="RQ107" s="650"/>
      <c r="RR107" s="645"/>
      <c r="RS107" s="650"/>
      <c r="RT107" s="645"/>
      <c r="RU107" s="650"/>
      <c r="RV107" s="645"/>
      <c r="RW107" s="650"/>
      <c r="RX107" s="645"/>
      <c r="RY107" s="650"/>
      <c r="RZ107" s="645"/>
      <c r="SA107" s="650"/>
      <c r="SB107" s="645"/>
      <c r="SC107" s="650"/>
      <c r="SD107" s="645"/>
      <c r="SE107" s="650"/>
      <c r="SF107" s="645"/>
      <c r="SG107" s="650"/>
      <c r="SH107" s="645"/>
      <c r="SI107" s="650"/>
      <c r="SJ107" s="645"/>
      <c r="SK107" s="650"/>
      <c r="SL107" s="645"/>
      <c r="SM107" s="650"/>
      <c r="SN107" s="645"/>
      <c r="SO107" s="650"/>
      <c r="SP107" s="645"/>
      <c r="SQ107" s="650"/>
      <c r="SR107" s="645"/>
      <c r="SS107" s="650"/>
      <c r="ST107" s="645"/>
      <c r="SU107" s="650"/>
      <c r="SV107" s="645"/>
      <c r="SW107" s="650"/>
      <c r="SX107" s="645"/>
      <c r="SY107" s="650"/>
      <c r="SZ107" s="645"/>
      <c r="TA107" s="650"/>
      <c r="TB107" s="645"/>
      <c r="TC107" s="650"/>
      <c r="TD107" s="645"/>
      <c r="TE107" s="650"/>
      <c r="TF107" s="645"/>
      <c r="TG107" s="650"/>
      <c r="TH107" s="645"/>
      <c r="TI107" s="650"/>
      <c r="TJ107" s="645"/>
      <c r="TK107" s="650"/>
      <c r="TL107" s="645"/>
      <c r="TM107" s="650"/>
      <c r="TN107" s="645"/>
      <c r="TO107" s="650"/>
      <c r="TP107" s="645"/>
      <c r="TQ107" s="650"/>
      <c r="TR107" s="645"/>
      <c r="TS107" s="650"/>
      <c r="TT107" s="645"/>
      <c r="TU107" s="650"/>
      <c r="TV107" s="645"/>
      <c r="TW107" s="650"/>
      <c r="TX107" s="645"/>
      <c r="TY107" s="650"/>
      <c r="TZ107" s="645"/>
      <c r="UA107" s="650"/>
      <c r="UB107" s="645"/>
      <c r="UC107" s="650"/>
      <c r="UD107" s="645"/>
      <c r="UE107" s="650"/>
      <c r="UF107" s="645"/>
      <c r="UG107" s="650"/>
      <c r="UH107" s="645"/>
      <c r="UI107" s="650"/>
      <c r="UJ107" s="645"/>
      <c r="UK107" s="650"/>
      <c r="UL107" s="645"/>
      <c r="UM107" s="650"/>
      <c r="UN107" s="645"/>
      <c r="UO107" s="650"/>
      <c r="UP107" s="645"/>
      <c r="UQ107" s="650"/>
      <c r="UR107" s="645"/>
      <c r="US107" s="650"/>
      <c r="UT107" s="645"/>
      <c r="UU107" s="650"/>
      <c r="UV107" s="645"/>
      <c r="UW107" s="650"/>
      <c r="UX107" s="645"/>
      <c r="UY107" s="650"/>
      <c r="UZ107" s="645"/>
      <c r="VA107" s="650"/>
      <c r="VB107" s="645"/>
      <c r="VC107" s="650"/>
      <c r="VD107" s="645"/>
      <c r="VE107" s="650"/>
      <c r="VF107" s="645"/>
      <c r="VG107" s="650"/>
      <c r="VH107" s="645"/>
      <c r="VI107" s="650"/>
      <c r="VJ107" s="645"/>
      <c r="VK107" s="650"/>
      <c r="VL107" s="645"/>
      <c r="VM107" s="650"/>
      <c r="VN107" s="645"/>
      <c r="VO107" s="650"/>
      <c r="VP107" s="645"/>
      <c r="VQ107" s="650"/>
      <c r="VR107" s="645"/>
      <c r="VS107" s="650"/>
      <c r="VT107" s="645"/>
      <c r="VU107" s="650"/>
      <c r="VV107" s="645"/>
      <c r="VW107" s="650"/>
      <c r="VX107" s="645"/>
      <c r="VY107" s="650"/>
      <c r="VZ107" s="645"/>
      <c r="WA107" s="650"/>
      <c r="WB107" s="645"/>
      <c r="WC107" s="650"/>
      <c r="WD107" s="645"/>
      <c r="WE107" s="650"/>
      <c r="WF107" s="645"/>
      <c r="WG107" s="650"/>
      <c r="WH107" s="645"/>
      <c r="WI107" s="650"/>
      <c r="WJ107" s="645"/>
      <c r="WK107" s="650"/>
      <c r="WL107" s="645"/>
      <c r="WM107" s="650"/>
      <c r="WN107" s="645"/>
      <c r="WO107" s="650"/>
      <c r="WP107" s="645"/>
      <c r="WQ107" s="650"/>
      <c r="WR107" s="645"/>
      <c r="WS107" s="650"/>
      <c r="WT107" s="645"/>
      <c r="WU107" s="650"/>
      <c r="WV107" s="645"/>
      <c r="WW107" s="650"/>
      <c r="WX107" s="645"/>
      <c r="WY107" s="650"/>
      <c r="WZ107" s="645"/>
      <c r="XA107" s="650"/>
      <c r="XB107" s="645"/>
      <c r="XC107" s="650"/>
      <c r="XD107" s="645"/>
      <c r="XE107" s="650"/>
      <c r="XF107" s="645"/>
      <c r="XG107" s="650"/>
      <c r="XH107" s="645"/>
      <c r="XI107" s="650"/>
      <c r="XJ107" s="645"/>
      <c r="XK107" s="650"/>
      <c r="XL107" s="645"/>
      <c r="XM107" s="650"/>
      <c r="XN107" s="645"/>
      <c r="XO107" s="650"/>
      <c r="XP107" s="645"/>
      <c r="XQ107" s="650"/>
      <c r="XR107" s="645"/>
      <c r="XS107" s="650"/>
      <c r="XT107" s="645"/>
      <c r="XU107" s="650"/>
      <c r="XV107" s="645"/>
      <c r="XW107" s="650"/>
      <c r="XX107" s="645"/>
      <c r="XY107" s="650"/>
      <c r="XZ107" s="645"/>
      <c r="YA107" s="650"/>
      <c r="YB107" s="645"/>
      <c r="YC107" s="650"/>
      <c r="YD107" s="645"/>
      <c r="YE107" s="650"/>
      <c r="YF107" s="645"/>
      <c r="YG107" s="650"/>
      <c r="YH107" s="645"/>
      <c r="YI107" s="650"/>
      <c r="YJ107" s="645"/>
      <c r="YK107" s="650"/>
      <c r="YL107" s="645"/>
      <c r="YM107" s="650"/>
      <c r="YN107" s="645"/>
      <c r="YO107" s="650"/>
      <c r="YP107" s="645"/>
      <c r="YQ107" s="650"/>
      <c r="YR107" s="645"/>
      <c r="YS107" s="650"/>
      <c r="YT107" s="645"/>
      <c r="YU107" s="650"/>
      <c r="YV107" s="645"/>
      <c r="YW107" s="650"/>
      <c r="YX107" s="645"/>
      <c r="YY107" s="650"/>
      <c r="YZ107" s="645"/>
      <c r="ZA107" s="650"/>
      <c r="ZB107" s="645"/>
      <c r="ZC107" s="650"/>
      <c r="ZD107" s="645"/>
      <c r="ZE107" s="650"/>
      <c r="ZF107" s="645"/>
      <c r="ZG107" s="650"/>
      <c r="ZH107" s="645"/>
      <c r="ZI107" s="650"/>
      <c r="ZJ107" s="645"/>
      <c r="ZK107" s="650"/>
      <c r="ZL107" s="645"/>
      <c r="ZM107" s="650"/>
      <c r="ZN107" s="645"/>
      <c r="ZO107" s="650"/>
      <c r="ZP107" s="645"/>
      <c r="ZQ107" s="650"/>
      <c r="ZR107" s="645"/>
      <c r="ZS107" s="650"/>
      <c r="ZT107" s="645"/>
      <c r="ZU107" s="650"/>
      <c r="ZV107" s="645"/>
      <c r="ZW107" s="650"/>
      <c r="ZX107" s="645"/>
      <c r="ZY107" s="650"/>
      <c r="ZZ107" s="645"/>
      <c r="AAA107" s="650"/>
      <c r="AAB107" s="645"/>
      <c r="AAC107" s="650"/>
      <c r="AAD107" s="645"/>
      <c r="AAE107" s="650"/>
      <c r="AAF107" s="645"/>
      <c r="AAG107" s="650"/>
      <c r="AAH107" s="645"/>
      <c r="AAI107" s="650"/>
      <c r="AAJ107" s="645"/>
      <c r="AAK107" s="650"/>
      <c r="AAL107" s="645"/>
      <c r="AAM107" s="650"/>
      <c r="AAN107" s="645"/>
      <c r="AAO107" s="650"/>
      <c r="AAP107" s="645"/>
      <c r="AAQ107" s="650"/>
      <c r="AAR107" s="645"/>
      <c r="AAS107" s="650"/>
      <c r="AAT107" s="645"/>
      <c r="AAU107" s="650"/>
      <c r="AAV107" s="645"/>
      <c r="AAW107" s="650"/>
      <c r="AAX107" s="645"/>
      <c r="AAY107" s="650"/>
      <c r="AAZ107" s="645"/>
      <c r="ABA107" s="650"/>
      <c r="ABB107" s="645"/>
      <c r="ABC107" s="650"/>
      <c r="ABD107" s="645"/>
      <c r="ABE107" s="650"/>
      <c r="ABF107" s="645"/>
      <c r="ABG107" s="650"/>
      <c r="ABH107" s="645"/>
      <c r="ABI107" s="650"/>
      <c r="ABJ107" s="645"/>
      <c r="ABK107" s="650"/>
      <c r="ABL107" s="645"/>
      <c r="ABM107" s="650"/>
      <c r="ABN107" s="645"/>
      <c r="ABO107" s="650"/>
      <c r="ABP107" s="645"/>
      <c r="ABQ107" s="650"/>
      <c r="ABR107" s="645"/>
      <c r="ABS107" s="650"/>
      <c r="ABT107" s="645"/>
      <c r="ABU107" s="650"/>
      <c r="ABV107" s="645"/>
      <c r="ABW107" s="650"/>
      <c r="ABX107" s="645"/>
      <c r="ABY107" s="650"/>
      <c r="ABZ107" s="645"/>
      <c r="ACA107" s="650"/>
      <c r="ACB107" s="645"/>
      <c r="ACC107" s="650"/>
      <c r="ACD107" s="645"/>
      <c r="ACE107" s="650"/>
      <c r="ACF107" s="645"/>
      <c r="ACG107" s="650"/>
      <c r="ACH107" s="645"/>
      <c r="ACI107" s="650"/>
      <c r="ACJ107" s="645"/>
      <c r="ACK107" s="650"/>
      <c r="ACL107" s="645"/>
      <c r="ACM107" s="650"/>
      <c r="ACN107" s="645"/>
      <c r="ACO107" s="650"/>
      <c r="ACP107" s="645"/>
      <c r="ACQ107" s="650"/>
      <c r="ACR107" s="645"/>
      <c r="ACS107" s="650"/>
      <c r="ACT107" s="645"/>
      <c r="ACU107" s="650"/>
      <c r="ACV107" s="645"/>
      <c r="ACW107" s="650"/>
      <c r="ACX107" s="645"/>
      <c r="ACY107" s="650"/>
      <c r="ACZ107" s="645"/>
      <c r="ADA107" s="650"/>
      <c r="ADB107" s="645"/>
      <c r="ADC107" s="650"/>
      <c r="ADD107" s="645"/>
      <c r="ADE107" s="650"/>
      <c r="ADF107" s="645"/>
      <c r="ADG107" s="650"/>
      <c r="ADH107" s="645"/>
      <c r="ADI107" s="650"/>
      <c r="ADJ107" s="645"/>
      <c r="ADK107" s="650"/>
      <c r="ADL107" s="645"/>
      <c r="ADM107" s="650"/>
      <c r="ADN107" s="645"/>
      <c r="ADO107" s="650"/>
      <c r="ADP107" s="645"/>
      <c r="ADQ107" s="650"/>
      <c r="ADR107" s="645"/>
      <c r="ADS107" s="650"/>
      <c r="ADT107" s="645"/>
      <c r="ADU107" s="650"/>
      <c r="ADV107" s="645"/>
      <c r="ADW107" s="650"/>
      <c r="ADX107" s="645"/>
      <c r="ADY107" s="650"/>
      <c r="ADZ107" s="645"/>
      <c r="AEA107" s="650"/>
      <c r="AEB107" s="645"/>
      <c r="AEC107" s="650"/>
      <c r="AED107" s="645"/>
      <c r="AEE107" s="650"/>
      <c r="AEF107" s="645"/>
      <c r="AEG107" s="650"/>
      <c r="AEH107" s="645"/>
      <c r="AEI107" s="650"/>
      <c r="AEJ107" s="645"/>
      <c r="AEK107" s="650"/>
      <c r="AEL107" s="645"/>
      <c r="AEM107" s="650"/>
      <c r="AEN107" s="645"/>
      <c r="AEO107" s="650"/>
      <c r="AEP107" s="645"/>
      <c r="AEQ107" s="650"/>
      <c r="AER107" s="645"/>
      <c r="AES107" s="650"/>
      <c r="AET107" s="645"/>
      <c r="AEU107" s="650"/>
      <c r="AEV107" s="645"/>
      <c r="AEW107" s="650"/>
      <c r="AEX107" s="645"/>
      <c r="AEY107" s="650"/>
      <c r="AEZ107" s="645"/>
      <c r="AFA107" s="650"/>
      <c r="AFB107" s="645"/>
      <c r="AFC107" s="650"/>
      <c r="AFD107" s="645"/>
      <c r="AFE107" s="650"/>
      <c r="AFF107" s="645"/>
      <c r="AFG107" s="650"/>
      <c r="AFH107" s="645"/>
      <c r="AFI107" s="650"/>
      <c r="AFJ107" s="645"/>
      <c r="AFK107" s="650"/>
      <c r="AFL107" s="645"/>
      <c r="AFM107" s="650"/>
      <c r="AFN107" s="645"/>
      <c r="AFO107" s="650"/>
      <c r="AFP107" s="645"/>
      <c r="AFQ107" s="650"/>
      <c r="AFR107" s="645"/>
      <c r="AFS107" s="650"/>
      <c r="AFT107" s="645"/>
      <c r="AFU107" s="650"/>
      <c r="AFV107" s="645"/>
      <c r="AFW107" s="650"/>
      <c r="AFX107" s="645"/>
      <c r="AFY107" s="650"/>
      <c r="AFZ107" s="645"/>
      <c r="AGA107" s="650"/>
      <c r="AGB107" s="645"/>
      <c r="AGC107" s="650"/>
      <c r="AGD107" s="645"/>
      <c r="AGE107" s="650"/>
      <c r="AGF107" s="645"/>
      <c r="AGG107" s="650"/>
      <c r="AGH107" s="645"/>
      <c r="AGI107" s="650"/>
      <c r="AGJ107" s="645"/>
      <c r="AGK107" s="650"/>
      <c r="AGL107" s="645"/>
      <c r="AGM107" s="650"/>
      <c r="AGN107" s="645"/>
      <c r="AGO107" s="650"/>
      <c r="AGP107" s="645"/>
      <c r="AGQ107" s="650"/>
      <c r="AGR107" s="645"/>
      <c r="AGS107" s="650"/>
      <c r="AGT107" s="645"/>
      <c r="AGU107" s="650"/>
      <c r="AGV107" s="645"/>
      <c r="AGW107" s="650"/>
      <c r="AGX107" s="645"/>
      <c r="AGY107" s="650"/>
      <c r="AGZ107" s="645"/>
      <c r="AHA107" s="650"/>
      <c r="AHB107" s="645"/>
      <c r="AHC107" s="650"/>
      <c r="AHD107" s="645"/>
      <c r="AHE107" s="650"/>
      <c r="AHF107" s="645"/>
      <c r="AHG107" s="650"/>
      <c r="AHH107" s="645"/>
      <c r="AHI107" s="650"/>
      <c r="AHJ107" s="645"/>
      <c r="AHK107" s="650"/>
      <c r="AHL107" s="645"/>
      <c r="AHM107" s="650"/>
      <c r="AHN107" s="645"/>
      <c r="AHO107" s="650"/>
      <c r="AHP107" s="645"/>
      <c r="AHQ107" s="650"/>
      <c r="AHR107" s="645"/>
      <c r="AHS107" s="650"/>
      <c r="AHT107" s="645"/>
      <c r="AHU107" s="650"/>
      <c r="AHV107" s="645"/>
      <c r="AHW107" s="650"/>
      <c r="AHX107" s="645"/>
      <c r="AHY107" s="650"/>
      <c r="AHZ107" s="645"/>
      <c r="AIA107" s="650"/>
      <c r="AIB107" s="645"/>
      <c r="AIC107" s="650"/>
      <c r="AID107" s="645"/>
      <c r="AIE107" s="650"/>
      <c r="AIF107" s="645"/>
      <c r="AIG107" s="650"/>
      <c r="AIH107" s="645"/>
      <c r="AII107" s="650"/>
      <c r="AIJ107" s="645"/>
      <c r="AIK107" s="650"/>
      <c r="AIL107" s="645"/>
      <c r="AIM107" s="650"/>
      <c r="AIN107" s="645"/>
      <c r="AIO107" s="650"/>
      <c r="AIP107" s="645"/>
      <c r="AIQ107" s="645"/>
      <c r="AIR107" s="645"/>
      <c r="AIS107" s="645"/>
      <c r="AIT107" s="645"/>
      <c r="AIU107" s="645"/>
      <c r="AIV107" s="645"/>
      <c r="AIW107" s="645"/>
      <c r="AIX107" s="645"/>
      <c r="AIY107" s="645"/>
      <c r="AIZ107" s="645"/>
      <c r="AJA107" s="645"/>
      <c r="AJB107" s="645"/>
      <c r="AJC107" s="645"/>
      <c r="AJD107" s="645"/>
      <c r="AJE107" s="645"/>
      <c r="AJF107" s="645"/>
      <c r="AJG107" s="645"/>
      <c r="AJH107" s="645"/>
      <c r="AJI107" s="645"/>
      <c r="AJJ107" s="645"/>
      <c r="AJK107" s="645"/>
      <c r="AJL107" s="645"/>
      <c r="AJM107" s="645"/>
      <c r="AJN107" s="645"/>
      <c r="AJO107" s="645"/>
      <c r="AJP107" s="645"/>
      <c r="AJQ107" s="645"/>
      <c r="AJR107" s="645"/>
      <c r="AJS107" s="645"/>
      <c r="AJT107" s="645"/>
      <c r="AJU107" s="645"/>
      <c r="AJV107" s="645"/>
      <c r="AJW107" s="645"/>
      <c r="AJX107" s="645"/>
      <c r="AJY107" s="645"/>
      <c r="AJZ107" s="645"/>
      <c r="AKA107" s="645"/>
      <c r="AKB107" s="645"/>
      <c r="AKC107" s="645"/>
      <c r="AKD107" s="645"/>
      <c r="AKE107" s="645"/>
      <c r="AKF107" s="645"/>
      <c r="AKG107" s="645"/>
      <c r="AKH107" s="645"/>
      <c r="AKI107" s="645"/>
      <c r="AKJ107" s="645"/>
      <c r="AKK107" s="645"/>
      <c r="AKL107" s="645"/>
      <c r="AKM107" s="645"/>
      <c r="AKN107" s="645"/>
      <c r="AKO107" s="645"/>
      <c r="AKP107" s="645"/>
      <c r="AKQ107" s="645"/>
      <c r="AKR107" s="645"/>
      <c r="AKS107" s="645"/>
      <c r="AKT107" s="645"/>
      <c r="AKU107" s="645"/>
      <c r="AKV107" s="645"/>
      <c r="AKW107" s="645"/>
      <c r="AKX107" s="645"/>
      <c r="AKY107" s="645"/>
      <c r="AKZ107" s="645"/>
      <c r="ALA107" s="645"/>
      <c r="ALB107" s="645"/>
      <c r="ALC107" s="645"/>
      <c r="ALD107" s="645"/>
      <c r="ALE107" s="645"/>
      <c r="ALF107" s="645"/>
      <c r="ALG107" s="645"/>
      <c r="ALH107" s="645"/>
      <c r="ALI107" s="645"/>
      <c r="ALJ107" s="645"/>
      <c r="ALK107" s="645"/>
      <c r="ALL107" s="645"/>
      <c r="ALM107" s="645"/>
      <c r="ALN107" s="645"/>
      <c r="ALO107" s="645"/>
      <c r="ALP107" s="645"/>
      <c r="ALQ107" s="645"/>
      <c r="ALR107" s="645"/>
      <c r="ALS107" s="645"/>
      <c r="ALT107" s="645"/>
      <c r="ALU107" s="645"/>
      <c r="ALV107" s="645"/>
      <c r="ALW107" s="645"/>
      <c r="ALX107" s="645"/>
      <c r="ALY107" s="645"/>
      <c r="ALZ107" s="645"/>
      <c r="AMA107" s="645"/>
      <c r="AMB107" s="645"/>
      <c r="AMC107" s="645"/>
      <c r="AMD107" s="645"/>
      <c r="AME107" s="645"/>
      <c r="AMF107" s="645"/>
      <c r="AMG107" s="645"/>
      <c r="AMH107" s="645"/>
      <c r="AMI107" s="645"/>
      <c r="AMJ107" s="645"/>
    </row>
    <row r="108" spans="1:1024" s="37" customFormat="1" ht="15.75" customHeight="1" x14ac:dyDescent="0.35">
      <c r="A108" s="600"/>
      <c r="B108" s="601" t="s">
        <v>362</v>
      </c>
      <c r="C108" s="645"/>
      <c r="D108" s="650"/>
      <c r="E108" s="645"/>
      <c r="F108" s="650"/>
      <c r="G108" s="453" t="s">
        <v>234</v>
      </c>
      <c r="H108" s="643" t="s">
        <v>259</v>
      </c>
      <c r="I108" s="645"/>
      <c r="J108" s="38"/>
      <c r="K108" s="38"/>
      <c r="L108" s="39"/>
      <c r="M108" s="38"/>
      <c r="N108" s="39"/>
      <c r="O108" s="38"/>
      <c r="P108" s="39"/>
      <c r="Q108" s="38"/>
      <c r="R108" s="39"/>
      <c r="S108" s="38"/>
      <c r="T108" s="39"/>
      <c r="U108" s="38"/>
      <c r="V108" s="39"/>
      <c r="W108" s="38"/>
      <c r="X108" s="39"/>
      <c r="Y108" s="38"/>
      <c r="Z108" s="39"/>
      <c r="AA108" s="38"/>
      <c r="AB108" s="39"/>
      <c r="AC108" s="38"/>
      <c r="AD108" s="39"/>
      <c r="AE108" s="38"/>
      <c r="AF108" s="39"/>
      <c r="AG108" s="38"/>
      <c r="AH108" s="39"/>
      <c r="AI108" s="38"/>
      <c r="AJ108" s="39"/>
      <c r="AK108" s="38"/>
      <c r="AL108" s="39"/>
      <c r="AM108" s="38"/>
      <c r="AN108" s="39"/>
      <c r="AO108" s="38"/>
      <c r="AP108" s="39"/>
      <c r="AQ108" s="38"/>
      <c r="AR108" s="39"/>
      <c r="AS108" s="38"/>
      <c r="AT108" s="39"/>
      <c r="AU108" s="38"/>
      <c r="AV108" s="39"/>
      <c r="AW108" s="38"/>
      <c r="AX108" s="39"/>
      <c r="AY108" s="38"/>
      <c r="AZ108" s="39"/>
      <c r="BA108" s="38"/>
      <c r="BB108" s="39"/>
      <c r="BC108" s="38"/>
      <c r="BD108" s="39"/>
      <c r="BE108" s="38"/>
      <c r="BF108" s="39"/>
      <c r="BG108" s="38"/>
      <c r="BH108" s="39"/>
      <c r="BI108" s="38"/>
      <c r="BJ108" s="39"/>
      <c r="BK108" s="38"/>
      <c r="BL108" s="39"/>
      <c r="BM108" s="38"/>
      <c r="BN108" s="39"/>
      <c r="BO108" s="38"/>
      <c r="BP108" s="39"/>
      <c r="BQ108" s="38"/>
      <c r="BR108" s="39"/>
      <c r="BS108" s="38"/>
      <c r="BT108" s="39"/>
      <c r="BU108" s="38"/>
      <c r="BV108" s="39"/>
      <c r="BW108" s="38"/>
      <c r="BX108" s="39"/>
      <c r="BY108" s="38"/>
      <c r="BZ108" s="39"/>
      <c r="CA108" s="38"/>
      <c r="CB108" s="39"/>
      <c r="CC108" s="38"/>
      <c r="CD108" s="39"/>
      <c r="CE108" s="38"/>
      <c r="CF108" s="39"/>
      <c r="CG108" s="38"/>
      <c r="CH108" s="39"/>
      <c r="CI108" s="38"/>
      <c r="CJ108" s="39"/>
      <c r="CK108" s="38"/>
      <c r="CL108" s="39"/>
      <c r="CM108" s="38"/>
      <c r="CN108" s="39"/>
      <c r="CO108" s="38"/>
      <c r="CP108" s="39"/>
      <c r="CQ108" s="38"/>
      <c r="CR108" s="39"/>
      <c r="CS108" s="38"/>
      <c r="CT108" s="39"/>
      <c r="CU108" s="38"/>
      <c r="CV108" s="39"/>
      <c r="CW108" s="38"/>
      <c r="CX108" s="39"/>
      <c r="CY108" s="38"/>
      <c r="CZ108" s="39"/>
      <c r="DA108" s="38"/>
      <c r="DB108" s="39"/>
      <c r="DC108" s="38"/>
      <c r="DD108" s="39"/>
      <c r="DE108" s="38"/>
      <c r="DF108" s="39"/>
      <c r="DG108" s="38"/>
      <c r="DH108" s="39"/>
      <c r="DI108" s="38"/>
      <c r="DJ108" s="39"/>
      <c r="DK108" s="38"/>
      <c r="DL108" s="39"/>
      <c r="DM108" s="38"/>
      <c r="DN108" s="39"/>
      <c r="DO108" s="38"/>
      <c r="DP108" s="39"/>
      <c r="DQ108" s="38"/>
      <c r="DR108" s="39"/>
      <c r="DS108" s="38"/>
      <c r="DT108" s="39"/>
      <c r="DU108" s="38"/>
      <c r="DV108" s="39"/>
      <c r="DW108" s="38"/>
      <c r="DX108" s="39"/>
      <c r="DY108" s="38"/>
      <c r="DZ108" s="39"/>
      <c r="EA108" s="38"/>
      <c r="EB108" s="39"/>
      <c r="EC108" s="38"/>
      <c r="ED108" s="39"/>
      <c r="EE108" s="38"/>
      <c r="EF108" s="39"/>
      <c r="EG108" s="38"/>
      <c r="EH108" s="39"/>
      <c r="EI108" s="38"/>
      <c r="EJ108" s="39"/>
      <c r="EK108" s="38"/>
      <c r="EL108" s="39"/>
      <c r="EM108" s="38"/>
      <c r="EN108" s="39"/>
      <c r="EO108" s="38"/>
      <c r="EP108" s="39"/>
      <c r="EQ108" s="38"/>
      <c r="ER108" s="39"/>
      <c r="ES108" s="38"/>
      <c r="ET108" s="39"/>
      <c r="EU108" s="38"/>
      <c r="EV108" s="39"/>
      <c r="EW108" s="38"/>
      <c r="EX108" s="39"/>
      <c r="EY108" s="38"/>
      <c r="EZ108" s="39"/>
      <c r="FA108" s="38"/>
      <c r="FB108" s="39"/>
      <c r="FC108" s="38"/>
      <c r="FD108" s="39"/>
      <c r="FE108" s="38"/>
      <c r="FF108" s="39"/>
      <c r="FG108" s="38"/>
      <c r="FH108" s="39"/>
      <c r="FI108" s="38"/>
      <c r="FJ108" s="39"/>
      <c r="FK108" s="38"/>
      <c r="FL108" s="39"/>
      <c r="FM108" s="38"/>
      <c r="FN108" s="39"/>
      <c r="FO108" s="38"/>
      <c r="FP108" s="39"/>
      <c r="FQ108" s="38"/>
      <c r="FR108" s="39"/>
      <c r="FS108" s="38"/>
      <c r="FT108" s="39"/>
      <c r="FU108" s="38"/>
      <c r="FV108" s="39"/>
      <c r="FW108" s="38"/>
      <c r="FX108" s="39"/>
      <c r="FY108" s="38"/>
      <c r="FZ108" s="39"/>
      <c r="GA108" s="38"/>
      <c r="GB108" s="39"/>
      <c r="GC108" s="38"/>
      <c r="GD108" s="39"/>
      <c r="GE108" s="38"/>
      <c r="GF108" s="39"/>
      <c r="GG108" s="38"/>
      <c r="GH108" s="39"/>
      <c r="GI108" s="38"/>
      <c r="GJ108" s="39"/>
      <c r="GK108" s="38"/>
      <c r="GL108" s="39"/>
      <c r="GM108" s="38"/>
      <c r="GN108" s="39"/>
      <c r="GO108" s="38"/>
      <c r="GP108" s="39"/>
      <c r="GQ108" s="38"/>
      <c r="GR108" s="39"/>
      <c r="GS108" s="38"/>
      <c r="GT108" s="39"/>
      <c r="GU108" s="38"/>
      <c r="GV108" s="39"/>
      <c r="GW108" s="38"/>
      <c r="GX108" s="39"/>
      <c r="GY108" s="38"/>
      <c r="GZ108" s="39"/>
      <c r="HA108" s="38"/>
      <c r="HB108" s="39"/>
      <c r="HC108" s="38"/>
      <c r="HD108" s="39"/>
      <c r="HE108" s="38"/>
      <c r="HF108" s="39"/>
      <c r="HG108" s="38"/>
      <c r="HH108" s="39"/>
      <c r="HI108" s="38"/>
      <c r="HJ108" s="39"/>
      <c r="HK108" s="38"/>
      <c r="HL108" s="39"/>
      <c r="HM108" s="38"/>
      <c r="HN108" s="39"/>
      <c r="HO108" s="38"/>
      <c r="HP108" s="39"/>
      <c r="HQ108" s="38"/>
      <c r="HR108" s="39"/>
      <c r="HS108" s="38"/>
      <c r="HT108" s="39"/>
      <c r="HU108" s="38"/>
      <c r="HV108" s="39"/>
      <c r="HW108" s="38"/>
      <c r="HX108" s="39"/>
      <c r="HY108" s="38"/>
      <c r="HZ108" s="39"/>
      <c r="IA108" s="38"/>
      <c r="IB108" s="39"/>
      <c r="IC108" s="1069"/>
      <c r="ID108" s="645"/>
      <c r="IE108" s="650"/>
      <c r="IF108" s="645"/>
      <c r="IG108" s="650"/>
      <c r="IH108" s="645"/>
      <c r="II108" s="650"/>
      <c r="IJ108" s="645"/>
      <c r="IK108" s="650"/>
      <c r="IL108" s="645"/>
      <c r="IM108" s="650"/>
      <c r="IN108" s="645"/>
      <c r="IO108" s="650"/>
      <c r="IP108" s="645"/>
      <c r="IQ108" s="650"/>
      <c r="IR108" s="645"/>
      <c r="IS108" s="650"/>
      <c r="IT108" s="645"/>
      <c r="IU108" s="650"/>
      <c r="IV108" s="645"/>
      <c r="IW108" s="650"/>
      <c r="IX108" s="645"/>
      <c r="IY108" s="650"/>
      <c r="IZ108" s="645"/>
      <c r="JA108" s="650"/>
      <c r="JB108" s="645"/>
      <c r="JC108" s="650"/>
      <c r="JD108" s="645"/>
      <c r="JE108" s="650"/>
      <c r="JF108" s="645"/>
      <c r="JG108" s="650"/>
      <c r="JH108" s="645"/>
      <c r="JI108" s="650"/>
      <c r="JJ108" s="645"/>
      <c r="JK108" s="650"/>
      <c r="JL108" s="645"/>
      <c r="JM108" s="650"/>
      <c r="JN108" s="645"/>
      <c r="JO108" s="650"/>
      <c r="JP108" s="645"/>
      <c r="JQ108" s="650"/>
      <c r="JR108" s="645"/>
      <c r="JS108" s="650"/>
      <c r="JT108" s="645"/>
      <c r="JU108" s="650"/>
      <c r="JV108" s="645"/>
      <c r="JW108" s="650"/>
      <c r="JX108" s="645"/>
      <c r="JY108" s="650"/>
      <c r="JZ108" s="645"/>
      <c r="KA108" s="650"/>
      <c r="KB108" s="645"/>
      <c r="KC108" s="650"/>
      <c r="KD108" s="645"/>
      <c r="KE108" s="650"/>
      <c r="KF108" s="645"/>
      <c r="KG108" s="650"/>
      <c r="KH108" s="645"/>
      <c r="KI108" s="650"/>
      <c r="KJ108" s="645"/>
      <c r="KK108" s="650"/>
      <c r="KL108" s="645"/>
      <c r="KM108" s="650"/>
      <c r="KN108" s="645"/>
      <c r="KO108" s="650"/>
      <c r="KP108" s="645"/>
      <c r="KQ108" s="650"/>
      <c r="KR108" s="645"/>
      <c r="KS108" s="650"/>
      <c r="KT108" s="645"/>
      <c r="KU108" s="650"/>
      <c r="KV108" s="645"/>
      <c r="KW108" s="650"/>
      <c r="KX108" s="645"/>
      <c r="KY108" s="650"/>
      <c r="KZ108" s="645"/>
      <c r="LA108" s="650"/>
      <c r="LB108" s="645"/>
      <c r="LC108" s="650"/>
      <c r="LD108" s="645"/>
      <c r="LE108" s="650"/>
      <c r="LF108" s="645"/>
      <c r="LG108" s="650"/>
      <c r="LH108" s="645"/>
      <c r="LI108" s="650"/>
      <c r="LJ108" s="645"/>
      <c r="LK108" s="650"/>
      <c r="LL108" s="645"/>
      <c r="LM108" s="650"/>
      <c r="LN108" s="645"/>
      <c r="LO108" s="650"/>
      <c r="LP108" s="645"/>
      <c r="LQ108" s="650"/>
      <c r="LR108" s="645"/>
      <c r="LS108" s="650"/>
      <c r="LT108" s="645"/>
      <c r="LU108" s="650"/>
      <c r="LV108" s="645"/>
      <c r="LW108" s="650"/>
      <c r="LX108" s="645"/>
      <c r="LY108" s="650"/>
      <c r="LZ108" s="645"/>
      <c r="MA108" s="650"/>
      <c r="MB108" s="645"/>
      <c r="MC108" s="650"/>
      <c r="MD108" s="645"/>
      <c r="ME108" s="650"/>
      <c r="MF108" s="645"/>
      <c r="MG108" s="650"/>
      <c r="MH108" s="645"/>
      <c r="MI108" s="650"/>
      <c r="MJ108" s="645"/>
      <c r="MK108" s="650"/>
      <c r="ML108" s="645"/>
      <c r="MM108" s="650"/>
      <c r="MN108" s="645"/>
      <c r="MO108" s="650"/>
      <c r="MP108" s="645"/>
      <c r="MQ108" s="650"/>
      <c r="MR108" s="645"/>
      <c r="MS108" s="650"/>
      <c r="MT108" s="645"/>
      <c r="MU108" s="650"/>
      <c r="MV108" s="645"/>
      <c r="MW108" s="650"/>
      <c r="MX108" s="645"/>
      <c r="MY108" s="650"/>
      <c r="MZ108" s="645"/>
      <c r="NA108" s="650"/>
      <c r="NB108" s="645"/>
      <c r="NC108" s="650"/>
      <c r="ND108" s="645"/>
      <c r="NE108" s="650"/>
      <c r="NF108" s="645"/>
      <c r="NG108" s="650"/>
      <c r="NH108" s="645"/>
      <c r="NI108" s="650"/>
      <c r="NJ108" s="645"/>
      <c r="NK108" s="650"/>
      <c r="NL108" s="645"/>
      <c r="NM108" s="650"/>
      <c r="NN108" s="645"/>
      <c r="NO108" s="650"/>
      <c r="NP108" s="645"/>
      <c r="NQ108" s="650"/>
      <c r="NR108" s="645"/>
      <c r="NS108" s="650"/>
      <c r="NT108" s="645"/>
      <c r="NU108" s="650"/>
      <c r="NV108" s="645"/>
      <c r="NW108" s="650"/>
      <c r="NX108" s="645"/>
      <c r="NY108" s="650"/>
      <c r="NZ108" s="645"/>
      <c r="OA108" s="650"/>
      <c r="OB108" s="645"/>
      <c r="OC108" s="650"/>
      <c r="OD108" s="645"/>
      <c r="OE108" s="650"/>
      <c r="OF108" s="645"/>
      <c r="OG108" s="650"/>
      <c r="OH108" s="645"/>
      <c r="OI108" s="650"/>
      <c r="OJ108" s="645"/>
      <c r="OK108" s="650"/>
      <c r="OL108" s="645"/>
      <c r="OM108" s="650"/>
      <c r="ON108" s="645"/>
      <c r="OO108" s="650"/>
      <c r="OP108" s="645"/>
      <c r="OQ108" s="650"/>
      <c r="OR108" s="645"/>
      <c r="OS108" s="650"/>
      <c r="OT108" s="645"/>
      <c r="OU108" s="650"/>
      <c r="OV108" s="645"/>
      <c r="OW108" s="650"/>
      <c r="OX108" s="645"/>
      <c r="OY108" s="650"/>
      <c r="OZ108" s="645"/>
      <c r="PA108" s="650"/>
      <c r="PB108" s="645"/>
      <c r="PC108" s="650"/>
      <c r="PD108" s="645"/>
      <c r="PE108" s="650"/>
      <c r="PF108" s="645"/>
      <c r="PG108" s="650"/>
      <c r="PH108" s="645"/>
      <c r="PI108" s="650"/>
      <c r="PJ108" s="645"/>
      <c r="PK108" s="650"/>
      <c r="PL108" s="645"/>
      <c r="PM108" s="650"/>
      <c r="PN108" s="645"/>
      <c r="PO108" s="650"/>
      <c r="PP108" s="645"/>
      <c r="PQ108" s="650"/>
      <c r="PR108" s="645"/>
      <c r="PS108" s="650"/>
      <c r="PT108" s="645"/>
      <c r="PU108" s="650"/>
      <c r="PV108" s="645"/>
      <c r="PW108" s="650"/>
      <c r="PX108" s="645"/>
      <c r="PY108" s="650"/>
      <c r="PZ108" s="645"/>
      <c r="QA108" s="650"/>
      <c r="QB108" s="645"/>
      <c r="QC108" s="650"/>
      <c r="QD108" s="645"/>
      <c r="QE108" s="650"/>
      <c r="QF108" s="645"/>
      <c r="QG108" s="650"/>
      <c r="QH108" s="645"/>
      <c r="QI108" s="650"/>
      <c r="QJ108" s="645"/>
      <c r="QK108" s="650"/>
      <c r="QL108" s="645"/>
      <c r="QM108" s="650"/>
      <c r="QN108" s="645"/>
      <c r="QO108" s="650"/>
      <c r="QP108" s="645"/>
      <c r="QQ108" s="650"/>
      <c r="QR108" s="645"/>
      <c r="QS108" s="650"/>
      <c r="QT108" s="645"/>
      <c r="QU108" s="650"/>
      <c r="QV108" s="645"/>
      <c r="QW108" s="650"/>
      <c r="QX108" s="645"/>
      <c r="QY108" s="650"/>
      <c r="QZ108" s="645"/>
      <c r="RA108" s="650"/>
      <c r="RB108" s="645"/>
      <c r="RC108" s="650"/>
      <c r="RD108" s="645"/>
      <c r="RE108" s="650"/>
      <c r="RF108" s="645"/>
      <c r="RG108" s="650"/>
      <c r="RH108" s="645"/>
      <c r="RI108" s="650"/>
      <c r="RJ108" s="645"/>
      <c r="RK108" s="650"/>
      <c r="RL108" s="645"/>
      <c r="RM108" s="650"/>
      <c r="RN108" s="645"/>
      <c r="RO108" s="650"/>
      <c r="RP108" s="645"/>
      <c r="RQ108" s="650"/>
      <c r="RR108" s="645"/>
      <c r="RS108" s="650"/>
      <c r="RT108" s="645"/>
      <c r="RU108" s="650"/>
      <c r="RV108" s="645"/>
      <c r="RW108" s="650"/>
      <c r="RX108" s="645"/>
      <c r="RY108" s="650"/>
      <c r="RZ108" s="645"/>
      <c r="SA108" s="650"/>
      <c r="SB108" s="645"/>
      <c r="SC108" s="650"/>
      <c r="SD108" s="645"/>
      <c r="SE108" s="650"/>
      <c r="SF108" s="645"/>
      <c r="SG108" s="650"/>
      <c r="SH108" s="645"/>
      <c r="SI108" s="650"/>
      <c r="SJ108" s="645"/>
      <c r="SK108" s="650"/>
      <c r="SL108" s="645"/>
      <c r="SM108" s="650"/>
      <c r="SN108" s="645"/>
      <c r="SO108" s="650"/>
      <c r="SP108" s="645"/>
      <c r="SQ108" s="650"/>
      <c r="SR108" s="645"/>
      <c r="SS108" s="650"/>
      <c r="ST108" s="645"/>
      <c r="SU108" s="650"/>
      <c r="SV108" s="645"/>
      <c r="SW108" s="650"/>
      <c r="SX108" s="645"/>
      <c r="SY108" s="650"/>
      <c r="SZ108" s="645"/>
      <c r="TA108" s="650"/>
      <c r="TB108" s="645"/>
      <c r="TC108" s="650"/>
      <c r="TD108" s="645"/>
      <c r="TE108" s="650"/>
      <c r="TF108" s="645"/>
      <c r="TG108" s="650"/>
      <c r="TH108" s="645"/>
      <c r="TI108" s="650"/>
      <c r="TJ108" s="645"/>
      <c r="TK108" s="650"/>
      <c r="TL108" s="645"/>
      <c r="TM108" s="650"/>
      <c r="TN108" s="645"/>
      <c r="TO108" s="650"/>
      <c r="TP108" s="645"/>
      <c r="TQ108" s="650"/>
      <c r="TR108" s="645"/>
      <c r="TS108" s="650"/>
      <c r="TT108" s="645"/>
      <c r="TU108" s="650"/>
      <c r="TV108" s="645"/>
      <c r="TW108" s="650"/>
      <c r="TX108" s="645"/>
      <c r="TY108" s="650"/>
      <c r="TZ108" s="645"/>
      <c r="UA108" s="650"/>
      <c r="UB108" s="645"/>
      <c r="UC108" s="650"/>
      <c r="UD108" s="645"/>
      <c r="UE108" s="650"/>
      <c r="UF108" s="645"/>
      <c r="UG108" s="650"/>
      <c r="UH108" s="645"/>
      <c r="UI108" s="650"/>
      <c r="UJ108" s="645"/>
      <c r="UK108" s="650"/>
      <c r="UL108" s="645"/>
      <c r="UM108" s="650"/>
      <c r="UN108" s="645"/>
      <c r="UO108" s="650"/>
      <c r="UP108" s="645"/>
      <c r="UQ108" s="650"/>
      <c r="UR108" s="645"/>
      <c r="US108" s="650"/>
      <c r="UT108" s="645"/>
      <c r="UU108" s="650"/>
      <c r="UV108" s="645"/>
      <c r="UW108" s="650"/>
      <c r="UX108" s="645"/>
      <c r="UY108" s="650"/>
      <c r="UZ108" s="645"/>
      <c r="VA108" s="650"/>
      <c r="VB108" s="645"/>
      <c r="VC108" s="650"/>
      <c r="VD108" s="645"/>
      <c r="VE108" s="650"/>
      <c r="VF108" s="645"/>
      <c r="VG108" s="650"/>
      <c r="VH108" s="645"/>
      <c r="VI108" s="650"/>
      <c r="VJ108" s="645"/>
      <c r="VK108" s="650"/>
      <c r="VL108" s="645"/>
      <c r="VM108" s="650"/>
      <c r="VN108" s="645"/>
      <c r="VO108" s="650"/>
      <c r="VP108" s="645"/>
      <c r="VQ108" s="650"/>
      <c r="VR108" s="645"/>
      <c r="VS108" s="650"/>
      <c r="VT108" s="645"/>
      <c r="VU108" s="650"/>
      <c r="VV108" s="645"/>
      <c r="VW108" s="650"/>
      <c r="VX108" s="645"/>
      <c r="VY108" s="650"/>
      <c r="VZ108" s="645"/>
      <c r="WA108" s="650"/>
      <c r="WB108" s="645"/>
      <c r="WC108" s="650"/>
      <c r="WD108" s="645"/>
      <c r="WE108" s="650"/>
      <c r="WF108" s="645"/>
      <c r="WG108" s="650"/>
      <c r="WH108" s="645"/>
      <c r="WI108" s="650"/>
      <c r="WJ108" s="645"/>
      <c r="WK108" s="650"/>
      <c r="WL108" s="645"/>
      <c r="WM108" s="650"/>
      <c r="WN108" s="645"/>
      <c r="WO108" s="650"/>
      <c r="WP108" s="645"/>
      <c r="WQ108" s="650"/>
      <c r="WR108" s="645"/>
      <c r="WS108" s="650"/>
      <c r="WT108" s="645"/>
      <c r="WU108" s="650"/>
      <c r="WV108" s="645"/>
      <c r="WW108" s="650"/>
      <c r="WX108" s="645"/>
      <c r="WY108" s="650"/>
      <c r="WZ108" s="645"/>
      <c r="XA108" s="650"/>
      <c r="XB108" s="645"/>
      <c r="XC108" s="650"/>
      <c r="XD108" s="645"/>
      <c r="XE108" s="650"/>
      <c r="XF108" s="645"/>
      <c r="XG108" s="650"/>
      <c r="XH108" s="645"/>
      <c r="XI108" s="650"/>
      <c r="XJ108" s="645"/>
      <c r="XK108" s="650"/>
      <c r="XL108" s="645"/>
      <c r="XM108" s="650"/>
      <c r="XN108" s="645"/>
      <c r="XO108" s="650"/>
      <c r="XP108" s="645"/>
      <c r="XQ108" s="650"/>
      <c r="XR108" s="645"/>
      <c r="XS108" s="650"/>
      <c r="XT108" s="645"/>
      <c r="XU108" s="650"/>
      <c r="XV108" s="645"/>
      <c r="XW108" s="650"/>
      <c r="XX108" s="645"/>
      <c r="XY108" s="650"/>
      <c r="XZ108" s="645"/>
      <c r="YA108" s="650"/>
      <c r="YB108" s="645"/>
      <c r="YC108" s="650"/>
      <c r="YD108" s="645"/>
      <c r="YE108" s="650"/>
      <c r="YF108" s="645"/>
      <c r="YG108" s="650"/>
      <c r="YH108" s="645"/>
      <c r="YI108" s="650"/>
      <c r="YJ108" s="645"/>
      <c r="YK108" s="650"/>
      <c r="YL108" s="645"/>
      <c r="YM108" s="650"/>
      <c r="YN108" s="645"/>
      <c r="YO108" s="650"/>
      <c r="YP108" s="645"/>
      <c r="YQ108" s="650"/>
      <c r="YR108" s="645"/>
      <c r="YS108" s="650"/>
      <c r="YT108" s="645"/>
      <c r="YU108" s="650"/>
      <c r="YV108" s="645"/>
      <c r="YW108" s="650"/>
      <c r="YX108" s="645"/>
      <c r="YY108" s="650"/>
      <c r="YZ108" s="645"/>
      <c r="ZA108" s="650"/>
      <c r="ZB108" s="645"/>
      <c r="ZC108" s="650"/>
      <c r="ZD108" s="645"/>
      <c r="ZE108" s="650"/>
      <c r="ZF108" s="645"/>
      <c r="ZG108" s="650"/>
      <c r="ZH108" s="645"/>
      <c r="ZI108" s="650"/>
      <c r="ZJ108" s="645"/>
      <c r="ZK108" s="650"/>
      <c r="ZL108" s="645"/>
      <c r="ZM108" s="650"/>
      <c r="ZN108" s="645"/>
      <c r="ZO108" s="650"/>
      <c r="ZP108" s="645"/>
      <c r="ZQ108" s="650"/>
      <c r="ZR108" s="645"/>
      <c r="ZS108" s="650"/>
      <c r="ZT108" s="645"/>
      <c r="ZU108" s="650"/>
      <c r="ZV108" s="645"/>
      <c r="ZW108" s="650"/>
      <c r="ZX108" s="645"/>
      <c r="ZY108" s="650"/>
      <c r="ZZ108" s="645"/>
      <c r="AAA108" s="650"/>
      <c r="AAB108" s="645"/>
      <c r="AAC108" s="650"/>
      <c r="AAD108" s="645"/>
      <c r="AAE108" s="650"/>
      <c r="AAF108" s="645"/>
      <c r="AAG108" s="650"/>
      <c r="AAH108" s="645"/>
      <c r="AAI108" s="650"/>
      <c r="AAJ108" s="645"/>
      <c r="AAK108" s="650"/>
      <c r="AAL108" s="645"/>
      <c r="AAM108" s="650"/>
      <c r="AAN108" s="645"/>
      <c r="AAO108" s="650"/>
      <c r="AAP108" s="645"/>
      <c r="AAQ108" s="650"/>
      <c r="AAR108" s="645"/>
      <c r="AAS108" s="650"/>
      <c r="AAT108" s="645"/>
      <c r="AAU108" s="650"/>
      <c r="AAV108" s="645"/>
      <c r="AAW108" s="650"/>
      <c r="AAX108" s="645"/>
      <c r="AAY108" s="650"/>
      <c r="AAZ108" s="645"/>
      <c r="ABA108" s="650"/>
      <c r="ABB108" s="645"/>
      <c r="ABC108" s="650"/>
      <c r="ABD108" s="645"/>
      <c r="ABE108" s="650"/>
      <c r="ABF108" s="645"/>
      <c r="ABG108" s="650"/>
      <c r="ABH108" s="645"/>
      <c r="ABI108" s="650"/>
      <c r="ABJ108" s="645"/>
      <c r="ABK108" s="650"/>
      <c r="ABL108" s="645"/>
      <c r="ABM108" s="650"/>
      <c r="ABN108" s="645"/>
      <c r="ABO108" s="650"/>
      <c r="ABP108" s="645"/>
      <c r="ABQ108" s="650"/>
      <c r="ABR108" s="645"/>
      <c r="ABS108" s="650"/>
      <c r="ABT108" s="645"/>
      <c r="ABU108" s="650"/>
      <c r="ABV108" s="645"/>
      <c r="ABW108" s="650"/>
      <c r="ABX108" s="645"/>
      <c r="ABY108" s="650"/>
      <c r="ABZ108" s="645"/>
      <c r="ACA108" s="650"/>
      <c r="ACB108" s="645"/>
      <c r="ACC108" s="650"/>
      <c r="ACD108" s="645"/>
      <c r="ACE108" s="650"/>
      <c r="ACF108" s="645"/>
      <c r="ACG108" s="650"/>
      <c r="ACH108" s="645"/>
      <c r="ACI108" s="650"/>
      <c r="ACJ108" s="645"/>
      <c r="ACK108" s="650"/>
      <c r="ACL108" s="645"/>
      <c r="ACM108" s="650"/>
      <c r="ACN108" s="645"/>
      <c r="ACO108" s="650"/>
      <c r="ACP108" s="645"/>
      <c r="ACQ108" s="650"/>
      <c r="ACR108" s="645"/>
      <c r="ACS108" s="650"/>
      <c r="ACT108" s="645"/>
      <c r="ACU108" s="650"/>
      <c r="ACV108" s="645"/>
      <c r="ACW108" s="650"/>
      <c r="ACX108" s="645"/>
      <c r="ACY108" s="650"/>
      <c r="ACZ108" s="645"/>
      <c r="ADA108" s="650"/>
      <c r="ADB108" s="645"/>
      <c r="ADC108" s="650"/>
      <c r="ADD108" s="645"/>
      <c r="ADE108" s="650"/>
      <c r="ADF108" s="645"/>
      <c r="ADG108" s="650"/>
      <c r="ADH108" s="645"/>
      <c r="ADI108" s="650"/>
      <c r="ADJ108" s="645"/>
      <c r="ADK108" s="650"/>
      <c r="ADL108" s="645"/>
      <c r="ADM108" s="650"/>
      <c r="ADN108" s="645"/>
      <c r="ADO108" s="650"/>
      <c r="ADP108" s="645"/>
      <c r="ADQ108" s="650"/>
      <c r="ADR108" s="645"/>
      <c r="ADS108" s="650"/>
      <c r="ADT108" s="645"/>
      <c r="ADU108" s="650"/>
      <c r="ADV108" s="645"/>
      <c r="ADW108" s="650"/>
      <c r="ADX108" s="645"/>
      <c r="ADY108" s="650"/>
      <c r="ADZ108" s="645"/>
      <c r="AEA108" s="650"/>
      <c r="AEB108" s="645"/>
      <c r="AEC108" s="650"/>
      <c r="AED108" s="645"/>
      <c r="AEE108" s="650"/>
      <c r="AEF108" s="645"/>
      <c r="AEG108" s="650"/>
      <c r="AEH108" s="645"/>
      <c r="AEI108" s="650"/>
      <c r="AEJ108" s="645"/>
      <c r="AEK108" s="650"/>
      <c r="AEL108" s="645"/>
      <c r="AEM108" s="650"/>
      <c r="AEN108" s="645"/>
      <c r="AEO108" s="650"/>
      <c r="AEP108" s="645"/>
      <c r="AEQ108" s="650"/>
      <c r="AER108" s="645"/>
      <c r="AES108" s="650"/>
      <c r="AET108" s="645"/>
      <c r="AEU108" s="650"/>
      <c r="AEV108" s="645"/>
      <c r="AEW108" s="650"/>
      <c r="AEX108" s="645"/>
      <c r="AEY108" s="650"/>
      <c r="AEZ108" s="645"/>
      <c r="AFA108" s="650"/>
      <c r="AFB108" s="645"/>
      <c r="AFC108" s="650"/>
      <c r="AFD108" s="645"/>
      <c r="AFE108" s="650"/>
      <c r="AFF108" s="645"/>
      <c r="AFG108" s="650"/>
      <c r="AFH108" s="645"/>
      <c r="AFI108" s="650"/>
      <c r="AFJ108" s="645"/>
      <c r="AFK108" s="650"/>
      <c r="AFL108" s="645"/>
      <c r="AFM108" s="650"/>
      <c r="AFN108" s="645"/>
      <c r="AFO108" s="650"/>
      <c r="AFP108" s="645"/>
      <c r="AFQ108" s="650"/>
      <c r="AFR108" s="645"/>
      <c r="AFS108" s="650"/>
      <c r="AFT108" s="645"/>
      <c r="AFU108" s="650"/>
      <c r="AFV108" s="645"/>
      <c r="AFW108" s="650"/>
      <c r="AFX108" s="645"/>
      <c r="AFY108" s="650"/>
      <c r="AFZ108" s="645"/>
      <c r="AGA108" s="650"/>
      <c r="AGB108" s="645"/>
      <c r="AGC108" s="650"/>
      <c r="AGD108" s="645"/>
      <c r="AGE108" s="650"/>
      <c r="AGF108" s="645"/>
      <c r="AGG108" s="650"/>
      <c r="AGH108" s="645"/>
      <c r="AGI108" s="650"/>
      <c r="AGJ108" s="645"/>
      <c r="AGK108" s="650"/>
      <c r="AGL108" s="645"/>
      <c r="AGM108" s="650"/>
      <c r="AGN108" s="645"/>
      <c r="AGO108" s="650"/>
      <c r="AGP108" s="645"/>
      <c r="AGQ108" s="650"/>
      <c r="AGR108" s="645"/>
      <c r="AGS108" s="650"/>
      <c r="AGT108" s="645"/>
      <c r="AGU108" s="650"/>
      <c r="AGV108" s="645"/>
      <c r="AGW108" s="650"/>
      <c r="AGX108" s="645"/>
      <c r="AGY108" s="650"/>
      <c r="AGZ108" s="645"/>
      <c r="AHA108" s="650"/>
      <c r="AHB108" s="645"/>
      <c r="AHC108" s="650"/>
      <c r="AHD108" s="645"/>
      <c r="AHE108" s="650"/>
      <c r="AHF108" s="645"/>
      <c r="AHG108" s="650"/>
      <c r="AHH108" s="645"/>
      <c r="AHI108" s="650"/>
      <c r="AHJ108" s="645"/>
      <c r="AHK108" s="650"/>
      <c r="AHL108" s="645"/>
      <c r="AHM108" s="650"/>
      <c r="AHN108" s="645"/>
      <c r="AHO108" s="650"/>
      <c r="AHP108" s="645"/>
      <c r="AHQ108" s="650"/>
      <c r="AHR108" s="645"/>
      <c r="AHS108" s="650"/>
      <c r="AHT108" s="645"/>
      <c r="AHU108" s="650"/>
      <c r="AHV108" s="645"/>
      <c r="AHW108" s="650"/>
      <c r="AHX108" s="645"/>
      <c r="AHY108" s="650"/>
      <c r="AHZ108" s="645"/>
      <c r="AIA108" s="650"/>
      <c r="AIB108" s="645"/>
      <c r="AIC108" s="650"/>
      <c r="AID108" s="645"/>
      <c r="AIE108" s="650"/>
      <c r="AIF108" s="645"/>
      <c r="AIG108" s="650"/>
      <c r="AIH108" s="645"/>
      <c r="AII108" s="650"/>
      <c r="AIJ108" s="645"/>
      <c r="AIK108" s="650"/>
      <c r="AIL108" s="645"/>
      <c r="AIM108" s="650"/>
      <c r="AIN108" s="645"/>
      <c r="AIO108" s="650"/>
      <c r="AIP108" s="645"/>
      <c r="AIQ108" s="645"/>
      <c r="AIR108" s="645"/>
      <c r="AIS108" s="645"/>
      <c r="AIT108" s="645"/>
      <c r="AIU108" s="645"/>
      <c r="AIV108" s="645"/>
      <c r="AIW108" s="645"/>
      <c r="AIX108" s="645"/>
      <c r="AIY108" s="645"/>
      <c r="AIZ108" s="645"/>
      <c r="AJA108" s="645"/>
      <c r="AJB108" s="645"/>
      <c r="AJC108" s="645"/>
      <c r="AJD108" s="645"/>
      <c r="AJE108" s="645"/>
      <c r="AJF108" s="645"/>
      <c r="AJG108" s="645"/>
      <c r="AJH108" s="645"/>
      <c r="AJI108" s="645"/>
      <c r="AJJ108" s="645"/>
      <c r="AJK108" s="645"/>
      <c r="AJL108" s="645"/>
      <c r="AJM108" s="645"/>
      <c r="AJN108" s="645"/>
      <c r="AJO108" s="645"/>
      <c r="AJP108" s="645"/>
      <c r="AJQ108" s="645"/>
      <c r="AJR108" s="645"/>
      <c r="AJS108" s="645"/>
      <c r="AJT108" s="645"/>
      <c r="AJU108" s="645"/>
      <c r="AJV108" s="645"/>
      <c r="AJW108" s="645"/>
      <c r="AJX108" s="645"/>
      <c r="AJY108" s="645"/>
      <c r="AJZ108" s="645"/>
      <c r="AKA108" s="645"/>
      <c r="AKB108" s="645"/>
      <c r="AKC108" s="645"/>
      <c r="AKD108" s="645"/>
      <c r="AKE108" s="645"/>
      <c r="AKF108" s="645"/>
      <c r="AKG108" s="645"/>
      <c r="AKH108" s="645"/>
      <c r="AKI108" s="645"/>
      <c r="AKJ108" s="645"/>
      <c r="AKK108" s="645"/>
      <c r="AKL108" s="645"/>
      <c r="AKM108" s="645"/>
      <c r="AKN108" s="645"/>
      <c r="AKO108" s="645"/>
      <c r="AKP108" s="645"/>
      <c r="AKQ108" s="645"/>
      <c r="AKR108" s="645"/>
      <c r="AKS108" s="645"/>
      <c r="AKT108" s="645"/>
      <c r="AKU108" s="645"/>
      <c r="AKV108" s="645"/>
      <c r="AKW108" s="645"/>
      <c r="AKX108" s="645"/>
      <c r="AKY108" s="645"/>
      <c r="AKZ108" s="645"/>
      <c r="ALA108" s="645"/>
      <c r="ALB108" s="645"/>
      <c r="ALC108" s="645"/>
      <c r="ALD108" s="645"/>
      <c r="ALE108" s="645"/>
      <c r="ALF108" s="645"/>
      <c r="ALG108" s="645"/>
      <c r="ALH108" s="645"/>
      <c r="ALI108" s="645"/>
      <c r="ALJ108" s="645"/>
      <c r="ALK108" s="645"/>
      <c r="ALL108" s="645"/>
      <c r="ALM108" s="645"/>
      <c r="ALN108" s="645"/>
      <c r="ALO108" s="645"/>
      <c r="ALP108" s="645"/>
      <c r="ALQ108" s="645"/>
      <c r="ALR108" s="645"/>
      <c r="ALS108" s="645"/>
      <c r="ALT108" s="645"/>
      <c r="ALU108" s="645"/>
      <c r="ALV108" s="645"/>
      <c r="ALW108" s="645"/>
      <c r="ALX108" s="645"/>
      <c r="ALY108" s="645"/>
      <c r="ALZ108" s="645"/>
      <c r="AMA108" s="645"/>
      <c r="AMB108" s="645"/>
      <c r="AMC108" s="645"/>
      <c r="AMD108" s="645"/>
      <c r="AME108" s="645"/>
      <c r="AMF108" s="645"/>
      <c r="AMG108" s="645"/>
      <c r="AMH108" s="645"/>
      <c r="AMI108" s="645"/>
      <c r="AMJ108" s="645"/>
    </row>
    <row r="109" spans="1:1024" s="37" customFormat="1" ht="15.75" customHeight="1" x14ac:dyDescent="0.35">
      <c r="A109" s="600"/>
      <c r="B109" s="644" t="s">
        <v>363</v>
      </c>
      <c r="C109" s="645"/>
      <c r="D109" s="646"/>
      <c r="E109" s="645"/>
      <c r="F109" s="646"/>
      <c r="G109" s="453" t="s">
        <v>234</v>
      </c>
      <c r="H109" s="643" t="s">
        <v>259</v>
      </c>
      <c r="I109" s="645"/>
      <c r="J109" s="38"/>
      <c r="K109" s="38"/>
      <c r="L109" s="39"/>
      <c r="M109" s="38"/>
      <c r="N109" s="39"/>
      <c r="O109" s="38"/>
      <c r="P109" s="39"/>
      <c r="Q109" s="38"/>
      <c r="R109" s="39"/>
      <c r="S109" s="38"/>
      <c r="T109" s="39"/>
      <c r="U109" s="38"/>
      <c r="V109" s="39"/>
      <c r="W109" s="38"/>
      <c r="X109" s="39"/>
      <c r="Y109" s="38"/>
      <c r="Z109" s="39"/>
      <c r="AA109" s="38"/>
      <c r="AB109" s="39"/>
      <c r="AC109" s="38"/>
      <c r="AD109" s="39"/>
      <c r="AE109" s="38"/>
      <c r="AF109" s="39"/>
      <c r="AG109" s="38"/>
      <c r="AH109" s="39"/>
      <c r="AI109" s="38"/>
      <c r="AJ109" s="39"/>
      <c r="AK109" s="40"/>
      <c r="AL109" s="39"/>
      <c r="AM109" s="40"/>
      <c r="AN109" s="39"/>
      <c r="AO109" s="40"/>
      <c r="AP109" s="39"/>
      <c r="AQ109" s="40"/>
      <c r="AR109" s="39"/>
      <c r="AS109" s="40"/>
      <c r="AT109" s="39"/>
      <c r="AU109" s="40"/>
      <c r="AV109" s="39"/>
      <c r="AW109" s="40"/>
      <c r="AX109" s="39"/>
      <c r="AY109" s="40"/>
      <c r="AZ109" s="39"/>
      <c r="BA109" s="40"/>
      <c r="BB109" s="39"/>
      <c r="BC109" s="40"/>
      <c r="BD109" s="39"/>
      <c r="BE109" s="40"/>
      <c r="BF109" s="39"/>
      <c r="BG109" s="40"/>
      <c r="BH109" s="39"/>
      <c r="BI109" s="40"/>
      <c r="BJ109" s="39"/>
      <c r="BK109" s="40"/>
      <c r="BL109" s="39"/>
      <c r="BM109" s="40"/>
      <c r="BN109" s="39"/>
      <c r="BO109" s="40"/>
      <c r="BP109" s="39"/>
      <c r="BQ109" s="40"/>
      <c r="BR109" s="39"/>
      <c r="BS109" s="40"/>
      <c r="BT109" s="39"/>
      <c r="BU109" s="40"/>
      <c r="BV109" s="39"/>
      <c r="BW109" s="40"/>
      <c r="BX109" s="39"/>
      <c r="BY109" s="40"/>
      <c r="BZ109" s="39"/>
      <c r="CA109" s="40"/>
      <c r="CB109" s="39"/>
      <c r="CC109" s="40"/>
      <c r="CD109" s="39"/>
      <c r="CE109" s="40"/>
      <c r="CF109" s="39"/>
      <c r="CG109" s="40"/>
      <c r="CH109" s="39"/>
      <c r="CI109" s="40"/>
      <c r="CJ109" s="39"/>
      <c r="CK109" s="40"/>
      <c r="CL109" s="39"/>
      <c r="CM109" s="40"/>
      <c r="CN109" s="39"/>
      <c r="CO109" s="40"/>
      <c r="CP109" s="39"/>
      <c r="CQ109" s="40"/>
      <c r="CR109" s="39"/>
      <c r="CS109" s="40"/>
      <c r="CT109" s="39"/>
      <c r="CU109" s="40"/>
      <c r="CV109" s="39"/>
      <c r="CW109" s="40"/>
      <c r="CX109" s="39"/>
      <c r="CY109" s="40"/>
      <c r="CZ109" s="39"/>
      <c r="DA109" s="40"/>
      <c r="DB109" s="39"/>
      <c r="DC109" s="40"/>
      <c r="DD109" s="39"/>
      <c r="DE109" s="40"/>
      <c r="DF109" s="39"/>
      <c r="DG109" s="40"/>
      <c r="DH109" s="39"/>
      <c r="DI109" s="40"/>
      <c r="DJ109" s="39"/>
      <c r="DK109" s="40"/>
      <c r="DL109" s="39"/>
      <c r="DM109" s="40"/>
      <c r="DN109" s="39"/>
      <c r="DO109" s="40"/>
      <c r="DP109" s="39"/>
      <c r="DQ109" s="40"/>
      <c r="DR109" s="39"/>
      <c r="DS109" s="40"/>
      <c r="DT109" s="39"/>
      <c r="DU109" s="40"/>
      <c r="DV109" s="39"/>
      <c r="DW109" s="40"/>
      <c r="DX109" s="39"/>
      <c r="DY109" s="40"/>
      <c r="DZ109" s="39"/>
      <c r="EA109" s="40"/>
      <c r="EB109" s="39"/>
      <c r="EC109" s="40"/>
      <c r="ED109" s="39"/>
      <c r="EE109" s="40"/>
      <c r="EF109" s="39"/>
      <c r="EG109" s="40"/>
      <c r="EH109" s="39"/>
      <c r="EI109" s="40"/>
      <c r="EJ109" s="39"/>
      <c r="EK109" s="40"/>
      <c r="EL109" s="39"/>
      <c r="EM109" s="40"/>
      <c r="EN109" s="39"/>
      <c r="EO109" s="40"/>
      <c r="EP109" s="39"/>
      <c r="EQ109" s="40"/>
      <c r="ER109" s="39"/>
      <c r="ES109" s="40"/>
      <c r="ET109" s="39"/>
      <c r="EU109" s="40"/>
      <c r="EV109" s="39"/>
      <c r="EW109" s="40"/>
      <c r="EX109" s="39"/>
      <c r="EY109" s="40"/>
      <c r="EZ109" s="39"/>
      <c r="FA109" s="40"/>
      <c r="FB109" s="39"/>
      <c r="FC109" s="40"/>
      <c r="FD109" s="39"/>
      <c r="FE109" s="40"/>
      <c r="FF109" s="39"/>
      <c r="FG109" s="40"/>
      <c r="FH109" s="39"/>
      <c r="FI109" s="40"/>
      <c r="FJ109" s="39"/>
      <c r="FK109" s="40"/>
      <c r="FL109" s="39"/>
      <c r="FM109" s="40"/>
      <c r="FN109" s="39"/>
      <c r="FO109" s="40"/>
      <c r="FP109" s="39"/>
      <c r="FQ109" s="40"/>
      <c r="FR109" s="39"/>
      <c r="FS109" s="40"/>
      <c r="FT109" s="39"/>
      <c r="FU109" s="40"/>
      <c r="FV109" s="39"/>
      <c r="FW109" s="40"/>
      <c r="FX109" s="39"/>
      <c r="FY109" s="40"/>
      <c r="FZ109" s="39"/>
      <c r="GA109" s="40"/>
      <c r="GB109" s="39"/>
      <c r="GC109" s="40"/>
      <c r="GD109" s="39"/>
      <c r="GE109" s="40"/>
      <c r="GF109" s="39"/>
      <c r="GG109" s="40"/>
      <c r="GH109" s="39"/>
      <c r="GI109" s="40"/>
      <c r="GJ109" s="39"/>
      <c r="GK109" s="40"/>
      <c r="GL109" s="39"/>
      <c r="GM109" s="40"/>
      <c r="GN109" s="39"/>
      <c r="GO109" s="40"/>
      <c r="GP109" s="39"/>
      <c r="GQ109" s="40"/>
      <c r="GR109" s="39"/>
      <c r="GS109" s="40"/>
      <c r="GT109" s="39"/>
      <c r="GU109" s="40"/>
      <c r="GV109" s="39"/>
      <c r="GW109" s="40"/>
      <c r="GX109" s="39"/>
      <c r="GY109" s="40"/>
      <c r="GZ109" s="39"/>
      <c r="HA109" s="40"/>
      <c r="HB109" s="39"/>
      <c r="HC109" s="40"/>
      <c r="HD109" s="39"/>
      <c r="HE109" s="40"/>
      <c r="HF109" s="39"/>
      <c r="HG109" s="40"/>
      <c r="HH109" s="39"/>
      <c r="HI109" s="40"/>
      <c r="HJ109" s="39"/>
      <c r="HK109" s="40"/>
      <c r="HL109" s="39"/>
      <c r="HM109" s="40"/>
      <c r="HN109" s="39"/>
      <c r="HO109" s="40"/>
      <c r="HP109" s="39"/>
      <c r="HQ109" s="40"/>
      <c r="HR109" s="39"/>
      <c r="HS109" s="40"/>
      <c r="HT109" s="39"/>
      <c r="HU109" s="40"/>
      <c r="HV109" s="39"/>
      <c r="HW109" s="40"/>
      <c r="HX109" s="39"/>
      <c r="HY109" s="40"/>
      <c r="HZ109" s="39"/>
      <c r="IA109" s="40"/>
      <c r="IB109" s="39"/>
      <c r="IC109" s="1068"/>
      <c r="ID109" s="645"/>
      <c r="IE109" s="646"/>
      <c r="IF109" s="645"/>
      <c r="IG109" s="646"/>
      <c r="IH109" s="645"/>
      <c r="II109" s="646"/>
      <c r="IJ109" s="645"/>
      <c r="IK109" s="646"/>
      <c r="IL109" s="645"/>
      <c r="IM109" s="646"/>
      <c r="IN109" s="645"/>
      <c r="IO109" s="646"/>
      <c r="IP109" s="645"/>
      <c r="IQ109" s="646"/>
      <c r="IR109" s="645"/>
      <c r="IS109" s="646"/>
      <c r="IT109" s="645"/>
      <c r="IU109" s="646"/>
      <c r="IV109" s="645"/>
      <c r="IW109" s="646"/>
      <c r="IX109" s="645"/>
      <c r="IY109" s="646"/>
      <c r="IZ109" s="645"/>
      <c r="JA109" s="646"/>
      <c r="JB109" s="645"/>
      <c r="JC109" s="646"/>
      <c r="JD109" s="645"/>
      <c r="JE109" s="646"/>
      <c r="JF109" s="645"/>
      <c r="JG109" s="646"/>
      <c r="JH109" s="645"/>
      <c r="JI109" s="646"/>
      <c r="JJ109" s="645"/>
      <c r="JK109" s="646"/>
      <c r="JL109" s="645"/>
      <c r="JM109" s="646"/>
      <c r="JN109" s="645"/>
      <c r="JO109" s="646"/>
      <c r="JP109" s="645"/>
      <c r="JQ109" s="646"/>
      <c r="JR109" s="645"/>
      <c r="JS109" s="646"/>
      <c r="JT109" s="645"/>
      <c r="JU109" s="646"/>
      <c r="JV109" s="645"/>
      <c r="JW109" s="646"/>
      <c r="JX109" s="645"/>
      <c r="JY109" s="646"/>
      <c r="JZ109" s="645"/>
      <c r="KA109" s="646"/>
      <c r="KB109" s="645"/>
      <c r="KC109" s="646"/>
      <c r="KD109" s="645"/>
      <c r="KE109" s="646"/>
      <c r="KF109" s="645"/>
      <c r="KG109" s="646"/>
      <c r="KH109" s="645"/>
      <c r="KI109" s="646"/>
      <c r="KJ109" s="645"/>
      <c r="KK109" s="646"/>
      <c r="KL109" s="645"/>
      <c r="KM109" s="646"/>
      <c r="KN109" s="645"/>
      <c r="KO109" s="646"/>
      <c r="KP109" s="645"/>
      <c r="KQ109" s="646"/>
      <c r="KR109" s="645"/>
      <c r="KS109" s="646"/>
      <c r="KT109" s="645"/>
      <c r="KU109" s="646"/>
      <c r="KV109" s="645"/>
      <c r="KW109" s="646"/>
      <c r="KX109" s="645"/>
      <c r="KY109" s="646"/>
      <c r="KZ109" s="645"/>
      <c r="LA109" s="646"/>
      <c r="LB109" s="645"/>
      <c r="LC109" s="646"/>
      <c r="LD109" s="645"/>
      <c r="LE109" s="646"/>
      <c r="LF109" s="645"/>
      <c r="LG109" s="646"/>
      <c r="LH109" s="645"/>
      <c r="LI109" s="646"/>
      <c r="LJ109" s="645"/>
      <c r="LK109" s="646"/>
      <c r="LL109" s="645"/>
      <c r="LM109" s="646"/>
      <c r="LN109" s="645"/>
      <c r="LO109" s="646"/>
      <c r="LP109" s="645"/>
      <c r="LQ109" s="646"/>
      <c r="LR109" s="645"/>
      <c r="LS109" s="646"/>
      <c r="LT109" s="645"/>
      <c r="LU109" s="646"/>
      <c r="LV109" s="645"/>
      <c r="LW109" s="646"/>
      <c r="LX109" s="645"/>
      <c r="LY109" s="646"/>
      <c r="LZ109" s="645"/>
      <c r="MA109" s="646"/>
      <c r="MB109" s="645"/>
      <c r="MC109" s="646"/>
      <c r="MD109" s="645"/>
      <c r="ME109" s="646"/>
      <c r="MF109" s="645"/>
      <c r="MG109" s="646"/>
      <c r="MH109" s="645"/>
      <c r="MI109" s="646"/>
      <c r="MJ109" s="645"/>
      <c r="MK109" s="646"/>
      <c r="ML109" s="645"/>
      <c r="MM109" s="646"/>
      <c r="MN109" s="645"/>
      <c r="MO109" s="646"/>
      <c r="MP109" s="645"/>
      <c r="MQ109" s="646"/>
      <c r="MR109" s="645"/>
      <c r="MS109" s="646"/>
      <c r="MT109" s="645"/>
      <c r="MU109" s="646"/>
      <c r="MV109" s="645"/>
      <c r="MW109" s="646"/>
      <c r="MX109" s="645"/>
      <c r="MY109" s="646"/>
      <c r="MZ109" s="645"/>
      <c r="NA109" s="646"/>
      <c r="NB109" s="645"/>
      <c r="NC109" s="646"/>
      <c r="ND109" s="645"/>
      <c r="NE109" s="646"/>
      <c r="NF109" s="645"/>
      <c r="NG109" s="646"/>
      <c r="NH109" s="645"/>
      <c r="NI109" s="646"/>
      <c r="NJ109" s="645"/>
      <c r="NK109" s="646"/>
      <c r="NL109" s="645"/>
      <c r="NM109" s="646"/>
      <c r="NN109" s="645"/>
      <c r="NO109" s="646"/>
      <c r="NP109" s="645"/>
      <c r="NQ109" s="646"/>
      <c r="NR109" s="645"/>
      <c r="NS109" s="646"/>
      <c r="NT109" s="645"/>
      <c r="NU109" s="646"/>
      <c r="NV109" s="645"/>
      <c r="NW109" s="646"/>
      <c r="NX109" s="645"/>
      <c r="NY109" s="646"/>
      <c r="NZ109" s="645"/>
      <c r="OA109" s="646"/>
      <c r="OB109" s="645"/>
      <c r="OC109" s="646"/>
      <c r="OD109" s="645"/>
      <c r="OE109" s="646"/>
      <c r="OF109" s="645"/>
      <c r="OG109" s="646"/>
      <c r="OH109" s="645"/>
      <c r="OI109" s="646"/>
      <c r="OJ109" s="645"/>
      <c r="OK109" s="646"/>
      <c r="OL109" s="645"/>
      <c r="OM109" s="646"/>
      <c r="ON109" s="645"/>
      <c r="OO109" s="646"/>
      <c r="OP109" s="645"/>
      <c r="OQ109" s="646"/>
      <c r="OR109" s="645"/>
      <c r="OS109" s="646"/>
      <c r="OT109" s="645"/>
      <c r="OU109" s="646"/>
      <c r="OV109" s="645"/>
      <c r="OW109" s="646"/>
      <c r="OX109" s="645"/>
      <c r="OY109" s="646"/>
      <c r="OZ109" s="645"/>
      <c r="PA109" s="646"/>
      <c r="PB109" s="645"/>
      <c r="PC109" s="646"/>
      <c r="PD109" s="645"/>
      <c r="PE109" s="646"/>
      <c r="PF109" s="645"/>
      <c r="PG109" s="646"/>
      <c r="PH109" s="645"/>
      <c r="PI109" s="646"/>
      <c r="PJ109" s="645"/>
      <c r="PK109" s="646"/>
      <c r="PL109" s="645"/>
      <c r="PM109" s="646"/>
      <c r="PN109" s="645"/>
      <c r="PO109" s="646"/>
      <c r="PP109" s="645"/>
      <c r="PQ109" s="646"/>
      <c r="PR109" s="645"/>
      <c r="PS109" s="646"/>
      <c r="PT109" s="645"/>
      <c r="PU109" s="646"/>
      <c r="PV109" s="645"/>
      <c r="PW109" s="646"/>
      <c r="PX109" s="645"/>
      <c r="PY109" s="646"/>
      <c r="PZ109" s="645"/>
      <c r="QA109" s="646"/>
      <c r="QB109" s="645"/>
      <c r="QC109" s="646"/>
      <c r="QD109" s="645"/>
      <c r="QE109" s="646"/>
      <c r="QF109" s="645"/>
      <c r="QG109" s="646"/>
      <c r="QH109" s="645"/>
      <c r="QI109" s="646"/>
      <c r="QJ109" s="645"/>
      <c r="QK109" s="646"/>
      <c r="QL109" s="645"/>
      <c r="QM109" s="646"/>
      <c r="QN109" s="645"/>
      <c r="QO109" s="646"/>
      <c r="QP109" s="645"/>
      <c r="QQ109" s="646"/>
      <c r="QR109" s="645"/>
      <c r="QS109" s="646"/>
      <c r="QT109" s="645"/>
      <c r="QU109" s="646"/>
      <c r="QV109" s="645"/>
      <c r="QW109" s="646"/>
      <c r="QX109" s="645"/>
      <c r="QY109" s="646"/>
      <c r="QZ109" s="645"/>
      <c r="RA109" s="646"/>
      <c r="RB109" s="645"/>
      <c r="RC109" s="646"/>
      <c r="RD109" s="645"/>
      <c r="RE109" s="646"/>
      <c r="RF109" s="645"/>
      <c r="RG109" s="646"/>
      <c r="RH109" s="645"/>
      <c r="RI109" s="646"/>
      <c r="RJ109" s="645"/>
      <c r="RK109" s="646"/>
      <c r="RL109" s="645"/>
      <c r="RM109" s="646"/>
      <c r="RN109" s="645"/>
      <c r="RO109" s="646"/>
      <c r="RP109" s="645"/>
      <c r="RQ109" s="646"/>
      <c r="RR109" s="645"/>
      <c r="RS109" s="646"/>
      <c r="RT109" s="645"/>
      <c r="RU109" s="646"/>
      <c r="RV109" s="645"/>
      <c r="RW109" s="646"/>
      <c r="RX109" s="645"/>
      <c r="RY109" s="646"/>
      <c r="RZ109" s="645"/>
      <c r="SA109" s="646"/>
      <c r="SB109" s="645"/>
      <c r="SC109" s="646"/>
      <c r="SD109" s="645"/>
      <c r="SE109" s="646"/>
      <c r="SF109" s="645"/>
      <c r="SG109" s="646"/>
      <c r="SH109" s="645"/>
      <c r="SI109" s="646"/>
      <c r="SJ109" s="645"/>
      <c r="SK109" s="646"/>
      <c r="SL109" s="645"/>
      <c r="SM109" s="646"/>
      <c r="SN109" s="645"/>
      <c r="SO109" s="646"/>
      <c r="SP109" s="645"/>
      <c r="SQ109" s="646"/>
      <c r="SR109" s="645"/>
      <c r="SS109" s="646"/>
      <c r="ST109" s="645"/>
      <c r="SU109" s="646"/>
      <c r="SV109" s="645"/>
      <c r="SW109" s="646"/>
      <c r="SX109" s="645"/>
      <c r="SY109" s="646"/>
      <c r="SZ109" s="645"/>
      <c r="TA109" s="646"/>
      <c r="TB109" s="645"/>
      <c r="TC109" s="646"/>
      <c r="TD109" s="645"/>
      <c r="TE109" s="646"/>
      <c r="TF109" s="645"/>
      <c r="TG109" s="646"/>
      <c r="TH109" s="645"/>
      <c r="TI109" s="646"/>
      <c r="TJ109" s="645"/>
      <c r="TK109" s="646"/>
      <c r="TL109" s="645"/>
      <c r="TM109" s="646"/>
      <c r="TN109" s="645"/>
      <c r="TO109" s="646"/>
      <c r="TP109" s="645"/>
      <c r="TQ109" s="646"/>
      <c r="TR109" s="645"/>
      <c r="TS109" s="646"/>
      <c r="TT109" s="645"/>
      <c r="TU109" s="646"/>
      <c r="TV109" s="645"/>
      <c r="TW109" s="646"/>
      <c r="TX109" s="645"/>
      <c r="TY109" s="646"/>
      <c r="TZ109" s="645"/>
      <c r="UA109" s="646"/>
      <c r="UB109" s="645"/>
      <c r="UC109" s="646"/>
      <c r="UD109" s="645"/>
      <c r="UE109" s="646"/>
      <c r="UF109" s="645"/>
      <c r="UG109" s="646"/>
      <c r="UH109" s="645"/>
      <c r="UI109" s="646"/>
      <c r="UJ109" s="645"/>
      <c r="UK109" s="646"/>
      <c r="UL109" s="645"/>
      <c r="UM109" s="646"/>
      <c r="UN109" s="645"/>
      <c r="UO109" s="646"/>
      <c r="UP109" s="645"/>
      <c r="UQ109" s="646"/>
      <c r="UR109" s="645"/>
      <c r="US109" s="646"/>
      <c r="UT109" s="645"/>
      <c r="UU109" s="646"/>
      <c r="UV109" s="645"/>
      <c r="UW109" s="646"/>
      <c r="UX109" s="645"/>
      <c r="UY109" s="646"/>
      <c r="UZ109" s="645"/>
      <c r="VA109" s="646"/>
      <c r="VB109" s="645"/>
      <c r="VC109" s="646"/>
      <c r="VD109" s="645"/>
      <c r="VE109" s="646"/>
      <c r="VF109" s="645"/>
      <c r="VG109" s="646"/>
      <c r="VH109" s="645"/>
      <c r="VI109" s="646"/>
      <c r="VJ109" s="645"/>
      <c r="VK109" s="646"/>
      <c r="VL109" s="645"/>
      <c r="VM109" s="646"/>
      <c r="VN109" s="645"/>
      <c r="VO109" s="646"/>
      <c r="VP109" s="645"/>
      <c r="VQ109" s="646"/>
      <c r="VR109" s="645"/>
      <c r="VS109" s="646"/>
      <c r="VT109" s="645"/>
      <c r="VU109" s="646"/>
      <c r="VV109" s="645"/>
      <c r="VW109" s="646"/>
      <c r="VX109" s="645"/>
      <c r="VY109" s="646"/>
      <c r="VZ109" s="645"/>
      <c r="WA109" s="646"/>
      <c r="WB109" s="645"/>
      <c r="WC109" s="646"/>
      <c r="WD109" s="645"/>
      <c r="WE109" s="646"/>
      <c r="WF109" s="645"/>
      <c r="WG109" s="646"/>
      <c r="WH109" s="645"/>
      <c r="WI109" s="646"/>
      <c r="WJ109" s="645"/>
      <c r="WK109" s="646"/>
      <c r="WL109" s="645"/>
      <c r="WM109" s="646"/>
      <c r="WN109" s="645"/>
      <c r="WO109" s="646"/>
      <c r="WP109" s="645"/>
      <c r="WQ109" s="646"/>
      <c r="WR109" s="645"/>
      <c r="WS109" s="646"/>
      <c r="WT109" s="645"/>
      <c r="WU109" s="646"/>
      <c r="WV109" s="645"/>
      <c r="WW109" s="646"/>
      <c r="WX109" s="645"/>
      <c r="WY109" s="646"/>
      <c r="WZ109" s="645"/>
      <c r="XA109" s="646"/>
      <c r="XB109" s="645"/>
      <c r="XC109" s="646"/>
      <c r="XD109" s="645"/>
      <c r="XE109" s="646"/>
      <c r="XF109" s="645"/>
      <c r="XG109" s="646"/>
      <c r="XH109" s="645"/>
      <c r="XI109" s="646"/>
      <c r="XJ109" s="645"/>
      <c r="XK109" s="646"/>
      <c r="XL109" s="645"/>
      <c r="XM109" s="646"/>
      <c r="XN109" s="645"/>
      <c r="XO109" s="646"/>
      <c r="XP109" s="645"/>
      <c r="XQ109" s="646"/>
      <c r="XR109" s="645"/>
      <c r="XS109" s="646"/>
      <c r="XT109" s="645"/>
      <c r="XU109" s="646"/>
      <c r="XV109" s="645"/>
      <c r="XW109" s="646"/>
      <c r="XX109" s="645"/>
      <c r="XY109" s="646"/>
      <c r="XZ109" s="645"/>
      <c r="YA109" s="646"/>
      <c r="YB109" s="645"/>
      <c r="YC109" s="646"/>
      <c r="YD109" s="645"/>
      <c r="YE109" s="646"/>
      <c r="YF109" s="645"/>
      <c r="YG109" s="646"/>
      <c r="YH109" s="645"/>
      <c r="YI109" s="646"/>
      <c r="YJ109" s="645"/>
      <c r="YK109" s="646"/>
      <c r="YL109" s="645"/>
      <c r="YM109" s="646"/>
      <c r="YN109" s="645"/>
      <c r="YO109" s="646"/>
      <c r="YP109" s="645"/>
      <c r="YQ109" s="646"/>
      <c r="YR109" s="645"/>
      <c r="YS109" s="646"/>
      <c r="YT109" s="645"/>
      <c r="YU109" s="646"/>
      <c r="YV109" s="645"/>
      <c r="YW109" s="646"/>
      <c r="YX109" s="645"/>
      <c r="YY109" s="646"/>
      <c r="YZ109" s="645"/>
      <c r="ZA109" s="646"/>
      <c r="ZB109" s="645"/>
      <c r="ZC109" s="646"/>
      <c r="ZD109" s="645"/>
      <c r="ZE109" s="646"/>
      <c r="ZF109" s="645"/>
      <c r="ZG109" s="646"/>
      <c r="ZH109" s="645"/>
      <c r="ZI109" s="646"/>
      <c r="ZJ109" s="645"/>
      <c r="ZK109" s="646"/>
      <c r="ZL109" s="645"/>
      <c r="ZM109" s="646"/>
      <c r="ZN109" s="645"/>
      <c r="ZO109" s="646"/>
      <c r="ZP109" s="645"/>
      <c r="ZQ109" s="646"/>
      <c r="ZR109" s="645"/>
      <c r="ZS109" s="646"/>
      <c r="ZT109" s="645"/>
      <c r="ZU109" s="646"/>
      <c r="ZV109" s="645"/>
      <c r="ZW109" s="646"/>
      <c r="ZX109" s="645"/>
      <c r="ZY109" s="646"/>
      <c r="ZZ109" s="645"/>
      <c r="AAA109" s="646"/>
      <c r="AAB109" s="645"/>
      <c r="AAC109" s="646"/>
      <c r="AAD109" s="645"/>
      <c r="AAE109" s="646"/>
      <c r="AAF109" s="645"/>
      <c r="AAG109" s="646"/>
      <c r="AAH109" s="645"/>
      <c r="AAI109" s="646"/>
      <c r="AAJ109" s="645"/>
      <c r="AAK109" s="646"/>
      <c r="AAL109" s="645"/>
      <c r="AAM109" s="646"/>
      <c r="AAN109" s="645"/>
      <c r="AAO109" s="646"/>
      <c r="AAP109" s="645"/>
      <c r="AAQ109" s="646"/>
      <c r="AAR109" s="645"/>
      <c r="AAS109" s="646"/>
      <c r="AAT109" s="645"/>
      <c r="AAU109" s="646"/>
      <c r="AAV109" s="645"/>
      <c r="AAW109" s="646"/>
      <c r="AAX109" s="645"/>
      <c r="AAY109" s="646"/>
      <c r="AAZ109" s="645"/>
      <c r="ABA109" s="646"/>
      <c r="ABB109" s="645"/>
      <c r="ABC109" s="646"/>
      <c r="ABD109" s="645"/>
      <c r="ABE109" s="646"/>
      <c r="ABF109" s="645"/>
      <c r="ABG109" s="646"/>
      <c r="ABH109" s="645"/>
      <c r="ABI109" s="646"/>
      <c r="ABJ109" s="645"/>
      <c r="ABK109" s="646"/>
      <c r="ABL109" s="645"/>
      <c r="ABM109" s="646"/>
      <c r="ABN109" s="645"/>
      <c r="ABO109" s="646"/>
      <c r="ABP109" s="645"/>
      <c r="ABQ109" s="646"/>
      <c r="ABR109" s="645"/>
      <c r="ABS109" s="646"/>
      <c r="ABT109" s="645"/>
      <c r="ABU109" s="646"/>
      <c r="ABV109" s="645"/>
      <c r="ABW109" s="646"/>
      <c r="ABX109" s="645"/>
      <c r="ABY109" s="646"/>
      <c r="ABZ109" s="645"/>
      <c r="ACA109" s="646"/>
      <c r="ACB109" s="645"/>
      <c r="ACC109" s="646"/>
      <c r="ACD109" s="645"/>
      <c r="ACE109" s="646"/>
      <c r="ACF109" s="645"/>
      <c r="ACG109" s="646"/>
      <c r="ACH109" s="645"/>
      <c r="ACI109" s="646"/>
      <c r="ACJ109" s="645"/>
      <c r="ACK109" s="646"/>
      <c r="ACL109" s="645"/>
      <c r="ACM109" s="646"/>
      <c r="ACN109" s="645"/>
      <c r="ACO109" s="646"/>
      <c r="ACP109" s="645"/>
      <c r="ACQ109" s="646"/>
      <c r="ACR109" s="645"/>
      <c r="ACS109" s="646"/>
      <c r="ACT109" s="645"/>
      <c r="ACU109" s="646"/>
      <c r="ACV109" s="645"/>
      <c r="ACW109" s="646"/>
      <c r="ACX109" s="645"/>
      <c r="ACY109" s="646"/>
      <c r="ACZ109" s="645"/>
      <c r="ADA109" s="646"/>
      <c r="ADB109" s="645"/>
      <c r="ADC109" s="646"/>
      <c r="ADD109" s="645"/>
      <c r="ADE109" s="646"/>
      <c r="ADF109" s="645"/>
      <c r="ADG109" s="646"/>
      <c r="ADH109" s="645"/>
      <c r="ADI109" s="646"/>
      <c r="ADJ109" s="645"/>
      <c r="ADK109" s="646"/>
      <c r="ADL109" s="645"/>
      <c r="ADM109" s="646"/>
      <c r="ADN109" s="645"/>
      <c r="ADO109" s="646"/>
      <c r="ADP109" s="645"/>
      <c r="ADQ109" s="646"/>
      <c r="ADR109" s="645"/>
      <c r="ADS109" s="646"/>
      <c r="ADT109" s="645"/>
      <c r="ADU109" s="646"/>
      <c r="ADV109" s="645"/>
      <c r="ADW109" s="646"/>
      <c r="ADX109" s="645"/>
      <c r="ADY109" s="646"/>
      <c r="ADZ109" s="645"/>
      <c r="AEA109" s="646"/>
      <c r="AEB109" s="645"/>
      <c r="AEC109" s="646"/>
      <c r="AED109" s="645"/>
      <c r="AEE109" s="646"/>
      <c r="AEF109" s="645"/>
      <c r="AEG109" s="646"/>
      <c r="AEH109" s="645"/>
      <c r="AEI109" s="646"/>
      <c r="AEJ109" s="645"/>
      <c r="AEK109" s="646"/>
      <c r="AEL109" s="645"/>
      <c r="AEM109" s="646"/>
      <c r="AEN109" s="645"/>
      <c r="AEO109" s="646"/>
      <c r="AEP109" s="645"/>
      <c r="AEQ109" s="646"/>
      <c r="AER109" s="645"/>
      <c r="AES109" s="646"/>
      <c r="AET109" s="645"/>
      <c r="AEU109" s="646"/>
      <c r="AEV109" s="645"/>
      <c r="AEW109" s="646"/>
      <c r="AEX109" s="645"/>
      <c r="AEY109" s="646"/>
      <c r="AEZ109" s="645"/>
      <c r="AFA109" s="646"/>
      <c r="AFB109" s="645"/>
      <c r="AFC109" s="646"/>
      <c r="AFD109" s="645"/>
      <c r="AFE109" s="646"/>
      <c r="AFF109" s="645"/>
      <c r="AFG109" s="646"/>
      <c r="AFH109" s="645"/>
      <c r="AFI109" s="646"/>
      <c r="AFJ109" s="645"/>
      <c r="AFK109" s="646"/>
      <c r="AFL109" s="645"/>
      <c r="AFM109" s="646"/>
      <c r="AFN109" s="645"/>
      <c r="AFO109" s="646"/>
      <c r="AFP109" s="645"/>
      <c r="AFQ109" s="646"/>
      <c r="AFR109" s="645"/>
      <c r="AFS109" s="646"/>
      <c r="AFT109" s="645"/>
      <c r="AFU109" s="646"/>
      <c r="AFV109" s="645"/>
      <c r="AFW109" s="646"/>
      <c r="AFX109" s="645"/>
      <c r="AFY109" s="646"/>
      <c r="AFZ109" s="645"/>
      <c r="AGA109" s="646"/>
      <c r="AGB109" s="645"/>
      <c r="AGC109" s="646"/>
      <c r="AGD109" s="645"/>
      <c r="AGE109" s="646"/>
      <c r="AGF109" s="645"/>
      <c r="AGG109" s="646"/>
      <c r="AGH109" s="645"/>
      <c r="AGI109" s="646"/>
      <c r="AGJ109" s="645"/>
      <c r="AGK109" s="646"/>
      <c r="AGL109" s="645"/>
      <c r="AGM109" s="646"/>
      <c r="AGN109" s="645"/>
      <c r="AGO109" s="646"/>
      <c r="AGP109" s="645"/>
      <c r="AGQ109" s="646"/>
      <c r="AGR109" s="645"/>
      <c r="AGS109" s="646"/>
      <c r="AGT109" s="645"/>
      <c r="AGU109" s="646"/>
      <c r="AGV109" s="645"/>
      <c r="AGW109" s="646"/>
      <c r="AGX109" s="645"/>
      <c r="AGY109" s="646"/>
      <c r="AGZ109" s="645"/>
      <c r="AHA109" s="646"/>
      <c r="AHB109" s="645"/>
      <c r="AHC109" s="646"/>
      <c r="AHD109" s="645"/>
      <c r="AHE109" s="646"/>
      <c r="AHF109" s="645"/>
      <c r="AHG109" s="646"/>
      <c r="AHH109" s="645"/>
      <c r="AHI109" s="646"/>
      <c r="AHJ109" s="645"/>
      <c r="AHK109" s="646"/>
      <c r="AHL109" s="645"/>
      <c r="AHM109" s="646"/>
      <c r="AHN109" s="645"/>
      <c r="AHO109" s="646"/>
      <c r="AHP109" s="645"/>
      <c r="AHQ109" s="646"/>
      <c r="AHR109" s="645"/>
      <c r="AHS109" s="646"/>
      <c r="AHT109" s="645"/>
      <c r="AHU109" s="646"/>
      <c r="AHV109" s="645"/>
      <c r="AHW109" s="646"/>
      <c r="AHX109" s="645"/>
      <c r="AHY109" s="646"/>
      <c r="AHZ109" s="645"/>
      <c r="AIA109" s="646"/>
      <c r="AIB109" s="645"/>
      <c r="AIC109" s="646"/>
      <c r="AID109" s="645"/>
      <c r="AIE109" s="646"/>
      <c r="AIF109" s="645"/>
      <c r="AIG109" s="646"/>
      <c r="AIH109" s="645"/>
      <c r="AII109" s="646"/>
      <c r="AIJ109" s="645"/>
      <c r="AIK109" s="646"/>
      <c r="AIL109" s="645"/>
      <c r="AIM109" s="646"/>
      <c r="AIN109" s="645"/>
      <c r="AIO109" s="646"/>
      <c r="AIP109" s="645"/>
      <c r="AIQ109" s="645"/>
      <c r="AIR109" s="645"/>
      <c r="AIS109" s="645"/>
      <c r="AIT109" s="645"/>
      <c r="AIU109" s="645"/>
      <c r="AIV109" s="645"/>
      <c r="AIW109" s="645"/>
      <c r="AIX109" s="645"/>
      <c r="AIY109" s="645"/>
      <c r="AIZ109" s="645"/>
      <c r="AJA109" s="645"/>
      <c r="AJB109" s="645"/>
      <c r="AJC109" s="645"/>
      <c r="AJD109" s="645"/>
      <c r="AJE109" s="645"/>
      <c r="AJF109" s="645"/>
      <c r="AJG109" s="645"/>
      <c r="AJH109" s="645"/>
      <c r="AJI109" s="645"/>
      <c r="AJJ109" s="645"/>
      <c r="AJK109" s="645"/>
      <c r="AJL109" s="645"/>
      <c r="AJM109" s="645"/>
      <c r="AJN109" s="645"/>
      <c r="AJO109" s="645"/>
      <c r="AJP109" s="645"/>
      <c r="AJQ109" s="645"/>
      <c r="AJR109" s="645"/>
      <c r="AJS109" s="645"/>
      <c r="AJT109" s="645"/>
      <c r="AJU109" s="645"/>
      <c r="AJV109" s="645"/>
      <c r="AJW109" s="645"/>
      <c r="AJX109" s="645"/>
      <c r="AJY109" s="645"/>
      <c r="AJZ109" s="645"/>
      <c r="AKA109" s="645"/>
      <c r="AKB109" s="645"/>
      <c r="AKC109" s="645"/>
      <c r="AKD109" s="645"/>
      <c r="AKE109" s="645"/>
      <c r="AKF109" s="645"/>
      <c r="AKG109" s="645"/>
      <c r="AKH109" s="645"/>
      <c r="AKI109" s="645"/>
      <c r="AKJ109" s="645"/>
      <c r="AKK109" s="645"/>
      <c r="AKL109" s="645"/>
      <c r="AKM109" s="645"/>
      <c r="AKN109" s="645"/>
      <c r="AKO109" s="645"/>
      <c r="AKP109" s="645"/>
      <c r="AKQ109" s="645"/>
      <c r="AKR109" s="645"/>
      <c r="AKS109" s="645"/>
      <c r="AKT109" s="645"/>
      <c r="AKU109" s="645"/>
      <c r="AKV109" s="645"/>
      <c r="AKW109" s="645"/>
      <c r="AKX109" s="645"/>
      <c r="AKY109" s="645"/>
      <c r="AKZ109" s="645"/>
      <c r="ALA109" s="645"/>
      <c r="ALB109" s="645"/>
      <c r="ALC109" s="645"/>
      <c r="ALD109" s="645"/>
      <c r="ALE109" s="645"/>
      <c r="ALF109" s="645"/>
      <c r="ALG109" s="645"/>
      <c r="ALH109" s="645"/>
      <c r="ALI109" s="645"/>
      <c r="ALJ109" s="645"/>
      <c r="ALK109" s="645"/>
      <c r="ALL109" s="645"/>
      <c r="ALM109" s="645"/>
      <c r="ALN109" s="645"/>
      <c r="ALO109" s="645"/>
      <c r="ALP109" s="645"/>
      <c r="ALQ109" s="645"/>
      <c r="ALR109" s="645"/>
      <c r="ALS109" s="645"/>
      <c r="ALT109" s="645"/>
      <c r="ALU109" s="645"/>
      <c r="ALV109" s="645"/>
      <c r="ALW109" s="645"/>
      <c r="ALX109" s="645"/>
      <c r="ALY109" s="645"/>
      <c r="ALZ109" s="645"/>
      <c r="AMA109" s="645"/>
      <c r="AMB109" s="645"/>
      <c r="AMC109" s="645"/>
      <c r="AMD109" s="645"/>
      <c r="AME109" s="645"/>
      <c r="AMF109" s="645"/>
      <c r="AMG109" s="645"/>
      <c r="AMH109" s="645"/>
      <c r="AMI109" s="645"/>
      <c r="AMJ109" s="645"/>
    </row>
    <row r="110" spans="1:1024" s="37" customFormat="1" ht="15.75" customHeight="1" x14ac:dyDescent="0.35">
      <c r="A110" s="600"/>
      <c r="B110" s="644" t="s">
        <v>364</v>
      </c>
      <c r="C110" s="645"/>
      <c r="D110" s="646"/>
      <c r="E110" s="645"/>
      <c r="F110" s="646"/>
      <c r="G110" s="453" t="s">
        <v>234</v>
      </c>
      <c r="H110" s="643" t="s">
        <v>259</v>
      </c>
      <c r="I110" s="645"/>
      <c r="J110" s="38"/>
      <c r="K110" s="38"/>
      <c r="L110" s="39"/>
      <c r="M110" s="38"/>
      <c r="N110" s="39"/>
      <c r="O110" s="38"/>
      <c r="P110" s="39"/>
      <c r="Q110" s="38"/>
      <c r="R110" s="39"/>
      <c r="S110" s="38"/>
      <c r="T110" s="39"/>
      <c r="U110" s="38"/>
      <c r="V110" s="39"/>
      <c r="W110" s="38"/>
      <c r="X110" s="39"/>
      <c r="Y110" s="38"/>
      <c r="Z110" s="39"/>
      <c r="AA110" s="38"/>
      <c r="AB110" s="39"/>
      <c r="AC110" s="38"/>
      <c r="AD110" s="39"/>
      <c r="AE110" s="38"/>
      <c r="AF110" s="39"/>
      <c r="AG110" s="38"/>
      <c r="AH110" s="39"/>
      <c r="AI110" s="38"/>
      <c r="AJ110" s="39"/>
      <c r="AK110" s="40"/>
      <c r="AL110" s="39"/>
      <c r="AM110" s="40"/>
      <c r="AN110" s="39"/>
      <c r="AO110" s="40"/>
      <c r="AP110" s="39"/>
      <c r="AQ110" s="40"/>
      <c r="AR110" s="39"/>
      <c r="AS110" s="40"/>
      <c r="AT110" s="39"/>
      <c r="AU110" s="40"/>
      <c r="AV110" s="39"/>
      <c r="AW110" s="40"/>
      <c r="AX110" s="39"/>
      <c r="AY110" s="40"/>
      <c r="AZ110" s="39"/>
      <c r="BA110" s="40"/>
      <c r="BB110" s="39"/>
      <c r="BC110" s="40"/>
      <c r="BD110" s="39"/>
      <c r="BE110" s="40"/>
      <c r="BF110" s="39"/>
      <c r="BG110" s="40"/>
      <c r="BH110" s="39"/>
      <c r="BI110" s="40"/>
      <c r="BJ110" s="39"/>
      <c r="BK110" s="40"/>
      <c r="BL110" s="39"/>
      <c r="BM110" s="40"/>
      <c r="BN110" s="39"/>
      <c r="BO110" s="40"/>
      <c r="BP110" s="39"/>
      <c r="BQ110" s="40"/>
      <c r="BR110" s="39"/>
      <c r="BS110" s="40"/>
      <c r="BT110" s="39"/>
      <c r="BU110" s="40"/>
      <c r="BV110" s="39"/>
      <c r="BW110" s="40"/>
      <c r="BX110" s="39"/>
      <c r="BY110" s="40"/>
      <c r="BZ110" s="39"/>
      <c r="CA110" s="40"/>
      <c r="CB110" s="39"/>
      <c r="CC110" s="40"/>
      <c r="CD110" s="39"/>
      <c r="CE110" s="40"/>
      <c r="CF110" s="39"/>
      <c r="CG110" s="40"/>
      <c r="CH110" s="39"/>
      <c r="CI110" s="40"/>
      <c r="CJ110" s="39"/>
      <c r="CK110" s="40"/>
      <c r="CL110" s="39"/>
      <c r="CM110" s="40"/>
      <c r="CN110" s="39"/>
      <c r="CO110" s="40"/>
      <c r="CP110" s="39"/>
      <c r="CQ110" s="40"/>
      <c r="CR110" s="39"/>
      <c r="CS110" s="40"/>
      <c r="CT110" s="39"/>
      <c r="CU110" s="40"/>
      <c r="CV110" s="39"/>
      <c r="CW110" s="40"/>
      <c r="CX110" s="39"/>
      <c r="CY110" s="40"/>
      <c r="CZ110" s="39"/>
      <c r="DA110" s="40"/>
      <c r="DB110" s="39"/>
      <c r="DC110" s="40"/>
      <c r="DD110" s="39"/>
      <c r="DE110" s="40"/>
      <c r="DF110" s="39"/>
      <c r="DG110" s="40"/>
      <c r="DH110" s="39"/>
      <c r="DI110" s="40"/>
      <c r="DJ110" s="39"/>
      <c r="DK110" s="40"/>
      <c r="DL110" s="39"/>
      <c r="DM110" s="40"/>
      <c r="DN110" s="39"/>
      <c r="DO110" s="40"/>
      <c r="DP110" s="39"/>
      <c r="DQ110" s="40"/>
      <c r="DR110" s="39"/>
      <c r="DS110" s="40"/>
      <c r="DT110" s="39"/>
      <c r="DU110" s="40"/>
      <c r="DV110" s="39"/>
      <c r="DW110" s="40"/>
      <c r="DX110" s="39"/>
      <c r="DY110" s="40"/>
      <c r="DZ110" s="39"/>
      <c r="EA110" s="40"/>
      <c r="EB110" s="39"/>
      <c r="EC110" s="40"/>
      <c r="ED110" s="39"/>
      <c r="EE110" s="40"/>
      <c r="EF110" s="39"/>
      <c r="EG110" s="40"/>
      <c r="EH110" s="39"/>
      <c r="EI110" s="40"/>
      <c r="EJ110" s="39"/>
      <c r="EK110" s="40"/>
      <c r="EL110" s="39"/>
      <c r="EM110" s="40"/>
      <c r="EN110" s="39"/>
      <c r="EO110" s="40"/>
      <c r="EP110" s="39"/>
      <c r="EQ110" s="40"/>
      <c r="ER110" s="39"/>
      <c r="ES110" s="40"/>
      <c r="ET110" s="39"/>
      <c r="EU110" s="40"/>
      <c r="EV110" s="39"/>
      <c r="EW110" s="40"/>
      <c r="EX110" s="39"/>
      <c r="EY110" s="40"/>
      <c r="EZ110" s="39"/>
      <c r="FA110" s="40"/>
      <c r="FB110" s="39"/>
      <c r="FC110" s="40"/>
      <c r="FD110" s="39"/>
      <c r="FE110" s="40"/>
      <c r="FF110" s="39"/>
      <c r="FG110" s="40"/>
      <c r="FH110" s="39"/>
      <c r="FI110" s="40"/>
      <c r="FJ110" s="39"/>
      <c r="FK110" s="40"/>
      <c r="FL110" s="39"/>
      <c r="FM110" s="40"/>
      <c r="FN110" s="39"/>
      <c r="FO110" s="40"/>
      <c r="FP110" s="39"/>
      <c r="FQ110" s="40"/>
      <c r="FR110" s="39"/>
      <c r="FS110" s="40"/>
      <c r="FT110" s="39"/>
      <c r="FU110" s="40"/>
      <c r="FV110" s="39"/>
      <c r="FW110" s="40"/>
      <c r="FX110" s="39"/>
      <c r="FY110" s="40"/>
      <c r="FZ110" s="39"/>
      <c r="GA110" s="40"/>
      <c r="GB110" s="39"/>
      <c r="GC110" s="40"/>
      <c r="GD110" s="39"/>
      <c r="GE110" s="40"/>
      <c r="GF110" s="39"/>
      <c r="GG110" s="40"/>
      <c r="GH110" s="39"/>
      <c r="GI110" s="40"/>
      <c r="GJ110" s="39"/>
      <c r="GK110" s="40"/>
      <c r="GL110" s="39"/>
      <c r="GM110" s="40"/>
      <c r="GN110" s="39"/>
      <c r="GO110" s="40"/>
      <c r="GP110" s="39"/>
      <c r="GQ110" s="40"/>
      <c r="GR110" s="39"/>
      <c r="GS110" s="40"/>
      <c r="GT110" s="39"/>
      <c r="GU110" s="40"/>
      <c r="GV110" s="39"/>
      <c r="GW110" s="40"/>
      <c r="GX110" s="39"/>
      <c r="GY110" s="40"/>
      <c r="GZ110" s="39"/>
      <c r="HA110" s="40"/>
      <c r="HB110" s="39"/>
      <c r="HC110" s="40"/>
      <c r="HD110" s="39"/>
      <c r="HE110" s="40"/>
      <c r="HF110" s="39"/>
      <c r="HG110" s="40"/>
      <c r="HH110" s="39"/>
      <c r="HI110" s="40"/>
      <c r="HJ110" s="39"/>
      <c r="HK110" s="40"/>
      <c r="HL110" s="39"/>
      <c r="HM110" s="40"/>
      <c r="HN110" s="39"/>
      <c r="HO110" s="40"/>
      <c r="HP110" s="39"/>
      <c r="HQ110" s="40"/>
      <c r="HR110" s="39"/>
      <c r="HS110" s="40"/>
      <c r="HT110" s="39"/>
      <c r="HU110" s="40"/>
      <c r="HV110" s="39"/>
      <c r="HW110" s="40"/>
      <c r="HX110" s="39"/>
      <c r="HY110" s="40"/>
      <c r="HZ110" s="39"/>
      <c r="IA110" s="40"/>
      <c r="IB110" s="39"/>
      <c r="IC110" s="1068"/>
      <c r="ID110" s="645"/>
      <c r="IE110" s="646"/>
      <c r="IF110" s="645"/>
      <c r="IG110" s="646"/>
      <c r="IH110" s="645"/>
      <c r="II110" s="646"/>
      <c r="IJ110" s="645"/>
      <c r="IK110" s="646"/>
      <c r="IL110" s="645"/>
      <c r="IM110" s="646"/>
      <c r="IN110" s="645"/>
      <c r="IO110" s="646"/>
      <c r="IP110" s="645"/>
      <c r="IQ110" s="646"/>
      <c r="IR110" s="645"/>
      <c r="IS110" s="646"/>
      <c r="IT110" s="645"/>
      <c r="IU110" s="646"/>
      <c r="IV110" s="645"/>
      <c r="IW110" s="646"/>
      <c r="IX110" s="645"/>
      <c r="IY110" s="646"/>
      <c r="IZ110" s="645"/>
      <c r="JA110" s="646"/>
      <c r="JB110" s="645"/>
      <c r="JC110" s="646"/>
      <c r="JD110" s="645"/>
      <c r="JE110" s="646"/>
      <c r="JF110" s="645"/>
      <c r="JG110" s="646"/>
      <c r="JH110" s="645"/>
      <c r="JI110" s="646"/>
      <c r="JJ110" s="645"/>
      <c r="JK110" s="646"/>
      <c r="JL110" s="645"/>
      <c r="JM110" s="646"/>
      <c r="JN110" s="645"/>
      <c r="JO110" s="646"/>
      <c r="JP110" s="645"/>
      <c r="JQ110" s="646"/>
      <c r="JR110" s="645"/>
      <c r="JS110" s="646"/>
      <c r="JT110" s="645"/>
      <c r="JU110" s="646"/>
      <c r="JV110" s="645"/>
      <c r="JW110" s="646"/>
      <c r="JX110" s="645"/>
      <c r="JY110" s="646"/>
      <c r="JZ110" s="645"/>
      <c r="KA110" s="646"/>
      <c r="KB110" s="645"/>
      <c r="KC110" s="646"/>
      <c r="KD110" s="645"/>
      <c r="KE110" s="646"/>
      <c r="KF110" s="645"/>
      <c r="KG110" s="646"/>
      <c r="KH110" s="645"/>
      <c r="KI110" s="646"/>
      <c r="KJ110" s="645"/>
      <c r="KK110" s="646"/>
      <c r="KL110" s="645"/>
      <c r="KM110" s="646"/>
      <c r="KN110" s="645"/>
      <c r="KO110" s="646"/>
      <c r="KP110" s="645"/>
      <c r="KQ110" s="646"/>
      <c r="KR110" s="645"/>
      <c r="KS110" s="646"/>
      <c r="KT110" s="645"/>
      <c r="KU110" s="646"/>
      <c r="KV110" s="645"/>
      <c r="KW110" s="646"/>
      <c r="KX110" s="645"/>
      <c r="KY110" s="646"/>
      <c r="KZ110" s="645"/>
      <c r="LA110" s="646"/>
      <c r="LB110" s="645"/>
      <c r="LC110" s="646"/>
      <c r="LD110" s="645"/>
      <c r="LE110" s="646"/>
      <c r="LF110" s="645"/>
      <c r="LG110" s="646"/>
      <c r="LH110" s="645"/>
      <c r="LI110" s="646"/>
      <c r="LJ110" s="645"/>
      <c r="LK110" s="646"/>
      <c r="LL110" s="645"/>
      <c r="LM110" s="646"/>
      <c r="LN110" s="645"/>
      <c r="LO110" s="646"/>
      <c r="LP110" s="645"/>
      <c r="LQ110" s="646"/>
      <c r="LR110" s="645"/>
      <c r="LS110" s="646"/>
      <c r="LT110" s="645"/>
      <c r="LU110" s="646"/>
      <c r="LV110" s="645"/>
      <c r="LW110" s="646"/>
      <c r="LX110" s="645"/>
      <c r="LY110" s="646"/>
      <c r="LZ110" s="645"/>
      <c r="MA110" s="646"/>
      <c r="MB110" s="645"/>
      <c r="MC110" s="646"/>
      <c r="MD110" s="645"/>
      <c r="ME110" s="646"/>
      <c r="MF110" s="645"/>
      <c r="MG110" s="646"/>
      <c r="MH110" s="645"/>
      <c r="MI110" s="646"/>
      <c r="MJ110" s="645"/>
      <c r="MK110" s="646"/>
      <c r="ML110" s="645"/>
      <c r="MM110" s="646"/>
      <c r="MN110" s="645"/>
      <c r="MO110" s="646"/>
      <c r="MP110" s="645"/>
      <c r="MQ110" s="646"/>
      <c r="MR110" s="645"/>
      <c r="MS110" s="646"/>
      <c r="MT110" s="645"/>
      <c r="MU110" s="646"/>
      <c r="MV110" s="645"/>
      <c r="MW110" s="646"/>
      <c r="MX110" s="645"/>
      <c r="MY110" s="646"/>
      <c r="MZ110" s="645"/>
      <c r="NA110" s="646"/>
      <c r="NB110" s="645"/>
      <c r="NC110" s="646"/>
      <c r="ND110" s="645"/>
      <c r="NE110" s="646"/>
      <c r="NF110" s="645"/>
      <c r="NG110" s="646"/>
      <c r="NH110" s="645"/>
      <c r="NI110" s="646"/>
      <c r="NJ110" s="645"/>
      <c r="NK110" s="646"/>
      <c r="NL110" s="645"/>
      <c r="NM110" s="646"/>
      <c r="NN110" s="645"/>
      <c r="NO110" s="646"/>
      <c r="NP110" s="645"/>
      <c r="NQ110" s="646"/>
      <c r="NR110" s="645"/>
      <c r="NS110" s="646"/>
      <c r="NT110" s="645"/>
      <c r="NU110" s="646"/>
      <c r="NV110" s="645"/>
      <c r="NW110" s="646"/>
      <c r="NX110" s="645"/>
      <c r="NY110" s="646"/>
      <c r="NZ110" s="645"/>
      <c r="OA110" s="646"/>
      <c r="OB110" s="645"/>
      <c r="OC110" s="646"/>
      <c r="OD110" s="645"/>
      <c r="OE110" s="646"/>
      <c r="OF110" s="645"/>
      <c r="OG110" s="646"/>
      <c r="OH110" s="645"/>
      <c r="OI110" s="646"/>
      <c r="OJ110" s="645"/>
      <c r="OK110" s="646"/>
      <c r="OL110" s="645"/>
      <c r="OM110" s="646"/>
      <c r="ON110" s="645"/>
      <c r="OO110" s="646"/>
      <c r="OP110" s="645"/>
      <c r="OQ110" s="646"/>
      <c r="OR110" s="645"/>
      <c r="OS110" s="646"/>
      <c r="OT110" s="645"/>
      <c r="OU110" s="646"/>
      <c r="OV110" s="645"/>
      <c r="OW110" s="646"/>
      <c r="OX110" s="645"/>
      <c r="OY110" s="646"/>
      <c r="OZ110" s="645"/>
      <c r="PA110" s="646"/>
      <c r="PB110" s="645"/>
      <c r="PC110" s="646"/>
      <c r="PD110" s="645"/>
      <c r="PE110" s="646"/>
      <c r="PF110" s="645"/>
      <c r="PG110" s="646"/>
      <c r="PH110" s="645"/>
      <c r="PI110" s="646"/>
      <c r="PJ110" s="645"/>
      <c r="PK110" s="646"/>
      <c r="PL110" s="645"/>
      <c r="PM110" s="646"/>
      <c r="PN110" s="645"/>
      <c r="PO110" s="646"/>
      <c r="PP110" s="645"/>
      <c r="PQ110" s="646"/>
      <c r="PR110" s="645"/>
      <c r="PS110" s="646"/>
      <c r="PT110" s="645"/>
      <c r="PU110" s="646"/>
      <c r="PV110" s="645"/>
      <c r="PW110" s="646"/>
      <c r="PX110" s="645"/>
      <c r="PY110" s="646"/>
      <c r="PZ110" s="645"/>
      <c r="QA110" s="646"/>
      <c r="QB110" s="645"/>
      <c r="QC110" s="646"/>
      <c r="QD110" s="645"/>
      <c r="QE110" s="646"/>
      <c r="QF110" s="645"/>
      <c r="QG110" s="646"/>
      <c r="QH110" s="645"/>
      <c r="QI110" s="646"/>
      <c r="QJ110" s="645"/>
      <c r="QK110" s="646"/>
      <c r="QL110" s="645"/>
      <c r="QM110" s="646"/>
      <c r="QN110" s="645"/>
      <c r="QO110" s="646"/>
      <c r="QP110" s="645"/>
      <c r="QQ110" s="646"/>
      <c r="QR110" s="645"/>
      <c r="QS110" s="646"/>
      <c r="QT110" s="645"/>
      <c r="QU110" s="646"/>
      <c r="QV110" s="645"/>
      <c r="QW110" s="646"/>
      <c r="QX110" s="645"/>
      <c r="QY110" s="646"/>
      <c r="QZ110" s="645"/>
      <c r="RA110" s="646"/>
      <c r="RB110" s="645"/>
      <c r="RC110" s="646"/>
      <c r="RD110" s="645"/>
      <c r="RE110" s="646"/>
      <c r="RF110" s="645"/>
      <c r="RG110" s="646"/>
      <c r="RH110" s="645"/>
      <c r="RI110" s="646"/>
      <c r="RJ110" s="645"/>
      <c r="RK110" s="646"/>
      <c r="RL110" s="645"/>
      <c r="RM110" s="646"/>
      <c r="RN110" s="645"/>
      <c r="RO110" s="646"/>
      <c r="RP110" s="645"/>
      <c r="RQ110" s="646"/>
      <c r="RR110" s="645"/>
      <c r="RS110" s="646"/>
      <c r="RT110" s="645"/>
      <c r="RU110" s="646"/>
      <c r="RV110" s="645"/>
      <c r="RW110" s="646"/>
      <c r="RX110" s="645"/>
      <c r="RY110" s="646"/>
      <c r="RZ110" s="645"/>
      <c r="SA110" s="646"/>
      <c r="SB110" s="645"/>
      <c r="SC110" s="646"/>
      <c r="SD110" s="645"/>
      <c r="SE110" s="646"/>
      <c r="SF110" s="645"/>
      <c r="SG110" s="646"/>
      <c r="SH110" s="645"/>
      <c r="SI110" s="646"/>
      <c r="SJ110" s="645"/>
      <c r="SK110" s="646"/>
      <c r="SL110" s="645"/>
      <c r="SM110" s="646"/>
      <c r="SN110" s="645"/>
      <c r="SO110" s="646"/>
      <c r="SP110" s="645"/>
      <c r="SQ110" s="646"/>
      <c r="SR110" s="645"/>
      <c r="SS110" s="646"/>
      <c r="ST110" s="645"/>
      <c r="SU110" s="646"/>
      <c r="SV110" s="645"/>
      <c r="SW110" s="646"/>
      <c r="SX110" s="645"/>
      <c r="SY110" s="646"/>
      <c r="SZ110" s="645"/>
      <c r="TA110" s="646"/>
      <c r="TB110" s="645"/>
      <c r="TC110" s="646"/>
      <c r="TD110" s="645"/>
      <c r="TE110" s="646"/>
      <c r="TF110" s="645"/>
      <c r="TG110" s="646"/>
      <c r="TH110" s="645"/>
      <c r="TI110" s="646"/>
      <c r="TJ110" s="645"/>
      <c r="TK110" s="646"/>
      <c r="TL110" s="645"/>
      <c r="TM110" s="646"/>
      <c r="TN110" s="645"/>
      <c r="TO110" s="646"/>
      <c r="TP110" s="645"/>
      <c r="TQ110" s="646"/>
      <c r="TR110" s="645"/>
      <c r="TS110" s="646"/>
      <c r="TT110" s="645"/>
      <c r="TU110" s="646"/>
      <c r="TV110" s="645"/>
      <c r="TW110" s="646"/>
      <c r="TX110" s="645"/>
      <c r="TY110" s="646"/>
      <c r="TZ110" s="645"/>
      <c r="UA110" s="646"/>
      <c r="UB110" s="645"/>
      <c r="UC110" s="646"/>
      <c r="UD110" s="645"/>
      <c r="UE110" s="646"/>
      <c r="UF110" s="645"/>
      <c r="UG110" s="646"/>
      <c r="UH110" s="645"/>
      <c r="UI110" s="646"/>
      <c r="UJ110" s="645"/>
      <c r="UK110" s="646"/>
      <c r="UL110" s="645"/>
      <c r="UM110" s="646"/>
      <c r="UN110" s="645"/>
      <c r="UO110" s="646"/>
      <c r="UP110" s="645"/>
      <c r="UQ110" s="646"/>
      <c r="UR110" s="645"/>
      <c r="US110" s="646"/>
      <c r="UT110" s="645"/>
      <c r="UU110" s="646"/>
      <c r="UV110" s="645"/>
      <c r="UW110" s="646"/>
      <c r="UX110" s="645"/>
      <c r="UY110" s="646"/>
      <c r="UZ110" s="645"/>
      <c r="VA110" s="646"/>
      <c r="VB110" s="645"/>
      <c r="VC110" s="646"/>
      <c r="VD110" s="645"/>
      <c r="VE110" s="646"/>
      <c r="VF110" s="645"/>
      <c r="VG110" s="646"/>
      <c r="VH110" s="645"/>
      <c r="VI110" s="646"/>
      <c r="VJ110" s="645"/>
      <c r="VK110" s="646"/>
      <c r="VL110" s="645"/>
      <c r="VM110" s="646"/>
      <c r="VN110" s="645"/>
      <c r="VO110" s="646"/>
      <c r="VP110" s="645"/>
      <c r="VQ110" s="646"/>
      <c r="VR110" s="645"/>
      <c r="VS110" s="646"/>
      <c r="VT110" s="645"/>
      <c r="VU110" s="646"/>
      <c r="VV110" s="645"/>
      <c r="VW110" s="646"/>
      <c r="VX110" s="645"/>
      <c r="VY110" s="646"/>
      <c r="VZ110" s="645"/>
      <c r="WA110" s="646"/>
      <c r="WB110" s="645"/>
      <c r="WC110" s="646"/>
      <c r="WD110" s="645"/>
      <c r="WE110" s="646"/>
      <c r="WF110" s="645"/>
      <c r="WG110" s="646"/>
      <c r="WH110" s="645"/>
      <c r="WI110" s="646"/>
      <c r="WJ110" s="645"/>
      <c r="WK110" s="646"/>
      <c r="WL110" s="645"/>
      <c r="WM110" s="646"/>
      <c r="WN110" s="645"/>
      <c r="WO110" s="646"/>
      <c r="WP110" s="645"/>
      <c r="WQ110" s="646"/>
      <c r="WR110" s="645"/>
      <c r="WS110" s="646"/>
      <c r="WT110" s="645"/>
      <c r="WU110" s="646"/>
      <c r="WV110" s="645"/>
      <c r="WW110" s="646"/>
      <c r="WX110" s="645"/>
      <c r="WY110" s="646"/>
      <c r="WZ110" s="645"/>
      <c r="XA110" s="646"/>
      <c r="XB110" s="645"/>
      <c r="XC110" s="646"/>
      <c r="XD110" s="645"/>
      <c r="XE110" s="646"/>
      <c r="XF110" s="645"/>
      <c r="XG110" s="646"/>
      <c r="XH110" s="645"/>
      <c r="XI110" s="646"/>
      <c r="XJ110" s="645"/>
      <c r="XK110" s="646"/>
      <c r="XL110" s="645"/>
      <c r="XM110" s="646"/>
      <c r="XN110" s="645"/>
      <c r="XO110" s="646"/>
      <c r="XP110" s="645"/>
      <c r="XQ110" s="646"/>
      <c r="XR110" s="645"/>
      <c r="XS110" s="646"/>
      <c r="XT110" s="645"/>
      <c r="XU110" s="646"/>
      <c r="XV110" s="645"/>
      <c r="XW110" s="646"/>
      <c r="XX110" s="645"/>
      <c r="XY110" s="646"/>
      <c r="XZ110" s="645"/>
      <c r="YA110" s="646"/>
      <c r="YB110" s="645"/>
      <c r="YC110" s="646"/>
      <c r="YD110" s="645"/>
      <c r="YE110" s="646"/>
      <c r="YF110" s="645"/>
      <c r="YG110" s="646"/>
      <c r="YH110" s="645"/>
      <c r="YI110" s="646"/>
      <c r="YJ110" s="645"/>
      <c r="YK110" s="646"/>
      <c r="YL110" s="645"/>
      <c r="YM110" s="646"/>
      <c r="YN110" s="645"/>
      <c r="YO110" s="646"/>
      <c r="YP110" s="645"/>
      <c r="YQ110" s="646"/>
      <c r="YR110" s="645"/>
      <c r="YS110" s="646"/>
      <c r="YT110" s="645"/>
      <c r="YU110" s="646"/>
      <c r="YV110" s="645"/>
      <c r="YW110" s="646"/>
      <c r="YX110" s="645"/>
      <c r="YY110" s="646"/>
      <c r="YZ110" s="645"/>
      <c r="ZA110" s="646"/>
      <c r="ZB110" s="645"/>
      <c r="ZC110" s="646"/>
      <c r="ZD110" s="645"/>
      <c r="ZE110" s="646"/>
      <c r="ZF110" s="645"/>
      <c r="ZG110" s="646"/>
      <c r="ZH110" s="645"/>
      <c r="ZI110" s="646"/>
      <c r="ZJ110" s="645"/>
      <c r="ZK110" s="646"/>
      <c r="ZL110" s="645"/>
      <c r="ZM110" s="646"/>
      <c r="ZN110" s="645"/>
      <c r="ZO110" s="646"/>
      <c r="ZP110" s="645"/>
      <c r="ZQ110" s="646"/>
      <c r="ZR110" s="645"/>
      <c r="ZS110" s="646"/>
      <c r="ZT110" s="645"/>
      <c r="ZU110" s="646"/>
      <c r="ZV110" s="645"/>
      <c r="ZW110" s="646"/>
      <c r="ZX110" s="645"/>
      <c r="ZY110" s="646"/>
      <c r="ZZ110" s="645"/>
      <c r="AAA110" s="646"/>
      <c r="AAB110" s="645"/>
      <c r="AAC110" s="646"/>
      <c r="AAD110" s="645"/>
      <c r="AAE110" s="646"/>
      <c r="AAF110" s="645"/>
      <c r="AAG110" s="646"/>
      <c r="AAH110" s="645"/>
      <c r="AAI110" s="646"/>
      <c r="AAJ110" s="645"/>
      <c r="AAK110" s="646"/>
      <c r="AAL110" s="645"/>
      <c r="AAM110" s="646"/>
      <c r="AAN110" s="645"/>
      <c r="AAO110" s="646"/>
      <c r="AAP110" s="645"/>
      <c r="AAQ110" s="646"/>
      <c r="AAR110" s="645"/>
      <c r="AAS110" s="646"/>
      <c r="AAT110" s="645"/>
      <c r="AAU110" s="646"/>
      <c r="AAV110" s="645"/>
      <c r="AAW110" s="646"/>
      <c r="AAX110" s="645"/>
      <c r="AAY110" s="646"/>
      <c r="AAZ110" s="645"/>
      <c r="ABA110" s="646"/>
      <c r="ABB110" s="645"/>
      <c r="ABC110" s="646"/>
      <c r="ABD110" s="645"/>
      <c r="ABE110" s="646"/>
      <c r="ABF110" s="645"/>
      <c r="ABG110" s="646"/>
      <c r="ABH110" s="645"/>
      <c r="ABI110" s="646"/>
      <c r="ABJ110" s="645"/>
      <c r="ABK110" s="646"/>
      <c r="ABL110" s="645"/>
      <c r="ABM110" s="646"/>
      <c r="ABN110" s="645"/>
      <c r="ABO110" s="646"/>
      <c r="ABP110" s="645"/>
      <c r="ABQ110" s="646"/>
      <c r="ABR110" s="645"/>
      <c r="ABS110" s="646"/>
      <c r="ABT110" s="645"/>
      <c r="ABU110" s="646"/>
      <c r="ABV110" s="645"/>
      <c r="ABW110" s="646"/>
      <c r="ABX110" s="645"/>
      <c r="ABY110" s="646"/>
      <c r="ABZ110" s="645"/>
      <c r="ACA110" s="646"/>
      <c r="ACB110" s="645"/>
      <c r="ACC110" s="646"/>
      <c r="ACD110" s="645"/>
      <c r="ACE110" s="646"/>
      <c r="ACF110" s="645"/>
      <c r="ACG110" s="646"/>
      <c r="ACH110" s="645"/>
      <c r="ACI110" s="646"/>
      <c r="ACJ110" s="645"/>
      <c r="ACK110" s="646"/>
      <c r="ACL110" s="645"/>
      <c r="ACM110" s="646"/>
      <c r="ACN110" s="645"/>
      <c r="ACO110" s="646"/>
      <c r="ACP110" s="645"/>
      <c r="ACQ110" s="646"/>
      <c r="ACR110" s="645"/>
      <c r="ACS110" s="646"/>
      <c r="ACT110" s="645"/>
      <c r="ACU110" s="646"/>
      <c r="ACV110" s="645"/>
      <c r="ACW110" s="646"/>
      <c r="ACX110" s="645"/>
      <c r="ACY110" s="646"/>
      <c r="ACZ110" s="645"/>
      <c r="ADA110" s="646"/>
      <c r="ADB110" s="645"/>
      <c r="ADC110" s="646"/>
      <c r="ADD110" s="645"/>
      <c r="ADE110" s="646"/>
      <c r="ADF110" s="645"/>
      <c r="ADG110" s="646"/>
      <c r="ADH110" s="645"/>
      <c r="ADI110" s="646"/>
      <c r="ADJ110" s="645"/>
      <c r="ADK110" s="646"/>
      <c r="ADL110" s="645"/>
      <c r="ADM110" s="646"/>
      <c r="ADN110" s="645"/>
      <c r="ADO110" s="646"/>
      <c r="ADP110" s="645"/>
      <c r="ADQ110" s="646"/>
      <c r="ADR110" s="645"/>
      <c r="ADS110" s="646"/>
      <c r="ADT110" s="645"/>
      <c r="ADU110" s="646"/>
      <c r="ADV110" s="645"/>
      <c r="ADW110" s="646"/>
      <c r="ADX110" s="645"/>
      <c r="ADY110" s="646"/>
      <c r="ADZ110" s="645"/>
      <c r="AEA110" s="646"/>
      <c r="AEB110" s="645"/>
      <c r="AEC110" s="646"/>
      <c r="AED110" s="645"/>
      <c r="AEE110" s="646"/>
      <c r="AEF110" s="645"/>
      <c r="AEG110" s="646"/>
      <c r="AEH110" s="645"/>
      <c r="AEI110" s="646"/>
      <c r="AEJ110" s="645"/>
      <c r="AEK110" s="646"/>
      <c r="AEL110" s="645"/>
      <c r="AEM110" s="646"/>
      <c r="AEN110" s="645"/>
      <c r="AEO110" s="646"/>
      <c r="AEP110" s="645"/>
      <c r="AEQ110" s="646"/>
      <c r="AER110" s="645"/>
      <c r="AES110" s="646"/>
      <c r="AET110" s="645"/>
      <c r="AEU110" s="646"/>
      <c r="AEV110" s="645"/>
      <c r="AEW110" s="646"/>
      <c r="AEX110" s="645"/>
      <c r="AEY110" s="646"/>
      <c r="AEZ110" s="645"/>
      <c r="AFA110" s="646"/>
      <c r="AFB110" s="645"/>
      <c r="AFC110" s="646"/>
      <c r="AFD110" s="645"/>
      <c r="AFE110" s="646"/>
      <c r="AFF110" s="645"/>
      <c r="AFG110" s="646"/>
      <c r="AFH110" s="645"/>
      <c r="AFI110" s="646"/>
      <c r="AFJ110" s="645"/>
      <c r="AFK110" s="646"/>
      <c r="AFL110" s="645"/>
      <c r="AFM110" s="646"/>
      <c r="AFN110" s="645"/>
      <c r="AFO110" s="646"/>
      <c r="AFP110" s="645"/>
      <c r="AFQ110" s="646"/>
      <c r="AFR110" s="645"/>
      <c r="AFS110" s="646"/>
      <c r="AFT110" s="645"/>
      <c r="AFU110" s="646"/>
      <c r="AFV110" s="645"/>
      <c r="AFW110" s="646"/>
      <c r="AFX110" s="645"/>
      <c r="AFY110" s="646"/>
      <c r="AFZ110" s="645"/>
      <c r="AGA110" s="646"/>
      <c r="AGB110" s="645"/>
      <c r="AGC110" s="646"/>
      <c r="AGD110" s="645"/>
      <c r="AGE110" s="646"/>
      <c r="AGF110" s="645"/>
      <c r="AGG110" s="646"/>
      <c r="AGH110" s="645"/>
      <c r="AGI110" s="646"/>
      <c r="AGJ110" s="645"/>
      <c r="AGK110" s="646"/>
      <c r="AGL110" s="645"/>
      <c r="AGM110" s="646"/>
      <c r="AGN110" s="645"/>
      <c r="AGO110" s="646"/>
      <c r="AGP110" s="645"/>
      <c r="AGQ110" s="646"/>
      <c r="AGR110" s="645"/>
      <c r="AGS110" s="646"/>
      <c r="AGT110" s="645"/>
      <c r="AGU110" s="646"/>
      <c r="AGV110" s="645"/>
      <c r="AGW110" s="646"/>
      <c r="AGX110" s="645"/>
      <c r="AGY110" s="646"/>
      <c r="AGZ110" s="645"/>
      <c r="AHA110" s="646"/>
      <c r="AHB110" s="645"/>
      <c r="AHC110" s="646"/>
      <c r="AHD110" s="645"/>
      <c r="AHE110" s="646"/>
      <c r="AHF110" s="645"/>
      <c r="AHG110" s="646"/>
      <c r="AHH110" s="645"/>
      <c r="AHI110" s="646"/>
      <c r="AHJ110" s="645"/>
      <c r="AHK110" s="646"/>
      <c r="AHL110" s="645"/>
      <c r="AHM110" s="646"/>
      <c r="AHN110" s="645"/>
      <c r="AHO110" s="646"/>
      <c r="AHP110" s="645"/>
      <c r="AHQ110" s="646"/>
      <c r="AHR110" s="645"/>
      <c r="AHS110" s="646"/>
      <c r="AHT110" s="645"/>
      <c r="AHU110" s="646"/>
      <c r="AHV110" s="645"/>
      <c r="AHW110" s="646"/>
      <c r="AHX110" s="645"/>
      <c r="AHY110" s="646"/>
      <c r="AHZ110" s="645"/>
      <c r="AIA110" s="646"/>
      <c r="AIB110" s="645"/>
      <c r="AIC110" s="646"/>
      <c r="AID110" s="645"/>
      <c r="AIE110" s="646"/>
      <c r="AIF110" s="645"/>
      <c r="AIG110" s="646"/>
      <c r="AIH110" s="645"/>
      <c r="AII110" s="646"/>
      <c r="AIJ110" s="645"/>
      <c r="AIK110" s="646"/>
      <c r="AIL110" s="645"/>
      <c r="AIM110" s="646"/>
      <c r="AIN110" s="645"/>
      <c r="AIO110" s="646"/>
      <c r="AIP110" s="645"/>
      <c r="AIQ110" s="645"/>
      <c r="AIR110" s="645"/>
      <c r="AIS110" s="645"/>
      <c r="AIT110" s="645"/>
      <c r="AIU110" s="645"/>
      <c r="AIV110" s="645"/>
      <c r="AIW110" s="645"/>
      <c r="AIX110" s="645"/>
      <c r="AIY110" s="645"/>
      <c r="AIZ110" s="645"/>
      <c r="AJA110" s="645"/>
      <c r="AJB110" s="645"/>
      <c r="AJC110" s="645"/>
      <c r="AJD110" s="645"/>
      <c r="AJE110" s="645"/>
      <c r="AJF110" s="645"/>
      <c r="AJG110" s="645"/>
      <c r="AJH110" s="645"/>
      <c r="AJI110" s="645"/>
      <c r="AJJ110" s="645"/>
      <c r="AJK110" s="645"/>
      <c r="AJL110" s="645"/>
      <c r="AJM110" s="645"/>
      <c r="AJN110" s="645"/>
      <c r="AJO110" s="645"/>
      <c r="AJP110" s="645"/>
      <c r="AJQ110" s="645"/>
      <c r="AJR110" s="645"/>
      <c r="AJS110" s="645"/>
      <c r="AJT110" s="645"/>
      <c r="AJU110" s="645"/>
      <c r="AJV110" s="645"/>
      <c r="AJW110" s="645"/>
      <c r="AJX110" s="645"/>
      <c r="AJY110" s="645"/>
      <c r="AJZ110" s="645"/>
      <c r="AKA110" s="645"/>
      <c r="AKB110" s="645"/>
      <c r="AKC110" s="645"/>
      <c r="AKD110" s="645"/>
      <c r="AKE110" s="645"/>
      <c r="AKF110" s="645"/>
      <c r="AKG110" s="645"/>
      <c r="AKH110" s="645"/>
      <c r="AKI110" s="645"/>
      <c r="AKJ110" s="645"/>
      <c r="AKK110" s="645"/>
      <c r="AKL110" s="645"/>
      <c r="AKM110" s="645"/>
      <c r="AKN110" s="645"/>
      <c r="AKO110" s="645"/>
      <c r="AKP110" s="645"/>
      <c r="AKQ110" s="645"/>
      <c r="AKR110" s="645"/>
      <c r="AKS110" s="645"/>
      <c r="AKT110" s="645"/>
      <c r="AKU110" s="645"/>
      <c r="AKV110" s="645"/>
      <c r="AKW110" s="645"/>
      <c r="AKX110" s="645"/>
      <c r="AKY110" s="645"/>
      <c r="AKZ110" s="645"/>
      <c r="ALA110" s="645"/>
      <c r="ALB110" s="645"/>
      <c r="ALC110" s="645"/>
      <c r="ALD110" s="645"/>
      <c r="ALE110" s="645"/>
      <c r="ALF110" s="645"/>
      <c r="ALG110" s="645"/>
      <c r="ALH110" s="645"/>
      <c r="ALI110" s="645"/>
      <c r="ALJ110" s="645"/>
      <c r="ALK110" s="645"/>
      <c r="ALL110" s="645"/>
      <c r="ALM110" s="645"/>
      <c r="ALN110" s="645"/>
      <c r="ALO110" s="645"/>
      <c r="ALP110" s="645"/>
      <c r="ALQ110" s="645"/>
      <c r="ALR110" s="645"/>
      <c r="ALS110" s="645"/>
      <c r="ALT110" s="645"/>
      <c r="ALU110" s="645"/>
      <c r="ALV110" s="645"/>
      <c r="ALW110" s="645"/>
      <c r="ALX110" s="645"/>
      <c r="ALY110" s="645"/>
      <c r="ALZ110" s="645"/>
      <c r="AMA110" s="645"/>
      <c r="AMB110" s="645"/>
      <c r="AMC110" s="645"/>
      <c r="AMD110" s="645"/>
      <c r="AME110" s="645"/>
      <c r="AMF110" s="645"/>
      <c r="AMG110" s="645"/>
      <c r="AMH110" s="645"/>
      <c r="AMI110" s="645"/>
      <c r="AMJ110" s="645"/>
    </row>
    <row r="111" spans="1:1024" s="29" customFormat="1" ht="15.75" customHeight="1" x14ac:dyDescent="0.3">
      <c r="A111" s="651" t="s">
        <v>328</v>
      </c>
      <c r="B111" s="652" t="s">
        <v>365</v>
      </c>
      <c r="C111" s="653"/>
      <c r="D111" s="654"/>
      <c r="E111" s="654"/>
      <c r="F111" s="653"/>
      <c r="G111" s="655" t="s">
        <v>282</v>
      </c>
      <c r="H111" s="655" t="s">
        <v>282</v>
      </c>
      <c r="I111" s="656"/>
      <c r="J111" s="21"/>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28"/>
      <c r="DQ111" s="28"/>
      <c r="DR111" s="28"/>
      <c r="DS111" s="28"/>
      <c r="DT111" s="28"/>
      <c r="DU111" s="28"/>
      <c r="DV111" s="28"/>
      <c r="DW111" s="28"/>
      <c r="DX111" s="28"/>
      <c r="DY111" s="28"/>
      <c r="DZ111" s="28"/>
      <c r="EA111" s="28"/>
      <c r="EB111" s="28"/>
      <c r="EC111" s="28"/>
      <c r="ED111" s="28"/>
      <c r="EE111" s="28"/>
      <c r="EF111" s="28"/>
      <c r="EG111" s="28"/>
      <c r="EH111" s="28"/>
      <c r="EI111" s="28"/>
      <c r="EJ111" s="28"/>
      <c r="EK111" s="28"/>
      <c r="EL111" s="28"/>
      <c r="EM111" s="28"/>
      <c r="EN111" s="28"/>
      <c r="EO111" s="28"/>
      <c r="EP111" s="28"/>
      <c r="EQ111" s="28"/>
      <c r="ER111" s="28"/>
      <c r="ES111" s="28"/>
      <c r="ET111" s="28"/>
      <c r="EU111" s="28"/>
      <c r="EV111" s="28"/>
      <c r="EW111" s="28"/>
      <c r="EX111" s="28"/>
      <c r="EY111" s="28"/>
      <c r="EZ111" s="28"/>
      <c r="FA111" s="28"/>
      <c r="AIQ111" s="28"/>
      <c r="AIR111" s="28"/>
      <c r="AIS111" s="28"/>
      <c r="AIT111" s="28"/>
      <c r="AIU111" s="28"/>
      <c r="AIV111" s="28"/>
      <c r="AIW111" s="28"/>
      <c r="AIX111" s="28"/>
      <c r="AIY111" s="28"/>
      <c r="AIZ111" s="28"/>
      <c r="AJA111" s="28"/>
      <c r="AJB111" s="28"/>
      <c r="AJC111" s="28"/>
      <c r="AJD111" s="28"/>
      <c r="AJE111" s="28"/>
      <c r="AJF111" s="28"/>
      <c r="AJG111" s="28"/>
      <c r="AJH111" s="28"/>
      <c r="AJI111" s="28"/>
      <c r="AJJ111" s="28"/>
      <c r="AJK111" s="28"/>
      <c r="AJL111" s="28"/>
      <c r="AJM111" s="28"/>
      <c r="AJN111" s="28"/>
      <c r="AJO111" s="28"/>
      <c r="AJP111" s="28"/>
      <c r="AJQ111" s="28"/>
      <c r="AJR111" s="28"/>
      <c r="AJS111" s="28"/>
      <c r="AJT111" s="28"/>
      <c r="AJU111" s="28"/>
      <c r="AJV111" s="28"/>
      <c r="AJW111" s="28"/>
      <c r="AJX111" s="28"/>
      <c r="AJY111" s="28"/>
      <c r="AJZ111" s="28"/>
      <c r="AKA111" s="28"/>
      <c r="AKB111" s="28"/>
      <c r="AKC111" s="28"/>
      <c r="AKD111" s="28"/>
      <c r="AKE111" s="28"/>
      <c r="AKF111" s="28"/>
      <c r="AKG111" s="28"/>
      <c r="AKH111" s="28"/>
      <c r="AKI111" s="28"/>
      <c r="AKJ111" s="28"/>
      <c r="AKK111" s="28"/>
      <c r="AKL111" s="28"/>
      <c r="AKM111" s="28"/>
      <c r="AKN111" s="28"/>
      <c r="AKO111" s="28"/>
      <c r="AKP111" s="28"/>
      <c r="AKQ111" s="28"/>
      <c r="AKR111" s="28"/>
      <c r="AKS111" s="28"/>
      <c r="AKT111" s="28"/>
      <c r="AKU111" s="28"/>
      <c r="AKV111" s="28"/>
      <c r="AKW111" s="28"/>
      <c r="AKX111" s="28"/>
      <c r="AKY111" s="28"/>
      <c r="AKZ111" s="28"/>
      <c r="ALA111" s="28"/>
      <c r="ALB111" s="28"/>
      <c r="ALC111" s="28"/>
      <c r="ALD111" s="28"/>
      <c r="ALE111" s="28"/>
      <c r="ALF111" s="28"/>
      <c r="ALG111" s="28"/>
      <c r="ALH111" s="28"/>
      <c r="ALI111" s="28"/>
      <c r="ALJ111" s="28"/>
      <c r="ALK111" s="28"/>
      <c r="ALL111" s="28"/>
      <c r="ALM111" s="28"/>
      <c r="ALN111" s="28"/>
      <c r="ALO111" s="28"/>
      <c r="ALP111" s="28"/>
      <c r="ALQ111" s="28"/>
      <c r="ALR111" s="28"/>
      <c r="ALS111" s="28"/>
      <c r="ALT111" s="28"/>
      <c r="ALU111" s="28"/>
      <c r="ALV111" s="28"/>
      <c r="ALW111" s="28"/>
      <c r="ALX111" s="28"/>
      <c r="ALY111" s="28"/>
      <c r="ALZ111" s="28"/>
      <c r="AMA111" s="28"/>
      <c r="AMB111" s="28"/>
      <c r="AMC111" s="28"/>
      <c r="AMD111" s="28"/>
      <c r="AME111" s="28"/>
      <c r="AMF111" s="28"/>
      <c r="AMG111" s="28"/>
      <c r="AMH111" s="28"/>
      <c r="AMI111" s="28"/>
      <c r="AMJ111" s="28"/>
    </row>
    <row r="112" spans="1:1024" s="29" customFormat="1" ht="15.75" customHeight="1" x14ac:dyDescent="0.3">
      <c r="A112" s="600"/>
      <c r="B112" s="601" t="s">
        <v>366</v>
      </c>
      <c r="C112" s="657"/>
      <c r="D112" s="658"/>
      <c r="E112" s="658"/>
      <c r="F112" s="659"/>
      <c r="G112" s="453" t="s">
        <v>234</v>
      </c>
      <c r="H112" s="660" t="s">
        <v>259</v>
      </c>
      <c r="I112" s="432"/>
      <c r="J112" s="21"/>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28"/>
      <c r="DQ112" s="28"/>
      <c r="DR112" s="28"/>
      <c r="DS112" s="28"/>
      <c r="DT112" s="28"/>
      <c r="DU112" s="28"/>
      <c r="DV112" s="28"/>
      <c r="DW112" s="28"/>
      <c r="DX112" s="28"/>
      <c r="DY112" s="28"/>
      <c r="DZ112" s="28"/>
      <c r="EA112" s="28"/>
      <c r="EB112" s="28"/>
      <c r="EC112" s="28"/>
      <c r="ED112" s="28"/>
      <c r="EE112" s="28"/>
      <c r="EF112" s="28"/>
      <c r="EG112" s="28"/>
      <c r="EH112" s="28"/>
      <c r="EI112" s="28"/>
      <c r="EJ112" s="28"/>
      <c r="EK112" s="28"/>
      <c r="EL112" s="28"/>
      <c r="EM112" s="28"/>
      <c r="EN112" s="28"/>
      <c r="EO112" s="28"/>
      <c r="EP112" s="28"/>
      <c r="EQ112" s="28"/>
      <c r="ER112" s="28"/>
      <c r="ES112" s="28"/>
      <c r="ET112" s="28"/>
      <c r="EU112" s="28"/>
      <c r="EV112" s="28"/>
      <c r="EW112" s="28"/>
      <c r="EX112" s="28"/>
      <c r="EY112" s="28"/>
      <c r="EZ112" s="28"/>
      <c r="FA112" s="28"/>
      <c r="AIQ112" s="28"/>
      <c r="AIR112" s="28"/>
      <c r="AIS112" s="28"/>
      <c r="AIT112" s="28"/>
      <c r="AIU112" s="28"/>
      <c r="AIV112" s="28"/>
      <c r="AIW112" s="28"/>
      <c r="AIX112" s="28"/>
      <c r="AIY112" s="28"/>
      <c r="AIZ112" s="28"/>
      <c r="AJA112" s="28"/>
      <c r="AJB112" s="28"/>
      <c r="AJC112" s="28"/>
      <c r="AJD112" s="28"/>
      <c r="AJE112" s="28"/>
      <c r="AJF112" s="28"/>
      <c r="AJG112" s="28"/>
      <c r="AJH112" s="28"/>
      <c r="AJI112" s="28"/>
      <c r="AJJ112" s="28"/>
      <c r="AJK112" s="28"/>
      <c r="AJL112" s="28"/>
      <c r="AJM112" s="28"/>
      <c r="AJN112" s="28"/>
      <c r="AJO112" s="28"/>
      <c r="AJP112" s="28"/>
      <c r="AJQ112" s="28"/>
      <c r="AJR112" s="28"/>
      <c r="AJS112" s="28"/>
      <c r="AJT112" s="28"/>
      <c r="AJU112" s="28"/>
      <c r="AJV112" s="28"/>
      <c r="AJW112" s="28"/>
      <c r="AJX112" s="28"/>
      <c r="AJY112" s="28"/>
      <c r="AJZ112" s="28"/>
      <c r="AKA112" s="28"/>
      <c r="AKB112" s="28"/>
      <c r="AKC112" s="28"/>
      <c r="AKD112" s="28"/>
      <c r="AKE112" s="28"/>
      <c r="AKF112" s="28"/>
      <c r="AKG112" s="28"/>
      <c r="AKH112" s="28"/>
      <c r="AKI112" s="28"/>
      <c r="AKJ112" s="28"/>
      <c r="AKK112" s="28"/>
      <c r="AKL112" s="28"/>
      <c r="AKM112" s="28"/>
      <c r="AKN112" s="28"/>
      <c r="AKO112" s="28"/>
      <c r="AKP112" s="28"/>
      <c r="AKQ112" s="28"/>
      <c r="AKR112" s="28"/>
      <c r="AKS112" s="28"/>
      <c r="AKT112" s="28"/>
      <c r="AKU112" s="28"/>
      <c r="AKV112" s="28"/>
      <c r="AKW112" s="28"/>
      <c r="AKX112" s="28"/>
      <c r="AKY112" s="28"/>
      <c r="AKZ112" s="28"/>
      <c r="ALA112" s="28"/>
      <c r="ALB112" s="28"/>
      <c r="ALC112" s="28"/>
      <c r="ALD112" s="28"/>
      <c r="ALE112" s="28"/>
      <c r="ALF112" s="28"/>
      <c r="ALG112" s="28"/>
      <c r="ALH112" s="28"/>
      <c r="ALI112" s="28"/>
      <c r="ALJ112" s="28"/>
      <c r="ALK112" s="28"/>
      <c r="ALL112" s="28"/>
      <c r="ALM112" s="28"/>
      <c r="ALN112" s="28"/>
      <c r="ALO112" s="28"/>
      <c r="ALP112" s="28"/>
      <c r="ALQ112" s="28"/>
      <c r="ALR112" s="28"/>
      <c r="ALS112" s="28"/>
      <c r="ALT112" s="28"/>
      <c r="ALU112" s="28"/>
      <c r="ALV112" s="28"/>
      <c r="ALW112" s="28"/>
      <c r="ALX112" s="28"/>
      <c r="ALY112" s="28"/>
      <c r="ALZ112" s="28"/>
      <c r="AMA112" s="28"/>
      <c r="AMB112" s="28"/>
      <c r="AMC112" s="28"/>
      <c r="AMD112" s="28"/>
      <c r="AME112" s="28"/>
      <c r="AMF112" s="28"/>
      <c r="AMG112" s="28"/>
      <c r="AMH112" s="28"/>
      <c r="AMI112" s="28"/>
      <c r="AMJ112" s="28"/>
    </row>
    <row r="113" spans="1:1024" s="29" customFormat="1" ht="15.75" customHeight="1" x14ac:dyDescent="0.3">
      <c r="A113" s="600"/>
      <c r="B113" s="644" t="s">
        <v>367</v>
      </c>
      <c r="C113" s="657"/>
      <c r="D113" s="658"/>
      <c r="E113" s="658"/>
      <c r="F113" s="659"/>
      <c r="G113" s="453" t="s">
        <v>234</v>
      </c>
      <c r="H113" s="660" t="s">
        <v>259</v>
      </c>
      <c r="I113" s="432"/>
      <c r="J113" s="21"/>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28"/>
      <c r="DQ113" s="28"/>
      <c r="DR113" s="28"/>
      <c r="DS113" s="28"/>
      <c r="DT113" s="28"/>
      <c r="DU113" s="28"/>
      <c r="DV113" s="28"/>
      <c r="DW113" s="28"/>
      <c r="DX113" s="28"/>
      <c r="DY113" s="28"/>
      <c r="DZ113" s="28"/>
      <c r="EA113" s="28"/>
      <c r="EB113" s="28"/>
      <c r="EC113" s="28"/>
      <c r="ED113" s="28"/>
      <c r="EE113" s="28"/>
      <c r="EF113" s="28"/>
      <c r="EG113" s="28"/>
      <c r="EH113" s="28"/>
      <c r="EI113" s="28"/>
      <c r="EJ113" s="28"/>
      <c r="EK113" s="28"/>
      <c r="EL113" s="28"/>
      <c r="EM113" s="28"/>
      <c r="EN113" s="28"/>
      <c r="EO113" s="28"/>
      <c r="EP113" s="28"/>
      <c r="EQ113" s="28"/>
      <c r="ER113" s="28"/>
      <c r="ES113" s="28"/>
      <c r="ET113" s="28"/>
      <c r="EU113" s="28"/>
      <c r="EV113" s="28"/>
      <c r="EW113" s="28"/>
      <c r="EX113" s="28"/>
      <c r="EY113" s="28"/>
      <c r="EZ113" s="28"/>
      <c r="FA113" s="28"/>
      <c r="AIQ113" s="28"/>
      <c r="AIR113" s="28"/>
      <c r="AIS113" s="28"/>
      <c r="AIT113" s="28"/>
      <c r="AIU113" s="28"/>
      <c r="AIV113" s="28"/>
      <c r="AIW113" s="28"/>
      <c r="AIX113" s="28"/>
      <c r="AIY113" s="28"/>
      <c r="AIZ113" s="28"/>
      <c r="AJA113" s="28"/>
      <c r="AJB113" s="28"/>
      <c r="AJC113" s="28"/>
      <c r="AJD113" s="28"/>
      <c r="AJE113" s="28"/>
      <c r="AJF113" s="28"/>
      <c r="AJG113" s="28"/>
      <c r="AJH113" s="28"/>
      <c r="AJI113" s="28"/>
      <c r="AJJ113" s="28"/>
      <c r="AJK113" s="28"/>
      <c r="AJL113" s="28"/>
      <c r="AJM113" s="28"/>
      <c r="AJN113" s="28"/>
      <c r="AJO113" s="28"/>
      <c r="AJP113" s="28"/>
      <c r="AJQ113" s="28"/>
      <c r="AJR113" s="28"/>
      <c r="AJS113" s="28"/>
      <c r="AJT113" s="28"/>
      <c r="AJU113" s="28"/>
      <c r="AJV113" s="28"/>
      <c r="AJW113" s="28"/>
      <c r="AJX113" s="28"/>
      <c r="AJY113" s="28"/>
      <c r="AJZ113" s="28"/>
      <c r="AKA113" s="28"/>
      <c r="AKB113" s="28"/>
      <c r="AKC113" s="28"/>
      <c r="AKD113" s="28"/>
      <c r="AKE113" s="28"/>
      <c r="AKF113" s="28"/>
      <c r="AKG113" s="28"/>
      <c r="AKH113" s="28"/>
      <c r="AKI113" s="28"/>
      <c r="AKJ113" s="28"/>
      <c r="AKK113" s="28"/>
      <c r="AKL113" s="28"/>
      <c r="AKM113" s="28"/>
      <c r="AKN113" s="28"/>
      <c r="AKO113" s="28"/>
      <c r="AKP113" s="28"/>
      <c r="AKQ113" s="28"/>
      <c r="AKR113" s="28"/>
      <c r="AKS113" s="28"/>
      <c r="AKT113" s="28"/>
      <c r="AKU113" s="28"/>
      <c r="AKV113" s="28"/>
      <c r="AKW113" s="28"/>
      <c r="AKX113" s="28"/>
      <c r="AKY113" s="28"/>
      <c r="AKZ113" s="28"/>
      <c r="ALA113" s="28"/>
      <c r="ALB113" s="28"/>
      <c r="ALC113" s="28"/>
      <c r="ALD113" s="28"/>
      <c r="ALE113" s="28"/>
      <c r="ALF113" s="28"/>
      <c r="ALG113" s="28"/>
      <c r="ALH113" s="28"/>
      <c r="ALI113" s="28"/>
      <c r="ALJ113" s="28"/>
      <c r="ALK113" s="28"/>
      <c r="ALL113" s="28"/>
      <c r="ALM113" s="28"/>
      <c r="ALN113" s="28"/>
      <c r="ALO113" s="28"/>
      <c r="ALP113" s="28"/>
      <c r="ALQ113" s="28"/>
      <c r="ALR113" s="28"/>
      <c r="ALS113" s="28"/>
      <c r="ALT113" s="28"/>
      <c r="ALU113" s="28"/>
      <c r="ALV113" s="28"/>
      <c r="ALW113" s="28"/>
      <c r="ALX113" s="28"/>
      <c r="ALY113" s="28"/>
      <c r="ALZ113" s="28"/>
      <c r="AMA113" s="28"/>
      <c r="AMB113" s="28"/>
      <c r="AMC113" s="28"/>
      <c r="AMD113" s="28"/>
      <c r="AME113" s="28"/>
      <c r="AMF113" s="28"/>
      <c r="AMG113" s="28"/>
      <c r="AMH113" s="28"/>
      <c r="AMI113" s="28"/>
      <c r="AMJ113" s="28"/>
    </row>
    <row r="114" spans="1:1024" s="29" customFormat="1" ht="15.75" customHeight="1" x14ac:dyDescent="0.3">
      <c r="A114" s="600"/>
      <c r="B114" s="644" t="s">
        <v>368</v>
      </c>
      <c r="C114" s="661"/>
      <c r="D114" s="658"/>
      <c r="E114" s="658"/>
      <c r="F114" s="659"/>
      <c r="G114" s="453" t="s">
        <v>234</v>
      </c>
      <c r="H114" s="660" t="s">
        <v>259</v>
      </c>
      <c r="I114" s="432"/>
      <c r="J114" s="21"/>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28"/>
      <c r="DQ114" s="28"/>
      <c r="DR114" s="28"/>
      <c r="DS114" s="28"/>
      <c r="DT114" s="28"/>
      <c r="DU114" s="28"/>
      <c r="DV114" s="28"/>
      <c r="DW114" s="28"/>
      <c r="DX114" s="28"/>
      <c r="DY114" s="28"/>
      <c r="DZ114" s="28"/>
      <c r="EA114" s="28"/>
      <c r="EB114" s="28"/>
      <c r="EC114" s="28"/>
      <c r="ED114" s="28"/>
      <c r="EE114" s="28"/>
      <c r="EF114" s="28"/>
      <c r="EG114" s="28"/>
      <c r="EH114" s="28"/>
      <c r="EI114" s="28"/>
      <c r="EJ114" s="28"/>
      <c r="EK114" s="28"/>
      <c r="EL114" s="28"/>
      <c r="EM114" s="28"/>
      <c r="EN114" s="28"/>
      <c r="EO114" s="28"/>
      <c r="EP114" s="28"/>
      <c r="EQ114" s="28"/>
      <c r="ER114" s="28"/>
      <c r="ES114" s="28"/>
      <c r="ET114" s="28"/>
      <c r="EU114" s="28"/>
      <c r="EV114" s="28"/>
      <c r="EW114" s="28"/>
      <c r="EX114" s="28"/>
      <c r="EY114" s="28"/>
      <c r="EZ114" s="28"/>
      <c r="FA114" s="28"/>
      <c r="AIQ114" s="28"/>
      <c r="AIR114" s="28"/>
      <c r="AIS114" s="28"/>
      <c r="AIT114" s="28"/>
      <c r="AIU114" s="28"/>
      <c r="AIV114" s="28"/>
      <c r="AIW114" s="28"/>
      <c r="AIX114" s="28"/>
      <c r="AIY114" s="28"/>
      <c r="AIZ114" s="28"/>
      <c r="AJA114" s="28"/>
      <c r="AJB114" s="28"/>
      <c r="AJC114" s="28"/>
      <c r="AJD114" s="28"/>
      <c r="AJE114" s="28"/>
      <c r="AJF114" s="28"/>
      <c r="AJG114" s="28"/>
      <c r="AJH114" s="28"/>
      <c r="AJI114" s="28"/>
      <c r="AJJ114" s="28"/>
      <c r="AJK114" s="28"/>
      <c r="AJL114" s="28"/>
      <c r="AJM114" s="28"/>
      <c r="AJN114" s="28"/>
      <c r="AJO114" s="28"/>
      <c r="AJP114" s="28"/>
      <c r="AJQ114" s="28"/>
      <c r="AJR114" s="28"/>
      <c r="AJS114" s="28"/>
      <c r="AJT114" s="28"/>
      <c r="AJU114" s="28"/>
      <c r="AJV114" s="28"/>
      <c r="AJW114" s="28"/>
      <c r="AJX114" s="28"/>
      <c r="AJY114" s="28"/>
      <c r="AJZ114" s="28"/>
      <c r="AKA114" s="28"/>
      <c r="AKB114" s="28"/>
      <c r="AKC114" s="28"/>
      <c r="AKD114" s="28"/>
      <c r="AKE114" s="28"/>
      <c r="AKF114" s="28"/>
      <c r="AKG114" s="28"/>
      <c r="AKH114" s="28"/>
      <c r="AKI114" s="28"/>
      <c r="AKJ114" s="28"/>
      <c r="AKK114" s="28"/>
      <c r="AKL114" s="28"/>
      <c r="AKM114" s="28"/>
      <c r="AKN114" s="28"/>
      <c r="AKO114" s="28"/>
      <c r="AKP114" s="28"/>
      <c r="AKQ114" s="28"/>
      <c r="AKR114" s="28"/>
      <c r="AKS114" s="28"/>
      <c r="AKT114" s="28"/>
      <c r="AKU114" s="28"/>
      <c r="AKV114" s="28"/>
      <c r="AKW114" s="28"/>
      <c r="AKX114" s="28"/>
      <c r="AKY114" s="28"/>
      <c r="AKZ114" s="28"/>
      <c r="ALA114" s="28"/>
      <c r="ALB114" s="28"/>
      <c r="ALC114" s="28"/>
      <c r="ALD114" s="28"/>
      <c r="ALE114" s="28"/>
      <c r="ALF114" s="28"/>
      <c r="ALG114" s="28"/>
      <c r="ALH114" s="28"/>
      <c r="ALI114" s="28"/>
      <c r="ALJ114" s="28"/>
      <c r="ALK114" s="28"/>
      <c r="ALL114" s="28"/>
      <c r="ALM114" s="28"/>
      <c r="ALN114" s="28"/>
      <c r="ALO114" s="28"/>
      <c r="ALP114" s="28"/>
      <c r="ALQ114" s="28"/>
      <c r="ALR114" s="28"/>
      <c r="ALS114" s="28"/>
      <c r="ALT114" s="28"/>
      <c r="ALU114" s="28"/>
      <c r="ALV114" s="28"/>
      <c r="ALW114" s="28"/>
      <c r="ALX114" s="28"/>
      <c r="ALY114" s="28"/>
      <c r="ALZ114" s="28"/>
      <c r="AMA114" s="28"/>
      <c r="AMB114" s="28"/>
      <c r="AMC114" s="28"/>
      <c r="AMD114" s="28"/>
      <c r="AME114" s="28"/>
      <c r="AMF114" s="28"/>
      <c r="AMG114" s="28"/>
      <c r="AMH114" s="28"/>
      <c r="AMI114" s="28"/>
      <c r="AMJ114" s="28"/>
    </row>
    <row r="115" spans="1:1024" s="29" customFormat="1" ht="15.75" customHeight="1" x14ac:dyDescent="0.3">
      <c r="A115" s="600"/>
      <c r="B115" s="662" t="s">
        <v>369</v>
      </c>
      <c r="C115" s="661"/>
      <c r="D115" s="658"/>
      <c r="E115" s="658"/>
      <c r="F115" s="659"/>
      <c r="G115" s="453" t="s">
        <v>234</v>
      </c>
      <c r="H115" s="660" t="s">
        <v>259</v>
      </c>
      <c r="I115" s="432"/>
      <c r="J115" s="21"/>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28"/>
      <c r="DQ115" s="28"/>
      <c r="DR115" s="28"/>
      <c r="DS115" s="28"/>
      <c r="DT115" s="28"/>
      <c r="DU115" s="28"/>
      <c r="DV115" s="28"/>
      <c r="DW115" s="28"/>
      <c r="DX115" s="28"/>
      <c r="DY115" s="28"/>
      <c r="DZ115" s="28"/>
      <c r="EA115" s="28"/>
      <c r="EB115" s="28"/>
      <c r="EC115" s="28"/>
      <c r="ED115" s="28"/>
      <c r="EE115" s="28"/>
      <c r="EF115" s="28"/>
      <c r="EG115" s="28"/>
      <c r="EH115" s="28"/>
      <c r="EI115" s="28"/>
      <c r="EJ115" s="28"/>
      <c r="EK115" s="28"/>
      <c r="EL115" s="28"/>
      <c r="EM115" s="28"/>
      <c r="EN115" s="28"/>
      <c r="EO115" s="28"/>
      <c r="EP115" s="28"/>
      <c r="EQ115" s="28"/>
      <c r="ER115" s="28"/>
      <c r="ES115" s="28"/>
      <c r="ET115" s="28"/>
      <c r="EU115" s="28"/>
      <c r="EV115" s="28"/>
      <c r="EW115" s="28"/>
      <c r="EX115" s="28"/>
      <c r="EY115" s="28"/>
      <c r="EZ115" s="28"/>
      <c r="FA115" s="28"/>
      <c r="AIQ115" s="28"/>
      <c r="AIR115" s="28"/>
      <c r="AIS115" s="28"/>
      <c r="AIT115" s="28"/>
      <c r="AIU115" s="28"/>
      <c r="AIV115" s="28"/>
      <c r="AIW115" s="28"/>
      <c r="AIX115" s="28"/>
      <c r="AIY115" s="28"/>
      <c r="AIZ115" s="28"/>
      <c r="AJA115" s="28"/>
      <c r="AJB115" s="28"/>
      <c r="AJC115" s="28"/>
      <c r="AJD115" s="28"/>
      <c r="AJE115" s="28"/>
      <c r="AJF115" s="28"/>
      <c r="AJG115" s="28"/>
      <c r="AJH115" s="28"/>
      <c r="AJI115" s="28"/>
      <c r="AJJ115" s="28"/>
      <c r="AJK115" s="28"/>
      <c r="AJL115" s="28"/>
      <c r="AJM115" s="28"/>
      <c r="AJN115" s="28"/>
      <c r="AJO115" s="28"/>
      <c r="AJP115" s="28"/>
      <c r="AJQ115" s="28"/>
      <c r="AJR115" s="28"/>
      <c r="AJS115" s="28"/>
      <c r="AJT115" s="28"/>
      <c r="AJU115" s="28"/>
      <c r="AJV115" s="28"/>
      <c r="AJW115" s="28"/>
      <c r="AJX115" s="28"/>
      <c r="AJY115" s="28"/>
      <c r="AJZ115" s="28"/>
      <c r="AKA115" s="28"/>
      <c r="AKB115" s="28"/>
      <c r="AKC115" s="28"/>
      <c r="AKD115" s="28"/>
      <c r="AKE115" s="28"/>
      <c r="AKF115" s="28"/>
      <c r="AKG115" s="28"/>
      <c r="AKH115" s="28"/>
      <c r="AKI115" s="28"/>
      <c r="AKJ115" s="28"/>
      <c r="AKK115" s="28"/>
      <c r="AKL115" s="28"/>
      <c r="AKM115" s="28"/>
      <c r="AKN115" s="28"/>
      <c r="AKO115" s="28"/>
      <c r="AKP115" s="28"/>
      <c r="AKQ115" s="28"/>
      <c r="AKR115" s="28"/>
      <c r="AKS115" s="28"/>
      <c r="AKT115" s="28"/>
      <c r="AKU115" s="28"/>
      <c r="AKV115" s="28"/>
      <c r="AKW115" s="28"/>
      <c r="AKX115" s="28"/>
      <c r="AKY115" s="28"/>
      <c r="AKZ115" s="28"/>
      <c r="ALA115" s="28"/>
      <c r="ALB115" s="28"/>
      <c r="ALC115" s="28"/>
      <c r="ALD115" s="28"/>
      <c r="ALE115" s="28"/>
      <c r="ALF115" s="28"/>
      <c r="ALG115" s="28"/>
      <c r="ALH115" s="28"/>
      <c r="ALI115" s="28"/>
      <c r="ALJ115" s="28"/>
      <c r="ALK115" s="28"/>
      <c r="ALL115" s="28"/>
      <c r="ALM115" s="28"/>
      <c r="ALN115" s="28"/>
      <c r="ALO115" s="28"/>
      <c r="ALP115" s="28"/>
      <c r="ALQ115" s="28"/>
      <c r="ALR115" s="28"/>
      <c r="ALS115" s="28"/>
      <c r="ALT115" s="28"/>
      <c r="ALU115" s="28"/>
      <c r="ALV115" s="28"/>
      <c r="ALW115" s="28"/>
      <c r="ALX115" s="28"/>
      <c r="ALY115" s="28"/>
      <c r="ALZ115" s="28"/>
      <c r="AMA115" s="28"/>
      <c r="AMB115" s="28"/>
      <c r="AMC115" s="28"/>
      <c r="AMD115" s="28"/>
      <c r="AME115" s="28"/>
      <c r="AMF115" s="28"/>
      <c r="AMG115" s="28"/>
      <c r="AMH115" s="28"/>
      <c r="AMI115" s="28"/>
      <c r="AMJ115" s="28"/>
    </row>
    <row r="116" spans="1:1024" s="29" customFormat="1" ht="15.75" customHeight="1" x14ac:dyDescent="0.3">
      <c r="A116" s="600"/>
      <c r="B116" s="662" t="s">
        <v>370</v>
      </c>
      <c r="C116" s="661"/>
      <c r="D116" s="658"/>
      <c r="E116" s="658"/>
      <c r="F116" s="659"/>
      <c r="G116" s="453" t="s">
        <v>234</v>
      </c>
      <c r="H116" s="660" t="s">
        <v>259</v>
      </c>
      <c r="I116" s="432"/>
      <c r="J116" s="21"/>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28"/>
      <c r="DQ116" s="28"/>
      <c r="DR116" s="28"/>
      <c r="DS116" s="28"/>
      <c r="DT116" s="28"/>
      <c r="DU116" s="28"/>
      <c r="DV116" s="28"/>
      <c r="DW116" s="28"/>
      <c r="DX116" s="28"/>
      <c r="DY116" s="28"/>
      <c r="DZ116" s="28"/>
      <c r="EA116" s="28"/>
      <c r="EB116" s="28"/>
      <c r="EC116" s="28"/>
      <c r="ED116" s="28"/>
      <c r="EE116" s="28"/>
      <c r="EF116" s="28"/>
      <c r="EG116" s="28"/>
      <c r="EH116" s="28"/>
      <c r="EI116" s="28"/>
      <c r="EJ116" s="28"/>
      <c r="EK116" s="28"/>
      <c r="EL116" s="28"/>
      <c r="EM116" s="28"/>
      <c r="EN116" s="28"/>
      <c r="EO116" s="28"/>
      <c r="EP116" s="28"/>
      <c r="EQ116" s="28"/>
      <c r="ER116" s="28"/>
      <c r="ES116" s="28"/>
      <c r="ET116" s="28"/>
      <c r="EU116" s="28"/>
      <c r="EV116" s="28"/>
      <c r="EW116" s="28"/>
      <c r="EX116" s="28"/>
      <c r="EY116" s="28"/>
      <c r="EZ116" s="28"/>
      <c r="FA116" s="28"/>
      <c r="AIQ116" s="28"/>
      <c r="AIR116" s="28"/>
      <c r="AIS116" s="28"/>
      <c r="AIT116" s="28"/>
      <c r="AIU116" s="28"/>
      <c r="AIV116" s="28"/>
      <c r="AIW116" s="28"/>
      <c r="AIX116" s="28"/>
      <c r="AIY116" s="28"/>
      <c r="AIZ116" s="28"/>
      <c r="AJA116" s="28"/>
      <c r="AJB116" s="28"/>
      <c r="AJC116" s="28"/>
      <c r="AJD116" s="28"/>
      <c r="AJE116" s="28"/>
      <c r="AJF116" s="28"/>
      <c r="AJG116" s="28"/>
      <c r="AJH116" s="28"/>
      <c r="AJI116" s="28"/>
      <c r="AJJ116" s="28"/>
      <c r="AJK116" s="28"/>
      <c r="AJL116" s="28"/>
      <c r="AJM116" s="28"/>
      <c r="AJN116" s="28"/>
      <c r="AJO116" s="28"/>
      <c r="AJP116" s="28"/>
      <c r="AJQ116" s="28"/>
      <c r="AJR116" s="28"/>
      <c r="AJS116" s="28"/>
      <c r="AJT116" s="28"/>
      <c r="AJU116" s="28"/>
      <c r="AJV116" s="28"/>
      <c r="AJW116" s="28"/>
      <c r="AJX116" s="28"/>
      <c r="AJY116" s="28"/>
      <c r="AJZ116" s="28"/>
      <c r="AKA116" s="28"/>
      <c r="AKB116" s="28"/>
      <c r="AKC116" s="28"/>
      <c r="AKD116" s="28"/>
      <c r="AKE116" s="28"/>
      <c r="AKF116" s="28"/>
      <c r="AKG116" s="28"/>
      <c r="AKH116" s="28"/>
      <c r="AKI116" s="28"/>
      <c r="AKJ116" s="28"/>
      <c r="AKK116" s="28"/>
      <c r="AKL116" s="28"/>
      <c r="AKM116" s="28"/>
      <c r="AKN116" s="28"/>
      <c r="AKO116" s="28"/>
      <c r="AKP116" s="28"/>
      <c r="AKQ116" s="28"/>
      <c r="AKR116" s="28"/>
      <c r="AKS116" s="28"/>
      <c r="AKT116" s="28"/>
      <c r="AKU116" s="28"/>
      <c r="AKV116" s="28"/>
      <c r="AKW116" s="28"/>
      <c r="AKX116" s="28"/>
      <c r="AKY116" s="28"/>
      <c r="AKZ116" s="28"/>
      <c r="ALA116" s="28"/>
      <c r="ALB116" s="28"/>
      <c r="ALC116" s="28"/>
      <c r="ALD116" s="28"/>
      <c r="ALE116" s="28"/>
      <c r="ALF116" s="28"/>
      <c r="ALG116" s="28"/>
      <c r="ALH116" s="28"/>
      <c r="ALI116" s="28"/>
      <c r="ALJ116" s="28"/>
      <c r="ALK116" s="28"/>
      <c r="ALL116" s="28"/>
      <c r="ALM116" s="28"/>
      <c r="ALN116" s="28"/>
      <c r="ALO116" s="28"/>
      <c r="ALP116" s="28"/>
      <c r="ALQ116" s="28"/>
      <c r="ALR116" s="28"/>
      <c r="ALS116" s="28"/>
      <c r="ALT116" s="28"/>
      <c r="ALU116" s="28"/>
      <c r="ALV116" s="28"/>
      <c r="ALW116" s="28"/>
      <c r="ALX116" s="28"/>
      <c r="ALY116" s="28"/>
      <c r="ALZ116" s="28"/>
      <c r="AMA116" s="28"/>
      <c r="AMB116" s="28"/>
      <c r="AMC116" s="28"/>
      <c r="AMD116" s="28"/>
      <c r="AME116" s="28"/>
      <c r="AMF116" s="28"/>
      <c r="AMG116" s="28"/>
      <c r="AMH116" s="28"/>
      <c r="AMI116" s="28"/>
      <c r="AMJ116" s="28"/>
    </row>
    <row r="117" spans="1:1024" s="29" customFormat="1" ht="15.75" customHeight="1" x14ac:dyDescent="0.3">
      <c r="A117" s="600"/>
      <c r="B117" s="662" t="s">
        <v>371</v>
      </c>
      <c r="C117" s="661"/>
      <c r="D117" s="658"/>
      <c r="E117" s="658"/>
      <c r="F117" s="659"/>
      <c r="G117" s="453" t="s">
        <v>234</v>
      </c>
      <c r="H117" s="660" t="s">
        <v>259</v>
      </c>
      <c r="I117" s="432"/>
      <c r="J117" s="21"/>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28"/>
      <c r="DQ117" s="28"/>
      <c r="DR117" s="28"/>
      <c r="DS117" s="28"/>
      <c r="DT117" s="28"/>
      <c r="DU117" s="28"/>
      <c r="DV117" s="28"/>
      <c r="DW117" s="28"/>
      <c r="DX117" s="28"/>
      <c r="DY117" s="28"/>
      <c r="DZ117" s="28"/>
      <c r="EA117" s="28"/>
      <c r="EB117" s="28"/>
      <c r="EC117" s="28"/>
      <c r="ED117" s="28"/>
      <c r="EE117" s="28"/>
      <c r="EF117" s="28"/>
      <c r="EG117" s="28"/>
      <c r="EH117" s="28"/>
      <c r="EI117" s="28"/>
      <c r="EJ117" s="28"/>
      <c r="EK117" s="28"/>
      <c r="EL117" s="28"/>
      <c r="EM117" s="28"/>
      <c r="EN117" s="28"/>
      <c r="EO117" s="28"/>
      <c r="EP117" s="28"/>
      <c r="EQ117" s="28"/>
      <c r="ER117" s="28"/>
      <c r="ES117" s="28"/>
      <c r="ET117" s="28"/>
      <c r="EU117" s="28"/>
      <c r="EV117" s="28"/>
      <c r="EW117" s="28"/>
      <c r="EX117" s="28"/>
      <c r="EY117" s="28"/>
      <c r="EZ117" s="28"/>
      <c r="FA117" s="28"/>
      <c r="AIQ117" s="28"/>
      <c r="AIR117" s="28"/>
      <c r="AIS117" s="28"/>
      <c r="AIT117" s="28"/>
      <c r="AIU117" s="28"/>
      <c r="AIV117" s="28"/>
      <c r="AIW117" s="28"/>
      <c r="AIX117" s="28"/>
      <c r="AIY117" s="28"/>
      <c r="AIZ117" s="28"/>
      <c r="AJA117" s="28"/>
      <c r="AJB117" s="28"/>
      <c r="AJC117" s="28"/>
      <c r="AJD117" s="28"/>
      <c r="AJE117" s="28"/>
      <c r="AJF117" s="28"/>
      <c r="AJG117" s="28"/>
      <c r="AJH117" s="28"/>
      <c r="AJI117" s="28"/>
      <c r="AJJ117" s="28"/>
      <c r="AJK117" s="28"/>
      <c r="AJL117" s="28"/>
      <c r="AJM117" s="28"/>
      <c r="AJN117" s="28"/>
      <c r="AJO117" s="28"/>
      <c r="AJP117" s="28"/>
      <c r="AJQ117" s="28"/>
      <c r="AJR117" s="28"/>
      <c r="AJS117" s="28"/>
      <c r="AJT117" s="28"/>
      <c r="AJU117" s="28"/>
      <c r="AJV117" s="28"/>
      <c r="AJW117" s="28"/>
      <c r="AJX117" s="28"/>
      <c r="AJY117" s="28"/>
      <c r="AJZ117" s="28"/>
      <c r="AKA117" s="28"/>
      <c r="AKB117" s="28"/>
      <c r="AKC117" s="28"/>
      <c r="AKD117" s="28"/>
      <c r="AKE117" s="28"/>
      <c r="AKF117" s="28"/>
      <c r="AKG117" s="28"/>
      <c r="AKH117" s="28"/>
      <c r="AKI117" s="28"/>
      <c r="AKJ117" s="28"/>
      <c r="AKK117" s="28"/>
      <c r="AKL117" s="28"/>
      <c r="AKM117" s="28"/>
      <c r="AKN117" s="28"/>
      <c r="AKO117" s="28"/>
      <c r="AKP117" s="28"/>
      <c r="AKQ117" s="28"/>
      <c r="AKR117" s="28"/>
      <c r="AKS117" s="28"/>
      <c r="AKT117" s="28"/>
      <c r="AKU117" s="28"/>
      <c r="AKV117" s="28"/>
      <c r="AKW117" s="28"/>
      <c r="AKX117" s="28"/>
      <c r="AKY117" s="28"/>
      <c r="AKZ117" s="28"/>
      <c r="ALA117" s="28"/>
      <c r="ALB117" s="28"/>
      <c r="ALC117" s="28"/>
      <c r="ALD117" s="28"/>
      <c r="ALE117" s="28"/>
      <c r="ALF117" s="28"/>
      <c r="ALG117" s="28"/>
      <c r="ALH117" s="28"/>
      <c r="ALI117" s="28"/>
      <c r="ALJ117" s="28"/>
      <c r="ALK117" s="28"/>
      <c r="ALL117" s="28"/>
      <c r="ALM117" s="28"/>
      <c r="ALN117" s="28"/>
      <c r="ALO117" s="28"/>
      <c r="ALP117" s="28"/>
      <c r="ALQ117" s="28"/>
      <c r="ALR117" s="28"/>
      <c r="ALS117" s="28"/>
      <c r="ALT117" s="28"/>
      <c r="ALU117" s="28"/>
      <c r="ALV117" s="28"/>
      <c r="ALW117" s="28"/>
      <c r="ALX117" s="28"/>
      <c r="ALY117" s="28"/>
      <c r="ALZ117" s="28"/>
      <c r="AMA117" s="28"/>
      <c r="AMB117" s="28"/>
      <c r="AMC117" s="28"/>
      <c r="AMD117" s="28"/>
      <c r="AME117" s="28"/>
      <c r="AMF117" s="28"/>
      <c r="AMG117" s="28"/>
      <c r="AMH117" s="28"/>
      <c r="AMI117" s="28"/>
      <c r="AMJ117" s="28"/>
    </row>
    <row r="118" spans="1:1024" s="29" customFormat="1" ht="15.75" customHeight="1" x14ac:dyDescent="0.3">
      <c r="A118" s="600"/>
      <c r="B118" s="662" t="s">
        <v>372</v>
      </c>
      <c r="C118" s="661"/>
      <c r="D118" s="658"/>
      <c r="E118" s="658"/>
      <c r="F118" s="659"/>
      <c r="G118" s="453" t="s">
        <v>234</v>
      </c>
      <c r="H118" s="660" t="s">
        <v>259</v>
      </c>
      <c r="I118" s="432"/>
      <c r="J118" s="21"/>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28"/>
      <c r="DQ118" s="28"/>
      <c r="DR118" s="28"/>
      <c r="DS118" s="28"/>
      <c r="DT118" s="28"/>
      <c r="DU118" s="28"/>
      <c r="DV118" s="28"/>
      <c r="DW118" s="28"/>
      <c r="DX118" s="28"/>
      <c r="DY118" s="28"/>
      <c r="DZ118" s="28"/>
      <c r="EA118" s="28"/>
      <c r="EB118" s="28"/>
      <c r="EC118" s="28"/>
      <c r="ED118" s="28"/>
      <c r="EE118" s="28"/>
      <c r="EF118" s="28"/>
      <c r="EG118" s="28"/>
      <c r="EH118" s="28"/>
      <c r="EI118" s="28"/>
      <c r="EJ118" s="28"/>
      <c r="EK118" s="28"/>
      <c r="EL118" s="28"/>
      <c r="EM118" s="28"/>
      <c r="EN118" s="28"/>
      <c r="EO118" s="28"/>
      <c r="EP118" s="28"/>
      <c r="EQ118" s="28"/>
      <c r="ER118" s="28"/>
      <c r="ES118" s="28"/>
      <c r="ET118" s="28"/>
      <c r="EU118" s="28"/>
      <c r="EV118" s="28"/>
      <c r="EW118" s="28"/>
      <c r="EX118" s="28"/>
      <c r="EY118" s="28"/>
      <c r="EZ118" s="28"/>
      <c r="FA118" s="28"/>
      <c r="AIQ118" s="28"/>
      <c r="AIR118" s="28"/>
      <c r="AIS118" s="28"/>
      <c r="AIT118" s="28"/>
      <c r="AIU118" s="28"/>
      <c r="AIV118" s="28"/>
      <c r="AIW118" s="28"/>
      <c r="AIX118" s="28"/>
      <c r="AIY118" s="28"/>
      <c r="AIZ118" s="28"/>
      <c r="AJA118" s="28"/>
      <c r="AJB118" s="28"/>
      <c r="AJC118" s="28"/>
      <c r="AJD118" s="28"/>
      <c r="AJE118" s="28"/>
      <c r="AJF118" s="28"/>
      <c r="AJG118" s="28"/>
      <c r="AJH118" s="28"/>
      <c r="AJI118" s="28"/>
      <c r="AJJ118" s="28"/>
      <c r="AJK118" s="28"/>
      <c r="AJL118" s="28"/>
      <c r="AJM118" s="28"/>
      <c r="AJN118" s="28"/>
      <c r="AJO118" s="28"/>
      <c r="AJP118" s="28"/>
      <c r="AJQ118" s="28"/>
      <c r="AJR118" s="28"/>
      <c r="AJS118" s="28"/>
      <c r="AJT118" s="28"/>
      <c r="AJU118" s="28"/>
      <c r="AJV118" s="28"/>
      <c r="AJW118" s="28"/>
      <c r="AJX118" s="28"/>
      <c r="AJY118" s="28"/>
      <c r="AJZ118" s="28"/>
      <c r="AKA118" s="28"/>
      <c r="AKB118" s="28"/>
      <c r="AKC118" s="28"/>
      <c r="AKD118" s="28"/>
      <c r="AKE118" s="28"/>
      <c r="AKF118" s="28"/>
      <c r="AKG118" s="28"/>
      <c r="AKH118" s="28"/>
      <c r="AKI118" s="28"/>
      <c r="AKJ118" s="28"/>
      <c r="AKK118" s="28"/>
      <c r="AKL118" s="28"/>
      <c r="AKM118" s="28"/>
      <c r="AKN118" s="28"/>
      <c r="AKO118" s="28"/>
      <c r="AKP118" s="28"/>
      <c r="AKQ118" s="28"/>
      <c r="AKR118" s="28"/>
      <c r="AKS118" s="28"/>
      <c r="AKT118" s="28"/>
      <c r="AKU118" s="28"/>
      <c r="AKV118" s="28"/>
      <c r="AKW118" s="28"/>
      <c r="AKX118" s="28"/>
      <c r="AKY118" s="28"/>
      <c r="AKZ118" s="28"/>
      <c r="ALA118" s="28"/>
      <c r="ALB118" s="28"/>
      <c r="ALC118" s="28"/>
      <c r="ALD118" s="28"/>
      <c r="ALE118" s="28"/>
      <c r="ALF118" s="28"/>
      <c r="ALG118" s="28"/>
      <c r="ALH118" s="28"/>
      <c r="ALI118" s="28"/>
      <c r="ALJ118" s="28"/>
      <c r="ALK118" s="28"/>
      <c r="ALL118" s="28"/>
      <c r="ALM118" s="28"/>
      <c r="ALN118" s="28"/>
      <c r="ALO118" s="28"/>
      <c r="ALP118" s="28"/>
      <c r="ALQ118" s="28"/>
      <c r="ALR118" s="28"/>
      <c r="ALS118" s="28"/>
      <c r="ALT118" s="28"/>
      <c r="ALU118" s="28"/>
      <c r="ALV118" s="28"/>
      <c r="ALW118" s="28"/>
      <c r="ALX118" s="28"/>
      <c r="ALY118" s="28"/>
      <c r="ALZ118" s="28"/>
      <c r="AMA118" s="28"/>
      <c r="AMB118" s="28"/>
      <c r="AMC118" s="28"/>
      <c r="AMD118" s="28"/>
      <c r="AME118" s="28"/>
      <c r="AMF118" s="28"/>
      <c r="AMG118" s="28"/>
      <c r="AMH118" s="28"/>
      <c r="AMI118" s="28"/>
      <c r="AMJ118" s="28"/>
    </row>
    <row r="119" spans="1:1024" s="29" customFormat="1" ht="15.75" customHeight="1" x14ac:dyDescent="0.3">
      <c r="A119" s="600"/>
      <c r="B119" s="662" t="s">
        <v>373</v>
      </c>
      <c r="C119" s="661"/>
      <c r="D119" s="658"/>
      <c r="E119" s="658"/>
      <c r="F119" s="659"/>
      <c r="G119" s="453" t="s">
        <v>234</v>
      </c>
      <c r="H119" s="660" t="s">
        <v>259</v>
      </c>
      <c r="I119" s="432"/>
      <c r="J119" s="21"/>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28"/>
      <c r="DQ119" s="28"/>
      <c r="DR119" s="28"/>
      <c r="DS119" s="28"/>
      <c r="DT119" s="28"/>
      <c r="DU119" s="28"/>
      <c r="DV119" s="28"/>
      <c r="DW119" s="28"/>
      <c r="DX119" s="28"/>
      <c r="DY119" s="28"/>
      <c r="DZ119" s="28"/>
      <c r="EA119" s="28"/>
      <c r="EB119" s="28"/>
      <c r="EC119" s="28"/>
      <c r="ED119" s="28"/>
      <c r="EE119" s="28"/>
      <c r="EF119" s="28"/>
      <c r="EG119" s="28"/>
      <c r="EH119" s="28"/>
      <c r="EI119" s="28"/>
      <c r="EJ119" s="28"/>
      <c r="EK119" s="28"/>
      <c r="EL119" s="28"/>
      <c r="EM119" s="28"/>
      <c r="EN119" s="28"/>
      <c r="EO119" s="28"/>
      <c r="EP119" s="28"/>
      <c r="EQ119" s="28"/>
      <c r="ER119" s="28"/>
      <c r="ES119" s="28"/>
      <c r="ET119" s="28"/>
      <c r="EU119" s="28"/>
      <c r="EV119" s="28"/>
      <c r="EW119" s="28"/>
      <c r="EX119" s="28"/>
      <c r="EY119" s="28"/>
      <c r="EZ119" s="28"/>
      <c r="FA119" s="28"/>
      <c r="AIQ119" s="28"/>
      <c r="AIR119" s="28"/>
      <c r="AIS119" s="28"/>
      <c r="AIT119" s="28"/>
      <c r="AIU119" s="28"/>
      <c r="AIV119" s="28"/>
      <c r="AIW119" s="28"/>
      <c r="AIX119" s="28"/>
      <c r="AIY119" s="28"/>
      <c r="AIZ119" s="28"/>
      <c r="AJA119" s="28"/>
      <c r="AJB119" s="28"/>
      <c r="AJC119" s="28"/>
      <c r="AJD119" s="28"/>
      <c r="AJE119" s="28"/>
      <c r="AJF119" s="28"/>
      <c r="AJG119" s="28"/>
      <c r="AJH119" s="28"/>
      <c r="AJI119" s="28"/>
      <c r="AJJ119" s="28"/>
      <c r="AJK119" s="28"/>
      <c r="AJL119" s="28"/>
      <c r="AJM119" s="28"/>
      <c r="AJN119" s="28"/>
      <c r="AJO119" s="28"/>
      <c r="AJP119" s="28"/>
      <c r="AJQ119" s="28"/>
      <c r="AJR119" s="28"/>
      <c r="AJS119" s="28"/>
      <c r="AJT119" s="28"/>
      <c r="AJU119" s="28"/>
      <c r="AJV119" s="28"/>
      <c r="AJW119" s="28"/>
      <c r="AJX119" s="28"/>
      <c r="AJY119" s="28"/>
      <c r="AJZ119" s="28"/>
      <c r="AKA119" s="28"/>
      <c r="AKB119" s="28"/>
      <c r="AKC119" s="28"/>
      <c r="AKD119" s="28"/>
      <c r="AKE119" s="28"/>
      <c r="AKF119" s="28"/>
      <c r="AKG119" s="28"/>
      <c r="AKH119" s="28"/>
      <c r="AKI119" s="28"/>
      <c r="AKJ119" s="28"/>
      <c r="AKK119" s="28"/>
      <c r="AKL119" s="28"/>
      <c r="AKM119" s="28"/>
      <c r="AKN119" s="28"/>
      <c r="AKO119" s="28"/>
      <c r="AKP119" s="28"/>
      <c r="AKQ119" s="28"/>
      <c r="AKR119" s="28"/>
      <c r="AKS119" s="28"/>
      <c r="AKT119" s="28"/>
      <c r="AKU119" s="28"/>
      <c r="AKV119" s="28"/>
      <c r="AKW119" s="28"/>
      <c r="AKX119" s="28"/>
      <c r="AKY119" s="28"/>
      <c r="AKZ119" s="28"/>
      <c r="ALA119" s="28"/>
      <c r="ALB119" s="28"/>
      <c r="ALC119" s="28"/>
      <c r="ALD119" s="28"/>
      <c r="ALE119" s="28"/>
      <c r="ALF119" s="28"/>
      <c r="ALG119" s="28"/>
      <c r="ALH119" s="28"/>
      <c r="ALI119" s="28"/>
      <c r="ALJ119" s="28"/>
      <c r="ALK119" s="28"/>
      <c r="ALL119" s="28"/>
      <c r="ALM119" s="28"/>
      <c r="ALN119" s="28"/>
      <c r="ALO119" s="28"/>
      <c r="ALP119" s="28"/>
      <c r="ALQ119" s="28"/>
      <c r="ALR119" s="28"/>
      <c r="ALS119" s="28"/>
      <c r="ALT119" s="28"/>
      <c r="ALU119" s="28"/>
      <c r="ALV119" s="28"/>
      <c r="ALW119" s="28"/>
      <c r="ALX119" s="28"/>
      <c r="ALY119" s="28"/>
      <c r="ALZ119" s="28"/>
      <c r="AMA119" s="28"/>
      <c r="AMB119" s="28"/>
      <c r="AMC119" s="28"/>
      <c r="AMD119" s="28"/>
      <c r="AME119" s="28"/>
      <c r="AMF119" s="28"/>
      <c r="AMG119" s="28"/>
      <c r="AMH119" s="28"/>
      <c r="AMI119" s="28"/>
      <c r="AMJ119" s="28"/>
    </row>
    <row r="120" spans="1:1024" s="29" customFormat="1" ht="15.75" customHeight="1" x14ac:dyDescent="0.3">
      <c r="A120" s="600"/>
      <c r="B120" s="662" t="s">
        <v>374</v>
      </c>
      <c r="C120" s="661"/>
      <c r="D120" s="658"/>
      <c r="E120" s="658"/>
      <c r="F120" s="659"/>
      <c r="G120" s="453" t="s">
        <v>234</v>
      </c>
      <c r="H120" s="660" t="s">
        <v>259</v>
      </c>
      <c r="I120" s="432"/>
      <c r="J120" s="21"/>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28"/>
      <c r="DQ120" s="28"/>
      <c r="DR120" s="28"/>
      <c r="DS120" s="28"/>
      <c r="DT120" s="28"/>
      <c r="DU120" s="28"/>
      <c r="DV120" s="28"/>
      <c r="DW120" s="28"/>
      <c r="DX120" s="28"/>
      <c r="DY120" s="28"/>
      <c r="DZ120" s="28"/>
      <c r="EA120" s="28"/>
      <c r="EB120" s="28"/>
      <c r="EC120" s="28"/>
      <c r="ED120" s="28"/>
      <c r="EE120" s="28"/>
      <c r="EF120" s="28"/>
      <c r="EG120" s="28"/>
      <c r="EH120" s="28"/>
      <c r="EI120" s="28"/>
      <c r="EJ120" s="28"/>
      <c r="EK120" s="28"/>
      <c r="EL120" s="28"/>
      <c r="EM120" s="28"/>
      <c r="EN120" s="28"/>
      <c r="EO120" s="28"/>
      <c r="EP120" s="28"/>
      <c r="EQ120" s="28"/>
      <c r="ER120" s="28"/>
      <c r="ES120" s="28"/>
      <c r="ET120" s="28"/>
      <c r="EU120" s="28"/>
      <c r="EV120" s="28"/>
      <c r="EW120" s="28"/>
      <c r="EX120" s="28"/>
      <c r="EY120" s="28"/>
      <c r="EZ120" s="28"/>
      <c r="FA120" s="28"/>
      <c r="AIQ120" s="28"/>
      <c r="AIR120" s="28"/>
      <c r="AIS120" s="28"/>
      <c r="AIT120" s="28"/>
      <c r="AIU120" s="28"/>
      <c r="AIV120" s="28"/>
      <c r="AIW120" s="28"/>
      <c r="AIX120" s="28"/>
      <c r="AIY120" s="28"/>
      <c r="AIZ120" s="28"/>
      <c r="AJA120" s="28"/>
      <c r="AJB120" s="28"/>
      <c r="AJC120" s="28"/>
      <c r="AJD120" s="28"/>
      <c r="AJE120" s="28"/>
      <c r="AJF120" s="28"/>
      <c r="AJG120" s="28"/>
      <c r="AJH120" s="28"/>
      <c r="AJI120" s="28"/>
      <c r="AJJ120" s="28"/>
      <c r="AJK120" s="28"/>
      <c r="AJL120" s="28"/>
      <c r="AJM120" s="28"/>
      <c r="AJN120" s="28"/>
      <c r="AJO120" s="28"/>
      <c r="AJP120" s="28"/>
      <c r="AJQ120" s="28"/>
      <c r="AJR120" s="28"/>
      <c r="AJS120" s="28"/>
      <c r="AJT120" s="28"/>
      <c r="AJU120" s="28"/>
      <c r="AJV120" s="28"/>
      <c r="AJW120" s="28"/>
      <c r="AJX120" s="28"/>
      <c r="AJY120" s="28"/>
      <c r="AJZ120" s="28"/>
      <c r="AKA120" s="28"/>
      <c r="AKB120" s="28"/>
      <c r="AKC120" s="28"/>
      <c r="AKD120" s="28"/>
      <c r="AKE120" s="28"/>
      <c r="AKF120" s="28"/>
      <c r="AKG120" s="28"/>
      <c r="AKH120" s="28"/>
      <c r="AKI120" s="28"/>
      <c r="AKJ120" s="28"/>
      <c r="AKK120" s="28"/>
      <c r="AKL120" s="28"/>
      <c r="AKM120" s="28"/>
      <c r="AKN120" s="28"/>
      <c r="AKO120" s="28"/>
      <c r="AKP120" s="28"/>
      <c r="AKQ120" s="28"/>
      <c r="AKR120" s="28"/>
      <c r="AKS120" s="28"/>
      <c r="AKT120" s="28"/>
      <c r="AKU120" s="28"/>
      <c r="AKV120" s="28"/>
      <c r="AKW120" s="28"/>
      <c r="AKX120" s="28"/>
      <c r="AKY120" s="28"/>
      <c r="AKZ120" s="28"/>
      <c r="ALA120" s="28"/>
      <c r="ALB120" s="28"/>
      <c r="ALC120" s="28"/>
      <c r="ALD120" s="28"/>
      <c r="ALE120" s="28"/>
      <c r="ALF120" s="28"/>
      <c r="ALG120" s="28"/>
      <c r="ALH120" s="28"/>
      <c r="ALI120" s="28"/>
      <c r="ALJ120" s="28"/>
      <c r="ALK120" s="28"/>
      <c r="ALL120" s="28"/>
      <c r="ALM120" s="28"/>
      <c r="ALN120" s="28"/>
      <c r="ALO120" s="28"/>
      <c r="ALP120" s="28"/>
      <c r="ALQ120" s="28"/>
      <c r="ALR120" s="28"/>
      <c r="ALS120" s="28"/>
      <c r="ALT120" s="28"/>
      <c r="ALU120" s="28"/>
      <c r="ALV120" s="28"/>
      <c r="ALW120" s="28"/>
      <c r="ALX120" s="28"/>
      <c r="ALY120" s="28"/>
      <c r="ALZ120" s="28"/>
      <c r="AMA120" s="28"/>
      <c r="AMB120" s="28"/>
      <c r="AMC120" s="28"/>
      <c r="AMD120" s="28"/>
      <c r="AME120" s="28"/>
      <c r="AMF120" s="28"/>
      <c r="AMG120" s="28"/>
      <c r="AMH120" s="28"/>
      <c r="AMI120" s="28"/>
      <c r="AMJ120" s="28"/>
    </row>
    <row r="121" spans="1:1024" s="29" customFormat="1" ht="15.75" customHeight="1" x14ac:dyDescent="0.3">
      <c r="A121" s="600"/>
      <c r="B121" s="662" t="s">
        <v>375</v>
      </c>
      <c r="C121" s="661"/>
      <c r="D121" s="658"/>
      <c r="E121" s="658"/>
      <c r="F121" s="659"/>
      <c r="G121" s="453" t="s">
        <v>234</v>
      </c>
      <c r="H121" s="660" t="s">
        <v>259</v>
      </c>
      <c r="I121" s="432"/>
      <c r="J121" s="21"/>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28"/>
      <c r="DQ121" s="28"/>
      <c r="DR121" s="28"/>
      <c r="DS121" s="28"/>
      <c r="DT121" s="28"/>
      <c r="DU121" s="28"/>
      <c r="DV121" s="28"/>
      <c r="DW121" s="28"/>
      <c r="DX121" s="28"/>
      <c r="DY121" s="28"/>
      <c r="DZ121" s="28"/>
      <c r="EA121" s="28"/>
      <c r="EB121" s="28"/>
      <c r="EC121" s="28"/>
      <c r="ED121" s="28"/>
      <c r="EE121" s="28"/>
      <c r="EF121" s="28"/>
      <c r="EG121" s="28"/>
      <c r="EH121" s="28"/>
      <c r="EI121" s="28"/>
      <c r="EJ121" s="28"/>
      <c r="EK121" s="28"/>
      <c r="EL121" s="28"/>
      <c r="EM121" s="28"/>
      <c r="EN121" s="28"/>
      <c r="EO121" s="28"/>
      <c r="EP121" s="28"/>
      <c r="EQ121" s="28"/>
      <c r="ER121" s="28"/>
      <c r="ES121" s="28"/>
      <c r="ET121" s="28"/>
      <c r="EU121" s="28"/>
      <c r="EV121" s="28"/>
      <c r="EW121" s="28"/>
      <c r="EX121" s="28"/>
      <c r="EY121" s="28"/>
      <c r="EZ121" s="28"/>
      <c r="FA121" s="28"/>
      <c r="AIQ121" s="28"/>
      <c r="AIR121" s="28"/>
      <c r="AIS121" s="28"/>
      <c r="AIT121" s="28"/>
      <c r="AIU121" s="28"/>
      <c r="AIV121" s="28"/>
      <c r="AIW121" s="28"/>
      <c r="AIX121" s="28"/>
      <c r="AIY121" s="28"/>
      <c r="AIZ121" s="28"/>
      <c r="AJA121" s="28"/>
      <c r="AJB121" s="28"/>
      <c r="AJC121" s="28"/>
      <c r="AJD121" s="28"/>
      <c r="AJE121" s="28"/>
      <c r="AJF121" s="28"/>
      <c r="AJG121" s="28"/>
      <c r="AJH121" s="28"/>
      <c r="AJI121" s="28"/>
      <c r="AJJ121" s="28"/>
      <c r="AJK121" s="28"/>
      <c r="AJL121" s="28"/>
      <c r="AJM121" s="28"/>
      <c r="AJN121" s="28"/>
      <c r="AJO121" s="28"/>
      <c r="AJP121" s="28"/>
      <c r="AJQ121" s="28"/>
      <c r="AJR121" s="28"/>
      <c r="AJS121" s="28"/>
      <c r="AJT121" s="28"/>
      <c r="AJU121" s="28"/>
      <c r="AJV121" s="28"/>
      <c r="AJW121" s="28"/>
      <c r="AJX121" s="28"/>
      <c r="AJY121" s="28"/>
      <c r="AJZ121" s="28"/>
      <c r="AKA121" s="28"/>
      <c r="AKB121" s="28"/>
      <c r="AKC121" s="28"/>
      <c r="AKD121" s="28"/>
      <c r="AKE121" s="28"/>
      <c r="AKF121" s="28"/>
      <c r="AKG121" s="28"/>
      <c r="AKH121" s="28"/>
      <c r="AKI121" s="28"/>
      <c r="AKJ121" s="28"/>
      <c r="AKK121" s="28"/>
      <c r="AKL121" s="28"/>
      <c r="AKM121" s="28"/>
      <c r="AKN121" s="28"/>
      <c r="AKO121" s="28"/>
      <c r="AKP121" s="28"/>
      <c r="AKQ121" s="28"/>
      <c r="AKR121" s="28"/>
      <c r="AKS121" s="28"/>
      <c r="AKT121" s="28"/>
      <c r="AKU121" s="28"/>
      <c r="AKV121" s="28"/>
      <c r="AKW121" s="28"/>
      <c r="AKX121" s="28"/>
      <c r="AKY121" s="28"/>
      <c r="AKZ121" s="28"/>
      <c r="ALA121" s="28"/>
      <c r="ALB121" s="28"/>
      <c r="ALC121" s="28"/>
      <c r="ALD121" s="28"/>
      <c r="ALE121" s="28"/>
      <c r="ALF121" s="28"/>
      <c r="ALG121" s="28"/>
      <c r="ALH121" s="28"/>
      <c r="ALI121" s="28"/>
      <c r="ALJ121" s="28"/>
      <c r="ALK121" s="28"/>
      <c r="ALL121" s="28"/>
      <c r="ALM121" s="28"/>
      <c r="ALN121" s="28"/>
      <c r="ALO121" s="28"/>
      <c r="ALP121" s="28"/>
      <c r="ALQ121" s="28"/>
      <c r="ALR121" s="28"/>
      <c r="ALS121" s="28"/>
      <c r="ALT121" s="28"/>
      <c r="ALU121" s="28"/>
      <c r="ALV121" s="28"/>
      <c r="ALW121" s="28"/>
      <c r="ALX121" s="28"/>
      <c r="ALY121" s="28"/>
      <c r="ALZ121" s="28"/>
      <c r="AMA121" s="28"/>
      <c r="AMB121" s="28"/>
      <c r="AMC121" s="28"/>
      <c r="AMD121" s="28"/>
      <c r="AME121" s="28"/>
      <c r="AMF121" s="28"/>
      <c r="AMG121" s="28"/>
      <c r="AMH121" s="28"/>
      <c r="AMI121" s="28"/>
      <c r="AMJ121" s="28"/>
    </row>
    <row r="122" spans="1:1024" s="29" customFormat="1" ht="15.75" customHeight="1" x14ac:dyDescent="0.3">
      <c r="A122" s="600"/>
      <c r="B122" s="662" t="s">
        <v>376</v>
      </c>
      <c r="C122" s="661"/>
      <c r="D122" s="658"/>
      <c r="E122" s="658"/>
      <c r="F122" s="659"/>
      <c r="G122" s="453" t="s">
        <v>234</v>
      </c>
      <c r="H122" s="660" t="s">
        <v>259</v>
      </c>
      <c r="I122" s="432"/>
      <c r="J122" s="21"/>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28"/>
      <c r="DQ122" s="28"/>
      <c r="DR122" s="28"/>
      <c r="DS122" s="28"/>
      <c r="DT122" s="28"/>
      <c r="DU122" s="28"/>
      <c r="DV122" s="28"/>
      <c r="DW122" s="28"/>
      <c r="DX122" s="28"/>
      <c r="DY122" s="28"/>
      <c r="DZ122" s="28"/>
      <c r="EA122" s="28"/>
      <c r="EB122" s="28"/>
      <c r="EC122" s="28"/>
      <c r="ED122" s="28"/>
      <c r="EE122" s="28"/>
      <c r="EF122" s="28"/>
      <c r="EG122" s="28"/>
      <c r="EH122" s="28"/>
      <c r="EI122" s="28"/>
      <c r="EJ122" s="28"/>
      <c r="EK122" s="28"/>
      <c r="EL122" s="28"/>
      <c r="EM122" s="28"/>
      <c r="EN122" s="28"/>
      <c r="EO122" s="28"/>
      <c r="EP122" s="28"/>
      <c r="EQ122" s="28"/>
      <c r="ER122" s="28"/>
      <c r="ES122" s="28"/>
      <c r="ET122" s="28"/>
      <c r="EU122" s="28"/>
      <c r="EV122" s="28"/>
      <c r="EW122" s="28"/>
      <c r="EX122" s="28"/>
      <c r="EY122" s="28"/>
      <c r="EZ122" s="28"/>
      <c r="FA122" s="28"/>
      <c r="AIQ122" s="28"/>
      <c r="AIR122" s="28"/>
      <c r="AIS122" s="28"/>
      <c r="AIT122" s="28"/>
      <c r="AIU122" s="28"/>
      <c r="AIV122" s="28"/>
      <c r="AIW122" s="28"/>
      <c r="AIX122" s="28"/>
      <c r="AIY122" s="28"/>
      <c r="AIZ122" s="28"/>
      <c r="AJA122" s="28"/>
      <c r="AJB122" s="28"/>
      <c r="AJC122" s="28"/>
      <c r="AJD122" s="28"/>
      <c r="AJE122" s="28"/>
      <c r="AJF122" s="28"/>
      <c r="AJG122" s="28"/>
      <c r="AJH122" s="28"/>
      <c r="AJI122" s="28"/>
      <c r="AJJ122" s="28"/>
      <c r="AJK122" s="28"/>
      <c r="AJL122" s="28"/>
      <c r="AJM122" s="28"/>
      <c r="AJN122" s="28"/>
      <c r="AJO122" s="28"/>
      <c r="AJP122" s="28"/>
      <c r="AJQ122" s="28"/>
      <c r="AJR122" s="28"/>
      <c r="AJS122" s="28"/>
      <c r="AJT122" s="28"/>
      <c r="AJU122" s="28"/>
      <c r="AJV122" s="28"/>
      <c r="AJW122" s="28"/>
      <c r="AJX122" s="28"/>
      <c r="AJY122" s="28"/>
      <c r="AJZ122" s="28"/>
      <c r="AKA122" s="28"/>
      <c r="AKB122" s="28"/>
      <c r="AKC122" s="28"/>
      <c r="AKD122" s="28"/>
      <c r="AKE122" s="28"/>
      <c r="AKF122" s="28"/>
      <c r="AKG122" s="28"/>
      <c r="AKH122" s="28"/>
      <c r="AKI122" s="28"/>
      <c r="AKJ122" s="28"/>
      <c r="AKK122" s="28"/>
      <c r="AKL122" s="28"/>
      <c r="AKM122" s="28"/>
      <c r="AKN122" s="28"/>
      <c r="AKO122" s="28"/>
      <c r="AKP122" s="28"/>
      <c r="AKQ122" s="28"/>
      <c r="AKR122" s="28"/>
      <c r="AKS122" s="28"/>
      <c r="AKT122" s="28"/>
      <c r="AKU122" s="28"/>
      <c r="AKV122" s="28"/>
      <c r="AKW122" s="28"/>
      <c r="AKX122" s="28"/>
      <c r="AKY122" s="28"/>
      <c r="AKZ122" s="28"/>
      <c r="ALA122" s="28"/>
      <c r="ALB122" s="28"/>
      <c r="ALC122" s="28"/>
      <c r="ALD122" s="28"/>
      <c r="ALE122" s="28"/>
      <c r="ALF122" s="28"/>
      <c r="ALG122" s="28"/>
      <c r="ALH122" s="28"/>
      <c r="ALI122" s="28"/>
      <c r="ALJ122" s="28"/>
      <c r="ALK122" s="28"/>
      <c r="ALL122" s="28"/>
      <c r="ALM122" s="28"/>
      <c r="ALN122" s="28"/>
      <c r="ALO122" s="28"/>
      <c r="ALP122" s="28"/>
      <c r="ALQ122" s="28"/>
      <c r="ALR122" s="28"/>
      <c r="ALS122" s="28"/>
      <c r="ALT122" s="28"/>
      <c r="ALU122" s="28"/>
      <c r="ALV122" s="28"/>
      <c r="ALW122" s="28"/>
      <c r="ALX122" s="28"/>
      <c r="ALY122" s="28"/>
      <c r="ALZ122" s="28"/>
      <c r="AMA122" s="28"/>
      <c r="AMB122" s="28"/>
      <c r="AMC122" s="28"/>
      <c r="AMD122" s="28"/>
      <c r="AME122" s="28"/>
      <c r="AMF122" s="28"/>
      <c r="AMG122" s="28"/>
      <c r="AMH122" s="28"/>
      <c r="AMI122" s="28"/>
      <c r="AMJ122" s="28"/>
    </row>
    <row r="123" spans="1:1024" s="29" customFormat="1" ht="15.75" customHeight="1" x14ac:dyDescent="0.3">
      <c r="A123" s="600"/>
      <c r="B123" s="662" t="s">
        <v>377</v>
      </c>
      <c r="C123" s="661"/>
      <c r="D123" s="658"/>
      <c r="E123" s="658"/>
      <c r="F123" s="659"/>
      <c r="G123" s="453" t="s">
        <v>234</v>
      </c>
      <c r="H123" s="660" t="s">
        <v>259</v>
      </c>
      <c r="I123" s="432"/>
      <c r="J123" s="21"/>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28"/>
      <c r="DQ123" s="28"/>
      <c r="DR123" s="28"/>
      <c r="DS123" s="28"/>
      <c r="DT123" s="28"/>
      <c r="DU123" s="28"/>
      <c r="DV123" s="28"/>
      <c r="DW123" s="28"/>
      <c r="DX123" s="28"/>
      <c r="DY123" s="28"/>
      <c r="DZ123" s="28"/>
      <c r="EA123" s="28"/>
      <c r="EB123" s="28"/>
      <c r="EC123" s="28"/>
      <c r="ED123" s="28"/>
      <c r="EE123" s="28"/>
      <c r="EF123" s="28"/>
      <c r="EG123" s="28"/>
      <c r="EH123" s="28"/>
      <c r="EI123" s="28"/>
      <c r="EJ123" s="28"/>
      <c r="EK123" s="28"/>
      <c r="EL123" s="28"/>
      <c r="EM123" s="28"/>
      <c r="EN123" s="28"/>
      <c r="EO123" s="28"/>
      <c r="EP123" s="28"/>
      <c r="EQ123" s="28"/>
      <c r="ER123" s="28"/>
      <c r="ES123" s="28"/>
      <c r="ET123" s="28"/>
      <c r="EU123" s="28"/>
      <c r="EV123" s="28"/>
      <c r="EW123" s="28"/>
      <c r="EX123" s="28"/>
      <c r="EY123" s="28"/>
      <c r="EZ123" s="28"/>
      <c r="FA123" s="28"/>
      <c r="AIQ123" s="28"/>
      <c r="AIR123" s="28"/>
      <c r="AIS123" s="28"/>
      <c r="AIT123" s="28"/>
      <c r="AIU123" s="28"/>
      <c r="AIV123" s="28"/>
      <c r="AIW123" s="28"/>
      <c r="AIX123" s="28"/>
      <c r="AIY123" s="28"/>
      <c r="AIZ123" s="28"/>
      <c r="AJA123" s="28"/>
      <c r="AJB123" s="28"/>
      <c r="AJC123" s="28"/>
      <c r="AJD123" s="28"/>
      <c r="AJE123" s="28"/>
      <c r="AJF123" s="28"/>
      <c r="AJG123" s="28"/>
      <c r="AJH123" s="28"/>
      <c r="AJI123" s="28"/>
      <c r="AJJ123" s="28"/>
      <c r="AJK123" s="28"/>
      <c r="AJL123" s="28"/>
      <c r="AJM123" s="28"/>
      <c r="AJN123" s="28"/>
      <c r="AJO123" s="28"/>
      <c r="AJP123" s="28"/>
      <c r="AJQ123" s="28"/>
      <c r="AJR123" s="28"/>
      <c r="AJS123" s="28"/>
      <c r="AJT123" s="28"/>
      <c r="AJU123" s="28"/>
      <c r="AJV123" s="28"/>
      <c r="AJW123" s="28"/>
      <c r="AJX123" s="28"/>
      <c r="AJY123" s="28"/>
      <c r="AJZ123" s="28"/>
      <c r="AKA123" s="28"/>
      <c r="AKB123" s="28"/>
      <c r="AKC123" s="28"/>
      <c r="AKD123" s="28"/>
      <c r="AKE123" s="28"/>
      <c r="AKF123" s="28"/>
      <c r="AKG123" s="28"/>
      <c r="AKH123" s="28"/>
      <c r="AKI123" s="28"/>
      <c r="AKJ123" s="28"/>
      <c r="AKK123" s="28"/>
      <c r="AKL123" s="28"/>
      <c r="AKM123" s="28"/>
      <c r="AKN123" s="28"/>
      <c r="AKO123" s="28"/>
      <c r="AKP123" s="28"/>
      <c r="AKQ123" s="28"/>
      <c r="AKR123" s="28"/>
      <c r="AKS123" s="28"/>
      <c r="AKT123" s="28"/>
      <c r="AKU123" s="28"/>
      <c r="AKV123" s="28"/>
      <c r="AKW123" s="28"/>
      <c r="AKX123" s="28"/>
      <c r="AKY123" s="28"/>
      <c r="AKZ123" s="28"/>
      <c r="ALA123" s="28"/>
      <c r="ALB123" s="28"/>
      <c r="ALC123" s="28"/>
      <c r="ALD123" s="28"/>
      <c r="ALE123" s="28"/>
      <c r="ALF123" s="28"/>
      <c r="ALG123" s="28"/>
      <c r="ALH123" s="28"/>
      <c r="ALI123" s="28"/>
      <c r="ALJ123" s="28"/>
      <c r="ALK123" s="28"/>
      <c r="ALL123" s="28"/>
      <c r="ALM123" s="28"/>
      <c r="ALN123" s="28"/>
      <c r="ALO123" s="28"/>
      <c r="ALP123" s="28"/>
      <c r="ALQ123" s="28"/>
      <c r="ALR123" s="28"/>
      <c r="ALS123" s="28"/>
      <c r="ALT123" s="28"/>
      <c r="ALU123" s="28"/>
      <c r="ALV123" s="28"/>
      <c r="ALW123" s="28"/>
      <c r="ALX123" s="28"/>
      <c r="ALY123" s="28"/>
      <c r="ALZ123" s="28"/>
      <c r="AMA123" s="28"/>
      <c r="AMB123" s="28"/>
      <c r="AMC123" s="28"/>
      <c r="AMD123" s="28"/>
      <c r="AME123" s="28"/>
      <c r="AMF123" s="28"/>
      <c r="AMG123" s="28"/>
      <c r="AMH123" s="28"/>
      <c r="AMI123" s="28"/>
      <c r="AMJ123" s="28"/>
    </row>
    <row r="124" spans="1:1024" s="29" customFormat="1" ht="15.75" customHeight="1" x14ac:dyDescent="0.3">
      <c r="A124" s="600"/>
      <c r="B124" s="662" t="s">
        <v>378</v>
      </c>
      <c r="C124" s="661"/>
      <c r="D124" s="658"/>
      <c r="E124" s="658"/>
      <c r="F124" s="659"/>
      <c r="G124" s="453" t="s">
        <v>234</v>
      </c>
      <c r="H124" s="660" t="s">
        <v>259</v>
      </c>
      <c r="I124" s="432"/>
      <c r="J124" s="21"/>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28"/>
      <c r="DQ124" s="28"/>
      <c r="DR124" s="28"/>
      <c r="DS124" s="28"/>
      <c r="DT124" s="28"/>
      <c r="DU124" s="28"/>
      <c r="DV124" s="28"/>
      <c r="DW124" s="28"/>
      <c r="DX124" s="28"/>
      <c r="DY124" s="28"/>
      <c r="DZ124" s="28"/>
      <c r="EA124" s="28"/>
      <c r="EB124" s="28"/>
      <c r="EC124" s="28"/>
      <c r="ED124" s="28"/>
      <c r="EE124" s="28"/>
      <c r="EF124" s="28"/>
      <c r="EG124" s="28"/>
      <c r="EH124" s="28"/>
      <c r="EI124" s="28"/>
      <c r="EJ124" s="28"/>
      <c r="EK124" s="28"/>
      <c r="EL124" s="28"/>
      <c r="EM124" s="28"/>
      <c r="EN124" s="28"/>
      <c r="EO124" s="28"/>
      <c r="EP124" s="28"/>
      <c r="EQ124" s="28"/>
      <c r="ER124" s="28"/>
      <c r="ES124" s="28"/>
      <c r="ET124" s="28"/>
      <c r="EU124" s="28"/>
      <c r="EV124" s="28"/>
      <c r="EW124" s="28"/>
      <c r="EX124" s="28"/>
      <c r="EY124" s="28"/>
      <c r="EZ124" s="28"/>
      <c r="FA124" s="28"/>
      <c r="AIQ124" s="28"/>
      <c r="AIR124" s="28"/>
      <c r="AIS124" s="28"/>
      <c r="AIT124" s="28"/>
      <c r="AIU124" s="28"/>
      <c r="AIV124" s="28"/>
      <c r="AIW124" s="28"/>
      <c r="AIX124" s="28"/>
      <c r="AIY124" s="28"/>
      <c r="AIZ124" s="28"/>
      <c r="AJA124" s="28"/>
      <c r="AJB124" s="28"/>
      <c r="AJC124" s="28"/>
      <c r="AJD124" s="28"/>
      <c r="AJE124" s="28"/>
      <c r="AJF124" s="28"/>
      <c r="AJG124" s="28"/>
      <c r="AJH124" s="28"/>
      <c r="AJI124" s="28"/>
      <c r="AJJ124" s="28"/>
      <c r="AJK124" s="28"/>
      <c r="AJL124" s="28"/>
      <c r="AJM124" s="28"/>
      <c r="AJN124" s="28"/>
      <c r="AJO124" s="28"/>
      <c r="AJP124" s="28"/>
      <c r="AJQ124" s="28"/>
      <c r="AJR124" s="28"/>
      <c r="AJS124" s="28"/>
      <c r="AJT124" s="28"/>
      <c r="AJU124" s="28"/>
      <c r="AJV124" s="28"/>
      <c r="AJW124" s="28"/>
      <c r="AJX124" s="28"/>
      <c r="AJY124" s="28"/>
      <c r="AJZ124" s="28"/>
      <c r="AKA124" s="28"/>
      <c r="AKB124" s="28"/>
      <c r="AKC124" s="28"/>
      <c r="AKD124" s="28"/>
      <c r="AKE124" s="28"/>
      <c r="AKF124" s="28"/>
      <c r="AKG124" s="28"/>
      <c r="AKH124" s="28"/>
      <c r="AKI124" s="28"/>
      <c r="AKJ124" s="28"/>
      <c r="AKK124" s="28"/>
      <c r="AKL124" s="28"/>
      <c r="AKM124" s="28"/>
      <c r="AKN124" s="28"/>
      <c r="AKO124" s="28"/>
      <c r="AKP124" s="28"/>
      <c r="AKQ124" s="28"/>
      <c r="AKR124" s="28"/>
      <c r="AKS124" s="28"/>
      <c r="AKT124" s="28"/>
      <c r="AKU124" s="28"/>
      <c r="AKV124" s="28"/>
      <c r="AKW124" s="28"/>
      <c r="AKX124" s="28"/>
      <c r="AKY124" s="28"/>
      <c r="AKZ124" s="28"/>
      <c r="ALA124" s="28"/>
      <c r="ALB124" s="28"/>
      <c r="ALC124" s="28"/>
      <c r="ALD124" s="28"/>
      <c r="ALE124" s="28"/>
      <c r="ALF124" s="28"/>
      <c r="ALG124" s="28"/>
      <c r="ALH124" s="28"/>
      <c r="ALI124" s="28"/>
      <c r="ALJ124" s="28"/>
      <c r="ALK124" s="28"/>
      <c r="ALL124" s="28"/>
      <c r="ALM124" s="28"/>
      <c r="ALN124" s="28"/>
      <c r="ALO124" s="28"/>
      <c r="ALP124" s="28"/>
      <c r="ALQ124" s="28"/>
      <c r="ALR124" s="28"/>
      <c r="ALS124" s="28"/>
      <c r="ALT124" s="28"/>
      <c r="ALU124" s="28"/>
      <c r="ALV124" s="28"/>
      <c r="ALW124" s="28"/>
      <c r="ALX124" s="28"/>
      <c r="ALY124" s="28"/>
      <c r="ALZ124" s="28"/>
      <c r="AMA124" s="28"/>
      <c r="AMB124" s="28"/>
      <c r="AMC124" s="28"/>
      <c r="AMD124" s="28"/>
      <c r="AME124" s="28"/>
      <c r="AMF124" s="28"/>
      <c r="AMG124" s="28"/>
      <c r="AMH124" s="28"/>
      <c r="AMI124" s="28"/>
      <c r="AMJ124" s="28"/>
    </row>
    <row r="125" spans="1:1024" s="29" customFormat="1" ht="15.75" customHeight="1" x14ac:dyDescent="0.3">
      <c r="A125" s="651" t="s">
        <v>379</v>
      </c>
      <c r="B125" s="663" t="s">
        <v>380</v>
      </c>
      <c r="C125" s="664"/>
      <c r="D125" s="665"/>
      <c r="E125" s="665"/>
      <c r="F125" s="664"/>
      <c r="G125" s="655" t="s">
        <v>282</v>
      </c>
      <c r="H125" s="655" t="s">
        <v>282</v>
      </c>
      <c r="I125" s="666"/>
      <c r="J125" s="30"/>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28"/>
      <c r="DQ125" s="28"/>
      <c r="DR125" s="28"/>
      <c r="DS125" s="28"/>
      <c r="DT125" s="28"/>
      <c r="DU125" s="28"/>
      <c r="DV125" s="28"/>
      <c r="DW125" s="28"/>
      <c r="DX125" s="28"/>
      <c r="DY125" s="28"/>
      <c r="DZ125" s="28"/>
      <c r="EA125" s="28"/>
      <c r="EB125" s="28"/>
      <c r="EC125" s="28"/>
      <c r="ED125" s="28"/>
      <c r="EE125" s="28"/>
      <c r="EF125" s="28"/>
      <c r="EG125" s="28"/>
      <c r="EH125" s="28"/>
      <c r="EI125" s="28"/>
      <c r="EJ125" s="28"/>
      <c r="EK125" s="28"/>
      <c r="EL125" s="28"/>
      <c r="EM125" s="28"/>
      <c r="EN125" s="28"/>
      <c r="EO125" s="28"/>
      <c r="EP125" s="28"/>
      <c r="EQ125" s="28"/>
      <c r="ER125" s="28"/>
      <c r="ES125" s="28"/>
      <c r="ET125" s="28"/>
      <c r="EU125" s="28"/>
      <c r="EV125" s="28"/>
      <c r="EW125" s="28"/>
      <c r="EX125" s="28"/>
      <c r="EY125" s="28"/>
      <c r="EZ125" s="28"/>
      <c r="FA125" s="28"/>
      <c r="AIQ125" s="28"/>
      <c r="AIR125" s="28"/>
      <c r="AIS125" s="28"/>
      <c r="AIT125" s="28"/>
      <c r="AIU125" s="28"/>
      <c r="AIV125" s="28"/>
      <c r="AIW125" s="28"/>
      <c r="AIX125" s="28"/>
      <c r="AIY125" s="28"/>
      <c r="AIZ125" s="28"/>
      <c r="AJA125" s="28"/>
      <c r="AJB125" s="28"/>
      <c r="AJC125" s="28"/>
      <c r="AJD125" s="28"/>
      <c r="AJE125" s="28"/>
      <c r="AJF125" s="28"/>
      <c r="AJG125" s="28"/>
      <c r="AJH125" s="28"/>
      <c r="AJI125" s="28"/>
      <c r="AJJ125" s="28"/>
      <c r="AJK125" s="28"/>
      <c r="AJL125" s="28"/>
      <c r="AJM125" s="28"/>
      <c r="AJN125" s="28"/>
      <c r="AJO125" s="28"/>
      <c r="AJP125" s="28"/>
      <c r="AJQ125" s="28"/>
      <c r="AJR125" s="28"/>
      <c r="AJS125" s="28"/>
      <c r="AJT125" s="28"/>
      <c r="AJU125" s="28"/>
      <c r="AJV125" s="28"/>
      <c r="AJW125" s="28"/>
      <c r="AJX125" s="28"/>
      <c r="AJY125" s="28"/>
      <c r="AJZ125" s="28"/>
      <c r="AKA125" s="28"/>
      <c r="AKB125" s="28"/>
      <c r="AKC125" s="28"/>
      <c r="AKD125" s="28"/>
      <c r="AKE125" s="28"/>
      <c r="AKF125" s="28"/>
      <c r="AKG125" s="28"/>
      <c r="AKH125" s="28"/>
      <c r="AKI125" s="28"/>
      <c r="AKJ125" s="28"/>
      <c r="AKK125" s="28"/>
      <c r="AKL125" s="28"/>
      <c r="AKM125" s="28"/>
      <c r="AKN125" s="28"/>
      <c r="AKO125" s="28"/>
      <c r="AKP125" s="28"/>
      <c r="AKQ125" s="28"/>
      <c r="AKR125" s="28"/>
      <c r="AKS125" s="28"/>
      <c r="AKT125" s="28"/>
      <c r="AKU125" s="28"/>
      <c r="AKV125" s="28"/>
      <c r="AKW125" s="28"/>
      <c r="AKX125" s="28"/>
      <c r="AKY125" s="28"/>
      <c r="AKZ125" s="28"/>
      <c r="ALA125" s="28"/>
      <c r="ALB125" s="28"/>
      <c r="ALC125" s="28"/>
      <c r="ALD125" s="28"/>
      <c r="ALE125" s="28"/>
      <c r="ALF125" s="28"/>
      <c r="ALG125" s="28"/>
      <c r="ALH125" s="28"/>
      <c r="ALI125" s="28"/>
      <c r="ALJ125" s="28"/>
      <c r="ALK125" s="28"/>
      <c r="ALL125" s="28"/>
      <c r="ALM125" s="28"/>
      <c r="ALN125" s="28"/>
      <c r="ALO125" s="28"/>
      <c r="ALP125" s="28"/>
      <c r="ALQ125" s="28"/>
      <c r="ALR125" s="28"/>
      <c r="ALS125" s="28"/>
      <c r="ALT125" s="28"/>
      <c r="ALU125" s="28"/>
      <c r="ALV125" s="28"/>
      <c r="ALW125" s="28"/>
      <c r="ALX125" s="28"/>
      <c r="ALY125" s="28"/>
      <c r="ALZ125" s="28"/>
      <c r="AMA125" s="28"/>
      <c r="AMB125" s="28"/>
      <c r="AMC125" s="28"/>
      <c r="AMD125" s="28"/>
      <c r="AME125" s="28"/>
      <c r="AMF125" s="28"/>
      <c r="AMG125" s="28"/>
      <c r="AMH125" s="28"/>
      <c r="AMI125" s="28"/>
      <c r="AMJ125" s="28"/>
    </row>
    <row r="126" spans="1:1024" s="29" customFormat="1" ht="15.75" customHeight="1" x14ac:dyDescent="0.3">
      <c r="A126" s="644" t="s">
        <v>222</v>
      </c>
      <c r="B126" s="644" t="s">
        <v>381</v>
      </c>
      <c r="C126" s="646"/>
      <c r="D126" s="646"/>
      <c r="E126" s="646"/>
      <c r="F126" s="646"/>
      <c r="G126" s="453" t="s">
        <v>303</v>
      </c>
      <c r="H126" s="660" t="s">
        <v>259</v>
      </c>
      <c r="I126" s="646"/>
      <c r="J126" s="3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28"/>
      <c r="DQ126" s="28"/>
      <c r="DR126" s="28"/>
      <c r="DS126" s="28"/>
      <c r="DT126" s="28"/>
      <c r="DU126" s="28"/>
      <c r="DV126" s="28"/>
      <c r="DW126" s="28"/>
      <c r="DX126" s="28"/>
      <c r="DY126" s="28"/>
      <c r="DZ126" s="28"/>
      <c r="EA126" s="28"/>
      <c r="EB126" s="28"/>
      <c r="EC126" s="28"/>
      <c r="ED126" s="28"/>
      <c r="EE126" s="28"/>
      <c r="EF126" s="28"/>
      <c r="EG126" s="28"/>
      <c r="EH126" s="28"/>
      <c r="EI126" s="28"/>
      <c r="EJ126" s="28"/>
      <c r="EK126" s="28"/>
      <c r="EL126" s="28"/>
      <c r="EM126" s="28"/>
      <c r="EN126" s="28"/>
      <c r="EO126" s="28"/>
      <c r="EP126" s="28"/>
      <c r="EQ126" s="28"/>
      <c r="ER126" s="28"/>
      <c r="ES126" s="28"/>
      <c r="ET126" s="28"/>
      <c r="EU126" s="28"/>
      <c r="EV126" s="28"/>
      <c r="EW126" s="28"/>
      <c r="EX126" s="28"/>
      <c r="EY126" s="28"/>
      <c r="EZ126" s="28"/>
      <c r="FA126" s="28"/>
      <c r="AIQ126" s="28"/>
      <c r="AIR126" s="28"/>
      <c r="AIS126" s="28"/>
      <c r="AIT126" s="28"/>
      <c r="AIU126" s="28"/>
      <c r="AIV126" s="28"/>
      <c r="AIW126" s="28"/>
      <c r="AIX126" s="28"/>
      <c r="AIY126" s="28"/>
      <c r="AIZ126" s="28"/>
      <c r="AJA126" s="28"/>
      <c r="AJB126" s="28"/>
      <c r="AJC126" s="28"/>
      <c r="AJD126" s="28"/>
      <c r="AJE126" s="28"/>
      <c r="AJF126" s="28"/>
      <c r="AJG126" s="28"/>
      <c r="AJH126" s="28"/>
      <c r="AJI126" s="28"/>
      <c r="AJJ126" s="28"/>
      <c r="AJK126" s="28"/>
      <c r="AJL126" s="28"/>
      <c r="AJM126" s="28"/>
      <c r="AJN126" s="28"/>
      <c r="AJO126" s="28"/>
      <c r="AJP126" s="28"/>
      <c r="AJQ126" s="28"/>
      <c r="AJR126" s="28"/>
      <c r="AJS126" s="28"/>
      <c r="AJT126" s="28"/>
      <c r="AJU126" s="28"/>
      <c r="AJV126" s="28"/>
      <c r="AJW126" s="28"/>
      <c r="AJX126" s="28"/>
      <c r="AJY126" s="28"/>
      <c r="AJZ126" s="28"/>
      <c r="AKA126" s="28"/>
      <c r="AKB126" s="28"/>
      <c r="AKC126" s="28"/>
      <c r="AKD126" s="28"/>
      <c r="AKE126" s="28"/>
      <c r="AKF126" s="28"/>
      <c r="AKG126" s="28"/>
      <c r="AKH126" s="28"/>
      <c r="AKI126" s="28"/>
      <c r="AKJ126" s="28"/>
      <c r="AKK126" s="28"/>
      <c r="AKL126" s="28"/>
      <c r="AKM126" s="28"/>
      <c r="AKN126" s="28"/>
      <c r="AKO126" s="28"/>
      <c r="AKP126" s="28"/>
      <c r="AKQ126" s="28"/>
      <c r="AKR126" s="28"/>
      <c r="AKS126" s="28"/>
      <c r="AKT126" s="28"/>
      <c r="AKU126" s="28"/>
      <c r="AKV126" s="28"/>
      <c r="AKW126" s="28"/>
      <c r="AKX126" s="28"/>
      <c r="AKY126" s="28"/>
      <c r="AKZ126" s="28"/>
      <c r="ALA126" s="28"/>
      <c r="ALB126" s="28"/>
      <c r="ALC126" s="28"/>
      <c r="ALD126" s="28"/>
      <c r="ALE126" s="28"/>
      <c r="ALF126" s="28"/>
      <c r="ALG126" s="28"/>
      <c r="ALH126" s="28"/>
      <c r="ALI126" s="28"/>
      <c r="ALJ126" s="28"/>
      <c r="ALK126" s="28"/>
      <c r="ALL126" s="28"/>
      <c r="ALM126" s="28"/>
      <c r="ALN126" s="28"/>
      <c r="ALO126" s="28"/>
      <c r="ALP126" s="28"/>
      <c r="ALQ126" s="28"/>
      <c r="ALR126" s="28"/>
      <c r="ALS126" s="28"/>
      <c r="ALT126" s="28"/>
      <c r="ALU126" s="28"/>
      <c r="ALV126" s="28"/>
      <c r="ALW126" s="28"/>
      <c r="ALX126" s="28"/>
      <c r="ALY126" s="28"/>
      <c r="ALZ126" s="28"/>
      <c r="AMA126" s="28"/>
      <c r="AMB126" s="28"/>
      <c r="AMC126" s="28"/>
      <c r="AMD126" s="28"/>
      <c r="AME126" s="28"/>
      <c r="AMF126" s="28"/>
      <c r="AMG126" s="28"/>
      <c r="AMH126" s="28"/>
      <c r="AMI126" s="28"/>
      <c r="AMJ126" s="28"/>
    </row>
    <row r="127" spans="1:1024" s="29" customFormat="1" ht="15.75" customHeight="1" x14ac:dyDescent="0.3">
      <c r="A127" s="644" t="s">
        <v>222</v>
      </c>
      <c r="B127" s="644" t="s">
        <v>382</v>
      </c>
      <c r="C127" s="646"/>
      <c r="D127" s="646"/>
      <c r="E127" s="646"/>
      <c r="F127" s="646"/>
      <c r="G127" s="453" t="s">
        <v>303</v>
      </c>
      <c r="H127" s="660" t="s">
        <v>259</v>
      </c>
      <c r="I127" s="646"/>
      <c r="J127" s="3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28"/>
      <c r="DQ127" s="28"/>
      <c r="DR127" s="28"/>
      <c r="DS127" s="28"/>
      <c r="DT127" s="28"/>
      <c r="DU127" s="28"/>
      <c r="DV127" s="28"/>
      <c r="DW127" s="28"/>
      <c r="DX127" s="28"/>
      <c r="DY127" s="28"/>
      <c r="DZ127" s="28"/>
      <c r="EA127" s="28"/>
      <c r="EB127" s="28"/>
      <c r="EC127" s="28"/>
      <c r="ED127" s="28"/>
      <c r="EE127" s="28"/>
      <c r="EF127" s="28"/>
      <c r="EG127" s="28"/>
      <c r="EH127" s="28"/>
      <c r="EI127" s="28"/>
      <c r="EJ127" s="28"/>
      <c r="EK127" s="28"/>
      <c r="EL127" s="28"/>
      <c r="EM127" s="28"/>
      <c r="EN127" s="28"/>
      <c r="EO127" s="28"/>
      <c r="EP127" s="28"/>
      <c r="EQ127" s="28"/>
      <c r="ER127" s="28"/>
      <c r="ES127" s="28"/>
      <c r="ET127" s="28"/>
      <c r="EU127" s="28"/>
      <c r="EV127" s="28"/>
      <c r="EW127" s="28"/>
      <c r="EX127" s="28"/>
      <c r="EY127" s="28"/>
      <c r="EZ127" s="28"/>
      <c r="FA127" s="28"/>
      <c r="AIQ127" s="28"/>
      <c r="AIR127" s="28"/>
      <c r="AIS127" s="28"/>
      <c r="AIT127" s="28"/>
      <c r="AIU127" s="28"/>
      <c r="AIV127" s="28"/>
      <c r="AIW127" s="28"/>
      <c r="AIX127" s="28"/>
      <c r="AIY127" s="28"/>
      <c r="AIZ127" s="28"/>
      <c r="AJA127" s="28"/>
      <c r="AJB127" s="28"/>
      <c r="AJC127" s="28"/>
      <c r="AJD127" s="28"/>
      <c r="AJE127" s="28"/>
      <c r="AJF127" s="28"/>
      <c r="AJG127" s="28"/>
      <c r="AJH127" s="28"/>
      <c r="AJI127" s="28"/>
      <c r="AJJ127" s="28"/>
      <c r="AJK127" s="28"/>
      <c r="AJL127" s="28"/>
      <c r="AJM127" s="28"/>
      <c r="AJN127" s="28"/>
      <c r="AJO127" s="28"/>
      <c r="AJP127" s="28"/>
      <c r="AJQ127" s="28"/>
      <c r="AJR127" s="28"/>
      <c r="AJS127" s="28"/>
      <c r="AJT127" s="28"/>
      <c r="AJU127" s="28"/>
      <c r="AJV127" s="28"/>
      <c r="AJW127" s="28"/>
      <c r="AJX127" s="28"/>
      <c r="AJY127" s="28"/>
      <c r="AJZ127" s="28"/>
      <c r="AKA127" s="28"/>
      <c r="AKB127" s="28"/>
      <c r="AKC127" s="28"/>
      <c r="AKD127" s="28"/>
      <c r="AKE127" s="28"/>
      <c r="AKF127" s="28"/>
      <c r="AKG127" s="28"/>
      <c r="AKH127" s="28"/>
      <c r="AKI127" s="28"/>
      <c r="AKJ127" s="28"/>
      <c r="AKK127" s="28"/>
      <c r="AKL127" s="28"/>
      <c r="AKM127" s="28"/>
      <c r="AKN127" s="28"/>
      <c r="AKO127" s="28"/>
      <c r="AKP127" s="28"/>
      <c r="AKQ127" s="28"/>
      <c r="AKR127" s="28"/>
      <c r="AKS127" s="28"/>
      <c r="AKT127" s="28"/>
      <c r="AKU127" s="28"/>
      <c r="AKV127" s="28"/>
      <c r="AKW127" s="28"/>
      <c r="AKX127" s="28"/>
      <c r="AKY127" s="28"/>
      <c r="AKZ127" s="28"/>
      <c r="ALA127" s="28"/>
      <c r="ALB127" s="28"/>
      <c r="ALC127" s="28"/>
      <c r="ALD127" s="28"/>
      <c r="ALE127" s="28"/>
      <c r="ALF127" s="28"/>
      <c r="ALG127" s="28"/>
      <c r="ALH127" s="28"/>
      <c r="ALI127" s="28"/>
      <c r="ALJ127" s="28"/>
      <c r="ALK127" s="28"/>
      <c r="ALL127" s="28"/>
      <c r="ALM127" s="28"/>
      <c r="ALN127" s="28"/>
      <c r="ALO127" s="28"/>
      <c r="ALP127" s="28"/>
      <c r="ALQ127" s="28"/>
      <c r="ALR127" s="28"/>
      <c r="ALS127" s="28"/>
      <c r="ALT127" s="28"/>
      <c r="ALU127" s="28"/>
      <c r="ALV127" s="28"/>
      <c r="ALW127" s="28"/>
      <c r="ALX127" s="28"/>
      <c r="ALY127" s="28"/>
      <c r="ALZ127" s="28"/>
      <c r="AMA127" s="28"/>
      <c r="AMB127" s="28"/>
      <c r="AMC127" s="28"/>
      <c r="AMD127" s="28"/>
      <c r="AME127" s="28"/>
      <c r="AMF127" s="28"/>
      <c r="AMG127" s="28"/>
      <c r="AMH127" s="28"/>
      <c r="AMI127" s="28"/>
      <c r="AMJ127" s="28"/>
    </row>
    <row r="128" spans="1:1024" s="29" customFormat="1" ht="29.25" customHeight="1" x14ac:dyDescent="0.3">
      <c r="A128" s="651" t="s">
        <v>383</v>
      </c>
      <c r="B128" s="663" t="s">
        <v>384</v>
      </c>
      <c r="C128" s="653"/>
      <c r="D128" s="1133"/>
      <c r="E128" s="1133"/>
      <c r="F128" s="653"/>
      <c r="G128" s="655" t="s">
        <v>282</v>
      </c>
      <c r="H128" s="655" t="s">
        <v>282</v>
      </c>
      <c r="I128" s="666"/>
      <c r="J128" s="30"/>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28"/>
      <c r="DQ128" s="28"/>
      <c r="DR128" s="28"/>
      <c r="DS128" s="28"/>
      <c r="DT128" s="28"/>
      <c r="DU128" s="28"/>
      <c r="DV128" s="28"/>
      <c r="DW128" s="28"/>
      <c r="DX128" s="28"/>
      <c r="DY128" s="28"/>
      <c r="DZ128" s="28"/>
      <c r="EA128" s="28"/>
      <c r="EB128" s="28"/>
      <c r="EC128" s="28"/>
      <c r="ED128" s="28"/>
      <c r="EE128" s="28"/>
      <c r="EF128" s="28"/>
      <c r="EG128" s="28"/>
      <c r="EH128" s="28"/>
      <c r="EI128" s="28"/>
      <c r="EJ128" s="28"/>
      <c r="EK128" s="28"/>
      <c r="EL128" s="28"/>
      <c r="EM128" s="28"/>
      <c r="EN128" s="28"/>
      <c r="EO128" s="28"/>
      <c r="EP128" s="28"/>
      <c r="EQ128" s="28"/>
      <c r="ER128" s="28"/>
      <c r="ES128" s="28"/>
      <c r="ET128" s="28"/>
      <c r="EU128" s="28"/>
      <c r="EV128" s="28"/>
      <c r="EW128" s="28"/>
      <c r="EX128" s="28"/>
      <c r="EY128" s="28"/>
      <c r="EZ128" s="28"/>
      <c r="FA128" s="28"/>
      <c r="AIQ128" s="28"/>
      <c r="AIR128" s="28"/>
      <c r="AIS128" s="28"/>
      <c r="AIT128" s="28"/>
      <c r="AIU128" s="28"/>
      <c r="AIV128" s="28"/>
      <c r="AIW128" s="28"/>
      <c r="AIX128" s="28"/>
      <c r="AIY128" s="28"/>
      <c r="AIZ128" s="28"/>
      <c r="AJA128" s="28"/>
      <c r="AJB128" s="28"/>
      <c r="AJC128" s="28"/>
      <c r="AJD128" s="28"/>
      <c r="AJE128" s="28"/>
      <c r="AJF128" s="28"/>
      <c r="AJG128" s="28"/>
      <c r="AJH128" s="28"/>
      <c r="AJI128" s="28"/>
      <c r="AJJ128" s="28"/>
      <c r="AJK128" s="28"/>
      <c r="AJL128" s="28"/>
      <c r="AJM128" s="28"/>
      <c r="AJN128" s="28"/>
      <c r="AJO128" s="28"/>
      <c r="AJP128" s="28"/>
      <c r="AJQ128" s="28"/>
      <c r="AJR128" s="28"/>
      <c r="AJS128" s="28"/>
      <c r="AJT128" s="28"/>
      <c r="AJU128" s="28"/>
      <c r="AJV128" s="28"/>
      <c r="AJW128" s="28"/>
      <c r="AJX128" s="28"/>
      <c r="AJY128" s="28"/>
      <c r="AJZ128" s="28"/>
      <c r="AKA128" s="28"/>
      <c r="AKB128" s="28"/>
      <c r="AKC128" s="28"/>
      <c r="AKD128" s="28"/>
      <c r="AKE128" s="28"/>
      <c r="AKF128" s="28"/>
      <c r="AKG128" s="28"/>
      <c r="AKH128" s="28"/>
      <c r="AKI128" s="28"/>
      <c r="AKJ128" s="28"/>
      <c r="AKK128" s="28"/>
      <c r="AKL128" s="28"/>
      <c r="AKM128" s="28"/>
      <c r="AKN128" s="28"/>
      <c r="AKO128" s="28"/>
      <c r="AKP128" s="28"/>
      <c r="AKQ128" s="28"/>
      <c r="AKR128" s="28"/>
      <c r="AKS128" s="28"/>
      <c r="AKT128" s="28"/>
      <c r="AKU128" s="28"/>
      <c r="AKV128" s="28"/>
      <c r="AKW128" s="28"/>
      <c r="AKX128" s="28"/>
      <c r="AKY128" s="28"/>
      <c r="AKZ128" s="28"/>
      <c r="ALA128" s="28"/>
      <c r="ALB128" s="28"/>
      <c r="ALC128" s="28"/>
      <c r="ALD128" s="28"/>
      <c r="ALE128" s="28"/>
      <c r="ALF128" s="28"/>
      <c r="ALG128" s="28"/>
      <c r="ALH128" s="28"/>
      <c r="ALI128" s="28"/>
      <c r="ALJ128" s="28"/>
      <c r="ALK128" s="28"/>
      <c r="ALL128" s="28"/>
      <c r="ALM128" s="28"/>
      <c r="ALN128" s="28"/>
      <c r="ALO128" s="28"/>
      <c r="ALP128" s="28"/>
      <c r="ALQ128" s="28"/>
      <c r="ALR128" s="28"/>
      <c r="ALS128" s="28"/>
      <c r="ALT128" s="28"/>
      <c r="ALU128" s="28"/>
      <c r="ALV128" s="28"/>
      <c r="ALW128" s="28"/>
      <c r="ALX128" s="28"/>
      <c r="ALY128" s="28"/>
      <c r="ALZ128" s="28"/>
      <c r="AMA128" s="28"/>
      <c r="AMB128" s="28"/>
      <c r="AMC128" s="28"/>
      <c r="AMD128" s="28"/>
      <c r="AME128" s="28"/>
      <c r="AMF128" s="28"/>
      <c r="AMG128" s="28"/>
      <c r="AMH128" s="28"/>
      <c r="AMI128" s="28"/>
      <c r="AMJ128" s="28"/>
    </row>
    <row r="129" spans="1:1024" s="29" customFormat="1" ht="15.75" customHeight="1" x14ac:dyDescent="0.3">
      <c r="A129" s="600"/>
      <c r="B129" s="644" t="s">
        <v>385</v>
      </c>
      <c r="C129" s="661"/>
      <c r="D129" s="658"/>
      <c r="E129" s="658"/>
      <c r="F129" s="453"/>
      <c r="G129" s="660" t="s">
        <v>259</v>
      </c>
      <c r="H129" s="660" t="s">
        <v>259</v>
      </c>
      <c r="I129" s="432"/>
      <c r="J129" s="21"/>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28"/>
      <c r="DQ129" s="28"/>
      <c r="DR129" s="28"/>
      <c r="DS129" s="28"/>
      <c r="DT129" s="28"/>
      <c r="DU129" s="28"/>
      <c r="DV129" s="28"/>
      <c r="DW129" s="28"/>
      <c r="DX129" s="28"/>
      <c r="DY129" s="28"/>
      <c r="DZ129" s="28"/>
      <c r="EA129" s="28"/>
      <c r="EB129" s="28"/>
      <c r="EC129" s="28"/>
      <c r="ED129" s="28"/>
      <c r="EE129" s="28"/>
      <c r="EF129" s="28"/>
      <c r="EG129" s="28"/>
      <c r="EH129" s="28"/>
      <c r="EI129" s="28"/>
      <c r="EJ129" s="28"/>
      <c r="EK129" s="28"/>
      <c r="EL129" s="28"/>
      <c r="EM129" s="28"/>
      <c r="EN129" s="28"/>
      <c r="EO129" s="28"/>
      <c r="EP129" s="28"/>
      <c r="EQ129" s="28"/>
      <c r="ER129" s="28"/>
      <c r="ES129" s="28"/>
      <c r="ET129" s="28"/>
      <c r="EU129" s="28"/>
      <c r="EV129" s="28"/>
      <c r="EW129" s="28"/>
      <c r="EX129" s="28"/>
      <c r="EY129" s="28"/>
      <c r="EZ129" s="28"/>
      <c r="FA129" s="28"/>
      <c r="AIQ129" s="28"/>
      <c r="AIR129" s="28"/>
      <c r="AIS129" s="28"/>
      <c r="AIT129" s="28"/>
      <c r="AIU129" s="28"/>
      <c r="AIV129" s="28"/>
      <c r="AIW129" s="28"/>
      <c r="AIX129" s="28"/>
      <c r="AIY129" s="28"/>
      <c r="AIZ129" s="28"/>
      <c r="AJA129" s="28"/>
      <c r="AJB129" s="28"/>
      <c r="AJC129" s="28"/>
      <c r="AJD129" s="28"/>
      <c r="AJE129" s="28"/>
      <c r="AJF129" s="28"/>
      <c r="AJG129" s="28"/>
      <c r="AJH129" s="28"/>
      <c r="AJI129" s="28"/>
      <c r="AJJ129" s="28"/>
      <c r="AJK129" s="28"/>
      <c r="AJL129" s="28"/>
      <c r="AJM129" s="28"/>
      <c r="AJN129" s="28"/>
      <c r="AJO129" s="28"/>
      <c r="AJP129" s="28"/>
      <c r="AJQ129" s="28"/>
      <c r="AJR129" s="28"/>
      <c r="AJS129" s="28"/>
      <c r="AJT129" s="28"/>
      <c r="AJU129" s="28"/>
      <c r="AJV129" s="28"/>
      <c r="AJW129" s="28"/>
      <c r="AJX129" s="28"/>
      <c r="AJY129" s="28"/>
      <c r="AJZ129" s="28"/>
      <c r="AKA129" s="28"/>
      <c r="AKB129" s="28"/>
      <c r="AKC129" s="28"/>
      <c r="AKD129" s="28"/>
      <c r="AKE129" s="28"/>
      <c r="AKF129" s="28"/>
      <c r="AKG129" s="28"/>
      <c r="AKH129" s="28"/>
      <c r="AKI129" s="28"/>
      <c r="AKJ129" s="28"/>
      <c r="AKK129" s="28"/>
      <c r="AKL129" s="28"/>
      <c r="AKM129" s="28"/>
      <c r="AKN129" s="28"/>
      <c r="AKO129" s="28"/>
      <c r="AKP129" s="28"/>
      <c r="AKQ129" s="28"/>
      <c r="AKR129" s="28"/>
      <c r="AKS129" s="28"/>
      <c r="AKT129" s="28"/>
      <c r="AKU129" s="28"/>
      <c r="AKV129" s="28"/>
      <c r="AKW129" s="28"/>
      <c r="AKX129" s="28"/>
      <c r="AKY129" s="28"/>
      <c r="AKZ129" s="28"/>
      <c r="ALA129" s="28"/>
      <c r="ALB129" s="28"/>
      <c r="ALC129" s="28"/>
      <c r="ALD129" s="28"/>
      <c r="ALE129" s="28"/>
      <c r="ALF129" s="28"/>
      <c r="ALG129" s="28"/>
      <c r="ALH129" s="28"/>
      <c r="ALI129" s="28"/>
      <c r="ALJ129" s="28"/>
      <c r="ALK129" s="28"/>
      <c r="ALL129" s="28"/>
      <c r="ALM129" s="28"/>
      <c r="ALN129" s="28"/>
      <c r="ALO129" s="28"/>
      <c r="ALP129" s="28"/>
      <c r="ALQ129" s="28"/>
      <c r="ALR129" s="28"/>
      <c r="ALS129" s="28"/>
      <c r="ALT129" s="28"/>
      <c r="ALU129" s="28"/>
      <c r="ALV129" s="28"/>
      <c r="ALW129" s="28"/>
      <c r="ALX129" s="28"/>
      <c r="ALY129" s="28"/>
      <c r="ALZ129" s="28"/>
      <c r="AMA129" s="28"/>
      <c r="AMB129" s="28"/>
      <c r="AMC129" s="28"/>
      <c r="AMD129" s="28"/>
      <c r="AME129" s="28"/>
      <c r="AMF129" s="28"/>
      <c r="AMG129" s="28"/>
      <c r="AMH129" s="28"/>
      <c r="AMI129" s="28"/>
      <c r="AMJ129" s="28"/>
    </row>
    <row r="130" spans="1:1024" s="29" customFormat="1" ht="15.75" customHeight="1" x14ac:dyDescent="0.3">
      <c r="A130" s="600"/>
      <c r="B130" s="644" t="s">
        <v>386</v>
      </c>
      <c r="C130" s="661"/>
      <c r="D130" s="658"/>
      <c r="E130" s="658"/>
      <c r="F130" s="453"/>
      <c r="G130" s="660" t="s">
        <v>311</v>
      </c>
      <c r="H130" s="660" t="s">
        <v>259</v>
      </c>
      <c r="I130" s="432"/>
      <c r="J130" s="21"/>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28"/>
      <c r="DQ130" s="28"/>
      <c r="DR130" s="28"/>
      <c r="DS130" s="28"/>
      <c r="DT130" s="28"/>
      <c r="DU130" s="28"/>
      <c r="DV130" s="28"/>
      <c r="DW130" s="28"/>
      <c r="DX130" s="28"/>
      <c r="DY130" s="28"/>
      <c r="DZ130" s="28"/>
      <c r="EA130" s="28"/>
      <c r="EB130" s="28"/>
      <c r="EC130" s="28"/>
      <c r="ED130" s="28"/>
      <c r="EE130" s="28"/>
      <c r="EF130" s="28"/>
      <c r="EG130" s="28"/>
      <c r="EH130" s="28"/>
      <c r="EI130" s="28"/>
      <c r="EJ130" s="28"/>
      <c r="EK130" s="28"/>
      <c r="EL130" s="28"/>
      <c r="EM130" s="28"/>
      <c r="EN130" s="28"/>
      <c r="EO130" s="28"/>
      <c r="EP130" s="28"/>
      <c r="EQ130" s="28"/>
      <c r="ER130" s="28"/>
      <c r="ES130" s="28"/>
      <c r="ET130" s="28"/>
      <c r="EU130" s="28"/>
      <c r="EV130" s="28"/>
      <c r="EW130" s="28"/>
      <c r="EX130" s="28"/>
      <c r="EY130" s="28"/>
      <c r="EZ130" s="28"/>
      <c r="FA130" s="28"/>
      <c r="AIQ130" s="28"/>
      <c r="AIR130" s="28"/>
      <c r="AIS130" s="28"/>
      <c r="AIT130" s="28"/>
      <c r="AIU130" s="28"/>
      <c r="AIV130" s="28"/>
      <c r="AIW130" s="28"/>
      <c r="AIX130" s="28"/>
      <c r="AIY130" s="28"/>
      <c r="AIZ130" s="28"/>
      <c r="AJA130" s="28"/>
      <c r="AJB130" s="28"/>
      <c r="AJC130" s="28"/>
      <c r="AJD130" s="28"/>
      <c r="AJE130" s="28"/>
      <c r="AJF130" s="28"/>
      <c r="AJG130" s="28"/>
      <c r="AJH130" s="28"/>
      <c r="AJI130" s="28"/>
      <c r="AJJ130" s="28"/>
      <c r="AJK130" s="28"/>
      <c r="AJL130" s="28"/>
      <c r="AJM130" s="28"/>
      <c r="AJN130" s="28"/>
      <c r="AJO130" s="28"/>
      <c r="AJP130" s="28"/>
      <c r="AJQ130" s="28"/>
      <c r="AJR130" s="28"/>
      <c r="AJS130" s="28"/>
      <c r="AJT130" s="28"/>
      <c r="AJU130" s="28"/>
      <c r="AJV130" s="28"/>
      <c r="AJW130" s="28"/>
      <c r="AJX130" s="28"/>
      <c r="AJY130" s="28"/>
      <c r="AJZ130" s="28"/>
      <c r="AKA130" s="28"/>
      <c r="AKB130" s="28"/>
      <c r="AKC130" s="28"/>
      <c r="AKD130" s="28"/>
      <c r="AKE130" s="28"/>
      <c r="AKF130" s="28"/>
      <c r="AKG130" s="28"/>
      <c r="AKH130" s="28"/>
      <c r="AKI130" s="28"/>
      <c r="AKJ130" s="28"/>
      <c r="AKK130" s="28"/>
      <c r="AKL130" s="28"/>
      <c r="AKM130" s="28"/>
      <c r="AKN130" s="28"/>
      <c r="AKO130" s="28"/>
      <c r="AKP130" s="28"/>
      <c r="AKQ130" s="28"/>
      <c r="AKR130" s="28"/>
      <c r="AKS130" s="28"/>
      <c r="AKT130" s="28"/>
      <c r="AKU130" s="28"/>
      <c r="AKV130" s="28"/>
      <c r="AKW130" s="28"/>
      <c r="AKX130" s="28"/>
      <c r="AKY130" s="28"/>
      <c r="AKZ130" s="28"/>
      <c r="ALA130" s="28"/>
      <c r="ALB130" s="28"/>
      <c r="ALC130" s="28"/>
      <c r="ALD130" s="28"/>
      <c r="ALE130" s="28"/>
      <c r="ALF130" s="28"/>
      <c r="ALG130" s="28"/>
      <c r="ALH130" s="28"/>
      <c r="ALI130" s="28"/>
      <c r="ALJ130" s="28"/>
      <c r="ALK130" s="28"/>
      <c r="ALL130" s="28"/>
      <c r="ALM130" s="28"/>
      <c r="ALN130" s="28"/>
      <c r="ALO130" s="28"/>
      <c r="ALP130" s="28"/>
      <c r="ALQ130" s="28"/>
      <c r="ALR130" s="28"/>
      <c r="ALS130" s="28"/>
      <c r="ALT130" s="28"/>
      <c r="ALU130" s="28"/>
      <c r="ALV130" s="28"/>
      <c r="ALW130" s="28"/>
      <c r="ALX130" s="28"/>
      <c r="ALY130" s="28"/>
      <c r="ALZ130" s="28"/>
      <c r="AMA130" s="28"/>
      <c r="AMB130" s="28"/>
      <c r="AMC130" s="28"/>
      <c r="AMD130" s="28"/>
      <c r="AME130" s="28"/>
      <c r="AMF130" s="28"/>
      <c r="AMG130" s="28"/>
      <c r="AMH130" s="28"/>
      <c r="AMI130" s="28"/>
      <c r="AMJ130" s="28"/>
    </row>
    <row r="131" spans="1:1024" s="29" customFormat="1" ht="15.75" customHeight="1" x14ac:dyDescent="0.3">
      <c r="A131" s="600"/>
      <c r="B131" s="644" t="s">
        <v>387</v>
      </c>
      <c r="C131" s="661"/>
      <c r="D131" s="658"/>
      <c r="E131" s="658"/>
      <c r="F131" s="453"/>
      <c r="G131" s="660" t="s">
        <v>311</v>
      </c>
      <c r="H131" s="660" t="s">
        <v>259</v>
      </c>
      <c r="I131" s="432"/>
      <c r="J131" s="21"/>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28"/>
      <c r="DQ131" s="28"/>
      <c r="DR131" s="28"/>
      <c r="DS131" s="28"/>
      <c r="DT131" s="28"/>
      <c r="DU131" s="28"/>
      <c r="DV131" s="28"/>
      <c r="DW131" s="28"/>
      <c r="DX131" s="28"/>
      <c r="DY131" s="28"/>
      <c r="DZ131" s="28"/>
      <c r="EA131" s="28"/>
      <c r="EB131" s="28"/>
      <c r="EC131" s="28"/>
      <c r="ED131" s="28"/>
      <c r="EE131" s="28"/>
      <c r="EF131" s="28"/>
      <c r="EG131" s="28"/>
      <c r="EH131" s="28"/>
      <c r="EI131" s="28"/>
      <c r="EJ131" s="28"/>
      <c r="EK131" s="28"/>
      <c r="EL131" s="28"/>
      <c r="EM131" s="28"/>
      <c r="EN131" s="28"/>
      <c r="EO131" s="28"/>
      <c r="EP131" s="28"/>
      <c r="EQ131" s="28"/>
      <c r="ER131" s="28"/>
      <c r="ES131" s="28"/>
      <c r="ET131" s="28"/>
      <c r="EU131" s="28"/>
      <c r="EV131" s="28"/>
      <c r="EW131" s="28"/>
      <c r="EX131" s="28"/>
      <c r="EY131" s="28"/>
      <c r="EZ131" s="28"/>
      <c r="FA131" s="28"/>
      <c r="AIQ131" s="28"/>
      <c r="AIR131" s="28"/>
      <c r="AIS131" s="28"/>
      <c r="AIT131" s="28"/>
      <c r="AIU131" s="28"/>
      <c r="AIV131" s="28"/>
      <c r="AIW131" s="28"/>
      <c r="AIX131" s="28"/>
      <c r="AIY131" s="28"/>
      <c r="AIZ131" s="28"/>
      <c r="AJA131" s="28"/>
      <c r="AJB131" s="28"/>
      <c r="AJC131" s="28"/>
      <c r="AJD131" s="28"/>
      <c r="AJE131" s="28"/>
      <c r="AJF131" s="28"/>
      <c r="AJG131" s="28"/>
      <c r="AJH131" s="28"/>
      <c r="AJI131" s="28"/>
      <c r="AJJ131" s="28"/>
      <c r="AJK131" s="28"/>
      <c r="AJL131" s="28"/>
      <c r="AJM131" s="28"/>
      <c r="AJN131" s="28"/>
      <c r="AJO131" s="28"/>
      <c r="AJP131" s="28"/>
      <c r="AJQ131" s="28"/>
      <c r="AJR131" s="28"/>
      <c r="AJS131" s="28"/>
      <c r="AJT131" s="28"/>
      <c r="AJU131" s="28"/>
      <c r="AJV131" s="28"/>
      <c r="AJW131" s="28"/>
      <c r="AJX131" s="28"/>
      <c r="AJY131" s="28"/>
      <c r="AJZ131" s="28"/>
      <c r="AKA131" s="28"/>
      <c r="AKB131" s="28"/>
      <c r="AKC131" s="28"/>
      <c r="AKD131" s="28"/>
      <c r="AKE131" s="28"/>
      <c r="AKF131" s="28"/>
      <c r="AKG131" s="28"/>
      <c r="AKH131" s="28"/>
      <c r="AKI131" s="28"/>
      <c r="AKJ131" s="28"/>
      <c r="AKK131" s="28"/>
      <c r="AKL131" s="28"/>
      <c r="AKM131" s="28"/>
      <c r="AKN131" s="28"/>
      <c r="AKO131" s="28"/>
      <c r="AKP131" s="28"/>
      <c r="AKQ131" s="28"/>
      <c r="AKR131" s="28"/>
      <c r="AKS131" s="28"/>
      <c r="AKT131" s="28"/>
      <c r="AKU131" s="28"/>
      <c r="AKV131" s="28"/>
      <c r="AKW131" s="28"/>
      <c r="AKX131" s="28"/>
      <c r="AKY131" s="28"/>
      <c r="AKZ131" s="28"/>
      <c r="ALA131" s="28"/>
      <c r="ALB131" s="28"/>
      <c r="ALC131" s="28"/>
      <c r="ALD131" s="28"/>
      <c r="ALE131" s="28"/>
      <c r="ALF131" s="28"/>
      <c r="ALG131" s="28"/>
      <c r="ALH131" s="28"/>
      <c r="ALI131" s="28"/>
      <c r="ALJ131" s="28"/>
      <c r="ALK131" s="28"/>
      <c r="ALL131" s="28"/>
      <c r="ALM131" s="28"/>
      <c r="ALN131" s="28"/>
      <c r="ALO131" s="28"/>
      <c r="ALP131" s="28"/>
      <c r="ALQ131" s="28"/>
      <c r="ALR131" s="28"/>
      <c r="ALS131" s="28"/>
      <c r="ALT131" s="28"/>
      <c r="ALU131" s="28"/>
      <c r="ALV131" s="28"/>
      <c r="ALW131" s="28"/>
      <c r="ALX131" s="28"/>
      <c r="ALY131" s="28"/>
      <c r="ALZ131" s="28"/>
      <c r="AMA131" s="28"/>
      <c r="AMB131" s="28"/>
      <c r="AMC131" s="28"/>
      <c r="AMD131" s="28"/>
      <c r="AME131" s="28"/>
      <c r="AMF131" s="28"/>
      <c r="AMG131" s="28"/>
      <c r="AMH131" s="28"/>
      <c r="AMI131" s="28"/>
      <c r="AMJ131" s="28"/>
    </row>
    <row r="132" spans="1:1024" s="29" customFormat="1" ht="15.75" customHeight="1" x14ac:dyDescent="0.3">
      <c r="A132" s="600"/>
      <c r="B132" s="466"/>
      <c r="C132" s="661"/>
      <c r="D132" s="658"/>
      <c r="E132" s="658"/>
      <c r="F132" s="659"/>
      <c r="G132" s="660"/>
      <c r="H132" s="660"/>
      <c r="I132" s="432"/>
      <c r="J132" s="21"/>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28"/>
      <c r="DQ132" s="28"/>
      <c r="DR132" s="28"/>
      <c r="DS132" s="28"/>
      <c r="DT132" s="28"/>
      <c r="DU132" s="28"/>
      <c r="DV132" s="28"/>
      <c r="DW132" s="28"/>
      <c r="DX132" s="28"/>
      <c r="DY132" s="28"/>
      <c r="DZ132" s="28"/>
      <c r="EA132" s="28"/>
      <c r="EB132" s="28"/>
      <c r="EC132" s="28"/>
      <c r="ED132" s="28"/>
      <c r="EE132" s="28"/>
      <c r="EF132" s="28"/>
      <c r="EG132" s="28"/>
      <c r="EH132" s="28"/>
      <c r="EI132" s="28"/>
      <c r="EJ132" s="28"/>
      <c r="EK132" s="28"/>
      <c r="EL132" s="28"/>
      <c r="EM132" s="28"/>
      <c r="EN132" s="28"/>
      <c r="EO132" s="28"/>
      <c r="EP132" s="28"/>
      <c r="EQ132" s="28"/>
      <c r="ER132" s="28"/>
      <c r="ES132" s="28"/>
      <c r="ET132" s="28"/>
      <c r="EU132" s="28"/>
      <c r="EV132" s="28"/>
      <c r="EW132" s="28"/>
      <c r="EX132" s="28"/>
      <c r="EY132" s="28"/>
      <c r="EZ132" s="28"/>
      <c r="FA132" s="28"/>
      <c r="AIQ132" s="28"/>
      <c r="AIR132" s="28"/>
      <c r="AIS132" s="28"/>
      <c r="AIT132" s="28"/>
      <c r="AIU132" s="28"/>
      <c r="AIV132" s="28"/>
      <c r="AIW132" s="28"/>
      <c r="AIX132" s="28"/>
      <c r="AIY132" s="28"/>
      <c r="AIZ132" s="28"/>
      <c r="AJA132" s="28"/>
      <c r="AJB132" s="28"/>
      <c r="AJC132" s="28"/>
      <c r="AJD132" s="28"/>
      <c r="AJE132" s="28"/>
      <c r="AJF132" s="28"/>
      <c r="AJG132" s="28"/>
      <c r="AJH132" s="28"/>
      <c r="AJI132" s="28"/>
      <c r="AJJ132" s="28"/>
      <c r="AJK132" s="28"/>
      <c r="AJL132" s="28"/>
      <c r="AJM132" s="28"/>
      <c r="AJN132" s="28"/>
      <c r="AJO132" s="28"/>
      <c r="AJP132" s="28"/>
      <c r="AJQ132" s="28"/>
      <c r="AJR132" s="28"/>
      <c r="AJS132" s="28"/>
      <c r="AJT132" s="28"/>
      <c r="AJU132" s="28"/>
      <c r="AJV132" s="28"/>
      <c r="AJW132" s="28"/>
      <c r="AJX132" s="28"/>
      <c r="AJY132" s="28"/>
      <c r="AJZ132" s="28"/>
      <c r="AKA132" s="28"/>
      <c r="AKB132" s="28"/>
      <c r="AKC132" s="28"/>
      <c r="AKD132" s="28"/>
      <c r="AKE132" s="28"/>
      <c r="AKF132" s="28"/>
      <c r="AKG132" s="28"/>
      <c r="AKH132" s="28"/>
      <c r="AKI132" s="28"/>
      <c r="AKJ132" s="28"/>
      <c r="AKK132" s="28"/>
      <c r="AKL132" s="28"/>
      <c r="AKM132" s="28"/>
      <c r="AKN132" s="28"/>
      <c r="AKO132" s="28"/>
      <c r="AKP132" s="28"/>
      <c r="AKQ132" s="28"/>
      <c r="AKR132" s="28"/>
      <c r="AKS132" s="28"/>
      <c r="AKT132" s="28"/>
      <c r="AKU132" s="28"/>
      <c r="AKV132" s="28"/>
      <c r="AKW132" s="28"/>
      <c r="AKX132" s="28"/>
      <c r="AKY132" s="28"/>
      <c r="AKZ132" s="28"/>
      <c r="ALA132" s="28"/>
      <c r="ALB132" s="28"/>
      <c r="ALC132" s="28"/>
      <c r="ALD132" s="28"/>
      <c r="ALE132" s="28"/>
      <c r="ALF132" s="28"/>
      <c r="ALG132" s="28"/>
      <c r="ALH132" s="28"/>
      <c r="ALI132" s="28"/>
      <c r="ALJ132" s="28"/>
      <c r="ALK132" s="28"/>
      <c r="ALL132" s="28"/>
      <c r="ALM132" s="28"/>
      <c r="ALN132" s="28"/>
      <c r="ALO132" s="28"/>
      <c r="ALP132" s="28"/>
      <c r="ALQ132" s="28"/>
      <c r="ALR132" s="28"/>
      <c r="ALS132" s="28"/>
      <c r="ALT132" s="28"/>
      <c r="ALU132" s="28"/>
      <c r="ALV132" s="28"/>
      <c r="ALW132" s="28"/>
      <c r="ALX132" s="28"/>
      <c r="ALY132" s="28"/>
      <c r="ALZ132" s="28"/>
      <c r="AMA132" s="28"/>
      <c r="AMB132" s="28"/>
      <c r="AMC132" s="28"/>
      <c r="AMD132" s="28"/>
      <c r="AME132" s="28"/>
      <c r="AMF132" s="28"/>
      <c r="AMG132" s="28"/>
      <c r="AMH132" s="28"/>
      <c r="AMI132" s="28"/>
      <c r="AMJ132" s="28"/>
    </row>
    <row r="133" spans="1:1024" ht="15.75" customHeight="1" x14ac:dyDescent="0.35">
      <c r="A133" s="1134" t="s">
        <v>388</v>
      </c>
      <c r="B133" s="1134"/>
      <c r="C133" s="667"/>
      <c r="D133" s="668"/>
      <c r="E133" s="668"/>
      <c r="F133" s="669"/>
      <c r="G133" s="667"/>
      <c r="H133" s="667"/>
      <c r="I133" s="670"/>
      <c r="J133" s="22"/>
    </row>
    <row r="134" spans="1:1024" s="34" customFormat="1" ht="29.25" customHeight="1" x14ac:dyDescent="0.3">
      <c r="A134" s="593" t="s">
        <v>389</v>
      </c>
      <c r="B134" s="671" t="s">
        <v>390</v>
      </c>
      <c r="C134" s="672" t="s">
        <v>210</v>
      </c>
      <c r="D134" s="673"/>
      <c r="E134" s="674"/>
      <c r="F134" s="675"/>
      <c r="G134" s="676" t="s">
        <v>214</v>
      </c>
      <c r="H134" s="676" t="s">
        <v>215</v>
      </c>
      <c r="I134" s="599"/>
      <c r="J134" s="21"/>
      <c r="K134" s="33"/>
      <c r="L134" s="33"/>
      <c r="M134" s="33"/>
      <c r="N134" s="33"/>
      <c r="O134" s="33"/>
      <c r="P134" s="33"/>
      <c r="Q134" s="33"/>
      <c r="R134" s="33"/>
      <c r="S134" s="33"/>
      <c r="T134" s="33"/>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c r="BS134" s="33"/>
      <c r="BT134" s="33"/>
      <c r="BU134" s="33"/>
      <c r="BV134" s="33"/>
      <c r="BW134" s="33"/>
      <c r="BX134" s="33"/>
      <c r="BY134" s="33"/>
      <c r="BZ134" s="33"/>
      <c r="CA134" s="33"/>
      <c r="CB134" s="33"/>
      <c r="CC134" s="33"/>
      <c r="CD134" s="33"/>
      <c r="CE134" s="33"/>
      <c r="CF134" s="33"/>
      <c r="CG134" s="33"/>
      <c r="CH134" s="33"/>
      <c r="CI134" s="33"/>
      <c r="CJ134" s="33"/>
      <c r="CK134" s="33"/>
      <c r="CL134" s="33"/>
      <c r="CM134" s="33"/>
      <c r="CN134" s="33"/>
      <c r="CO134" s="33"/>
      <c r="CP134" s="33"/>
      <c r="CQ134" s="33"/>
      <c r="CR134" s="33"/>
      <c r="CS134" s="33"/>
      <c r="CT134" s="33"/>
      <c r="CU134" s="33"/>
      <c r="CV134" s="33"/>
      <c r="CW134" s="33"/>
      <c r="CX134" s="33"/>
      <c r="CY134" s="33"/>
      <c r="CZ134" s="33"/>
      <c r="DA134" s="33"/>
      <c r="DB134" s="33"/>
      <c r="DC134" s="33"/>
      <c r="DD134" s="33"/>
      <c r="DE134" s="33"/>
      <c r="DF134" s="33"/>
      <c r="DG134" s="33"/>
      <c r="DH134" s="33"/>
      <c r="DI134" s="33"/>
      <c r="DJ134" s="33"/>
      <c r="DK134" s="33"/>
      <c r="DL134" s="33"/>
      <c r="DM134" s="33"/>
      <c r="DN134" s="33"/>
      <c r="DO134" s="33"/>
      <c r="DP134" s="33"/>
      <c r="DQ134" s="33"/>
      <c r="DR134" s="33"/>
      <c r="DS134" s="33"/>
      <c r="DT134" s="33"/>
      <c r="DU134" s="33"/>
      <c r="DV134" s="33"/>
      <c r="DW134" s="33"/>
      <c r="DX134" s="33"/>
      <c r="DY134" s="33"/>
      <c r="DZ134" s="33"/>
      <c r="EA134" s="33"/>
      <c r="EB134" s="33"/>
      <c r="EC134" s="33"/>
      <c r="ED134" s="33"/>
      <c r="EE134" s="33"/>
      <c r="EF134" s="33"/>
      <c r="EG134" s="33"/>
      <c r="EH134" s="33"/>
      <c r="EI134" s="33"/>
      <c r="EJ134" s="33"/>
      <c r="EK134" s="33"/>
      <c r="EL134" s="33"/>
      <c r="EM134" s="33"/>
      <c r="EN134" s="33"/>
      <c r="EO134" s="33"/>
      <c r="EP134" s="33"/>
      <c r="EQ134" s="33"/>
      <c r="ER134" s="33"/>
      <c r="ES134" s="33"/>
      <c r="ET134" s="33"/>
      <c r="EU134" s="33"/>
      <c r="EV134" s="33"/>
      <c r="EW134" s="33"/>
      <c r="EX134" s="33"/>
      <c r="EY134" s="33"/>
      <c r="EZ134" s="33"/>
      <c r="FA134" s="33"/>
      <c r="AIQ134" s="33"/>
      <c r="AIR134" s="33"/>
      <c r="AIS134" s="33"/>
      <c r="AIT134" s="33"/>
      <c r="AIU134" s="33"/>
      <c r="AIV134" s="33"/>
      <c r="AIW134" s="33"/>
      <c r="AIX134" s="33"/>
      <c r="AIY134" s="33"/>
      <c r="AIZ134" s="33"/>
      <c r="AJA134" s="33"/>
      <c r="AJB134" s="33"/>
      <c r="AJC134" s="33"/>
      <c r="AJD134" s="33"/>
      <c r="AJE134" s="33"/>
      <c r="AJF134" s="33"/>
      <c r="AJG134" s="33"/>
      <c r="AJH134" s="33"/>
      <c r="AJI134" s="33"/>
      <c r="AJJ134" s="33"/>
      <c r="AJK134" s="33"/>
      <c r="AJL134" s="33"/>
      <c r="AJM134" s="33"/>
      <c r="AJN134" s="33"/>
      <c r="AJO134" s="33"/>
      <c r="AJP134" s="33"/>
      <c r="AJQ134" s="33"/>
      <c r="AJR134" s="33"/>
      <c r="AJS134" s="33"/>
      <c r="AJT134" s="33"/>
      <c r="AJU134" s="33"/>
      <c r="AJV134" s="33"/>
      <c r="AJW134" s="33"/>
      <c r="AJX134" s="33"/>
      <c r="AJY134" s="33"/>
      <c r="AJZ134" s="33"/>
      <c r="AKA134" s="33"/>
      <c r="AKB134" s="33"/>
      <c r="AKC134" s="33"/>
      <c r="AKD134" s="33"/>
      <c r="AKE134" s="33"/>
      <c r="AKF134" s="33"/>
      <c r="AKG134" s="33"/>
      <c r="AKH134" s="33"/>
      <c r="AKI134" s="33"/>
      <c r="AKJ134" s="33"/>
      <c r="AKK134" s="33"/>
      <c r="AKL134" s="33"/>
      <c r="AKM134" s="33"/>
      <c r="AKN134" s="33"/>
      <c r="AKO134" s="33"/>
      <c r="AKP134" s="33"/>
      <c r="AKQ134" s="33"/>
      <c r="AKR134" s="33"/>
      <c r="AKS134" s="33"/>
      <c r="AKT134" s="33"/>
      <c r="AKU134" s="33"/>
      <c r="AKV134" s="33"/>
      <c r="AKW134" s="33"/>
      <c r="AKX134" s="33"/>
      <c r="AKY134" s="33"/>
      <c r="AKZ134" s="33"/>
      <c r="ALA134" s="33"/>
      <c r="ALB134" s="33"/>
      <c r="ALC134" s="33"/>
      <c r="ALD134" s="33"/>
      <c r="ALE134" s="33"/>
      <c r="ALF134" s="33"/>
      <c r="ALG134" s="33"/>
      <c r="ALH134" s="33"/>
      <c r="ALI134" s="33"/>
      <c r="ALJ134" s="33"/>
      <c r="ALK134" s="33"/>
      <c r="ALL134" s="33"/>
      <c r="ALM134" s="33"/>
      <c r="ALN134" s="33"/>
      <c r="ALO134" s="33"/>
      <c r="ALP134" s="33"/>
      <c r="ALQ134" s="33"/>
      <c r="ALR134" s="33"/>
      <c r="ALS134" s="33"/>
      <c r="ALT134" s="33"/>
      <c r="ALU134" s="33"/>
      <c r="ALV134" s="33"/>
      <c r="ALW134" s="33"/>
      <c r="ALX134" s="33"/>
      <c r="ALY134" s="33"/>
      <c r="ALZ134" s="33"/>
      <c r="AMA134" s="33"/>
      <c r="AMB134" s="33"/>
      <c r="AMC134" s="33"/>
      <c r="AMD134" s="33"/>
      <c r="AME134" s="33"/>
      <c r="AMF134" s="33"/>
      <c r="AMG134" s="33"/>
      <c r="AMH134" s="33"/>
      <c r="AMI134" s="33"/>
      <c r="AMJ134" s="33"/>
    </row>
    <row r="135" spans="1:1024" ht="15.75" customHeight="1" x14ac:dyDescent="0.35">
      <c r="A135" s="600"/>
      <c r="B135" s="662" t="s">
        <v>391</v>
      </c>
      <c r="C135" s="677"/>
      <c r="D135" s="668"/>
      <c r="E135" s="668"/>
      <c r="F135" s="678"/>
      <c r="G135" s="679" t="s">
        <v>282</v>
      </c>
      <c r="H135" s="678" t="s">
        <v>259</v>
      </c>
      <c r="I135" s="670"/>
      <c r="J135" s="22"/>
    </row>
    <row r="136" spans="1:1024" ht="15.75" customHeight="1" x14ac:dyDescent="0.35">
      <c r="A136" s="600"/>
      <c r="B136" s="662" t="s">
        <v>392</v>
      </c>
      <c r="C136" s="677"/>
      <c r="D136" s="668"/>
      <c r="E136" s="668"/>
      <c r="F136" s="678"/>
      <c r="G136" s="679" t="s">
        <v>234</v>
      </c>
      <c r="H136" s="678" t="s">
        <v>259</v>
      </c>
      <c r="I136" s="670"/>
      <c r="J136" s="22"/>
    </row>
    <row r="137" spans="1:1024" ht="15.75" customHeight="1" x14ac:dyDescent="0.35">
      <c r="A137" s="600"/>
      <c r="B137" s="662" t="s">
        <v>393</v>
      </c>
      <c r="C137" s="670"/>
      <c r="D137" s="668"/>
      <c r="E137" s="668"/>
      <c r="F137" s="678"/>
      <c r="G137" s="679" t="s">
        <v>311</v>
      </c>
      <c r="H137" s="678" t="s">
        <v>259</v>
      </c>
      <c r="I137" s="670"/>
      <c r="J137" s="22"/>
    </row>
    <row r="138" spans="1:1024" ht="15.75" customHeight="1" x14ac:dyDescent="0.35">
      <c r="A138" s="600"/>
      <c r="B138" s="662" t="s">
        <v>394</v>
      </c>
      <c r="C138" s="670"/>
      <c r="D138" s="668"/>
      <c r="E138" s="668"/>
      <c r="F138" s="678"/>
      <c r="G138" s="679" t="s">
        <v>311</v>
      </c>
      <c r="H138" s="678" t="s">
        <v>259</v>
      </c>
      <c r="I138" s="670"/>
      <c r="J138" s="22"/>
    </row>
    <row r="139" spans="1:1024" ht="15.75" customHeight="1" x14ac:dyDescent="0.35">
      <c r="A139" s="600"/>
      <c r="B139" s="662" t="s">
        <v>395</v>
      </c>
      <c r="C139" s="670"/>
      <c r="D139" s="668"/>
      <c r="E139" s="668"/>
      <c r="F139" s="678"/>
      <c r="G139" s="679" t="s">
        <v>396</v>
      </c>
      <c r="H139" s="679" t="s">
        <v>396</v>
      </c>
      <c r="I139" s="670"/>
      <c r="J139" s="22"/>
    </row>
    <row r="140" spans="1:1024" ht="15.75" customHeight="1" x14ac:dyDescent="0.35">
      <c r="A140" s="41"/>
      <c r="B140" s="680"/>
      <c r="C140" s="670"/>
      <c r="D140" s="681"/>
      <c r="E140" s="42"/>
      <c r="F140" s="43"/>
      <c r="G140" s="44"/>
      <c r="H140" s="44"/>
    </row>
    <row r="141" spans="1:1024" ht="15.75" customHeight="1" x14ac:dyDescent="0.35">
      <c r="A141" s="1134" t="s">
        <v>397</v>
      </c>
      <c r="B141" s="1134"/>
      <c r="C141" s="670"/>
      <c r="D141" s="681"/>
      <c r="E141" s="45"/>
      <c r="F141" s="46"/>
      <c r="G141" s="47"/>
      <c r="H141" s="47"/>
    </row>
    <row r="142" spans="1:1024" ht="15.75" customHeight="1" x14ac:dyDescent="0.35">
      <c r="A142" s="682" t="s">
        <v>208</v>
      </c>
      <c r="B142" s="683" t="s">
        <v>390</v>
      </c>
      <c r="C142" s="684" t="s">
        <v>215</v>
      </c>
      <c r="D142" s="685" t="s">
        <v>398</v>
      </c>
      <c r="E142" s="45"/>
      <c r="F142" s="46"/>
      <c r="G142" s="47"/>
      <c r="H142" s="47"/>
    </row>
    <row r="143" spans="1:1024" ht="15.75" customHeight="1" x14ac:dyDescent="0.35">
      <c r="A143" s="686"/>
      <c r="B143" s="454" t="s">
        <v>399</v>
      </c>
      <c r="C143" s="453" t="s">
        <v>400</v>
      </c>
      <c r="D143" s="658"/>
      <c r="E143" s="48"/>
      <c r="F143" s="49"/>
      <c r="G143" s="50"/>
      <c r="H143" s="50"/>
      <c r="I143" s="34"/>
      <c r="J143" s="34"/>
    </row>
    <row r="144" spans="1:1024" ht="15.75" customHeight="1" x14ac:dyDescent="0.35">
      <c r="A144" s="687"/>
      <c r="B144" s="454" t="s">
        <v>401</v>
      </c>
      <c r="C144" s="525" t="s">
        <v>402</v>
      </c>
      <c r="D144" s="688"/>
      <c r="E144" s="48"/>
      <c r="F144" s="49"/>
      <c r="G144" s="50"/>
      <c r="H144" s="50"/>
      <c r="I144" s="34"/>
      <c r="J144" s="34"/>
    </row>
    <row r="145" spans="1:10" ht="15.75" customHeight="1" x14ac:dyDescent="0.35">
      <c r="A145" s="687"/>
      <c r="B145" s="466" t="s">
        <v>403</v>
      </c>
      <c r="C145" s="525" t="s">
        <v>289</v>
      </c>
      <c r="D145" s="688"/>
      <c r="E145" s="48"/>
      <c r="F145" s="49"/>
      <c r="G145" s="50"/>
      <c r="H145" s="50"/>
      <c r="I145" s="34"/>
      <c r="J145" s="34"/>
    </row>
    <row r="146" spans="1:10" ht="15.75" customHeight="1" x14ac:dyDescent="0.35"/>
  </sheetData>
  <mergeCells count="4">
    <mergeCell ref="A1:C1"/>
    <mergeCell ref="D128:E128"/>
    <mergeCell ref="A133:B133"/>
    <mergeCell ref="A141:B141"/>
  </mergeCells>
  <pageMargins left="0.75" right="0.75" top="1" bottom="1" header="0.51180555555555496" footer="0.51180555555555496"/>
  <pageSetup paperSize="9" firstPageNumber="0"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F4D05-9E9B-4417-B7E4-EC9E43675602}">
  <sheetPr codeName="Sheet5">
    <tabColor rgb="FFFF452D"/>
  </sheetPr>
  <dimension ref="A1:AA7"/>
  <sheetViews>
    <sheetView zoomScale="92" zoomScaleNormal="92" workbookViewId="0">
      <selection activeCell="C7" sqref="C7"/>
    </sheetView>
  </sheetViews>
  <sheetFormatPr defaultColWidth="8.81640625" defaultRowHeight="14.5" x14ac:dyDescent="0.35"/>
  <cols>
    <col min="1" max="1" width="14.453125" customWidth="1"/>
    <col min="2" max="3" width="17.81640625" customWidth="1"/>
    <col min="4" max="4" width="46.453125" customWidth="1"/>
    <col min="5" max="5" width="30.54296875" style="269" bestFit="1" customWidth="1"/>
    <col min="6" max="6" width="27.1796875" style="269" bestFit="1" customWidth="1"/>
    <col min="7" max="7" width="30.6328125" customWidth="1"/>
    <col min="8" max="8" width="40.6328125" customWidth="1"/>
    <col min="9" max="9" width="16.6328125" customWidth="1"/>
    <col min="10" max="10" width="6.26953125" customWidth="1"/>
    <col min="11" max="11" width="16.1796875" customWidth="1"/>
    <col min="12" max="12" width="14.81640625" customWidth="1"/>
    <col min="13" max="13" width="14.81640625" style="117" customWidth="1"/>
    <col min="14" max="14" width="23.81640625" customWidth="1"/>
    <col min="15" max="15" width="17.81640625" customWidth="1"/>
    <col min="16" max="16" width="16.1796875" customWidth="1"/>
    <col min="17" max="17" width="6.1796875" customWidth="1"/>
    <col min="18" max="18" width="14.90625" customWidth="1"/>
    <col min="19" max="19" width="24.6328125" customWidth="1"/>
    <col min="20" max="20" width="15.81640625" customWidth="1"/>
    <col min="21" max="21" width="17.453125" customWidth="1"/>
    <col min="22" max="22" width="16.81640625" customWidth="1"/>
    <col min="23" max="23" width="13.54296875" customWidth="1"/>
    <col min="24" max="24" width="25.453125" customWidth="1"/>
    <col min="25" max="25" width="19.81640625" customWidth="1"/>
    <col min="26" max="26" width="23.453125" customWidth="1"/>
    <col min="27" max="27" width="25.81640625" customWidth="1"/>
    <col min="28" max="28" width="21" bestFit="1" customWidth="1"/>
    <col min="29" max="29" width="48.1796875" customWidth="1"/>
    <col min="30" max="30" width="44.453125" customWidth="1"/>
    <col min="31" max="31" width="13.1796875" bestFit="1" customWidth="1"/>
    <col min="32" max="32" width="20.453125" bestFit="1" customWidth="1"/>
    <col min="33" max="33" width="18.453125" bestFit="1" customWidth="1"/>
    <col min="34" max="34" width="21.1796875" bestFit="1" customWidth="1"/>
    <col min="35" max="35" width="22.453125" bestFit="1" customWidth="1"/>
    <col min="36" max="36" width="17.81640625" customWidth="1"/>
    <col min="37" max="37" width="16.1796875" bestFit="1" customWidth="1"/>
    <col min="38" max="38" width="15.81640625" customWidth="1"/>
    <col min="39" max="39" width="21.453125" bestFit="1" customWidth="1"/>
    <col min="40" max="40" width="23" bestFit="1" customWidth="1"/>
    <col min="41" max="41" width="24.81640625" customWidth="1"/>
    <col min="42" max="42" width="18.81640625" customWidth="1"/>
  </cols>
  <sheetData>
    <row r="1" spans="1:27" s="111" customFormat="1" x14ac:dyDescent="0.35">
      <c r="A1" s="216" t="s">
        <v>404</v>
      </c>
      <c r="B1" s="121"/>
      <c r="C1" s="121"/>
      <c r="E1" s="270"/>
      <c r="F1" s="270"/>
      <c r="M1" s="115"/>
    </row>
    <row r="2" spans="1:27" s="111" customFormat="1" ht="20" x14ac:dyDescent="0.35">
      <c r="A2" s="132" t="s">
        <v>2271</v>
      </c>
      <c r="B2" s="113"/>
      <c r="C2" s="113"/>
      <c r="D2" s="113"/>
      <c r="F2" s="113"/>
      <c r="G2" s="113"/>
      <c r="H2" s="113"/>
      <c r="I2" s="113"/>
      <c r="J2" s="113"/>
      <c r="K2" s="113"/>
      <c r="L2" s="113"/>
      <c r="M2" s="116"/>
      <c r="N2" s="113"/>
      <c r="O2" s="113"/>
      <c r="P2" s="113"/>
      <c r="Q2" s="113"/>
      <c r="R2" s="113"/>
      <c r="S2" s="113"/>
      <c r="T2" s="113"/>
      <c r="U2" s="113"/>
      <c r="V2" s="113"/>
      <c r="W2" s="113"/>
      <c r="X2" s="113"/>
      <c r="Y2" s="113"/>
      <c r="Z2" s="113"/>
      <c r="AA2" s="114"/>
    </row>
    <row r="3" spans="1:27" s="111" customFormat="1" ht="21" x14ac:dyDescent="0.35">
      <c r="A3" s="120" t="s">
        <v>2272</v>
      </c>
      <c r="B3" s="119"/>
      <c r="C3" s="119"/>
      <c r="D3" s="113"/>
      <c r="E3" s="274"/>
      <c r="G3" s="113"/>
      <c r="H3" s="113"/>
      <c r="I3" s="113"/>
      <c r="J3" s="113"/>
      <c r="K3" s="113"/>
      <c r="L3" s="113"/>
      <c r="M3" s="116"/>
      <c r="N3" s="113"/>
      <c r="O3" s="113"/>
      <c r="P3" s="113"/>
      <c r="Q3" s="113"/>
      <c r="R3" s="113"/>
      <c r="S3" s="113"/>
      <c r="T3" s="113"/>
      <c r="U3" s="113"/>
      <c r="V3" s="113"/>
      <c r="W3" s="113"/>
      <c r="X3" s="113"/>
      <c r="Y3" s="113"/>
      <c r="Z3" s="113"/>
      <c r="AA3" s="114"/>
    </row>
    <row r="4" spans="1:27" s="111" customFormat="1" ht="18.5" x14ac:dyDescent="0.45">
      <c r="A4" s="126" t="s">
        <v>405</v>
      </c>
      <c r="B4" s="119"/>
      <c r="C4" s="119"/>
      <c r="D4" s="113"/>
      <c r="E4" s="113"/>
      <c r="F4" s="275"/>
      <c r="G4" s="113"/>
      <c r="H4" s="113"/>
      <c r="I4" s="113"/>
      <c r="J4" s="113"/>
      <c r="K4" s="113"/>
      <c r="L4" s="113"/>
      <c r="M4" s="116"/>
      <c r="N4" s="113"/>
      <c r="O4" s="113"/>
      <c r="P4" s="113"/>
      <c r="Q4" s="113"/>
      <c r="R4" s="113"/>
      <c r="S4" s="113"/>
      <c r="T4" s="113"/>
      <c r="U4" s="113"/>
      <c r="V4" s="113"/>
      <c r="W4" s="113"/>
      <c r="X4" s="113"/>
      <c r="Y4" s="113"/>
      <c r="Z4" s="113"/>
      <c r="AA4" s="114"/>
    </row>
    <row r="5" spans="1:27" x14ac:dyDescent="0.35">
      <c r="A5" s="1135" t="s">
        <v>2270</v>
      </c>
      <c r="B5" s="1136"/>
      <c r="C5" s="1136"/>
      <c r="D5" s="1136"/>
      <c r="E5" s="1136"/>
      <c r="F5" s="1136"/>
      <c r="G5" s="1136"/>
      <c r="H5" s="1136"/>
      <c r="I5" s="1136"/>
      <c r="J5" s="1136"/>
      <c r="K5" s="1136"/>
      <c r="L5" s="1136"/>
      <c r="M5" s="1136"/>
      <c r="N5" s="1136"/>
      <c r="O5" s="1136"/>
      <c r="P5" s="1136"/>
      <c r="Q5" s="1136"/>
      <c r="R5" s="1136"/>
      <c r="S5" s="1136"/>
      <c r="T5" s="1136"/>
      <c r="U5" s="1136"/>
      <c r="V5" s="1136"/>
      <c r="W5" s="1136"/>
      <c r="X5" s="1136"/>
      <c r="Y5" s="1136"/>
    </row>
    <row r="6" spans="1:27" ht="43.5" x14ac:dyDescent="0.35">
      <c r="A6" s="1084" t="s">
        <v>406</v>
      </c>
      <c r="B6" s="1084" t="s">
        <v>407</v>
      </c>
      <c r="C6" s="689" t="s">
        <v>2267</v>
      </c>
      <c r="D6" s="1084" t="s">
        <v>408</v>
      </c>
      <c r="E6" s="1084" t="s">
        <v>409</v>
      </c>
      <c r="F6" s="1084" t="s">
        <v>410</v>
      </c>
      <c r="G6" s="1084" t="s">
        <v>411</v>
      </c>
      <c r="H6" s="1084" t="s">
        <v>412</v>
      </c>
      <c r="I6" s="1084" t="s">
        <v>2259</v>
      </c>
      <c r="J6" s="1084" t="s">
        <v>2260</v>
      </c>
      <c r="K6" s="1084" t="s">
        <v>2261</v>
      </c>
      <c r="L6" s="1084" t="s">
        <v>413</v>
      </c>
      <c r="M6" s="1084" t="s">
        <v>414</v>
      </c>
      <c r="N6" s="1084" t="s">
        <v>1394</v>
      </c>
      <c r="O6" s="1084" t="s">
        <v>2262</v>
      </c>
      <c r="P6" s="1084" t="s">
        <v>415</v>
      </c>
      <c r="Q6" s="1084" t="s">
        <v>2263</v>
      </c>
      <c r="R6" s="1084" t="s">
        <v>2264</v>
      </c>
      <c r="S6" s="1085" t="s">
        <v>416</v>
      </c>
      <c r="T6" s="1085" t="s">
        <v>417</v>
      </c>
      <c r="U6" s="1085" t="s">
        <v>418</v>
      </c>
      <c r="V6" s="1085" t="s">
        <v>419</v>
      </c>
      <c r="W6" s="1085" t="s">
        <v>420</v>
      </c>
      <c r="X6" s="1086" t="s">
        <v>421</v>
      </c>
      <c r="Y6" s="1087" t="s">
        <v>2268</v>
      </c>
    </row>
    <row r="7" spans="1:27" x14ac:dyDescent="0.35">
      <c r="A7" s="1088" t="s">
        <v>222</v>
      </c>
      <c r="B7" s="1089" t="s">
        <v>222</v>
      </c>
      <c r="C7" s="1090"/>
      <c r="D7" s="1091"/>
      <c r="E7" s="1091" t="s">
        <v>2269</v>
      </c>
      <c r="F7" s="1091" t="s">
        <v>2269</v>
      </c>
      <c r="G7" s="1091" t="s">
        <v>2269</v>
      </c>
      <c r="H7" s="1091" t="s">
        <v>2269</v>
      </c>
      <c r="I7" s="1091"/>
      <c r="J7" s="1091" t="s">
        <v>2269</v>
      </c>
      <c r="K7" s="1091"/>
      <c r="L7" s="1091"/>
      <c r="M7" s="1091"/>
      <c r="N7" s="1092"/>
      <c r="O7" s="1091"/>
      <c r="P7" s="1091"/>
      <c r="Q7" s="1093"/>
      <c r="R7" s="1094"/>
      <c r="S7" s="1094"/>
      <c r="T7" s="1095"/>
      <c r="U7" s="1095"/>
      <c r="V7" s="1095"/>
      <c r="W7" s="1096"/>
      <c r="X7" s="1097"/>
      <c r="Y7" s="1098"/>
    </row>
  </sheetData>
  <mergeCells count="1">
    <mergeCell ref="A5:Y5"/>
  </mergeCells>
  <conditionalFormatting sqref="L7">
    <cfRule type="expression" dxfId="279" priority="30">
      <formula>LEFT(INDIRECT("tblEvntScope[@Source Location]"),4)="Virg"</formula>
    </cfRule>
    <cfRule type="expression" dxfId="278" priority="31">
      <formula>LEFT(INDIRECT("tblEvntScope[@Source Location]"),4)="Rich"</formula>
    </cfRule>
    <cfRule type="expression" dxfId="277" priority="32">
      <formula>LEFT(INDIRECT("tblEvntScope[@Source Location]"),4)="Harr"</formula>
    </cfRule>
    <cfRule type="expression" dxfId="276" priority="33">
      <formula>LEFT(INDIRECT("tblEvntScope[@Source Location]"),4)="StLo"</formula>
    </cfRule>
  </conditionalFormatting>
  <conditionalFormatting sqref="N7">
    <cfRule type="expression" dxfId="275" priority="27">
      <formula>LEFT(INDIRECT("tblEvntScope[@Environment]"),4)="Deve"</formula>
    </cfRule>
    <cfRule type="expression" dxfId="274" priority="28">
      <formula>LEFT(INDIRECT("tblEvntScope[@Environment]"),4)="Test"</formula>
    </cfRule>
    <cfRule type="expression" dxfId="273" priority="29">
      <formula>LEFT(INDIRECT("tblEvntScope[@Environment]"),4)="Prod"</formula>
    </cfRule>
  </conditionalFormatting>
  <conditionalFormatting sqref="O7">
    <cfRule type="expression" dxfId="272" priority="24">
      <formula>INDIRECT("tblEvntScope[@Device Type]")="Server"</formula>
    </cfRule>
    <cfRule type="expression" dxfId="271" priority="25">
      <formula>LEFT(INDIRECT("tblEvntScope[@Device Type]"),8)="Linux-VM"</formula>
    </cfRule>
    <cfRule type="expression" dxfId="270" priority="26">
      <formula>LEFT(INDIRECT("tblEvntScope[@Device Type]"),3)="AIX"</formula>
    </cfRule>
  </conditionalFormatting>
  <conditionalFormatting sqref="T7:Y7 A7:P7">
    <cfRule type="expression" dxfId="269" priority="23">
      <formula>INDIRECT("tblEvntScope[@Scope]")="OOS"</formula>
    </cfRule>
  </conditionalFormatting>
  <conditionalFormatting sqref="R7">
    <cfRule type="cellIs" dxfId="268" priority="19" operator="between">
      <formula>"TSM "</formula>
      <formula>"TSMZ"</formula>
    </cfRule>
    <cfRule type="cellIs" dxfId="267" priority="20" operator="equal">
      <formula>"SRM"</formula>
    </cfRule>
    <cfRule type="cellIs" dxfId="266" priority="21" operator="equal">
      <formula>"Global Mirror"</formula>
    </cfRule>
    <cfRule type="cellIs" dxfId="265" priority="22" operator="equal">
      <formula>"Zerto"</formula>
    </cfRule>
  </conditionalFormatting>
  <conditionalFormatting sqref="P7">
    <cfRule type="expression" dxfId="264" priority="9">
      <formula>LEFT(INDIRECT("tblEvntScope[@Operating System]"),6)="MS Win"</formula>
    </cfRule>
    <cfRule type="expression" dxfId="263" priority="10">
      <formula>LEFT(INDIRECT("tblEvntScope[@Operating System]"),4)="RHEL"</formula>
    </cfRule>
    <cfRule type="expression" dxfId="262" priority="11">
      <formula>LEFT(INDIRECT("tblEvntScope[@Operating System]"),4)="UNIX"</formula>
    </cfRule>
    <cfRule type="expression" dxfId="261" priority="12">
      <formula>LEFT(INDIRECT("tblEvntScope[@Operating System]"),4)="OSCP"</formula>
    </cfRule>
    <cfRule type="expression" dxfId="260" priority="13">
      <formula>LEFT(INDIRECT("tblEvntScope[@Operating System]"),6)="PwrLnx"</formula>
    </cfRule>
    <cfRule type="expression" dxfId="259" priority="14">
      <formula>LEFT(INDIRECT("tblEvntScope[@Operating System]"),3)="AIX"</formula>
    </cfRule>
  </conditionalFormatting>
  <conditionalFormatting sqref="K7 Q7">
    <cfRule type="expression" dxfId="258" priority="8">
      <formula>INDIRECT("tblEvntScope[@DMZ]")="Yes"</formula>
    </cfRule>
  </conditionalFormatting>
  <conditionalFormatting sqref="C6">
    <cfRule type="cellIs" dxfId="257" priority="7" operator="equal">
      <formula>"???"</formula>
    </cfRule>
  </conditionalFormatting>
  <conditionalFormatting sqref="S7">
    <cfRule type="cellIs" dxfId="256" priority="1" operator="between">
      <formula>"TSM "</formula>
      <formula>"TSMZ"</formula>
    </cfRule>
    <cfRule type="cellIs" dxfId="255" priority="2" operator="equal">
      <formula>"SRM"</formula>
    </cfRule>
    <cfRule type="cellIs" dxfId="254" priority="3" operator="equal">
      <formula>"Global Mirror"</formula>
    </cfRule>
    <cfRule type="cellIs" dxfId="253" priority="4" operator="equal">
      <formula>"Zerto"</formula>
    </cfRule>
  </conditionalFormatting>
  <conditionalFormatting sqref="W7">
    <cfRule type="colorScale" priority="557">
      <colorScale>
        <cfvo type="min"/>
        <cfvo type="max"/>
        <color theme="5" tint="0.79998168889431442"/>
        <color theme="5" tint="-0.499984740745262"/>
      </colorScale>
    </cfRule>
  </conditionalFormatting>
  <conditionalFormatting sqref="I7">
    <cfRule type="duplicateValues" dxfId="252" priority="558"/>
  </conditionalFormatting>
  <dataValidations count="1">
    <dataValidation type="list" allowBlank="1" showInputMessage="1" showErrorMessage="1" sqref="C7" xr:uid="{51BA9433-CD0E-4240-AB18-576CBBE060E8}">
      <formula1>"Initial, New,  Deleted"</formula1>
    </dataValidation>
  </dataValidations>
  <hyperlinks>
    <hyperlink ref="A1" r:id="rId1" xr:uid="{FD9CB18F-263D-4820-8975-91A797B76EAA}"/>
  </hyperlinks>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87198-4D6B-43F2-81E8-8138DC57E896}">
  <sheetPr codeName="Sheet9">
    <tabColor rgb="FFFF452D"/>
  </sheetPr>
  <dimension ref="A1:P196"/>
  <sheetViews>
    <sheetView tabSelected="1" zoomScale="99" zoomScaleNormal="99" workbookViewId="0">
      <pane xSplit="5" ySplit="3" topLeftCell="F4" activePane="bottomRight" state="frozen"/>
      <selection pane="topRight" activeCell="E1" sqref="E1"/>
      <selection pane="bottomLeft" activeCell="A4" sqref="A4"/>
      <selection pane="bottomRight" activeCell="C2" sqref="C2:F2"/>
    </sheetView>
  </sheetViews>
  <sheetFormatPr defaultColWidth="9.1796875" defaultRowHeight="14" x14ac:dyDescent="0.35"/>
  <cols>
    <col min="1" max="1" width="13.453125" style="228" customWidth="1"/>
    <col min="2" max="2" width="13.54296875" style="260" customWidth="1"/>
    <col min="3" max="3" width="32.54296875" style="228" customWidth="1"/>
    <col min="4" max="4" width="15.54296875" style="229" customWidth="1"/>
    <col min="5" max="5" width="38" style="255" customWidth="1"/>
    <col min="6" max="6" width="75.54296875" style="229" customWidth="1"/>
    <col min="7" max="7" width="33.453125" style="229" customWidth="1"/>
    <col min="8" max="8" width="32.453125" style="229" customWidth="1"/>
    <col min="9" max="9" width="20.1796875" style="228" customWidth="1"/>
    <col min="10" max="10" width="50" style="229" customWidth="1"/>
    <col min="11" max="11" width="57" style="229" customWidth="1"/>
    <col min="12" max="12" width="130.453125" style="236" customWidth="1"/>
    <col min="13" max="13" width="23.1796875" style="229" customWidth="1"/>
    <col min="14" max="15" width="9.1796875" style="229"/>
    <col min="16" max="16" width="8.81640625" style="229" customWidth="1"/>
    <col min="17" max="16384" width="9.1796875" style="229"/>
  </cols>
  <sheetData>
    <row r="1" spans="1:13" ht="25" x14ac:dyDescent="0.5">
      <c r="A1" s="229"/>
      <c r="B1" s="257"/>
      <c r="C1" s="1070" t="s">
        <v>422</v>
      </c>
      <c r="D1" s="1071"/>
      <c r="E1" s="1072"/>
      <c r="F1" s="1071"/>
      <c r="G1" s="1073" t="s">
        <v>423</v>
      </c>
      <c r="H1" s="1071"/>
      <c r="I1" s="1074"/>
      <c r="J1" s="1071"/>
      <c r="K1" s="1071"/>
      <c r="L1" s="1071"/>
      <c r="M1" s="1071"/>
    </row>
    <row r="2" spans="1:13" ht="40" x14ac:dyDescent="0.35">
      <c r="A2" s="690" t="s">
        <v>424</v>
      </c>
      <c r="B2" s="691"/>
      <c r="C2" s="1137">
        <v>45125</v>
      </c>
      <c r="D2" s="1138"/>
      <c r="E2" s="1138"/>
      <c r="F2" s="1138"/>
      <c r="G2" s="261"/>
      <c r="H2" s="230"/>
      <c r="I2" s="240" t="s">
        <v>425</v>
      </c>
      <c r="J2" s="230"/>
      <c r="K2" s="230"/>
      <c r="L2" s="230"/>
      <c r="M2" s="230"/>
    </row>
    <row r="3" spans="1:13" ht="31" x14ac:dyDescent="0.35">
      <c r="A3" s="692" t="s">
        <v>426</v>
      </c>
      <c r="B3" s="693" t="s">
        <v>427</v>
      </c>
      <c r="C3" s="692" t="s">
        <v>428</v>
      </c>
      <c r="D3" s="692" t="s">
        <v>210</v>
      </c>
      <c r="E3" s="694" t="s">
        <v>429</v>
      </c>
      <c r="F3" s="692" t="s">
        <v>430</v>
      </c>
      <c r="G3" s="692" t="s">
        <v>431</v>
      </c>
      <c r="H3" s="692" t="s">
        <v>432</v>
      </c>
      <c r="I3" s="692" t="s">
        <v>433</v>
      </c>
      <c r="J3" s="692" t="s">
        <v>434</v>
      </c>
      <c r="K3" s="692" t="s">
        <v>435</v>
      </c>
      <c r="L3" s="692" t="s">
        <v>421</v>
      </c>
      <c r="M3" s="692" t="s">
        <v>436</v>
      </c>
    </row>
    <row r="4" spans="1:13" ht="15.5" x14ac:dyDescent="0.35">
      <c r="A4" s="695"/>
      <c r="B4" s="696"/>
      <c r="C4" s="697"/>
      <c r="D4" s="697"/>
      <c r="E4" s="698"/>
      <c r="F4" s="698" t="s">
        <v>437</v>
      </c>
      <c r="G4" s="698"/>
      <c r="H4" s="697"/>
      <c r="I4" s="697"/>
      <c r="J4" s="697"/>
      <c r="K4" s="697"/>
      <c r="L4" s="699"/>
      <c r="M4" s="700"/>
    </row>
    <row r="5" spans="1:13" ht="15.5" x14ac:dyDescent="0.35">
      <c r="A5" s="701" t="s">
        <v>438</v>
      </c>
      <c r="B5" s="702"/>
      <c r="C5" s="703" t="str">
        <f>TEXT($C$2-(RIGHT(A5,1)*7),"mmm-dd-yyyy") &amp; " To " &amp; TEXT($C$2-(RIGHT(A5,1)*7)+6,"mmm-dd-yyyy")</f>
        <v>May-16-2023 To May-22-2023</v>
      </c>
      <c r="D5" s="701"/>
      <c r="E5" s="704"/>
      <c r="F5" s="701"/>
      <c r="G5" s="701"/>
      <c r="H5" s="701"/>
      <c r="I5" s="701"/>
      <c r="J5" s="701"/>
      <c r="K5" s="701"/>
      <c r="L5" s="701"/>
      <c r="M5" s="701"/>
    </row>
    <row r="6" spans="1:13" ht="15.5" x14ac:dyDescent="0.35">
      <c r="A6" s="705" t="s">
        <v>438</v>
      </c>
      <c r="B6" s="706" t="s">
        <v>439</v>
      </c>
      <c r="C6" s="705" t="s">
        <v>440</v>
      </c>
      <c r="D6" s="707" t="s">
        <v>441</v>
      </c>
      <c r="E6" s="708" t="s">
        <v>442</v>
      </c>
      <c r="F6" s="709" t="s">
        <v>443</v>
      </c>
      <c r="G6" s="709" t="s">
        <v>444</v>
      </c>
      <c r="H6" s="710" t="s">
        <v>445</v>
      </c>
      <c r="I6" s="711" t="s">
        <v>222</v>
      </c>
      <c r="J6" s="712"/>
      <c r="K6" s="271" t="s">
        <v>446</v>
      </c>
      <c r="L6" s="352"/>
      <c r="M6" s="712"/>
    </row>
    <row r="7" spans="1:13" ht="62" x14ac:dyDescent="0.35">
      <c r="A7" s="705" t="s">
        <v>438</v>
      </c>
      <c r="B7" s="706" t="s">
        <v>447</v>
      </c>
      <c r="C7" s="705" t="s">
        <v>440</v>
      </c>
      <c r="D7" s="707" t="s">
        <v>441</v>
      </c>
      <c r="E7" s="708" t="s">
        <v>448</v>
      </c>
      <c r="F7" s="709" t="s">
        <v>449</v>
      </c>
      <c r="G7" s="709" t="s">
        <v>439</v>
      </c>
      <c r="H7" s="710" t="s">
        <v>445</v>
      </c>
      <c r="I7" s="713"/>
      <c r="J7" s="712"/>
      <c r="K7" s="712"/>
      <c r="L7" s="352"/>
      <c r="M7" s="712"/>
    </row>
    <row r="8" spans="1:13" ht="93" x14ac:dyDescent="0.35">
      <c r="A8" s="705" t="s">
        <v>438</v>
      </c>
      <c r="B8" s="706" t="s">
        <v>450</v>
      </c>
      <c r="C8" s="705" t="s">
        <v>440</v>
      </c>
      <c r="D8" s="707" t="s">
        <v>441</v>
      </c>
      <c r="E8" s="708" t="s">
        <v>451</v>
      </c>
      <c r="F8" s="709" t="s">
        <v>452</v>
      </c>
      <c r="G8" s="709" t="s">
        <v>439</v>
      </c>
      <c r="H8" s="710" t="s">
        <v>445</v>
      </c>
      <c r="I8" s="713"/>
      <c r="J8" s="263" t="s">
        <v>453</v>
      </c>
      <c r="K8" s="714" t="s">
        <v>454</v>
      </c>
      <c r="L8" s="715" t="s">
        <v>455</v>
      </c>
      <c r="M8" s="712"/>
    </row>
    <row r="9" spans="1:13" ht="15.5" x14ac:dyDescent="0.35">
      <c r="A9" s="705" t="s">
        <v>438</v>
      </c>
      <c r="B9" s="706" t="s">
        <v>456</v>
      </c>
      <c r="C9" s="705" t="s">
        <v>440</v>
      </c>
      <c r="D9" s="707" t="s">
        <v>441</v>
      </c>
      <c r="E9" s="716" t="s">
        <v>457</v>
      </c>
      <c r="F9" s="709" t="s">
        <v>458</v>
      </c>
      <c r="G9" s="709"/>
      <c r="H9" s="710" t="s">
        <v>445</v>
      </c>
      <c r="I9" s="713"/>
      <c r="J9" s="712"/>
      <c r="K9" s="717"/>
      <c r="L9" s="352"/>
      <c r="M9" s="712"/>
    </row>
    <row r="10" spans="1:13" ht="279" x14ac:dyDescent="0.35">
      <c r="A10" s="705" t="s">
        <v>438</v>
      </c>
      <c r="B10" s="706" t="s">
        <v>459</v>
      </c>
      <c r="C10" s="705" t="s">
        <v>440</v>
      </c>
      <c r="D10" s="707" t="s">
        <v>441</v>
      </c>
      <c r="E10" s="716" t="s">
        <v>460</v>
      </c>
      <c r="F10" s="709" t="s">
        <v>461</v>
      </c>
      <c r="G10" s="709" t="s">
        <v>439</v>
      </c>
      <c r="H10" s="710" t="s">
        <v>462</v>
      </c>
      <c r="I10" s="713"/>
      <c r="J10" s="712"/>
      <c r="K10" s="718" t="s">
        <v>463</v>
      </c>
      <c r="L10" s="352" t="s">
        <v>464</v>
      </c>
      <c r="M10" s="712"/>
    </row>
    <row r="11" spans="1:13" ht="15.5" x14ac:dyDescent="0.35">
      <c r="A11" s="701" t="s">
        <v>465</v>
      </c>
      <c r="B11" s="702"/>
      <c r="C11" s="703" t="str">
        <f>TEXT($C$2-(RIGHT(A11,1)*7),"mmm-dd-yyyy") &amp; " To " &amp; TEXT($C$2-(RIGHT(A11,1)*7)+6,"mmm-dd-yyyy")</f>
        <v>May-23-2023 To May-29-2023</v>
      </c>
      <c r="D11" s="701" t="s">
        <v>441</v>
      </c>
      <c r="E11" s="704"/>
      <c r="F11" s="701"/>
      <c r="G11" s="701"/>
      <c r="H11" s="701"/>
      <c r="I11" s="701"/>
      <c r="J11" s="701"/>
      <c r="K11" s="701"/>
      <c r="L11" s="701"/>
      <c r="M11" s="701"/>
    </row>
    <row r="12" spans="1:13" s="231" customFormat="1" ht="38.25" customHeight="1" x14ac:dyDescent="0.35">
      <c r="A12" s="705" t="s">
        <v>465</v>
      </c>
      <c r="B12" s="706" t="s">
        <v>466</v>
      </c>
      <c r="C12" s="719" t="s">
        <v>467</v>
      </c>
      <c r="D12" s="719" t="s">
        <v>441</v>
      </c>
      <c r="E12" s="1033" t="s">
        <v>468</v>
      </c>
      <c r="F12" s="720" t="s">
        <v>469</v>
      </c>
      <c r="G12" s="721"/>
      <c r="H12" s="720" t="s">
        <v>445</v>
      </c>
      <c r="I12" s="722"/>
      <c r="J12" s="723"/>
      <c r="K12" s="723"/>
      <c r="L12" s="720" t="s">
        <v>470</v>
      </c>
      <c r="M12" s="723"/>
    </row>
    <row r="13" spans="1:13" s="232" customFormat="1" ht="31" x14ac:dyDescent="0.35">
      <c r="A13" s="705" t="s">
        <v>471</v>
      </c>
      <c r="B13" s="706" t="s">
        <v>472</v>
      </c>
      <c r="C13" s="724" t="s">
        <v>440</v>
      </c>
      <c r="D13" s="725" t="s">
        <v>441</v>
      </c>
      <c r="E13" s="716" t="s">
        <v>473</v>
      </c>
      <c r="F13" s="709" t="s">
        <v>474</v>
      </c>
      <c r="G13" s="709"/>
      <c r="H13" s="709" t="s">
        <v>445</v>
      </c>
      <c r="I13" s="726"/>
      <c r="J13" s="727"/>
      <c r="K13" s="271" t="s">
        <v>475</v>
      </c>
      <c r="L13" s="728"/>
      <c r="M13" s="727"/>
    </row>
    <row r="14" spans="1:13" ht="31" x14ac:dyDescent="0.35">
      <c r="A14" s="705" t="s">
        <v>465</v>
      </c>
      <c r="B14" s="706" t="s">
        <v>476</v>
      </c>
      <c r="C14" s="705" t="s">
        <v>440</v>
      </c>
      <c r="D14" s="707" t="s">
        <v>441</v>
      </c>
      <c r="E14" s="716" t="s">
        <v>477</v>
      </c>
      <c r="F14" s="709" t="s">
        <v>478</v>
      </c>
      <c r="G14" s="709"/>
      <c r="H14" s="710" t="s">
        <v>445</v>
      </c>
      <c r="I14" s="713"/>
      <c r="J14" s="712"/>
      <c r="K14" s="712"/>
      <c r="L14" s="352" t="s">
        <v>479</v>
      </c>
      <c r="M14" s="712"/>
    </row>
    <row r="15" spans="1:13" ht="15.5" x14ac:dyDescent="0.35">
      <c r="A15" s="701" t="s">
        <v>480</v>
      </c>
      <c r="B15" s="702"/>
      <c r="C15" s="703" t="str">
        <f>TEXT($C$2-(RIGHT(A15,1)*7),"mmm-dd-yyyy") &amp; " To " &amp; TEXT($C$2-(RIGHT(A15,1)*7)+6,"mmm-dd-yyyy")</f>
        <v>May-30-2023 To Jun-05-2023</v>
      </c>
      <c r="D15" s="701" t="s">
        <v>441</v>
      </c>
      <c r="E15" s="704"/>
      <c r="F15" s="701"/>
      <c r="G15" s="701"/>
      <c r="H15" s="701"/>
      <c r="I15" s="701"/>
      <c r="J15" s="701"/>
      <c r="K15" s="701"/>
      <c r="L15" s="701"/>
      <c r="M15" s="701"/>
    </row>
    <row r="16" spans="1:13" ht="93" x14ac:dyDescent="0.35">
      <c r="A16" s="724" t="s">
        <v>480</v>
      </c>
      <c r="B16" s="729" t="s">
        <v>481</v>
      </c>
      <c r="C16" s="705" t="s">
        <v>440</v>
      </c>
      <c r="D16" s="707" t="s">
        <v>441</v>
      </c>
      <c r="E16" s="708" t="s">
        <v>482</v>
      </c>
      <c r="F16" s="730" t="s">
        <v>483</v>
      </c>
      <c r="G16" s="730"/>
      <c r="H16" s="710" t="s">
        <v>445</v>
      </c>
      <c r="I16" s="713"/>
      <c r="J16" s="731"/>
      <c r="K16" s="732" t="s">
        <v>484</v>
      </c>
      <c r="L16" s="264" t="s">
        <v>485</v>
      </c>
      <c r="M16" s="1075"/>
    </row>
    <row r="17" spans="1:16" ht="31" x14ac:dyDescent="0.35">
      <c r="A17" s="724" t="s">
        <v>480</v>
      </c>
      <c r="B17" s="729" t="s">
        <v>486</v>
      </c>
      <c r="C17" s="724" t="s">
        <v>440</v>
      </c>
      <c r="D17" s="707" t="s">
        <v>441</v>
      </c>
      <c r="E17" s="716" t="s">
        <v>487</v>
      </c>
      <c r="F17" s="733" t="s">
        <v>488</v>
      </c>
      <c r="G17" s="733"/>
      <c r="H17" s="733" t="s">
        <v>445</v>
      </c>
      <c r="I17" s="734"/>
      <c r="J17" s="733"/>
      <c r="K17" s="732" t="s">
        <v>489</v>
      </c>
      <c r="L17" s="735" t="s">
        <v>490</v>
      </c>
      <c r="M17" s="736"/>
    </row>
    <row r="18" spans="1:16" ht="15.5" x14ac:dyDescent="0.35">
      <c r="A18" s="724" t="s">
        <v>480</v>
      </c>
      <c r="B18" s="729" t="s">
        <v>491</v>
      </c>
      <c r="C18" s="724" t="s">
        <v>440</v>
      </c>
      <c r="D18" s="707" t="s">
        <v>441</v>
      </c>
      <c r="E18" s="716" t="s">
        <v>492</v>
      </c>
      <c r="F18" s="733" t="s">
        <v>493</v>
      </c>
      <c r="G18" s="733"/>
      <c r="H18" s="733" t="s">
        <v>445</v>
      </c>
      <c r="I18" s="734"/>
      <c r="J18" s="733"/>
      <c r="K18" s="732" t="s">
        <v>494</v>
      </c>
      <c r="L18" s="733"/>
      <c r="M18" s="736"/>
    </row>
    <row r="19" spans="1:16" ht="62" x14ac:dyDescent="0.35">
      <c r="A19" s="724" t="s">
        <v>480</v>
      </c>
      <c r="B19" s="729" t="s">
        <v>495</v>
      </c>
      <c r="C19" s="705" t="s">
        <v>440</v>
      </c>
      <c r="D19" s="707" t="s">
        <v>441</v>
      </c>
      <c r="E19" s="716" t="s">
        <v>496</v>
      </c>
      <c r="F19" s="709" t="s">
        <v>497</v>
      </c>
      <c r="G19" s="709"/>
      <c r="H19" s="710" t="s">
        <v>445</v>
      </c>
      <c r="I19" s="713"/>
      <c r="J19" s="712"/>
      <c r="K19" s="712"/>
      <c r="L19" s="733" t="s">
        <v>498</v>
      </c>
      <c r="M19" s="712"/>
    </row>
    <row r="20" spans="1:16" ht="15.5" x14ac:dyDescent="0.35">
      <c r="A20" s="701" t="s">
        <v>499</v>
      </c>
      <c r="B20" s="702"/>
      <c r="C20" s="703" t="str">
        <f>TEXT($C$2-(RIGHT(A20,1)*7),"mmm-dd-yyyy") &amp; " To " &amp; TEXT($C$2-(RIGHT(A20,1)*7)+6,"mmm-dd-yyyy")</f>
        <v>Jun-06-2023 To Jun-12-2023</v>
      </c>
      <c r="D20" s="701" t="s">
        <v>441</v>
      </c>
      <c r="E20" s="704"/>
      <c r="F20" s="701"/>
      <c r="G20" s="701"/>
      <c r="H20" s="701"/>
      <c r="I20" s="701"/>
      <c r="J20" s="701"/>
      <c r="K20" s="701"/>
      <c r="L20" s="701"/>
      <c r="M20" s="701"/>
    </row>
    <row r="21" spans="1:16" ht="62.25" customHeight="1" x14ac:dyDescent="0.35">
      <c r="A21" s="705" t="s">
        <v>499</v>
      </c>
      <c r="B21" s="706" t="s">
        <v>500</v>
      </c>
      <c r="C21" s="705" t="s">
        <v>440</v>
      </c>
      <c r="D21" s="707" t="s">
        <v>441</v>
      </c>
      <c r="E21" s="708" t="s">
        <v>501</v>
      </c>
      <c r="F21" s="709" t="s">
        <v>502</v>
      </c>
      <c r="G21" s="709"/>
      <c r="H21" s="710" t="s">
        <v>503</v>
      </c>
      <c r="I21" s="713"/>
      <c r="J21" s="712"/>
      <c r="K21" s="712"/>
      <c r="L21" s="352"/>
      <c r="M21" s="712"/>
    </row>
    <row r="22" spans="1:16" ht="38.25" customHeight="1" x14ac:dyDescent="0.35">
      <c r="A22" s="705" t="s">
        <v>499</v>
      </c>
      <c r="B22" s="706" t="s">
        <v>504</v>
      </c>
      <c r="C22" s="705" t="s">
        <v>440</v>
      </c>
      <c r="D22" s="707" t="s">
        <v>441</v>
      </c>
      <c r="E22" s="708" t="s">
        <v>505</v>
      </c>
      <c r="F22" s="709" t="s">
        <v>506</v>
      </c>
      <c r="G22" s="709"/>
      <c r="H22" s="733" t="s">
        <v>445</v>
      </c>
      <c r="I22" s="713"/>
      <c r="J22" s="712"/>
      <c r="K22" s="712"/>
      <c r="L22" s="352"/>
      <c r="M22" s="712"/>
    </row>
    <row r="23" spans="1:16" ht="62" x14ac:dyDescent="0.35">
      <c r="A23" s="724" t="s">
        <v>499</v>
      </c>
      <c r="B23" s="729" t="s">
        <v>507</v>
      </c>
      <c r="C23" s="705" t="s">
        <v>440</v>
      </c>
      <c r="D23" s="707" t="s">
        <v>441</v>
      </c>
      <c r="E23" s="708" t="s">
        <v>508</v>
      </c>
      <c r="F23" s="733" t="s">
        <v>509</v>
      </c>
      <c r="G23" s="733"/>
      <c r="H23" s="710" t="s">
        <v>445</v>
      </c>
      <c r="I23" s="713"/>
      <c r="J23" s="710"/>
      <c r="K23" s="710"/>
      <c r="L23" s="733" t="s">
        <v>510</v>
      </c>
      <c r="M23" s="1075"/>
      <c r="P23" s="233"/>
    </row>
    <row r="24" spans="1:16" ht="46.5" x14ac:dyDescent="0.35">
      <c r="A24" s="724" t="s">
        <v>499</v>
      </c>
      <c r="B24" s="729" t="s">
        <v>511</v>
      </c>
      <c r="C24" s="724" t="s">
        <v>440</v>
      </c>
      <c r="D24" s="707" t="s">
        <v>441</v>
      </c>
      <c r="E24" s="1053" t="s">
        <v>512</v>
      </c>
      <c r="F24" s="1052" t="s">
        <v>513</v>
      </c>
      <c r="G24" s="709"/>
      <c r="H24" s="709" t="s">
        <v>514</v>
      </c>
      <c r="I24" s="726"/>
      <c r="J24" s="709"/>
      <c r="K24" s="718" t="s">
        <v>515</v>
      </c>
      <c r="L24" s="737" t="s">
        <v>516</v>
      </c>
      <c r="M24" s="736"/>
    </row>
    <row r="25" spans="1:16" ht="124" x14ac:dyDescent="0.35">
      <c r="A25" s="705" t="s">
        <v>499</v>
      </c>
      <c r="B25" s="706" t="s">
        <v>517</v>
      </c>
      <c r="C25" s="724" t="s">
        <v>440</v>
      </c>
      <c r="D25" s="707" t="s">
        <v>441</v>
      </c>
      <c r="E25" s="716" t="s">
        <v>518</v>
      </c>
      <c r="F25" s="733" t="s">
        <v>519</v>
      </c>
      <c r="G25" s="733"/>
      <c r="H25" s="733" t="s">
        <v>445</v>
      </c>
      <c r="I25" s="734"/>
      <c r="J25" s="733"/>
      <c r="K25" s="733"/>
      <c r="L25" s="733" t="s">
        <v>520</v>
      </c>
      <c r="M25" s="736"/>
    </row>
    <row r="26" spans="1:16" ht="31" x14ac:dyDescent="0.35">
      <c r="A26" s="705" t="s">
        <v>499</v>
      </c>
      <c r="B26" s="706" t="s">
        <v>521</v>
      </c>
      <c r="C26" s="724" t="s">
        <v>440</v>
      </c>
      <c r="D26" s="707" t="s">
        <v>441</v>
      </c>
      <c r="E26" s="716" t="s">
        <v>522</v>
      </c>
      <c r="F26" s="709" t="s">
        <v>523</v>
      </c>
      <c r="G26" s="709"/>
      <c r="H26" s="709" t="s">
        <v>445</v>
      </c>
      <c r="I26" s="726"/>
      <c r="J26" s="709" t="s">
        <v>503</v>
      </c>
      <c r="K26" s="709"/>
      <c r="L26" s="709"/>
      <c r="M26" s="736"/>
    </row>
    <row r="27" spans="1:16" s="238" customFormat="1" ht="46.5" x14ac:dyDescent="0.35">
      <c r="A27" s="738" t="s">
        <v>499</v>
      </c>
      <c r="B27" s="739" t="s">
        <v>524</v>
      </c>
      <c r="C27" s="740" t="s">
        <v>440</v>
      </c>
      <c r="D27" s="741" t="s">
        <v>441</v>
      </c>
      <c r="E27" s="742" t="s">
        <v>525</v>
      </c>
      <c r="F27" s="743" t="s">
        <v>526</v>
      </c>
      <c r="G27" s="743"/>
      <c r="H27" s="709" t="s">
        <v>445</v>
      </c>
      <c r="I27" s="740"/>
      <c r="J27" s="744"/>
      <c r="K27" s="745" t="s">
        <v>527</v>
      </c>
      <c r="L27" s="746" t="s">
        <v>528</v>
      </c>
      <c r="M27" s="1076"/>
      <c r="P27" s="239"/>
    </row>
    <row r="28" spans="1:16" s="244" customFormat="1" ht="31" x14ac:dyDescent="0.35">
      <c r="A28" s="738" t="s">
        <v>499</v>
      </c>
      <c r="B28" s="739" t="s">
        <v>529</v>
      </c>
      <c r="C28" s="719" t="s">
        <v>467</v>
      </c>
      <c r="D28" s="747" t="s">
        <v>441</v>
      </c>
      <c r="E28" s="1033" t="s">
        <v>530</v>
      </c>
      <c r="F28" s="720" t="s">
        <v>531</v>
      </c>
      <c r="G28" s="720"/>
      <c r="H28" s="720" t="s">
        <v>445</v>
      </c>
      <c r="I28" s="719"/>
      <c r="J28" s="720"/>
      <c r="K28" s="720"/>
      <c r="L28" s="720" t="s">
        <v>532</v>
      </c>
      <c r="M28" s="748"/>
    </row>
    <row r="29" spans="1:16" ht="15.5" x14ac:dyDescent="0.35">
      <c r="A29" s="701" t="s">
        <v>533</v>
      </c>
      <c r="B29" s="702"/>
      <c r="C29" s="703" t="str">
        <f>TEXT($C$2-(RIGHT(A29,1)*7),"mmm-dd-yyyy") &amp; " To " &amp; TEXT($C$2-(RIGHT(A29,1)*7)+6,"mmm-dd-yyyy")</f>
        <v>Jun-13-2023 To Jun-19-2023</v>
      </c>
      <c r="D29" s="701" t="s">
        <v>441</v>
      </c>
      <c r="E29" s="704"/>
      <c r="F29" s="701"/>
      <c r="G29" s="701"/>
      <c r="H29" s="701"/>
      <c r="I29" s="701"/>
      <c r="J29" s="701"/>
      <c r="K29" s="701"/>
      <c r="L29" s="701"/>
      <c r="M29" s="701"/>
    </row>
    <row r="30" spans="1:16" ht="31" x14ac:dyDescent="0.35">
      <c r="A30" s="738" t="s">
        <v>533</v>
      </c>
      <c r="B30" s="739" t="s">
        <v>534</v>
      </c>
      <c r="C30" s="738" t="s">
        <v>440</v>
      </c>
      <c r="D30" s="741" t="s">
        <v>441</v>
      </c>
      <c r="E30" s="1054" t="s">
        <v>535</v>
      </c>
      <c r="F30" s="749" t="s">
        <v>536</v>
      </c>
      <c r="G30" s="749"/>
      <c r="H30" s="749" t="s">
        <v>445</v>
      </c>
      <c r="I30" s="750"/>
      <c r="J30" s="751"/>
      <c r="K30" s="752"/>
      <c r="L30" s="750"/>
      <c r="M30" s="705"/>
    </row>
    <row r="31" spans="1:16" ht="31" x14ac:dyDescent="0.35">
      <c r="A31" s="724" t="s">
        <v>533</v>
      </c>
      <c r="B31" s="739" t="s">
        <v>537</v>
      </c>
      <c r="C31" s="724" t="s">
        <v>440</v>
      </c>
      <c r="D31" s="707" t="s">
        <v>441</v>
      </c>
      <c r="E31" s="1053" t="s">
        <v>538</v>
      </c>
      <c r="F31" s="1052" t="s">
        <v>539</v>
      </c>
      <c r="G31" s="709"/>
      <c r="H31" s="709" t="s">
        <v>514</v>
      </c>
      <c r="I31" s="726"/>
      <c r="J31" s="709"/>
      <c r="K31" s="271" t="s">
        <v>540</v>
      </c>
      <c r="L31" s="737" t="s">
        <v>516</v>
      </c>
      <c r="M31" s="736"/>
    </row>
    <row r="32" spans="1:16" s="244" customFormat="1" ht="124" x14ac:dyDescent="0.35">
      <c r="A32" s="729" t="s">
        <v>533</v>
      </c>
      <c r="B32" s="739" t="s">
        <v>541</v>
      </c>
      <c r="C32" s="719" t="s">
        <v>467</v>
      </c>
      <c r="D32" s="747" t="s">
        <v>441</v>
      </c>
      <c r="E32" s="1034" t="s">
        <v>542</v>
      </c>
      <c r="F32" s="720" t="s">
        <v>543</v>
      </c>
      <c r="G32" s="720"/>
      <c r="H32" s="720" t="s">
        <v>445</v>
      </c>
      <c r="I32" s="719"/>
      <c r="J32" s="720"/>
      <c r="K32" s="720"/>
      <c r="L32" s="720" t="s">
        <v>544</v>
      </c>
      <c r="M32" s="748"/>
    </row>
    <row r="33" spans="1:13" ht="67.5" customHeight="1" x14ac:dyDescent="0.35">
      <c r="A33" s="705" t="s">
        <v>533</v>
      </c>
      <c r="B33" s="739" t="s">
        <v>545</v>
      </c>
      <c r="C33" s="726" t="s">
        <v>440</v>
      </c>
      <c r="D33" s="707" t="s">
        <v>441</v>
      </c>
      <c r="E33" s="708" t="s">
        <v>546</v>
      </c>
      <c r="F33" s="733" t="s">
        <v>547</v>
      </c>
      <c r="G33" s="733"/>
      <c r="H33" s="733" t="s">
        <v>548</v>
      </c>
      <c r="I33" s="734"/>
      <c r="J33" s="733"/>
      <c r="K33" s="733"/>
      <c r="L33" s="753" t="s">
        <v>549</v>
      </c>
      <c r="M33" s="736"/>
    </row>
    <row r="34" spans="1:13" s="238" customFormat="1" ht="77.5" x14ac:dyDescent="0.35">
      <c r="A34" s="738" t="s">
        <v>533</v>
      </c>
      <c r="B34" s="739" t="s">
        <v>550</v>
      </c>
      <c r="C34" s="738" t="s">
        <v>440</v>
      </c>
      <c r="D34" s="741" t="s">
        <v>441</v>
      </c>
      <c r="E34" s="708" t="s">
        <v>551</v>
      </c>
      <c r="F34" s="746" t="s">
        <v>552</v>
      </c>
      <c r="G34" s="746"/>
      <c r="H34" s="746" t="s">
        <v>445</v>
      </c>
      <c r="I34" s="738"/>
      <c r="J34" s="746" t="s">
        <v>553</v>
      </c>
      <c r="K34" s="271" t="s">
        <v>494</v>
      </c>
      <c r="L34" s="754"/>
      <c r="M34" s="755"/>
    </row>
    <row r="35" spans="1:13" s="238" customFormat="1" ht="124" x14ac:dyDescent="0.35">
      <c r="A35" s="726" t="s">
        <v>533</v>
      </c>
      <c r="B35" s="739" t="s">
        <v>554</v>
      </c>
      <c r="C35" s="738" t="s">
        <v>440</v>
      </c>
      <c r="D35" s="741" t="s">
        <v>441</v>
      </c>
      <c r="E35" s="708" t="s">
        <v>555</v>
      </c>
      <c r="F35" s="746" t="s">
        <v>556</v>
      </c>
      <c r="G35" s="746"/>
      <c r="H35" s="709" t="s">
        <v>445</v>
      </c>
      <c r="I35" s="738"/>
      <c r="J35" s="756" t="s">
        <v>557</v>
      </c>
      <c r="K35" s="732" t="s">
        <v>558</v>
      </c>
      <c r="L35" s="757" t="s">
        <v>559</v>
      </c>
      <c r="M35" s="755"/>
    </row>
    <row r="36" spans="1:13" ht="31" x14ac:dyDescent="0.35">
      <c r="A36" s="726" t="s">
        <v>533</v>
      </c>
      <c r="B36" s="739" t="s">
        <v>560</v>
      </c>
      <c r="C36" s="705" t="s">
        <v>440</v>
      </c>
      <c r="D36" s="707" t="s">
        <v>441</v>
      </c>
      <c r="E36" s="708" t="s">
        <v>561</v>
      </c>
      <c r="F36" s="709" t="s">
        <v>562</v>
      </c>
      <c r="G36" s="709"/>
      <c r="H36" s="709" t="s">
        <v>445</v>
      </c>
      <c r="I36" s="726"/>
      <c r="J36" s="709"/>
      <c r="K36" s="732" t="s">
        <v>563</v>
      </c>
      <c r="L36" s="352" t="s">
        <v>564</v>
      </c>
      <c r="M36" s="712"/>
    </row>
    <row r="37" spans="1:13" ht="233.25" customHeight="1" x14ac:dyDescent="0.35">
      <c r="A37" s="724" t="s">
        <v>533</v>
      </c>
      <c r="B37" s="739" t="s">
        <v>565</v>
      </c>
      <c r="C37" s="724" t="s">
        <v>440</v>
      </c>
      <c r="D37" s="707" t="s">
        <v>441</v>
      </c>
      <c r="E37" s="708" t="s">
        <v>566</v>
      </c>
      <c r="F37" s="709" t="s">
        <v>567</v>
      </c>
      <c r="G37" s="709"/>
      <c r="H37" s="709" t="s">
        <v>445</v>
      </c>
      <c r="I37" s="726"/>
      <c r="J37" s="709"/>
      <c r="K37" s="273" t="s">
        <v>568</v>
      </c>
      <c r="L37" s="737"/>
      <c r="M37" s="736"/>
    </row>
    <row r="38" spans="1:13" s="238" customFormat="1" ht="46.5" x14ac:dyDescent="0.35">
      <c r="A38" s="724" t="s">
        <v>533</v>
      </c>
      <c r="B38" s="739" t="s">
        <v>569</v>
      </c>
      <c r="C38" s="740" t="s">
        <v>440</v>
      </c>
      <c r="D38" s="741" t="s">
        <v>441</v>
      </c>
      <c r="E38" s="708" t="s">
        <v>570</v>
      </c>
      <c r="F38" s="746" t="s">
        <v>571</v>
      </c>
      <c r="G38" s="746"/>
      <c r="H38" s="746" t="s">
        <v>572</v>
      </c>
      <c r="I38" s="738"/>
      <c r="J38" s="746"/>
      <c r="K38" s="732" t="s">
        <v>573</v>
      </c>
      <c r="L38" s="709" t="s">
        <v>574</v>
      </c>
      <c r="M38" s="740"/>
    </row>
    <row r="39" spans="1:13" s="238" customFormat="1" ht="77.5" x14ac:dyDescent="0.35">
      <c r="A39" s="738" t="s">
        <v>533</v>
      </c>
      <c r="B39" s="739" t="s">
        <v>575</v>
      </c>
      <c r="C39" s="738" t="s">
        <v>440</v>
      </c>
      <c r="D39" s="741" t="s">
        <v>441</v>
      </c>
      <c r="E39" s="742" t="s">
        <v>576</v>
      </c>
      <c r="F39" s="746" t="s">
        <v>577</v>
      </c>
      <c r="G39" s="746"/>
      <c r="H39" s="758" t="s">
        <v>445</v>
      </c>
      <c r="I39" s="759"/>
      <c r="J39" s="758" t="s">
        <v>578</v>
      </c>
      <c r="K39" s="271" t="s">
        <v>579</v>
      </c>
      <c r="L39" s="241" t="s">
        <v>580</v>
      </c>
      <c r="M39" s="755"/>
    </row>
    <row r="40" spans="1:13" ht="46.5" x14ac:dyDescent="0.35">
      <c r="A40" s="705" t="s">
        <v>533</v>
      </c>
      <c r="B40" s="739" t="s">
        <v>581</v>
      </c>
      <c r="C40" s="726" t="s">
        <v>440</v>
      </c>
      <c r="D40" s="707" t="s">
        <v>441</v>
      </c>
      <c r="E40" s="716" t="s">
        <v>582</v>
      </c>
      <c r="F40" s="733" t="s">
        <v>583</v>
      </c>
      <c r="G40" s="733"/>
      <c r="H40" s="733" t="s">
        <v>584</v>
      </c>
      <c r="I40" s="734"/>
      <c r="J40" s="733"/>
      <c r="K40" s="733"/>
      <c r="L40" s="753" t="s">
        <v>549</v>
      </c>
      <c r="M40" s="736"/>
    </row>
    <row r="41" spans="1:13" ht="31" x14ac:dyDescent="0.35">
      <c r="A41" s="705" t="s">
        <v>533</v>
      </c>
      <c r="B41" s="739" t="s">
        <v>585</v>
      </c>
      <c r="C41" s="760" t="s">
        <v>440</v>
      </c>
      <c r="D41" s="707" t="s">
        <v>441</v>
      </c>
      <c r="E41" s="716" t="s">
        <v>586</v>
      </c>
      <c r="F41" s="709" t="s">
        <v>587</v>
      </c>
      <c r="G41" s="709"/>
      <c r="H41" s="709" t="s">
        <v>588</v>
      </c>
      <c r="I41" s="726"/>
      <c r="J41" s="709" t="s">
        <v>589</v>
      </c>
      <c r="K41" s="241"/>
      <c r="L41" s="241" t="s">
        <v>590</v>
      </c>
      <c r="M41" s="705"/>
    </row>
    <row r="42" spans="1:13" ht="31" x14ac:dyDescent="0.35">
      <c r="A42" s="705" t="s">
        <v>533</v>
      </c>
      <c r="B42" s="739" t="s">
        <v>591</v>
      </c>
      <c r="C42" s="724" t="s">
        <v>440</v>
      </c>
      <c r="D42" s="707" t="s">
        <v>441</v>
      </c>
      <c r="E42" s="716" t="s">
        <v>592</v>
      </c>
      <c r="F42" s="733" t="s">
        <v>593</v>
      </c>
      <c r="G42" s="733"/>
      <c r="H42" s="733" t="s">
        <v>594</v>
      </c>
      <c r="I42" s="734"/>
      <c r="J42" s="733" t="s">
        <v>595</v>
      </c>
      <c r="K42" s="733"/>
      <c r="L42" s="733" t="s">
        <v>596</v>
      </c>
      <c r="M42" s="736"/>
    </row>
    <row r="43" spans="1:13" ht="31" x14ac:dyDescent="0.35">
      <c r="A43" s="705" t="s">
        <v>533</v>
      </c>
      <c r="B43" s="739" t="s">
        <v>597</v>
      </c>
      <c r="C43" s="724" t="s">
        <v>440</v>
      </c>
      <c r="D43" s="1057" t="s">
        <v>441</v>
      </c>
      <c r="E43" s="761" t="s">
        <v>598</v>
      </c>
      <c r="F43" s="709" t="s">
        <v>599</v>
      </c>
      <c r="G43" s="709"/>
      <c r="H43" s="709" t="s">
        <v>503</v>
      </c>
      <c r="I43" s="726"/>
      <c r="J43" s="709"/>
      <c r="K43" s="709"/>
      <c r="L43" s="709" t="s">
        <v>600</v>
      </c>
      <c r="M43" s="709"/>
    </row>
    <row r="44" spans="1:13" ht="31" x14ac:dyDescent="0.35">
      <c r="A44" s="705" t="s">
        <v>533</v>
      </c>
      <c r="B44" s="739" t="s">
        <v>601</v>
      </c>
      <c r="C44" s="724" t="s">
        <v>440</v>
      </c>
      <c r="D44" s="707" t="s">
        <v>441</v>
      </c>
      <c r="E44" s="716" t="s">
        <v>602</v>
      </c>
      <c r="F44" s="733" t="s">
        <v>603</v>
      </c>
      <c r="G44" s="733"/>
      <c r="H44" s="733" t="s">
        <v>445</v>
      </c>
      <c r="I44" s="734"/>
      <c r="J44" s="733" t="s">
        <v>604</v>
      </c>
      <c r="K44" s="733"/>
      <c r="L44" s="733" t="s">
        <v>605</v>
      </c>
      <c r="M44" s="736"/>
    </row>
    <row r="45" spans="1:13" ht="31" x14ac:dyDescent="0.35">
      <c r="A45" s="705" t="s">
        <v>533</v>
      </c>
      <c r="B45" s="739" t="s">
        <v>606</v>
      </c>
      <c r="C45" s="724" t="s">
        <v>440</v>
      </c>
      <c r="D45" s="707" t="s">
        <v>441</v>
      </c>
      <c r="E45" s="716" t="s">
        <v>607</v>
      </c>
      <c r="F45" s="709" t="s">
        <v>608</v>
      </c>
      <c r="G45" s="709"/>
      <c r="H45" s="709" t="s">
        <v>445</v>
      </c>
      <c r="I45" s="726"/>
      <c r="J45" s="709" t="s">
        <v>604</v>
      </c>
      <c r="K45" s="709"/>
      <c r="L45" s="709" t="s">
        <v>609</v>
      </c>
      <c r="M45" s="736"/>
    </row>
    <row r="46" spans="1:13" ht="46.5" x14ac:dyDescent="0.35">
      <c r="A46" s="705" t="s">
        <v>533</v>
      </c>
      <c r="B46" s="739" t="s">
        <v>610</v>
      </c>
      <c r="C46" s="726" t="s">
        <v>440</v>
      </c>
      <c r="D46" s="707" t="s">
        <v>441</v>
      </c>
      <c r="E46" s="716" t="s">
        <v>611</v>
      </c>
      <c r="F46" s="733" t="s">
        <v>612</v>
      </c>
      <c r="G46" s="733"/>
      <c r="H46" s="709" t="s">
        <v>613</v>
      </c>
      <c r="I46" s="726"/>
      <c r="J46" s="709" t="s">
        <v>614</v>
      </c>
      <c r="K46" s="709"/>
      <c r="L46" s="709" t="s">
        <v>615</v>
      </c>
      <c r="M46" s="736"/>
    </row>
    <row r="47" spans="1:13" ht="31" x14ac:dyDescent="0.35">
      <c r="A47" s="705" t="s">
        <v>533</v>
      </c>
      <c r="B47" s="739" t="s">
        <v>616</v>
      </c>
      <c r="C47" s="724" t="s">
        <v>440</v>
      </c>
      <c r="D47" s="707" t="s">
        <v>441</v>
      </c>
      <c r="E47" s="716" t="s">
        <v>617</v>
      </c>
      <c r="F47" s="709" t="s">
        <v>618</v>
      </c>
      <c r="G47" s="709"/>
      <c r="H47" s="709" t="s">
        <v>619</v>
      </c>
      <c r="I47" s="726"/>
      <c r="J47" s="709" t="s">
        <v>620</v>
      </c>
      <c r="K47" s="709"/>
      <c r="L47" s="709" t="s">
        <v>621</v>
      </c>
      <c r="M47" s="736"/>
    </row>
    <row r="48" spans="1:13" ht="77.5" x14ac:dyDescent="0.35">
      <c r="A48" s="705" t="s">
        <v>533</v>
      </c>
      <c r="B48" s="739" t="s">
        <v>622</v>
      </c>
      <c r="C48" s="724" t="s">
        <v>440</v>
      </c>
      <c r="D48" s="707" t="s">
        <v>441</v>
      </c>
      <c r="E48" s="716" t="s">
        <v>623</v>
      </c>
      <c r="F48" s="709" t="s">
        <v>624</v>
      </c>
      <c r="G48" s="709"/>
      <c r="H48" s="709" t="s">
        <v>445</v>
      </c>
      <c r="I48" s="726"/>
      <c r="J48" s="709" t="s">
        <v>625</v>
      </c>
      <c r="K48" s="709"/>
      <c r="L48" s="709"/>
      <c r="M48" s="736"/>
    </row>
    <row r="49" spans="1:13" ht="62" x14ac:dyDescent="0.35">
      <c r="A49" s="705" t="s">
        <v>533</v>
      </c>
      <c r="B49" s="739" t="s">
        <v>626</v>
      </c>
      <c r="C49" s="724" t="s">
        <v>440</v>
      </c>
      <c r="D49" s="707" t="s">
        <v>441</v>
      </c>
      <c r="E49" s="716" t="s">
        <v>627</v>
      </c>
      <c r="F49" s="709" t="s">
        <v>628</v>
      </c>
      <c r="G49" s="709"/>
      <c r="H49" s="709" t="s">
        <v>445</v>
      </c>
      <c r="I49" s="726"/>
      <c r="J49" s="709"/>
      <c r="K49" s="709"/>
      <c r="L49" s="709"/>
      <c r="M49" s="736"/>
    </row>
    <row r="50" spans="1:13" s="244" customFormat="1" ht="263.5" x14ac:dyDescent="0.35">
      <c r="A50" s="762" t="s">
        <v>533</v>
      </c>
      <c r="B50" s="739" t="s">
        <v>629</v>
      </c>
      <c r="C50" s="719" t="s">
        <v>467</v>
      </c>
      <c r="D50" s="747" t="s">
        <v>441</v>
      </c>
      <c r="E50" s="1033" t="s">
        <v>630</v>
      </c>
      <c r="F50" s="720" t="s">
        <v>631</v>
      </c>
      <c r="G50" s="720"/>
      <c r="H50" s="720" t="s">
        <v>632</v>
      </c>
      <c r="I50" s="719"/>
      <c r="J50" s="720"/>
      <c r="K50" s="720"/>
      <c r="L50" s="720" t="s">
        <v>633</v>
      </c>
      <c r="M50" s="748"/>
    </row>
    <row r="51" spans="1:13" s="244" customFormat="1" ht="77.5" x14ac:dyDescent="0.35">
      <c r="A51" s="762" t="s">
        <v>533</v>
      </c>
      <c r="B51" s="739" t="s">
        <v>634</v>
      </c>
      <c r="C51" s="719" t="s">
        <v>467</v>
      </c>
      <c r="D51" s="747" t="s">
        <v>441</v>
      </c>
      <c r="E51" s="1033" t="s">
        <v>635</v>
      </c>
      <c r="F51" s="720" t="s">
        <v>636</v>
      </c>
      <c r="G51" s="720"/>
      <c r="H51" s="720" t="s">
        <v>632</v>
      </c>
      <c r="I51" s="719"/>
      <c r="J51" s="720"/>
      <c r="K51" s="720"/>
      <c r="L51" s="720" t="s">
        <v>637</v>
      </c>
      <c r="M51" s="748"/>
    </row>
    <row r="52" spans="1:13" s="244" customFormat="1" ht="93" x14ac:dyDescent="0.35">
      <c r="A52" s="762" t="s">
        <v>533</v>
      </c>
      <c r="B52" s="739" t="s">
        <v>638</v>
      </c>
      <c r="C52" s="719" t="s">
        <v>467</v>
      </c>
      <c r="D52" s="747" t="s">
        <v>441</v>
      </c>
      <c r="E52" s="1033" t="s">
        <v>639</v>
      </c>
      <c r="F52" s="720" t="s">
        <v>640</v>
      </c>
      <c r="G52" s="720"/>
      <c r="H52" s="720" t="s">
        <v>632</v>
      </c>
      <c r="I52" s="719"/>
      <c r="J52" s="720"/>
      <c r="K52" s="720"/>
      <c r="L52" s="720" t="s">
        <v>641</v>
      </c>
      <c r="M52" s="748"/>
    </row>
    <row r="53" spans="1:13" ht="15.5" x14ac:dyDescent="0.35">
      <c r="A53" s="701" t="s">
        <v>642</v>
      </c>
      <c r="B53" s="702"/>
      <c r="C53" s="703" t="str">
        <f>TEXT($C$2-(RIGHT(A53,1)*7),"mmm-dd-yyyy") &amp; " To " &amp; TEXT($C$2-(RIGHT(A53,1)*7)+6,"mmm-dd-yyyy")</f>
        <v>Jun-20-2023 To Jun-26-2023</v>
      </c>
      <c r="D53" s="701"/>
      <c r="E53" s="704"/>
      <c r="F53" s="701"/>
      <c r="G53" s="701"/>
      <c r="H53" s="701"/>
      <c r="I53" s="701"/>
      <c r="J53" s="701"/>
      <c r="K53" s="701"/>
      <c r="L53" s="701"/>
      <c r="M53" s="701"/>
    </row>
    <row r="54" spans="1:13" ht="108.5" x14ac:dyDescent="0.35">
      <c r="A54" s="705" t="s">
        <v>642</v>
      </c>
      <c r="B54" s="706" t="s">
        <v>643</v>
      </c>
      <c r="C54" s="705" t="s">
        <v>440</v>
      </c>
      <c r="D54" s="707" t="s">
        <v>441</v>
      </c>
      <c r="E54" s="708" t="s">
        <v>644</v>
      </c>
      <c r="F54" s="709" t="s">
        <v>645</v>
      </c>
      <c r="G54" s="709"/>
      <c r="H54" s="709" t="s">
        <v>445</v>
      </c>
      <c r="I54" s="726"/>
      <c r="J54" s="709"/>
      <c r="K54" s="271" t="s">
        <v>494</v>
      </c>
      <c r="L54" s="709"/>
      <c r="M54" s="712"/>
    </row>
    <row r="55" spans="1:13" ht="124" x14ac:dyDescent="0.35">
      <c r="A55" s="705" t="s">
        <v>642</v>
      </c>
      <c r="B55" s="706" t="s">
        <v>646</v>
      </c>
      <c r="C55" s="724" t="s">
        <v>440</v>
      </c>
      <c r="D55" s="707" t="s">
        <v>441</v>
      </c>
      <c r="E55" s="708" t="s">
        <v>647</v>
      </c>
      <c r="F55" s="733" t="s">
        <v>648</v>
      </c>
      <c r="G55" s="733"/>
      <c r="H55" s="733" t="s">
        <v>445</v>
      </c>
      <c r="I55" s="734"/>
      <c r="J55" s="733"/>
      <c r="K55" s="733"/>
      <c r="L55" s="733" t="s">
        <v>520</v>
      </c>
      <c r="M55" s="736"/>
    </row>
    <row r="56" spans="1:13" ht="65.25" customHeight="1" x14ac:dyDescent="0.35">
      <c r="A56" s="724" t="s">
        <v>642</v>
      </c>
      <c r="B56" s="729" t="s">
        <v>649</v>
      </c>
      <c r="C56" s="724" t="s">
        <v>440</v>
      </c>
      <c r="D56" s="707" t="s">
        <v>441</v>
      </c>
      <c r="E56" s="708" t="s">
        <v>650</v>
      </c>
      <c r="F56" s="709" t="s">
        <v>651</v>
      </c>
      <c r="G56" s="709"/>
      <c r="H56" s="709" t="s">
        <v>445</v>
      </c>
      <c r="I56" s="726"/>
      <c r="J56" s="764" t="s">
        <v>652</v>
      </c>
      <c r="K56" s="273" t="s">
        <v>653</v>
      </c>
      <c r="L56" s="765"/>
      <c r="M56" s="736"/>
    </row>
    <row r="57" spans="1:13" ht="98.25" customHeight="1" x14ac:dyDescent="0.35">
      <c r="A57" s="705" t="s">
        <v>642</v>
      </c>
      <c r="B57" s="706" t="s">
        <v>654</v>
      </c>
      <c r="C57" s="763" t="s">
        <v>655</v>
      </c>
      <c r="D57" s="707" t="s">
        <v>441</v>
      </c>
      <c r="E57" s="708" t="s">
        <v>656</v>
      </c>
      <c r="F57" s="766" t="s">
        <v>657</v>
      </c>
      <c r="G57" s="766"/>
      <c r="H57" s="766" t="s">
        <v>658</v>
      </c>
      <c r="I57" s="767"/>
      <c r="J57" s="768"/>
      <c r="K57" s="769" t="s">
        <v>659</v>
      </c>
      <c r="L57" s="770"/>
      <c r="M57" s="771"/>
    </row>
    <row r="58" spans="1:13" ht="104.25" customHeight="1" x14ac:dyDescent="0.35">
      <c r="A58" s="705" t="s">
        <v>642</v>
      </c>
      <c r="B58" s="706" t="s">
        <v>660</v>
      </c>
      <c r="C58" s="763" t="s">
        <v>655</v>
      </c>
      <c r="D58" s="707" t="s">
        <v>441</v>
      </c>
      <c r="E58" s="708" t="s">
        <v>661</v>
      </c>
      <c r="F58" s="766" t="s">
        <v>662</v>
      </c>
      <c r="G58" s="766"/>
      <c r="H58" s="709" t="s">
        <v>663</v>
      </c>
      <c r="I58" s="767"/>
      <c r="J58" s="766"/>
      <c r="K58" s="273" t="s">
        <v>664</v>
      </c>
      <c r="L58" s="772" t="s">
        <v>665</v>
      </c>
      <c r="M58" s="771"/>
    </row>
    <row r="59" spans="1:13" ht="31" x14ac:dyDescent="0.35">
      <c r="A59" s="705" t="s">
        <v>642</v>
      </c>
      <c r="B59" s="706" t="s">
        <v>666</v>
      </c>
      <c r="C59" s="724" t="s">
        <v>440</v>
      </c>
      <c r="D59" s="707" t="s">
        <v>441</v>
      </c>
      <c r="E59" s="708" t="s">
        <v>667</v>
      </c>
      <c r="F59" s="709" t="s">
        <v>668</v>
      </c>
      <c r="G59" s="709"/>
      <c r="H59" s="709" t="s">
        <v>663</v>
      </c>
      <c r="I59" s="726"/>
      <c r="J59" s="709"/>
      <c r="K59" s="709"/>
      <c r="L59" s="709" t="s">
        <v>669</v>
      </c>
      <c r="M59" s="705"/>
    </row>
    <row r="60" spans="1:13" ht="31" x14ac:dyDescent="0.35">
      <c r="A60" s="705" t="s">
        <v>642</v>
      </c>
      <c r="B60" s="706" t="s">
        <v>670</v>
      </c>
      <c r="C60" s="724" t="s">
        <v>440</v>
      </c>
      <c r="D60" s="707" t="s">
        <v>441</v>
      </c>
      <c r="E60" s="716" t="s">
        <v>671</v>
      </c>
      <c r="F60" s="709" t="s">
        <v>672</v>
      </c>
      <c r="G60" s="709"/>
      <c r="H60" s="709" t="s">
        <v>514</v>
      </c>
      <c r="I60" s="726"/>
      <c r="J60" s="709"/>
      <c r="K60" s="271" t="s">
        <v>673</v>
      </c>
      <c r="L60" s="737" t="s">
        <v>516</v>
      </c>
      <c r="M60" s="736"/>
    </row>
    <row r="61" spans="1:13" s="244" customFormat="1" ht="15.5" x14ac:dyDescent="0.35">
      <c r="A61" s="705" t="s">
        <v>642</v>
      </c>
      <c r="B61" s="706" t="s">
        <v>674</v>
      </c>
      <c r="C61" s="774" t="s">
        <v>467</v>
      </c>
      <c r="D61" s="747" t="s">
        <v>441</v>
      </c>
      <c r="E61" s="1033" t="s">
        <v>675</v>
      </c>
      <c r="F61" s="720" t="s">
        <v>676</v>
      </c>
      <c r="G61" s="720"/>
      <c r="H61" s="720" t="s">
        <v>503</v>
      </c>
      <c r="I61" s="719"/>
      <c r="J61" s="720"/>
      <c r="K61" s="720"/>
      <c r="L61" s="773" t="s">
        <v>677</v>
      </c>
      <c r="M61" s="774"/>
    </row>
    <row r="62" spans="1:13" s="244" customFormat="1" ht="31" x14ac:dyDescent="0.35">
      <c r="A62" s="705" t="s">
        <v>642</v>
      </c>
      <c r="B62" s="706" t="s">
        <v>678</v>
      </c>
      <c r="C62" s="774" t="s">
        <v>467</v>
      </c>
      <c r="D62" s="747" t="s">
        <v>441</v>
      </c>
      <c r="E62" s="1033" t="s">
        <v>679</v>
      </c>
      <c r="F62" s="720" t="s">
        <v>680</v>
      </c>
      <c r="G62" s="720"/>
      <c r="H62" s="720" t="s">
        <v>503</v>
      </c>
      <c r="I62" s="719"/>
      <c r="J62" s="720"/>
      <c r="K62" s="720"/>
      <c r="L62" s="775" t="s">
        <v>681</v>
      </c>
      <c r="M62" s="774"/>
    </row>
    <row r="63" spans="1:13" s="244" customFormat="1" ht="31" x14ac:dyDescent="0.35">
      <c r="A63" s="705" t="s">
        <v>642</v>
      </c>
      <c r="B63" s="706" t="s">
        <v>682</v>
      </c>
      <c r="C63" s="1035" t="s">
        <v>467</v>
      </c>
      <c r="D63" s="747" t="s">
        <v>441</v>
      </c>
      <c r="E63" s="1033" t="s">
        <v>683</v>
      </c>
      <c r="F63" s="720" t="s">
        <v>684</v>
      </c>
      <c r="G63" s="720"/>
      <c r="H63" s="720" t="s">
        <v>632</v>
      </c>
      <c r="I63" s="719"/>
      <c r="J63" s="776"/>
      <c r="K63" s="776"/>
      <c r="L63" s="775" t="s">
        <v>685</v>
      </c>
      <c r="M63" s="774"/>
    </row>
    <row r="64" spans="1:13" s="244" customFormat="1" ht="31" x14ac:dyDescent="0.35">
      <c r="A64" s="705" t="s">
        <v>642</v>
      </c>
      <c r="B64" s="706" t="s">
        <v>686</v>
      </c>
      <c r="C64" s="1035" t="s">
        <v>467</v>
      </c>
      <c r="D64" s="747" t="s">
        <v>441</v>
      </c>
      <c r="E64" s="1033" t="s">
        <v>687</v>
      </c>
      <c r="F64" s="720" t="s">
        <v>688</v>
      </c>
      <c r="G64" s="720"/>
      <c r="H64" s="720" t="s">
        <v>632</v>
      </c>
      <c r="I64" s="719"/>
      <c r="J64" s="776"/>
      <c r="K64" s="776"/>
      <c r="L64" s="775" t="s">
        <v>689</v>
      </c>
      <c r="M64" s="774"/>
    </row>
    <row r="65" spans="1:13" s="244" customFormat="1" ht="15.5" x14ac:dyDescent="0.35">
      <c r="A65" s="705" t="s">
        <v>642</v>
      </c>
      <c r="B65" s="706" t="s">
        <v>690</v>
      </c>
      <c r="C65" s="1035" t="s">
        <v>467</v>
      </c>
      <c r="D65" s="747" t="s">
        <v>441</v>
      </c>
      <c r="E65" s="1033" t="s">
        <v>691</v>
      </c>
      <c r="F65" s="720" t="s">
        <v>692</v>
      </c>
      <c r="G65" s="720"/>
      <c r="H65" s="720" t="s">
        <v>503</v>
      </c>
      <c r="I65" s="719"/>
      <c r="J65" s="776"/>
      <c r="K65" s="776"/>
      <c r="L65" s="775" t="s">
        <v>693</v>
      </c>
      <c r="M65" s="774"/>
    </row>
    <row r="66" spans="1:13" s="244" customFormat="1" ht="15.5" x14ac:dyDescent="0.35">
      <c r="A66" s="705" t="s">
        <v>642</v>
      </c>
      <c r="B66" s="706" t="s">
        <v>694</v>
      </c>
      <c r="C66" s="1035" t="s">
        <v>467</v>
      </c>
      <c r="D66" s="747" t="s">
        <v>441</v>
      </c>
      <c r="E66" s="1033" t="s">
        <v>695</v>
      </c>
      <c r="F66" s="720" t="s">
        <v>696</v>
      </c>
      <c r="G66" s="720"/>
      <c r="H66" s="720" t="s">
        <v>697</v>
      </c>
      <c r="I66" s="719"/>
      <c r="J66" s="776"/>
      <c r="K66" s="776"/>
      <c r="L66" s="775" t="s">
        <v>677</v>
      </c>
      <c r="M66" s="774"/>
    </row>
    <row r="67" spans="1:13" s="238" customFormat="1" ht="124" x14ac:dyDescent="0.35">
      <c r="A67" s="705" t="s">
        <v>642</v>
      </c>
      <c r="B67" s="706" t="s">
        <v>698</v>
      </c>
      <c r="C67" s="738" t="s">
        <v>440</v>
      </c>
      <c r="D67" s="741" t="s">
        <v>441</v>
      </c>
      <c r="E67" s="742" t="s">
        <v>699</v>
      </c>
      <c r="F67" s="746" t="s">
        <v>700</v>
      </c>
      <c r="G67" s="746"/>
      <c r="H67" s="746" t="s">
        <v>445</v>
      </c>
      <c r="I67" s="738"/>
      <c r="J67" s="746"/>
      <c r="K67" s="777" t="s">
        <v>701</v>
      </c>
      <c r="L67" s="754"/>
      <c r="M67" s="755"/>
    </row>
    <row r="68" spans="1:13" s="238" customFormat="1" ht="77.5" x14ac:dyDescent="0.35">
      <c r="A68" s="705" t="s">
        <v>642</v>
      </c>
      <c r="B68" s="706" t="s">
        <v>702</v>
      </c>
      <c r="C68" s="738" t="s">
        <v>440</v>
      </c>
      <c r="D68" s="741" t="s">
        <v>441</v>
      </c>
      <c r="E68" s="254" t="s">
        <v>703</v>
      </c>
      <c r="F68" s="778" t="s">
        <v>704</v>
      </c>
      <c r="G68" s="778"/>
      <c r="H68" s="746" t="s">
        <v>705</v>
      </c>
      <c r="I68" s="738"/>
      <c r="J68" s="746" t="s">
        <v>706</v>
      </c>
      <c r="K68" s="732" t="s">
        <v>707</v>
      </c>
      <c r="L68" s="746" t="s">
        <v>708</v>
      </c>
      <c r="M68" s="755"/>
    </row>
    <row r="69" spans="1:13" ht="62" x14ac:dyDescent="0.35">
      <c r="A69" s="705" t="s">
        <v>642</v>
      </c>
      <c r="B69" s="706" t="s">
        <v>709</v>
      </c>
      <c r="C69" s="724" t="s">
        <v>440</v>
      </c>
      <c r="D69" s="707" t="s">
        <v>441</v>
      </c>
      <c r="E69" s="716" t="s">
        <v>710</v>
      </c>
      <c r="F69" s="709" t="s">
        <v>711</v>
      </c>
      <c r="G69" s="709"/>
      <c r="H69" s="709" t="s">
        <v>445</v>
      </c>
      <c r="I69" s="726"/>
      <c r="J69" s="709" t="s">
        <v>712</v>
      </c>
      <c r="K69" s="709"/>
      <c r="L69" s="709" t="s">
        <v>713</v>
      </c>
      <c r="M69" s="736"/>
    </row>
    <row r="70" spans="1:13" s="238" customFormat="1" ht="77.5" x14ac:dyDescent="0.35">
      <c r="A70" s="705" t="s">
        <v>642</v>
      </c>
      <c r="B70" s="706" t="s">
        <v>714</v>
      </c>
      <c r="C70" s="738" t="s">
        <v>440</v>
      </c>
      <c r="D70" s="741" t="s">
        <v>441</v>
      </c>
      <c r="E70" s="742" t="s">
        <v>715</v>
      </c>
      <c r="F70" s="746" t="s">
        <v>716</v>
      </c>
      <c r="G70" s="746"/>
      <c r="H70" s="746" t="s">
        <v>445</v>
      </c>
      <c r="I70" s="738"/>
      <c r="J70" s="746"/>
      <c r="K70" s="271" t="s">
        <v>717</v>
      </c>
      <c r="L70" s="754"/>
      <c r="M70" s="755"/>
    </row>
    <row r="71" spans="1:13" ht="62" x14ac:dyDescent="0.35">
      <c r="A71" s="705" t="s">
        <v>642</v>
      </c>
      <c r="B71" s="706" t="s">
        <v>718</v>
      </c>
      <c r="C71" s="724" t="s">
        <v>440</v>
      </c>
      <c r="D71" s="707" t="s">
        <v>441</v>
      </c>
      <c r="E71" s="716" t="s">
        <v>719</v>
      </c>
      <c r="F71" s="709" t="s">
        <v>720</v>
      </c>
      <c r="G71" s="709"/>
      <c r="H71" s="709" t="s">
        <v>721</v>
      </c>
      <c r="I71" s="726"/>
      <c r="J71" s="709" t="s">
        <v>722</v>
      </c>
      <c r="K71" s="709"/>
      <c r="L71" s="709"/>
      <c r="M71" s="736"/>
    </row>
    <row r="72" spans="1:13" ht="44.25" customHeight="1" x14ac:dyDescent="0.35">
      <c r="A72" s="705" t="s">
        <v>642</v>
      </c>
      <c r="B72" s="706" t="s">
        <v>723</v>
      </c>
      <c r="C72" s="724" t="s">
        <v>440</v>
      </c>
      <c r="D72" s="707" t="s">
        <v>441</v>
      </c>
      <c r="E72" s="716" t="s">
        <v>724</v>
      </c>
      <c r="F72" s="709" t="s">
        <v>725</v>
      </c>
      <c r="G72" s="709"/>
      <c r="H72" s="709" t="s">
        <v>445</v>
      </c>
      <c r="I72" s="726"/>
      <c r="J72" s="709"/>
      <c r="K72" s="779" t="s">
        <v>726</v>
      </c>
      <c r="L72" s="780" t="s">
        <v>727</v>
      </c>
      <c r="M72" s="736"/>
    </row>
    <row r="73" spans="1:13" s="234" customFormat="1" ht="31" x14ac:dyDescent="0.35">
      <c r="A73" s="705" t="s">
        <v>642</v>
      </c>
      <c r="B73" s="706" t="s">
        <v>728</v>
      </c>
      <c r="C73" s="798" t="s">
        <v>729</v>
      </c>
      <c r="D73" s="1039" t="s">
        <v>441</v>
      </c>
      <c r="E73" s="1040" t="s">
        <v>730</v>
      </c>
      <c r="F73" s="781" t="s">
        <v>731</v>
      </c>
      <c r="G73" s="781"/>
      <c r="H73" s="781" t="s">
        <v>663</v>
      </c>
      <c r="I73" s="782"/>
      <c r="J73" s="781"/>
      <c r="K73" s="265"/>
      <c r="L73" s="266" t="s">
        <v>732</v>
      </c>
      <c r="M73" s="783"/>
    </row>
    <row r="74" spans="1:13" s="234" customFormat="1" ht="140.25" customHeight="1" x14ac:dyDescent="0.35">
      <c r="A74" s="705" t="s">
        <v>642</v>
      </c>
      <c r="B74" s="706" t="s">
        <v>733</v>
      </c>
      <c r="C74" s="798" t="s">
        <v>729</v>
      </c>
      <c r="D74" s="1039" t="s">
        <v>441</v>
      </c>
      <c r="E74" s="1040" t="s">
        <v>734</v>
      </c>
      <c r="F74" s="781" t="s">
        <v>735</v>
      </c>
      <c r="G74" s="781"/>
      <c r="H74" s="781" t="s">
        <v>663</v>
      </c>
      <c r="I74" s="782"/>
      <c r="J74" s="781"/>
      <c r="K74" s="781"/>
      <c r="L74" s="784" t="s">
        <v>732</v>
      </c>
      <c r="M74" s="783"/>
    </row>
    <row r="75" spans="1:13" s="234" customFormat="1" ht="79.5" customHeight="1" x14ac:dyDescent="0.35">
      <c r="A75" s="705" t="s">
        <v>642</v>
      </c>
      <c r="B75" s="706" t="s">
        <v>736</v>
      </c>
      <c r="C75" s="798" t="s">
        <v>729</v>
      </c>
      <c r="D75" s="1039" t="s">
        <v>441</v>
      </c>
      <c r="E75" s="1040" t="s">
        <v>737</v>
      </c>
      <c r="F75" s="781" t="s">
        <v>738</v>
      </c>
      <c r="G75" s="781"/>
      <c r="H75" s="781" t="s">
        <v>663</v>
      </c>
      <c r="I75" s="782"/>
      <c r="J75" s="781"/>
      <c r="K75" s="781"/>
      <c r="L75" s="784" t="s">
        <v>732</v>
      </c>
      <c r="M75" s="783"/>
    </row>
    <row r="76" spans="1:13" s="234" customFormat="1" ht="79.5" customHeight="1" x14ac:dyDescent="0.35">
      <c r="A76" s="705" t="s">
        <v>642</v>
      </c>
      <c r="B76" s="706" t="s">
        <v>739</v>
      </c>
      <c r="C76" s="798" t="s">
        <v>729</v>
      </c>
      <c r="D76" s="1039" t="s">
        <v>441</v>
      </c>
      <c r="E76" s="1040" t="s">
        <v>740</v>
      </c>
      <c r="F76" s="781" t="s">
        <v>741</v>
      </c>
      <c r="G76" s="781"/>
      <c r="H76" s="781" t="s">
        <v>663</v>
      </c>
      <c r="I76" s="782"/>
      <c r="J76" s="781"/>
      <c r="K76" s="781"/>
      <c r="L76" s="784" t="s">
        <v>742</v>
      </c>
      <c r="M76" s="783"/>
    </row>
    <row r="77" spans="1:13" s="234" customFormat="1" ht="79.5" customHeight="1" x14ac:dyDescent="0.35">
      <c r="A77" s="705" t="s">
        <v>642</v>
      </c>
      <c r="B77" s="706" t="s">
        <v>743</v>
      </c>
      <c r="C77" s="798" t="s">
        <v>729</v>
      </c>
      <c r="D77" s="1039" t="s">
        <v>441</v>
      </c>
      <c r="E77" s="1040" t="s">
        <v>744</v>
      </c>
      <c r="F77" s="781" t="s">
        <v>745</v>
      </c>
      <c r="G77" s="781"/>
      <c r="H77" s="781" t="s">
        <v>663</v>
      </c>
      <c r="I77" s="782"/>
      <c r="J77" s="781"/>
      <c r="K77" s="781"/>
      <c r="L77" s="784" t="s">
        <v>742</v>
      </c>
      <c r="M77" s="783"/>
    </row>
    <row r="78" spans="1:13" s="234" customFormat="1" ht="79.5" customHeight="1" x14ac:dyDescent="0.35">
      <c r="A78" s="705" t="s">
        <v>642</v>
      </c>
      <c r="B78" s="706" t="s">
        <v>746</v>
      </c>
      <c r="C78" s="798" t="s">
        <v>729</v>
      </c>
      <c r="D78" s="1039" t="s">
        <v>441</v>
      </c>
      <c r="E78" s="1040" t="s">
        <v>747</v>
      </c>
      <c r="F78" s="781" t="s">
        <v>748</v>
      </c>
      <c r="G78" s="781"/>
      <c r="H78" s="781" t="s">
        <v>663</v>
      </c>
      <c r="I78" s="782"/>
      <c r="J78" s="781"/>
      <c r="K78" s="781"/>
      <c r="L78" s="784" t="s">
        <v>742</v>
      </c>
      <c r="M78" s="783"/>
    </row>
    <row r="79" spans="1:13" ht="77.5" x14ac:dyDescent="0.35">
      <c r="A79" s="705" t="s">
        <v>642</v>
      </c>
      <c r="B79" s="706" t="s">
        <v>749</v>
      </c>
      <c r="C79" s="786" t="s">
        <v>750</v>
      </c>
      <c r="D79" s="1044" t="s">
        <v>441</v>
      </c>
      <c r="E79" s="1045" t="s">
        <v>751</v>
      </c>
      <c r="F79" s="785" t="s">
        <v>752</v>
      </c>
      <c r="G79" s="785"/>
      <c r="H79" s="785" t="s">
        <v>753</v>
      </c>
      <c r="I79" s="786"/>
      <c r="J79" s="785"/>
      <c r="K79" s="785"/>
      <c r="L79" s="785"/>
      <c r="M79" s="787"/>
    </row>
    <row r="80" spans="1:13" ht="31" x14ac:dyDescent="0.35">
      <c r="A80" s="705" t="s">
        <v>642</v>
      </c>
      <c r="B80" s="706" t="s">
        <v>754</v>
      </c>
      <c r="C80" s="767" t="s">
        <v>655</v>
      </c>
      <c r="D80" s="1050" t="s">
        <v>441</v>
      </c>
      <c r="E80" s="1051" t="s">
        <v>755</v>
      </c>
      <c r="F80" s="766" t="s">
        <v>756</v>
      </c>
      <c r="G80" s="766"/>
      <c r="H80" s="766" t="s">
        <v>753</v>
      </c>
      <c r="I80" s="767"/>
      <c r="J80" s="766"/>
      <c r="K80" s="766"/>
      <c r="L80" s="766"/>
      <c r="M80" s="788"/>
    </row>
    <row r="81" spans="1:13" ht="31" x14ac:dyDescent="0.35">
      <c r="A81" s="705" t="s">
        <v>642</v>
      </c>
      <c r="B81" s="706" t="s">
        <v>757</v>
      </c>
      <c r="C81" s="726" t="s">
        <v>440</v>
      </c>
      <c r="D81" s="707" t="s">
        <v>441</v>
      </c>
      <c r="E81" s="716" t="s">
        <v>758</v>
      </c>
      <c r="F81" s="709" t="s">
        <v>759</v>
      </c>
      <c r="G81" s="709"/>
      <c r="H81" s="709" t="s">
        <v>753</v>
      </c>
      <c r="I81" s="726"/>
      <c r="J81" s="709"/>
      <c r="K81" s="709"/>
      <c r="L81" s="709"/>
      <c r="M81" s="736"/>
    </row>
    <row r="82" spans="1:13" ht="15.5" x14ac:dyDescent="0.35">
      <c r="A82" s="705" t="s">
        <v>642</v>
      </c>
      <c r="B82" s="706" t="s">
        <v>760</v>
      </c>
      <c r="C82" s="726" t="s">
        <v>440</v>
      </c>
      <c r="D82" s="707" t="s">
        <v>441</v>
      </c>
      <c r="E82" s="716" t="s">
        <v>761</v>
      </c>
      <c r="F82" s="709" t="s">
        <v>762</v>
      </c>
      <c r="G82" s="709"/>
      <c r="H82" s="709" t="s">
        <v>763</v>
      </c>
      <c r="I82" s="726"/>
      <c r="J82" s="709"/>
      <c r="K82" s="709"/>
      <c r="L82" s="709"/>
      <c r="M82" s="736"/>
    </row>
    <row r="83" spans="1:13" ht="15.5" x14ac:dyDescent="0.35">
      <c r="A83" s="705" t="s">
        <v>642</v>
      </c>
      <c r="B83" s="706" t="s">
        <v>764</v>
      </c>
      <c r="C83" s="767" t="s">
        <v>655</v>
      </c>
      <c r="D83" s="1050" t="s">
        <v>441</v>
      </c>
      <c r="E83" s="1051" t="s">
        <v>765</v>
      </c>
      <c r="F83" s="766" t="s">
        <v>766</v>
      </c>
      <c r="G83" s="766"/>
      <c r="H83" s="766" t="s">
        <v>767</v>
      </c>
      <c r="I83" s="767"/>
      <c r="J83" s="766"/>
      <c r="K83" s="766"/>
      <c r="L83" s="766" t="s">
        <v>768</v>
      </c>
      <c r="M83" s="771"/>
    </row>
    <row r="84" spans="1:13" s="234" customFormat="1" ht="31" x14ac:dyDescent="0.35">
      <c r="A84" s="705" t="s">
        <v>642</v>
      </c>
      <c r="B84" s="706" t="s">
        <v>769</v>
      </c>
      <c r="C84" s="782" t="s">
        <v>729</v>
      </c>
      <c r="D84" s="1039" t="s">
        <v>441</v>
      </c>
      <c r="E84" s="1040" t="s">
        <v>770</v>
      </c>
      <c r="F84" s="781" t="s">
        <v>771</v>
      </c>
      <c r="G84" s="781"/>
      <c r="H84" s="781" t="s">
        <v>772</v>
      </c>
      <c r="I84" s="782"/>
      <c r="J84" s="781"/>
      <c r="K84" s="781"/>
      <c r="L84" s="784" t="s">
        <v>773</v>
      </c>
      <c r="M84" s="789"/>
    </row>
    <row r="85" spans="1:13" s="234" customFormat="1" ht="31" x14ac:dyDescent="0.35">
      <c r="A85" s="705" t="s">
        <v>642</v>
      </c>
      <c r="B85" s="706" t="s">
        <v>774</v>
      </c>
      <c r="C85" s="782" t="s">
        <v>729</v>
      </c>
      <c r="D85" s="1039" t="s">
        <v>441</v>
      </c>
      <c r="E85" s="1040" t="s">
        <v>775</v>
      </c>
      <c r="F85" s="781" t="s">
        <v>776</v>
      </c>
      <c r="G85" s="781"/>
      <c r="H85" s="781" t="s">
        <v>767</v>
      </c>
      <c r="I85" s="782"/>
      <c r="J85" s="781"/>
      <c r="K85" s="781"/>
      <c r="L85" s="784" t="s">
        <v>777</v>
      </c>
      <c r="M85" s="789"/>
    </row>
    <row r="86" spans="1:13" ht="31" x14ac:dyDescent="0.35">
      <c r="A86" s="705" t="s">
        <v>642</v>
      </c>
      <c r="B86" s="706" t="s">
        <v>778</v>
      </c>
      <c r="C86" s="726" t="s">
        <v>440</v>
      </c>
      <c r="D86" s="707" t="s">
        <v>441</v>
      </c>
      <c r="E86" s="716" t="s">
        <v>779</v>
      </c>
      <c r="F86" s="709" t="s">
        <v>780</v>
      </c>
      <c r="G86" s="709"/>
      <c r="H86" s="709" t="s">
        <v>613</v>
      </c>
      <c r="I86" s="726"/>
      <c r="J86" s="709" t="s">
        <v>781</v>
      </c>
      <c r="K86" s="709"/>
      <c r="L86" s="709" t="s">
        <v>782</v>
      </c>
      <c r="M86" s="705"/>
    </row>
    <row r="87" spans="1:13" ht="31" x14ac:dyDescent="0.35">
      <c r="A87" s="705" t="s">
        <v>642</v>
      </c>
      <c r="B87" s="706" t="s">
        <v>783</v>
      </c>
      <c r="C87" s="726" t="s">
        <v>440</v>
      </c>
      <c r="D87" s="707" t="s">
        <v>441</v>
      </c>
      <c r="E87" s="716" t="s">
        <v>784</v>
      </c>
      <c r="F87" s="709" t="s">
        <v>785</v>
      </c>
      <c r="G87" s="709"/>
      <c r="H87" s="709" t="s">
        <v>786</v>
      </c>
      <c r="I87" s="726"/>
      <c r="J87" s="709"/>
      <c r="K87" s="709"/>
      <c r="L87" s="709" t="s">
        <v>787</v>
      </c>
      <c r="M87" s="705"/>
    </row>
    <row r="88" spans="1:13" ht="31" x14ac:dyDescent="0.35">
      <c r="A88" s="705" t="s">
        <v>642</v>
      </c>
      <c r="B88" s="706" t="s">
        <v>788</v>
      </c>
      <c r="C88" s="760" t="s">
        <v>440</v>
      </c>
      <c r="D88" s="707" t="s">
        <v>441</v>
      </c>
      <c r="E88" s="716" t="s">
        <v>789</v>
      </c>
      <c r="F88" s="709" t="s">
        <v>790</v>
      </c>
      <c r="G88" s="709"/>
      <c r="H88" s="709" t="s">
        <v>791</v>
      </c>
      <c r="I88" s="726"/>
      <c r="J88" s="709"/>
      <c r="K88" s="709"/>
      <c r="L88" s="352"/>
      <c r="M88" s="705"/>
    </row>
    <row r="89" spans="1:13" ht="15.5" x14ac:dyDescent="0.35">
      <c r="A89" s="705" t="s">
        <v>642</v>
      </c>
      <c r="B89" s="706" t="s">
        <v>792</v>
      </c>
      <c r="C89" s="1046" t="s">
        <v>750</v>
      </c>
      <c r="D89" s="1044" t="s">
        <v>441</v>
      </c>
      <c r="E89" s="1045" t="s">
        <v>793</v>
      </c>
      <c r="F89" s="785" t="s">
        <v>794</v>
      </c>
      <c r="G89" s="785"/>
      <c r="H89" s="785" t="s">
        <v>663</v>
      </c>
      <c r="I89" s="256"/>
      <c r="J89" s="242"/>
      <c r="K89" s="242"/>
      <c r="L89" s="243"/>
      <c r="M89" s="790"/>
    </row>
    <row r="90" spans="1:13" ht="15.5" x14ac:dyDescent="0.35">
      <c r="A90" s="705" t="s">
        <v>642</v>
      </c>
      <c r="B90" s="706" t="s">
        <v>795</v>
      </c>
      <c r="C90" s="705" t="s">
        <v>440</v>
      </c>
      <c r="D90" s="707" t="s">
        <v>441</v>
      </c>
      <c r="E90" s="716" t="s">
        <v>796</v>
      </c>
      <c r="F90" s="709" t="s">
        <v>797</v>
      </c>
      <c r="G90" s="709"/>
      <c r="H90" s="709" t="s">
        <v>798</v>
      </c>
      <c r="I90" s="726"/>
      <c r="J90" s="709"/>
      <c r="K90" s="709"/>
      <c r="L90" s="737"/>
      <c r="M90" s="705"/>
    </row>
    <row r="91" spans="1:13" ht="15.5" x14ac:dyDescent="0.35">
      <c r="A91" s="701" t="s">
        <v>799</v>
      </c>
      <c r="B91" s="702"/>
      <c r="C91" s="703" t="str">
        <f>TEXT($C$2-(RIGHT(A91,1)*7),"mmm-dd-yyyy") &amp; " To " &amp; TEXT($C$2-(RIGHT(A91,1)*7)+6,"mmm-dd-yyyy")</f>
        <v>Jun-27-2023 To Jul-03-2023</v>
      </c>
      <c r="D91" s="701"/>
      <c r="E91" s="704"/>
      <c r="F91" s="701"/>
      <c r="G91" s="701"/>
      <c r="H91" s="701"/>
      <c r="I91" s="701"/>
      <c r="J91" s="701"/>
      <c r="K91" s="701"/>
      <c r="L91" s="701"/>
      <c r="M91" s="701"/>
    </row>
    <row r="92" spans="1:13" ht="31" x14ac:dyDescent="0.35">
      <c r="A92" s="705" t="s">
        <v>799</v>
      </c>
      <c r="B92" s="706" t="s">
        <v>800</v>
      </c>
      <c r="C92" s="724" t="s">
        <v>440</v>
      </c>
      <c r="D92" s="707" t="s">
        <v>441</v>
      </c>
      <c r="E92" s="1055" t="s">
        <v>801</v>
      </c>
      <c r="F92" s="1056" t="s">
        <v>802</v>
      </c>
      <c r="G92" s="709"/>
      <c r="H92" s="709" t="s">
        <v>803</v>
      </c>
      <c r="I92" s="726"/>
      <c r="J92" s="709"/>
      <c r="K92" s="709"/>
      <c r="L92" s="737" t="s">
        <v>804</v>
      </c>
      <c r="M92" s="736"/>
    </row>
    <row r="93" spans="1:13" ht="31" x14ac:dyDescent="0.35">
      <c r="A93" s="705" t="s">
        <v>799</v>
      </c>
      <c r="B93" s="739" t="s">
        <v>805</v>
      </c>
      <c r="C93" s="724" t="s">
        <v>440</v>
      </c>
      <c r="D93" s="707" t="s">
        <v>441</v>
      </c>
      <c r="E93" s="1055" t="s">
        <v>806</v>
      </c>
      <c r="F93" s="1056" t="s">
        <v>807</v>
      </c>
      <c r="G93" s="709"/>
      <c r="H93" s="709" t="s">
        <v>803</v>
      </c>
      <c r="I93" s="726"/>
      <c r="J93" s="709"/>
      <c r="K93" s="709"/>
      <c r="L93" s="737" t="s">
        <v>804</v>
      </c>
      <c r="M93" s="736"/>
    </row>
    <row r="94" spans="1:13" ht="31" x14ac:dyDescent="0.35">
      <c r="A94" s="705" t="s">
        <v>799</v>
      </c>
      <c r="B94" s="706" t="s">
        <v>808</v>
      </c>
      <c r="C94" s="724" t="s">
        <v>440</v>
      </c>
      <c r="D94" s="707" t="s">
        <v>441</v>
      </c>
      <c r="E94" s="708" t="s">
        <v>809</v>
      </c>
      <c r="F94" s="709" t="s">
        <v>810</v>
      </c>
      <c r="G94" s="791"/>
      <c r="H94" s="709" t="s">
        <v>803</v>
      </c>
      <c r="I94" s="726"/>
      <c r="J94" s="709"/>
      <c r="K94" s="271" t="s">
        <v>811</v>
      </c>
      <c r="L94" s="737" t="s">
        <v>812</v>
      </c>
      <c r="M94" s="736"/>
    </row>
    <row r="95" spans="1:13" ht="17.5" x14ac:dyDescent="0.35">
      <c r="A95" s="705" t="s">
        <v>799</v>
      </c>
      <c r="B95" s="706" t="s">
        <v>813</v>
      </c>
      <c r="C95" s="705" t="s">
        <v>440</v>
      </c>
      <c r="D95" s="707" t="s">
        <v>441</v>
      </c>
      <c r="E95" s="708" t="s">
        <v>814</v>
      </c>
      <c r="F95" s="709" t="s">
        <v>815</v>
      </c>
      <c r="G95" s="709"/>
      <c r="H95" s="709" t="s">
        <v>816</v>
      </c>
      <c r="I95" s="792"/>
      <c r="J95" s="712"/>
      <c r="K95" s="712"/>
      <c r="L95" s="352"/>
      <c r="M95" s="705"/>
    </row>
    <row r="96" spans="1:13" ht="31" x14ac:dyDescent="0.35">
      <c r="A96" s="705" t="s">
        <v>799</v>
      </c>
      <c r="B96" s="706" t="s">
        <v>817</v>
      </c>
      <c r="C96" s="705" t="s">
        <v>440</v>
      </c>
      <c r="D96" s="707" t="s">
        <v>441</v>
      </c>
      <c r="E96" s="708" t="s">
        <v>818</v>
      </c>
      <c r="F96" s="709" t="s">
        <v>818</v>
      </c>
      <c r="G96" s="709"/>
      <c r="H96" s="709"/>
      <c r="I96" s="726"/>
      <c r="J96" s="712"/>
      <c r="K96" s="712"/>
      <c r="L96" s="352"/>
      <c r="M96" s="705"/>
    </row>
    <row r="97" spans="1:13" ht="15.5" x14ac:dyDescent="0.35">
      <c r="A97" s="705" t="s">
        <v>799</v>
      </c>
      <c r="B97" s="739" t="s">
        <v>819</v>
      </c>
      <c r="C97" s="705" t="s">
        <v>440</v>
      </c>
      <c r="D97" s="707" t="s">
        <v>441</v>
      </c>
      <c r="E97" s="708" t="s">
        <v>820</v>
      </c>
      <c r="F97" s="709" t="s">
        <v>821</v>
      </c>
      <c r="G97" s="709"/>
      <c r="H97" s="709"/>
      <c r="I97" s="726"/>
      <c r="J97" s="712"/>
      <c r="K97" s="712"/>
      <c r="L97" s="352"/>
      <c r="M97" s="705"/>
    </row>
    <row r="98" spans="1:13" s="238" customFormat="1" ht="207.75" customHeight="1" x14ac:dyDescent="0.35">
      <c r="A98" s="740" t="s">
        <v>799</v>
      </c>
      <c r="B98" s="706" t="s">
        <v>822</v>
      </c>
      <c r="C98" s="740" t="s">
        <v>440</v>
      </c>
      <c r="D98" s="741" t="s">
        <v>441</v>
      </c>
      <c r="E98" s="708" t="s">
        <v>823</v>
      </c>
      <c r="F98" s="746" t="s">
        <v>824</v>
      </c>
      <c r="G98" s="746"/>
      <c r="H98" s="746" t="s">
        <v>825</v>
      </c>
      <c r="I98" s="738"/>
      <c r="J98" s="746" t="s">
        <v>826</v>
      </c>
      <c r="K98" s="745" t="s">
        <v>827</v>
      </c>
      <c r="L98" s="746" t="s">
        <v>828</v>
      </c>
      <c r="M98" s="740"/>
    </row>
    <row r="99" spans="1:13" s="238" customFormat="1" ht="217" x14ac:dyDescent="0.35">
      <c r="A99" s="740" t="s">
        <v>799</v>
      </c>
      <c r="B99" s="706" t="s">
        <v>829</v>
      </c>
      <c r="C99" s="740" t="s">
        <v>440</v>
      </c>
      <c r="D99" s="741" t="s">
        <v>441</v>
      </c>
      <c r="E99" s="708" t="s">
        <v>830</v>
      </c>
      <c r="F99" s="746" t="s">
        <v>831</v>
      </c>
      <c r="G99" s="746"/>
      <c r="H99" s="746" t="s">
        <v>445</v>
      </c>
      <c r="I99" s="738"/>
      <c r="J99" s="746" t="s">
        <v>832</v>
      </c>
      <c r="K99" s="745" t="s">
        <v>833</v>
      </c>
      <c r="L99" s="746" t="s">
        <v>834</v>
      </c>
      <c r="M99" s="740"/>
    </row>
    <row r="100" spans="1:13" ht="31" x14ac:dyDescent="0.35">
      <c r="A100" s="705" t="s">
        <v>799</v>
      </c>
      <c r="B100" s="706" t="s">
        <v>835</v>
      </c>
      <c r="C100" s="724" t="s">
        <v>440</v>
      </c>
      <c r="D100" s="707" t="s">
        <v>441</v>
      </c>
      <c r="E100" s="716" t="s">
        <v>836</v>
      </c>
      <c r="F100" s="709" t="s">
        <v>837</v>
      </c>
      <c r="G100" s="709"/>
      <c r="H100" s="709" t="s">
        <v>503</v>
      </c>
      <c r="I100" s="726"/>
      <c r="J100" s="709"/>
      <c r="K100" s="709"/>
      <c r="L100" s="793"/>
      <c r="M100" s="736"/>
    </row>
    <row r="101" spans="1:13" ht="46.5" x14ac:dyDescent="0.35">
      <c r="A101" s="705" t="s">
        <v>799</v>
      </c>
      <c r="B101" s="706" t="s">
        <v>838</v>
      </c>
      <c r="C101" s="705" t="s">
        <v>440</v>
      </c>
      <c r="D101" s="707" t="s">
        <v>441</v>
      </c>
      <c r="E101" s="716" t="s">
        <v>839</v>
      </c>
      <c r="F101" s="709" t="s">
        <v>840</v>
      </c>
      <c r="G101" s="709"/>
      <c r="H101" s="709" t="s">
        <v>841</v>
      </c>
      <c r="I101" s="726"/>
      <c r="J101" s="709"/>
      <c r="K101" s="709"/>
      <c r="L101" s="709" t="s">
        <v>842</v>
      </c>
      <c r="M101" s="712"/>
    </row>
    <row r="102" spans="1:13" s="238" customFormat="1" ht="46.5" x14ac:dyDescent="0.35">
      <c r="A102" s="740" t="s">
        <v>799</v>
      </c>
      <c r="B102" s="706" t="s">
        <v>843</v>
      </c>
      <c r="C102" s="795" t="s">
        <v>750</v>
      </c>
      <c r="D102" s="1047" t="s">
        <v>441</v>
      </c>
      <c r="E102" s="1048" t="s">
        <v>844</v>
      </c>
      <c r="F102" s="794" t="s">
        <v>845</v>
      </c>
      <c r="G102" s="794"/>
      <c r="H102" s="794" t="s">
        <v>663</v>
      </c>
      <c r="I102" s="795"/>
      <c r="J102" s="794"/>
      <c r="K102" s="745" t="s">
        <v>846</v>
      </c>
      <c r="L102" s="796"/>
      <c r="M102" s="797"/>
    </row>
    <row r="103" spans="1:13" ht="62" x14ac:dyDescent="0.35">
      <c r="A103" s="705" t="s">
        <v>799</v>
      </c>
      <c r="B103" s="706" t="s">
        <v>847</v>
      </c>
      <c r="C103" s="782" t="s">
        <v>729</v>
      </c>
      <c r="D103" s="1039" t="s">
        <v>441</v>
      </c>
      <c r="E103" s="1040" t="s">
        <v>848</v>
      </c>
      <c r="F103" s="781" t="s">
        <v>849</v>
      </c>
      <c r="G103" s="781"/>
      <c r="H103" s="781" t="s">
        <v>663</v>
      </c>
      <c r="I103" s="782"/>
      <c r="J103" s="781"/>
      <c r="K103" s="781"/>
      <c r="L103" s="784" t="s">
        <v>850</v>
      </c>
      <c r="M103" s="798"/>
    </row>
    <row r="104" spans="1:13" ht="46.5" x14ac:dyDescent="0.35">
      <c r="A104" s="705" t="s">
        <v>799</v>
      </c>
      <c r="B104" s="706" t="s">
        <v>851</v>
      </c>
      <c r="C104" s="782" t="s">
        <v>729</v>
      </c>
      <c r="D104" s="1039" t="s">
        <v>441</v>
      </c>
      <c r="E104" s="1040" t="s">
        <v>852</v>
      </c>
      <c r="F104" s="781" t="s">
        <v>853</v>
      </c>
      <c r="G104" s="781"/>
      <c r="H104" s="781" t="s">
        <v>663</v>
      </c>
      <c r="I104" s="782"/>
      <c r="J104" s="781"/>
      <c r="K104" s="781"/>
      <c r="L104" s="784" t="s">
        <v>854</v>
      </c>
      <c r="M104" s="781"/>
    </row>
    <row r="105" spans="1:13" ht="31" x14ac:dyDescent="0.35">
      <c r="A105" s="705" t="s">
        <v>799</v>
      </c>
      <c r="B105" s="706" t="s">
        <v>855</v>
      </c>
      <c r="C105" s="705" t="s">
        <v>440</v>
      </c>
      <c r="D105" s="707" t="s">
        <v>441</v>
      </c>
      <c r="E105" s="716" t="s">
        <v>856</v>
      </c>
      <c r="F105" s="709" t="s">
        <v>857</v>
      </c>
      <c r="G105" s="709"/>
      <c r="H105" s="709" t="s">
        <v>445</v>
      </c>
      <c r="I105" s="726"/>
      <c r="J105" s="709"/>
      <c r="K105" s="709"/>
      <c r="L105" s="761" t="s">
        <v>858</v>
      </c>
      <c r="M105" s="705"/>
    </row>
    <row r="106" spans="1:13" ht="31" x14ac:dyDescent="0.35">
      <c r="A106" s="705" t="s">
        <v>799</v>
      </c>
      <c r="B106" s="706" t="s">
        <v>859</v>
      </c>
      <c r="C106" s="705" t="s">
        <v>440</v>
      </c>
      <c r="D106" s="707" t="s">
        <v>441</v>
      </c>
      <c r="E106" s="716" t="s">
        <v>860</v>
      </c>
      <c r="F106" s="709" t="s">
        <v>861</v>
      </c>
      <c r="G106" s="709"/>
      <c r="H106" s="709" t="s">
        <v>445</v>
      </c>
      <c r="I106" s="726"/>
      <c r="J106" s="709"/>
      <c r="K106" s="709"/>
      <c r="L106" s="761" t="s">
        <v>858</v>
      </c>
      <c r="M106" s="705"/>
    </row>
    <row r="107" spans="1:13" s="244" customFormat="1" ht="124" x14ac:dyDescent="0.35">
      <c r="A107" s="762" t="s">
        <v>799</v>
      </c>
      <c r="B107" s="706" t="s">
        <v>862</v>
      </c>
      <c r="C107" s="774" t="s">
        <v>467</v>
      </c>
      <c r="D107" s="747" t="s">
        <v>441</v>
      </c>
      <c r="E107" s="1033" t="s">
        <v>863</v>
      </c>
      <c r="F107" s="720" t="s">
        <v>864</v>
      </c>
      <c r="G107" s="720"/>
      <c r="H107" s="720" t="s">
        <v>825</v>
      </c>
      <c r="I107" s="719"/>
      <c r="J107" s="720" t="s">
        <v>865</v>
      </c>
      <c r="K107" s="720"/>
      <c r="L107" s="720" t="s">
        <v>866</v>
      </c>
      <c r="M107" s="774"/>
    </row>
    <row r="108" spans="1:13" s="244" customFormat="1" ht="31" x14ac:dyDescent="0.35">
      <c r="A108" s="762" t="s">
        <v>799</v>
      </c>
      <c r="B108" s="706" t="s">
        <v>867</v>
      </c>
      <c r="C108" s="1035" t="s">
        <v>467</v>
      </c>
      <c r="D108" s="747" t="s">
        <v>441</v>
      </c>
      <c r="E108" s="1033" t="s">
        <v>868</v>
      </c>
      <c r="F108" s="720" t="s">
        <v>869</v>
      </c>
      <c r="G108" s="720"/>
      <c r="H108" s="720" t="s">
        <v>870</v>
      </c>
      <c r="I108" s="719"/>
      <c r="J108" s="720"/>
      <c r="K108" s="720"/>
      <c r="L108" s="720" t="s">
        <v>871</v>
      </c>
      <c r="M108" s="774"/>
    </row>
    <row r="109" spans="1:13" s="244" customFormat="1" ht="31" x14ac:dyDescent="0.35">
      <c r="A109" s="762" t="s">
        <v>799</v>
      </c>
      <c r="B109" s="706" t="s">
        <v>872</v>
      </c>
      <c r="C109" s="1035" t="s">
        <v>467</v>
      </c>
      <c r="D109" s="747" t="s">
        <v>441</v>
      </c>
      <c r="E109" s="1033" t="s">
        <v>873</v>
      </c>
      <c r="F109" s="720" t="s">
        <v>874</v>
      </c>
      <c r="G109" s="720"/>
      <c r="H109" s="720" t="s">
        <v>875</v>
      </c>
      <c r="I109" s="719"/>
      <c r="J109" s="720"/>
      <c r="K109" s="720"/>
      <c r="L109" s="720" t="s">
        <v>871</v>
      </c>
      <c r="M109" s="774"/>
    </row>
    <row r="110" spans="1:13" s="244" customFormat="1" ht="62" x14ac:dyDescent="0.35">
      <c r="A110" s="762" t="s">
        <v>799</v>
      </c>
      <c r="B110" s="706" t="s">
        <v>876</v>
      </c>
      <c r="C110" s="1035" t="s">
        <v>467</v>
      </c>
      <c r="D110" s="747" t="s">
        <v>441</v>
      </c>
      <c r="E110" s="1033" t="s">
        <v>877</v>
      </c>
      <c r="F110" s="720" t="s">
        <v>878</v>
      </c>
      <c r="G110" s="720"/>
      <c r="H110" s="720" t="s">
        <v>879</v>
      </c>
      <c r="I110" s="719"/>
      <c r="J110" s="720"/>
      <c r="K110" s="720"/>
      <c r="L110" s="720" t="s">
        <v>880</v>
      </c>
      <c r="M110" s="774"/>
    </row>
    <row r="111" spans="1:13" ht="15.5" x14ac:dyDescent="0.35">
      <c r="A111" s="705" t="s">
        <v>799</v>
      </c>
      <c r="B111" s="706" t="s">
        <v>881</v>
      </c>
      <c r="C111" s="705" t="s">
        <v>440</v>
      </c>
      <c r="D111" s="707" t="s">
        <v>441</v>
      </c>
      <c r="E111" s="716" t="s">
        <v>882</v>
      </c>
      <c r="F111" s="709" t="s">
        <v>883</v>
      </c>
      <c r="G111" s="709"/>
      <c r="H111" s="709" t="s">
        <v>445</v>
      </c>
      <c r="I111" s="726"/>
      <c r="J111" s="709"/>
      <c r="K111" s="709"/>
      <c r="L111" s="709" t="s">
        <v>884</v>
      </c>
      <c r="M111" s="705"/>
    </row>
    <row r="112" spans="1:13" ht="15.5" x14ac:dyDescent="0.35">
      <c r="A112" s="705" t="s">
        <v>799</v>
      </c>
      <c r="B112" s="706" t="s">
        <v>885</v>
      </c>
      <c r="C112" s="705" t="s">
        <v>440</v>
      </c>
      <c r="D112" s="707" t="s">
        <v>441</v>
      </c>
      <c r="E112" s="716" t="s">
        <v>886</v>
      </c>
      <c r="F112" s="709" t="s">
        <v>887</v>
      </c>
      <c r="G112" s="709"/>
      <c r="H112" s="709" t="s">
        <v>445</v>
      </c>
      <c r="I112" s="726"/>
      <c r="J112" s="709"/>
      <c r="K112" s="709"/>
      <c r="L112" s="709" t="s">
        <v>888</v>
      </c>
      <c r="M112" s="705"/>
    </row>
    <row r="113" spans="1:13" ht="62" x14ac:dyDescent="0.35">
      <c r="A113" s="705" t="s">
        <v>799</v>
      </c>
      <c r="B113" s="706" t="s">
        <v>889</v>
      </c>
      <c r="C113" s="724" t="s">
        <v>440</v>
      </c>
      <c r="D113" s="707" t="s">
        <v>441</v>
      </c>
      <c r="E113" s="716" t="s">
        <v>890</v>
      </c>
      <c r="F113" s="709" t="s">
        <v>891</v>
      </c>
      <c r="G113" s="709"/>
      <c r="H113" s="709" t="s">
        <v>892</v>
      </c>
      <c r="I113" s="726"/>
      <c r="J113" s="709"/>
      <c r="K113" s="799" t="s">
        <v>893</v>
      </c>
      <c r="L113" s="793"/>
      <c r="M113" s="736"/>
    </row>
    <row r="114" spans="1:13" s="238" customFormat="1" ht="31" x14ac:dyDescent="0.35">
      <c r="A114" s="738" t="s">
        <v>799</v>
      </c>
      <c r="B114" s="706" t="s">
        <v>894</v>
      </c>
      <c r="C114" s="738" t="s">
        <v>440</v>
      </c>
      <c r="D114" s="741" t="s">
        <v>441</v>
      </c>
      <c r="E114" s="742" t="s">
        <v>895</v>
      </c>
      <c r="F114" s="746" t="s">
        <v>896</v>
      </c>
      <c r="G114" s="746"/>
      <c r="H114" s="746" t="s">
        <v>798</v>
      </c>
      <c r="I114" s="738"/>
      <c r="J114" s="746"/>
      <c r="K114" s="271" t="s">
        <v>897</v>
      </c>
      <c r="L114" s="746" t="s">
        <v>898</v>
      </c>
      <c r="M114" s="740"/>
    </row>
    <row r="115" spans="1:13" ht="46.5" x14ac:dyDescent="0.35">
      <c r="A115" s="705" t="s">
        <v>799</v>
      </c>
      <c r="B115" s="706" t="s">
        <v>899</v>
      </c>
      <c r="C115" s="724" t="s">
        <v>440</v>
      </c>
      <c r="D115" s="707" t="s">
        <v>441</v>
      </c>
      <c r="E115" s="716" t="s">
        <v>900</v>
      </c>
      <c r="F115" s="709" t="s">
        <v>901</v>
      </c>
      <c r="G115" s="709"/>
      <c r="H115" s="709" t="s">
        <v>445</v>
      </c>
      <c r="I115" s="726"/>
      <c r="J115" s="709"/>
      <c r="K115" s="709"/>
      <c r="L115" s="737"/>
      <c r="M115" s="736"/>
    </row>
    <row r="116" spans="1:13" s="232" customFormat="1" ht="54.75" customHeight="1" x14ac:dyDescent="0.35">
      <c r="A116" s="705" t="s">
        <v>902</v>
      </c>
      <c r="B116" s="706" t="s">
        <v>903</v>
      </c>
      <c r="C116" s="724" t="s">
        <v>440</v>
      </c>
      <c r="D116" s="725" t="s">
        <v>441</v>
      </c>
      <c r="E116" s="716" t="s">
        <v>904</v>
      </c>
      <c r="F116" s="800" t="s">
        <v>905</v>
      </c>
      <c r="G116" s="709"/>
      <c r="H116" s="709" t="s">
        <v>445</v>
      </c>
      <c r="I116" s="726"/>
      <c r="J116" s="709" t="s">
        <v>906</v>
      </c>
      <c r="K116" s="709"/>
      <c r="L116" s="709"/>
      <c r="M116" s="724"/>
    </row>
    <row r="117" spans="1:13" ht="15.5" x14ac:dyDescent="0.35">
      <c r="A117" s="701" t="s">
        <v>907</v>
      </c>
      <c r="B117" s="702"/>
      <c r="C117" s="703" t="str">
        <f>TEXT($C$2-(RIGHT(A117,1)*7),"mmm-dd-yyyy") &amp; " To " &amp; TEXT($C$2-(RIGHT(A117,1)*7)+6,"mmm-dd-yyyy")</f>
        <v>Jul-04-2023 To Jul-10-2023</v>
      </c>
      <c r="D117" s="701"/>
      <c r="E117" s="704"/>
      <c r="F117" s="701"/>
      <c r="G117" s="701"/>
      <c r="H117" s="701"/>
      <c r="I117" s="701"/>
      <c r="J117" s="701"/>
      <c r="K117" s="701"/>
      <c r="L117" s="701"/>
      <c r="M117" s="701"/>
    </row>
    <row r="118" spans="1:13" ht="77.5" x14ac:dyDescent="0.35">
      <c r="A118" s="726" t="s">
        <v>907</v>
      </c>
      <c r="B118" s="801" t="s">
        <v>908</v>
      </c>
      <c r="C118" s="705" t="s">
        <v>440</v>
      </c>
      <c r="D118" s="707" t="s">
        <v>441</v>
      </c>
      <c r="E118" s="708" t="s">
        <v>909</v>
      </c>
      <c r="F118" s="709" t="s">
        <v>910</v>
      </c>
      <c r="G118" s="709"/>
      <c r="H118" s="709" t="s">
        <v>445</v>
      </c>
      <c r="I118" s="726"/>
      <c r="J118" s="712"/>
      <c r="K118" s="732" t="s">
        <v>494</v>
      </c>
      <c r="L118" s="352"/>
      <c r="M118" s="712"/>
    </row>
    <row r="119" spans="1:13" s="244" customFormat="1" ht="15.5" x14ac:dyDescent="0.35">
      <c r="A119" s="726" t="s">
        <v>907</v>
      </c>
      <c r="B119" s="802" t="s">
        <v>911</v>
      </c>
      <c r="C119" s="1035" t="s">
        <v>467</v>
      </c>
      <c r="D119" s="747" t="s">
        <v>441</v>
      </c>
      <c r="E119" s="1034" t="s">
        <v>912</v>
      </c>
      <c r="F119" s="720" t="s">
        <v>913</v>
      </c>
      <c r="G119" s="720"/>
      <c r="H119" s="720" t="s">
        <v>879</v>
      </c>
      <c r="I119" s="719"/>
      <c r="J119" s="720"/>
      <c r="K119" s="271" t="s">
        <v>579</v>
      </c>
      <c r="L119" s="720"/>
      <c r="M119" s="774"/>
    </row>
    <row r="120" spans="1:13" ht="31" x14ac:dyDescent="0.35">
      <c r="A120" s="726" t="s">
        <v>907</v>
      </c>
      <c r="B120" s="801" t="s">
        <v>914</v>
      </c>
      <c r="C120" s="705" t="s">
        <v>440</v>
      </c>
      <c r="D120" s="707" t="s">
        <v>441</v>
      </c>
      <c r="E120" s="708" t="s">
        <v>915</v>
      </c>
      <c r="F120" s="709" t="s">
        <v>916</v>
      </c>
      <c r="G120" s="709"/>
      <c r="H120" s="709" t="s">
        <v>445</v>
      </c>
      <c r="I120" s="726"/>
      <c r="J120" s="709"/>
      <c r="K120" s="709"/>
      <c r="L120" s="709" t="s">
        <v>917</v>
      </c>
      <c r="M120" s="705"/>
    </row>
    <row r="121" spans="1:13" ht="46.5" x14ac:dyDescent="0.35">
      <c r="A121" s="726" t="s">
        <v>907</v>
      </c>
      <c r="B121" s="801" t="s">
        <v>918</v>
      </c>
      <c r="C121" s="705" t="s">
        <v>440</v>
      </c>
      <c r="D121" s="707" t="s">
        <v>441</v>
      </c>
      <c r="E121" s="708" t="s">
        <v>919</v>
      </c>
      <c r="F121" s="709" t="s">
        <v>920</v>
      </c>
      <c r="G121" s="709"/>
      <c r="H121" s="709" t="s">
        <v>445</v>
      </c>
      <c r="I121" s="726"/>
      <c r="J121" s="709"/>
      <c r="K121" s="709"/>
      <c r="L121" s="710" t="s">
        <v>921</v>
      </c>
      <c r="M121" s="705"/>
    </row>
    <row r="122" spans="1:13" s="244" customFormat="1" ht="139.5" x14ac:dyDescent="0.35">
      <c r="A122" s="763" t="s">
        <v>907</v>
      </c>
      <c r="B122" s="802" t="s">
        <v>922</v>
      </c>
      <c r="C122" s="719" t="s">
        <v>467</v>
      </c>
      <c r="D122" s="747" t="s">
        <v>441</v>
      </c>
      <c r="E122" s="1034" t="s">
        <v>923</v>
      </c>
      <c r="F122" s="720" t="s">
        <v>924</v>
      </c>
      <c r="G122" s="720"/>
      <c r="H122" s="720" t="s">
        <v>925</v>
      </c>
      <c r="I122" s="719"/>
      <c r="J122" s="720"/>
      <c r="K122" s="720"/>
      <c r="L122" s="720" t="s">
        <v>871</v>
      </c>
      <c r="M122" s="774"/>
    </row>
    <row r="123" spans="1:13" s="244" customFormat="1" ht="108.5" x14ac:dyDescent="0.35">
      <c r="A123" s="763" t="s">
        <v>907</v>
      </c>
      <c r="B123" s="801" t="s">
        <v>926</v>
      </c>
      <c r="C123" s="719" t="s">
        <v>467</v>
      </c>
      <c r="D123" s="747" t="s">
        <v>441</v>
      </c>
      <c r="E123" s="1034" t="s">
        <v>927</v>
      </c>
      <c r="F123" s="720" t="s">
        <v>928</v>
      </c>
      <c r="G123" s="720"/>
      <c r="H123" s="720" t="s">
        <v>925</v>
      </c>
      <c r="I123" s="719"/>
      <c r="J123" s="720"/>
      <c r="K123" s="720"/>
      <c r="L123" s="720" t="s">
        <v>871</v>
      </c>
      <c r="M123" s="774"/>
    </row>
    <row r="124" spans="1:13" ht="31" x14ac:dyDescent="0.35">
      <c r="A124" s="726" t="s">
        <v>907</v>
      </c>
      <c r="B124" s="801" t="s">
        <v>929</v>
      </c>
      <c r="C124" s="705" t="s">
        <v>440</v>
      </c>
      <c r="D124" s="707" t="s">
        <v>441</v>
      </c>
      <c r="E124" s="716" t="s">
        <v>930</v>
      </c>
      <c r="F124" s="709" t="s">
        <v>931</v>
      </c>
      <c r="G124" s="709"/>
      <c r="H124" s="709" t="s">
        <v>932</v>
      </c>
      <c r="I124" s="726"/>
      <c r="J124" s="709"/>
      <c r="K124" s="709"/>
      <c r="L124" s="352"/>
      <c r="M124" s="712"/>
    </row>
    <row r="125" spans="1:13" ht="31" x14ac:dyDescent="0.35">
      <c r="A125" s="726" t="s">
        <v>907</v>
      </c>
      <c r="B125" s="802" t="s">
        <v>933</v>
      </c>
      <c r="C125" s="705" t="s">
        <v>440</v>
      </c>
      <c r="D125" s="707" t="s">
        <v>441</v>
      </c>
      <c r="E125" s="716" t="s">
        <v>934</v>
      </c>
      <c r="F125" s="709" t="s">
        <v>935</v>
      </c>
      <c r="G125" s="709"/>
      <c r="H125" s="709" t="s">
        <v>445</v>
      </c>
      <c r="I125" s="726"/>
      <c r="J125" s="709"/>
      <c r="K125" s="709"/>
      <c r="L125" s="352" t="s">
        <v>564</v>
      </c>
      <c r="M125" s="712"/>
    </row>
    <row r="126" spans="1:13" ht="31" x14ac:dyDescent="0.35">
      <c r="A126" s="726" t="s">
        <v>907</v>
      </c>
      <c r="B126" s="801" t="s">
        <v>936</v>
      </c>
      <c r="C126" s="705" t="s">
        <v>440</v>
      </c>
      <c r="D126" s="707" t="s">
        <v>441</v>
      </c>
      <c r="E126" s="716" t="s">
        <v>937</v>
      </c>
      <c r="F126" s="709" t="s">
        <v>938</v>
      </c>
      <c r="G126" s="709"/>
      <c r="H126" s="709" t="s">
        <v>613</v>
      </c>
      <c r="I126" s="726"/>
      <c r="J126" s="709" t="s">
        <v>614</v>
      </c>
      <c r="K126" s="709"/>
      <c r="L126" s="352"/>
      <c r="M126" s="705"/>
    </row>
    <row r="127" spans="1:13" s="244" customFormat="1" ht="62" x14ac:dyDescent="0.35">
      <c r="A127" s="763" t="s">
        <v>907</v>
      </c>
      <c r="B127" s="801" t="s">
        <v>939</v>
      </c>
      <c r="C127" s="1036" t="s">
        <v>467</v>
      </c>
      <c r="D127" s="1037" t="s">
        <v>441</v>
      </c>
      <c r="E127" s="1038" t="s">
        <v>940</v>
      </c>
      <c r="F127" s="803" t="s">
        <v>941</v>
      </c>
      <c r="G127" s="803"/>
      <c r="H127" s="720" t="s">
        <v>925</v>
      </c>
      <c r="I127" s="719"/>
      <c r="J127" s="803"/>
      <c r="K127" s="803"/>
      <c r="L127" s="803" t="s">
        <v>942</v>
      </c>
      <c r="M127" s="774"/>
    </row>
    <row r="128" spans="1:13" s="244" customFormat="1" ht="62" x14ac:dyDescent="0.35">
      <c r="A128" s="763" t="s">
        <v>907</v>
      </c>
      <c r="B128" s="802" t="s">
        <v>943</v>
      </c>
      <c r="C128" s="719" t="s">
        <v>467</v>
      </c>
      <c r="D128" s="747" t="s">
        <v>441</v>
      </c>
      <c r="E128" s="1033" t="s">
        <v>944</v>
      </c>
      <c r="F128" s="720" t="s">
        <v>945</v>
      </c>
      <c r="G128" s="720"/>
      <c r="H128" s="720" t="s">
        <v>925</v>
      </c>
      <c r="I128" s="719"/>
      <c r="J128" s="720"/>
      <c r="K128" s="720"/>
      <c r="L128" s="720" t="s">
        <v>871</v>
      </c>
      <c r="M128" s="774"/>
    </row>
    <row r="129" spans="1:13" s="232" customFormat="1" ht="31" x14ac:dyDescent="0.35">
      <c r="A129" s="726" t="s">
        <v>907</v>
      </c>
      <c r="B129" s="801" t="s">
        <v>946</v>
      </c>
      <c r="C129" s="724" t="s">
        <v>440</v>
      </c>
      <c r="D129" s="725" t="s">
        <v>441</v>
      </c>
      <c r="E129" s="716" t="s">
        <v>947</v>
      </c>
      <c r="F129" s="709" t="s">
        <v>948</v>
      </c>
      <c r="G129" s="709"/>
      <c r="H129" s="709" t="s">
        <v>445</v>
      </c>
      <c r="I129" s="726"/>
      <c r="J129" s="709"/>
      <c r="K129" s="709"/>
      <c r="L129" s="709" t="s">
        <v>949</v>
      </c>
      <c r="M129" s="724"/>
    </row>
    <row r="130" spans="1:13" ht="15.5" x14ac:dyDescent="0.35">
      <c r="A130" s="701" t="s">
        <v>950</v>
      </c>
      <c r="B130" s="702"/>
      <c r="C130" s="703" t="str">
        <f>TEXT($C$2-(RIGHT(A130,1)*7),"mmm-dd-yyyy") &amp; " To " &amp; TEXT($C$2-(RIGHT(A130,1)*7)+6,"mmm-dd-yyyy")</f>
        <v>Jul-11-2023 To Jul-17-2023</v>
      </c>
      <c r="D130" s="701"/>
      <c r="E130" s="704"/>
      <c r="F130" s="701"/>
      <c r="G130" s="701"/>
      <c r="H130" s="701"/>
      <c r="I130" s="701"/>
      <c r="J130" s="701"/>
      <c r="K130" s="701"/>
      <c r="L130" s="701"/>
      <c r="M130" s="701"/>
    </row>
    <row r="131" spans="1:13" ht="15.5" x14ac:dyDescent="0.35">
      <c r="A131" s="705" t="s">
        <v>950</v>
      </c>
      <c r="B131" s="706" t="s">
        <v>951</v>
      </c>
      <c r="C131" s="786" t="s">
        <v>750</v>
      </c>
      <c r="D131" s="1044" t="s">
        <v>441</v>
      </c>
      <c r="E131" s="1049" t="s">
        <v>952</v>
      </c>
      <c r="F131" s="785" t="s">
        <v>953</v>
      </c>
      <c r="G131" s="785"/>
      <c r="H131" s="785" t="s">
        <v>663</v>
      </c>
      <c r="I131" s="786"/>
      <c r="J131" s="785"/>
      <c r="K131" s="785"/>
      <c r="L131" s="785" t="s">
        <v>954</v>
      </c>
      <c r="M131" s="790"/>
    </row>
    <row r="132" spans="1:13" ht="31" x14ac:dyDescent="0.35">
      <c r="A132" s="705" t="s">
        <v>950</v>
      </c>
      <c r="B132" s="706" t="s">
        <v>955</v>
      </c>
      <c r="C132" s="705" t="s">
        <v>440</v>
      </c>
      <c r="D132" s="707" t="s">
        <v>441</v>
      </c>
      <c r="E132" s="708" t="s">
        <v>956</v>
      </c>
      <c r="F132" s="709" t="s">
        <v>957</v>
      </c>
      <c r="G132" s="709"/>
      <c r="H132" s="709" t="s">
        <v>445</v>
      </c>
      <c r="I132" s="726"/>
      <c r="J132" s="709"/>
      <c r="K132" s="709"/>
      <c r="L132" s="710" t="s">
        <v>958</v>
      </c>
      <c r="M132" s="705"/>
    </row>
    <row r="133" spans="1:13" ht="15.5" x14ac:dyDescent="0.35">
      <c r="A133" s="705" t="s">
        <v>950</v>
      </c>
      <c r="B133" s="706" t="s">
        <v>959</v>
      </c>
      <c r="C133" s="705" t="s">
        <v>440</v>
      </c>
      <c r="D133" s="707" t="s">
        <v>441</v>
      </c>
      <c r="E133" s="708" t="s">
        <v>960</v>
      </c>
      <c r="F133" s="709" t="s">
        <v>961</v>
      </c>
      <c r="G133" s="709"/>
      <c r="H133" s="709" t="s">
        <v>445</v>
      </c>
      <c r="I133" s="726"/>
      <c r="J133" s="709"/>
      <c r="K133" s="709"/>
      <c r="L133" s="710"/>
      <c r="M133" s="705"/>
    </row>
    <row r="134" spans="1:13" s="232" customFormat="1" ht="31" x14ac:dyDescent="0.35">
      <c r="A134" s="705" t="s">
        <v>950</v>
      </c>
      <c r="B134" s="706" t="s">
        <v>962</v>
      </c>
      <c r="C134" s="724" t="s">
        <v>440</v>
      </c>
      <c r="D134" s="725" t="s">
        <v>441</v>
      </c>
      <c r="E134" s="1055" t="s">
        <v>963</v>
      </c>
      <c r="F134" s="1056" t="s">
        <v>964</v>
      </c>
      <c r="G134" s="709"/>
      <c r="H134" s="709" t="s">
        <v>965</v>
      </c>
      <c r="I134" s="726"/>
      <c r="J134" s="709"/>
      <c r="K134" s="709"/>
      <c r="L134" s="709"/>
      <c r="M134" s="724"/>
    </row>
    <row r="135" spans="1:13" ht="15.5" x14ac:dyDescent="0.35">
      <c r="A135" s="705" t="s">
        <v>950</v>
      </c>
      <c r="B135" s="706" t="s">
        <v>966</v>
      </c>
      <c r="C135" s="705" t="s">
        <v>440</v>
      </c>
      <c r="D135" s="707" t="s">
        <v>441</v>
      </c>
      <c r="E135" s="708" t="s">
        <v>967</v>
      </c>
      <c r="F135" s="709" t="s">
        <v>968</v>
      </c>
      <c r="G135" s="709"/>
      <c r="H135" s="709" t="s">
        <v>445</v>
      </c>
      <c r="I135" s="726"/>
      <c r="J135" s="709"/>
      <c r="K135" s="709"/>
      <c r="L135" s="352"/>
      <c r="M135" s="705"/>
    </row>
    <row r="136" spans="1:13" s="232" customFormat="1" ht="15.5" x14ac:dyDescent="0.35">
      <c r="A136" s="705" t="s">
        <v>950</v>
      </c>
      <c r="B136" s="706" t="s">
        <v>969</v>
      </c>
      <c r="C136" s="724" t="s">
        <v>440</v>
      </c>
      <c r="D136" s="725" t="s">
        <v>441</v>
      </c>
      <c r="E136" s="708" t="s">
        <v>970</v>
      </c>
      <c r="F136" s="709" t="s">
        <v>971</v>
      </c>
      <c r="G136" s="709"/>
      <c r="H136" s="709"/>
      <c r="I136" s="726"/>
      <c r="J136" s="709"/>
      <c r="K136" s="709"/>
      <c r="L136" s="709"/>
      <c r="M136" s="724"/>
    </row>
    <row r="137" spans="1:13" ht="15.5" x14ac:dyDescent="0.35">
      <c r="A137" s="705" t="s">
        <v>950</v>
      </c>
      <c r="B137" s="706" t="s">
        <v>972</v>
      </c>
      <c r="C137" s="705" t="s">
        <v>440</v>
      </c>
      <c r="D137" s="707" t="s">
        <v>441</v>
      </c>
      <c r="E137" s="708" t="s">
        <v>973</v>
      </c>
      <c r="F137" s="709" t="s">
        <v>974</v>
      </c>
      <c r="G137" s="709"/>
      <c r="H137" s="709" t="s">
        <v>975</v>
      </c>
      <c r="I137" s="726"/>
      <c r="J137" s="709" t="s">
        <v>976</v>
      </c>
      <c r="K137" s="709"/>
      <c r="L137" s="709"/>
      <c r="M137" s="705"/>
    </row>
    <row r="138" spans="1:13" ht="15.5" x14ac:dyDescent="0.35">
      <c r="A138" s="705" t="s">
        <v>950</v>
      </c>
      <c r="B138" s="706" t="s">
        <v>977</v>
      </c>
      <c r="C138" s="705" t="s">
        <v>440</v>
      </c>
      <c r="D138" s="707" t="s">
        <v>441</v>
      </c>
      <c r="E138" s="708" t="s">
        <v>978</v>
      </c>
      <c r="F138" s="709" t="s">
        <v>978</v>
      </c>
      <c r="G138" s="709"/>
      <c r="H138" s="709"/>
      <c r="I138" s="726"/>
      <c r="J138" s="709"/>
      <c r="K138" s="709"/>
      <c r="L138" s="709"/>
      <c r="M138" s="705"/>
    </row>
    <row r="139" spans="1:13" ht="31" x14ac:dyDescent="0.35">
      <c r="A139" s="705" t="s">
        <v>950</v>
      </c>
      <c r="B139" s="706" t="s">
        <v>979</v>
      </c>
      <c r="C139" s="705" t="s">
        <v>440</v>
      </c>
      <c r="D139" s="707" t="s">
        <v>441</v>
      </c>
      <c r="E139" s="708" t="s">
        <v>980</v>
      </c>
      <c r="F139" s="709" t="s">
        <v>981</v>
      </c>
      <c r="G139" s="709"/>
      <c r="H139" s="709" t="s">
        <v>975</v>
      </c>
      <c r="I139" s="726"/>
      <c r="J139" s="709"/>
      <c r="K139" s="769" t="s">
        <v>485</v>
      </c>
      <c r="L139" s="715" t="s">
        <v>982</v>
      </c>
      <c r="M139" s="705"/>
    </row>
    <row r="140" spans="1:13" ht="31" x14ac:dyDescent="0.35">
      <c r="A140" s="705" t="s">
        <v>950</v>
      </c>
      <c r="B140" s="706" t="s">
        <v>983</v>
      </c>
      <c r="C140" s="705" t="s">
        <v>440</v>
      </c>
      <c r="D140" s="707" t="s">
        <v>441</v>
      </c>
      <c r="E140" s="716" t="s">
        <v>984</v>
      </c>
      <c r="F140" s="709" t="s">
        <v>985</v>
      </c>
      <c r="G140" s="709"/>
      <c r="H140" s="709" t="s">
        <v>975</v>
      </c>
      <c r="I140" s="726"/>
      <c r="J140" s="709"/>
      <c r="K140" s="769" t="s">
        <v>485</v>
      </c>
      <c r="L140" s="715" t="s">
        <v>982</v>
      </c>
      <c r="M140" s="705"/>
    </row>
    <row r="141" spans="1:13" ht="31" x14ac:dyDescent="0.35">
      <c r="A141" s="705" t="s">
        <v>950</v>
      </c>
      <c r="B141" s="706" t="s">
        <v>986</v>
      </c>
      <c r="C141" s="705" t="s">
        <v>440</v>
      </c>
      <c r="D141" s="707" t="s">
        <v>441</v>
      </c>
      <c r="E141" s="708" t="s">
        <v>987</v>
      </c>
      <c r="F141" s="709" t="s">
        <v>987</v>
      </c>
      <c r="G141" s="709"/>
      <c r="H141" s="709" t="s">
        <v>975</v>
      </c>
      <c r="I141" s="726"/>
      <c r="J141" s="709"/>
      <c r="K141" s="769" t="s">
        <v>485</v>
      </c>
      <c r="L141" s="715" t="s">
        <v>982</v>
      </c>
      <c r="M141" s="705"/>
    </row>
    <row r="142" spans="1:13" ht="31" x14ac:dyDescent="0.35">
      <c r="A142" s="705" t="s">
        <v>950</v>
      </c>
      <c r="B142" s="706" t="s">
        <v>988</v>
      </c>
      <c r="C142" s="774" t="s">
        <v>467</v>
      </c>
      <c r="D142" s="747" t="s">
        <v>441</v>
      </c>
      <c r="E142" s="1033" t="s">
        <v>989</v>
      </c>
      <c r="F142" s="720" t="s">
        <v>990</v>
      </c>
      <c r="G142" s="720"/>
      <c r="H142" s="720" t="s">
        <v>753</v>
      </c>
      <c r="I142" s="726"/>
      <c r="J142" s="267"/>
      <c r="K142" s="793"/>
      <c r="L142" s="793"/>
      <c r="M142" s="705"/>
    </row>
    <row r="143" spans="1:13" ht="31" x14ac:dyDescent="0.35">
      <c r="A143" s="705" t="s">
        <v>950</v>
      </c>
      <c r="B143" s="706" t="s">
        <v>991</v>
      </c>
      <c r="C143" s="705" t="s">
        <v>440</v>
      </c>
      <c r="D143" s="705" t="s">
        <v>441</v>
      </c>
      <c r="E143" s="716" t="s">
        <v>992</v>
      </c>
      <c r="F143" s="710" t="s">
        <v>993</v>
      </c>
      <c r="G143" s="710"/>
      <c r="H143" s="705" t="s">
        <v>445</v>
      </c>
      <c r="I143" s="705"/>
      <c r="J143" s="705"/>
      <c r="K143" s="705"/>
      <c r="L143" s="710" t="s">
        <v>994</v>
      </c>
      <c r="M143" s="705"/>
    </row>
    <row r="144" spans="1:13" ht="31" x14ac:dyDescent="0.35">
      <c r="A144" s="705" t="s">
        <v>950</v>
      </c>
      <c r="B144" s="706" t="s">
        <v>995</v>
      </c>
      <c r="C144" s="705" t="s">
        <v>996</v>
      </c>
      <c r="D144" s="707" t="s">
        <v>441</v>
      </c>
      <c r="E144" s="716" t="s">
        <v>997</v>
      </c>
      <c r="F144" s="709" t="s">
        <v>235</v>
      </c>
      <c r="G144" s="709"/>
      <c r="H144" s="709" t="s">
        <v>663</v>
      </c>
      <c r="I144" s="726"/>
      <c r="J144" s="709"/>
      <c r="K144" s="709"/>
      <c r="L144" s="709"/>
      <c r="M144" s="705"/>
    </row>
    <row r="145" spans="1:13" ht="15.5" x14ac:dyDescent="0.35">
      <c r="A145" s="705" t="s">
        <v>950</v>
      </c>
      <c r="B145" s="706" t="s">
        <v>998</v>
      </c>
      <c r="C145" s="705" t="s">
        <v>440</v>
      </c>
      <c r="D145" s="707" t="s">
        <v>441</v>
      </c>
      <c r="E145" s="716" t="s">
        <v>999</v>
      </c>
      <c r="F145" s="709" t="s">
        <v>1000</v>
      </c>
      <c r="G145" s="709"/>
      <c r="H145" s="709" t="s">
        <v>445</v>
      </c>
      <c r="I145" s="726"/>
      <c r="J145" s="709"/>
      <c r="K145" s="709"/>
      <c r="L145" s="709" t="s">
        <v>1001</v>
      </c>
      <c r="M145" s="705"/>
    </row>
    <row r="146" spans="1:13" ht="46.5" x14ac:dyDescent="0.35">
      <c r="A146" s="705" t="s">
        <v>950</v>
      </c>
      <c r="B146" s="706" t="s">
        <v>1002</v>
      </c>
      <c r="C146" s="705" t="s">
        <v>440</v>
      </c>
      <c r="D146" s="707" t="s">
        <v>441</v>
      </c>
      <c r="E146" s="716" t="s">
        <v>1003</v>
      </c>
      <c r="F146" s="709" t="s">
        <v>1004</v>
      </c>
      <c r="G146" s="709"/>
      <c r="H146" s="709" t="s">
        <v>613</v>
      </c>
      <c r="I146" s="726"/>
      <c r="J146" s="709" t="s">
        <v>1005</v>
      </c>
      <c r="K146" s="709"/>
      <c r="L146" s="710" t="s">
        <v>1006</v>
      </c>
      <c r="M146" s="705"/>
    </row>
    <row r="147" spans="1:13" ht="15.5" x14ac:dyDescent="0.35">
      <c r="A147" s="705" t="s">
        <v>950</v>
      </c>
      <c r="B147" s="706" t="s">
        <v>1007</v>
      </c>
      <c r="C147" s="705" t="s">
        <v>440</v>
      </c>
      <c r="D147" s="707" t="s">
        <v>441</v>
      </c>
      <c r="E147" s="716" t="s">
        <v>1008</v>
      </c>
      <c r="F147" s="709" t="s">
        <v>1009</v>
      </c>
      <c r="G147" s="709"/>
      <c r="H147" s="709" t="s">
        <v>663</v>
      </c>
      <c r="I147" s="726"/>
      <c r="J147" s="709" t="s">
        <v>1010</v>
      </c>
      <c r="K147" s="709"/>
      <c r="L147" s="352"/>
      <c r="M147" s="705"/>
    </row>
    <row r="148" spans="1:13" ht="15.5" x14ac:dyDescent="0.35">
      <c r="A148" s="705" t="s">
        <v>950</v>
      </c>
      <c r="B148" s="706" t="s">
        <v>1011</v>
      </c>
      <c r="C148" s="705" t="s">
        <v>440</v>
      </c>
      <c r="D148" s="707" t="s">
        <v>441</v>
      </c>
      <c r="E148" s="716" t="s">
        <v>1012</v>
      </c>
      <c r="F148" s="709" t="s">
        <v>1013</v>
      </c>
      <c r="G148" s="709"/>
      <c r="H148" s="709" t="s">
        <v>1014</v>
      </c>
      <c r="I148" s="726"/>
      <c r="J148" s="709"/>
      <c r="K148" s="709"/>
      <c r="L148" s="709" t="s">
        <v>1015</v>
      </c>
      <c r="M148" s="705"/>
    </row>
    <row r="149" spans="1:13" ht="15.5" x14ac:dyDescent="0.35">
      <c r="A149" s="804" t="s">
        <v>950</v>
      </c>
      <c r="B149" s="805" t="s">
        <v>1016</v>
      </c>
      <c r="C149" s="1041" t="s">
        <v>729</v>
      </c>
      <c r="D149" s="1042" t="s">
        <v>441</v>
      </c>
      <c r="E149" s="1043" t="s">
        <v>1017</v>
      </c>
      <c r="F149" s="806" t="s">
        <v>1018</v>
      </c>
      <c r="G149" s="806"/>
      <c r="H149" s="806" t="s">
        <v>1019</v>
      </c>
      <c r="I149" s="807"/>
      <c r="J149" s="806"/>
      <c r="K149" s="806"/>
      <c r="L149" s="808" t="s">
        <v>1020</v>
      </c>
      <c r="M149" s="705"/>
    </row>
    <row r="150" spans="1:13" s="234" customFormat="1" ht="15.5" x14ac:dyDescent="0.35">
      <c r="A150" s="705" t="s">
        <v>950</v>
      </c>
      <c r="B150" s="706" t="s">
        <v>1021</v>
      </c>
      <c r="C150" s="798" t="s">
        <v>729</v>
      </c>
      <c r="D150" s="1039" t="s">
        <v>441</v>
      </c>
      <c r="E150" s="1040" t="s">
        <v>1022</v>
      </c>
      <c r="F150" s="781" t="s">
        <v>1023</v>
      </c>
      <c r="G150" s="781"/>
      <c r="H150" s="781" t="s">
        <v>663</v>
      </c>
      <c r="I150" s="782"/>
      <c r="J150" s="781"/>
      <c r="K150" s="781"/>
      <c r="L150" s="809" t="s">
        <v>732</v>
      </c>
      <c r="M150" s="798"/>
    </row>
    <row r="151" spans="1:13" ht="46.5" x14ac:dyDescent="0.35">
      <c r="A151" s="705" t="s">
        <v>950</v>
      </c>
      <c r="B151" s="706" t="s">
        <v>1024</v>
      </c>
      <c r="C151" s="705" t="s">
        <v>440</v>
      </c>
      <c r="D151" s="707" t="s">
        <v>441</v>
      </c>
      <c r="E151" s="716" t="s">
        <v>1025</v>
      </c>
      <c r="F151" s="709" t="s">
        <v>1026</v>
      </c>
      <c r="G151" s="709"/>
      <c r="H151" s="709" t="s">
        <v>975</v>
      </c>
      <c r="I151" s="726"/>
      <c r="J151" s="709"/>
      <c r="K151" s="769" t="s">
        <v>485</v>
      </c>
      <c r="L151" s="268" t="s">
        <v>1027</v>
      </c>
      <c r="M151" s="705"/>
    </row>
    <row r="152" spans="1:13" ht="15.5" x14ac:dyDescent="0.35">
      <c r="A152" s="701" t="s">
        <v>1028</v>
      </c>
      <c r="B152" s="702"/>
      <c r="C152" s="703" t="str">
        <f>TEXT($C$2-1,"mmm-dd-yyyy") &amp; " To " &amp; TEXT($C$2,"mmm-dd-yyyy")</f>
        <v>Jul-17-2023 To Jul-18-2023</v>
      </c>
      <c r="D152" s="701"/>
      <c r="E152" s="704"/>
      <c r="F152" s="701"/>
      <c r="G152" s="701"/>
      <c r="H152" s="701"/>
      <c r="I152" s="701"/>
      <c r="J152" s="701"/>
      <c r="K152" s="701"/>
      <c r="L152" s="701"/>
      <c r="M152" s="701"/>
    </row>
    <row r="153" spans="1:13" ht="31" x14ac:dyDescent="0.35">
      <c r="A153" s="726" t="s">
        <v>1028</v>
      </c>
      <c r="B153" s="801" t="s">
        <v>1029</v>
      </c>
      <c r="C153" s="705" t="s">
        <v>440</v>
      </c>
      <c r="D153" s="707" t="s">
        <v>441</v>
      </c>
      <c r="E153" s="708" t="s">
        <v>1030</v>
      </c>
      <c r="F153" s="709" t="s">
        <v>1031</v>
      </c>
      <c r="G153" s="709"/>
      <c r="H153" s="709" t="s">
        <v>1032</v>
      </c>
      <c r="I153" s="726"/>
      <c r="J153" s="709"/>
      <c r="K153" s="709"/>
      <c r="L153" s="709" t="s">
        <v>1033</v>
      </c>
      <c r="M153" s="705"/>
    </row>
    <row r="154" spans="1:13" ht="15.5" x14ac:dyDescent="0.35">
      <c r="A154" s="726" t="s">
        <v>1028</v>
      </c>
      <c r="B154" s="801" t="s">
        <v>1034</v>
      </c>
      <c r="C154" s="705" t="s">
        <v>440</v>
      </c>
      <c r="D154" s="707" t="s">
        <v>441</v>
      </c>
      <c r="E154" s="716" t="s">
        <v>1035</v>
      </c>
      <c r="F154" s="709" t="s">
        <v>1036</v>
      </c>
      <c r="G154" s="709"/>
      <c r="H154" s="709" t="s">
        <v>1037</v>
      </c>
      <c r="I154" s="726"/>
      <c r="J154" s="709" t="s">
        <v>1038</v>
      </c>
      <c r="K154" s="709"/>
      <c r="L154" s="352"/>
      <c r="M154" s="705"/>
    </row>
    <row r="155" spans="1:13" ht="31" x14ac:dyDescent="0.35">
      <c r="A155" s="726" t="s">
        <v>1028</v>
      </c>
      <c r="B155" s="801" t="s">
        <v>1039</v>
      </c>
      <c r="C155" s="705" t="s">
        <v>440</v>
      </c>
      <c r="D155" s="707" t="s">
        <v>441</v>
      </c>
      <c r="E155" s="716" t="s">
        <v>1040</v>
      </c>
      <c r="F155" s="709" t="s">
        <v>1041</v>
      </c>
      <c r="G155" s="709"/>
      <c r="H155" s="709" t="s">
        <v>445</v>
      </c>
      <c r="I155" s="726"/>
      <c r="J155" s="709"/>
      <c r="K155" s="709"/>
      <c r="L155" s="709"/>
      <c r="M155" s="705"/>
    </row>
    <row r="156" spans="1:13" ht="15.5" x14ac:dyDescent="0.35">
      <c r="A156" s="726" t="s">
        <v>1028</v>
      </c>
      <c r="B156" s="801" t="s">
        <v>1042</v>
      </c>
      <c r="C156" s="705" t="s">
        <v>440</v>
      </c>
      <c r="D156" s="707" t="s">
        <v>441</v>
      </c>
      <c r="E156" s="716" t="s">
        <v>1043</v>
      </c>
      <c r="F156" s="709" t="s">
        <v>1044</v>
      </c>
      <c r="G156" s="709"/>
      <c r="H156" s="709" t="s">
        <v>1045</v>
      </c>
      <c r="I156" s="726"/>
      <c r="J156" s="709"/>
      <c r="K156" s="732" t="s">
        <v>1046</v>
      </c>
      <c r="L156" s="272" t="s">
        <v>1047</v>
      </c>
      <c r="M156" s="705"/>
    </row>
    <row r="157" spans="1:13" s="238" customFormat="1" ht="31" x14ac:dyDescent="0.35">
      <c r="A157" s="738" t="s">
        <v>1028</v>
      </c>
      <c r="B157" s="801" t="s">
        <v>1048</v>
      </c>
      <c r="C157" s="740" t="s">
        <v>440</v>
      </c>
      <c r="D157" s="741" t="s">
        <v>441</v>
      </c>
      <c r="E157" s="742" t="s">
        <v>1049</v>
      </c>
      <c r="F157" s="746" t="s">
        <v>1050</v>
      </c>
      <c r="G157" s="746"/>
      <c r="H157" s="746" t="s">
        <v>1051</v>
      </c>
      <c r="I157" s="738"/>
      <c r="J157" s="746"/>
      <c r="K157" s="732" t="s">
        <v>1052</v>
      </c>
      <c r="L157" s="1077"/>
      <c r="M157" s="740"/>
    </row>
    <row r="158" spans="1:13" ht="31" x14ac:dyDescent="0.35">
      <c r="A158" s="726" t="s">
        <v>1028</v>
      </c>
      <c r="B158" s="801" t="s">
        <v>1053</v>
      </c>
      <c r="C158" s="705" t="s">
        <v>440</v>
      </c>
      <c r="D158" s="707" t="s">
        <v>441</v>
      </c>
      <c r="E158" s="716" t="s">
        <v>1054</v>
      </c>
      <c r="F158" s="709" t="s">
        <v>1055</v>
      </c>
      <c r="G158" s="709"/>
      <c r="H158" s="709" t="s">
        <v>767</v>
      </c>
      <c r="I158" s="726"/>
      <c r="J158" s="709"/>
      <c r="K158" s="709"/>
      <c r="L158" s="709" t="s">
        <v>1056</v>
      </c>
      <c r="M158" s="705"/>
    </row>
    <row r="159" spans="1:13" ht="15.5" x14ac:dyDescent="0.35">
      <c r="A159" s="701" t="s">
        <v>1057</v>
      </c>
      <c r="B159" s="702"/>
      <c r="C159" s="703" t="str">
        <f>TEXT($C$2,"mmm-dd-yyyy")</f>
        <v>Jul-18-2023</v>
      </c>
      <c r="D159" s="701"/>
      <c r="E159" s="704"/>
      <c r="F159" s="701"/>
      <c r="G159" s="701"/>
      <c r="H159" s="701"/>
      <c r="I159" s="701"/>
      <c r="J159" s="701"/>
      <c r="K159" s="701"/>
      <c r="L159" s="701"/>
      <c r="M159" s="701"/>
    </row>
    <row r="160" spans="1:13" ht="15.5" x14ac:dyDescent="0.35">
      <c r="A160" s="705" t="s">
        <v>1057</v>
      </c>
      <c r="B160" s="706" t="s">
        <v>1058</v>
      </c>
      <c r="C160" s="705" t="s">
        <v>440</v>
      </c>
      <c r="D160" s="707" t="s">
        <v>441</v>
      </c>
      <c r="E160" s="708" t="s">
        <v>1059</v>
      </c>
      <c r="F160" s="709" t="s">
        <v>1059</v>
      </c>
      <c r="G160" s="709"/>
      <c r="H160" s="709" t="s">
        <v>1037</v>
      </c>
      <c r="I160" s="726"/>
      <c r="J160" s="709" t="s">
        <v>1038</v>
      </c>
      <c r="K160" s="709"/>
      <c r="L160" s="709" t="s">
        <v>1060</v>
      </c>
      <c r="M160" s="705"/>
    </row>
    <row r="161" spans="1:13" ht="15.5" x14ac:dyDescent="0.35">
      <c r="A161" s="810"/>
      <c r="B161" s="811"/>
      <c r="C161" s="810"/>
      <c r="D161" s="812"/>
      <c r="E161" s="813"/>
      <c r="F161" s="814" t="s">
        <v>1061</v>
      </c>
      <c r="G161" s="814"/>
      <c r="H161" s="815"/>
      <c r="I161" s="816"/>
      <c r="J161" s="815"/>
      <c r="K161" s="815"/>
      <c r="L161" s="817"/>
      <c r="M161" s="810"/>
    </row>
    <row r="162" spans="1:13" ht="15.5" x14ac:dyDescent="0.35">
      <c r="A162" s="701" t="s">
        <v>1062</v>
      </c>
      <c r="B162" s="702"/>
      <c r="C162" s="703" t="str">
        <f>TEXT($C$2+1,"mmm-dd-yyyy") &amp; " -- Post application sign off"</f>
        <v>Jul-19-2023 -- Post application sign off</v>
      </c>
      <c r="D162" s="818"/>
      <c r="E162" s="704"/>
      <c r="F162" s="818"/>
      <c r="G162" s="818"/>
      <c r="H162" s="818"/>
      <c r="I162" s="818"/>
      <c r="J162" s="818"/>
      <c r="K162" s="818"/>
      <c r="L162" s="818"/>
      <c r="M162" s="818"/>
    </row>
    <row r="163" spans="1:13" ht="15.5" x14ac:dyDescent="0.35">
      <c r="A163" s="726" t="s">
        <v>1062</v>
      </c>
      <c r="B163" s="801" t="s">
        <v>1063</v>
      </c>
      <c r="C163" s="705" t="s">
        <v>440</v>
      </c>
      <c r="D163" s="707" t="s">
        <v>441</v>
      </c>
      <c r="E163" s="708" t="s">
        <v>1064</v>
      </c>
      <c r="F163" s="709" t="s">
        <v>1065</v>
      </c>
      <c r="G163" s="709"/>
      <c r="H163" s="709"/>
      <c r="I163" s="726"/>
      <c r="J163" s="712"/>
      <c r="K163" s="712"/>
      <c r="L163" s="352"/>
      <c r="M163" s="712"/>
    </row>
    <row r="164" spans="1:13" ht="31" x14ac:dyDescent="0.35">
      <c r="A164" s="726" t="s">
        <v>1062</v>
      </c>
      <c r="B164" s="801" t="s">
        <v>1066</v>
      </c>
      <c r="C164" s="705" t="s">
        <v>440</v>
      </c>
      <c r="D164" s="707" t="s">
        <v>441</v>
      </c>
      <c r="E164" s="708" t="s">
        <v>1067</v>
      </c>
      <c r="F164" s="709" t="s">
        <v>1068</v>
      </c>
      <c r="G164" s="709"/>
      <c r="H164" s="709" t="s">
        <v>445</v>
      </c>
      <c r="I164" s="726"/>
      <c r="J164" s="710"/>
      <c r="K164" s="271" t="s">
        <v>1069</v>
      </c>
      <c r="L164" s="709" t="s">
        <v>1070</v>
      </c>
      <c r="M164" s="705"/>
    </row>
    <row r="165" spans="1:13" ht="31" x14ac:dyDescent="0.35">
      <c r="A165" s="726" t="s">
        <v>1062</v>
      </c>
      <c r="B165" s="801" t="s">
        <v>1071</v>
      </c>
      <c r="C165" s="705" t="s">
        <v>440</v>
      </c>
      <c r="D165" s="707" t="s">
        <v>441</v>
      </c>
      <c r="E165" s="716" t="s">
        <v>1072</v>
      </c>
      <c r="F165" s="709" t="s">
        <v>1073</v>
      </c>
      <c r="G165" s="709"/>
      <c r="H165" s="709" t="s">
        <v>445</v>
      </c>
      <c r="I165" s="726"/>
      <c r="J165" s="712"/>
      <c r="K165" s="712"/>
      <c r="L165" s="352"/>
      <c r="M165" s="712"/>
    </row>
    <row r="166" spans="1:13" ht="93" x14ac:dyDescent="0.35">
      <c r="A166" s="726" t="s">
        <v>1062</v>
      </c>
      <c r="B166" s="801" t="s">
        <v>1074</v>
      </c>
      <c r="C166" s="705" t="s">
        <v>440</v>
      </c>
      <c r="D166" s="707" t="s">
        <v>441</v>
      </c>
      <c r="E166" s="716" t="s">
        <v>1075</v>
      </c>
      <c r="F166" s="709" t="s">
        <v>1076</v>
      </c>
      <c r="G166" s="709"/>
      <c r="H166" s="709"/>
      <c r="I166" s="726"/>
      <c r="J166" s="712"/>
      <c r="K166" s="712"/>
      <c r="L166" s="352" t="s">
        <v>1077</v>
      </c>
      <c r="M166" s="712"/>
    </row>
    <row r="167" spans="1:13" ht="31" x14ac:dyDescent="0.35">
      <c r="A167" s="726" t="s">
        <v>1062</v>
      </c>
      <c r="B167" s="801" t="s">
        <v>1078</v>
      </c>
      <c r="C167" s="705" t="s">
        <v>440</v>
      </c>
      <c r="D167" s="707" t="s">
        <v>441</v>
      </c>
      <c r="E167" s="716" t="s">
        <v>1079</v>
      </c>
      <c r="F167" s="709" t="s">
        <v>1080</v>
      </c>
      <c r="G167" s="709"/>
      <c r="H167" s="709"/>
      <c r="I167" s="726"/>
      <c r="J167" s="712"/>
      <c r="K167" s="732" t="s">
        <v>1061</v>
      </c>
      <c r="L167" s="819" t="s">
        <v>1081</v>
      </c>
      <c r="M167" s="712"/>
    </row>
    <row r="168" spans="1:13" s="238" customFormat="1" ht="31" x14ac:dyDescent="0.35">
      <c r="A168" s="738" t="s">
        <v>1062</v>
      </c>
      <c r="B168" s="801" t="s">
        <v>1082</v>
      </c>
      <c r="C168" s="740" t="s">
        <v>440</v>
      </c>
      <c r="D168" s="741" t="s">
        <v>441</v>
      </c>
      <c r="E168" s="742" t="s">
        <v>1083</v>
      </c>
      <c r="F168" s="746" t="s">
        <v>1084</v>
      </c>
      <c r="G168" s="746"/>
      <c r="H168" s="746" t="s">
        <v>663</v>
      </c>
      <c r="I168" s="738"/>
      <c r="J168" s="744"/>
      <c r="K168" s="732" t="s">
        <v>1061</v>
      </c>
      <c r="L168" s="709" t="s">
        <v>1085</v>
      </c>
      <c r="M168" s="740"/>
    </row>
    <row r="169" spans="1:13" ht="15.5" x14ac:dyDescent="0.35">
      <c r="A169" s="726" t="s">
        <v>1062</v>
      </c>
      <c r="B169" s="801" t="s">
        <v>1086</v>
      </c>
      <c r="C169" s="705" t="s">
        <v>440</v>
      </c>
      <c r="D169" s="707" t="s">
        <v>441</v>
      </c>
      <c r="E169" s="716" t="s">
        <v>1087</v>
      </c>
      <c r="F169" s="709" t="s">
        <v>1088</v>
      </c>
      <c r="G169" s="709"/>
      <c r="H169" s="709" t="s">
        <v>445</v>
      </c>
      <c r="I169" s="726"/>
      <c r="J169" s="710"/>
      <c r="K169" s="710"/>
      <c r="L169" s="709"/>
      <c r="M169" s="705"/>
    </row>
    <row r="170" spans="1:13" ht="15.5" x14ac:dyDescent="0.35">
      <c r="A170" s="726" t="s">
        <v>1062</v>
      </c>
      <c r="B170" s="801" t="s">
        <v>1089</v>
      </c>
      <c r="C170" s="705" t="s">
        <v>440</v>
      </c>
      <c r="D170" s="707" t="s">
        <v>441</v>
      </c>
      <c r="E170" s="716" t="s">
        <v>1090</v>
      </c>
      <c r="F170" s="709" t="s">
        <v>1091</v>
      </c>
      <c r="G170" s="709"/>
      <c r="H170" s="709" t="s">
        <v>445</v>
      </c>
      <c r="I170" s="726"/>
      <c r="J170" s="710"/>
      <c r="K170" s="710"/>
      <c r="L170" s="352"/>
      <c r="M170" s="705"/>
    </row>
    <row r="171" spans="1:13" ht="15.5" x14ac:dyDescent="0.35">
      <c r="A171" s="726" t="s">
        <v>1062</v>
      </c>
      <c r="B171" s="801" t="s">
        <v>1092</v>
      </c>
      <c r="C171" s="705" t="s">
        <v>440</v>
      </c>
      <c r="D171" s="707" t="s">
        <v>441</v>
      </c>
      <c r="E171" s="716" t="s">
        <v>1093</v>
      </c>
      <c r="F171" s="709" t="s">
        <v>1094</v>
      </c>
      <c r="G171" s="709"/>
      <c r="H171" s="709" t="s">
        <v>445</v>
      </c>
      <c r="I171" s="726"/>
      <c r="J171" s="731"/>
      <c r="K171" s="732" t="s">
        <v>1095</v>
      </c>
      <c r="L171" s="709"/>
      <c r="M171" s="705"/>
    </row>
    <row r="172" spans="1:13" ht="46.5" x14ac:dyDescent="0.35">
      <c r="A172" s="726" t="s">
        <v>1062</v>
      </c>
      <c r="B172" s="801" t="s">
        <v>1096</v>
      </c>
      <c r="C172" s="705"/>
      <c r="D172" s="707" t="s">
        <v>441</v>
      </c>
      <c r="E172" s="716" t="s">
        <v>1097</v>
      </c>
      <c r="F172" s="709" t="s">
        <v>1098</v>
      </c>
      <c r="G172" s="709"/>
      <c r="H172" s="709" t="s">
        <v>1099</v>
      </c>
      <c r="I172" s="726"/>
      <c r="J172" s="710"/>
      <c r="K172" s="710"/>
      <c r="L172" s="709"/>
      <c r="M172" s="705"/>
    </row>
    <row r="173" spans="1:13" ht="46.5" x14ac:dyDescent="0.35">
      <c r="A173" s="726" t="s">
        <v>1062</v>
      </c>
      <c r="B173" s="801" t="s">
        <v>1100</v>
      </c>
      <c r="C173" s="705" t="s">
        <v>440</v>
      </c>
      <c r="D173" s="707" t="s">
        <v>441</v>
      </c>
      <c r="E173" s="716" t="s">
        <v>1101</v>
      </c>
      <c r="F173" s="709" t="s">
        <v>1102</v>
      </c>
      <c r="G173" s="709"/>
      <c r="H173" s="709" t="s">
        <v>1103</v>
      </c>
      <c r="I173" s="726"/>
      <c r="J173" s="710"/>
      <c r="K173" s="710"/>
      <c r="L173" s="352"/>
      <c r="M173" s="705"/>
    </row>
    <row r="174" spans="1:13" ht="31" x14ac:dyDescent="0.35">
      <c r="A174" s="726" t="s">
        <v>1062</v>
      </c>
      <c r="B174" s="801" t="s">
        <v>1104</v>
      </c>
      <c r="C174" s="705" t="s">
        <v>440</v>
      </c>
      <c r="D174" s="707" t="s">
        <v>441</v>
      </c>
      <c r="E174" s="716" t="s">
        <v>1105</v>
      </c>
      <c r="F174" s="709" t="s">
        <v>1106</v>
      </c>
      <c r="G174" s="709"/>
      <c r="H174" s="709" t="s">
        <v>445</v>
      </c>
      <c r="I174" s="726"/>
      <c r="J174" s="710"/>
      <c r="K174" s="710"/>
      <c r="L174" s="709" t="s">
        <v>1107</v>
      </c>
      <c r="M174" s="705"/>
    </row>
    <row r="175" spans="1:13" s="244" customFormat="1" ht="93" x14ac:dyDescent="0.35">
      <c r="A175" s="763" t="s">
        <v>1062</v>
      </c>
      <c r="B175" s="801" t="s">
        <v>1108</v>
      </c>
      <c r="C175" s="774" t="s">
        <v>467</v>
      </c>
      <c r="D175" s="747" t="s">
        <v>441</v>
      </c>
      <c r="E175" s="1033" t="s">
        <v>1109</v>
      </c>
      <c r="F175" s="720" t="s">
        <v>1110</v>
      </c>
      <c r="G175" s="720"/>
      <c r="H175" s="720" t="s">
        <v>925</v>
      </c>
      <c r="I175" s="719"/>
      <c r="J175" s="720"/>
      <c r="K175" s="720"/>
      <c r="L175" s="820" t="s">
        <v>1111</v>
      </c>
      <c r="M175" s="774"/>
    </row>
    <row r="176" spans="1:13" s="244" customFormat="1" ht="62" x14ac:dyDescent="0.35">
      <c r="A176" s="763" t="s">
        <v>1062</v>
      </c>
      <c r="B176" s="801" t="s">
        <v>1112</v>
      </c>
      <c r="C176" s="774" t="s">
        <v>467</v>
      </c>
      <c r="D176" s="747" t="s">
        <v>441</v>
      </c>
      <c r="E176" s="1033" t="s">
        <v>1113</v>
      </c>
      <c r="F176" s="720" t="s">
        <v>1114</v>
      </c>
      <c r="G176" s="720"/>
      <c r="H176" s="720" t="s">
        <v>925</v>
      </c>
      <c r="I176" s="719"/>
      <c r="J176" s="720"/>
      <c r="K176" s="720"/>
      <c r="L176" s="820" t="s">
        <v>1115</v>
      </c>
      <c r="M176" s="774"/>
    </row>
    <row r="177" spans="1:13" s="244" customFormat="1" ht="77.5" x14ac:dyDescent="0.35">
      <c r="A177" s="763" t="s">
        <v>1062</v>
      </c>
      <c r="B177" s="801" t="s">
        <v>1116</v>
      </c>
      <c r="C177" s="774" t="s">
        <v>467</v>
      </c>
      <c r="D177" s="747" t="s">
        <v>441</v>
      </c>
      <c r="E177" s="1033" t="s">
        <v>1117</v>
      </c>
      <c r="F177" s="720" t="s">
        <v>1118</v>
      </c>
      <c r="G177" s="720"/>
      <c r="H177" s="720" t="s">
        <v>975</v>
      </c>
      <c r="I177" s="719"/>
      <c r="J177" s="720"/>
      <c r="K177" s="720"/>
      <c r="L177" s="820" t="s">
        <v>1119</v>
      </c>
      <c r="M177" s="774"/>
    </row>
    <row r="178" spans="1:13" ht="31" x14ac:dyDescent="0.35">
      <c r="A178" s="726" t="s">
        <v>1062</v>
      </c>
      <c r="B178" s="801" t="s">
        <v>1120</v>
      </c>
      <c r="C178" s="705" t="s">
        <v>440</v>
      </c>
      <c r="D178" s="725" t="s">
        <v>441</v>
      </c>
      <c r="E178" s="716" t="s">
        <v>1121</v>
      </c>
      <c r="F178" s="709" t="s">
        <v>1122</v>
      </c>
      <c r="G178" s="709"/>
      <c r="H178" s="709" t="s">
        <v>1032</v>
      </c>
      <c r="I178" s="726"/>
      <c r="J178" s="821"/>
      <c r="K178" s="821"/>
      <c r="L178" s="822"/>
      <c r="M178" s="823"/>
    </row>
    <row r="179" spans="1:13" ht="15.5" x14ac:dyDescent="0.35">
      <c r="A179" s="701" t="s">
        <v>1123</v>
      </c>
      <c r="B179" s="702"/>
      <c r="C179" s="703" t="s">
        <v>1124</v>
      </c>
      <c r="D179" s="818"/>
      <c r="E179" s="704"/>
      <c r="F179" s="818"/>
      <c r="G179" s="818"/>
      <c r="H179" s="818"/>
      <c r="I179" s="818"/>
      <c r="J179" s="818"/>
      <c r="K179" s="818"/>
      <c r="L179" s="818"/>
      <c r="M179" s="818"/>
    </row>
    <row r="180" spans="1:13" ht="108.5" x14ac:dyDescent="0.35">
      <c r="A180" s="726" t="s">
        <v>1123</v>
      </c>
      <c r="B180" s="801" t="s">
        <v>1125</v>
      </c>
      <c r="C180" s="705" t="s">
        <v>440</v>
      </c>
      <c r="D180" s="707" t="s">
        <v>441</v>
      </c>
      <c r="E180" s="708" t="s">
        <v>1126</v>
      </c>
      <c r="F180" s="709" t="s">
        <v>1127</v>
      </c>
      <c r="G180" s="709"/>
      <c r="H180" s="709" t="s">
        <v>445</v>
      </c>
      <c r="I180" s="726"/>
      <c r="J180" s="710"/>
      <c r="K180" s="710"/>
      <c r="L180" s="709" t="s">
        <v>1128</v>
      </c>
      <c r="M180" s="1078"/>
    </row>
    <row r="181" spans="1:13" ht="77.5" x14ac:dyDescent="0.35">
      <c r="A181" s="726" t="s">
        <v>1123</v>
      </c>
      <c r="B181" s="801" t="s">
        <v>1129</v>
      </c>
      <c r="C181" s="705" t="s">
        <v>440</v>
      </c>
      <c r="D181" s="707" t="s">
        <v>441</v>
      </c>
      <c r="E181" s="708" t="s">
        <v>1130</v>
      </c>
      <c r="F181" s="709" t="s">
        <v>1131</v>
      </c>
      <c r="G181" s="709"/>
      <c r="H181" s="709" t="s">
        <v>445</v>
      </c>
      <c r="I181" s="726"/>
      <c r="J181" s="712"/>
      <c r="K181" s="712"/>
      <c r="L181" s="709" t="s">
        <v>1132</v>
      </c>
      <c r="M181" s="712"/>
    </row>
    <row r="182" spans="1:13" ht="31" x14ac:dyDescent="0.35">
      <c r="A182" s="726" t="s">
        <v>1123</v>
      </c>
      <c r="B182" s="801" t="s">
        <v>1133</v>
      </c>
      <c r="C182" s="705" t="s">
        <v>440</v>
      </c>
      <c r="D182" s="707" t="s">
        <v>441</v>
      </c>
      <c r="E182" s="716" t="s">
        <v>1134</v>
      </c>
      <c r="F182" s="709" t="s">
        <v>1135</v>
      </c>
      <c r="G182" s="709"/>
      <c r="H182" s="726"/>
      <c r="I182" s="726"/>
      <c r="J182" s="712"/>
      <c r="K182" s="712"/>
      <c r="L182" s="709"/>
      <c r="M182" s="712"/>
    </row>
    <row r="183" spans="1:13" ht="31" x14ac:dyDescent="0.35">
      <c r="A183" s="726" t="s">
        <v>1123</v>
      </c>
      <c r="B183" s="801" t="s">
        <v>1136</v>
      </c>
      <c r="C183" s="705" t="s">
        <v>440</v>
      </c>
      <c r="D183" s="707" t="s">
        <v>441</v>
      </c>
      <c r="E183" s="716" t="s">
        <v>1137</v>
      </c>
      <c r="F183" s="709" t="s">
        <v>1137</v>
      </c>
      <c r="G183" s="709"/>
      <c r="H183" s="709" t="s">
        <v>445</v>
      </c>
      <c r="I183" s="726"/>
      <c r="J183" s="710"/>
      <c r="K183" s="710"/>
      <c r="L183" s="709" t="s">
        <v>1138</v>
      </c>
      <c r="M183" s="705"/>
    </row>
    <row r="184" spans="1:13" ht="31" x14ac:dyDescent="0.35">
      <c r="A184" s="726" t="s">
        <v>1123</v>
      </c>
      <c r="B184" s="801" t="s">
        <v>1139</v>
      </c>
      <c r="C184" s="705" t="s">
        <v>440</v>
      </c>
      <c r="D184" s="707" t="s">
        <v>441</v>
      </c>
      <c r="E184" s="716" t="s">
        <v>1140</v>
      </c>
      <c r="F184" s="709" t="s">
        <v>1141</v>
      </c>
      <c r="G184" s="709"/>
      <c r="H184" s="709" t="s">
        <v>445</v>
      </c>
      <c r="I184" s="726"/>
      <c r="J184" s="712"/>
      <c r="K184" s="264"/>
      <c r="L184" s="709" t="s">
        <v>1142</v>
      </c>
      <c r="M184" s="712"/>
    </row>
    <row r="185" spans="1:13" ht="77.5" x14ac:dyDescent="0.35">
      <c r="A185" s="726" t="s">
        <v>1123</v>
      </c>
      <c r="B185" s="801" t="s">
        <v>1143</v>
      </c>
      <c r="C185" s="705" t="s">
        <v>440</v>
      </c>
      <c r="D185" s="707" t="s">
        <v>441</v>
      </c>
      <c r="E185" s="716" t="s">
        <v>1144</v>
      </c>
      <c r="F185" s="709" t="s">
        <v>1145</v>
      </c>
      <c r="G185" s="709"/>
      <c r="H185" s="709" t="s">
        <v>445</v>
      </c>
      <c r="I185" s="726"/>
      <c r="J185" s="712"/>
      <c r="K185" s="712"/>
      <c r="L185" s="709" t="s">
        <v>1132</v>
      </c>
      <c r="M185" s="712"/>
    </row>
    <row r="186" spans="1:13" ht="46.5" x14ac:dyDescent="0.35">
      <c r="A186" s="726" t="s">
        <v>1123</v>
      </c>
      <c r="B186" s="801" t="s">
        <v>1146</v>
      </c>
      <c r="C186" s="705" t="s">
        <v>446</v>
      </c>
      <c r="D186" s="707" t="s">
        <v>441</v>
      </c>
      <c r="E186" s="716" t="s">
        <v>1147</v>
      </c>
      <c r="F186" s="709" t="s">
        <v>1148</v>
      </c>
      <c r="G186" s="709"/>
      <c r="H186" s="709" t="s">
        <v>445</v>
      </c>
      <c r="I186" s="726"/>
      <c r="J186" s="712"/>
      <c r="K186" s="712"/>
      <c r="L186" s="709" t="s">
        <v>1149</v>
      </c>
      <c r="M186" s="712"/>
    </row>
    <row r="187" spans="1:13" ht="31" x14ac:dyDescent="0.35">
      <c r="A187" s="726" t="s">
        <v>1123</v>
      </c>
      <c r="B187" s="801" t="s">
        <v>1150</v>
      </c>
      <c r="C187" s="705" t="s">
        <v>446</v>
      </c>
      <c r="D187" s="707" t="s">
        <v>441</v>
      </c>
      <c r="E187" s="716" t="s">
        <v>1151</v>
      </c>
      <c r="F187" s="709" t="s">
        <v>1152</v>
      </c>
      <c r="G187" s="709"/>
      <c r="H187" s="709" t="s">
        <v>445</v>
      </c>
      <c r="I187" s="726"/>
      <c r="J187" s="712"/>
      <c r="K187" s="712"/>
      <c r="L187" s="709"/>
      <c r="M187" s="712"/>
    </row>
    <row r="188" spans="1:13" ht="31" x14ac:dyDescent="0.35">
      <c r="A188" s="726" t="s">
        <v>1123</v>
      </c>
      <c r="B188" s="801" t="s">
        <v>1153</v>
      </c>
      <c r="C188" s="705" t="s">
        <v>446</v>
      </c>
      <c r="D188" s="707" t="s">
        <v>441</v>
      </c>
      <c r="E188" s="716" t="s">
        <v>1154</v>
      </c>
      <c r="F188" s="709" t="s">
        <v>1155</v>
      </c>
      <c r="G188" s="709"/>
      <c r="H188" s="709" t="s">
        <v>445</v>
      </c>
      <c r="I188" s="726"/>
      <c r="J188" s="712"/>
      <c r="K188" s="712"/>
      <c r="L188" s="709"/>
      <c r="M188" s="712"/>
    </row>
    <row r="189" spans="1:13" ht="15.5" x14ac:dyDescent="0.35">
      <c r="A189" s="726" t="s">
        <v>1123</v>
      </c>
      <c r="B189" s="801" t="s">
        <v>1156</v>
      </c>
      <c r="C189" s="705" t="s">
        <v>440</v>
      </c>
      <c r="D189" s="707" t="s">
        <v>441</v>
      </c>
      <c r="E189" s="716" t="s">
        <v>1157</v>
      </c>
      <c r="F189" s="709" t="s">
        <v>1158</v>
      </c>
      <c r="G189" s="709"/>
      <c r="H189" s="709" t="s">
        <v>1159</v>
      </c>
      <c r="I189" s="726"/>
      <c r="J189" s="712"/>
      <c r="K189" s="712"/>
      <c r="L189" s="709"/>
      <c r="M189" s="712"/>
    </row>
    <row r="190" spans="1:13" ht="18" x14ac:dyDescent="0.35">
      <c r="A190" s="235"/>
      <c r="B190" s="258"/>
    </row>
    <row r="191" spans="1:13" ht="17.5" x14ac:dyDescent="0.35">
      <c r="A191" s="237"/>
      <c r="B191" s="259"/>
    </row>
    <row r="192" spans="1:13" ht="17.5" x14ac:dyDescent="0.35">
      <c r="A192" s="237"/>
      <c r="B192" s="259"/>
      <c r="C192" s="798" t="s">
        <v>729</v>
      </c>
    </row>
    <row r="193" spans="3:3" ht="15.5" x14ac:dyDescent="0.35">
      <c r="C193" s="786" t="s">
        <v>750</v>
      </c>
    </row>
    <row r="194" spans="3:3" ht="15.5" x14ac:dyDescent="0.35">
      <c r="C194" s="767" t="s">
        <v>655</v>
      </c>
    </row>
    <row r="195" spans="3:3" ht="15.5" x14ac:dyDescent="0.35">
      <c r="C195" s="1035" t="s">
        <v>467</v>
      </c>
    </row>
    <row r="196" spans="3:3" ht="15.5" x14ac:dyDescent="0.35">
      <c r="C196" s="705" t="s">
        <v>440</v>
      </c>
    </row>
  </sheetData>
  <autoFilter ref="A3:M189" xr:uid="{E8687198-4D6B-43F2-81E8-8138DC57E896}"/>
  <mergeCells count="1">
    <mergeCell ref="C2:F2"/>
  </mergeCells>
  <phoneticPr fontId="155" type="noConversion"/>
  <conditionalFormatting sqref="D105:E105 D13:E14 D6:E10 D16:E19 D21:E28 D108:E109 D131:E134 D118:E126 D144:E151 E131:E139 D134:I141 D153:E158 D163:D164 D164:E173 D180:E189 D142 F142:I142 E12 D128:E129 D112:E116 D54:E90 D92:E103 D30:E49">
    <cfRule type="cellIs" dxfId="224" priority="269" operator="equal">
      <formula>"In Progress"</formula>
    </cfRule>
    <cfRule type="cellIs" dxfId="223" priority="270" operator="equal">
      <formula>"Completed"</formula>
    </cfRule>
    <cfRule type="cellIs" dxfId="222" priority="271" operator="equal">
      <formula>"N/A"</formula>
    </cfRule>
    <cfRule type="cellIs" dxfId="221" priority="272" operator="equal">
      <formula>"Issue"</formula>
    </cfRule>
  </conditionalFormatting>
  <conditionalFormatting sqref="D161:E161">
    <cfRule type="cellIs" dxfId="220" priority="289" operator="equal">
      <formula>"In Progress"</formula>
    </cfRule>
    <cfRule type="cellIs" dxfId="219" priority="290" operator="equal">
      <formula>"Completed"</formula>
    </cfRule>
    <cfRule type="cellIs" dxfId="218" priority="291" operator="equal">
      <formula>"N/A"</formula>
    </cfRule>
    <cfRule type="cellIs" dxfId="217" priority="292" operator="equal">
      <formula>"Issue"</formula>
    </cfRule>
  </conditionalFormatting>
  <conditionalFormatting sqref="D160">
    <cfRule type="cellIs" dxfId="216" priority="229" operator="equal">
      <formula>"In Progress"</formula>
    </cfRule>
    <cfRule type="cellIs" dxfId="215" priority="230" operator="equal">
      <formula>"Completed"</formula>
    </cfRule>
    <cfRule type="cellIs" dxfId="214" priority="231" operator="equal">
      <formula>"N/A"</formula>
    </cfRule>
    <cfRule type="cellIs" dxfId="213" priority="232" operator="equal">
      <formula>"Issue"</formula>
    </cfRule>
  </conditionalFormatting>
  <conditionalFormatting sqref="D176:E178">
    <cfRule type="cellIs" dxfId="212" priority="225" operator="equal">
      <formula>"In Progress"</formula>
    </cfRule>
    <cfRule type="cellIs" dxfId="211" priority="226" operator="equal">
      <formula>"Completed"</formula>
    </cfRule>
    <cfRule type="cellIs" dxfId="210" priority="227" operator="equal">
      <formula>"N/A"</formula>
    </cfRule>
    <cfRule type="cellIs" dxfId="209" priority="228" operator="equal">
      <formula>"Issue"</formula>
    </cfRule>
  </conditionalFormatting>
  <conditionalFormatting sqref="D106:E106">
    <cfRule type="cellIs" dxfId="208" priority="205" operator="equal">
      <formula>"In Progress"</formula>
    </cfRule>
    <cfRule type="cellIs" dxfId="207" priority="206" operator="equal">
      <formula>"Completed"</formula>
    </cfRule>
    <cfRule type="cellIs" dxfId="206" priority="207" operator="equal">
      <formula>"N/A"</formula>
    </cfRule>
    <cfRule type="cellIs" dxfId="205" priority="208" operator="equal">
      <formula>"Issue"</formula>
    </cfRule>
  </conditionalFormatting>
  <conditionalFormatting sqref="D59:E59">
    <cfRule type="cellIs" dxfId="204" priority="197" operator="equal">
      <formula>"In Progress"</formula>
    </cfRule>
    <cfRule type="cellIs" dxfId="203" priority="198" operator="equal">
      <formula>"Completed"</formula>
    </cfRule>
    <cfRule type="cellIs" dxfId="202" priority="199" operator="equal">
      <formula>"N/A"</formula>
    </cfRule>
    <cfRule type="cellIs" dxfId="201" priority="200" operator="equal">
      <formula>"Issue"</formula>
    </cfRule>
  </conditionalFormatting>
  <conditionalFormatting sqref="D104:E104">
    <cfRule type="cellIs" dxfId="200" priority="189" operator="equal">
      <formula>"In Progress"</formula>
    </cfRule>
    <cfRule type="cellIs" dxfId="199" priority="190" operator="equal">
      <formula>"Completed"</formula>
    </cfRule>
    <cfRule type="cellIs" dxfId="198" priority="191" operator="equal">
      <formula>"N/A"</formula>
    </cfRule>
    <cfRule type="cellIs" dxfId="197" priority="192" operator="equal">
      <formula>"Issue"</formula>
    </cfRule>
  </conditionalFormatting>
  <conditionalFormatting sqref="D174:E174">
    <cfRule type="cellIs" dxfId="196" priority="173" operator="equal">
      <formula>"In Progress"</formula>
    </cfRule>
    <cfRule type="cellIs" dxfId="195" priority="174" operator="equal">
      <formula>"Completed"</formula>
    </cfRule>
    <cfRule type="cellIs" dxfId="194" priority="175" operator="equal">
      <formula>"N/A"</formula>
    </cfRule>
    <cfRule type="cellIs" dxfId="193" priority="176" operator="equal">
      <formula>"Issue"</formula>
    </cfRule>
  </conditionalFormatting>
  <conditionalFormatting sqref="D127:E127">
    <cfRule type="cellIs" dxfId="192" priority="169" operator="equal">
      <formula>"In Progress"</formula>
    </cfRule>
    <cfRule type="cellIs" dxfId="191" priority="170" operator="equal">
      <formula>"Completed"</formula>
    </cfRule>
    <cfRule type="cellIs" dxfId="190" priority="171" operator="equal">
      <formula>"N/A"</formula>
    </cfRule>
    <cfRule type="cellIs" dxfId="189" priority="172" operator="equal">
      <formula>"Issue"</formula>
    </cfRule>
  </conditionalFormatting>
  <conditionalFormatting sqref="D111:E111">
    <cfRule type="cellIs" dxfId="188" priority="161" operator="equal">
      <formula>"In Progress"</formula>
    </cfRule>
    <cfRule type="cellIs" dxfId="187" priority="162" operator="equal">
      <formula>"Completed"</formula>
    </cfRule>
    <cfRule type="cellIs" dxfId="186" priority="163" operator="equal">
      <formula>"N/A"</formula>
    </cfRule>
    <cfRule type="cellIs" dxfId="185" priority="164" operator="equal">
      <formula>"Issue"</formula>
    </cfRule>
  </conditionalFormatting>
  <conditionalFormatting sqref="D175:E175">
    <cfRule type="cellIs" dxfId="184" priority="149" operator="equal">
      <formula>"In Progress"</formula>
    </cfRule>
    <cfRule type="cellIs" dxfId="183" priority="150" operator="equal">
      <formula>"Completed"</formula>
    </cfRule>
    <cfRule type="cellIs" dxfId="182" priority="151" operator="equal">
      <formula>"N/A"</formula>
    </cfRule>
    <cfRule type="cellIs" dxfId="181" priority="152" operator="equal">
      <formula>"Issue"</formula>
    </cfRule>
  </conditionalFormatting>
  <conditionalFormatting sqref="D110:E110">
    <cfRule type="cellIs" dxfId="180" priority="141" operator="equal">
      <formula>"In Progress"</formula>
    </cfRule>
    <cfRule type="cellIs" dxfId="179" priority="142" operator="equal">
      <formula>"Completed"</formula>
    </cfRule>
    <cfRule type="cellIs" dxfId="178" priority="143" operator="equal">
      <formula>"N/A"</formula>
    </cfRule>
    <cfRule type="cellIs" dxfId="177" priority="144" operator="equal">
      <formula>"Issue"</formula>
    </cfRule>
  </conditionalFormatting>
  <conditionalFormatting sqref="D54:E54">
    <cfRule type="cellIs" dxfId="176" priority="129" operator="equal">
      <formula>"In Progress"</formula>
    </cfRule>
    <cfRule type="cellIs" dxfId="175" priority="130" operator="equal">
      <formula>"Completed"</formula>
    </cfRule>
    <cfRule type="cellIs" dxfId="174" priority="131" operator="equal">
      <formula>"N/A"</formula>
    </cfRule>
    <cfRule type="cellIs" dxfId="173" priority="132" operator="equal">
      <formula>"Issue"</formula>
    </cfRule>
  </conditionalFormatting>
  <conditionalFormatting sqref="D107:E107">
    <cfRule type="cellIs" dxfId="172" priority="117" operator="equal">
      <formula>"In Progress"</formula>
    </cfRule>
    <cfRule type="cellIs" dxfId="171" priority="118" operator="equal">
      <formula>"Completed"</formula>
    </cfRule>
    <cfRule type="cellIs" dxfId="170" priority="119" operator="equal">
      <formula>"N/A"</formula>
    </cfRule>
    <cfRule type="cellIs" dxfId="169" priority="120" operator="equal">
      <formula>"Issue"</formula>
    </cfRule>
  </conditionalFormatting>
  <conditionalFormatting sqref="D60:E60">
    <cfRule type="cellIs" dxfId="168" priority="109" operator="equal">
      <formula>"In Progress"</formula>
    </cfRule>
    <cfRule type="cellIs" dxfId="167" priority="110" operator="equal">
      <formula>"Completed"</formula>
    </cfRule>
    <cfRule type="cellIs" dxfId="166" priority="111" operator="equal">
      <formula>"N/A"</formula>
    </cfRule>
    <cfRule type="cellIs" dxfId="165" priority="112" operator="equal">
      <formula>"Issue"</formula>
    </cfRule>
  </conditionalFormatting>
  <conditionalFormatting sqref="D50:E50">
    <cfRule type="cellIs" dxfId="164" priority="97" operator="equal">
      <formula>"In Progress"</formula>
    </cfRule>
    <cfRule type="cellIs" dxfId="163" priority="98" operator="equal">
      <formula>"Completed"</formula>
    </cfRule>
    <cfRule type="cellIs" dxfId="162" priority="99" operator="equal">
      <formula>"N/A"</formula>
    </cfRule>
    <cfRule type="cellIs" dxfId="161" priority="100" operator="equal">
      <formula>"Issue"</formula>
    </cfRule>
  </conditionalFormatting>
  <conditionalFormatting sqref="D50:E50">
    <cfRule type="cellIs" dxfId="160" priority="93" operator="equal">
      <formula>"In Progress"</formula>
    </cfRule>
    <cfRule type="cellIs" dxfId="159" priority="94" operator="equal">
      <formula>"Completed"</formula>
    </cfRule>
    <cfRule type="cellIs" dxfId="158" priority="95" operator="equal">
      <formula>"N/A"</formula>
    </cfRule>
    <cfRule type="cellIs" dxfId="157" priority="96" operator="equal">
      <formula>"Issue"</formula>
    </cfRule>
  </conditionalFormatting>
  <conditionalFormatting sqref="D51:E51">
    <cfRule type="cellIs" dxfId="156" priority="89" operator="equal">
      <formula>"In Progress"</formula>
    </cfRule>
    <cfRule type="cellIs" dxfId="155" priority="90" operator="equal">
      <formula>"Completed"</formula>
    </cfRule>
    <cfRule type="cellIs" dxfId="154" priority="91" operator="equal">
      <formula>"N/A"</formula>
    </cfRule>
    <cfRule type="cellIs" dxfId="153" priority="92" operator="equal">
      <formula>"Issue"</formula>
    </cfRule>
  </conditionalFormatting>
  <conditionalFormatting sqref="D51:E51">
    <cfRule type="cellIs" dxfId="152" priority="85" operator="equal">
      <formula>"In Progress"</formula>
    </cfRule>
    <cfRule type="cellIs" dxfId="151" priority="86" operator="equal">
      <formula>"Completed"</formula>
    </cfRule>
    <cfRule type="cellIs" dxfId="150" priority="87" operator="equal">
      <formula>"N/A"</formula>
    </cfRule>
    <cfRule type="cellIs" dxfId="149" priority="88" operator="equal">
      <formula>"Issue"</formula>
    </cfRule>
  </conditionalFormatting>
  <conditionalFormatting sqref="D52:E52">
    <cfRule type="cellIs" dxfId="148" priority="81" operator="equal">
      <formula>"In Progress"</formula>
    </cfRule>
    <cfRule type="cellIs" dxfId="147" priority="82" operator="equal">
      <formula>"Completed"</formula>
    </cfRule>
    <cfRule type="cellIs" dxfId="146" priority="83" operator="equal">
      <formula>"N/A"</formula>
    </cfRule>
    <cfRule type="cellIs" dxfId="145" priority="84" operator="equal">
      <formula>"Issue"</formula>
    </cfRule>
  </conditionalFormatting>
  <conditionalFormatting sqref="D52:E52">
    <cfRule type="cellIs" dxfId="144" priority="77" operator="equal">
      <formula>"In Progress"</formula>
    </cfRule>
    <cfRule type="cellIs" dxfId="143" priority="78" operator="equal">
      <formula>"Completed"</formula>
    </cfRule>
    <cfRule type="cellIs" dxfId="142" priority="79" operator="equal">
      <formula>"N/A"</formula>
    </cfRule>
    <cfRule type="cellIs" dxfId="141" priority="80" operator="equal">
      <formula>"Issue"</formula>
    </cfRule>
  </conditionalFormatting>
  <conditionalFormatting sqref="D31:E33">
    <cfRule type="cellIs" dxfId="140" priority="69" operator="equal">
      <formula>"In Progress"</formula>
    </cfRule>
    <cfRule type="cellIs" dxfId="139" priority="70" operator="equal">
      <formula>"Completed"</formula>
    </cfRule>
    <cfRule type="cellIs" dxfId="138" priority="71" operator="equal">
      <formula>"N/A"</formula>
    </cfRule>
    <cfRule type="cellIs" dxfId="137" priority="72" operator="equal">
      <formula>"Issue"</formula>
    </cfRule>
  </conditionalFormatting>
  <conditionalFormatting sqref="E55">
    <cfRule type="cellIs" dxfId="136" priority="61" operator="equal">
      <formula>"In Progress"</formula>
    </cfRule>
    <cfRule type="cellIs" dxfId="135" priority="62" operator="equal">
      <formula>"Completed"</formula>
    </cfRule>
    <cfRule type="cellIs" dxfId="134" priority="63" operator="equal">
      <formula>"N/A"</formula>
    </cfRule>
    <cfRule type="cellIs" dxfId="133" priority="64" operator="equal">
      <formula>"Issue"</formula>
    </cfRule>
  </conditionalFormatting>
  <conditionalFormatting sqref="E160">
    <cfRule type="cellIs" dxfId="132" priority="13" operator="equal">
      <formula>"In Progress"</formula>
    </cfRule>
    <cfRule type="cellIs" dxfId="131" priority="14" operator="equal">
      <formula>"Completed"</formula>
    </cfRule>
    <cfRule type="cellIs" dxfId="130" priority="15" operator="equal">
      <formula>"N/A"</formula>
    </cfRule>
    <cfRule type="cellIs" dxfId="129" priority="16" operator="equal">
      <formula>"Issue"</formula>
    </cfRule>
  </conditionalFormatting>
  <conditionalFormatting sqref="E163:E164">
    <cfRule type="cellIs" dxfId="128" priority="9" operator="equal">
      <formula>"In Progress"</formula>
    </cfRule>
    <cfRule type="cellIs" dxfId="127" priority="10" operator="equal">
      <formula>"Completed"</formula>
    </cfRule>
    <cfRule type="cellIs" dxfId="126" priority="11" operator="equal">
      <formula>"N/A"</formula>
    </cfRule>
    <cfRule type="cellIs" dxfId="125" priority="12" operator="equal">
      <formula>"Issue"</formula>
    </cfRule>
  </conditionalFormatting>
  <conditionalFormatting sqref="E180:E182">
    <cfRule type="cellIs" dxfId="124" priority="5" operator="equal">
      <formula>"In Progress"</formula>
    </cfRule>
    <cfRule type="cellIs" dxfId="123" priority="6" operator="equal">
      <formula>"Completed"</formula>
    </cfRule>
    <cfRule type="cellIs" dxfId="122" priority="7" operator="equal">
      <formula>"N/A"</formula>
    </cfRule>
    <cfRule type="cellIs" dxfId="121" priority="8" operator="equal">
      <formula>"Issue"</formula>
    </cfRule>
  </conditionalFormatting>
  <conditionalFormatting sqref="F116">
    <cfRule type="cellIs" dxfId="120" priority="1" operator="equal">
      <formula>"In Progress"</formula>
    </cfRule>
    <cfRule type="cellIs" dxfId="119" priority="2" operator="equal">
      <formula>"Completed"</formula>
    </cfRule>
    <cfRule type="cellIs" dxfId="118" priority="3" operator="equal">
      <formula>"N/A"</formula>
    </cfRule>
    <cfRule type="cellIs" dxfId="117" priority="4" operator="equal">
      <formula>"Issue"</formula>
    </cfRule>
  </conditionalFormatting>
  <dataValidations count="2">
    <dataValidation type="list" allowBlank="1" showInputMessage="1" showErrorMessage="1" sqref="D3:D4" xr:uid="{D5A7D961-DC0F-4F79-8F8F-38760157A0F4}">
      <formula1>"N/A, In Progress, Completed, On Hold, Issue,TBD"</formula1>
    </dataValidation>
    <dataValidation type="list" allowBlank="1" showInputMessage="1" showErrorMessage="1" sqref="D12:D14 D160:D161 D6:D10 D16:D19 D21:D28 D131:D142 D118:D129 D180:D189 D144:D158 D163:D178 D54:D90 D92:D116 D30:D52" xr:uid="{F2E3C9D8-662F-41C5-86D0-C44578B6951D}">
      <formula1>"N/A, In Progress, Completed, On Hold, Issue, TBD, Open"</formula1>
    </dataValidation>
  </dataValidations>
  <hyperlinks>
    <hyperlink ref="L72" r:id="rId1" display="https://urldefense.proofpoint.com/v2/url?u=https-3A__share.antheminc.com_teams_DDCS_IBM-2520Data-2520Center-2520Migration_Forms_AllItems.aspx&amp;d=DwMGaQ&amp;c=jf_iaSHvJObTbx-siA1ZOg&amp;r=8wcFAe8bwwl1_9jxUyboEzp67V9tFGlnHtSaayOZmuY&amp;m=EK9FKBVFWDEZHFwSj_ZfGq3abIl5KEBWcDQrVn3trI4&amp;s=NuyS9yPI19R6i-9ujUrKvTKBE4EquPNU63Wkp1nd8hE&amp;e=" xr:uid="{645BCE25-10BA-4B27-982E-262F71AE6C97}"/>
    <hyperlink ref="K10" r:id="rId2" xr:uid="{7AB03035-D35A-4506-989D-014844D8A56D}"/>
    <hyperlink ref="K24" r:id="rId3" xr:uid="{642A189E-FE8F-437D-B9CC-E014F0C84FD3}"/>
    <hyperlink ref="K27" r:id="rId4" xr:uid="{05EF650A-F7B1-44A4-911A-015F10AA8329}"/>
    <hyperlink ref="K102" r:id="rId5" xr:uid="{0A894EF4-914A-4C20-9370-7EC28E14C0BA}"/>
    <hyperlink ref="K99" r:id="rId6" xr:uid="{BA89FBC6-E249-40B0-8A5D-98571508299F}"/>
    <hyperlink ref="K113" r:id="rId7" xr:uid="{13E1E436-A63A-4701-A82F-6C602EB4124D}"/>
    <hyperlink ref="C1" r:id="rId8" xr:uid="{9A3C8973-6F56-4CE3-A5D0-641F7F5BC08C}"/>
    <hyperlink ref="K8" r:id="rId9" xr:uid="{DB7F7733-1C05-4C68-BD50-36BA64057473}"/>
    <hyperlink ref="J8" r:id="rId10" display="https://kyndryl.sharepoint.com/sites/AnthemMigrationTeam/Shared Documents/Forms/AllItems.aspx?id=%2Fsites%2FAnthemMigrationTeam%2FShared%20Documents%2FGeneral%2F09%2E%20ADAI%20Go%2DLive%20Cutover%20Runbooks%2FTemplates%2FApplication%20Questionnaire%20Template&amp;viewid=95549e42%2D2880%2D4fa8%2D9320%2D5dddc68f7649" xr:uid="{375CCE08-D0C1-4632-B9AD-2B00A3A9BF28}"/>
    <hyperlink ref="K35" r:id="rId11" display="https://kyndryl.sharepoint.com/sites/AnthemMigrationProject/SitePages/Refresh-Program.aspx" xr:uid="{A532D4C6-016D-4FE0-83DB-F7CE2CCA28A8}"/>
    <hyperlink ref="K36" r:id="rId12" display="https://kyndryl.sharepoint.com/sites/AnthemMigrationProject/SitePages/Patching-Schedule-Process.aspx" xr:uid="{5E887893-1D45-4A29-8352-DB173B83B2DC}"/>
    <hyperlink ref="K13" r:id="rId13" display="https://kyndryl.sharepoint.com/sites/AnthemMigrationProject/SitePages/2023-Enterprise-Release-Calendar.aspx" xr:uid="{86BF8120-53B3-42CF-8F54-FE6121BF7693}"/>
    <hyperlink ref="K16" r:id="rId14" display="https://kyndryl.sharepoint.com/sites/AnthemMigrationTeam/Shared Documents/Forms/AllItems.aspx?id=%2Fsites%2FAnthemMigrationTeam%2FShared%20Documents%2FGeneral%2F09%2E%20ADAI%20Go%2DLive%20Cutover%20Runbooks%2FTemplates%2FKick%20off%20Deck%20Template&amp;viewid=95549e42%2D2880%2D4fa8%2D9320%2D5dddc68f7649" xr:uid="{C23A4A8C-FABD-418A-A64E-B069017010A4}"/>
    <hyperlink ref="L16" r:id="rId15" display="https://kyndryl.sharepoint.com/sites/AnthemMigrationTeam/Shared Documents/Forms/AllItems.aspx?id=%2Fsites%2FAnthemMigrationTeam%2FShared%20Documents%2FGeneral%2F09%2E%20ADAI%20Go%2DLive%20Cutover%20Runbooks%2FTemplates%2FDistribution%20Lists&amp;viewid=95549e42%2D2880%2D4fa8%2D9320%2D5dddc68f7649" xr:uid="{88E3BCF4-D35E-4C09-94F7-3AA79CC2DB4A}"/>
    <hyperlink ref="K37" r:id="rId16" display="https://kyndryl.sharepoint.com/sites/AnthemCirrusTTProgram/Shared Documents/Forms/AllItems.aspx?csf=1&amp;web=1&amp;e=2WCX9T&amp;cid=5ec21e32%2De7ec%2D4bc5%2Da7da%2D51676d37b10b&amp;RootFolder=%2Fsites%2FAnthemCirrusTTProgram%2FShared%20Documents%2FCommunications%2FAD%26AI%20%2D%20Migrations%20Physical%20to%20Virtual%20Assessments&amp;FolderCTID=0x012000E28970F06B1471489CC47C505BB1AAE8" xr:uid="{9C3D6918-42B3-49A1-8309-5AB0E9AB76D8}"/>
    <hyperlink ref="K67" r:id="rId17" display="https://kyndryl.sharepoint.com/sites/AnthemMigrationProject/SitePages/Patching-Schedule-Process.aspx" xr:uid="{3F86927E-ABE2-4C0A-9ED8-5862A28EBF2F}"/>
    <hyperlink ref="K68" r:id="rId18" display="https://kyndryl.sharepoint.com/sites/AnthemMigrationProject/SitePages/Security-Re.aspx" xr:uid="{61EE89AD-836E-48A3-973B-42688FD2F74B}"/>
    <hyperlink ref="K72" r:id="rId19" display="https://kyndryl.sharepoint.com/sites/AnthemMigrationTeam/Shared Documents/Forms/AllItems.aspx?id=%2Fsites%2FAnthemMigrationTeam%2FShared%20Documents%2FGeneral%2F09%2E%20ADAI%20Go%2DLive%20Cutover%20Runbooks%2FMIGRATION%20EVENTS%20%2D%20HARRISONBURG%20%26%20RICHMOND&amp;viewid=95549e42%2D2880%2D4fa8%2D9320%2D5dddc68f7649" xr:uid="{A13B5BCC-DCF4-49FB-ADA5-CC7BAADBC171}"/>
    <hyperlink ref="K94" r:id="rId20" display="https://kyndryl.sharepoint.com/sites/AnthemMigrationProject/SitePages/NAT IP.aspx?csf=1&amp;web=1&amp;e=DsbbOB" xr:uid="{1984B694-680B-4E38-96F8-3B374FB15FFA}"/>
    <hyperlink ref="K38" r:id="rId21" display="https://kyndryl.sharepoint.com/sites/AnthemMigrationProject/SitePages/Exadata.aspx?csf=1&amp;web=1&amp;e=8kB9ON" xr:uid="{053A1963-46D5-431D-B16C-7A5F8110457E}"/>
    <hyperlink ref="K39" r:id="rId22" display="https://kyndryl.sharepoint.com/sites/AnthemMigrationProject/SitePages/Illumio-Process.aspx" xr:uid="{672E11FD-5F57-4AA9-919A-EB61729D0874}"/>
    <hyperlink ref="K60" r:id="rId23" display="https://kyndryl.sharepoint.com/sites/AnthemMigrationProject/SitePages/F5.aspx?csf=1&amp;web=1&amp;e=r7v97z" xr:uid="{5128EEA0-C72B-4B26-8E3C-03D03AEBD6FA}"/>
    <hyperlink ref="K98" r:id="rId24" xr:uid="{31799856-7416-4BDF-946F-F29DC5B6DA41}"/>
    <hyperlink ref="K114" r:id="rId25" display="https://kyndryl.sharepoint.com/sites/AnthemMigrationProject/SitePages/DNS-Process.aspx?csf=1&amp;web=1&amp;e=wqU4wB" xr:uid="{6CF4B45C-D090-43ED-B2C9-7224576A987D}"/>
    <hyperlink ref="K118" r:id="rId26" display="https://kyndryl.sharepoint.com/sites/AnthemMigrationProject/SitePages/VM---Vulnerability-Scans.aspx" xr:uid="{0967DC01-8270-45B7-9289-712C3E7517CF}"/>
    <hyperlink ref="K54" r:id="rId27" display="https://kyndryl.sharepoint.com/sites/AnthemMigrationProject/SitePages/VM---Vulnerability-Scans.aspx" xr:uid="{57C2E2BC-4874-4FCA-8BBA-BE0BCD3AA033}"/>
    <hyperlink ref="K34" r:id="rId28" display="https://kyndryl.sharepoint.com/sites/AnthemMigrationProject/SitePages/VM---Vulnerability-Scans.aspx" xr:uid="{C4CE697B-A75D-44F5-BED5-A0A23A4F9186}"/>
    <hyperlink ref="K119" r:id="rId29" display="https://kyndryl.sharepoint.com/sites/AnthemMigrationProject/SitePages/Illumio-Process.aspx" xr:uid="{35A8A1CD-486A-4C04-B184-8C06625C75A3}"/>
    <hyperlink ref="K139" r:id="rId30" display="https://kyndryl.sharepoint.com/sites/AnthemMigrationTeam/Shared Documents/Forms/AllItems.aspx?id=%2Fsites%2FAnthemMigrationTeam%2FShared%20Documents%2FGeneral%2F09%2E%20ADAI%20Go%2DLive%20Cutover%20Runbooks%2FTemplates%2FDistribution%20Lists&amp;viewid=95549e42%2D2880%2D4fa8%2D9320%2D5dddc68f7649" xr:uid="{E68236BA-FEAC-4D67-BC1F-DB994B77F667}"/>
    <hyperlink ref="K140" r:id="rId31" display="https://kyndryl.sharepoint.com/sites/AnthemMigrationTeam/Shared Documents/Forms/AllItems.aspx?id=%2Fsites%2FAnthemMigrationTeam%2FShared%20Documents%2FGeneral%2F09%2E%20ADAI%20Go%2DLive%20Cutover%20Runbooks%2FTemplates%2FDistribution%20Lists&amp;viewid=95549e42%2D2880%2D4fa8%2D9320%2D5dddc68f7649" xr:uid="{28F5845E-6786-4096-B932-4DA48FC089FD}"/>
    <hyperlink ref="K141" r:id="rId32" display="https://kyndryl.sharepoint.com/sites/AnthemMigrationTeam/Shared Documents/Forms/AllItems.aspx?id=%2Fsites%2FAnthemMigrationTeam%2FShared%20Documents%2FGeneral%2F09%2E%20ADAI%20Go%2DLive%20Cutover%20Runbooks%2FTemplates%2FDistribution%20Lists&amp;viewid=95549e42%2D2880%2D4fa8%2D9320%2D5dddc68f7649" xr:uid="{E4BD27EF-0067-40C6-A77C-0DC8A123E51A}"/>
    <hyperlink ref="K164" r:id="rId33" xr:uid="{0396934D-E357-462B-9CB8-C879CE793926}"/>
    <hyperlink ref="K17" r:id="rId34" display="https://kyndryl.sharepoint.com/sites/AnthemMigrationProject/SitePages/DB-Contacts.aspx" xr:uid="{A5B4CB1B-1DCE-4D28-AC15-F39CA4A46735}"/>
    <hyperlink ref="K18" r:id="rId35" display="https://kyndryl.sharepoint.com/sites/AnthemMigrationProject/SitePages/VM---Vulnerability-Scans.aspx" xr:uid="{4FD09DF0-9CCE-4E39-8260-14CF3E57E2AE}"/>
    <hyperlink ref="K31" r:id="rId36" display="https://kyndryl.sharepoint.com/sites/AnthemMigrationProject/SitePages/Target-IPs.aspx" xr:uid="{525ADEB9-0E3C-4F6C-A847-24439457F2D1}"/>
    <hyperlink ref="K70" r:id="rId37" display="https://kyndryl.sharepoint.com/sites/AnthemMigrationProject/SitePages/backup.aspx?csf=1&amp;web=1&amp;e=fbGlFA" xr:uid="{2EFC9E57-1161-4AD0-A492-5330381D45F7}"/>
    <hyperlink ref="K157" r:id="rId38" display="https://kyndryl.sharepoint.com/sites/AnthemMigrationProject/SitePages/Monitoring-Process.aspx" xr:uid="{6C9C5DBE-185A-4188-8B4D-7070A6646F6D}"/>
    <hyperlink ref="K168" r:id="rId39" display="https://kyndryl.sharepoint.com/sites/AnthemMigrationProject/SitePages/Post-Migration-Tasks.aspx" xr:uid="{A84F35C5-67C9-49A6-B5E4-AF01490BFBC1}"/>
    <hyperlink ref="K167" r:id="rId40" display="https://kyndryl.sharepoint.com/sites/AnthemMigrationProject/SitePages/Post-Migration-Tasks.aspx" xr:uid="{D0AAFE7A-8F72-47E5-965B-C19D25DC4BC9}"/>
    <hyperlink ref="K57" r:id="rId41" display="https://kyndryl.sharepoint.com/sites/AnthemMigrationTeam/Shared Documents/Forms/AllItems.aspx?id=%2Fsites%2FAnthemMigrationTeam%2FShared%20Documents%2FGeneral%2F27%2E%20ADAI%20SME%20Team%20Folder%2FTo%20identify%20a%20server%20provisioned%20with%20storage&amp;viewid=95549e42%2D2880%2D4fa8%2D9320%2D5dddc68f7649&amp;OR=Teams%2DHL&amp;CT=1684256059014&amp;clickparams=eyJBcHBOYW1lIjoiVGVhbXMtRGVza3RvcCIsIkFwcFZlcnNpb24iOiIyNy8yMzA0MDIwMjcwNSIsIkhhc0ZlZGVyYXRlZFVzZXIiOmZhbHNlfQ%3D%3D" xr:uid="{F0944A53-FD00-45FE-B42E-C1DE662F038D}"/>
    <hyperlink ref="K58" r:id="rId42" display="https://kyndryl.sharepoint.com/sites/AnthemMigrationTeam/Shared Documents/Forms/AllItems.aspx?OR=Teams%2DHL&amp;CT=1684273520682&amp;clickparams=eyJBcHBOYW1lIjoiVGVhbXMtRGVza3RvcCIsIkFwcFZlcnNpb24iOiIyNy8yMzA0MDIwMjcwNSIsIkhhc0ZlZGVyYXRlZFVzZXIiOmZhbHNlfQ%3D%3D&amp;id=%2Fsites%2FAnthemMigrationTeam%2FShared%20Documents%2FGeneral%2F09%2E%20ADAI%20Go%2DLive%20Cutover%20Runbooks%2FMIGRATION%20EVENTS%20%2D%20HARRISONBURG%20%26%20RICHMOND&amp;viewid=95549e42%2D2880%2D4fa8%2D9320%2D5dddc68f7649" xr:uid="{8465CE2F-354B-41C2-9E41-EFB0D987B98C}"/>
    <hyperlink ref="K56" r:id="rId43" display="https://kyndryl.sharepoint.com/sites/AnthemMigrationTeam/Shared Documents/Forms/AllItems.aspx?id=%2Fsites%2FAnthemMigrationTeam%2FShared%20Documents%2FGeneral%2F09%2E%20ADAI%20Go%2DLive%20Cutover%20Runbooks%2FMIGRATION%20EVENTS%20%2D%20HARRISONBURG%20%26%20RICHMOND%2FMEATST%2FPhysical%20Servers%20P2P%20or%20P2V%20Assessment&amp;viewid=95549e42%2D2880%2D4fa8%2D9320%2D5dddc68f7649" xr:uid="{7EDDBB35-C1E3-41C3-8EF6-EC17120A6F95}"/>
    <hyperlink ref="L156" r:id="rId44" display="Elevance Sharepoint Site" xr:uid="{24227A36-41CE-482F-B61A-A4C45CDBE677}"/>
    <hyperlink ref="K156" r:id="rId45" xr:uid="{1CC3ED5B-5BFE-4D5B-B9C3-433FBD2D4BA9}"/>
    <hyperlink ref="K171" r:id="rId46" xr:uid="{06526B7E-B63A-4C16-BFE1-53B0D20702B2}"/>
    <hyperlink ref="K151" r:id="rId47" display="https://kyndryl.sharepoint.com/sites/AnthemMigrationTeam/Shared Documents/Forms/AllItems.aspx?id=%2Fsites%2FAnthemMigrationTeam%2FShared%20Documents%2FGeneral%2F09%2E%20ADAI%20Go%2DLive%20Cutover%20Runbooks%2FTemplates%2FDistribution%20Lists&amp;viewid=95549e42%2D2880%2D4fa8%2D9320%2D5dddc68f7649" xr:uid="{28DA494F-E20F-4D60-B649-EBA2B5E71DBB}"/>
    <hyperlink ref="K6" r:id="rId48" xr:uid="{2A76CC92-AE6D-4C56-9BEE-AFA1F50A214B}"/>
  </hyperlinks>
  <pageMargins left="0.7" right="0.7" top="0.75" bottom="0.75" header="0.3" footer="0.3"/>
  <pageSetup orientation="portrait" r:id="rId49"/>
  <drawing r:id="rId50"/>
  <legacyDrawing r:id="rId5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4A937-D14D-4205-A474-164D47E18B71}">
  <sheetPr codeName="Sheet7">
    <tabColor rgb="FFFF452D"/>
  </sheetPr>
  <dimension ref="A1:P92"/>
  <sheetViews>
    <sheetView zoomScale="80" zoomScaleNormal="80" workbookViewId="0">
      <pane ySplit="3" topLeftCell="A65" activePane="bottomLeft" state="frozen"/>
      <selection pane="bottomLeft" activeCell="C2" sqref="C2"/>
    </sheetView>
  </sheetViews>
  <sheetFormatPr defaultColWidth="36.453125" defaultRowHeight="14" outlineLevelRow="2" x14ac:dyDescent="0.35"/>
  <cols>
    <col min="1" max="1" width="24.453125" style="123" bestFit="1" customWidth="1"/>
    <col min="2" max="2" width="92.81640625" style="123" customWidth="1"/>
    <col min="3" max="3" width="33.54296875" style="123" customWidth="1"/>
    <col min="4" max="4" width="25.453125" style="123" customWidth="1"/>
    <col min="5" max="5" width="31" style="123" bestFit="1" customWidth="1"/>
    <col min="6" max="6" width="23.1796875" style="123" customWidth="1"/>
    <col min="7" max="7" width="31" style="123" bestFit="1" customWidth="1"/>
    <col min="8" max="8" width="77.81640625" style="123" customWidth="1"/>
    <col min="9" max="9" width="2.81640625" style="123" customWidth="1"/>
    <col min="10" max="10" width="10.1796875" style="123" hidden="1" customWidth="1"/>
    <col min="11" max="11" width="20.1796875" style="123" hidden="1" customWidth="1"/>
    <col min="12" max="12" width="9.81640625" style="123" hidden="1" customWidth="1"/>
    <col min="13" max="13" width="11.453125" style="123" hidden="1" customWidth="1"/>
    <col min="14" max="14" width="19.453125" style="123" hidden="1" customWidth="1"/>
    <col min="15" max="15" width="8.1796875" style="123" customWidth="1"/>
    <col min="16" max="16" width="62.81640625" style="123" customWidth="1"/>
    <col min="17" max="16384" width="36.453125" style="123"/>
  </cols>
  <sheetData>
    <row r="1" spans="1:14" ht="48.65" customHeight="1" x14ac:dyDescent="0.35">
      <c r="B1" s="128"/>
    </row>
    <row r="2" spans="1:14" ht="50.9" customHeight="1" x14ac:dyDescent="0.35">
      <c r="A2" s="224"/>
      <c r="B2" s="824" t="s">
        <v>1160</v>
      </c>
      <c r="C2" s="825"/>
      <c r="D2" s="825"/>
      <c r="E2" s="826"/>
      <c r="F2" s="826"/>
      <c r="G2" s="826"/>
      <c r="H2" s="827"/>
      <c r="I2" s="828"/>
      <c r="J2" s="829"/>
      <c r="K2" s="830"/>
      <c r="L2" s="830"/>
      <c r="M2" s="830"/>
      <c r="N2" s="830"/>
    </row>
    <row r="3" spans="1:14" ht="59.15" customHeight="1" x14ac:dyDescent="0.35">
      <c r="A3" s="133" t="s">
        <v>1161</v>
      </c>
      <c r="B3" s="831" t="s">
        <v>390</v>
      </c>
      <c r="C3" s="831" t="s">
        <v>1162</v>
      </c>
      <c r="D3" s="831" t="s">
        <v>434</v>
      </c>
      <c r="E3" s="832" t="s">
        <v>1163</v>
      </c>
      <c r="F3" s="832" t="s">
        <v>1164</v>
      </c>
      <c r="G3" s="832" t="s">
        <v>1165</v>
      </c>
      <c r="H3" s="831" t="s">
        <v>421</v>
      </c>
      <c r="I3" s="828"/>
      <c r="J3" s="127" t="s">
        <v>1166</v>
      </c>
      <c r="K3" s="833" t="s">
        <v>1167</v>
      </c>
      <c r="L3" s="833" t="s">
        <v>1168</v>
      </c>
      <c r="M3" s="833" t="s">
        <v>1169</v>
      </c>
      <c r="N3" s="833" t="s">
        <v>133</v>
      </c>
    </row>
    <row r="4" spans="1:14" ht="26.9" customHeight="1" x14ac:dyDescent="0.35">
      <c r="A4" s="834"/>
      <c r="B4" s="835" t="s">
        <v>1170</v>
      </c>
      <c r="C4" s="836"/>
      <c r="D4" s="836"/>
      <c r="E4" s="837"/>
      <c r="F4" s="837"/>
      <c r="G4" s="838"/>
      <c r="H4" s="839"/>
      <c r="I4" s="840"/>
      <c r="J4" s="841"/>
      <c r="K4" s="842"/>
      <c r="L4" s="842"/>
      <c r="M4" s="842"/>
      <c r="N4" s="842"/>
    </row>
    <row r="5" spans="1:14" ht="30" customHeight="1" x14ac:dyDescent="0.35">
      <c r="A5" s="843"/>
      <c r="B5" s="844" t="s">
        <v>1171</v>
      </c>
      <c r="C5" s="845" t="s">
        <v>445</v>
      </c>
      <c r="D5" s="846"/>
      <c r="E5" s="847">
        <v>44433.368055555555</v>
      </c>
      <c r="F5" s="848">
        <v>5</v>
      </c>
      <c r="G5" s="849">
        <f>E5+TIME(0,F5,0)</f>
        <v>44433.371527777774</v>
      </c>
      <c r="H5" s="850"/>
      <c r="I5" s="840"/>
      <c r="J5" s="851"/>
      <c r="K5" s="852" t="str">
        <f>IF(SUMPRODUCT(--(J5:J5&lt;&gt;"n/a"))&gt;0,IF(SUMPRODUCT((J5:J5&lt;&gt;"n/a")*(J5:J5&lt;&gt;""))&gt;0,IF(K5&lt;&gt;"",K5,GetETwithDST()),""),"")</f>
        <v/>
      </c>
      <c r="L5" s="853" t="str">
        <f>IF(AND(K5&lt;&gt;"",M5&lt;&gt;""), M5-K5,"")</f>
        <v/>
      </c>
      <c r="M5" s="854" t="str">
        <f>IF(SUMPRODUCT(--(J5:J5&lt;&gt;"n/a"))=0,"",IF(SUMPRODUCT((J5:J5&lt;&gt;"n/a")*(J5:J5&lt;&gt;"c"))=0,IF(M5&lt;&gt;"",M5,GetETwithDST()),""))</f>
        <v/>
      </c>
      <c r="N5" s="855"/>
    </row>
    <row r="6" spans="1:14" ht="41.15" customHeight="1" x14ac:dyDescent="0.35">
      <c r="A6" s="843"/>
      <c r="B6" s="844" t="s">
        <v>1172</v>
      </c>
      <c r="C6" s="845" t="s">
        <v>445</v>
      </c>
      <c r="D6" s="846"/>
      <c r="E6" s="847">
        <f>E5</f>
        <v>44433.368055555555</v>
      </c>
      <c r="F6" s="848">
        <v>5</v>
      </c>
      <c r="G6" s="849">
        <f>E6+TIME(0,F6,0)</f>
        <v>44433.371527777774</v>
      </c>
      <c r="H6" s="850"/>
      <c r="I6" s="840"/>
      <c r="J6" s="851"/>
      <c r="K6" s="852" t="str">
        <f>IF(SUMPRODUCT(--(J6:J6&lt;&gt;"n/a"))&gt;0,IF(SUMPRODUCT((J6:J6&lt;&gt;"n/a")*(J6:J6&lt;&gt;""))&gt;0,IF(K6&lt;&gt;"",K6,GetETwithDST()),""),"")</f>
        <v/>
      </c>
      <c r="L6" s="853" t="str">
        <f>IF(AND(K6&lt;&gt;"",M6&lt;&gt;""), M6-K6,"")</f>
        <v/>
      </c>
      <c r="M6" s="854" t="str">
        <f>IF(SUMPRODUCT(--(J6:J6&lt;&gt;"n/a"))=0,"",IF(SUMPRODUCT((J6:J6&lt;&gt;"n/a")*(J6:J6&lt;&gt;"c"))=0,IF(M6&lt;&gt;"",M6,GetETwithDST()),""))</f>
        <v/>
      </c>
      <c r="N6" s="855"/>
    </row>
    <row r="7" spans="1:14" ht="29.15" customHeight="1" x14ac:dyDescent="0.35">
      <c r="A7" s="843"/>
      <c r="B7" s="844" t="s">
        <v>1173</v>
      </c>
      <c r="C7" s="845" t="s">
        <v>1174</v>
      </c>
      <c r="D7" s="846"/>
      <c r="E7" s="847">
        <f>G5</f>
        <v>44433.371527777774</v>
      </c>
      <c r="F7" s="848">
        <v>2</v>
      </c>
      <c r="G7" s="849">
        <f>E7+TIME(0,F7,0)</f>
        <v>44433.37291666666</v>
      </c>
      <c r="H7" s="850"/>
      <c r="I7" s="840"/>
      <c r="J7" s="851"/>
      <c r="K7" s="852" t="str">
        <f>IF(SUMPRODUCT(--(J7:J7&lt;&gt;"n/a"))&gt;0,IF(SUMPRODUCT((J7:J7&lt;&gt;"n/a")*(J7:J7&lt;&gt;""))&gt;0,IF(K7&lt;&gt;"",K7,GetETwithDST()),""),"")</f>
        <v/>
      </c>
      <c r="L7" s="853" t="str">
        <f>IF(AND(K7&lt;&gt;"",M7&lt;&gt;""), M7-K7,"")</f>
        <v/>
      </c>
      <c r="M7" s="854" t="str">
        <f>IF(SUMPRODUCT(--(J7:J7&lt;&gt;"n/a"))=0,"",IF(SUMPRODUCT((J7:J7&lt;&gt;"n/a")*(J7:J7&lt;&gt;"c"))=0,IF(M7&lt;&gt;"",M7,GetETwithDST()),""))</f>
        <v/>
      </c>
      <c r="N7" s="855"/>
    </row>
    <row r="8" spans="1:14" ht="35" x14ac:dyDescent="0.35">
      <c r="A8" s="856"/>
      <c r="B8" s="844" t="s">
        <v>1175</v>
      </c>
      <c r="C8" s="845" t="s">
        <v>445</v>
      </c>
      <c r="D8" s="846"/>
      <c r="E8" s="847">
        <f>G5</f>
        <v>44433.371527777774</v>
      </c>
      <c r="F8" s="848">
        <v>2</v>
      </c>
      <c r="G8" s="849">
        <f>E8+TIME(0,F8,0)</f>
        <v>44433.37291666666</v>
      </c>
      <c r="H8" s="850"/>
      <c r="I8" s="840"/>
      <c r="J8" s="851"/>
      <c r="K8" s="852"/>
      <c r="L8" s="853"/>
      <c r="M8" s="854"/>
      <c r="N8" s="855"/>
    </row>
    <row r="9" spans="1:14" s="245" customFormat="1" ht="52.5" x14ac:dyDescent="0.35">
      <c r="A9" s="857"/>
      <c r="B9" s="858" t="s">
        <v>1176</v>
      </c>
      <c r="C9" s="859" t="s">
        <v>1177</v>
      </c>
      <c r="D9" s="860"/>
      <c r="E9" s="861">
        <f>G6</f>
        <v>44433.371527777774</v>
      </c>
      <c r="F9" s="862">
        <v>5</v>
      </c>
      <c r="G9" s="863">
        <f>E9+TIME(0,F9,0)</f>
        <v>44433.374999999993</v>
      </c>
      <c r="H9" s="864" t="s">
        <v>1115</v>
      </c>
      <c r="I9" s="865"/>
      <c r="J9" s="866"/>
      <c r="K9" s="867"/>
      <c r="L9" s="868"/>
      <c r="M9" s="869"/>
      <c r="N9" s="870"/>
    </row>
    <row r="10" spans="1:14" s="245" customFormat="1" ht="52.5" x14ac:dyDescent="0.35">
      <c r="A10" s="857"/>
      <c r="B10" s="858" t="s">
        <v>1178</v>
      </c>
      <c r="C10" s="859" t="s">
        <v>1179</v>
      </c>
      <c r="D10" s="860"/>
      <c r="E10" s="861"/>
      <c r="F10" s="862"/>
      <c r="G10" s="863"/>
      <c r="H10" s="864" t="s">
        <v>1180</v>
      </c>
      <c r="I10" s="865"/>
      <c r="J10" s="866"/>
      <c r="K10" s="867"/>
      <c r="L10" s="868"/>
      <c r="M10" s="869"/>
      <c r="N10" s="870"/>
    </row>
    <row r="11" spans="1:14" s="245" customFormat="1" ht="17.5" x14ac:dyDescent="0.35">
      <c r="A11" s="857"/>
      <c r="B11" s="858" t="s">
        <v>1181</v>
      </c>
      <c r="C11" s="859" t="s">
        <v>1179</v>
      </c>
      <c r="D11" s="860"/>
      <c r="E11" s="861">
        <f>G7</f>
        <v>44433.37291666666</v>
      </c>
      <c r="F11" s="862">
        <v>5</v>
      </c>
      <c r="G11" s="863">
        <f>E11+TIME(0,F11,0)</f>
        <v>44433.376388888879</v>
      </c>
      <c r="H11" s="246" t="s">
        <v>1182</v>
      </c>
      <c r="I11" s="865"/>
      <c r="J11" s="866"/>
      <c r="K11" s="867"/>
      <c r="L11" s="868"/>
      <c r="M11" s="869"/>
      <c r="N11" s="870"/>
    </row>
    <row r="12" spans="1:14" ht="30" customHeight="1" x14ac:dyDescent="0.35">
      <c r="A12" s="871"/>
      <c r="B12" s="872" t="s">
        <v>1183</v>
      </c>
      <c r="C12" s="873"/>
      <c r="D12" s="874"/>
      <c r="E12" s="875">
        <f>E5</f>
        <v>44433.368055555555</v>
      </c>
      <c r="F12" s="876">
        <f>IF(AND(E12&lt;&gt;"",G12&lt;&gt;""), G12-E12,"")</f>
        <v>8.3333333241171204E-3</v>
      </c>
      <c r="G12" s="877">
        <f>G11</f>
        <v>44433.376388888879</v>
      </c>
      <c r="H12" s="878"/>
      <c r="I12" s="879"/>
      <c r="J12" s="880"/>
      <c r="K12" s="881"/>
      <c r="L12" s="881"/>
      <c r="M12" s="881"/>
      <c r="N12" s="881"/>
    </row>
    <row r="13" spans="1:14" ht="30" customHeight="1" x14ac:dyDescent="0.35">
      <c r="A13" s="882" t="s">
        <v>1184</v>
      </c>
      <c r="B13" s="883" t="s">
        <v>1185</v>
      </c>
      <c r="C13" s="884"/>
      <c r="D13" s="885"/>
      <c r="E13" s="886">
        <v>44433.375</v>
      </c>
      <c r="F13" s="887">
        <v>0</v>
      </c>
      <c r="G13" s="888">
        <f>E13+TIME(0,F13,0)</f>
        <v>44433.375</v>
      </c>
      <c r="H13" s="889" t="s">
        <v>1186</v>
      </c>
      <c r="I13" s="879"/>
      <c r="J13" s="880"/>
      <c r="K13" s="881"/>
      <c r="L13" s="881"/>
      <c r="M13" s="881"/>
      <c r="N13" s="881"/>
    </row>
    <row r="14" spans="1:14" ht="38.25" customHeight="1" x14ac:dyDescent="0.35">
      <c r="A14" s="834"/>
      <c r="B14" s="835" t="s">
        <v>1187</v>
      </c>
      <c r="C14" s="836"/>
      <c r="D14" s="836"/>
      <c r="E14" s="837"/>
      <c r="F14" s="837"/>
      <c r="G14" s="838"/>
      <c r="H14" s="839"/>
      <c r="I14" s="840"/>
      <c r="J14" s="890"/>
      <c r="K14" s="891"/>
      <c r="L14" s="891"/>
      <c r="M14" s="891"/>
      <c r="N14" s="891"/>
    </row>
    <row r="15" spans="1:14" ht="70" x14ac:dyDescent="0.35">
      <c r="A15" s="892" t="s">
        <v>1184</v>
      </c>
      <c r="B15" s="893" t="s">
        <v>1188</v>
      </c>
      <c r="C15" s="894" t="s">
        <v>1189</v>
      </c>
      <c r="D15" s="895"/>
      <c r="E15" s="896">
        <f>G13</f>
        <v>44433.375</v>
      </c>
      <c r="F15" s="897">
        <v>20</v>
      </c>
      <c r="G15" s="898">
        <f>E15+TIME(0,F15,0)</f>
        <v>44433.388888888891</v>
      </c>
      <c r="H15" s="899" t="s">
        <v>1190</v>
      </c>
      <c r="I15" s="840"/>
      <c r="J15" s="851"/>
      <c r="K15" s="852" t="str">
        <f>IF(SUMPRODUCT(--(J15:J15&lt;&gt;"n/a"))&gt;0,IF(SUMPRODUCT((J15:J15&lt;&gt;"n/a")*(J15:J15&lt;&gt;""))&gt;0,IF(K15&lt;&gt;"",K15,GetETwithDST()),""),"")</f>
        <v/>
      </c>
      <c r="L15" s="853" t="str">
        <f>IF(AND(K15&lt;&gt;"",M15&lt;&gt;""), M15-K15,"")</f>
        <v/>
      </c>
      <c r="M15" s="854" t="str">
        <f>IF(SUMPRODUCT(--(J15:J15&lt;&gt;"n/a"))=0,"",IF(SUMPRODUCT((J15:J15&lt;&gt;"n/a")*(J15:J15&lt;&gt;"c"))=0,IF(M15&lt;&gt;"",M15,GetETwithDST()),""))</f>
        <v/>
      </c>
      <c r="N15" s="855"/>
    </row>
    <row r="16" spans="1:14" ht="47.9" customHeight="1" x14ac:dyDescent="0.35">
      <c r="A16" s="900"/>
      <c r="B16" s="844" t="s">
        <v>1191</v>
      </c>
      <c r="C16" s="845" t="s">
        <v>1192</v>
      </c>
      <c r="D16" s="845"/>
      <c r="E16" s="847">
        <f>G15</f>
        <v>44433.388888888891</v>
      </c>
      <c r="F16" s="848">
        <v>0</v>
      </c>
      <c r="G16" s="849">
        <f>E16+TIME(0,F16,0)</f>
        <v>44433.388888888891</v>
      </c>
      <c r="H16" s="850"/>
      <c r="I16" s="840"/>
      <c r="J16" s="851"/>
      <c r="K16" s="852" t="str">
        <f>IF(SUMPRODUCT(--(J16:J16&lt;&gt;"n/a"))&gt;0,IF(SUMPRODUCT((J16:J16&lt;&gt;"n/a")*(J16:J16&lt;&gt;""))&gt;0,IF(K16&lt;&gt;"",K16,GetETwithDST()),""),"")</f>
        <v/>
      </c>
      <c r="L16" s="853" t="str">
        <f>IF(AND(K16&lt;&gt;"",M16&lt;&gt;""), M16-K16,"")</f>
        <v/>
      </c>
      <c r="M16" s="854" t="str">
        <f>IF(SUMPRODUCT(--(J16:J16&lt;&gt;"n/a"))=0,"",IF(SUMPRODUCT((J16:J16&lt;&gt;"n/a")*(J16:J16&lt;&gt;"c"))=0,IF(M16&lt;&gt;"",M16,GetETwithDST()),""))</f>
        <v/>
      </c>
      <c r="N16" s="855"/>
    </row>
    <row r="17" spans="1:16" ht="46.5" customHeight="1" x14ac:dyDescent="0.35">
      <c r="A17" s="843"/>
      <c r="B17" s="844" t="s">
        <v>1193</v>
      </c>
      <c r="C17" s="845" t="s">
        <v>1194</v>
      </c>
      <c r="D17" s="846"/>
      <c r="E17" s="847">
        <f>G16</f>
        <v>44433.388888888891</v>
      </c>
      <c r="F17" s="848">
        <v>0</v>
      </c>
      <c r="G17" s="849">
        <f>E17+TIME(0,F17,0)</f>
        <v>44433.388888888891</v>
      </c>
      <c r="H17" s="850"/>
      <c r="I17" s="840"/>
      <c r="J17" s="851"/>
      <c r="K17" s="852" t="str">
        <f>IF(SUMPRODUCT(--(J17:J17&lt;&gt;"n/a"))&gt;0,IF(SUMPRODUCT((J17:J17&lt;&gt;"n/a")*(J17:J17&lt;&gt;""))&gt;0,IF(K17&lt;&gt;"",K17,GetETwithDST()),""),"")</f>
        <v/>
      </c>
      <c r="L17" s="853" t="str">
        <f>IF(AND(K17&lt;&gt;"",M17&lt;&gt;""), M17-K17,"")</f>
        <v/>
      </c>
      <c r="M17" s="854" t="str">
        <f>IF(SUMPRODUCT(--(J17:J17&lt;&gt;"n/a"))=0,"",IF(SUMPRODUCT((J17:J17&lt;&gt;"n/a")*(J17:J17&lt;&gt;"c"))=0,IF(M17&lt;&gt;"",M17,GetETwithDST()),""))</f>
        <v/>
      </c>
      <c r="N17" s="855"/>
    </row>
    <row r="18" spans="1:16" ht="35" x14ac:dyDescent="0.35">
      <c r="A18" s="892" t="s">
        <v>1195</v>
      </c>
      <c r="B18" s="893" t="s">
        <v>1196</v>
      </c>
      <c r="C18" s="894" t="s">
        <v>1197</v>
      </c>
      <c r="D18" s="901"/>
      <c r="E18" s="896">
        <f>G17</f>
        <v>44433.388888888891</v>
      </c>
      <c r="F18" s="897">
        <v>20</v>
      </c>
      <c r="G18" s="896">
        <f>E18+TIME(0,F18,0)</f>
        <v>44433.402777777781</v>
      </c>
      <c r="H18" s="899"/>
      <c r="I18" s="840"/>
      <c r="J18" s="851"/>
      <c r="K18" s="852" t="str">
        <f>IF(SUMPRODUCT(--(J18:J18&lt;&gt;"n/a"))&gt;0,IF(SUMPRODUCT((J18:J18&lt;&gt;"n/a")*(J18:J18&lt;&gt;""))&gt;0,IF(K18&lt;&gt;"",K18,GetETwithDST()),""),"")</f>
        <v/>
      </c>
      <c r="L18" s="853" t="str">
        <f>IF(AND(K18&lt;&gt;"",M18&lt;&gt;""), M18-K18,"")</f>
        <v/>
      </c>
      <c r="M18" s="854" t="str">
        <f>IF(SUMPRODUCT(--(J18:J18&lt;&gt;"n/a"))=0,"",IF(SUMPRODUCT((J18:J18&lt;&gt;"n/a")*(J18:J18&lt;&gt;"c"))=0,IF(M18&lt;&gt;"",M18,GetETwithDST()),""))</f>
        <v/>
      </c>
      <c r="N18" s="855"/>
      <c r="P18" s="175" t="s">
        <v>1198</v>
      </c>
    </row>
    <row r="19" spans="1:16" ht="49.4" customHeight="1" x14ac:dyDescent="0.35">
      <c r="A19" s="902"/>
      <c r="B19" s="903" t="s">
        <v>1199</v>
      </c>
      <c r="C19" s="874"/>
      <c r="D19" s="874"/>
      <c r="E19" s="904">
        <f>E15</f>
        <v>44433.375</v>
      </c>
      <c r="F19" s="876">
        <f>IF(AND(E19&lt;&gt;"",G19&lt;&gt;""), G19-E19,"")</f>
        <v>2.7777777781011537E-2</v>
      </c>
      <c r="G19" s="904">
        <f>G18</f>
        <v>44433.402777777781</v>
      </c>
      <c r="H19" s="878" t="s">
        <v>1200</v>
      </c>
      <c r="I19" s="840"/>
      <c r="J19" s="890"/>
      <c r="K19" s="891"/>
      <c r="L19" s="891"/>
      <c r="M19" s="891"/>
      <c r="N19" s="891"/>
    </row>
    <row r="20" spans="1:16" ht="49.4" customHeight="1" x14ac:dyDescent="0.35">
      <c r="A20" s="905"/>
      <c r="B20" s="906" t="s">
        <v>1201</v>
      </c>
      <c r="C20" s="836"/>
      <c r="D20" s="836"/>
      <c r="E20" s="907"/>
      <c r="F20" s="908"/>
      <c r="G20" s="907"/>
      <c r="H20" s="839"/>
      <c r="I20" s="840"/>
      <c r="J20" s="890"/>
      <c r="K20" s="891"/>
      <c r="L20" s="891"/>
      <c r="M20" s="891"/>
      <c r="N20" s="891"/>
    </row>
    <row r="21" spans="1:16" ht="50.15" customHeight="1" x14ac:dyDescent="0.35">
      <c r="A21" s="892" t="s">
        <v>1184</v>
      </c>
      <c r="B21" s="893" t="s">
        <v>1202</v>
      </c>
      <c r="C21" s="894" t="s">
        <v>1203</v>
      </c>
      <c r="D21" s="901"/>
      <c r="E21" s="896">
        <f>G18</f>
        <v>44433.402777777781</v>
      </c>
      <c r="F21" s="897">
        <v>15</v>
      </c>
      <c r="G21" s="898">
        <f>E21+TIME(0,F21,0)</f>
        <v>44433.413194444445</v>
      </c>
      <c r="H21" s="899" t="s">
        <v>1204</v>
      </c>
      <c r="I21" s="840"/>
      <c r="J21" s="851"/>
      <c r="K21" s="909" t="str">
        <f>IF(SUMPRODUCT(--(J21:J21&lt;&gt;"n/a"))&gt;0,IF(SUMPRODUCT((J21:J21&lt;&gt;"n/a")*(J21:J21&lt;&gt;""))&gt;0,IF(K21&lt;&gt;"",K21,GetETwithDST()),""),"")</f>
        <v/>
      </c>
      <c r="L21" s="853" t="str">
        <f>IF(AND(K21&lt;&gt;"",M21&lt;&gt;""), M21-K21,"")</f>
        <v/>
      </c>
      <c r="M21" s="854" t="str">
        <f>IF(SUMPRODUCT(--(J21:J21&lt;&gt;"n/a"))=0,"",IF(SUMPRODUCT((J21:J21&lt;&gt;"n/a")*(J21:J21&lt;&gt;"c"))=0,IF(M21&lt;&gt;"",M21,GetETwithDST()),""))</f>
        <v/>
      </c>
      <c r="N21" s="910"/>
    </row>
    <row r="22" spans="1:16" ht="50.15" customHeight="1" x14ac:dyDescent="0.35">
      <c r="A22" s="892" t="s">
        <v>1184</v>
      </c>
      <c r="B22" s="217" t="s">
        <v>1205</v>
      </c>
      <c r="C22" s="894" t="s">
        <v>1203</v>
      </c>
      <c r="D22" s="901"/>
      <c r="E22" s="896">
        <f>G21</f>
        <v>44433.413194444445</v>
      </c>
      <c r="F22" s="897">
        <v>15</v>
      </c>
      <c r="G22" s="898">
        <f>E22+TIME(0,F22,0)</f>
        <v>44433.423611111109</v>
      </c>
      <c r="H22" s="899" t="s">
        <v>1206</v>
      </c>
      <c r="I22" s="840"/>
      <c r="J22" s="851"/>
      <c r="K22" s="909"/>
      <c r="L22" s="853"/>
      <c r="M22" s="854"/>
      <c r="N22" s="910"/>
    </row>
    <row r="23" spans="1:16" ht="47.9" customHeight="1" x14ac:dyDescent="0.35">
      <c r="A23" s="911" t="s">
        <v>1184</v>
      </c>
      <c r="B23" s="912" t="s">
        <v>1207</v>
      </c>
      <c r="C23" s="913" t="s">
        <v>1203</v>
      </c>
      <c r="D23" s="914"/>
      <c r="E23" s="915">
        <f>E24</f>
        <v>44433.402777777781</v>
      </c>
      <c r="F23" s="916">
        <f>IF(AND(E23&lt;&gt;"",G23&lt;&gt;""), G23-E23,"")</f>
        <v>0.10416666667151731</v>
      </c>
      <c r="G23" s="917">
        <f>G27</f>
        <v>44433.506944444453</v>
      </c>
      <c r="H23" s="918"/>
      <c r="I23" s="840"/>
      <c r="J23" s="851"/>
      <c r="K23" s="852"/>
      <c r="L23" s="853"/>
      <c r="M23" s="854"/>
      <c r="N23" s="855"/>
    </row>
    <row r="24" spans="1:16" ht="35.9" customHeight="1" outlineLevel="1" x14ac:dyDescent="0.35">
      <c r="A24" s="919"/>
      <c r="B24" s="920" t="s">
        <v>1208</v>
      </c>
      <c r="C24" s="921" t="s">
        <v>1203</v>
      </c>
      <c r="D24" s="922"/>
      <c r="E24" s="923">
        <f>G19</f>
        <v>44433.402777777781</v>
      </c>
      <c r="F24" s="924">
        <v>40</v>
      </c>
      <c r="G24" s="925">
        <f>E24+TIME(0,F24,0)</f>
        <v>44433.430555555562</v>
      </c>
      <c r="H24" s="926" t="s">
        <v>1209</v>
      </c>
      <c r="I24" s="840"/>
      <c r="J24" s="851"/>
      <c r="K24" s="852" t="str">
        <f>IF(SUMPRODUCT(--(J24:J24&lt;&gt;"n/a"))&gt;0,IF(SUMPRODUCT((J24:J24&lt;&gt;"n/a")*(J24:J24&lt;&gt;""))&gt;0,IF(K24&lt;&gt;"",K24,GetETwithDST()),""),"")</f>
        <v/>
      </c>
      <c r="L24" s="853" t="str">
        <f>IF(AND(K24&lt;&gt;"",M24&lt;&gt;""), M24-K24,"")</f>
        <v/>
      </c>
      <c r="M24" s="854" t="str">
        <f>IF(SUMPRODUCT(--(J24:J24&lt;&gt;"n/a"))=0,"",IF(SUMPRODUCT((J24:J24&lt;&gt;"n/a")*(J24:J24&lt;&gt;"c"))=0,IF(M24&lt;&gt;"",M24,GetETwithDST()),""))</f>
        <v/>
      </c>
      <c r="N24" s="855"/>
    </row>
    <row r="25" spans="1:16" ht="43.4" customHeight="1" outlineLevel="1" x14ac:dyDescent="0.35">
      <c r="A25" s="927"/>
      <c r="B25" s="920" t="s">
        <v>1210</v>
      </c>
      <c r="C25" s="921" t="s">
        <v>1203</v>
      </c>
      <c r="D25" s="922"/>
      <c r="E25" s="923">
        <f>G24</f>
        <v>44433.430555555562</v>
      </c>
      <c r="F25" s="924">
        <v>10</v>
      </c>
      <c r="G25" s="925">
        <f>E25+TIME(0,F25,0)</f>
        <v>44433.437500000007</v>
      </c>
      <c r="H25" s="926"/>
      <c r="I25" s="840"/>
      <c r="J25" s="851"/>
      <c r="K25" s="852" t="str">
        <f>IF(SUMPRODUCT(--(J25:J25&lt;&gt;"n/a"))&gt;0,IF(SUMPRODUCT((J25:J25&lt;&gt;"n/a")*(J25:J25&lt;&gt;""))&gt;0,IF(K25&lt;&gt;"",K25,GetETwithDST()),""),"")</f>
        <v/>
      </c>
      <c r="L25" s="853" t="str">
        <f>IF(AND(K25&lt;&gt;"",M25&lt;&gt;""), M25-K25,"")</f>
        <v/>
      </c>
      <c r="M25" s="854" t="str">
        <f>IF(SUMPRODUCT(--(J25:J25&lt;&gt;"n/a"))=0,"",IF(SUMPRODUCT((J25:J25&lt;&gt;"n/a")*(J25:J25&lt;&gt;"c"))=0,IF(M25&lt;&gt;"",M25,GetETwithDST()),""))</f>
        <v/>
      </c>
      <c r="N25" s="855"/>
    </row>
    <row r="26" spans="1:16" ht="41.15" customHeight="1" outlineLevel="1" x14ac:dyDescent="0.35">
      <c r="A26" s="927"/>
      <c r="B26" s="920" t="s">
        <v>1211</v>
      </c>
      <c r="C26" s="921" t="s">
        <v>1203</v>
      </c>
      <c r="D26" s="922"/>
      <c r="E26" s="923">
        <f>G25</f>
        <v>44433.437500000007</v>
      </c>
      <c r="F26" s="924">
        <v>10</v>
      </c>
      <c r="G26" s="925">
        <f>E26+TIME(0,F26,0)</f>
        <v>44433.444444444453</v>
      </c>
      <c r="H26" s="926"/>
      <c r="I26" s="840"/>
      <c r="J26" s="851"/>
      <c r="K26" s="852" t="str">
        <f>IF(SUMPRODUCT(--(J26:J26&lt;&gt;"n/a"))&gt;0,IF(SUMPRODUCT((J26:J26&lt;&gt;"n/a")*(J26:J26&lt;&gt;""))&gt;0,IF(K26&lt;&gt;"",K26,GetETwithDST()),""),"")</f>
        <v/>
      </c>
      <c r="L26" s="853" t="str">
        <f>IF(AND(K26&lt;&gt;"",M26&lt;&gt;""), M26-K26,"")</f>
        <v/>
      </c>
      <c r="M26" s="854" t="str">
        <f>IF(SUMPRODUCT(--(J26:J26&lt;&gt;"n/a"))=0,"",IF(SUMPRODUCT((J26:J26&lt;&gt;"n/a")*(J26:J26&lt;&gt;"c"))=0,IF(M26&lt;&gt;"",M26,GetETwithDST()),""))</f>
        <v/>
      </c>
      <c r="N26" s="855"/>
    </row>
    <row r="27" spans="1:16" ht="38.25" customHeight="1" outlineLevel="1" x14ac:dyDescent="0.35">
      <c r="A27" s="927"/>
      <c r="B27" s="920" t="s">
        <v>1212</v>
      </c>
      <c r="C27" s="921" t="s">
        <v>1203</v>
      </c>
      <c r="D27" s="922"/>
      <c r="E27" s="923">
        <f>G26</f>
        <v>44433.444444444453</v>
      </c>
      <c r="F27" s="924">
        <v>90</v>
      </c>
      <c r="G27" s="925">
        <f>E27+TIME(0,F27,0)</f>
        <v>44433.506944444453</v>
      </c>
      <c r="H27" s="926"/>
      <c r="I27" s="840"/>
      <c r="J27" s="851"/>
      <c r="K27" s="852" t="str">
        <f>IF(SUMPRODUCT(--(J27:J27&lt;&gt;"n/a"))&gt;0,IF(SUMPRODUCT((J27:J27&lt;&gt;"n/a")*(J27:J27&lt;&gt;""))&gt;0,IF(K27&lt;&gt;"",K27,GetETwithDST()),""),"")</f>
        <v/>
      </c>
      <c r="L27" s="853" t="str">
        <f>IF(AND(K27&lt;&gt;"",M27&lt;&gt;""), M27-K27,"")</f>
        <v/>
      </c>
      <c r="M27" s="854" t="str">
        <f>IF(SUMPRODUCT(--(J27:J27&lt;&gt;"n/a"))=0,"",IF(SUMPRODUCT((J27:J27&lt;&gt;"n/a")*(J27:J27&lt;&gt;"c"))=0,IF(M27&lt;&gt;"",M27,GetETwithDST()),""))</f>
        <v/>
      </c>
      <c r="N27" s="855"/>
    </row>
    <row r="28" spans="1:16" ht="38.25" customHeight="1" x14ac:dyDescent="0.35">
      <c r="A28" s="911" t="s">
        <v>1184</v>
      </c>
      <c r="B28" s="928" t="s">
        <v>1213</v>
      </c>
      <c r="C28" s="913" t="s">
        <v>1203</v>
      </c>
      <c r="D28" s="914"/>
      <c r="E28" s="915">
        <f>E29</f>
        <v>44433.402777777781</v>
      </c>
      <c r="F28" s="916">
        <f>IF(AND(E28&lt;&gt;"",G28&lt;&gt;""), G28-E28,"")</f>
        <v>9.375E-2</v>
      </c>
      <c r="G28" s="917">
        <f>G34</f>
        <v>44433.496527777781</v>
      </c>
      <c r="H28" s="926"/>
      <c r="I28" s="840"/>
      <c r="J28" s="851"/>
      <c r="K28" s="852"/>
      <c r="L28" s="853"/>
      <c r="M28" s="854"/>
      <c r="N28" s="855"/>
    </row>
    <row r="29" spans="1:16" ht="38.25" customHeight="1" outlineLevel="1" x14ac:dyDescent="0.35">
      <c r="A29" s="1079"/>
      <c r="B29" s="929" t="s">
        <v>1214</v>
      </c>
      <c r="C29" s="930" t="s">
        <v>1203</v>
      </c>
      <c r="D29" s="931"/>
      <c r="E29" s="932">
        <f>G19</f>
        <v>44433.402777777781</v>
      </c>
      <c r="F29" s="933">
        <v>10</v>
      </c>
      <c r="G29" s="934">
        <f t="shared" ref="G29:G34" si="0">E29+TIME(0,F29,0)</f>
        <v>44433.409722222226</v>
      </c>
      <c r="H29" s="935" t="s">
        <v>1215</v>
      </c>
      <c r="I29" s="840"/>
      <c r="J29" s="851"/>
      <c r="K29" s="852"/>
      <c r="L29" s="853"/>
      <c r="M29" s="854"/>
      <c r="N29" s="855"/>
    </row>
    <row r="30" spans="1:16" ht="38.25" customHeight="1" outlineLevel="1" x14ac:dyDescent="0.35">
      <c r="A30" s="1080"/>
      <c r="B30" s="929" t="s">
        <v>1216</v>
      </c>
      <c r="C30" s="930" t="s">
        <v>1203</v>
      </c>
      <c r="D30" s="931"/>
      <c r="E30" s="932">
        <f>G29</f>
        <v>44433.409722222226</v>
      </c>
      <c r="F30" s="933">
        <v>10</v>
      </c>
      <c r="G30" s="934">
        <f t="shared" si="0"/>
        <v>44433.416666666672</v>
      </c>
      <c r="H30" s="935" t="s">
        <v>1215</v>
      </c>
      <c r="I30" s="840"/>
      <c r="J30" s="851"/>
      <c r="K30" s="852"/>
      <c r="L30" s="853"/>
      <c r="M30" s="854"/>
      <c r="N30" s="855"/>
    </row>
    <row r="31" spans="1:16" ht="38.25" customHeight="1" outlineLevel="1" x14ac:dyDescent="0.35">
      <c r="A31" s="1080"/>
      <c r="B31" s="929" t="s">
        <v>1217</v>
      </c>
      <c r="C31" s="930" t="s">
        <v>1203</v>
      </c>
      <c r="D31" s="931"/>
      <c r="E31" s="932">
        <f>G30</f>
        <v>44433.416666666672</v>
      </c>
      <c r="F31" s="933">
        <v>10</v>
      </c>
      <c r="G31" s="934">
        <f t="shared" si="0"/>
        <v>44433.423611111117</v>
      </c>
      <c r="H31" s="935" t="s">
        <v>1215</v>
      </c>
      <c r="I31" s="840"/>
      <c r="J31" s="851"/>
      <c r="K31" s="852"/>
      <c r="L31" s="853"/>
      <c r="M31" s="854"/>
      <c r="N31" s="855"/>
    </row>
    <row r="32" spans="1:16" ht="38.25" customHeight="1" outlineLevel="1" x14ac:dyDescent="0.35">
      <c r="A32" s="1080"/>
      <c r="B32" s="929" t="s">
        <v>1218</v>
      </c>
      <c r="C32" s="930" t="s">
        <v>1203</v>
      </c>
      <c r="D32" s="931"/>
      <c r="E32" s="932">
        <f>G31</f>
        <v>44433.423611111117</v>
      </c>
      <c r="F32" s="933">
        <v>90</v>
      </c>
      <c r="G32" s="934">
        <f t="shared" si="0"/>
        <v>44433.486111111117</v>
      </c>
      <c r="H32" s="935" t="s">
        <v>1215</v>
      </c>
      <c r="I32" s="840"/>
      <c r="J32" s="851"/>
      <c r="K32" s="852"/>
      <c r="L32" s="853"/>
      <c r="M32" s="854"/>
      <c r="N32" s="855"/>
    </row>
    <row r="33" spans="1:14" ht="38.25" customHeight="1" outlineLevel="1" x14ac:dyDescent="0.35">
      <c r="A33" s="1080"/>
      <c r="B33" s="929" t="s">
        <v>1219</v>
      </c>
      <c r="C33" s="930" t="s">
        <v>1203</v>
      </c>
      <c r="D33" s="931"/>
      <c r="E33" s="932">
        <f>G32</f>
        <v>44433.486111111117</v>
      </c>
      <c r="F33" s="933">
        <v>10</v>
      </c>
      <c r="G33" s="934">
        <f t="shared" si="0"/>
        <v>44433.493055555562</v>
      </c>
      <c r="H33" s="935" t="s">
        <v>1215</v>
      </c>
      <c r="I33" s="840"/>
      <c r="J33" s="851"/>
      <c r="K33" s="852"/>
      <c r="L33" s="853"/>
      <c r="M33" s="854"/>
      <c r="N33" s="855"/>
    </row>
    <row r="34" spans="1:14" ht="38.25" customHeight="1" outlineLevel="1" x14ac:dyDescent="0.35">
      <c r="A34" s="1080"/>
      <c r="B34" s="929" t="s">
        <v>1220</v>
      </c>
      <c r="C34" s="930" t="s">
        <v>1203</v>
      </c>
      <c r="D34" s="931"/>
      <c r="E34" s="932">
        <f>G33</f>
        <v>44433.493055555562</v>
      </c>
      <c r="F34" s="933">
        <v>5</v>
      </c>
      <c r="G34" s="934">
        <f t="shared" si="0"/>
        <v>44433.496527777781</v>
      </c>
      <c r="H34" s="935" t="s">
        <v>1215</v>
      </c>
      <c r="I34" s="840"/>
      <c r="J34" s="851"/>
      <c r="K34" s="852"/>
      <c r="L34" s="853"/>
      <c r="M34" s="854"/>
      <c r="N34" s="855"/>
    </row>
    <row r="35" spans="1:14" ht="38.25" customHeight="1" x14ac:dyDescent="0.35">
      <c r="A35" s="911" t="s">
        <v>1184</v>
      </c>
      <c r="B35" s="928" t="s">
        <v>1221</v>
      </c>
      <c r="C35" s="913" t="s">
        <v>1203</v>
      </c>
      <c r="D35" s="914"/>
      <c r="E35" s="915">
        <f>E37</f>
        <v>44433.402777777781</v>
      </c>
      <c r="F35" s="916" t="e">
        <f>IF(AND(E35&lt;&gt;"",G35&lt;&gt;""), G35-E35,"")</f>
        <v>#REF!</v>
      </c>
      <c r="G35" s="917" t="e">
        <f>G44</f>
        <v>#REF!</v>
      </c>
      <c r="H35" s="935"/>
      <c r="I35" s="840"/>
      <c r="J35" s="851"/>
      <c r="K35" s="852"/>
      <c r="L35" s="853"/>
      <c r="M35" s="854"/>
      <c r="N35" s="855"/>
    </row>
    <row r="36" spans="1:14" s="245" customFormat="1" ht="52.5" x14ac:dyDescent="0.35">
      <c r="A36" s="857"/>
      <c r="B36" s="858" t="s">
        <v>1222</v>
      </c>
      <c r="C36" s="859" t="s">
        <v>1177</v>
      </c>
      <c r="D36" s="860"/>
      <c r="E36" s="936">
        <f>E38</f>
        <v>44433.40625</v>
      </c>
      <c r="F36" s="862">
        <v>5</v>
      </c>
      <c r="G36" s="863">
        <f>E36+TIME(0,F36,0)</f>
        <v>44433.409722222219</v>
      </c>
      <c r="H36" s="864" t="s">
        <v>1115</v>
      </c>
      <c r="I36" s="865"/>
      <c r="J36" s="866"/>
      <c r="K36" s="867"/>
      <c r="L36" s="868"/>
      <c r="M36" s="869"/>
      <c r="N36" s="870"/>
    </row>
    <row r="37" spans="1:14" s="245" customFormat="1" ht="52.5" outlineLevel="1" x14ac:dyDescent="0.35">
      <c r="A37" s="1081"/>
      <c r="B37" s="937" t="s">
        <v>1223</v>
      </c>
      <c r="C37" s="938" t="s">
        <v>1177</v>
      </c>
      <c r="D37" s="939"/>
      <c r="E37" s="936">
        <f>G19</f>
        <v>44433.402777777781</v>
      </c>
      <c r="F37" s="940">
        <v>5</v>
      </c>
      <c r="G37" s="941">
        <f>E37+TIME(0,F37,0)</f>
        <v>44433.40625</v>
      </c>
      <c r="H37" s="864" t="s">
        <v>1115</v>
      </c>
      <c r="I37" s="865"/>
      <c r="J37" s="866"/>
      <c r="K37" s="867"/>
      <c r="L37" s="868"/>
      <c r="M37" s="869"/>
      <c r="N37" s="870"/>
    </row>
    <row r="38" spans="1:14" s="245" customFormat="1" ht="52.5" outlineLevel="1" x14ac:dyDescent="0.35">
      <c r="A38" s="1081"/>
      <c r="B38" s="937" t="s">
        <v>1224</v>
      </c>
      <c r="C38" s="938" t="s">
        <v>1177</v>
      </c>
      <c r="D38" s="939"/>
      <c r="E38" s="936">
        <f>G37</f>
        <v>44433.40625</v>
      </c>
      <c r="F38" s="940">
        <v>5</v>
      </c>
      <c r="G38" s="941">
        <f t="shared" ref="G38:G44" si="1">E38+TIME(0,F38,0)</f>
        <v>44433.409722222219</v>
      </c>
      <c r="H38" s="864" t="s">
        <v>1115</v>
      </c>
      <c r="I38" s="865"/>
      <c r="J38" s="866"/>
      <c r="K38" s="867"/>
      <c r="L38" s="868"/>
      <c r="M38" s="869"/>
      <c r="N38" s="870"/>
    </row>
    <row r="39" spans="1:14" s="245" customFormat="1" ht="87.5" outlineLevel="1" x14ac:dyDescent="0.35">
      <c r="A39" s="1081"/>
      <c r="B39" s="937" t="s">
        <v>1225</v>
      </c>
      <c r="C39" s="938" t="s">
        <v>1203</v>
      </c>
      <c r="D39" s="939"/>
      <c r="E39" s="936">
        <f>G37</f>
        <v>44433.40625</v>
      </c>
      <c r="F39" s="940">
        <v>20</v>
      </c>
      <c r="G39" s="941">
        <f>E39+TIME(0,F39,0)</f>
        <v>44433.420138888891</v>
      </c>
      <c r="H39" s="942" t="s">
        <v>1119</v>
      </c>
      <c r="I39" s="865"/>
      <c r="J39" s="866"/>
      <c r="K39" s="867"/>
      <c r="L39" s="868"/>
      <c r="M39" s="869"/>
      <c r="N39" s="870"/>
    </row>
    <row r="40" spans="1:14" s="245" customFormat="1" ht="52.5" outlineLevel="1" x14ac:dyDescent="0.35">
      <c r="A40" s="1081"/>
      <c r="B40" s="937" t="s">
        <v>1226</v>
      </c>
      <c r="C40" s="938" t="s">
        <v>1177</v>
      </c>
      <c r="D40" s="939"/>
      <c r="E40" s="936">
        <f>G38</f>
        <v>44433.409722222219</v>
      </c>
      <c r="F40" s="940">
        <v>20</v>
      </c>
      <c r="G40" s="941">
        <f>E40+TIME(0,F40,0)</f>
        <v>44433.423611111109</v>
      </c>
      <c r="H40" s="942" t="s">
        <v>1115</v>
      </c>
      <c r="I40" s="865"/>
      <c r="J40" s="866"/>
      <c r="K40" s="867"/>
      <c r="L40" s="868"/>
      <c r="M40" s="869"/>
      <c r="N40" s="870"/>
    </row>
    <row r="41" spans="1:14" s="245" customFormat="1" ht="87.5" outlineLevel="1" x14ac:dyDescent="0.35">
      <c r="A41" s="1081"/>
      <c r="B41" s="937" t="s">
        <v>1227</v>
      </c>
      <c r="C41" s="938" t="s">
        <v>1203</v>
      </c>
      <c r="D41" s="939"/>
      <c r="E41" s="936">
        <f>G39</f>
        <v>44433.420138888891</v>
      </c>
      <c r="F41" s="940">
        <v>20</v>
      </c>
      <c r="G41" s="941">
        <f>E41+TIME(0,F41,0)</f>
        <v>44433.434027777781</v>
      </c>
      <c r="H41" s="942" t="s">
        <v>1119</v>
      </c>
      <c r="I41" s="865"/>
      <c r="J41" s="866"/>
      <c r="K41" s="867"/>
      <c r="L41" s="868"/>
      <c r="M41" s="869"/>
      <c r="N41" s="870"/>
    </row>
    <row r="42" spans="1:14" s="245" customFormat="1" ht="87.5" outlineLevel="1" x14ac:dyDescent="0.35">
      <c r="A42" s="1081"/>
      <c r="B42" s="937" t="s">
        <v>1228</v>
      </c>
      <c r="C42" s="938" t="s">
        <v>1203</v>
      </c>
      <c r="D42" s="939"/>
      <c r="E42" s="936">
        <f>G38</f>
        <v>44433.409722222219</v>
      </c>
      <c r="F42" s="940">
        <v>10</v>
      </c>
      <c r="G42" s="941">
        <f t="shared" si="1"/>
        <v>44433.416666666664</v>
      </c>
      <c r="H42" s="942" t="s">
        <v>1119</v>
      </c>
      <c r="I42" s="865"/>
      <c r="J42" s="866"/>
      <c r="K42" s="867"/>
      <c r="L42" s="868"/>
      <c r="M42" s="869"/>
      <c r="N42" s="870"/>
    </row>
    <row r="43" spans="1:14" s="245" customFormat="1" ht="87.5" outlineLevel="1" x14ac:dyDescent="0.35">
      <c r="A43" s="1081"/>
      <c r="B43" s="937" t="s">
        <v>1229</v>
      </c>
      <c r="C43" s="938" t="s">
        <v>1203</v>
      </c>
      <c r="D43" s="939"/>
      <c r="E43" s="936">
        <f>G42</f>
        <v>44433.416666666664</v>
      </c>
      <c r="F43" s="940">
        <v>90</v>
      </c>
      <c r="G43" s="941">
        <f t="shared" si="1"/>
        <v>44433.479166666664</v>
      </c>
      <c r="H43" s="942" t="s">
        <v>1119</v>
      </c>
      <c r="I43" s="865"/>
      <c r="J43" s="866"/>
      <c r="K43" s="867"/>
      <c r="L43" s="868"/>
      <c r="M43" s="869"/>
      <c r="N43" s="870"/>
    </row>
    <row r="44" spans="1:14" s="245" customFormat="1" ht="87.5" outlineLevel="1" x14ac:dyDescent="0.35">
      <c r="A44" s="1081"/>
      <c r="B44" s="937" t="s">
        <v>1230</v>
      </c>
      <c r="C44" s="938" t="s">
        <v>1231</v>
      </c>
      <c r="D44" s="939"/>
      <c r="E44" s="936" t="e">
        <f>#REF!</f>
        <v>#REF!</v>
      </c>
      <c r="F44" s="940">
        <v>10</v>
      </c>
      <c r="G44" s="941" t="e">
        <f t="shared" si="1"/>
        <v>#REF!</v>
      </c>
      <c r="H44" s="942" t="s">
        <v>1119</v>
      </c>
      <c r="I44" s="865"/>
      <c r="J44" s="866"/>
      <c r="K44" s="867"/>
      <c r="L44" s="868"/>
      <c r="M44" s="869"/>
      <c r="N44" s="870"/>
    </row>
    <row r="45" spans="1:14" ht="32.9" customHeight="1" x14ac:dyDescent="0.35">
      <c r="A45" s="902"/>
      <c r="B45" s="170" t="s">
        <v>1232</v>
      </c>
      <c r="C45" s="874"/>
      <c r="D45" s="874"/>
      <c r="E45" s="904">
        <f>E21</f>
        <v>44433.402777777781</v>
      </c>
      <c r="F45" s="876">
        <f>IF(AND(E45&lt;&gt;"",G45&lt;&gt;""), G45-E45,"")</f>
        <v>0.10416666667151731</v>
      </c>
      <c r="G45" s="943">
        <f>G23</f>
        <v>44433.506944444453</v>
      </c>
      <c r="H45" s="878" t="s">
        <v>1200</v>
      </c>
      <c r="I45" s="840"/>
      <c r="J45" s="890"/>
      <c r="K45" s="891"/>
      <c r="L45" s="891"/>
      <c r="M45" s="891"/>
      <c r="N45" s="891"/>
    </row>
    <row r="46" spans="1:14" ht="32.9" customHeight="1" x14ac:dyDescent="0.35">
      <c r="A46" s="905"/>
      <c r="B46" s="906" t="s">
        <v>1233</v>
      </c>
      <c r="C46" s="836"/>
      <c r="D46" s="836"/>
      <c r="E46" s="907"/>
      <c r="F46" s="908"/>
      <c r="G46" s="907"/>
      <c r="H46" s="839"/>
      <c r="I46" s="840"/>
      <c r="J46" s="890"/>
      <c r="K46" s="891"/>
      <c r="L46" s="891"/>
      <c r="M46" s="891"/>
      <c r="N46" s="891"/>
    </row>
    <row r="47" spans="1:14" ht="18" x14ac:dyDescent="0.35">
      <c r="A47" s="911" t="s">
        <v>1184</v>
      </c>
      <c r="B47" s="912" t="s">
        <v>1234</v>
      </c>
      <c r="C47" s="913"/>
      <c r="D47" s="914"/>
      <c r="E47" s="915">
        <f>G45</f>
        <v>44433.506944444453</v>
      </c>
      <c r="F47" s="944">
        <f>IF(AND(E47&lt;&gt;"",G47&lt;&gt;""), G47-E47,"")</f>
        <v>0.10277777775627328</v>
      </c>
      <c r="G47" s="945">
        <f>G74</f>
        <v>44433.609722222209</v>
      </c>
      <c r="H47" s="918"/>
      <c r="I47" s="840"/>
      <c r="J47" s="851"/>
      <c r="K47" s="852"/>
      <c r="L47" s="853"/>
      <c r="M47" s="854"/>
      <c r="N47" s="855"/>
    </row>
    <row r="48" spans="1:14" ht="35" outlineLevel="1" x14ac:dyDescent="0.35">
      <c r="A48" s="927"/>
      <c r="B48" s="946" t="s">
        <v>1235</v>
      </c>
      <c r="C48" s="921" t="s">
        <v>1203</v>
      </c>
      <c r="D48" s="922"/>
      <c r="E48" s="923">
        <f>G45</f>
        <v>44433.506944444453</v>
      </c>
      <c r="F48" s="947">
        <v>15</v>
      </c>
      <c r="G48" s="948">
        <f>E48+TIME(0,F48,0)</f>
        <v>44433.517361111117</v>
      </c>
      <c r="H48" s="926"/>
      <c r="I48" s="840"/>
      <c r="J48" s="851"/>
      <c r="K48" s="852" t="str">
        <f>IF(SUMPRODUCT(--(J48:J48&lt;&gt;"n/a"))&gt;0,IF(SUMPRODUCT((J48:J48&lt;&gt;"n/a")*(J48:J48&lt;&gt;""))&gt;0,IF(K48&lt;&gt;"",K48,GetETwithDST()),""),"")</f>
        <v/>
      </c>
      <c r="L48" s="853" t="str">
        <f t="shared" ref="L48:L74" si="2">IF(AND(K48&lt;&gt;"",M48&lt;&gt;""), M48-K48,"")</f>
        <v/>
      </c>
      <c r="M48" s="854" t="str">
        <f>IF(SUMPRODUCT(--(J48:J48&lt;&gt;"n/a"))=0,"",IF(SUMPRODUCT((J48:J48&lt;&gt;"n/a")*(J48:J48&lt;&gt;"c"))=0,IF(M48&lt;&gt;"",M48,GetETwithDST()),""))</f>
        <v/>
      </c>
      <c r="N48" s="855"/>
    </row>
    <row r="49" spans="1:14" ht="17.5" outlineLevel="1" x14ac:dyDescent="0.35">
      <c r="A49" s="927"/>
      <c r="B49" s="946" t="s">
        <v>1236</v>
      </c>
      <c r="C49" s="921" t="s">
        <v>1019</v>
      </c>
      <c r="D49" s="922"/>
      <c r="E49" s="923">
        <f>G48</f>
        <v>44433.517361111117</v>
      </c>
      <c r="F49" s="947">
        <v>10</v>
      </c>
      <c r="G49" s="948">
        <f>E49+TIME(0,F49,0)</f>
        <v>44433.524305555562</v>
      </c>
      <c r="H49" s="926"/>
      <c r="I49" s="840"/>
      <c r="J49" s="851"/>
      <c r="K49" s="852"/>
      <c r="L49" s="853"/>
      <c r="M49" s="854"/>
      <c r="N49" s="855"/>
    </row>
    <row r="50" spans="1:14" ht="35" outlineLevel="1" x14ac:dyDescent="0.35">
      <c r="A50" s="946"/>
      <c r="B50" s="946" t="s">
        <v>1237</v>
      </c>
      <c r="C50" s="946" t="s">
        <v>445</v>
      </c>
      <c r="D50" s="946"/>
      <c r="E50" s="923">
        <f>G49</f>
        <v>44433.524305555562</v>
      </c>
      <c r="F50" s="947">
        <v>5</v>
      </c>
      <c r="G50" s="948">
        <f>E50+TIME(0,F50,0)</f>
        <v>44433.527777777781</v>
      </c>
      <c r="H50" s="926"/>
      <c r="I50" s="840"/>
      <c r="J50" s="851"/>
      <c r="K50" s="852" t="str">
        <f>IF(SUMPRODUCT(--(J50:J50&lt;&gt;"n/a"))&gt;0,IF(SUMPRODUCT((J50:J50&lt;&gt;"n/a")*(J50:J50&lt;&gt;""))&gt;0,IF(K50&lt;&gt;"",K50,GetETwithDST()),""),"")</f>
        <v/>
      </c>
      <c r="L50" s="853" t="str">
        <f t="shared" si="2"/>
        <v/>
      </c>
      <c r="M50" s="854" t="str">
        <f>IF(SUMPRODUCT(--(J50:J50&lt;&gt;"n/a"))=0,"",IF(SUMPRODUCT((J50:J50&lt;&gt;"n/a")*(J50:J50&lt;&gt;"c"))=0,IF(M50&lt;&gt;"",M50,GetETwithDST()),""))</f>
        <v/>
      </c>
      <c r="N50" s="855"/>
    </row>
    <row r="51" spans="1:14" ht="35" outlineLevel="1" x14ac:dyDescent="0.35">
      <c r="A51" s="946">
        <v>4003</v>
      </c>
      <c r="B51" s="949" t="s">
        <v>1238</v>
      </c>
      <c r="C51" s="949" t="s">
        <v>1239</v>
      </c>
      <c r="D51" s="949"/>
      <c r="E51" s="950">
        <f>E52</f>
        <v>44433.527777777781</v>
      </c>
      <c r="F51" s="951">
        <f>IF(AND(E51&lt;&gt;"",G51&lt;&gt;""), G51-E51,"")</f>
        <v>1.9444444435066544E-2</v>
      </c>
      <c r="G51" s="952">
        <f>G56</f>
        <v>44433.547222222216</v>
      </c>
      <c r="H51" s="926"/>
      <c r="I51" s="840"/>
      <c r="J51" s="851"/>
      <c r="K51" s="852" t="str">
        <f>IF(SUMPRODUCT(--(J51:J51&lt;&gt;"n/a"))&gt;0,IF(SUMPRODUCT((J51:J51&lt;&gt;"n/a")*(J51:J51&lt;&gt;""))&gt;0,IF(K51&lt;&gt;"",K51,GetETwithDST()),""),"")</f>
        <v/>
      </c>
      <c r="L51" s="853" t="str">
        <f t="shared" si="2"/>
        <v/>
      </c>
      <c r="M51" s="854" t="str">
        <f>IF(SUMPRODUCT(--(J51:J51&lt;&gt;"n/a"))=0,"",IF(SUMPRODUCT((J51:J51&lt;&gt;"n/a")*(J51:J51&lt;&gt;"c"))=0,IF(M51&lt;&gt;"",M51,GetETwithDST()),""))</f>
        <v/>
      </c>
      <c r="N51" s="855"/>
    </row>
    <row r="52" spans="1:14" ht="35" outlineLevel="2" x14ac:dyDescent="0.35">
      <c r="A52" s="946"/>
      <c r="B52" s="946" t="s">
        <v>1240</v>
      </c>
      <c r="C52" s="946" t="s">
        <v>1239</v>
      </c>
      <c r="D52" s="946"/>
      <c r="E52" s="923">
        <f>G50</f>
        <v>44433.527777777781</v>
      </c>
      <c r="F52" s="947">
        <v>5</v>
      </c>
      <c r="G52" s="948">
        <f>E52+TIME(0,F52,0)</f>
        <v>44433.53125</v>
      </c>
      <c r="H52" s="926"/>
      <c r="I52" s="840"/>
      <c r="J52" s="851"/>
      <c r="K52" s="852" t="str">
        <f>IF(SUMPRODUCT(--(J52:J52&lt;&gt;"n/a"))&gt;0,IF(SUMPRODUCT((J52:J52&lt;&gt;"n/a")*(J52:J52&lt;&gt;""))&gt;0,IF(K52&lt;&gt;"",K52,GetETwithDST()),""),"")</f>
        <v/>
      </c>
      <c r="L52" s="853" t="str">
        <f t="shared" si="2"/>
        <v/>
      </c>
      <c r="M52" s="854" t="str">
        <f>IF(SUMPRODUCT(--(J52:J52&lt;&gt;"n/a"))=0,"",IF(SUMPRODUCT((J52:J52&lt;&gt;"n/a")*(J52:J52&lt;&gt;"c"))=0,IF(M52&lt;&gt;"",M52,GetETwithDST()),""))</f>
        <v/>
      </c>
      <c r="N52" s="855"/>
    </row>
    <row r="53" spans="1:14" ht="35" outlineLevel="2" x14ac:dyDescent="0.35">
      <c r="A53" s="946"/>
      <c r="B53" s="946" t="s">
        <v>1241</v>
      </c>
      <c r="C53" s="946" t="s">
        <v>1239</v>
      </c>
      <c r="D53" s="946"/>
      <c r="E53" s="923">
        <f>G52</f>
        <v>44433.53125</v>
      </c>
      <c r="F53" s="947">
        <v>3</v>
      </c>
      <c r="G53" s="948">
        <f>E53+TIME(0,F53,0)</f>
        <v>44433.533333333333</v>
      </c>
      <c r="H53" s="926"/>
      <c r="I53" s="840"/>
      <c r="J53" s="851"/>
      <c r="K53" s="852" t="str">
        <f>IF(SUMPRODUCT(--(J53:J53&lt;&gt;"n/a"))&gt;0,IF(SUMPRODUCT((J53:J53&lt;&gt;"n/a")*(J53:J53&lt;&gt;""))&gt;0,IF(K53&lt;&gt;"",K53,GetETwithDST()),""),"")</f>
        <v/>
      </c>
      <c r="L53" s="853" t="str">
        <f t="shared" si="2"/>
        <v/>
      </c>
      <c r="M53" s="854" t="str">
        <f>IF(SUMPRODUCT(--(J53:J53&lt;&gt;"n/a"))=0,"",IF(SUMPRODUCT((J53:J53&lt;&gt;"n/a")*(J53:J53&lt;&gt;"c"))=0,IF(M53&lt;&gt;"",M53,GetETwithDST()),""))</f>
        <v/>
      </c>
      <c r="N53" s="855"/>
    </row>
    <row r="54" spans="1:14" ht="35" outlineLevel="2" x14ac:dyDescent="0.35">
      <c r="A54" s="946"/>
      <c r="B54" s="946" t="s">
        <v>1242</v>
      </c>
      <c r="C54" s="946" t="s">
        <v>1239</v>
      </c>
      <c r="D54" s="946"/>
      <c r="E54" s="923">
        <f>G53</f>
        <v>44433.533333333333</v>
      </c>
      <c r="F54" s="947">
        <v>5</v>
      </c>
      <c r="G54" s="948">
        <f>E54+TIME(0,F54,0)</f>
        <v>44433.536805555552</v>
      </c>
      <c r="H54" s="926"/>
      <c r="I54" s="840"/>
      <c r="J54" s="851"/>
      <c r="K54" s="852" t="str">
        <f>IF(SUMPRODUCT(--(J54:J54&lt;&gt;"n/a"))&gt;0,IF(SUMPRODUCT((J54:J54&lt;&gt;"n/a")*(J54:J54&lt;&gt;""))&gt;0,IF(K54&lt;&gt;"",K54,GetETwithDST()),""),"")</f>
        <v/>
      </c>
      <c r="L54" s="853" t="str">
        <f t="shared" si="2"/>
        <v/>
      </c>
      <c r="M54" s="854" t="str">
        <f>IF(SUMPRODUCT(--(J54:J54&lt;&gt;"n/a"))=0,"",IF(SUMPRODUCT((J54:J54&lt;&gt;"n/a")*(J54:J54&lt;&gt;"c"))=0,IF(M54&lt;&gt;"",M54,GetETwithDST()),""))</f>
        <v/>
      </c>
      <c r="N54" s="855"/>
    </row>
    <row r="55" spans="1:14" ht="35" outlineLevel="2" x14ac:dyDescent="0.35">
      <c r="A55" s="946"/>
      <c r="B55" s="946" t="s">
        <v>1243</v>
      </c>
      <c r="C55" s="946" t="s">
        <v>1239</v>
      </c>
      <c r="D55" s="946"/>
      <c r="E55" s="923">
        <f>G54</f>
        <v>44433.536805555552</v>
      </c>
      <c r="F55" s="947">
        <v>10</v>
      </c>
      <c r="G55" s="948">
        <f>E55+TIME(0,F55,0)</f>
        <v>44433.543749999997</v>
      </c>
      <c r="H55" s="926"/>
      <c r="I55" s="840"/>
      <c r="J55" s="851"/>
      <c r="K55" s="852" t="str">
        <f>IF(SUMPRODUCT(--(J55:J55&lt;&gt;"n/a"))&gt;0,IF(SUMPRODUCT((J55:J55&lt;&gt;"n/a")*(J55:J55&lt;&gt;""))&gt;0,IF(K55&lt;&gt;"",K55,GetETwithDST()),""),"")</f>
        <v/>
      </c>
      <c r="L55" s="853" t="str">
        <f t="shared" si="2"/>
        <v/>
      </c>
      <c r="M55" s="854" t="str">
        <f>IF(SUMPRODUCT(--(J55:J55&lt;&gt;"n/a"))=0,"",IF(SUMPRODUCT((J55:J55&lt;&gt;"n/a")*(J55:J55&lt;&gt;"c"))=0,IF(M55&lt;&gt;"",M55,GetETwithDST()),""))</f>
        <v/>
      </c>
      <c r="N55" s="855"/>
    </row>
    <row r="56" spans="1:14" ht="35" outlineLevel="2" x14ac:dyDescent="0.35">
      <c r="A56" s="946"/>
      <c r="B56" s="946" t="s">
        <v>1244</v>
      </c>
      <c r="C56" s="946" t="s">
        <v>1239</v>
      </c>
      <c r="D56" s="946"/>
      <c r="E56" s="923">
        <f>G55</f>
        <v>44433.543749999997</v>
      </c>
      <c r="F56" s="947">
        <v>5</v>
      </c>
      <c r="G56" s="948">
        <f>E56+TIME(0,F56,0)</f>
        <v>44433.547222222216</v>
      </c>
      <c r="H56" s="926"/>
      <c r="I56" s="840"/>
      <c r="J56" s="851"/>
      <c r="K56" s="852" t="str">
        <f>IF(SUMPRODUCT(--(J56:J56&lt;&gt;"n/a"))&gt;0,IF(SUMPRODUCT((J56:J56&lt;&gt;"n/a")*(J56:J56&lt;&gt;""))&gt;0,IF(K56&lt;&gt;"",K56,GetETwithDST()),""),"")</f>
        <v/>
      </c>
      <c r="L56" s="853" t="str">
        <f t="shared" si="2"/>
        <v/>
      </c>
      <c r="M56" s="854" t="str">
        <f>IF(SUMPRODUCT(--(J56:J56&lt;&gt;"n/a"))=0,"",IF(SUMPRODUCT((J56:J56&lt;&gt;"n/a")*(J56:J56&lt;&gt;"c"))=0,IF(M56&lt;&gt;"",M56,GetETwithDST()),""))</f>
        <v/>
      </c>
      <c r="N56" s="855"/>
    </row>
    <row r="57" spans="1:14" ht="20" outlineLevel="1" x14ac:dyDescent="0.35">
      <c r="A57" s="946">
        <v>4009</v>
      </c>
      <c r="B57" s="949" t="s">
        <v>1245</v>
      </c>
      <c r="C57" s="949" t="s">
        <v>1246</v>
      </c>
      <c r="D57" s="949"/>
      <c r="E57" s="950">
        <f>E58</f>
        <v>44433.527777777781</v>
      </c>
      <c r="F57" s="951">
        <f>IF(AND(E57&lt;&gt;"",G57&lt;&gt;""), G57-E57,"")</f>
        <v>3.3333333318296354E-2</v>
      </c>
      <c r="G57" s="952">
        <f>G65</f>
        <v>44433.561111111099</v>
      </c>
      <c r="H57" s="926"/>
      <c r="I57" s="840"/>
      <c r="J57" s="851"/>
      <c r="K57" s="852" t="str">
        <f>IF(SUMPRODUCT(--(J57:J57&lt;&gt;"n/a"))&gt;0,IF(SUMPRODUCT((J57:J57&lt;&gt;"n/a")*(J57:J57&lt;&gt;""))&gt;0,IF(K57&lt;&gt;"",K57,GetETwithDST()),""),"")</f>
        <v/>
      </c>
      <c r="L57" s="853" t="str">
        <f t="shared" si="2"/>
        <v/>
      </c>
      <c r="M57" s="854" t="str">
        <f>IF(SUMPRODUCT(--(J57:J57&lt;&gt;"n/a"))=0,"",IF(SUMPRODUCT((J57:J57&lt;&gt;"n/a")*(J57:J57&lt;&gt;"c"))=0,IF(M57&lt;&gt;"",M57,GetETwithDST()),""))</f>
        <v/>
      </c>
      <c r="N57" s="855"/>
    </row>
    <row r="58" spans="1:14" ht="35" outlineLevel="2" x14ac:dyDescent="0.35">
      <c r="A58" s="946"/>
      <c r="B58" s="946" t="s">
        <v>1247</v>
      </c>
      <c r="C58" s="946" t="s">
        <v>1246</v>
      </c>
      <c r="D58" s="946"/>
      <c r="E58" s="923">
        <f>G50</f>
        <v>44433.527777777781</v>
      </c>
      <c r="F58" s="947">
        <v>5</v>
      </c>
      <c r="G58" s="948">
        <f t="shared" ref="G58:G73" si="3">E58+TIME(0,F58,0)</f>
        <v>44433.53125</v>
      </c>
      <c r="H58" s="926"/>
      <c r="I58" s="840"/>
      <c r="J58" s="851"/>
      <c r="K58" s="852" t="str">
        <f>IF(SUMPRODUCT(--(J58:J58&lt;&gt;"n/a"))&gt;0,IF(SUMPRODUCT((J58:J58&lt;&gt;"n/a")*(J58:J58&lt;&gt;""))&gt;0,IF(K58&lt;&gt;"",K58,GetETwithDST()),""),"")</f>
        <v/>
      </c>
      <c r="L58" s="853" t="str">
        <f t="shared" si="2"/>
        <v/>
      </c>
      <c r="M58" s="854" t="str">
        <f>IF(SUMPRODUCT(--(J58:J58&lt;&gt;"n/a"))=0,"",IF(SUMPRODUCT((J58:J58&lt;&gt;"n/a")*(J58:J58&lt;&gt;"c"))=0,IF(M58&lt;&gt;"",M58,GetETwithDST()),""))</f>
        <v/>
      </c>
      <c r="N58" s="855"/>
    </row>
    <row r="59" spans="1:14" ht="17.5" outlineLevel="2" x14ac:dyDescent="0.35">
      <c r="A59" s="946"/>
      <c r="B59" s="946" t="s">
        <v>1248</v>
      </c>
      <c r="C59" s="946" t="s">
        <v>1246</v>
      </c>
      <c r="D59" s="946"/>
      <c r="E59" s="923">
        <f>G58</f>
        <v>44433.53125</v>
      </c>
      <c r="F59" s="947">
        <v>10</v>
      </c>
      <c r="G59" s="948">
        <f t="shared" si="3"/>
        <v>44433.538194444445</v>
      </c>
      <c r="H59" s="926"/>
      <c r="I59" s="840"/>
      <c r="J59" s="851"/>
      <c r="K59" s="852" t="str">
        <f>IF(SUMPRODUCT(--(J59:J59&lt;&gt;"n/a"))&gt;0,IF(SUMPRODUCT((J59:J59&lt;&gt;"n/a")*(J59:J59&lt;&gt;""))&gt;0,IF(K59&lt;&gt;"",K59,GetETwithDST()),""),"")</f>
        <v/>
      </c>
      <c r="L59" s="853" t="str">
        <f t="shared" si="2"/>
        <v/>
      </c>
      <c r="M59" s="854" t="str">
        <f>IF(SUMPRODUCT(--(J59:J59&lt;&gt;"n/a"))=0,"",IF(SUMPRODUCT((J59:J59&lt;&gt;"n/a")*(J59:J59&lt;&gt;"c"))=0,IF(M59&lt;&gt;"",M59,GetETwithDST()),""))</f>
        <v/>
      </c>
      <c r="N59" s="855"/>
    </row>
    <row r="60" spans="1:14" ht="17.5" outlineLevel="2" x14ac:dyDescent="0.35">
      <c r="A60" s="946"/>
      <c r="B60" s="946" t="s">
        <v>1249</v>
      </c>
      <c r="C60" s="946" t="s">
        <v>1246</v>
      </c>
      <c r="D60" s="946"/>
      <c r="E60" s="923">
        <f t="shared" ref="E60:E65" si="4">G59</f>
        <v>44433.538194444445</v>
      </c>
      <c r="F60" s="947">
        <v>3</v>
      </c>
      <c r="G60" s="948">
        <f t="shared" si="3"/>
        <v>44433.540277777778</v>
      </c>
      <c r="H60" s="926"/>
      <c r="I60" s="840"/>
      <c r="J60" s="851"/>
      <c r="K60" s="852" t="str">
        <f>IF(SUMPRODUCT(--(J60:J60&lt;&gt;"n/a"))&gt;0,IF(SUMPRODUCT((J60:J60&lt;&gt;"n/a")*(J60:J60&lt;&gt;""))&gt;0,IF(K60&lt;&gt;"",K60,GetETwithDST()),""),"")</f>
        <v/>
      </c>
      <c r="L60" s="853" t="str">
        <f t="shared" si="2"/>
        <v/>
      </c>
      <c r="M60" s="854" t="str">
        <f>IF(SUMPRODUCT(--(J60:J60&lt;&gt;"n/a"))=0,"",IF(SUMPRODUCT((J60:J60&lt;&gt;"n/a")*(J60:J60&lt;&gt;"c"))=0,IF(M60&lt;&gt;"",M60,GetETwithDST()),""))</f>
        <v/>
      </c>
      <c r="N60" s="855"/>
    </row>
    <row r="61" spans="1:14" ht="17.5" outlineLevel="2" x14ac:dyDescent="0.35">
      <c r="A61" s="946"/>
      <c r="B61" s="946" t="s">
        <v>1250</v>
      </c>
      <c r="C61" s="946" t="s">
        <v>1246</v>
      </c>
      <c r="D61" s="946"/>
      <c r="E61" s="923">
        <f t="shared" si="4"/>
        <v>44433.540277777778</v>
      </c>
      <c r="F61" s="947">
        <v>5</v>
      </c>
      <c r="G61" s="948">
        <f t="shared" si="3"/>
        <v>44433.543749999997</v>
      </c>
      <c r="H61" s="926"/>
      <c r="I61" s="840"/>
      <c r="J61" s="851"/>
      <c r="K61" s="852" t="str">
        <f>IF(SUMPRODUCT(--(J61:J61&lt;&gt;"n/a"))&gt;0,IF(SUMPRODUCT((J61:J61&lt;&gt;"n/a")*(J61:J61&lt;&gt;""))&gt;0,IF(K61&lt;&gt;"",K61,GetETwithDST()),""),"")</f>
        <v/>
      </c>
      <c r="L61" s="853" t="str">
        <f t="shared" si="2"/>
        <v/>
      </c>
      <c r="M61" s="854" t="str">
        <f>IF(SUMPRODUCT(--(J61:J61&lt;&gt;"n/a"))=0,"",IF(SUMPRODUCT((J61:J61&lt;&gt;"n/a")*(J61:J61&lt;&gt;"c"))=0,IF(M61&lt;&gt;"",M61,GetETwithDST()),""))</f>
        <v/>
      </c>
      <c r="N61" s="855"/>
    </row>
    <row r="62" spans="1:14" ht="17.5" outlineLevel="2" x14ac:dyDescent="0.35">
      <c r="A62" s="946"/>
      <c r="B62" s="946" t="s">
        <v>1251</v>
      </c>
      <c r="C62" s="946" t="s">
        <v>1246</v>
      </c>
      <c r="D62" s="946"/>
      <c r="E62" s="923">
        <f t="shared" si="4"/>
        <v>44433.543749999997</v>
      </c>
      <c r="F62" s="947">
        <v>5</v>
      </c>
      <c r="G62" s="948">
        <f t="shared" si="3"/>
        <v>44433.547222222216</v>
      </c>
      <c r="H62" s="926"/>
      <c r="I62" s="840"/>
      <c r="J62" s="851"/>
      <c r="K62" s="852" t="str">
        <f>IF(SUMPRODUCT(--(J62:J62&lt;&gt;"n/a"))&gt;0,IF(SUMPRODUCT((J62:J62&lt;&gt;"n/a")*(J62:J62&lt;&gt;""))&gt;0,IF(K62&lt;&gt;"",K62,GetETwithDST()),""),"")</f>
        <v/>
      </c>
      <c r="L62" s="853" t="str">
        <f t="shared" si="2"/>
        <v/>
      </c>
      <c r="M62" s="854" t="str">
        <f>IF(SUMPRODUCT(--(J62:J62&lt;&gt;"n/a"))=0,"",IF(SUMPRODUCT((J62:J62&lt;&gt;"n/a")*(J62:J62&lt;&gt;"c"))=0,IF(M62&lt;&gt;"",M62,GetETwithDST()),""))</f>
        <v/>
      </c>
      <c r="N62" s="855"/>
    </row>
    <row r="63" spans="1:14" ht="17.5" outlineLevel="2" x14ac:dyDescent="0.35">
      <c r="A63" s="946"/>
      <c r="B63" s="946" t="s">
        <v>1252</v>
      </c>
      <c r="C63" s="946" t="s">
        <v>1246</v>
      </c>
      <c r="D63" s="946"/>
      <c r="E63" s="923">
        <f t="shared" si="4"/>
        <v>44433.547222222216</v>
      </c>
      <c r="F63" s="947">
        <v>5</v>
      </c>
      <c r="G63" s="948">
        <f t="shared" si="3"/>
        <v>44433.550694444435</v>
      </c>
      <c r="H63" s="926"/>
      <c r="I63" s="840"/>
      <c r="J63" s="851"/>
      <c r="K63" s="852" t="str">
        <f>IF(SUMPRODUCT(--(J63:J63&lt;&gt;"n/a"))&gt;0,IF(SUMPRODUCT((J63:J63&lt;&gt;"n/a")*(J63:J63&lt;&gt;""))&gt;0,IF(K63&lt;&gt;"",K63,GetETwithDST()),""),"")</f>
        <v/>
      </c>
      <c r="L63" s="853" t="str">
        <f t="shared" si="2"/>
        <v/>
      </c>
      <c r="M63" s="854" t="str">
        <f>IF(SUMPRODUCT(--(J63:J63&lt;&gt;"n/a"))=0,"",IF(SUMPRODUCT((J63:J63&lt;&gt;"n/a")*(J63:J63&lt;&gt;"c"))=0,IF(M63&lt;&gt;"",M63,GetETwithDST()),""))</f>
        <v/>
      </c>
      <c r="N63" s="855"/>
    </row>
    <row r="64" spans="1:14" ht="17.5" outlineLevel="2" x14ac:dyDescent="0.35">
      <c r="A64" s="946"/>
      <c r="B64" s="946" t="s">
        <v>1253</v>
      </c>
      <c r="C64" s="946" t="s">
        <v>1246</v>
      </c>
      <c r="D64" s="946"/>
      <c r="E64" s="923">
        <f t="shared" si="4"/>
        <v>44433.550694444435</v>
      </c>
      <c r="F64" s="947">
        <v>5</v>
      </c>
      <c r="G64" s="948">
        <f t="shared" si="3"/>
        <v>44433.554166666654</v>
      </c>
      <c r="H64" s="926"/>
      <c r="I64" s="840"/>
      <c r="J64" s="851"/>
      <c r="K64" s="852" t="str">
        <f>IF(SUMPRODUCT(--(J64:J64&lt;&gt;"n/a"))&gt;0,IF(SUMPRODUCT((J64:J64&lt;&gt;"n/a")*(J64:J64&lt;&gt;""))&gt;0,IF(K64&lt;&gt;"",K64,GetETwithDST()),""),"")</f>
        <v/>
      </c>
      <c r="L64" s="853" t="str">
        <f t="shared" si="2"/>
        <v/>
      </c>
      <c r="M64" s="854" t="str">
        <f>IF(SUMPRODUCT(--(J64:J64&lt;&gt;"n/a"))=0,"",IF(SUMPRODUCT((J64:J64&lt;&gt;"n/a")*(J64:J64&lt;&gt;"c"))=0,IF(M64&lt;&gt;"",M64,GetETwithDST()),""))</f>
        <v/>
      </c>
      <c r="N64" s="855"/>
    </row>
    <row r="65" spans="1:14" ht="17.5" outlineLevel="2" x14ac:dyDescent="0.35">
      <c r="A65" s="946"/>
      <c r="B65" s="946" t="s">
        <v>1254</v>
      </c>
      <c r="C65" s="946" t="s">
        <v>1255</v>
      </c>
      <c r="D65" s="946"/>
      <c r="E65" s="923">
        <f t="shared" si="4"/>
        <v>44433.554166666654</v>
      </c>
      <c r="F65" s="947">
        <v>10</v>
      </c>
      <c r="G65" s="948">
        <f t="shared" si="3"/>
        <v>44433.561111111099</v>
      </c>
      <c r="H65" s="926"/>
      <c r="I65" s="840"/>
      <c r="J65" s="851"/>
      <c r="K65" s="852"/>
      <c r="L65" s="853"/>
      <c r="M65" s="854"/>
      <c r="N65" s="855"/>
    </row>
    <row r="66" spans="1:14" ht="20" outlineLevel="1" x14ac:dyDescent="0.35">
      <c r="A66" s="946"/>
      <c r="B66" s="949" t="s">
        <v>1256</v>
      </c>
      <c r="C66" s="946"/>
      <c r="D66" s="946"/>
      <c r="E66" s="950">
        <f>E67</f>
        <v>44433.538194444445</v>
      </c>
      <c r="F66" s="951">
        <f>IF(AND(E66&lt;&gt;"",G66&lt;&gt;""), G66-E66,"")</f>
        <v>1.7361111109494232E-2</v>
      </c>
      <c r="G66" s="952">
        <f>G68</f>
        <v>44433.555555555555</v>
      </c>
      <c r="H66" s="926"/>
      <c r="I66" s="840"/>
      <c r="J66" s="851"/>
      <c r="K66" s="852"/>
      <c r="L66" s="853"/>
      <c r="M66" s="854"/>
      <c r="N66" s="855"/>
    </row>
    <row r="67" spans="1:14" ht="35" outlineLevel="2" x14ac:dyDescent="0.35">
      <c r="A67" s="946"/>
      <c r="B67" s="946" t="s">
        <v>1257</v>
      </c>
      <c r="C67" s="946" t="s">
        <v>1203</v>
      </c>
      <c r="D67" s="946"/>
      <c r="E67" s="923">
        <f>G59</f>
        <v>44433.538194444445</v>
      </c>
      <c r="F67" s="947">
        <v>15</v>
      </c>
      <c r="G67" s="948">
        <f>E67+TIME(0,F67,0)</f>
        <v>44433.548611111109</v>
      </c>
      <c r="H67" s="926"/>
      <c r="I67" s="840"/>
      <c r="J67" s="851"/>
      <c r="K67" s="852"/>
      <c r="L67" s="853"/>
      <c r="M67" s="854"/>
      <c r="N67" s="855"/>
    </row>
    <row r="68" spans="1:14" ht="17.5" outlineLevel="2" x14ac:dyDescent="0.35">
      <c r="A68" s="946"/>
      <c r="B68" s="946" t="s">
        <v>1258</v>
      </c>
      <c r="C68" s="946" t="s">
        <v>1259</v>
      </c>
      <c r="D68" s="946"/>
      <c r="E68" s="923">
        <f>G67</f>
        <v>44433.548611111109</v>
      </c>
      <c r="F68" s="947">
        <v>10</v>
      </c>
      <c r="G68" s="948">
        <f>E68+TIME(0,F68,0)</f>
        <v>44433.555555555555</v>
      </c>
      <c r="H68" s="926"/>
      <c r="I68" s="840"/>
      <c r="J68" s="851"/>
      <c r="K68" s="852"/>
      <c r="L68" s="853"/>
      <c r="M68" s="854"/>
      <c r="N68" s="855"/>
    </row>
    <row r="69" spans="1:14" ht="35" outlineLevel="1" x14ac:dyDescent="0.35">
      <c r="A69" s="946"/>
      <c r="B69" s="953" t="s">
        <v>1260</v>
      </c>
      <c r="C69" s="953" t="s">
        <v>1261</v>
      </c>
      <c r="D69" s="953"/>
      <c r="E69" s="954">
        <f>G57</f>
        <v>44433.561111111099</v>
      </c>
      <c r="F69" s="955">
        <v>20</v>
      </c>
      <c r="G69" s="956">
        <f t="shared" si="3"/>
        <v>44433.57499999999</v>
      </c>
      <c r="H69" s="935" t="s">
        <v>1215</v>
      </c>
      <c r="I69" s="840"/>
      <c r="J69" s="851"/>
      <c r="K69" s="852"/>
      <c r="L69" s="853"/>
      <c r="M69" s="854"/>
      <c r="N69" s="855"/>
    </row>
    <row r="70" spans="1:14" ht="70" outlineLevel="1" x14ac:dyDescent="0.35">
      <c r="A70" s="946"/>
      <c r="B70" s="953" t="s">
        <v>1262</v>
      </c>
      <c r="C70" s="953" t="s">
        <v>1261</v>
      </c>
      <c r="D70" s="953"/>
      <c r="E70" s="932">
        <f>G69</f>
        <v>44433.57499999999</v>
      </c>
      <c r="F70" s="955">
        <v>15</v>
      </c>
      <c r="G70" s="956">
        <f t="shared" si="3"/>
        <v>44433.585416666654</v>
      </c>
      <c r="H70" s="935" t="s">
        <v>1215</v>
      </c>
      <c r="I70" s="840"/>
      <c r="J70" s="851"/>
      <c r="K70" s="852"/>
      <c r="L70" s="853"/>
      <c r="M70" s="854"/>
      <c r="N70" s="855"/>
    </row>
    <row r="71" spans="1:14" ht="18" outlineLevel="1" x14ac:dyDescent="0.35">
      <c r="A71" s="911"/>
      <c r="B71" s="844" t="s">
        <v>1263</v>
      </c>
      <c r="C71" s="846" t="s">
        <v>1019</v>
      </c>
      <c r="D71" s="846"/>
      <c r="E71" s="847">
        <f>G70</f>
        <v>44433.585416666654</v>
      </c>
      <c r="F71" s="957">
        <v>10</v>
      </c>
      <c r="G71" s="958">
        <f>E71+TIME(0,F71,0)</f>
        <v>44433.592361111099</v>
      </c>
      <c r="H71" s="850" t="s">
        <v>1264</v>
      </c>
      <c r="I71" s="840"/>
      <c r="J71" s="851"/>
      <c r="K71" s="852"/>
      <c r="L71" s="853"/>
      <c r="M71" s="854"/>
      <c r="N71" s="855"/>
    </row>
    <row r="72" spans="1:14" ht="17.5" outlineLevel="1" x14ac:dyDescent="0.35">
      <c r="A72" s="946"/>
      <c r="B72" s="946" t="s">
        <v>1265</v>
      </c>
      <c r="C72" s="946" t="s">
        <v>1266</v>
      </c>
      <c r="D72" s="946"/>
      <c r="E72" s="923">
        <f>G71</f>
        <v>44433.592361111099</v>
      </c>
      <c r="F72" s="947">
        <v>10</v>
      </c>
      <c r="G72" s="948">
        <f t="shared" si="3"/>
        <v>44433.599305555545</v>
      </c>
      <c r="H72" s="926" t="s">
        <v>1267</v>
      </c>
      <c r="I72" s="840"/>
      <c r="J72" s="851"/>
      <c r="K72" s="852"/>
      <c r="L72" s="853"/>
      <c r="M72" s="854"/>
      <c r="N72" s="855"/>
    </row>
    <row r="73" spans="1:14" ht="35" outlineLevel="1" x14ac:dyDescent="0.35">
      <c r="A73" s="946"/>
      <c r="B73" s="946" t="s">
        <v>1268</v>
      </c>
      <c r="C73" s="946" t="s">
        <v>1192</v>
      </c>
      <c r="D73" s="946"/>
      <c r="E73" s="923">
        <f>G72</f>
        <v>44433.599305555545</v>
      </c>
      <c r="F73" s="947">
        <v>10</v>
      </c>
      <c r="G73" s="948">
        <f t="shared" si="3"/>
        <v>44433.60624999999</v>
      </c>
      <c r="H73" s="926"/>
      <c r="I73" s="840"/>
      <c r="J73" s="851"/>
      <c r="K73" s="852"/>
      <c r="L73" s="853"/>
      <c r="M73" s="854"/>
      <c r="N73" s="855"/>
    </row>
    <row r="74" spans="1:14" ht="17.5" x14ac:dyDescent="0.35">
      <c r="A74" s="843"/>
      <c r="B74" s="844" t="s">
        <v>1269</v>
      </c>
      <c r="C74" s="845" t="s">
        <v>445</v>
      </c>
      <c r="D74" s="846"/>
      <c r="E74" s="847">
        <f>G73</f>
        <v>44433.60624999999</v>
      </c>
      <c r="F74" s="848">
        <v>5</v>
      </c>
      <c r="G74" s="849">
        <f>E74+TIME(0,F74,0)</f>
        <v>44433.609722222209</v>
      </c>
      <c r="H74" s="850"/>
      <c r="I74" s="840"/>
      <c r="J74" s="851"/>
      <c r="K74" s="852" t="str">
        <f>IF(SUMPRODUCT(--(J74:J74&lt;&gt;"n/a"))&gt;0,IF(SUMPRODUCT((J74:J74&lt;&gt;"n/a")*(J74:J74&lt;&gt;""))&gt;0,IF(K74&lt;&gt;"",K74,GetETwithDST()),""),"")</f>
        <v/>
      </c>
      <c r="L74" s="853" t="str">
        <f t="shared" si="2"/>
        <v/>
      </c>
      <c r="M74" s="854" t="str">
        <f>IF(SUMPRODUCT(--(J74:J74&lt;&gt;"n/a"))=0,"",IF(SUMPRODUCT((J74:J74&lt;&gt;"n/a")*(J74:J74&lt;&gt;"c"))=0,IF(M74&lt;&gt;"",M74,GetETwithDST()),""))</f>
        <v/>
      </c>
      <c r="N74" s="855"/>
    </row>
    <row r="75" spans="1:14" ht="20" x14ac:dyDescent="0.35">
      <c r="A75" s="902"/>
      <c r="B75" s="903" t="s">
        <v>1270</v>
      </c>
      <c r="C75" s="874"/>
      <c r="D75" s="874"/>
      <c r="E75" s="904">
        <f>E48</f>
        <v>44433.506944444453</v>
      </c>
      <c r="F75" s="876">
        <f>IF(AND(E75&lt;&gt;"",G75&lt;&gt;""), G75-E75,"")</f>
        <v>0.10277777775627328</v>
      </c>
      <c r="G75" s="904">
        <f>G74</f>
        <v>44433.609722222209</v>
      </c>
      <c r="H75" s="878" t="s">
        <v>1200</v>
      </c>
      <c r="I75" s="840"/>
      <c r="J75" s="890"/>
      <c r="K75" s="891"/>
      <c r="L75" s="891"/>
      <c r="M75" s="891"/>
      <c r="N75" s="891"/>
    </row>
    <row r="76" spans="1:14" ht="20" x14ac:dyDescent="0.35">
      <c r="A76" s="905"/>
      <c r="B76" s="906" t="s">
        <v>1271</v>
      </c>
      <c r="C76" s="836"/>
      <c r="D76" s="836"/>
      <c r="E76" s="907"/>
      <c r="F76" s="908"/>
      <c r="G76" s="907"/>
      <c r="H76" s="839"/>
      <c r="I76" s="840"/>
      <c r="J76" s="890"/>
      <c r="K76" s="891"/>
      <c r="L76" s="891"/>
      <c r="M76" s="891"/>
      <c r="N76" s="891"/>
    </row>
    <row r="77" spans="1:14" ht="18" x14ac:dyDescent="0.35">
      <c r="A77" s="911" t="s">
        <v>1184</v>
      </c>
      <c r="B77" s="912" t="s">
        <v>1272</v>
      </c>
      <c r="C77" s="913"/>
      <c r="D77" s="914"/>
      <c r="E77" s="915">
        <f>E78</f>
        <v>44433.609722222209</v>
      </c>
      <c r="F77" s="944">
        <f>IF(AND(E77&lt;&gt;"",G77&lt;&gt;""), G77-E77,"")</f>
        <v>6.25E-2</v>
      </c>
      <c r="G77" s="945">
        <f>G79</f>
        <v>44433.672222222209</v>
      </c>
      <c r="H77" s="918"/>
      <c r="I77" s="840"/>
      <c r="J77" s="851"/>
      <c r="K77" s="852"/>
      <c r="L77" s="853"/>
      <c r="M77" s="854"/>
      <c r="N77" s="855"/>
    </row>
    <row r="78" spans="1:14" ht="35" outlineLevel="1" x14ac:dyDescent="0.35">
      <c r="A78" s="959"/>
      <c r="B78" s="960" t="s">
        <v>1273</v>
      </c>
      <c r="C78" s="921" t="s">
        <v>1274</v>
      </c>
      <c r="D78" s="961"/>
      <c r="E78" s="948">
        <f>G75</f>
        <v>44433.609722222209</v>
      </c>
      <c r="F78" s="947">
        <v>60</v>
      </c>
      <c r="G78" s="948">
        <f t="shared" ref="G78:G83" si="5">E78+TIME(0,F78,0)</f>
        <v>44433.651388888873</v>
      </c>
      <c r="H78" s="962" t="s">
        <v>1275</v>
      </c>
      <c r="I78" s="840"/>
      <c r="J78" s="851"/>
      <c r="K78" s="909" t="str">
        <f>IF(SUMPRODUCT(--(J78:J78&lt;&gt;"n/a"))&gt;0,IF(SUMPRODUCT((J78:J78&lt;&gt;"n/a")*(J78:J78&lt;&gt;""))&gt;0,IF(K78&lt;&gt;"",K78,GetETwithDST()),""),"")</f>
        <v/>
      </c>
      <c r="L78" s="853" t="str">
        <f>IF(AND(K78&lt;&gt;"",M78&lt;&gt;""), M78-K78,"")</f>
        <v/>
      </c>
      <c r="M78" s="854" t="str">
        <f>IF(SUMPRODUCT(--(J78:J78&lt;&gt;"n/a"))=0,"",IF(SUMPRODUCT((J78:J78&lt;&gt;"n/a")*(J78:J78&lt;&gt;"c"))=0,IF(M78&lt;&gt;"",M78,GetETwithDST()),""))</f>
        <v/>
      </c>
      <c r="N78" s="910"/>
    </row>
    <row r="79" spans="1:14" ht="17.5" outlineLevel="1" x14ac:dyDescent="0.35">
      <c r="A79" s="963"/>
      <c r="B79" s="960" t="s">
        <v>1276</v>
      </c>
      <c r="C79" s="921" t="s">
        <v>1277</v>
      </c>
      <c r="D79" s="964"/>
      <c r="E79" s="948">
        <f>G78</f>
        <v>44433.651388888873</v>
      </c>
      <c r="F79" s="947">
        <v>30</v>
      </c>
      <c r="G79" s="948">
        <f t="shared" si="5"/>
        <v>44433.672222222209</v>
      </c>
      <c r="H79" s="965"/>
      <c r="I79" s="840"/>
      <c r="J79" s="851"/>
      <c r="K79" s="909" t="str">
        <f>IF(SUMPRODUCT(--(J79:J79&lt;&gt;"n/a"))&gt;0,IF(SUMPRODUCT((J79:J79&lt;&gt;"n/a")*(J79:J79&lt;&gt;""))&gt;0,IF(K79&lt;&gt;"",K79,GetETwithDST()),""),"")</f>
        <v/>
      </c>
      <c r="L79" s="853" t="str">
        <f>IF(AND(K79&lt;&gt;"",M79&lt;&gt;""), M79-K79,"")</f>
        <v/>
      </c>
      <c r="M79" s="854" t="str">
        <f>IF(SUMPRODUCT(--(J79:J79&lt;&gt;"n/a"))=0,"",IF(SUMPRODUCT((J79:J79&lt;&gt;"n/a")*(J79:J79&lt;&gt;"c"))=0,IF(M79&lt;&gt;"",M79,GetETwithDST()),""))</f>
        <v/>
      </c>
      <c r="N79" s="910"/>
    </row>
    <row r="80" spans="1:14" ht="52.5" outlineLevel="1" x14ac:dyDescent="0.35">
      <c r="A80" s="963"/>
      <c r="B80" s="218" t="s">
        <v>1278</v>
      </c>
      <c r="C80" s="921" t="s">
        <v>1279</v>
      </c>
      <c r="D80" s="964" t="s">
        <v>1280</v>
      </c>
      <c r="E80" s="948">
        <f>G79</f>
        <v>44433.672222222209</v>
      </c>
      <c r="F80" s="947">
        <v>60</v>
      </c>
      <c r="G80" s="948">
        <f t="shared" si="5"/>
        <v>44433.713888888873</v>
      </c>
      <c r="H80" s="966" t="s">
        <v>1281</v>
      </c>
      <c r="I80" s="840"/>
      <c r="J80" s="851"/>
      <c r="K80" s="909"/>
      <c r="L80" s="853"/>
      <c r="M80" s="854"/>
      <c r="N80" s="910"/>
    </row>
    <row r="81" spans="1:14" ht="52.5" outlineLevel="1" x14ac:dyDescent="0.35">
      <c r="A81" s="963"/>
      <c r="B81" s="218" t="s">
        <v>1282</v>
      </c>
      <c r="C81" s="921" t="s">
        <v>1283</v>
      </c>
      <c r="D81" s="964"/>
      <c r="E81" s="948">
        <f>G80</f>
        <v>44433.713888888873</v>
      </c>
      <c r="F81" s="947">
        <v>30</v>
      </c>
      <c r="G81" s="948">
        <f t="shared" si="5"/>
        <v>44433.734722222209</v>
      </c>
      <c r="H81" s="966" t="s">
        <v>1284</v>
      </c>
      <c r="I81" s="840"/>
      <c r="J81" s="851"/>
      <c r="K81" s="909"/>
      <c r="L81" s="853"/>
      <c r="M81" s="854"/>
      <c r="N81" s="910"/>
    </row>
    <row r="82" spans="1:14" ht="17.5" outlineLevel="1" x14ac:dyDescent="0.35">
      <c r="A82" s="963"/>
      <c r="B82" s="218" t="s">
        <v>1285</v>
      </c>
      <c r="C82" s="921" t="s">
        <v>589</v>
      </c>
      <c r="D82" s="964"/>
      <c r="E82" s="948">
        <f>G81</f>
        <v>44433.734722222209</v>
      </c>
      <c r="F82" s="947">
        <v>30</v>
      </c>
      <c r="G82" s="948">
        <f t="shared" si="5"/>
        <v>44433.755555555545</v>
      </c>
      <c r="H82" s="966" t="s">
        <v>1286</v>
      </c>
      <c r="I82" s="840"/>
      <c r="J82" s="851"/>
      <c r="K82" s="909"/>
      <c r="L82" s="853"/>
      <c r="M82" s="854"/>
      <c r="N82" s="910"/>
    </row>
    <row r="83" spans="1:14" ht="40.4" customHeight="1" x14ac:dyDescent="0.35">
      <c r="A83" s="843"/>
      <c r="B83" s="844" t="s">
        <v>1287</v>
      </c>
      <c r="C83" s="845" t="s">
        <v>1288</v>
      </c>
      <c r="D83" s="846"/>
      <c r="E83" s="847">
        <f>E78</f>
        <v>44433.609722222209</v>
      </c>
      <c r="F83" s="848">
        <v>90</v>
      </c>
      <c r="G83" s="849">
        <f t="shared" si="5"/>
        <v>44433.672222222209</v>
      </c>
      <c r="H83" s="850"/>
      <c r="I83" s="967"/>
      <c r="J83" s="851"/>
      <c r="K83" s="852"/>
      <c r="L83" s="853"/>
      <c r="M83" s="854"/>
      <c r="N83" s="855"/>
    </row>
    <row r="84" spans="1:14" ht="62.9" customHeight="1" x14ac:dyDescent="0.35">
      <c r="A84" s="843"/>
      <c r="B84" s="844" t="s">
        <v>1289</v>
      </c>
      <c r="C84" s="845" t="s">
        <v>1174</v>
      </c>
      <c r="D84" s="846"/>
      <c r="E84" s="968" t="s">
        <v>1290</v>
      </c>
      <c r="F84" s="848">
        <v>5</v>
      </c>
      <c r="G84" s="849"/>
      <c r="H84" s="969" t="s">
        <v>1291</v>
      </c>
      <c r="I84" s="840"/>
      <c r="J84" s="851"/>
      <c r="K84" s="852"/>
      <c r="L84" s="853"/>
      <c r="M84" s="854"/>
      <c r="N84" s="855"/>
    </row>
    <row r="85" spans="1:14" ht="44.9" customHeight="1" x14ac:dyDescent="0.35">
      <c r="A85" s="843"/>
      <c r="B85" s="844" t="s">
        <v>1292</v>
      </c>
      <c r="C85" s="845" t="s">
        <v>1189</v>
      </c>
      <c r="D85" s="846"/>
      <c r="E85" s="847">
        <f>G83</f>
        <v>44433.672222222209</v>
      </c>
      <c r="F85" s="848">
        <v>5</v>
      </c>
      <c r="G85" s="849">
        <f>E85+TIME(0,F85,0)</f>
        <v>44433.675694444428</v>
      </c>
      <c r="H85" s="850"/>
      <c r="I85" s="840"/>
      <c r="J85" s="851"/>
      <c r="K85" s="852"/>
      <c r="L85" s="853"/>
      <c r="M85" s="854"/>
      <c r="N85" s="855"/>
    </row>
    <row r="86" spans="1:14" ht="32.9" customHeight="1" x14ac:dyDescent="0.35">
      <c r="A86" s="902"/>
      <c r="B86" s="903" t="s">
        <v>1293</v>
      </c>
      <c r="C86" s="874"/>
      <c r="D86" s="874"/>
      <c r="E86" s="904">
        <f>E77</f>
        <v>44433.609722222209</v>
      </c>
      <c r="F86" s="876">
        <f>IF(AND(E86&lt;&gt;"",G86&lt;&gt;""), G86-E86,"")</f>
        <v>6.5972222218988463E-2</v>
      </c>
      <c r="G86" s="904">
        <f>G85</f>
        <v>44433.675694444428</v>
      </c>
      <c r="H86" s="878" t="s">
        <v>1200</v>
      </c>
      <c r="I86" s="840"/>
      <c r="J86" s="890"/>
      <c r="K86" s="891"/>
      <c r="L86" s="891"/>
      <c r="M86" s="891"/>
      <c r="N86" s="891"/>
    </row>
    <row r="87" spans="1:14" ht="32.9" customHeight="1" x14ac:dyDescent="0.35">
      <c r="A87" s="905"/>
      <c r="B87" s="906" t="s">
        <v>1294</v>
      </c>
      <c r="C87" s="836"/>
      <c r="D87" s="836"/>
      <c r="E87" s="907"/>
      <c r="F87" s="908"/>
      <c r="G87" s="907"/>
      <c r="H87" s="839"/>
      <c r="I87" s="840"/>
      <c r="J87" s="890"/>
      <c r="K87" s="891"/>
      <c r="L87" s="891"/>
      <c r="M87" s="891"/>
      <c r="N87" s="891"/>
    </row>
    <row r="88" spans="1:14" ht="30.75" customHeight="1" x14ac:dyDescent="0.35">
      <c r="A88" s="911" t="s">
        <v>1184</v>
      </c>
      <c r="B88" s="912" t="s">
        <v>1075</v>
      </c>
      <c r="C88" s="913"/>
      <c r="D88" s="914"/>
      <c r="E88" s="915">
        <f>E89</f>
        <v>44433.675694444428</v>
      </c>
      <c r="F88" s="944">
        <f>IF(AND(E88&lt;&gt;"",G88&lt;&gt;""), G88-E88,"")</f>
        <v>3.4722222189884633E-3</v>
      </c>
      <c r="G88" s="945">
        <f>G89</f>
        <v>44433.679166666647</v>
      </c>
      <c r="H88" s="918"/>
      <c r="I88" s="840"/>
      <c r="J88" s="851"/>
      <c r="K88" s="852"/>
      <c r="L88" s="853"/>
      <c r="M88" s="854"/>
      <c r="N88" s="855"/>
    </row>
    <row r="89" spans="1:14" ht="44.9" customHeight="1" outlineLevel="1" x14ac:dyDescent="0.35">
      <c r="A89" s="927"/>
      <c r="B89" s="946" t="s">
        <v>1295</v>
      </c>
      <c r="C89" s="921" t="s">
        <v>445</v>
      </c>
      <c r="D89" s="922"/>
      <c r="E89" s="923">
        <f>G86</f>
        <v>44433.675694444428</v>
      </c>
      <c r="F89" s="947">
        <v>5</v>
      </c>
      <c r="G89" s="948">
        <f>E89+TIME(0,F89,0)</f>
        <v>44433.679166666647</v>
      </c>
      <c r="H89" s="926"/>
      <c r="I89" s="840"/>
      <c r="J89" s="851"/>
      <c r="K89" s="852"/>
      <c r="L89" s="853"/>
      <c r="M89" s="854"/>
      <c r="N89" s="855"/>
    </row>
    <row r="90" spans="1:14" ht="51.65" customHeight="1" x14ac:dyDescent="0.35">
      <c r="A90" s="843"/>
      <c r="B90" s="844" t="s">
        <v>1296</v>
      </c>
      <c r="C90" s="845" t="s">
        <v>1297</v>
      </c>
      <c r="D90" s="846"/>
      <c r="E90" s="847">
        <f>G89</f>
        <v>44433.679166666647</v>
      </c>
      <c r="F90" s="848">
        <v>1</v>
      </c>
      <c r="G90" s="849">
        <f>E90+TIME(0,F90,0)</f>
        <v>44433.679861111093</v>
      </c>
      <c r="H90" s="969" t="s">
        <v>1298</v>
      </c>
      <c r="I90" s="840"/>
      <c r="J90" s="851"/>
      <c r="K90" s="852"/>
      <c r="L90" s="853"/>
      <c r="M90" s="854"/>
      <c r="N90" s="855"/>
    </row>
    <row r="91" spans="1:14" ht="32.9" customHeight="1" x14ac:dyDescent="0.35">
      <c r="A91" s="902"/>
      <c r="B91" s="903" t="s">
        <v>1299</v>
      </c>
      <c r="C91" s="874"/>
      <c r="D91" s="874"/>
      <c r="E91" s="904">
        <f>E88</f>
        <v>44433.675694444428</v>
      </c>
      <c r="F91" s="876" t="e">
        <f>IF(AND(E91&lt;&gt;"",G91&lt;&gt;""), G91-E91,"")</f>
        <v>#REF!</v>
      </c>
      <c r="G91" s="904" t="e">
        <f>#REF!</f>
        <v>#REF!</v>
      </c>
      <c r="H91" s="878"/>
      <c r="I91" s="840"/>
      <c r="J91" s="890"/>
      <c r="K91" s="891"/>
      <c r="L91" s="891"/>
      <c r="M91" s="891"/>
      <c r="N91" s="891"/>
    </row>
    <row r="92" spans="1:14" x14ac:dyDescent="0.35">
      <c r="A92" s="970"/>
      <c r="B92" s="971"/>
      <c r="C92" s="970"/>
      <c r="D92" s="970"/>
      <c r="E92" s="972"/>
      <c r="F92" s="972"/>
      <c r="G92" s="972"/>
      <c r="H92" s="973"/>
      <c r="I92" s="828"/>
      <c r="J92" s="972"/>
      <c r="K92" s="970"/>
      <c r="L92" s="970"/>
      <c r="M92" s="970"/>
      <c r="N92" s="970"/>
    </row>
  </sheetData>
  <conditionalFormatting sqref="J72:J74 J48:J70 J10 J25:J44">
    <cfRule type="cellIs" dxfId="116" priority="100" operator="equal">
      <formula>"N/A"</formula>
    </cfRule>
    <cfRule type="cellIs" dxfId="115" priority="101" operator="equal">
      <formula>"P"</formula>
    </cfRule>
    <cfRule type="cellIs" dxfId="114" priority="102" operator="equal">
      <formula>"R"</formula>
    </cfRule>
    <cfRule type="cellIs" dxfId="113" priority="103" operator="equal">
      <formula>"D"</formula>
    </cfRule>
    <cfRule type="cellIs" dxfId="112" priority="104" operator="equal">
      <formula>"C"</formula>
    </cfRule>
  </conditionalFormatting>
  <conditionalFormatting sqref="J72:J74 J48:J70 J10 J25:J44">
    <cfRule type="cellIs" dxfId="111" priority="99" operator="equal">
      <formula>""""""</formula>
    </cfRule>
    <cfRule type="containsBlanks" dxfId="110" priority="105">
      <formula>LEN(TRIM(J10))=0</formula>
    </cfRule>
  </conditionalFormatting>
  <conditionalFormatting sqref="J78">
    <cfRule type="cellIs" dxfId="109" priority="93" operator="equal">
      <formula>"N/A"</formula>
    </cfRule>
    <cfRule type="cellIs" dxfId="108" priority="94" operator="equal">
      <formula>"P"</formula>
    </cfRule>
    <cfRule type="cellIs" dxfId="107" priority="95" operator="equal">
      <formula>"R"</formula>
    </cfRule>
    <cfRule type="cellIs" dxfId="106" priority="96" operator="equal">
      <formula>"D"</formula>
    </cfRule>
    <cfRule type="cellIs" dxfId="105" priority="97" operator="equal">
      <formula>"C"</formula>
    </cfRule>
  </conditionalFormatting>
  <conditionalFormatting sqref="J78">
    <cfRule type="cellIs" dxfId="104" priority="92" operator="equal">
      <formula>""""""</formula>
    </cfRule>
    <cfRule type="containsBlanks" dxfId="103" priority="98">
      <formula>LEN(TRIM(J78))=0</formula>
    </cfRule>
  </conditionalFormatting>
  <conditionalFormatting sqref="J79:J83">
    <cfRule type="cellIs" dxfId="102" priority="86" operator="equal">
      <formula>"N/A"</formula>
    </cfRule>
    <cfRule type="cellIs" dxfId="101" priority="87" operator="equal">
      <formula>"P"</formula>
    </cfRule>
    <cfRule type="cellIs" dxfId="100" priority="88" operator="equal">
      <formula>"R"</formula>
    </cfRule>
    <cfRule type="cellIs" dxfId="99" priority="89" operator="equal">
      <formula>"D"</formula>
    </cfRule>
    <cfRule type="cellIs" dxfId="98" priority="90" operator="equal">
      <formula>"C"</formula>
    </cfRule>
  </conditionalFormatting>
  <conditionalFormatting sqref="J79:J83">
    <cfRule type="cellIs" dxfId="97" priority="85" operator="equal">
      <formula>""""""</formula>
    </cfRule>
    <cfRule type="containsBlanks" dxfId="96" priority="91">
      <formula>LEN(TRIM(J79))=0</formula>
    </cfRule>
  </conditionalFormatting>
  <conditionalFormatting sqref="J84">
    <cfRule type="cellIs" dxfId="95" priority="79" operator="equal">
      <formula>"N/A"</formula>
    </cfRule>
    <cfRule type="cellIs" dxfId="94" priority="80" operator="equal">
      <formula>"P"</formula>
    </cfRule>
    <cfRule type="cellIs" dxfId="93" priority="81" operator="equal">
      <formula>"R"</formula>
    </cfRule>
    <cfRule type="cellIs" dxfId="92" priority="82" operator="equal">
      <formula>"D"</formula>
    </cfRule>
    <cfRule type="cellIs" dxfId="91" priority="83" operator="equal">
      <formula>"C"</formula>
    </cfRule>
  </conditionalFormatting>
  <conditionalFormatting sqref="J84">
    <cfRule type="cellIs" dxfId="90" priority="78" operator="equal">
      <formula>""""""</formula>
    </cfRule>
    <cfRule type="containsBlanks" dxfId="89" priority="84">
      <formula>LEN(TRIM(J84))=0</formula>
    </cfRule>
  </conditionalFormatting>
  <conditionalFormatting sqref="J85">
    <cfRule type="cellIs" dxfId="88" priority="72" operator="equal">
      <formula>"N/A"</formula>
    </cfRule>
    <cfRule type="cellIs" dxfId="87" priority="73" operator="equal">
      <formula>"P"</formula>
    </cfRule>
    <cfRule type="cellIs" dxfId="86" priority="74" operator="equal">
      <formula>"R"</formula>
    </cfRule>
    <cfRule type="cellIs" dxfId="85" priority="75" operator="equal">
      <formula>"D"</formula>
    </cfRule>
    <cfRule type="cellIs" dxfId="84" priority="76" operator="equal">
      <formula>"C"</formula>
    </cfRule>
  </conditionalFormatting>
  <conditionalFormatting sqref="J85">
    <cfRule type="cellIs" dxfId="83" priority="71" operator="equal">
      <formula>""""""</formula>
    </cfRule>
    <cfRule type="containsBlanks" dxfId="82" priority="77">
      <formula>LEN(TRIM(J85))=0</formula>
    </cfRule>
  </conditionalFormatting>
  <conditionalFormatting sqref="J89">
    <cfRule type="cellIs" dxfId="81" priority="65" operator="equal">
      <formula>"N/A"</formula>
    </cfRule>
    <cfRule type="cellIs" dxfId="80" priority="66" operator="equal">
      <formula>"P"</formula>
    </cfRule>
    <cfRule type="cellIs" dxfId="79" priority="67" operator="equal">
      <formula>"R"</formula>
    </cfRule>
    <cfRule type="cellIs" dxfId="78" priority="68" operator="equal">
      <formula>"D"</formula>
    </cfRule>
    <cfRule type="cellIs" dxfId="77" priority="69" operator="equal">
      <formula>"C"</formula>
    </cfRule>
  </conditionalFormatting>
  <conditionalFormatting sqref="J89">
    <cfRule type="cellIs" dxfId="76" priority="64" operator="equal">
      <formula>""""""</formula>
    </cfRule>
    <cfRule type="containsBlanks" dxfId="75" priority="70">
      <formula>LEN(TRIM(J89))=0</formula>
    </cfRule>
  </conditionalFormatting>
  <conditionalFormatting sqref="J90">
    <cfRule type="cellIs" dxfId="74" priority="58" operator="equal">
      <formula>"N/A"</formula>
    </cfRule>
    <cfRule type="cellIs" dxfId="73" priority="59" operator="equal">
      <formula>"P"</formula>
    </cfRule>
    <cfRule type="cellIs" dxfId="72" priority="60" operator="equal">
      <formula>"R"</formula>
    </cfRule>
    <cfRule type="cellIs" dxfId="71" priority="61" operator="equal">
      <formula>"D"</formula>
    </cfRule>
    <cfRule type="cellIs" dxfId="70" priority="62" operator="equal">
      <formula>"C"</formula>
    </cfRule>
  </conditionalFormatting>
  <conditionalFormatting sqref="J90">
    <cfRule type="cellIs" dxfId="69" priority="57" operator="equal">
      <formula>""""""</formula>
    </cfRule>
    <cfRule type="containsBlanks" dxfId="68" priority="63">
      <formula>LEN(TRIM(J90))=0</formula>
    </cfRule>
  </conditionalFormatting>
  <conditionalFormatting sqref="J23">
    <cfRule type="cellIs" dxfId="67" priority="51" operator="equal">
      <formula>"N/A"</formula>
    </cfRule>
    <cfRule type="cellIs" dxfId="66" priority="52" operator="equal">
      <formula>"P"</formula>
    </cfRule>
    <cfRule type="cellIs" dxfId="65" priority="53" operator="equal">
      <formula>"R"</formula>
    </cfRule>
    <cfRule type="cellIs" dxfId="64" priority="54" operator="equal">
      <formula>"D"</formula>
    </cfRule>
    <cfRule type="cellIs" dxfId="63" priority="55" operator="equal">
      <formula>"C"</formula>
    </cfRule>
  </conditionalFormatting>
  <conditionalFormatting sqref="J23">
    <cfRule type="cellIs" dxfId="62" priority="50" operator="equal">
      <formula>""""""</formula>
    </cfRule>
    <cfRule type="containsBlanks" dxfId="61" priority="56">
      <formula>LEN(TRIM(J23))=0</formula>
    </cfRule>
  </conditionalFormatting>
  <conditionalFormatting sqref="J24">
    <cfRule type="cellIs" dxfId="60" priority="44" operator="equal">
      <formula>"N/A"</formula>
    </cfRule>
    <cfRule type="cellIs" dxfId="59" priority="45" operator="equal">
      <formula>"P"</formula>
    </cfRule>
    <cfRule type="cellIs" dxfId="58" priority="46" operator="equal">
      <formula>"R"</formula>
    </cfRule>
    <cfRule type="cellIs" dxfId="57" priority="47" operator="equal">
      <formula>"D"</formula>
    </cfRule>
    <cfRule type="cellIs" dxfId="56" priority="48" operator="equal">
      <formula>"C"</formula>
    </cfRule>
  </conditionalFormatting>
  <conditionalFormatting sqref="J24">
    <cfRule type="cellIs" dxfId="55" priority="43" operator="equal">
      <formula>""""""</formula>
    </cfRule>
    <cfRule type="containsBlanks" dxfId="54" priority="49">
      <formula>LEN(TRIM(J24))=0</formula>
    </cfRule>
  </conditionalFormatting>
  <conditionalFormatting sqref="J21:J22">
    <cfRule type="cellIs" dxfId="53" priority="37" operator="equal">
      <formula>"N/A"</formula>
    </cfRule>
    <cfRule type="cellIs" dxfId="52" priority="38" operator="equal">
      <formula>"P"</formula>
    </cfRule>
    <cfRule type="cellIs" dxfId="51" priority="39" operator="equal">
      <formula>"R"</formula>
    </cfRule>
    <cfRule type="cellIs" dxfId="50" priority="40" operator="equal">
      <formula>"D"</formula>
    </cfRule>
    <cfRule type="cellIs" dxfId="49" priority="41" operator="equal">
      <formula>"C"</formula>
    </cfRule>
  </conditionalFormatting>
  <conditionalFormatting sqref="J21:J22">
    <cfRule type="cellIs" dxfId="48" priority="36" operator="equal">
      <formula>""""""</formula>
    </cfRule>
    <cfRule type="containsBlanks" dxfId="47" priority="42">
      <formula>LEN(TRIM(J21))=0</formula>
    </cfRule>
  </conditionalFormatting>
  <conditionalFormatting sqref="J47">
    <cfRule type="cellIs" dxfId="46" priority="30" operator="equal">
      <formula>"N/A"</formula>
    </cfRule>
    <cfRule type="cellIs" dxfId="45" priority="31" operator="equal">
      <formula>"P"</formula>
    </cfRule>
    <cfRule type="cellIs" dxfId="44" priority="32" operator="equal">
      <formula>"R"</formula>
    </cfRule>
    <cfRule type="cellIs" dxfId="43" priority="33" operator="equal">
      <formula>"D"</formula>
    </cfRule>
    <cfRule type="cellIs" dxfId="42" priority="34" operator="equal">
      <formula>"C"</formula>
    </cfRule>
  </conditionalFormatting>
  <conditionalFormatting sqref="J47">
    <cfRule type="cellIs" dxfId="41" priority="29" operator="equal">
      <formula>""""""</formula>
    </cfRule>
    <cfRule type="containsBlanks" dxfId="40" priority="35">
      <formula>LEN(TRIM(J47))=0</formula>
    </cfRule>
  </conditionalFormatting>
  <conditionalFormatting sqref="J77">
    <cfRule type="cellIs" dxfId="39" priority="23" operator="equal">
      <formula>"N/A"</formula>
    </cfRule>
    <cfRule type="cellIs" dxfId="38" priority="24" operator="equal">
      <formula>"P"</formula>
    </cfRule>
    <cfRule type="cellIs" dxfId="37" priority="25" operator="equal">
      <formula>"R"</formula>
    </cfRule>
    <cfRule type="cellIs" dxfId="36" priority="26" operator="equal">
      <formula>"D"</formula>
    </cfRule>
    <cfRule type="cellIs" dxfId="35" priority="27" operator="equal">
      <formula>"C"</formula>
    </cfRule>
  </conditionalFormatting>
  <conditionalFormatting sqref="J77">
    <cfRule type="cellIs" dxfId="34" priority="22" operator="equal">
      <formula>""""""</formula>
    </cfRule>
    <cfRule type="containsBlanks" dxfId="33" priority="28">
      <formula>LEN(TRIM(J77))=0</formula>
    </cfRule>
  </conditionalFormatting>
  <conditionalFormatting sqref="J88">
    <cfRule type="cellIs" dxfId="32" priority="16" operator="equal">
      <formula>"N/A"</formula>
    </cfRule>
    <cfRule type="cellIs" dxfId="31" priority="17" operator="equal">
      <formula>"P"</formula>
    </cfRule>
    <cfRule type="cellIs" dxfId="30" priority="18" operator="equal">
      <formula>"R"</formula>
    </cfRule>
    <cfRule type="cellIs" dxfId="29" priority="19" operator="equal">
      <formula>"D"</formula>
    </cfRule>
    <cfRule type="cellIs" dxfId="28" priority="20" operator="equal">
      <formula>"C"</formula>
    </cfRule>
  </conditionalFormatting>
  <conditionalFormatting sqref="J88">
    <cfRule type="cellIs" dxfId="27" priority="15" operator="equal">
      <formula>""""""</formula>
    </cfRule>
    <cfRule type="containsBlanks" dxfId="26" priority="21">
      <formula>LEN(TRIM(J88))=0</formula>
    </cfRule>
  </conditionalFormatting>
  <conditionalFormatting sqref="N2">
    <cfRule type="duplicateValues" dxfId="25" priority="113"/>
  </conditionalFormatting>
  <conditionalFormatting sqref="K2:M2">
    <cfRule type="duplicateValues" dxfId="24" priority="114"/>
  </conditionalFormatting>
  <conditionalFormatting sqref="J5:J9 J15:J18 J11">
    <cfRule type="cellIs" dxfId="23" priority="107" operator="equal">
      <formula>"N/A"</formula>
    </cfRule>
    <cfRule type="cellIs" dxfId="22" priority="108" operator="equal">
      <formula>"P"</formula>
    </cfRule>
    <cfRule type="cellIs" dxfId="21" priority="109" operator="equal">
      <formula>"R"</formula>
    </cfRule>
    <cfRule type="cellIs" dxfId="20" priority="110" operator="equal">
      <formula>"D"</formula>
    </cfRule>
    <cfRule type="cellIs" dxfId="19" priority="111" operator="equal">
      <formula>"C"</formula>
    </cfRule>
  </conditionalFormatting>
  <conditionalFormatting sqref="J5:J9 J15:J18 J11">
    <cfRule type="cellIs" dxfId="18" priority="106" operator="equal">
      <formula>""""""</formula>
    </cfRule>
    <cfRule type="containsBlanks" dxfId="17" priority="112">
      <formula>LEN(TRIM(J5))=0</formula>
    </cfRule>
  </conditionalFormatting>
  <conditionalFormatting sqref="J71">
    <cfRule type="cellIs" dxfId="16" priority="9" operator="equal">
      <formula>"N/A"</formula>
    </cfRule>
    <cfRule type="cellIs" dxfId="15" priority="10" operator="equal">
      <formula>"P"</formula>
    </cfRule>
    <cfRule type="cellIs" dxfId="14" priority="11" operator="equal">
      <formula>"R"</formula>
    </cfRule>
    <cfRule type="cellIs" dxfId="13" priority="12" operator="equal">
      <formula>"D"</formula>
    </cfRule>
    <cfRule type="cellIs" dxfId="12" priority="13" operator="equal">
      <formula>"C"</formula>
    </cfRule>
  </conditionalFormatting>
  <conditionalFormatting sqref="J71">
    <cfRule type="cellIs" dxfId="11" priority="8" operator="equal">
      <formula>""""""</formula>
    </cfRule>
    <cfRule type="containsBlanks" dxfId="10" priority="14">
      <formula>LEN(TRIM(J71))=0</formula>
    </cfRule>
  </conditionalFormatting>
  <dataValidations disablePrompts="1" count="2">
    <dataValidation type="list" allowBlank="1" showInputMessage="1" showErrorMessage="1" sqref="J48:J74 J78:J85 J89:J90 J15:J18 J21:J22 J5:J11 J24:J44" xr:uid="{50A99615-3735-4E0F-8B75-79A9C5570653}">
      <formula1>"C, P, D, R, N/A"</formula1>
    </dataValidation>
    <dataValidation type="list" allowBlank="1" showDropDown="1" showErrorMessage="1" sqref="K2:N2" xr:uid="{4880F9F2-B5C0-45D2-B7D8-24126DE38330}">
      <formula1>list_devices_2</formula1>
      <formula2>0</formula2>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2072A-B3C2-4D2E-A7AD-8775E65B150C}">
  <sheetPr codeName="Sheet14"/>
  <dimension ref="A1:I54"/>
  <sheetViews>
    <sheetView topLeftCell="C1" workbookViewId="0">
      <selection activeCell="G65" sqref="G65"/>
    </sheetView>
  </sheetViews>
  <sheetFormatPr defaultColWidth="9.1796875" defaultRowHeight="14.5" x14ac:dyDescent="0.35"/>
  <cols>
    <col min="1" max="1" width="9.1796875" style="214"/>
    <col min="2" max="2" width="87" style="214" bestFit="1" customWidth="1"/>
    <col min="3" max="3" width="18.81640625" style="214" customWidth="1"/>
    <col min="4" max="4" width="12.54296875" style="214" customWidth="1"/>
    <col min="5" max="5" width="20" style="214" customWidth="1"/>
    <col min="6" max="6" width="24.81640625" style="214" customWidth="1"/>
    <col min="7" max="7" width="39.81640625" style="214" customWidth="1"/>
    <col min="8" max="8" width="34.453125" style="214" customWidth="1"/>
    <col min="9" max="16384" width="9.1796875" style="214"/>
  </cols>
  <sheetData>
    <row r="1" spans="1:9" x14ac:dyDescent="0.35">
      <c r="A1" s="974"/>
      <c r="B1" s="975" t="s">
        <v>1300</v>
      </c>
      <c r="C1" s="975"/>
      <c r="D1" s="975"/>
      <c r="E1" s="974"/>
      <c r="F1" s="975"/>
      <c r="G1" s="176"/>
      <c r="H1" s="176"/>
      <c r="I1" s="278"/>
    </row>
    <row r="2" spans="1:9" x14ac:dyDescent="0.35">
      <c r="A2" s="1139" t="s">
        <v>1301</v>
      </c>
      <c r="B2" s="1139"/>
      <c r="C2" s="1139"/>
      <c r="D2" s="1139"/>
      <c r="E2" s="1139"/>
      <c r="F2" s="1139"/>
      <c r="G2" s="1139"/>
      <c r="H2" s="1140"/>
      <c r="I2" s="278"/>
    </row>
    <row r="3" spans="1:9" ht="29" x14ac:dyDescent="0.35">
      <c r="A3" s="279" t="s">
        <v>1302</v>
      </c>
      <c r="B3" s="280" t="s">
        <v>1303</v>
      </c>
      <c r="C3" s="280" t="s">
        <v>1304</v>
      </c>
      <c r="D3" s="279" t="s">
        <v>2</v>
      </c>
      <c r="E3" s="279" t="s">
        <v>1305</v>
      </c>
      <c r="F3" s="281" t="s">
        <v>1306</v>
      </c>
      <c r="G3" s="281" t="s">
        <v>1307</v>
      </c>
      <c r="H3" s="281" t="s">
        <v>210</v>
      </c>
      <c r="I3" s="282"/>
    </row>
    <row r="4" spans="1:9" x14ac:dyDescent="0.35">
      <c r="A4" s="283"/>
      <c r="B4" s="284"/>
      <c r="C4" s="284"/>
      <c r="D4" s="284"/>
      <c r="E4" s="283"/>
      <c r="F4" s="284"/>
      <c r="G4" s="284"/>
      <c r="H4" s="284"/>
      <c r="I4" s="285"/>
    </row>
    <row r="5" spans="1:9" x14ac:dyDescent="0.35">
      <c r="A5" s="286"/>
      <c r="B5" s="286" t="s">
        <v>1308</v>
      </c>
      <c r="C5" s="286"/>
      <c r="D5" s="286"/>
      <c r="E5" s="286"/>
      <c r="F5" s="287"/>
      <c r="G5" s="287"/>
      <c r="H5" s="287"/>
      <c r="I5" s="285"/>
    </row>
    <row r="6" spans="1:9" x14ac:dyDescent="0.35">
      <c r="A6" s="285">
        <v>1</v>
      </c>
      <c r="B6" s="285" t="s">
        <v>1309</v>
      </c>
      <c r="C6" s="285" t="s">
        <v>1310</v>
      </c>
      <c r="D6" s="285"/>
      <c r="E6" s="285"/>
      <c r="F6" s="288" t="s">
        <v>1311</v>
      </c>
      <c r="G6" s="288"/>
      <c r="H6" s="288"/>
      <c r="I6" s="285"/>
    </row>
    <row r="7" spans="1:9" ht="29" x14ac:dyDescent="0.35">
      <c r="A7" s="285">
        <v>2</v>
      </c>
      <c r="B7" s="288" t="s">
        <v>1312</v>
      </c>
      <c r="C7" s="285" t="s">
        <v>1310</v>
      </c>
      <c r="D7" s="288"/>
      <c r="E7" s="288"/>
      <c r="F7" s="288" t="s">
        <v>1313</v>
      </c>
      <c r="G7" s="288"/>
      <c r="H7" s="288"/>
      <c r="I7" s="285"/>
    </row>
    <row r="8" spans="1:9" x14ac:dyDescent="0.35">
      <c r="A8" s="285">
        <v>3</v>
      </c>
      <c r="B8" s="285" t="s">
        <v>1314</v>
      </c>
      <c r="C8" s="285" t="s">
        <v>1310</v>
      </c>
      <c r="D8" s="285"/>
      <c r="E8" s="285"/>
      <c r="F8" s="288" t="s">
        <v>1311</v>
      </c>
      <c r="G8" s="288"/>
      <c r="H8" s="288"/>
      <c r="I8" s="285"/>
    </row>
    <row r="9" spans="1:9" x14ac:dyDescent="0.35">
      <c r="A9" s="285">
        <v>4</v>
      </c>
      <c r="B9" s="285" t="s">
        <v>1315</v>
      </c>
      <c r="C9" s="285" t="s">
        <v>1310</v>
      </c>
      <c r="D9" s="285"/>
      <c r="E9" s="285"/>
      <c r="F9" s="288" t="s">
        <v>1316</v>
      </c>
      <c r="G9" s="288"/>
      <c r="H9" s="288"/>
      <c r="I9" s="285"/>
    </row>
    <row r="10" spans="1:9" x14ac:dyDescent="0.35">
      <c r="A10" s="285">
        <v>5</v>
      </c>
      <c r="B10" s="285" t="s">
        <v>1317</v>
      </c>
      <c r="C10" s="285" t="s">
        <v>1310</v>
      </c>
      <c r="D10" s="285"/>
      <c r="E10" s="285"/>
      <c r="F10" s="288" t="s">
        <v>1311</v>
      </c>
      <c r="G10" s="288"/>
      <c r="H10" s="288"/>
      <c r="I10" s="285"/>
    </row>
    <row r="11" spans="1:9" x14ac:dyDescent="0.35">
      <c r="A11" s="285">
        <v>6</v>
      </c>
      <c r="B11" s="285" t="s">
        <v>1318</v>
      </c>
      <c r="C11" s="285" t="s">
        <v>1310</v>
      </c>
      <c r="D11" s="285"/>
      <c r="E11" s="285"/>
      <c r="F11" s="288" t="s">
        <v>1311</v>
      </c>
      <c r="G11" s="288"/>
      <c r="H11" s="288"/>
      <c r="I11" s="285"/>
    </row>
    <row r="12" spans="1:9" x14ac:dyDescent="0.35">
      <c r="A12" s="285">
        <v>7</v>
      </c>
      <c r="B12" s="285" t="s">
        <v>1319</v>
      </c>
      <c r="C12" s="285" t="s">
        <v>1320</v>
      </c>
      <c r="D12" s="285"/>
      <c r="E12" s="285"/>
      <c r="F12" s="285" t="s">
        <v>1311</v>
      </c>
      <c r="G12" s="288"/>
      <c r="H12" s="288"/>
      <c r="I12" s="285"/>
    </row>
    <row r="13" spans="1:9" ht="13.5" customHeight="1" x14ac:dyDescent="0.35">
      <c r="A13" s="285">
        <v>8</v>
      </c>
      <c r="B13" s="285" t="s">
        <v>1321</v>
      </c>
      <c r="C13" s="285" t="s">
        <v>1320</v>
      </c>
      <c r="D13" s="285"/>
      <c r="E13" s="285"/>
      <c r="F13" s="285" t="s">
        <v>1311</v>
      </c>
      <c r="G13" s="288"/>
      <c r="H13" s="288"/>
      <c r="I13" s="285"/>
    </row>
    <row r="14" spans="1:9" x14ac:dyDescent="0.35">
      <c r="A14" s="285">
        <v>9</v>
      </c>
      <c r="B14" s="285" t="s">
        <v>1322</v>
      </c>
      <c r="C14" s="285" t="s">
        <v>1323</v>
      </c>
      <c r="D14" s="285"/>
      <c r="E14" s="285"/>
      <c r="F14" s="285" t="s">
        <v>1311</v>
      </c>
      <c r="G14" s="288"/>
      <c r="H14" s="288"/>
      <c r="I14" s="285"/>
    </row>
    <row r="15" spans="1:9" x14ac:dyDescent="0.35">
      <c r="A15" s="285">
        <v>10</v>
      </c>
      <c r="B15" s="285" t="s">
        <v>1324</v>
      </c>
      <c r="C15" s="285" t="s">
        <v>1323</v>
      </c>
      <c r="D15" s="285"/>
      <c r="E15" s="285"/>
      <c r="F15" s="285" t="s">
        <v>1311</v>
      </c>
      <c r="G15" s="288"/>
      <c r="H15" s="288"/>
      <c r="I15" s="285"/>
    </row>
    <row r="16" spans="1:9" x14ac:dyDescent="0.35">
      <c r="A16" s="285">
        <v>11</v>
      </c>
      <c r="B16" s="285" t="s">
        <v>1325</v>
      </c>
      <c r="C16" s="285" t="s">
        <v>1323</v>
      </c>
      <c r="D16" s="285"/>
      <c r="E16" s="285"/>
      <c r="F16" s="285" t="s">
        <v>1311</v>
      </c>
      <c r="G16" s="285"/>
      <c r="H16" s="288"/>
      <c r="I16" s="285"/>
    </row>
    <row r="17" spans="1:8" x14ac:dyDescent="0.35">
      <c r="A17" s="285">
        <v>12</v>
      </c>
      <c r="B17" s="285" t="s">
        <v>1326</v>
      </c>
      <c r="C17" s="285" t="s">
        <v>1323</v>
      </c>
      <c r="D17" s="285"/>
      <c r="E17" s="285"/>
      <c r="F17" s="285" t="s">
        <v>1311</v>
      </c>
      <c r="G17" s="289"/>
      <c r="H17" s="288"/>
    </row>
    <row r="18" spans="1:8" x14ac:dyDescent="0.35">
      <c r="A18" s="285">
        <v>13</v>
      </c>
      <c r="B18" s="285" t="s">
        <v>1327</v>
      </c>
      <c r="C18" s="289" t="s">
        <v>1328</v>
      </c>
      <c r="D18" s="285"/>
      <c r="E18" s="285"/>
      <c r="F18" s="285" t="s">
        <v>1311</v>
      </c>
      <c r="G18" s="285" t="s">
        <v>1329</v>
      </c>
      <c r="H18" s="285"/>
    </row>
    <row r="19" spans="1:8" s="215" customFormat="1" x14ac:dyDescent="0.35">
      <c r="A19" s="285">
        <v>14</v>
      </c>
      <c r="B19" s="289" t="s">
        <v>1330</v>
      </c>
      <c r="C19" s="285" t="s">
        <v>1331</v>
      </c>
      <c r="D19" s="289"/>
      <c r="E19" s="289"/>
      <c r="F19" s="285" t="s">
        <v>1311</v>
      </c>
      <c r="G19" s="289" t="s">
        <v>1332</v>
      </c>
      <c r="H19" s="289"/>
    </row>
    <row r="20" spans="1:8" s="215" customFormat="1" x14ac:dyDescent="0.35">
      <c r="A20" s="285">
        <v>15</v>
      </c>
      <c r="B20" s="289" t="s">
        <v>1333</v>
      </c>
      <c r="C20" s="285" t="s">
        <v>1331</v>
      </c>
      <c r="D20" s="289"/>
      <c r="E20" s="289"/>
      <c r="F20" s="285" t="s">
        <v>1334</v>
      </c>
      <c r="G20" s="289" t="s">
        <v>222</v>
      </c>
      <c r="H20" s="285"/>
    </row>
    <row r="21" spans="1:8" ht="58" x14ac:dyDescent="0.35">
      <c r="A21" s="285">
        <v>16</v>
      </c>
      <c r="B21" s="285" t="s">
        <v>1335</v>
      </c>
      <c r="C21" s="285" t="s">
        <v>1331</v>
      </c>
      <c r="D21" s="285"/>
      <c r="E21" s="285"/>
      <c r="F21" s="290" t="s">
        <v>1336</v>
      </c>
      <c r="G21" s="285" t="s">
        <v>1337</v>
      </c>
      <c r="H21" s="289"/>
    </row>
    <row r="22" spans="1:8" ht="43.5" x14ac:dyDescent="0.35">
      <c r="A22" s="285">
        <v>17</v>
      </c>
      <c r="B22" s="285" t="s">
        <v>1338</v>
      </c>
      <c r="C22" s="285"/>
      <c r="D22" s="285"/>
      <c r="E22" s="285"/>
      <c r="F22" s="291" t="s">
        <v>1339</v>
      </c>
      <c r="G22" s="285"/>
      <c r="H22" s="289" t="s">
        <v>1340</v>
      </c>
    </row>
    <row r="23" spans="1:8" x14ac:dyDescent="0.35">
      <c r="A23" s="285">
        <v>18</v>
      </c>
      <c r="B23" s="285" t="s">
        <v>1341</v>
      </c>
      <c r="C23" s="285"/>
      <c r="D23" s="285"/>
      <c r="E23" s="285"/>
      <c r="F23" s="290" t="s">
        <v>1336</v>
      </c>
      <c r="G23" s="285"/>
      <c r="H23" s="285"/>
    </row>
    <row r="24" spans="1:8" ht="58" x14ac:dyDescent="0.35">
      <c r="A24" s="285">
        <v>19</v>
      </c>
      <c r="B24" s="285" t="s">
        <v>1342</v>
      </c>
      <c r="C24" s="285" t="s">
        <v>1331</v>
      </c>
      <c r="D24" s="285"/>
      <c r="E24" s="285"/>
      <c r="F24" s="285" t="s">
        <v>1311</v>
      </c>
      <c r="G24" s="285" t="s">
        <v>1337</v>
      </c>
      <c r="H24" s="285"/>
    </row>
    <row r="25" spans="1:8" x14ac:dyDescent="0.35">
      <c r="A25" s="292"/>
      <c r="B25" s="292" t="s">
        <v>1343</v>
      </c>
      <c r="C25" s="292"/>
      <c r="D25" s="292"/>
      <c r="E25" s="292"/>
      <c r="F25" s="292"/>
      <c r="G25" s="292"/>
      <c r="H25" s="292"/>
    </row>
    <row r="26" spans="1:8" s="215" customFormat="1" x14ac:dyDescent="0.35">
      <c r="A26" s="289">
        <v>1</v>
      </c>
      <c r="B26" s="289" t="s">
        <v>1344</v>
      </c>
      <c r="C26" s="293"/>
      <c r="D26" s="289"/>
      <c r="E26" s="289"/>
      <c r="F26" s="294" t="s">
        <v>1345</v>
      </c>
      <c r="G26" s="289"/>
      <c r="H26" s="289"/>
    </row>
    <row r="27" spans="1:8" ht="29" x14ac:dyDescent="0.35">
      <c r="A27" s="278">
        <v>2</v>
      </c>
      <c r="B27" s="295" t="s">
        <v>1346</v>
      </c>
      <c r="C27" s="293"/>
      <c r="D27" s="296"/>
      <c r="E27" s="297" t="s">
        <v>222</v>
      </c>
      <c r="F27" s="290" t="s">
        <v>1336</v>
      </c>
      <c r="G27" s="293"/>
      <c r="H27" s="298"/>
    </row>
    <row r="28" spans="1:8" x14ac:dyDescent="0.35">
      <c r="A28" s="285">
        <v>3</v>
      </c>
      <c r="B28" s="295" t="s">
        <v>1347</v>
      </c>
      <c r="C28" s="293"/>
      <c r="D28" s="296"/>
      <c r="E28" s="297" t="s">
        <v>222</v>
      </c>
      <c r="F28" s="290" t="s">
        <v>1336</v>
      </c>
      <c r="G28" s="289" t="s">
        <v>1348</v>
      </c>
      <c r="H28" s="298"/>
    </row>
    <row r="29" spans="1:8" ht="19.399999999999999" customHeight="1" x14ac:dyDescent="0.35">
      <c r="A29" s="289">
        <v>4</v>
      </c>
      <c r="B29" s="293" t="s">
        <v>1349</v>
      </c>
      <c r="C29" s="293"/>
      <c r="D29" s="296"/>
      <c r="E29" s="299"/>
      <c r="F29" s="293" t="s">
        <v>1350</v>
      </c>
      <c r="G29" s="300"/>
      <c r="H29" s="298"/>
    </row>
    <row r="30" spans="1:8" x14ac:dyDescent="0.35">
      <c r="A30" s="289">
        <v>5</v>
      </c>
      <c r="B30" s="293" t="s">
        <v>1351</v>
      </c>
      <c r="C30" s="293"/>
      <c r="D30" s="296"/>
      <c r="E30" s="299" t="s">
        <v>1352</v>
      </c>
      <c r="F30" s="289" t="s">
        <v>1311</v>
      </c>
      <c r="G30" s="300" t="s">
        <v>1353</v>
      </c>
      <c r="H30" s="298"/>
    </row>
    <row r="31" spans="1:8" x14ac:dyDescent="0.35">
      <c r="A31" s="278">
        <v>6</v>
      </c>
      <c r="B31" s="295" t="s">
        <v>1354</v>
      </c>
      <c r="C31" s="301"/>
      <c r="D31" s="296"/>
      <c r="E31" s="297" t="s">
        <v>1355</v>
      </c>
      <c r="F31" s="295" t="s">
        <v>1356</v>
      </c>
      <c r="G31" s="289" t="s">
        <v>1353</v>
      </c>
      <c r="H31" s="298"/>
    </row>
    <row r="32" spans="1:8" x14ac:dyDescent="0.35">
      <c r="A32" s="285">
        <v>7</v>
      </c>
      <c r="B32" s="295" t="s">
        <v>1357</v>
      </c>
      <c r="C32" s="301"/>
      <c r="D32" s="296"/>
      <c r="E32" s="297" t="s">
        <v>1355</v>
      </c>
      <c r="F32" s="295" t="s">
        <v>1358</v>
      </c>
      <c r="G32" s="289" t="s">
        <v>1353</v>
      </c>
      <c r="H32" s="298"/>
    </row>
    <row r="33" spans="1:8" x14ac:dyDescent="0.35">
      <c r="A33" s="289">
        <v>8</v>
      </c>
      <c r="B33" s="295" t="s">
        <v>1359</v>
      </c>
      <c r="C33" s="301"/>
      <c r="D33" s="296"/>
      <c r="E33" s="297" t="s">
        <v>1355</v>
      </c>
      <c r="F33" s="295" t="s">
        <v>1360</v>
      </c>
      <c r="G33" s="289" t="s">
        <v>1353</v>
      </c>
      <c r="H33" s="298"/>
    </row>
    <row r="34" spans="1:8" ht="42" customHeight="1" x14ac:dyDescent="0.35">
      <c r="A34" s="289">
        <v>9</v>
      </c>
      <c r="B34" s="302" t="s">
        <v>1361</v>
      </c>
      <c r="C34" s="301"/>
      <c r="D34" s="296"/>
      <c r="E34" s="299" t="s">
        <v>1362</v>
      </c>
      <c r="F34" s="289" t="s">
        <v>1311</v>
      </c>
      <c r="G34" s="289" t="s">
        <v>1353</v>
      </c>
      <c r="H34" s="298"/>
    </row>
    <row r="35" spans="1:8" x14ac:dyDescent="0.35">
      <c r="A35" s="278">
        <v>10</v>
      </c>
      <c r="B35" s="301" t="s">
        <v>1363</v>
      </c>
      <c r="C35" s="301"/>
      <c r="D35" s="296"/>
      <c r="E35" s="303" t="s">
        <v>1355</v>
      </c>
      <c r="F35" s="304" t="s">
        <v>1356</v>
      </c>
      <c r="G35" s="289" t="s">
        <v>1353</v>
      </c>
      <c r="H35" s="298"/>
    </row>
    <row r="36" spans="1:8" x14ac:dyDescent="0.35">
      <c r="A36" s="285">
        <v>11</v>
      </c>
      <c r="B36" s="301" t="s">
        <v>1364</v>
      </c>
      <c r="C36" s="301"/>
      <c r="D36" s="296"/>
      <c r="E36" s="305" t="s">
        <v>1365</v>
      </c>
      <c r="F36" s="301" t="s">
        <v>697</v>
      </c>
      <c r="G36" s="289" t="s">
        <v>1353</v>
      </c>
      <c r="H36" s="298"/>
    </row>
    <row r="37" spans="1:8" x14ac:dyDescent="0.35">
      <c r="A37" s="289">
        <v>12</v>
      </c>
      <c r="B37" s="301" t="s">
        <v>1366</v>
      </c>
      <c r="C37" s="301"/>
      <c r="D37" s="296"/>
      <c r="E37" s="305" t="s">
        <v>1365</v>
      </c>
      <c r="F37" s="301" t="s">
        <v>1367</v>
      </c>
      <c r="G37" s="289" t="s">
        <v>1353</v>
      </c>
      <c r="H37" s="298"/>
    </row>
    <row r="38" spans="1:8" x14ac:dyDescent="0.35">
      <c r="A38" s="289">
        <v>13</v>
      </c>
      <c r="B38" s="301" t="s">
        <v>1368</v>
      </c>
      <c r="C38" s="301"/>
      <c r="D38" s="296"/>
      <c r="E38" s="305" t="s">
        <v>1365</v>
      </c>
      <c r="F38" s="301" t="s">
        <v>1367</v>
      </c>
      <c r="G38" s="289" t="s">
        <v>1353</v>
      </c>
      <c r="H38" s="298"/>
    </row>
    <row r="39" spans="1:8" x14ac:dyDescent="0.35">
      <c r="A39" s="278">
        <v>14</v>
      </c>
      <c r="B39" s="294" t="s">
        <v>1369</v>
      </c>
      <c r="C39" s="301"/>
      <c r="D39" s="296"/>
      <c r="E39" s="305" t="s">
        <v>1352</v>
      </c>
      <c r="F39" s="301" t="s">
        <v>1336</v>
      </c>
      <c r="G39" s="289" t="s">
        <v>1353</v>
      </c>
      <c r="H39" s="298"/>
    </row>
    <row r="40" spans="1:8" x14ac:dyDescent="0.35">
      <c r="A40" s="285">
        <v>15</v>
      </c>
      <c r="B40" s="306" t="s">
        <v>1370</v>
      </c>
      <c r="C40" s="301"/>
      <c r="D40" s="296"/>
      <c r="E40" s="305" t="s">
        <v>1355</v>
      </c>
      <c r="F40" s="289" t="s">
        <v>1311</v>
      </c>
      <c r="G40" s="289" t="s">
        <v>1353</v>
      </c>
      <c r="H40" s="298"/>
    </row>
    <row r="41" spans="1:8" ht="29" x14ac:dyDescent="0.35">
      <c r="A41" s="289">
        <v>16</v>
      </c>
      <c r="B41" s="301" t="s">
        <v>1371</v>
      </c>
      <c r="C41" s="301"/>
      <c r="D41" s="296"/>
      <c r="E41" s="305" t="s">
        <v>1355</v>
      </c>
      <c r="F41" s="289" t="s">
        <v>1311</v>
      </c>
      <c r="G41" s="289" t="s">
        <v>1353</v>
      </c>
      <c r="H41" s="298"/>
    </row>
    <row r="42" spans="1:8" x14ac:dyDescent="0.35">
      <c r="A42" s="289">
        <v>17</v>
      </c>
      <c r="B42" s="301" t="s">
        <v>1372</v>
      </c>
      <c r="C42" s="301"/>
      <c r="D42" s="296"/>
      <c r="E42" s="305" t="s">
        <v>1355</v>
      </c>
      <c r="F42" s="294" t="s">
        <v>1345</v>
      </c>
      <c r="G42" s="289" t="s">
        <v>1353</v>
      </c>
      <c r="H42" s="298"/>
    </row>
    <row r="43" spans="1:8" ht="29" x14ac:dyDescent="0.35">
      <c r="A43" s="278">
        <v>18</v>
      </c>
      <c r="B43" s="302" t="s">
        <v>1373</v>
      </c>
      <c r="C43" s="301"/>
      <c r="D43" s="296"/>
      <c r="E43" s="299" t="s">
        <v>1374</v>
      </c>
      <c r="F43" s="289" t="s">
        <v>1311</v>
      </c>
      <c r="G43" s="289" t="s">
        <v>1353</v>
      </c>
      <c r="H43" s="298"/>
    </row>
    <row r="44" spans="1:8" x14ac:dyDescent="0.35">
      <c r="A44" s="307"/>
      <c r="B44" s="307" t="s">
        <v>1375</v>
      </c>
      <c r="C44" s="307"/>
      <c r="D44" s="308"/>
      <c r="E44" s="309"/>
      <c r="F44" s="310"/>
      <c r="G44" s="310"/>
      <c r="H44" s="311"/>
    </row>
    <row r="45" spans="1:8" x14ac:dyDescent="0.35">
      <c r="A45" s="289">
        <v>19</v>
      </c>
      <c r="B45" s="278" t="s">
        <v>1376</v>
      </c>
      <c r="C45" s="285"/>
      <c r="D45" s="312"/>
      <c r="E45" s="313"/>
      <c r="F45" s="278" t="s">
        <v>1350</v>
      </c>
      <c r="G45" s="285"/>
      <c r="H45" s="298"/>
    </row>
    <row r="46" spans="1:8" x14ac:dyDescent="0.35">
      <c r="A46" s="289">
        <v>20</v>
      </c>
      <c r="B46" s="278" t="s">
        <v>1377</v>
      </c>
      <c r="C46" s="285"/>
      <c r="D46" s="312"/>
      <c r="E46" s="313"/>
      <c r="F46" s="285" t="s">
        <v>1311</v>
      </c>
      <c r="G46" s="285" t="s">
        <v>1353</v>
      </c>
      <c r="H46" s="298"/>
    </row>
    <row r="47" spans="1:8" x14ac:dyDescent="0.35">
      <c r="A47" s="278">
        <v>21</v>
      </c>
      <c r="B47" s="285" t="s">
        <v>1378</v>
      </c>
      <c r="C47" s="285"/>
      <c r="D47" s="312"/>
      <c r="E47" s="285"/>
      <c r="F47" s="285" t="s">
        <v>1311</v>
      </c>
      <c r="G47" s="285" t="s">
        <v>1353</v>
      </c>
      <c r="H47" s="278"/>
    </row>
    <row r="48" spans="1:8" x14ac:dyDescent="0.35">
      <c r="A48" s="285">
        <v>22</v>
      </c>
      <c r="B48" s="314" t="s">
        <v>1379</v>
      </c>
      <c r="C48" s="285"/>
      <c r="D48" s="312"/>
      <c r="E48" s="313"/>
      <c r="F48" s="290" t="s">
        <v>1336</v>
      </c>
      <c r="G48" s="285"/>
      <c r="H48" s="298"/>
    </row>
    <row r="49" spans="1:8" x14ac:dyDescent="0.35">
      <c r="A49" s="289">
        <v>23</v>
      </c>
      <c r="B49" s="315" t="s">
        <v>1380</v>
      </c>
      <c r="C49" s="285"/>
      <c r="D49" s="312"/>
      <c r="E49" s="313"/>
      <c r="F49" s="290" t="s">
        <v>1336</v>
      </c>
      <c r="G49" s="285"/>
      <c r="H49" s="278"/>
    </row>
    <row r="50" spans="1:8" x14ac:dyDescent="0.35">
      <c r="A50" s="316"/>
      <c r="B50" s="316" t="s">
        <v>1381</v>
      </c>
      <c r="C50" s="316"/>
      <c r="D50" s="316"/>
      <c r="E50" s="316"/>
      <c r="F50" s="316"/>
      <c r="G50" s="317"/>
      <c r="H50" s="317"/>
    </row>
    <row r="51" spans="1:8" x14ac:dyDescent="0.35">
      <c r="A51" s="285">
        <v>1</v>
      </c>
      <c r="B51" s="285" t="s">
        <v>1382</v>
      </c>
      <c r="C51" s="285"/>
      <c r="D51" s="285"/>
      <c r="E51" s="285"/>
      <c r="F51" s="285" t="s">
        <v>1311</v>
      </c>
      <c r="G51" s="285" t="s">
        <v>1353</v>
      </c>
      <c r="H51" s="285"/>
    </row>
    <row r="52" spans="1:8" x14ac:dyDescent="0.35">
      <c r="A52" s="285">
        <v>2</v>
      </c>
      <c r="B52" s="285" t="s">
        <v>1383</v>
      </c>
      <c r="C52" s="285"/>
      <c r="D52" s="285"/>
      <c r="E52" s="285"/>
      <c r="F52" s="285" t="s">
        <v>1311</v>
      </c>
      <c r="G52" s="285" t="s">
        <v>1353</v>
      </c>
      <c r="H52" s="285"/>
    </row>
    <row r="53" spans="1:8" x14ac:dyDescent="0.35">
      <c r="A53" s="285">
        <v>3</v>
      </c>
      <c r="B53" s="285" t="s">
        <v>1384</v>
      </c>
      <c r="C53" s="285"/>
      <c r="D53" s="285"/>
      <c r="E53" s="285"/>
      <c r="F53" s="285" t="s">
        <v>1311</v>
      </c>
      <c r="G53" s="285" t="s">
        <v>1353</v>
      </c>
      <c r="H53" s="285"/>
    </row>
    <row r="54" spans="1:8" x14ac:dyDescent="0.35">
      <c r="A54" s="285">
        <v>4</v>
      </c>
      <c r="B54" s="285" t="s">
        <v>1385</v>
      </c>
      <c r="C54" s="285"/>
      <c r="D54" s="285"/>
      <c r="E54" s="285"/>
      <c r="F54" s="285" t="s">
        <v>1311</v>
      </c>
      <c r="G54" s="285" t="s">
        <v>1353</v>
      </c>
      <c r="H54" s="285"/>
    </row>
  </sheetData>
  <mergeCells count="1">
    <mergeCell ref="A2:H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7A48F-371F-4A3E-B898-2254488F11B3}">
  <sheetPr codeName="Sheet8">
    <tabColor rgb="FF009900"/>
  </sheetPr>
  <dimension ref="A2:J65"/>
  <sheetViews>
    <sheetView topLeftCell="A26" zoomScaleNormal="100" workbookViewId="0">
      <selection activeCell="A36" sqref="A36"/>
    </sheetView>
  </sheetViews>
  <sheetFormatPr defaultColWidth="8.81640625" defaultRowHeight="14.5" x14ac:dyDescent="0.35"/>
  <cols>
    <col min="1" max="1" width="28.453125" customWidth="1"/>
    <col min="2" max="2" width="47.1796875" bestFit="1" customWidth="1"/>
    <col min="3" max="3" width="56.54296875" bestFit="1" customWidth="1"/>
    <col min="4" max="4" width="40.453125" customWidth="1"/>
    <col min="5" max="5" width="15.81640625" customWidth="1"/>
    <col min="6" max="6" width="16.453125" customWidth="1"/>
    <col min="7" max="7" width="18.1796875" customWidth="1"/>
    <col min="8" max="8" width="10.81640625" customWidth="1"/>
    <col min="10" max="10" width="11.54296875" customWidth="1"/>
  </cols>
  <sheetData>
    <row r="2" spans="1:10" ht="30.65" customHeight="1" x14ac:dyDescent="0.35">
      <c r="A2" s="318" t="s">
        <v>1386</v>
      </c>
      <c r="B2" s="319"/>
      <c r="C2" s="319"/>
      <c r="D2" s="319"/>
      <c r="E2" s="319"/>
      <c r="F2" s="319"/>
      <c r="G2" s="320"/>
      <c r="H2" s="321"/>
      <c r="I2" s="322"/>
      <c r="J2" s="322"/>
    </row>
    <row r="3" spans="1:10" ht="57.65" customHeight="1" x14ac:dyDescent="0.35">
      <c r="A3" s="323" t="s">
        <v>1387</v>
      </c>
      <c r="B3" s="323" t="s">
        <v>1388</v>
      </c>
      <c r="C3" s="323" t="s">
        <v>1389</v>
      </c>
      <c r="D3" s="323" t="s">
        <v>1390</v>
      </c>
      <c r="E3" s="323" t="s">
        <v>1391</v>
      </c>
      <c r="F3" s="323" t="s">
        <v>1392</v>
      </c>
      <c r="G3" s="323" t="s">
        <v>1393</v>
      </c>
      <c r="H3" s="323" t="s">
        <v>1394</v>
      </c>
      <c r="I3" s="323" t="s">
        <v>1395</v>
      </c>
      <c r="J3" s="323" t="s">
        <v>1396</v>
      </c>
    </row>
    <row r="4" spans="1:10" ht="64.400000000000006" customHeight="1" x14ac:dyDescent="0.35">
      <c r="A4" s="324" t="s">
        <v>1397</v>
      </c>
      <c r="B4" s="325" t="s">
        <v>1398</v>
      </c>
      <c r="C4" s="325" t="s">
        <v>1399</v>
      </c>
      <c r="D4" s="326" t="s">
        <v>1400</v>
      </c>
      <c r="E4" s="327" t="s">
        <v>1401</v>
      </c>
      <c r="F4" s="327" t="s">
        <v>1402</v>
      </c>
      <c r="G4" s="327" t="s">
        <v>1393</v>
      </c>
      <c r="H4" s="327" t="s">
        <v>1403</v>
      </c>
      <c r="I4" s="327" t="s">
        <v>1404</v>
      </c>
      <c r="J4" s="327"/>
    </row>
    <row r="5" spans="1:10" ht="49.4" customHeight="1" x14ac:dyDescent="0.35">
      <c r="A5" s="324" t="s">
        <v>1397</v>
      </c>
      <c r="B5" s="325" t="s">
        <v>1398</v>
      </c>
      <c r="C5" s="325" t="s">
        <v>1399</v>
      </c>
      <c r="D5" s="326" t="s">
        <v>1405</v>
      </c>
      <c r="E5" s="327" t="s">
        <v>1401</v>
      </c>
      <c r="F5" s="327" t="s">
        <v>1402</v>
      </c>
      <c r="G5" s="327" t="s">
        <v>1393</v>
      </c>
      <c r="H5" s="327" t="s">
        <v>1403</v>
      </c>
      <c r="I5" s="327" t="s">
        <v>1404</v>
      </c>
      <c r="J5" s="327"/>
    </row>
    <row r="8" spans="1:10" ht="17.5" x14ac:dyDescent="0.35">
      <c r="A8" s="160"/>
      <c r="B8" s="160"/>
      <c r="C8" s="160"/>
      <c r="D8" s="160"/>
    </row>
    <row r="9" spans="1:10" s="262" customFormat="1" ht="18" x14ac:dyDescent="0.4">
      <c r="A9" s="976" t="s">
        <v>1406</v>
      </c>
      <c r="B9" s="977"/>
      <c r="C9" s="978"/>
      <c r="D9" s="978"/>
      <c r="E9" s="978"/>
    </row>
    <row r="10" spans="1:10" ht="17.5" x14ac:dyDescent="0.35">
      <c r="A10" s="222" t="s">
        <v>1407</v>
      </c>
      <c r="B10" s="222" t="s">
        <v>1408</v>
      </c>
      <c r="C10" s="222" t="s">
        <v>1409</v>
      </c>
      <c r="D10" s="222" t="s">
        <v>436</v>
      </c>
      <c r="E10" s="222" t="s">
        <v>1410</v>
      </c>
    </row>
    <row r="11" spans="1:10" ht="17.5" x14ac:dyDescent="0.35">
      <c r="A11" s="328"/>
      <c r="B11" s="329"/>
      <c r="C11" s="329"/>
      <c r="D11" s="329"/>
      <c r="E11" s="330"/>
    </row>
    <row r="12" spans="1:10" ht="17.5" x14ac:dyDescent="0.35">
      <c r="A12" s="328"/>
      <c r="B12" s="329"/>
      <c r="C12" s="329"/>
      <c r="D12" s="331"/>
      <c r="E12" s="330"/>
    </row>
    <row r="13" spans="1:10" ht="17.5" x14ac:dyDescent="0.35">
      <c r="A13" s="328"/>
      <c r="B13" s="329"/>
      <c r="C13" s="329"/>
      <c r="D13" s="331"/>
      <c r="E13" s="330"/>
    </row>
    <row r="14" spans="1:10" ht="17.5" x14ac:dyDescent="0.35">
      <c r="A14" s="328"/>
      <c r="B14" s="329"/>
      <c r="C14" s="329"/>
      <c r="D14" s="331"/>
      <c r="E14" s="330"/>
    </row>
    <row r="15" spans="1:10" ht="17.5" x14ac:dyDescent="0.35">
      <c r="A15" s="328"/>
      <c r="B15" s="329"/>
      <c r="C15" s="329"/>
      <c r="D15" s="331"/>
      <c r="E15" s="330"/>
    </row>
    <row r="16" spans="1:10" ht="17.5" x14ac:dyDescent="0.35">
      <c r="A16" s="328"/>
      <c r="B16" s="329"/>
      <c r="C16" s="329"/>
      <c r="D16" s="331"/>
      <c r="E16" s="330"/>
    </row>
    <row r="17" spans="1:5" s="262" customFormat="1" ht="18" x14ac:dyDescent="0.4">
      <c r="A17" s="976" t="s">
        <v>1411</v>
      </c>
      <c r="B17" s="977"/>
      <c r="C17" s="978"/>
      <c r="D17" s="978"/>
      <c r="E17" s="978"/>
    </row>
    <row r="18" spans="1:5" ht="17.5" x14ac:dyDescent="0.35">
      <c r="A18" s="222" t="s">
        <v>1407</v>
      </c>
      <c r="B18" s="222" t="s">
        <v>1408</v>
      </c>
      <c r="C18" s="222" t="s">
        <v>1409</v>
      </c>
      <c r="D18" s="222" t="s">
        <v>436</v>
      </c>
      <c r="E18" s="222" t="s">
        <v>1410</v>
      </c>
    </row>
    <row r="19" spans="1:5" ht="17.5" x14ac:dyDescent="0.35">
      <c r="A19" s="328"/>
      <c r="B19" s="329"/>
      <c r="C19" s="329"/>
      <c r="D19" s="329"/>
      <c r="E19" s="330"/>
    </row>
    <row r="20" spans="1:5" ht="17.5" x14ac:dyDescent="0.35">
      <c r="A20" s="328"/>
      <c r="B20" s="329"/>
      <c r="C20" s="329"/>
      <c r="D20" s="331"/>
      <c r="E20" s="330"/>
    </row>
    <row r="21" spans="1:5" ht="17.5" x14ac:dyDescent="0.35">
      <c r="A21" s="328"/>
      <c r="B21" s="329"/>
      <c r="C21" s="329"/>
      <c r="D21" s="331"/>
      <c r="E21" s="330"/>
    </row>
    <row r="22" spans="1:5" ht="17.5" x14ac:dyDescent="0.35">
      <c r="A22" s="328"/>
      <c r="B22" s="329"/>
      <c r="C22" s="329"/>
      <c r="D22" s="331"/>
      <c r="E22" s="330"/>
    </row>
    <row r="23" spans="1:5" ht="17.5" x14ac:dyDescent="0.35">
      <c r="A23" s="328"/>
      <c r="B23" s="329"/>
      <c r="C23" s="329"/>
      <c r="D23" s="331"/>
      <c r="E23" s="330"/>
    </row>
    <row r="24" spans="1:5" ht="17.5" x14ac:dyDescent="0.35">
      <c r="A24" s="328"/>
      <c r="B24" s="329"/>
      <c r="C24" s="329"/>
      <c r="D24" s="331"/>
      <c r="E24" s="330"/>
    </row>
    <row r="25" spans="1:5" s="262" customFormat="1" ht="18" x14ac:dyDescent="0.4">
      <c r="A25" s="976" t="s">
        <v>1412</v>
      </c>
      <c r="B25" s="977"/>
      <c r="C25" s="978"/>
      <c r="D25" s="978"/>
      <c r="E25" s="978"/>
    </row>
    <row r="26" spans="1:5" ht="17.5" x14ac:dyDescent="0.35">
      <c r="A26" s="222" t="s">
        <v>1413</v>
      </c>
      <c r="B26" s="222" t="s">
        <v>1408</v>
      </c>
      <c r="C26" s="222" t="s">
        <v>1409</v>
      </c>
      <c r="D26" s="222" t="s">
        <v>436</v>
      </c>
      <c r="E26" s="222" t="s">
        <v>1410</v>
      </c>
    </row>
    <row r="27" spans="1:5" ht="17.5" x14ac:dyDescent="0.35">
      <c r="A27" s="328"/>
      <c r="B27" s="329"/>
      <c r="C27" s="329"/>
      <c r="D27" s="329"/>
      <c r="E27" s="330"/>
    </row>
    <row r="28" spans="1:5" ht="17.5" x14ac:dyDescent="0.35">
      <c r="A28" s="328"/>
      <c r="B28" s="329"/>
      <c r="C28" s="329"/>
      <c r="D28" s="331"/>
      <c r="E28" s="330"/>
    </row>
    <row r="29" spans="1:5" ht="17.5" x14ac:dyDescent="0.35">
      <c r="A29" s="979"/>
      <c r="B29" s="980"/>
      <c r="C29" s="980"/>
      <c r="D29" s="981"/>
      <c r="E29" s="982"/>
    </row>
    <row r="30" spans="1:5" ht="17.5" x14ac:dyDescent="0.35">
      <c r="A30" s="328"/>
      <c r="B30" s="329"/>
      <c r="C30" s="329"/>
      <c r="D30" s="331"/>
      <c r="E30" s="330"/>
    </row>
    <row r="31" spans="1:5" ht="17.5" x14ac:dyDescent="0.35">
      <c r="A31" s="328"/>
      <c r="B31" s="329"/>
      <c r="C31" s="329"/>
      <c r="D31" s="331"/>
      <c r="E31" s="330"/>
    </row>
    <row r="32" spans="1:5" ht="17.5" x14ac:dyDescent="0.35">
      <c r="A32" s="328"/>
      <c r="B32" s="329"/>
      <c r="C32" s="329"/>
      <c r="D32" s="331"/>
      <c r="E32" s="330"/>
    </row>
    <row r="33" spans="1:5" s="262" customFormat="1" ht="18" x14ac:dyDescent="0.4">
      <c r="A33" s="976" t="s">
        <v>1414</v>
      </c>
      <c r="B33" s="977"/>
      <c r="C33" s="978"/>
      <c r="D33" s="978"/>
      <c r="E33" s="978"/>
    </row>
    <row r="34" spans="1:5" ht="17.5" x14ac:dyDescent="0.35">
      <c r="A34" s="222" t="s">
        <v>1413</v>
      </c>
      <c r="B34" s="222" t="s">
        <v>1415</v>
      </c>
      <c r="C34" s="222" t="s">
        <v>1409</v>
      </c>
      <c r="D34" s="222" t="s">
        <v>436</v>
      </c>
      <c r="E34" s="222" t="s">
        <v>1410</v>
      </c>
    </row>
    <row r="35" spans="1:5" ht="17.5" x14ac:dyDescent="0.35">
      <c r="A35" s="328"/>
      <c r="B35" s="329"/>
      <c r="C35" s="329"/>
      <c r="D35" s="329"/>
      <c r="E35" s="330"/>
    </row>
    <row r="36" spans="1:5" ht="17.5" x14ac:dyDescent="0.35">
      <c r="A36" s="328"/>
      <c r="B36" s="329"/>
      <c r="C36" s="329"/>
      <c r="D36" s="331"/>
      <c r="E36" s="330"/>
    </row>
    <row r="37" spans="1:5" ht="17.5" x14ac:dyDescent="0.35">
      <c r="A37" s="328"/>
      <c r="B37" s="329"/>
      <c r="C37" s="329"/>
      <c r="D37" s="331"/>
      <c r="E37" s="330"/>
    </row>
    <row r="38" spans="1:5" ht="17.5" x14ac:dyDescent="0.35">
      <c r="A38" s="328"/>
      <c r="B38" s="329"/>
      <c r="C38" s="329"/>
      <c r="D38" s="331"/>
      <c r="E38" s="330"/>
    </row>
    <row r="39" spans="1:5" ht="17.5" x14ac:dyDescent="0.35">
      <c r="A39" s="328"/>
      <c r="B39" s="329"/>
      <c r="C39" s="329"/>
      <c r="D39" s="331"/>
      <c r="E39" s="330"/>
    </row>
    <row r="40" spans="1:5" ht="17.5" x14ac:dyDescent="0.35">
      <c r="A40" s="328"/>
      <c r="B40" s="329"/>
      <c r="C40" s="329"/>
      <c r="D40" s="331"/>
      <c r="E40" s="330"/>
    </row>
    <row r="41" spans="1:5" ht="17.5" x14ac:dyDescent="0.35">
      <c r="A41" s="211" t="s">
        <v>1416</v>
      </c>
      <c r="B41" s="211"/>
      <c r="C41" s="212"/>
      <c r="D41" s="161"/>
    </row>
    <row r="42" spans="1:5" ht="17.5" x14ac:dyDescent="0.35">
      <c r="A42" s="332" t="s">
        <v>1162</v>
      </c>
      <c r="B42" s="332" t="s">
        <v>1417</v>
      </c>
      <c r="C42" s="332" t="s">
        <v>1410</v>
      </c>
      <c r="D42" s="161"/>
    </row>
    <row r="43" spans="1:5" ht="17.5" x14ac:dyDescent="0.35">
      <c r="A43" s="333" t="s">
        <v>1418</v>
      </c>
      <c r="B43" s="333" t="s">
        <v>1419</v>
      </c>
      <c r="C43" s="333"/>
      <c r="D43" s="160"/>
    </row>
    <row r="44" spans="1:5" ht="17.5" x14ac:dyDescent="0.35">
      <c r="A44" s="333" t="s">
        <v>1420</v>
      </c>
      <c r="B44" s="333" t="s">
        <v>1421</v>
      </c>
      <c r="C44" s="333"/>
      <c r="D44" s="160"/>
    </row>
    <row r="45" spans="1:5" ht="17.5" x14ac:dyDescent="0.35">
      <c r="A45" s="333" t="s">
        <v>1422</v>
      </c>
      <c r="B45" s="333" t="s">
        <v>1423</v>
      </c>
      <c r="C45" s="333"/>
      <c r="D45" s="160"/>
    </row>
    <row r="46" spans="1:5" ht="17.5" x14ac:dyDescent="0.35">
      <c r="A46" s="333" t="s">
        <v>1424</v>
      </c>
      <c r="B46" s="333" t="s">
        <v>1425</v>
      </c>
      <c r="C46" s="333"/>
      <c r="D46" s="160"/>
    </row>
    <row r="47" spans="1:5" ht="17.5" x14ac:dyDescent="0.35">
      <c r="A47" s="333" t="s">
        <v>1426</v>
      </c>
      <c r="B47" s="333" t="s">
        <v>1427</v>
      </c>
      <c r="C47" s="333"/>
      <c r="D47" s="160"/>
    </row>
    <row r="48" spans="1:5" ht="17.5" x14ac:dyDescent="0.35">
      <c r="A48" s="333" t="s">
        <v>1428</v>
      </c>
      <c r="B48" s="333" t="s">
        <v>1429</v>
      </c>
      <c r="C48" s="333"/>
      <c r="D48" s="160"/>
    </row>
    <row r="49" spans="1:4" ht="17.5" x14ac:dyDescent="0.35">
      <c r="A49" s="333" t="s">
        <v>1430</v>
      </c>
      <c r="B49" s="333" t="s">
        <v>1431</v>
      </c>
      <c r="C49" s="333"/>
      <c r="D49" s="160"/>
    </row>
    <row r="50" spans="1:4" ht="17.5" x14ac:dyDescent="0.35">
      <c r="A50" s="333" t="s">
        <v>1432</v>
      </c>
      <c r="B50" s="333" t="s">
        <v>1433</v>
      </c>
      <c r="C50" s="333"/>
      <c r="D50" s="160"/>
    </row>
    <row r="51" spans="1:4" ht="17.5" x14ac:dyDescent="0.35">
      <c r="A51" s="333" t="s">
        <v>1434</v>
      </c>
      <c r="B51" s="333" t="s">
        <v>1435</v>
      </c>
      <c r="C51" s="333"/>
    </row>
    <row r="52" spans="1:4" ht="17.5" x14ac:dyDescent="0.35">
      <c r="A52" s="333" t="s">
        <v>1436</v>
      </c>
      <c r="B52" s="333" t="s">
        <v>1437</v>
      </c>
      <c r="C52" s="333" t="s">
        <v>1438</v>
      </c>
    </row>
    <row r="53" spans="1:4" ht="17.5" x14ac:dyDescent="0.35">
      <c r="A53" s="333" t="s">
        <v>1439</v>
      </c>
      <c r="B53" s="333" t="s">
        <v>1440</v>
      </c>
      <c r="C53" s="333" t="s">
        <v>1441</v>
      </c>
    </row>
    <row r="54" spans="1:4" ht="17.5" x14ac:dyDescent="0.35">
      <c r="A54" s="333" t="s">
        <v>1442</v>
      </c>
      <c r="B54" s="333" t="s">
        <v>1443</v>
      </c>
      <c r="C54" s="333"/>
    </row>
    <row r="55" spans="1:4" ht="17.5" x14ac:dyDescent="0.35">
      <c r="A55" s="333" t="s">
        <v>1444</v>
      </c>
      <c r="B55" s="333" t="s">
        <v>1445</v>
      </c>
      <c r="C55" s="333"/>
    </row>
    <row r="56" spans="1:4" ht="17.5" x14ac:dyDescent="0.35">
      <c r="A56" s="333" t="s">
        <v>1051</v>
      </c>
      <c r="B56" s="333" t="s">
        <v>1446</v>
      </c>
      <c r="C56" s="333"/>
    </row>
    <row r="57" spans="1:4" ht="17.5" x14ac:dyDescent="0.35">
      <c r="A57" s="333" t="s">
        <v>1447</v>
      </c>
      <c r="B57" s="333" t="s">
        <v>1448</v>
      </c>
      <c r="C57" s="334"/>
    </row>
    <row r="58" spans="1:4" ht="52.5" x14ac:dyDescent="0.35">
      <c r="A58" s="335" t="s">
        <v>1449</v>
      </c>
      <c r="B58" s="336" t="s">
        <v>1450</v>
      </c>
      <c r="C58" s="337" t="s">
        <v>1451</v>
      </c>
    </row>
    <row r="59" spans="1:4" ht="35" x14ac:dyDescent="0.35">
      <c r="A59" s="333" t="s">
        <v>1452</v>
      </c>
      <c r="B59" s="333" t="s">
        <v>1453</v>
      </c>
      <c r="C59" s="337" t="s">
        <v>1454</v>
      </c>
    </row>
    <row r="60" spans="1:4" ht="17.5" x14ac:dyDescent="0.35">
      <c r="A60" s="333" t="s">
        <v>1455</v>
      </c>
      <c r="B60" s="333" t="s">
        <v>1456</v>
      </c>
      <c r="C60" s="336" t="s">
        <v>1457</v>
      </c>
    </row>
    <row r="61" spans="1:4" ht="17.5" x14ac:dyDescent="0.35">
      <c r="A61" s="333" t="s">
        <v>1458</v>
      </c>
      <c r="B61" s="333" t="s">
        <v>1459</v>
      </c>
      <c r="C61" s="334"/>
    </row>
    <row r="62" spans="1:4" ht="17.5" x14ac:dyDescent="0.35">
      <c r="A62" s="333" t="s">
        <v>1460</v>
      </c>
      <c r="B62" s="333" t="s">
        <v>1461</v>
      </c>
      <c r="C62" s="334"/>
    </row>
    <row r="63" spans="1:4" ht="17.5" x14ac:dyDescent="0.35">
      <c r="A63" s="333" t="s">
        <v>1462</v>
      </c>
      <c r="B63" s="333" t="s">
        <v>1463</v>
      </c>
      <c r="C63" s="334"/>
    </row>
    <row r="64" spans="1:4" ht="17.5" x14ac:dyDescent="0.35">
      <c r="A64" s="333" t="s">
        <v>1464</v>
      </c>
      <c r="B64" s="333" t="s">
        <v>1465</v>
      </c>
      <c r="C64" s="333" t="s">
        <v>1466</v>
      </c>
    </row>
    <row r="65" spans="1:3" ht="17.5" x14ac:dyDescent="0.35">
      <c r="A65" s="333" t="s">
        <v>1467</v>
      </c>
      <c r="B65" s="333" t="s">
        <v>1468</v>
      </c>
      <c r="C65" s="333" t="s">
        <v>1469</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E6B32-9356-44DA-8465-179EA18E9B9D}">
  <sheetPr codeName="Sheet10">
    <tabColor rgb="FF009900"/>
  </sheetPr>
  <dimension ref="A1:H17"/>
  <sheetViews>
    <sheetView zoomScale="70" zoomScaleNormal="70" workbookViewId="0">
      <selection activeCell="H17" sqref="H17"/>
    </sheetView>
  </sheetViews>
  <sheetFormatPr defaultColWidth="8.81640625" defaultRowHeight="14.5" x14ac:dyDescent="0.35"/>
  <cols>
    <col min="1" max="1" width="44.453125" customWidth="1"/>
    <col min="2" max="2" width="21.1796875" customWidth="1"/>
    <col min="3" max="3" width="29.81640625" customWidth="1"/>
    <col min="4" max="4" width="23" bestFit="1" customWidth="1"/>
    <col min="5" max="5" width="8.81640625" customWidth="1"/>
    <col min="6" max="6" width="11.453125" customWidth="1"/>
    <col min="7" max="7" width="16" customWidth="1"/>
    <col min="8" max="8" width="45.1796875" customWidth="1"/>
  </cols>
  <sheetData>
    <row r="1" spans="1:8" s="111" customFormat="1" x14ac:dyDescent="0.35"/>
    <row r="2" spans="1:8" s="111" customFormat="1" x14ac:dyDescent="0.35">
      <c r="A2" s="210" t="s">
        <v>1470</v>
      </c>
    </row>
    <row r="3" spans="1:8" s="111" customFormat="1" ht="15" thickBot="1" x14ac:dyDescent="0.4"/>
    <row r="4" spans="1:8" ht="27.75" customHeight="1" x14ac:dyDescent="0.35">
      <c r="A4" s="1082" t="s">
        <v>1471</v>
      </c>
      <c r="B4" s="1083"/>
      <c r="C4" s="1083"/>
      <c r="D4" s="1083"/>
      <c r="E4" s="1083"/>
      <c r="F4" s="1083"/>
      <c r="G4" s="1083"/>
      <c r="H4" s="983"/>
    </row>
    <row r="5" spans="1:8" s="194" customFormat="1" ht="29.15" customHeight="1" x14ac:dyDescent="0.35">
      <c r="A5" s="192" t="s">
        <v>430</v>
      </c>
      <c r="B5" s="338" t="s">
        <v>1162</v>
      </c>
      <c r="C5" s="338" t="s">
        <v>1472</v>
      </c>
      <c r="D5" s="338" t="s">
        <v>1473</v>
      </c>
      <c r="E5" s="338" t="s">
        <v>1474</v>
      </c>
      <c r="F5" s="338" t="s">
        <v>1475</v>
      </c>
      <c r="G5" s="338" t="s">
        <v>210</v>
      </c>
      <c r="H5" s="193" t="s">
        <v>421</v>
      </c>
    </row>
    <row r="6" spans="1:8" s="194" customFormat="1" ht="32.15" customHeight="1" x14ac:dyDescent="0.35">
      <c r="A6" s="195" t="s">
        <v>1476</v>
      </c>
      <c r="B6" s="339" t="s">
        <v>1477</v>
      </c>
      <c r="C6" s="339"/>
      <c r="D6" s="340">
        <v>44077.625</v>
      </c>
      <c r="E6" s="341">
        <v>0</v>
      </c>
      <c r="F6" s="342">
        <f t="shared" ref="F6:F13" si="0">D6+TIME(0,E6,0)</f>
        <v>44077.625</v>
      </c>
      <c r="G6" s="343" t="s">
        <v>441</v>
      </c>
      <c r="H6" s="196"/>
    </row>
    <row r="7" spans="1:8" s="194" customFormat="1" ht="30.65" customHeight="1" x14ac:dyDescent="0.35">
      <c r="A7" s="195" t="s">
        <v>1478</v>
      </c>
      <c r="B7" s="339" t="s">
        <v>1477</v>
      </c>
      <c r="C7" s="339"/>
      <c r="D7" s="340">
        <f>F6</f>
        <v>44077.625</v>
      </c>
      <c r="E7" s="341">
        <v>0</v>
      </c>
      <c r="F7" s="342">
        <f t="shared" si="0"/>
        <v>44077.625</v>
      </c>
      <c r="G7" s="343" t="s">
        <v>441</v>
      </c>
      <c r="H7" s="196"/>
    </row>
    <row r="8" spans="1:8" s="194" customFormat="1" ht="32.9" customHeight="1" x14ac:dyDescent="0.35">
      <c r="A8" s="195" t="s">
        <v>1479</v>
      </c>
      <c r="B8" s="339" t="s">
        <v>1480</v>
      </c>
      <c r="C8" s="344" t="s">
        <v>1481</v>
      </c>
      <c r="D8" s="340">
        <v>44077.458333333336</v>
      </c>
      <c r="E8" s="341">
        <v>10</v>
      </c>
      <c r="F8" s="342">
        <f t="shared" si="0"/>
        <v>44077.465277777781</v>
      </c>
      <c r="G8" s="343" t="s">
        <v>441</v>
      </c>
      <c r="H8" s="197" t="s">
        <v>1482</v>
      </c>
    </row>
    <row r="9" spans="1:8" s="194" customFormat="1" ht="39" customHeight="1" x14ac:dyDescent="0.35">
      <c r="A9" s="195" t="s">
        <v>1483</v>
      </c>
      <c r="B9" s="339" t="s">
        <v>1428</v>
      </c>
      <c r="C9" s="344" t="s">
        <v>1484</v>
      </c>
      <c r="D9" s="340">
        <f>F8</f>
        <v>44077.465277777781</v>
      </c>
      <c r="E9" s="341">
        <v>30</v>
      </c>
      <c r="F9" s="342">
        <f>D9+TIME(0,E9,0)</f>
        <v>44077.486111111117</v>
      </c>
      <c r="G9" s="343" t="s">
        <v>441</v>
      </c>
      <c r="H9" s="197"/>
    </row>
    <row r="10" spans="1:8" s="194" customFormat="1" ht="33.75" customHeight="1" x14ac:dyDescent="0.35">
      <c r="A10" s="198" t="s">
        <v>1485</v>
      </c>
      <c r="B10" s="345" t="s">
        <v>1480</v>
      </c>
      <c r="C10" s="346" t="s">
        <v>1481</v>
      </c>
      <c r="D10" s="347">
        <f>F9</f>
        <v>44077.486111111117</v>
      </c>
      <c r="E10" s="348">
        <v>10</v>
      </c>
      <c r="F10" s="349">
        <f t="shared" si="0"/>
        <v>44077.493055555562</v>
      </c>
      <c r="G10" s="343" t="s">
        <v>223</v>
      </c>
      <c r="H10" s="199" t="s">
        <v>1486</v>
      </c>
    </row>
    <row r="11" spans="1:8" s="194" customFormat="1" ht="46.5" customHeight="1" x14ac:dyDescent="0.35">
      <c r="A11" s="195" t="s">
        <v>1487</v>
      </c>
      <c r="B11" s="339" t="s">
        <v>1480</v>
      </c>
      <c r="C11" s="344" t="s">
        <v>1481</v>
      </c>
      <c r="D11" s="340">
        <f>F10</f>
        <v>44077.493055555562</v>
      </c>
      <c r="E11" s="341">
        <v>15</v>
      </c>
      <c r="F11" s="342">
        <f t="shared" si="0"/>
        <v>44077.503472222226</v>
      </c>
      <c r="G11" s="343" t="s">
        <v>441</v>
      </c>
      <c r="H11" s="197"/>
    </row>
    <row r="12" spans="1:8" s="194" customFormat="1" ht="39" customHeight="1" x14ac:dyDescent="0.35">
      <c r="A12" s="200" t="s">
        <v>1488</v>
      </c>
      <c r="B12" s="350" t="s">
        <v>445</v>
      </c>
      <c r="C12" s="350"/>
      <c r="D12" s="340">
        <f>F9</f>
        <v>44077.486111111117</v>
      </c>
      <c r="E12" s="341">
        <v>5</v>
      </c>
      <c r="F12" s="342">
        <f t="shared" si="0"/>
        <v>44077.489583333336</v>
      </c>
      <c r="G12" s="343" t="s">
        <v>441</v>
      </c>
      <c r="H12" s="197"/>
    </row>
    <row r="13" spans="1:8" s="194" customFormat="1" ht="64.400000000000006" customHeight="1" x14ac:dyDescent="0.35">
      <c r="A13" s="201" t="s">
        <v>1489</v>
      </c>
      <c r="B13" s="351" t="s">
        <v>1490</v>
      </c>
      <c r="C13" s="352"/>
      <c r="D13" s="340">
        <f>F12</f>
        <v>44077.489583333336</v>
      </c>
      <c r="E13" s="341">
        <v>60</v>
      </c>
      <c r="F13" s="342">
        <f t="shared" si="0"/>
        <v>44077.53125</v>
      </c>
      <c r="G13" s="343" t="s">
        <v>441</v>
      </c>
      <c r="H13" s="202" t="s">
        <v>1491</v>
      </c>
    </row>
    <row r="14" spans="1:8" s="194" customFormat="1" ht="21.65" customHeight="1" x14ac:dyDescent="0.35">
      <c r="A14" s="203"/>
      <c r="B14" s="204"/>
      <c r="C14" s="205"/>
      <c r="D14" s="206">
        <f>D6</f>
        <v>44077.625</v>
      </c>
      <c r="E14" s="207">
        <f>SUM(E6:E13)</f>
        <v>130</v>
      </c>
      <c r="F14" s="208">
        <f>F13</f>
        <v>44077.53125</v>
      </c>
      <c r="G14" s="205"/>
      <c r="H14" s="209"/>
    </row>
    <row r="15" spans="1:8" ht="41.9" customHeight="1" x14ac:dyDescent="0.35"/>
    <row r="16" spans="1:8" ht="22.4" customHeight="1" x14ac:dyDescent="0.35"/>
    <row r="17" ht="6.65" customHeight="1" x14ac:dyDescent="0.35"/>
  </sheetData>
  <conditionalFormatting sqref="G6:G13">
    <cfRule type="cellIs" dxfId="9" priority="1" operator="equal">
      <formula>"In Progress"</formula>
    </cfRule>
    <cfRule type="cellIs" dxfId="8" priority="2" operator="equal">
      <formula>"Completed"</formula>
    </cfRule>
    <cfRule type="cellIs" dxfId="7" priority="3" operator="equal">
      <formula>"N/A"</formula>
    </cfRule>
    <cfRule type="cellIs" dxfId="6" priority="4" operator="equal">
      <formula>"Issue"</formula>
    </cfRule>
  </conditionalFormatting>
  <dataValidations count="1">
    <dataValidation type="list" allowBlank="1" showInputMessage="1" showErrorMessage="1" sqref="G6:G13" xr:uid="{C6BAE9C7-70B5-49B6-A7C9-D9B139B0D0B3}">
      <formula1>"N/A, In Progress, Completed, On Hold, Issue, TBD, Open"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298A7-68D1-4CCD-AB9A-207D3F92390E}">
  <sheetPr codeName="Sheet11">
    <tabColor rgb="FF009900"/>
  </sheetPr>
  <dimension ref="A1:H206"/>
  <sheetViews>
    <sheetView zoomScale="85" zoomScaleNormal="85" workbookViewId="0">
      <pane xSplit="2" ySplit="1" topLeftCell="C154" activePane="bottomRight" state="frozen"/>
      <selection pane="topRight" activeCell="C1" sqref="C1"/>
      <selection pane="bottomLeft" activeCell="A2" sqref="A2"/>
      <selection pane="bottomRight" activeCell="F162" sqref="F162"/>
    </sheetView>
  </sheetViews>
  <sheetFormatPr defaultColWidth="69.81640625" defaultRowHeight="17.5" x14ac:dyDescent="0.35"/>
  <cols>
    <col min="1" max="1" width="26.54296875" style="250" customWidth="1"/>
    <col min="2" max="2" width="55.1796875" style="250" bestFit="1" customWidth="1"/>
    <col min="3" max="3" width="51.1796875" style="250" bestFit="1" customWidth="1"/>
    <col min="4" max="4" width="59.453125" style="250" customWidth="1"/>
    <col min="5" max="5" width="49.81640625" style="219" bestFit="1" customWidth="1"/>
    <col min="6" max="6" width="60.453125" style="250" bestFit="1" customWidth="1"/>
    <col min="7" max="7" width="128.81640625" style="219" bestFit="1" customWidth="1"/>
    <col min="8" max="8" width="124.54296875" style="219" customWidth="1"/>
    <col min="9" max="16384" width="69.81640625" style="219"/>
  </cols>
  <sheetData>
    <row r="1" spans="1:8" s="247" customFormat="1" ht="18" x14ac:dyDescent="0.35">
      <c r="A1" s="353" t="s">
        <v>1492</v>
      </c>
      <c r="B1" s="353" t="s">
        <v>1493</v>
      </c>
      <c r="C1" s="354" t="s">
        <v>1494</v>
      </c>
      <c r="D1" s="353" t="s">
        <v>1495</v>
      </c>
      <c r="E1" s="353" t="s">
        <v>1496</v>
      </c>
      <c r="F1" s="353" t="s">
        <v>1497</v>
      </c>
      <c r="G1" s="353" t="s">
        <v>1410</v>
      </c>
      <c r="H1" s="355"/>
    </row>
    <row r="2" spans="1:8" ht="18" x14ac:dyDescent="0.35">
      <c r="A2" s="356" t="s">
        <v>1498</v>
      </c>
      <c r="B2" s="357"/>
      <c r="C2" s="357"/>
      <c r="D2" s="357"/>
      <c r="E2" s="358"/>
      <c r="F2" s="357"/>
      <c r="G2" s="358"/>
      <c r="H2" s="359"/>
    </row>
    <row r="3" spans="1:8" x14ac:dyDescent="0.35">
      <c r="A3" s="360"/>
      <c r="B3" s="360"/>
      <c r="C3" s="360"/>
      <c r="D3" s="360"/>
      <c r="E3" s="361"/>
      <c r="F3" s="360"/>
      <c r="G3" s="362"/>
      <c r="H3" s="363"/>
    </row>
    <row r="4" spans="1:8" ht="18" x14ac:dyDescent="0.35">
      <c r="A4" s="1141" t="s">
        <v>1499</v>
      </c>
      <c r="B4" s="1141"/>
      <c r="C4" s="1141"/>
      <c r="D4" s="1141"/>
      <c r="E4" s="1141"/>
      <c r="F4" s="1141"/>
      <c r="G4" s="1141"/>
      <c r="H4" s="363"/>
    </row>
    <row r="5" spans="1:8" ht="18" x14ac:dyDescent="0.35">
      <c r="A5" s="364" t="s">
        <v>1492</v>
      </c>
      <c r="B5" s="364" t="s">
        <v>1493</v>
      </c>
      <c r="C5" s="365" t="s">
        <v>1494</v>
      </c>
      <c r="D5" s="364" t="s">
        <v>1495</v>
      </c>
      <c r="E5" s="353" t="s">
        <v>1496</v>
      </c>
      <c r="F5" s="364" t="s">
        <v>1497</v>
      </c>
      <c r="G5" s="353" t="s">
        <v>1410</v>
      </c>
      <c r="H5" s="363"/>
    </row>
    <row r="6" spans="1:8" x14ac:dyDescent="0.35">
      <c r="A6" s="366" t="s">
        <v>1500</v>
      </c>
      <c r="B6" s="367"/>
      <c r="C6" s="367" t="s">
        <v>1501</v>
      </c>
      <c r="D6" s="367" t="s">
        <v>1502</v>
      </c>
      <c r="E6" s="367"/>
      <c r="F6" s="367"/>
      <c r="G6" s="368"/>
      <c r="H6" s="369"/>
    </row>
    <row r="7" spans="1:8" x14ac:dyDescent="0.35">
      <c r="A7" s="366" t="s">
        <v>1500</v>
      </c>
      <c r="B7" s="367"/>
      <c r="C7" s="367" t="s">
        <v>1501</v>
      </c>
      <c r="D7" s="367" t="s">
        <v>1503</v>
      </c>
      <c r="E7" s="367"/>
      <c r="F7" s="367"/>
      <c r="G7" s="368"/>
      <c r="H7" s="369"/>
    </row>
    <row r="8" spans="1:8" x14ac:dyDescent="0.35">
      <c r="A8" s="366" t="s">
        <v>1500</v>
      </c>
      <c r="B8" s="367"/>
      <c r="C8" s="367" t="s">
        <v>1501</v>
      </c>
      <c r="D8" s="367" t="s">
        <v>1504</v>
      </c>
      <c r="E8" s="367"/>
      <c r="F8" s="367"/>
      <c r="G8" s="368"/>
      <c r="H8" s="369"/>
    </row>
    <row r="9" spans="1:8" x14ac:dyDescent="0.35">
      <c r="A9" s="366" t="s">
        <v>1500</v>
      </c>
      <c r="B9" s="367"/>
      <c r="C9" s="367" t="s">
        <v>1501</v>
      </c>
      <c r="D9" s="367" t="s">
        <v>1504</v>
      </c>
      <c r="E9" s="367"/>
      <c r="F9" s="367"/>
      <c r="G9" s="368"/>
      <c r="H9" s="369"/>
    </row>
    <row r="10" spans="1:8" x14ac:dyDescent="0.35">
      <c r="A10" s="366" t="s">
        <v>1500</v>
      </c>
      <c r="B10" s="370"/>
      <c r="C10" s="367" t="s">
        <v>1501</v>
      </c>
      <c r="D10" s="370" t="s">
        <v>1505</v>
      </c>
      <c r="E10" s="367"/>
      <c r="F10" s="367"/>
      <c r="G10" s="368"/>
      <c r="H10" s="369"/>
    </row>
    <row r="11" spans="1:8" x14ac:dyDescent="0.35">
      <c r="A11" s="366" t="s">
        <v>1500</v>
      </c>
      <c r="B11" s="370"/>
      <c r="C11" s="367" t="s">
        <v>1501</v>
      </c>
      <c r="D11" s="370" t="s">
        <v>1505</v>
      </c>
      <c r="E11" s="367"/>
      <c r="F11" s="367"/>
      <c r="G11" s="368"/>
      <c r="H11" s="369"/>
    </row>
    <row r="12" spans="1:8" x14ac:dyDescent="0.35">
      <c r="A12" s="366" t="s">
        <v>1506</v>
      </c>
      <c r="B12" s="367"/>
      <c r="C12" s="367"/>
      <c r="D12" s="371" t="s">
        <v>1507</v>
      </c>
      <c r="E12" s="367"/>
      <c r="F12" s="367"/>
      <c r="G12" s="368"/>
      <c r="H12" s="369"/>
    </row>
    <row r="13" spans="1:8" x14ac:dyDescent="0.35">
      <c r="A13" s="366" t="s">
        <v>1506</v>
      </c>
      <c r="B13" s="367"/>
      <c r="C13" s="367"/>
      <c r="D13" s="371" t="s">
        <v>1508</v>
      </c>
      <c r="E13" s="367"/>
      <c r="F13" s="367"/>
      <c r="G13" s="368"/>
      <c r="H13" s="369"/>
    </row>
    <row r="14" spans="1:8" x14ac:dyDescent="0.35">
      <c r="A14" s="366" t="s">
        <v>1506</v>
      </c>
      <c r="B14" s="367"/>
      <c r="C14" s="367"/>
      <c r="D14" s="371" t="s">
        <v>1509</v>
      </c>
      <c r="E14" s="367"/>
      <c r="F14" s="367"/>
      <c r="G14" s="368"/>
      <c r="H14" s="369"/>
    </row>
    <row r="15" spans="1:8" x14ac:dyDescent="0.35">
      <c r="A15" s="366" t="s">
        <v>1506</v>
      </c>
      <c r="B15" s="367"/>
      <c r="C15" s="367"/>
      <c r="D15" s="371" t="s">
        <v>1509</v>
      </c>
      <c r="E15" s="367"/>
      <c r="F15" s="367"/>
      <c r="G15" s="368"/>
      <c r="H15" s="369"/>
    </row>
    <row r="16" spans="1:8" x14ac:dyDescent="0.35">
      <c r="A16" s="366" t="s">
        <v>1506</v>
      </c>
      <c r="B16" s="367"/>
      <c r="C16" s="367"/>
      <c r="D16" s="371" t="s">
        <v>1510</v>
      </c>
      <c r="E16" s="367"/>
      <c r="F16" s="367"/>
      <c r="G16" s="368"/>
      <c r="H16" s="369"/>
    </row>
    <row r="17" spans="1:8" x14ac:dyDescent="0.35">
      <c r="A17" s="366" t="s">
        <v>1506</v>
      </c>
      <c r="B17" s="367"/>
      <c r="C17" s="367"/>
      <c r="D17" s="371" t="s">
        <v>1511</v>
      </c>
      <c r="E17" s="367"/>
      <c r="F17" s="367"/>
      <c r="G17" s="368"/>
      <c r="H17" s="369"/>
    </row>
    <row r="18" spans="1:8" x14ac:dyDescent="0.35">
      <c r="A18" s="366" t="s">
        <v>1506</v>
      </c>
      <c r="B18" s="367"/>
      <c r="C18" s="367"/>
      <c r="D18" s="371" t="s">
        <v>1512</v>
      </c>
      <c r="E18" s="367"/>
      <c r="F18" s="367"/>
      <c r="G18" s="368"/>
      <c r="H18" s="369"/>
    </row>
    <row r="19" spans="1:8" x14ac:dyDescent="0.35">
      <c r="A19" s="366"/>
      <c r="B19" s="367"/>
      <c r="C19" s="367"/>
      <c r="D19" s="371" t="s">
        <v>1512</v>
      </c>
      <c r="E19" s="367"/>
      <c r="F19" s="367"/>
      <c r="G19" s="368"/>
      <c r="H19" s="369"/>
    </row>
    <row r="20" spans="1:8" x14ac:dyDescent="0.35">
      <c r="A20" s="372"/>
      <c r="B20" s="372"/>
      <c r="C20" s="372"/>
      <c r="D20" s="372"/>
      <c r="E20" s="373"/>
      <c r="F20" s="372"/>
      <c r="G20" s="363"/>
      <c r="H20" s="363"/>
    </row>
    <row r="21" spans="1:8" ht="18" x14ac:dyDescent="0.35">
      <c r="A21" s="1141" t="s">
        <v>1513</v>
      </c>
      <c r="B21" s="1141"/>
      <c r="C21" s="1141"/>
      <c r="D21" s="1141"/>
      <c r="E21" s="1141"/>
      <c r="F21" s="1141"/>
      <c r="G21" s="1141"/>
      <c r="H21" s="363"/>
    </row>
    <row r="22" spans="1:8" ht="18" x14ac:dyDescent="0.35">
      <c r="A22" s="364" t="s">
        <v>1492</v>
      </c>
      <c r="B22" s="364" t="s">
        <v>1493</v>
      </c>
      <c r="C22" s="365" t="s">
        <v>1494</v>
      </c>
      <c r="D22" s="364" t="s">
        <v>1495</v>
      </c>
      <c r="E22" s="353" t="s">
        <v>1496</v>
      </c>
      <c r="F22" s="364" t="s">
        <v>1497</v>
      </c>
      <c r="G22" s="353" t="s">
        <v>1410</v>
      </c>
      <c r="H22" s="363"/>
    </row>
    <row r="23" spans="1:8" s="248" customFormat="1" x14ac:dyDescent="0.35">
      <c r="A23" s="366" t="s">
        <v>1506</v>
      </c>
      <c r="B23" s="374" t="s">
        <v>1514</v>
      </c>
      <c r="C23" s="374"/>
      <c r="D23" s="374"/>
      <c r="E23" s="374"/>
      <c r="F23" s="374" t="s">
        <v>1515</v>
      </c>
      <c r="G23" s="374" t="s">
        <v>1516</v>
      </c>
      <c r="H23" s="374"/>
    </row>
    <row r="24" spans="1:8" ht="35" x14ac:dyDescent="0.35">
      <c r="A24" s="366" t="s">
        <v>1506</v>
      </c>
      <c r="B24" s="374" t="s">
        <v>1517</v>
      </c>
      <c r="C24" s="374" t="s">
        <v>1518</v>
      </c>
      <c r="D24" s="374" t="s">
        <v>1519</v>
      </c>
      <c r="E24" s="375" t="s">
        <v>1520</v>
      </c>
      <c r="F24" s="374" t="s">
        <v>1521</v>
      </c>
      <c r="G24" s="368"/>
      <c r="H24" s="363"/>
    </row>
    <row r="25" spans="1:8" x14ac:dyDescent="0.35">
      <c r="A25" s="366" t="s">
        <v>1506</v>
      </c>
      <c r="B25" s="374" t="s">
        <v>1522</v>
      </c>
      <c r="C25" s="368"/>
      <c r="D25" s="376"/>
      <c r="E25" s="368"/>
      <c r="F25" s="374" t="s">
        <v>1523</v>
      </c>
      <c r="G25" s="377"/>
      <c r="H25" s="363"/>
    </row>
    <row r="26" spans="1:8" ht="18" x14ac:dyDescent="0.35">
      <c r="A26" s="366" t="s">
        <v>1506</v>
      </c>
      <c r="B26" s="374" t="s">
        <v>1524</v>
      </c>
      <c r="C26" s="374"/>
      <c r="D26" s="374"/>
      <c r="E26" s="368"/>
      <c r="F26" s="374" t="s">
        <v>1525</v>
      </c>
      <c r="G26" s="378"/>
      <c r="H26" s="363"/>
    </row>
    <row r="27" spans="1:8" x14ac:dyDescent="0.35">
      <c r="A27" s="366" t="s">
        <v>1506</v>
      </c>
      <c r="B27" s="374" t="s">
        <v>1526</v>
      </c>
      <c r="C27" s="374"/>
      <c r="D27" s="374"/>
      <c r="E27" s="361"/>
      <c r="F27" s="374" t="s">
        <v>1527</v>
      </c>
      <c r="G27" s="377"/>
      <c r="H27" s="363"/>
    </row>
    <row r="28" spans="1:8" x14ac:dyDescent="0.35">
      <c r="A28" s="379"/>
      <c r="B28" s="380"/>
      <c r="C28" s="379"/>
      <c r="D28" s="379"/>
      <c r="E28" s="381"/>
      <c r="F28" s="382"/>
      <c r="G28" s="383"/>
      <c r="H28" s="359"/>
    </row>
    <row r="29" spans="1:8" ht="18" x14ac:dyDescent="0.35">
      <c r="A29" s="1142" t="s">
        <v>1528</v>
      </c>
      <c r="B29" s="1143"/>
      <c r="C29" s="1143"/>
      <c r="D29" s="1143"/>
      <c r="E29" s="1143"/>
      <c r="F29" s="1143"/>
      <c r="G29" s="1143"/>
      <c r="H29" s="1144"/>
    </row>
    <row r="30" spans="1:8" ht="18" x14ac:dyDescent="0.35">
      <c r="A30" s="364" t="s">
        <v>1492</v>
      </c>
      <c r="B30" s="364" t="s">
        <v>1529</v>
      </c>
      <c r="C30" s="365" t="s">
        <v>1494</v>
      </c>
      <c r="D30" s="364" t="s">
        <v>1495</v>
      </c>
      <c r="E30" s="353" t="s">
        <v>1496</v>
      </c>
      <c r="F30" s="364" t="s">
        <v>1530</v>
      </c>
      <c r="G30" s="353" t="s">
        <v>1410</v>
      </c>
      <c r="H30" s="353" t="s">
        <v>1531</v>
      </c>
    </row>
    <row r="31" spans="1:8" x14ac:dyDescent="0.35">
      <c r="A31" s="366" t="s">
        <v>1506</v>
      </c>
      <c r="B31" s="374" t="s">
        <v>1532</v>
      </c>
      <c r="C31" s="374" t="s">
        <v>1533</v>
      </c>
      <c r="D31" s="374" t="s">
        <v>1534</v>
      </c>
      <c r="E31" s="374"/>
      <c r="F31" s="374" t="s">
        <v>1535</v>
      </c>
      <c r="G31" s="374"/>
      <c r="H31" s="374" t="s">
        <v>1536</v>
      </c>
    </row>
    <row r="32" spans="1:8" x14ac:dyDescent="0.35">
      <c r="A32" s="366" t="s">
        <v>1506</v>
      </c>
      <c r="B32" s="374" t="s">
        <v>1537</v>
      </c>
      <c r="C32" s="374" t="s">
        <v>1538</v>
      </c>
      <c r="D32" s="374" t="s">
        <v>1539</v>
      </c>
      <c r="E32" s="374"/>
      <c r="F32" s="374" t="s">
        <v>1540</v>
      </c>
      <c r="G32" s="374" t="s">
        <v>1541</v>
      </c>
      <c r="H32" s="374" t="s">
        <v>1536</v>
      </c>
    </row>
    <row r="33" spans="1:8" x14ac:dyDescent="0.35">
      <c r="A33" s="366" t="s">
        <v>1506</v>
      </c>
      <c r="B33" s="374" t="s">
        <v>1542</v>
      </c>
      <c r="C33" s="374" t="s">
        <v>1538</v>
      </c>
      <c r="D33" s="374" t="s">
        <v>1543</v>
      </c>
      <c r="E33" s="374"/>
      <c r="F33" s="374" t="s">
        <v>1544</v>
      </c>
      <c r="G33" s="374" t="s">
        <v>1541</v>
      </c>
      <c r="H33" s="374"/>
    </row>
    <row r="34" spans="1:8" x14ac:dyDescent="0.35">
      <c r="A34" s="366" t="s">
        <v>1506</v>
      </c>
      <c r="B34" s="374" t="s">
        <v>1545</v>
      </c>
      <c r="C34" s="374" t="s">
        <v>1538</v>
      </c>
      <c r="D34" s="374" t="s">
        <v>1546</v>
      </c>
      <c r="E34" s="374"/>
      <c r="F34" s="374" t="s">
        <v>1547</v>
      </c>
      <c r="G34" s="374" t="s">
        <v>1541</v>
      </c>
      <c r="H34" s="374"/>
    </row>
    <row r="35" spans="1:8" x14ac:dyDescent="0.35">
      <c r="A35" s="366" t="s">
        <v>1506</v>
      </c>
      <c r="B35" s="374" t="s">
        <v>1548</v>
      </c>
      <c r="C35" s="374" t="s">
        <v>1428</v>
      </c>
      <c r="D35" s="374" t="s">
        <v>1549</v>
      </c>
      <c r="E35" s="374"/>
      <c r="F35" s="374" t="s">
        <v>1550</v>
      </c>
      <c r="G35" s="374" t="s">
        <v>1551</v>
      </c>
      <c r="H35" s="374" t="s">
        <v>1536</v>
      </c>
    </row>
    <row r="36" spans="1:8" x14ac:dyDescent="0.35">
      <c r="A36" s="366" t="s">
        <v>1506</v>
      </c>
      <c r="B36" s="374" t="s">
        <v>1552</v>
      </c>
      <c r="C36" s="374" t="s">
        <v>1428</v>
      </c>
      <c r="D36" s="374" t="s">
        <v>1553</v>
      </c>
      <c r="E36" s="374"/>
      <c r="F36" s="374" t="s">
        <v>1554</v>
      </c>
      <c r="G36" s="374" t="s">
        <v>1555</v>
      </c>
      <c r="H36" s="374"/>
    </row>
    <row r="37" spans="1:8" x14ac:dyDescent="0.35">
      <c r="A37" s="366" t="s">
        <v>1506</v>
      </c>
      <c r="B37" s="374" t="s">
        <v>1556</v>
      </c>
      <c r="C37" s="374" t="s">
        <v>1428</v>
      </c>
      <c r="D37" s="374" t="s">
        <v>1557</v>
      </c>
      <c r="E37" s="374"/>
      <c r="F37" s="374" t="s">
        <v>1558</v>
      </c>
      <c r="G37" s="374" t="s">
        <v>1555</v>
      </c>
      <c r="H37" s="374"/>
    </row>
    <row r="38" spans="1:8" s="249" customFormat="1" ht="18.5" x14ac:dyDescent="0.45">
      <c r="A38" s="384" t="s">
        <v>1500</v>
      </c>
      <c r="B38" s="384" t="s">
        <v>1559</v>
      </c>
      <c r="C38" s="384" t="s">
        <v>1428</v>
      </c>
      <c r="D38" s="384" t="s">
        <v>1559</v>
      </c>
      <c r="E38" s="384"/>
      <c r="F38" s="374" t="s">
        <v>1560</v>
      </c>
      <c r="G38" s="384" t="s">
        <v>1561</v>
      </c>
      <c r="H38" s="385"/>
    </row>
    <row r="39" spans="1:8" x14ac:dyDescent="0.35">
      <c r="A39" s="374" t="s">
        <v>1500</v>
      </c>
      <c r="B39" s="374" t="s">
        <v>1562</v>
      </c>
      <c r="C39" s="374" t="s">
        <v>1563</v>
      </c>
      <c r="D39" s="374" t="s">
        <v>1564</v>
      </c>
      <c r="E39" s="386" t="s">
        <v>1565</v>
      </c>
      <c r="F39" s="387" t="s">
        <v>1566</v>
      </c>
      <c r="G39" s="374"/>
      <c r="H39" s="374"/>
    </row>
    <row r="40" spans="1:8" x14ac:dyDescent="0.35">
      <c r="A40" s="374" t="s">
        <v>1500</v>
      </c>
      <c r="B40" s="374" t="s">
        <v>1567</v>
      </c>
      <c r="C40" s="374" t="s">
        <v>1563</v>
      </c>
      <c r="D40" s="374" t="s">
        <v>1568</v>
      </c>
      <c r="E40" s="386" t="s">
        <v>1569</v>
      </c>
      <c r="F40" s="387" t="s">
        <v>1570</v>
      </c>
      <c r="G40" s="374"/>
      <c r="H40" s="374"/>
    </row>
    <row r="41" spans="1:8" x14ac:dyDescent="0.35">
      <c r="A41" s="374" t="s">
        <v>1500</v>
      </c>
      <c r="B41" s="374" t="s">
        <v>1571</v>
      </c>
      <c r="C41" s="374" t="s">
        <v>1563</v>
      </c>
      <c r="D41" s="374" t="s">
        <v>1572</v>
      </c>
      <c r="E41" s="386" t="s">
        <v>1573</v>
      </c>
      <c r="F41" s="387" t="s">
        <v>1574</v>
      </c>
      <c r="G41" s="374"/>
      <c r="H41" s="374"/>
    </row>
    <row r="42" spans="1:8" x14ac:dyDescent="0.35">
      <c r="A42" s="366" t="s">
        <v>1506</v>
      </c>
      <c r="B42" s="374" t="s">
        <v>1575</v>
      </c>
      <c r="C42" s="374" t="s">
        <v>1424</v>
      </c>
      <c r="D42" s="374"/>
      <c r="E42" s="374"/>
      <c r="F42" s="374" t="s">
        <v>1576</v>
      </c>
      <c r="G42" s="374"/>
      <c r="H42" s="374" t="s">
        <v>1536</v>
      </c>
    </row>
    <row r="43" spans="1:8" x14ac:dyDescent="0.35">
      <c r="A43" s="366" t="s">
        <v>1506</v>
      </c>
      <c r="B43" s="374" t="s">
        <v>1577</v>
      </c>
      <c r="C43" s="374" t="s">
        <v>1424</v>
      </c>
      <c r="D43" s="374"/>
      <c r="E43" s="374"/>
      <c r="F43" s="374" t="s">
        <v>1578</v>
      </c>
      <c r="G43" s="374"/>
      <c r="H43" s="374"/>
    </row>
    <row r="44" spans="1:8" x14ac:dyDescent="0.35">
      <c r="A44" s="366" t="s">
        <v>1506</v>
      </c>
      <c r="B44" s="374" t="s">
        <v>1579</v>
      </c>
      <c r="C44" s="374" t="s">
        <v>1424</v>
      </c>
      <c r="D44" s="374"/>
      <c r="E44" s="374"/>
      <c r="F44" s="374" t="s">
        <v>1580</v>
      </c>
      <c r="G44" s="374"/>
      <c r="H44" s="374"/>
    </row>
    <row r="45" spans="1:8" x14ac:dyDescent="0.35">
      <c r="A45" s="366" t="s">
        <v>1506</v>
      </c>
      <c r="B45" s="374" t="s">
        <v>1581</v>
      </c>
      <c r="C45" s="374" t="s">
        <v>1424</v>
      </c>
      <c r="D45" s="374"/>
      <c r="E45" s="374"/>
      <c r="F45" s="374" t="s">
        <v>1582</v>
      </c>
      <c r="G45" s="374"/>
      <c r="H45" s="374"/>
    </row>
    <row r="46" spans="1:8" x14ac:dyDescent="0.35">
      <c r="A46" s="366" t="s">
        <v>1506</v>
      </c>
      <c r="B46" s="374" t="s">
        <v>1583</v>
      </c>
      <c r="C46" s="374" t="s">
        <v>1424</v>
      </c>
      <c r="D46" s="374"/>
      <c r="E46" s="374"/>
      <c r="F46" s="374" t="s">
        <v>1584</v>
      </c>
      <c r="G46" s="374"/>
      <c r="H46" s="374"/>
    </row>
    <row r="47" spans="1:8" x14ac:dyDescent="0.35">
      <c r="A47" s="366" t="s">
        <v>1506</v>
      </c>
      <c r="B47" s="374" t="s">
        <v>1585</v>
      </c>
      <c r="C47" s="374" t="s">
        <v>1424</v>
      </c>
      <c r="D47" s="374" t="s">
        <v>1586</v>
      </c>
      <c r="E47" s="374"/>
      <c r="F47" s="374" t="s">
        <v>1587</v>
      </c>
      <c r="G47" s="374"/>
      <c r="H47" s="374"/>
    </row>
    <row r="48" spans="1:8" x14ac:dyDescent="0.35">
      <c r="A48" s="366" t="s">
        <v>1506</v>
      </c>
      <c r="B48" s="374" t="s">
        <v>1588</v>
      </c>
      <c r="C48" s="374" t="s">
        <v>1424</v>
      </c>
      <c r="D48" s="374"/>
      <c r="E48" s="374"/>
      <c r="F48" s="374" t="s">
        <v>1589</v>
      </c>
      <c r="G48" s="333"/>
      <c r="H48" s="374" t="s">
        <v>1536</v>
      </c>
    </row>
    <row r="49" spans="1:8" x14ac:dyDescent="0.35">
      <c r="A49" s="374" t="s">
        <v>1500</v>
      </c>
      <c r="B49" s="374" t="s">
        <v>1590</v>
      </c>
      <c r="C49" s="374" t="s">
        <v>1591</v>
      </c>
      <c r="D49" s="374" t="s">
        <v>1592</v>
      </c>
      <c r="E49" s="386" t="s">
        <v>1593</v>
      </c>
      <c r="F49" s="387" t="s">
        <v>1594</v>
      </c>
      <c r="G49" s="374"/>
      <c r="H49" s="374"/>
    </row>
    <row r="50" spans="1:8" x14ac:dyDescent="0.35">
      <c r="A50" s="374" t="s">
        <v>1500</v>
      </c>
      <c r="B50" s="374" t="s">
        <v>1595</v>
      </c>
      <c r="C50" s="374" t="s">
        <v>1591</v>
      </c>
      <c r="D50" s="374" t="s">
        <v>1596</v>
      </c>
      <c r="E50" s="374" t="s">
        <v>1597</v>
      </c>
      <c r="F50" s="374" t="s">
        <v>1598</v>
      </c>
      <c r="G50" s="374"/>
      <c r="H50" s="374"/>
    </row>
    <row r="51" spans="1:8" ht="35" x14ac:dyDescent="0.35">
      <c r="A51" s="374" t="s">
        <v>1506</v>
      </c>
      <c r="B51" s="374" t="s">
        <v>1599</v>
      </c>
      <c r="C51" s="374" t="s">
        <v>1600</v>
      </c>
      <c r="D51" s="374" t="s">
        <v>1601</v>
      </c>
      <c r="E51" s="388" t="s">
        <v>1602</v>
      </c>
      <c r="F51" s="374" t="s">
        <v>1603</v>
      </c>
      <c r="G51" s="374"/>
      <c r="H51" s="374" t="s">
        <v>1536</v>
      </c>
    </row>
    <row r="52" spans="1:8" x14ac:dyDescent="0.35">
      <c r="A52" s="374" t="s">
        <v>1500</v>
      </c>
      <c r="B52" s="374" t="s">
        <v>1604</v>
      </c>
      <c r="C52" s="374" t="s">
        <v>1605</v>
      </c>
      <c r="D52" s="374" t="s">
        <v>1606</v>
      </c>
      <c r="E52" s="374" t="s">
        <v>1607</v>
      </c>
      <c r="F52" s="374" t="s">
        <v>1608</v>
      </c>
      <c r="G52" s="374"/>
      <c r="H52" s="374"/>
    </row>
    <row r="53" spans="1:8" x14ac:dyDescent="0.35">
      <c r="A53" s="374" t="s">
        <v>1500</v>
      </c>
      <c r="B53" s="374" t="s">
        <v>1609</v>
      </c>
      <c r="C53" s="374" t="s">
        <v>1345</v>
      </c>
      <c r="D53" s="374" t="s">
        <v>1610</v>
      </c>
      <c r="E53" s="374" t="s">
        <v>1611</v>
      </c>
      <c r="F53" s="374" t="s">
        <v>1612</v>
      </c>
      <c r="G53" s="374"/>
      <c r="H53" s="374"/>
    </row>
    <row r="54" spans="1:8" x14ac:dyDescent="0.35">
      <c r="A54" s="374" t="s">
        <v>1500</v>
      </c>
      <c r="B54" s="374" t="s">
        <v>1613</v>
      </c>
      <c r="C54" s="374" t="s">
        <v>1345</v>
      </c>
      <c r="D54" s="374" t="s">
        <v>1614</v>
      </c>
      <c r="E54" s="374" t="s">
        <v>1615</v>
      </c>
      <c r="F54" s="374" t="s">
        <v>1616</v>
      </c>
      <c r="G54" s="374"/>
      <c r="H54" s="374"/>
    </row>
    <row r="55" spans="1:8" x14ac:dyDescent="0.35">
      <c r="A55" s="374" t="s">
        <v>1506</v>
      </c>
      <c r="B55" s="374" t="s">
        <v>1617</v>
      </c>
      <c r="C55" s="374" t="s">
        <v>1345</v>
      </c>
      <c r="D55" s="374"/>
      <c r="E55" s="374"/>
      <c r="F55" s="374" t="s">
        <v>1618</v>
      </c>
      <c r="G55" s="374"/>
      <c r="H55" s="374"/>
    </row>
    <row r="56" spans="1:8" x14ac:dyDescent="0.35">
      <c r="A56" s="374" t="s">
        <v>1500</v>
      </c>
      <c r="B56" s="374" t="s">
        <v>1619</v>
      </c>
      <c r="C56" s="374" t="s">
        <v>1620</v>
      </c>
      <c r="D56" s="374" t="s">
        <v>1621</v>
      </c>
      <c r="E56" s="374" t="s">
        <v>1622</v>
      </c>
      <c r="F56" s="374" t="s">
        <v>1623</v>
      </c>
      <c r="G56" s="374"/>
      <c r="H56" s="374"/>
    </row>
    <row r="57" spans="1:8" x14ac:dyDescent="0.35">
      <c r="A57" s="374" t="s">
        <v>1506</v>
      </c>
      <c r="B57" s="374" t="s">
        <v>1624</v>
      </c>
      <c r="C57" s="374" t="s">
        <v>1625</v>
      </c>
      <c r="D57" s="374"/>
      <c r="E57" s="374"/>
      <c r="F57" s="374" t="s">
        <v>1626</v>
      </c>
      <c r="G57" s="374"/>
      <c r="H57" s="374"/>
    </row>
    <row r="58" spans="1:8" x14ac:dyDescent="0.35">
      <c r="A58" s="374" t="s">
        <v>1506</v>
      </c>
      <c r="B58" s="374" t="s">
        <v>1627</v>
      </c>
      <c r="C58" s="374" t="s">
        <v>1628</v>
      </c>
      <c r="D58" s="374"/>
      <c r="E58" s="374"/>
      <c r="F58" s="374" t="s">
        <v>1629</v>
      </c>
      <c r="G58" s="374"/>
      <c r="H58" s="374"/>
    </row>
    <row r="59" spans="1:8" x14ac:dyDescent="0.35">
      <c r="A59" s="374" t="s">
        <v>1506</v>
      </c>
      <c r="B59" s="374" t="s">
        <v>1630</v>
      </c>
      <c r="C59" s="374" t="s">
        <v>1628</v>
      </c>
      <c r="D59" s="374"/>
      <c r="E59" s="374"/>
      <c r="F59" s="374" t="s">
        <v>1631</v>
      </c>
      <c r="G59" s="374"/>
      <c r="H59" s="374"/>
    </row>
    <row r="60" spans="1:8" x14ac:dyDescent="0.35">
      <c r="A60" s="374" t="s">
        <v>1506</v>
      </c>
      <c r="B60" s="374" t="s">
        <v>1632</v>
      </c>
      <c r="C60" s="374" t="s">
        <v>1628</v>
      </c>
      <c r="D60" s="374"/>
      <c r="E60" s="374"/>
      <c r="F60" s="374" t="s">
        <v>1633</v>
      </c>
      <c r="G60" s="374"/>
      <c r="H60" s="374"/>
    </row>
    <row r="61" spans="1:8" s="251" customFormat="1" x14ac:dyDescent="0.35">
      <c r="A61" s="374" t="s">
        <v>1506</v>
      </c>
      <c r="B61" s="374" t="s">
        <v>1634</v>
      </c>
      <c r="C61" s="374" t="s">
        <v>1635</v>
      </c>
      <c r="D61" s="389"/>
      <c r="E61" s="390"/>
      <c r="F61" s="374" t="s">
        <v>1636</v>
      </c>
      <c r="G61" s="389"/>
      <c r="H61" s="389"/>
    </row>
    <row r="62" spans="1:8" x14ac:dyDescent="0.35">
      <c r="A62" s="374" t="s">
        <v>1500</v>
      </c>
      <c r="B62" s="374" t="s">
        <v>1637</v>
      </c>
      <c r="C62" s="374" t="s">
        <v>1628</v>
      </c>
      <c r="D62" s="374" t="s">
        <v>1638</v>
      </c>
      <c r="E62" s="374"/>
      <c r="F62" s="374" t="s">
        <v>1639</v>
      </c>
      <c r="G62" s="374"/>
      <c r="H62" s="333"/>
    </row>
    <row r="63" spans="1:8" x14ac:dyDescent="0.35">
      <c r="A63" s="374" t="s">
        <v>1506</v>
      </c>
      <c r="B63" s="374" t="s">
        <v>1532</v>
      </c>
      <c r="C63" s="374" t="s">
        <v>1640</v>
      </c>
      <c r="D63" s="374" t="s">
        <v>1641</v>
      </c>
      <c r="E63" s="374"/>
      <c r="F63" s="374" t="s">
        <v>1535</v>
      </c>
      <c r="G63" s="374"/>
      <c r="H63" s="374"/>
    </row>
    <row r="64" spans="1:8" x14ac:dyDescent="0.35">
      <c r="A64" s="374" t="s">
        <v>1506</v>
      </c>
      <c r="B64" s="374" t="s">
        <v>1642</v>
      </c>
      <c r="C64" s="374" t="s">
        <v>1640</v>
      </c>
      <c r="D64" s="374" t="s">
        <v>1643</v>
      </c>
      <c r="E64" s="374"/>
      <c r="F64" s="374" t="s">
        <v>1644</v>
      </c>
      <c r="G64" s="374"/>
      <c r="H64" s="374"/>
    </row>
    <row r="65" spans="1:8" x14ac:dyDescent="0.35">
      <c r="A65" s="374" t="s">
        <v>1506</v>
      </c>
      <c r="B65" s="374" t="s">
        <v>1537</v>
      </c>
      <c r="C65" s="374" t="s">
        <v>1640</v>
      </c>
      <c r="D65" s="374" t="s">
        <v>1643</v>
      </c>
      <c r="E65" s="374"/>
      <c r="F65" s="374" t="s">
        <v>1645</v>
      </c>
      <c r="G65" s="374"/>
      <c r="H65" s="374"/>
    </row>
    <row r="66" spans="1:8" x14ac:dyDescent="0.35">
      <c r="A66" s="374" t="s">
        <v>1500</v>
      </c>
      <c r="B66" s="374" t="s">
        <v>1646</v>
      </c>
      <c r="C66" s="374" t="s">
        <v>1647</v>
      </c>
      <c r="D66" s="374"/>
      <c r="E66" s="374" t="s">
        <v>1648</v>
      </c>
      <c r="F66" s="374" t="s">
        <v>1649</v>
      </c>
      <c r="G66" s="374"/>
      <c r="H66" s="374"/>
    </row>
    <row r="67" spans="1:8" x14ac:dyDescent="0.35">
      <c r="A67" s="374" t="s">
        <v>1500</v>
      </c>
      <c r="B67" s="374" t="s">
        <v>1650</v>
      </c>
      <c r="C67" s="374" t="s">
        <v>1647</v>
      </c>
      <c r="D67" s="374"/>
      <c r="E67" s="374" t="s">
        <v>1651</v>
      </c>
      <c r="F67" s="374" t="s">
        <v>1652</v>
      </c>
      <c r="G67" s="374"/>
      <c r="H67" s="374"/>
    </row>
    <row r="68" spans="1:8" x14ac:dyDescent="0.35">
      <c r="A68" s="374" t="s">
        <v>1506</v>
      </c>
      <c r="B68" s="374" t="s">
        <v>1653</v>
      </c>
      <c r="C68" s="374" t="s">
        <v>1647</v>
      </c>
      <c r="D68" s="374"/>
      <c r="E68" s="374"/>
      <c r="F68" s="374" t="s">
        <v>1654</v>
      </c>
      <c r="G68" s="374"/>
      <c r="H68" s="374"/>
    </row>
    <row r="69" spans="1:8" s="248" customFormat="1" x14ac:dyDescent="0.35">
      <c r="A69" s="374" t="s">
        <v>1506</v>
      </c>
      <c r="B69" s="374" t="s">
        <v>1655</v>
      </c>
      <c r="C69" s="374" t="s">
        <v>1656</v>
      </c>
      <c r="D69" s="374"/>
      <c r="E69" s="374"/>
      <c r="F69" s="374" t="s">
        <v>1657</v>
      </c>
      <c r="G69" s="374"/>
      <c r="H69" s="374"/>
    </row>
    <row r="70" spans="1:8" s="248" customFormat="1" x14ac:dyDescent="0.35">
      <c r="A70" s="374" t="s">
        <v>1506</v>
      </c>
      <c r="B70" s="374" t="s">
        <v>1658</v>
      </c>
      <c r="C70" s="374" t="s">
        <v>1656</v>
      </c>
      <c r="D70" s="374"/>
      <c r="E70" s="374"/>
      <c r="F70" s="374" t="s">
        <v>1659</v>
      </c>
      <c r="G70" s="374"/>
      <c r="H70" s="374"/>
    </row>
    <row r="71" spans="1:8" x14ac:dyDescent="0.35">
      <c r="A71" s="374" t="s">
        <v>1500</v>
      </c>
      <c r="B71" s="374" t="s">
        <v>1660</v>
      </c>
      <c r="C71" s="374" t="s">
        <v>1661</v>
      </c>
      <c r="D71" s="374"/>
      <c r="E71" s="374"/>
      <c r="F71" s="387" t="s">
        <v>1662</v>
      </c>
      <c r="G71" s="374"/>
      <c r="H71" s="374"/>
    </row>
    <row r="72" spans="1:8" x14ac:dyDescent="0.35">
      <c r="A72" s="374" t="s">
        <v>1500</v>
      </c>
      <c r="B72" s="374" t="s">
        <v>1663</v>
      </c>
      <c r="C72" s="374" t="s">
        <v>1661</v>
      </c>
      <c r="D72" s="374" t="s">
        <v>1664</v>
      </c>
      <c r="E72" s="374"/>
      <c r="F72" s="374" t="s">
        <v>1665</v>
      </c>
      <c r="G72" s="374"/>
      <c r="H72" s="374"/>
    </row>
    <row r="73" spans="1:8" x14ac:dyDescent="0.35">
      <c r="A73" s="374" t="s">
        <v>1506</v>
      </c>
      <c r="B73" s="374" t="s">
        <v>1666</v>
      </c>
      <c r="C73" s="374" t="s">
        <v>1667</v>
      </c>
      <c r="D73" s="374"/>
      <c r="E73" s="374"/>
      <c r="F73" s="374" t="s">
        <v>1668</v>
      </c>
      <c r="G73" s="374"/>
      <c r="H73" s="374"/>
    </row>
    <row r="74" spans="1:8" x14ac:dyDescent="0.35">
      <c r="A74" s="374" t="s">
        <v>1506</v>
      </c>
      <c r="B74" s="374" t="s">
        <v>1669</v>
      </c>
      <c r="C74" s="374" t="s">
        <v>1670</v>
      </c>
      <c r="D74" s="374"/>
      <c r="E74" s="374"/>
      <c r="F74" s="374" t="s">
        <v>1671</v>
      </c>
      <c r="G74" s="374"/>
      <c r="H74" s="333"/>
    </row>
    <row r="75" spans="1:8" x14ac:dyDescent="0.35">
      <c r="A75" s="374" t="s">
        <v>1506</v>
      </c>
      <c r="B75" s="374" t="s">
        <v>1672</v>
      </c>
      <c r="C75" s="374" t="s">
        <v>1670</v>
      </c>
      <c r="D75" s="374"/>
      <c r="E75" s="374"/>
      <c r="F75" s="374" t="s">
        <v>1673</v>
      </c>
      <c r="G75" s="374"/>
      <c r="H75" s="333"/>
    </row>
    <row r="76" spans="1:8" x14ac:dyDescent="0.35">
      <c r="A76" s="374" t="s">
        <v>1506</v>
      </c>
      <c r="B76" s="374" t="s">
        <v>1674</v>
      </c>
      <c r="C76" s="374" t="s">
        <v>1670</v>
      </c>
      <c r="D76" s="374"/>
      <c r="E76" s="374"/>
      <c r="F76" s="374" t="s">
        <v>1675</v>
      </c>
      <c r="G76" s="374"/>
      <c r="H76" s="359"/>
    </row>
    <row r="77" spans="1:8" x14ac:dyDescent="0.35">
      <c r="A77" s="374" t="s">
        <v>1506</v>
      </c>
      <c r="B77" s="374" t="s">
        <v>1676</v>
      </c>
      <c r="C77" s="374" t="s">
        <v>1670</v>
      </c>
      <c r="D77" s="374"/>
      <c r="E77" s="374"/>
      <c r="F77" s="387" t="s">
        <v>1677</v>
      </c>
      <c r="G77" s="374"/>
      <c r="H77" s="359"/>
    </row>
    <row r="78" spans="1:8" x14ac:dyDescent="0.35">
      <c r="A78" s="374" t="s">
        <v>1506</v>
      </c>
      <c r="B78" s="387" t="s">
        <v>1678</v>
      </c>
      <c r="C78" s="374" t="s">
        <v>1679</v>
      </c>
      <c r="D78" s="374"/>
      <c r="E78" s="374"/>
      <c r="F78" s="387" t="s">
        <v>1680</v>
      </c>
      <c r="G78" s="374"/>
      <c r="H78" s="359"/>
    </row>
    <row r="79" spans="1:8" x14ac:dyDescent="0.35">
      <c r="A79" s="374" t="s">
        <v>1506</v>
      </c>
      <c r="B79" s="387" t="s">
        <v>1681</v>
      </c>
      <c r="C79" s="374" t="s">
        <v>1679</v>
      </c>
      <c r="D79" s="374"/>
      <c r="E79" s="374"/>
      <c r="F79" s="387" t="s">
        <v>1682</v>
      </c>
      <c r="G79" s="374"/>
      <c r="H79" s="359"/>
    </row>
    <row r="80" spans="1:8" x14ac:dyDescent="0.35">
      <c r="A80" s="374" t="s">
        <v>1506</v>
      </c>
      <c r="B80" s="374" t="s">
        <v>1683</v>
      </c>
      <c r="C80" s="374" t="s">
        <v>1684</v>
      </c>
      <c r="D80" s="374"/>
      <c r="E80" s="374"/>
      <c r="F80" s="387" t="s">
        <v>1685</v>
      </c>
      <c r="G80" s="374"/>
      <c r="H80" s="359"/>
    </row>
    <row r="81" spans="1:8" x14ac:dyDescent="0.35">
      <c r="A81" s="374" t="s">
        <v>1506</v>
      </c>
      <c r="B81" s="374" t="s">
        <v>1686</v>
      </c>
      <c r="C81" s="374" t="s">
        <v>1687</v>
      </c>
      <c r="D81" s="374" t="s">
        <v>411</v>
      </c>
      <c r="E81" s="374"/>
      <c r="F81" s="374" t="s">
        <v>1688</v>
      </c>
      <c r="G81" s="374"/>
      <c r="H81" s="359"/>
    </row>
    <row r="82" spans="1:8" x14ac:dyDescent="0.35">
      <c r="A82" s="374" t="s">
        <v>1506</v>
      </c>
      <c r="B82" s="374" t="s">
        <v>1689</v>
      </c>
      <c r="C82" s="374" t="s">
        <v>1687</v>
      </c>
      <c r="D82" s="374" t="s">
        <v>1690</v>
      </c>
      <c r="E82" s="374"/>
      <c r="F82" s="387" t="s">
        <v>1691</v>
      </c>
      <c r="G82" s="374"/>
      <c r="H82" s="359"/>
    </row>
    <row r="83" spans="1:8" x14ac:dyDescent="0.35">
      <c r="A83" s="374" t="s">
        <v>1506</v>
      </c>
      <c r="B83" s="374" t="s">
        <v>1692</v>
      </c>
      <c r="C83" s="374" t="s">
        <v>1693</v>
      </c>
      <c r="D83" s="374" t="s">
        <v>411</v>
      </c>
      <c r="E83" s="374"/>
      <c r="F83" s="387" t="s">
        <v>1694</v>
      </c>
      <c r="G83" s="374"/>
      <c r="H83" s="359"/>
    </row>
    <row r="84" spans="1:8" x14ac:dyDescent="0.35">
      <c r="A84" s="374" t="s">
        <v>1506</v>
      </c>
      <c r="B84" s="374" t="s">
        <v>1689</v>
      </c>
      <c r="C84" s="374" t="s">
        <v>1693</v>
      </c>
      <c r="D84" s="374" t="s">
        <v>1690</v>
      </c>
      <c r="E84" s="374"/>
      <c r="F84" s="387" t="s">
        <v>1691</v>
      </c>
      <c r="G84" s="374"/>
      <c r="H84" s="359"/>
    </row>
    <row r="85" spans="1:8" x14ac:dyDescent="0.35">
      <c r="A85" s="374" t="s">
        <v>1506</v>
      </c>
      <c r="B85" s="374" t="s">
        <v>1695</v>
      </c>
      <c r="C85" s="374" t="s">
        <v>1696</v>
      </c>
      <c r="D85" s="374" t="s">
        <v>411</v>
      </c>
      <c r="E85" s="374"/>
      <c r="F85" s="387" t="s">
        <v>1697</v>
      </c>
      <c r="G85" s="374"/>
      <c r="H85" s="359"/>
    </row>
    <row r="86" spans="1:8" x14ac:dyDescent="0.35">
      <c r="A86" s="374" t="s">
        <v>1506</v>
      </c>
      <c r="B86" s="374" t="s">
        <v>1698</v>
      </c>
      <c r="C86" s="374" t="s">
        <v>1699</v>
      </c>
      <c r="D86" s="374" t="s">
        <v>1700</v>
      </c>
      <c r="E86" s="374"/>
      <c r="F86" s="387" t="s">
        <v>1701</v>
      </c>
      <c r="G86" s="374"/>
      <c r="H86" s="359"/>
    </row>
    <row r="87" spans="1:8" x14ac:dyDescent="0.35">
      <c r="A87" s="374" t="s">
        <v>1506</v>
      </c>
      <c r="B87" s="374"/>
      <c r="C87" s="374" t="s">
        <v>1699</v>
      </c>
      <c r="D87" s="374" t="s">
        <v>1702</v>
      </c>
      <c r="E87" s="374"/>
      <c r="F87" s="387" t="s">
        <v>1703</v>
      </c>
      <c r="G87" s="374"/>
      <c r="H87" s="359"/>
    </row>
    <row r="88" spans="1:8" ht="52.5" x14ac:dyDescent="0.35">
      <c r="A88" s="374" t="s">
        <v>1506</v>
      </c>
      <c r="B88" s="374" t="s">
        <v>1704</v>
      </c>
      <c r="C88" s="374" t="s">
        <v>1705</v>
      </c>
      <c r="D88" s="374"/>
      <c r="E88" s="374" t="s">
        <v>1706</v>
      </c>
      <c r="F88" s="374"/>
      <c r="G88" s="374" t="s">
        <v>1707</v>
      </c>
      <c r="H88" s="359"/>
    </row>
    <row r="89" spans="1:8" x14ac:dyDescent="0.35">
      <c r="A89" s="374" t="s">
        <v>1506</v>
      </c>
      <c r="B89" s="374" t="s">
        <v>1708</v>
      </c>
      <c r="C89" s="374" t="s">
        <v>1709</v>
      </c>
      <c r="D89" s="374"/>
      <c r="E89" s="374" t="s">
        <v>1710</v>
      </c>
      <c r="F89" s="374" t="s">
        <v>1711</v>
      </c>
      <c r="G89" s="374" t="s">
        <v>1712</v>
      </c>
      <c r="H89" s="359"/>
    </row>
    <row r="90" spans="1:8" x14ac:dyDescent="0.35">
      <c r="A90" s="374" t="s">
        <v>1506</v>
      </c>
      <c r="B90" s="374" t="s">
        <v>1713</v>
      </c>
      <c r="C90" s="374" t="s">
        <v>1714</v>
      </c>
      <c r="D90" s="374"/>
      <c r="E90" s="374"/>
      <c r="F90" s="374" t="s">
        <v>1715</v>
      </c>
      <c r="G90" s="374" t="s">
        <v>1441</v>
      </c>
      <c r="H90" s="359"/>
    </row>
    <row r="91" spans="1:8" ht="18.5" x14ac:dyDescent="0.45">
      <c r="A91" s="391"/>
      <c r="B91" s="392"/>
      <c r="C91" s="379"/>
      <c r="D91" s="379"/>
      <c r="E91" s="381"/>
      <c r="F91" s="382"/>
      <c r="G91" s="383"/>
      <c r="H91" s="359"/>
    </row>
    <row r="92" spans="1:8" ht="18" x14ac:dyDescent="0.35">
      <c r="A92" s="1142" t="s">
        <v>1716</v>
      </c>
      <c r="B92" s="1143"/>
      <c r="C92" s="1143"/>
      <c r="D92" s="1143"/>
      <c r="E92" s="1143"/>
      <c r="F92" s="1143"/>
      <c r="G92" s="1143"/>
      <c r="H92" s="1144"/>
    </row>
    <row r="93" spans="1:8" ht="18" x14ac:dyDescent="0.35">
      <c r="A93" s="364" t="s">
        <v>1492</v>
      </c>
      <c r="B93" s="364" t="s">
        <v>1493</v>
      </c>
      <c r="C93" s="365" t="s">
        <v>1494</v>
      </c>
      <c r="D93" s="364" t="s">
        <v>1495</v>
      </c>
      <c r="E93" s="353" t="s">
        <v>1496</v>
      </c>
      <c r="F93" s="364" t="s">
        <v>1530</v>
      </c>
      <c r="G93" s="353" t="s">
        <v>421</v>
      </c>
      <c r="H93" s="353" t="s">
        <v>1717</v>
      </c>
    </row>
    <row r="94" spans="1:8" x14ac:dyDescent="0.35">
      <c r="A94" s="366" t="s">
        <v>1500</v>
      </c>
      <c r="B94" s="374" t="s">
        <v>1718</v>
      </c>
      <c r="C94" s="374" t="s">
        <v>1719</v>
      </c>
      <c r="D94" s="374" t="s">
        <v>1720</v>
      </c>
      <c r="E94" s="386" t="s">
        <v>1721</v>
      </c>
      <c r="F94" s="374" t="s">
        <v>1722</v>
      </c>
      <c r="G94" s="362"/>
      <c r="H94" s="367"/>
    </row>
    <row r="95" spans="1:8" x14ac:dyDescent="0.35">
      <c r="A95" s="366" t="s">
        <v>1500</v>
      </c>
      <c r="B95" s="374" t="s">
        <v>1723</v>
      </c>
      <c r="C95" s="374" t="s">
        <v>1719</v>
      </c>
      <c r="D95" s="374" t="s">
        <v>1724</v>
      </c>
      <c r="E95" s="386" t="s">
        <v>1725</v>
      </c>
      <c r="F95" s="374" t="s">
        <v>1726</v>
      </c>
      <c r="G95" s="362"/>
      <c r="H95" s="367"/>
    </row>
    <row r="96" spans="1:8" x14ac:dyDescent="0.35">
      <c r="A96" s="366" t="s">
        <v>1500</v>
      </c>
      <c r="B96" s="374" t="s">
        <v>1727</v>
      </c>
      <c r="C96" s="374" t="s">
        <v>1719</v>
      </c>
      <c r="D96" s="374" t="s">
        <v>1728</v>
      </c>
      <c r="E96" s="386" t="s">
        <v>1729</v>
      </c>
      <c r="F96" s="374" t="s">
        <v>1730</v>
      </c>
      <c r="G96" s="362"/>
      <c r="H96" s="367"/>
    </row>
    <row r="97" spans="1:8" x14ac:dyDescent="0.35">
      <c r="A97" s="366" t="s">
        <v>1500</v>
      </c>
      <c r="B97" s="374" t="s">
        <v>1731</v>
      </c>
      <c r="C97" s="374" t="s">
        <v>1732</v>
      </c>
      <c r="D97" s="374" t="s">
        <v>1732</v>
      </c>
      <c r="E97" s="386" t="s">
        <v>1733</v>
      </c>
      <c r="F97" s="374" t="s">
        <v>1734</v>
      </c>
      <c r="G97" s="362"/>
      <c r="H97" s="367"/>
    </row>
    <row r="98" spans="1:8" x14ac:dyDescent="0.35">
      <c r="A98" s="366" t="s">
        <v>1500</v>
      </c>
      <c r="B98" s="374" t="s">
        <v>1735</v>
      </c>
      <c r="C98" s="374" t="s">
        <v>1736</v>
      </c>
      <c r="D98" s="374" t="s">
        <v>1737</v>
      </c>
      <c r="E98" s="386" t="s">
        <v>1738</v>
      </c>
      <c r="F98" s="374" t="s">
        <v>1739</v>
      </c>
      <c r="G98" s="362"/>
      <c r="H98" s="367"/>
    </row>
    <row r="99" spans="1:8" x14ac:dyDescent="0.35">
      <c r="A99" s="366" t="s">
        <v>1500</v>
      </c>
      <c r="B99" s="374" t="s">
        <v>1740</v>
      </c>
      <c r="C99" s="374" t="s">
        <v>1741</v>
      </c>
      <c r="D99" s="374" t="s">
        <v>1742</v>
      </c>
      <c r="E99" s="386" t="s">
        <v>1743</v>
      </c>
      <c r="F99" s="374" t="s">
        <v>1662</v>
      </c>
      <c r="G99" s="362"/>
      <c r="H99" s="367"/>
    </row>
    <row r="100" spans="1:8" x14ac:dyDescent="0.35">
      <c r="A100" s="366" t="s">
        <v>1500</v>
      </c>
      <c r="B100" s="374" t="s">
        <v>1744</v>
      </c>
      <c r="C100" s="374" t="s">
        <v>1745</v>
      </c>
      <c r="D100" s="374" t="s">
        <v>1746</v>
      </c>
      <c r="E100" s="386" t="s">
        <v>1747</v>
      </c>
      <c r="F100" s="374" t="s">
        <v>1748</v>
      </c>
      <c r="G100" s="362"/>
      <c r="H100" s="367"/>
    </row>
    <row r="101" spans="1:8" x14ac:dyDescent="0.35">
      <c r="A101" s="366" t="s">
        <v>1500</v>
      </c>
      <c r="B101" s="374" t="s">
        <v>1749</v>
      </c>
      <c r="C101" s="374" t="s">
        <v>1750</v>
      </c>
      <c r="D101" s="374" t="s">
        <v>1751</v>
      </c>
      <c r="E101" s="386" t="s">
        <v>1752</v>
      </c>
      <c r="F101" s="374" t="s">
        <v>1753</v>
      </c>
      <c r="G101" s="362"/>
      <c r="H101" s="367"/>
    </row>
    <row r="102" spans="1:8" x14ac:dyDescent="0.35">
      <c r="A102" s="366" t="s">
        <v>1500</v>
      </c>
      <c r="B102" s="374" t="s">
        <v>1754</v>
      </c>
      <c r="C102" s="374" t="s">
        <v>1755</v>
      </c>
      <c r="D102" s="374" t="s">
        <v>1756</v>
      </c>
      <c r="E102" s="386" t="s">
        <v>1757</v>
      </c>
      <c r="F102" s="374" t="s">
        <v>1758</v>
      </c>
      <c r="G102" s="362"/>
      <c r="H102" s="367"/>
    </row>
    <row r="103" spans="1:8" x14ac:dyDescent="0.35">
      <c r="A103" s="366" t="s">
        <v>1500</v>
      </c>
      <c r="B103" s="374" t="s">
        <v>1759</v>
      </c>
      <c r="C103" s="374" t="s">
        <v>1755</v>
      </c>
      <c r="D103" s="374" t="s">
        <v>1751</v>
      </c>
      <c r="E103" s="386"/>
      <c r="F103" s="374" t="s">
        <v>1760</v>
      </c>
      <c r="G103" s="362"/>
      <c r="H103" s="367"/>
    </row>
    <row r="104" spans="1:8" x14ac:dyDescent="0.35">
      <c r="A104" s="374" t="s">
        <v>1500</v>
      </c>
      <c r="B104" s="374" t="s">
        <v>1562</v>
      </c>
      <c r="C104" s="374" t="s">
        <v>1422</v>
      </c>
      <c r="D104" s="374" t="s">
        <v>1761</v>
      </c>
      <c r="E104" s="386" t="s">
        <v>1565</v>
      </c>
      <c r="F104" s="374" t="s">
        <v>1566</v>
      </c>
      <c r="G104" s="374"/>
      <c r="H104" s="374"/>
    </row>
    <row r="105" spans="1:8" s="248" customFormat="1" x14ac:dyDescent="0.35">
      <c r="A105" s="374" t="s">
        <v>1500</v>
      </c>
      <c r="B105" s="374" t="s">
        <v>1762</v>
      </c>
      <c r="C105" s="374" t="s">
        <v>1763</v>
      </c>
      <c r="D105" s="374" t="s">
        <v>1764</v>
      </c>
      <c r="E105" s="374" t="s">
        <v>1565</v>
      </c>
      <c r="F105" s="374" t="s">
        <v>1765</v>
      </c>
      <c r="G105" s="374"/>
      <c r="H105" s="374"/>
    </row>
    <row r="106" spans="1:8" x14ac:dyDescent="0.35">
      <c r="A106" s="366" t="s">
        <v>1500</v>
      </c>
      <c r="B106" s="374" t="s">
        <v>1766</v>
      </c>
      <c r="C106" s="374" t="s">
        <v>1767</v>
      </c>
      <c r="D106" s="374" t="s">
        <v>1732</v>
      </c>
      <c r="E106" s="386" t="s">
        <v>1768</v>
      </c>
      <c r="F106" s="393" t="s">
        <v>1769</v>
      </c>
      <c r="G106" s="362"/>
      <c r="H106" s="367"/>
    </row>
    <row r="107" spans="1:8" x14ac:dyDescent="0.35">
      <c r="A107" s="366" t="s">
        <v>1500</v>
      </c>
      <c r="B107" s="374" t="s">
        <v>1770</v>
      </c>
      <c r="C107" s="374" t="s">
        <v>1420</v>
      </c>
      <c r="D107" s="374" t="s">
        <v>1751</v>
      </c>
      <c r="E107" s="386" t="s">
        <v>1771</v>
      </c>
      <c r="F107" s="374" t="s">
        <v>1772</v>
      </c>
      <c r="G107" s="362"/>
      <c r="H107" s="367"/>
    </row>
    <row r="108" spans="1:8" x14ac:dyDescent="0.35">
      <c r="A108" s="366" t="s">
        <v>1500</v>
      </c>
      <c r="B108" s="374" t="s">
        <v>1773</v>
      </c>
      <c r="C108" s="374" t="s">
        <v>1420</v>
      </c>
      <c r="D108" s="374" t="s">
        <v>1751</v>
      </c>
      <c r="E108" s="386" t="s">
        <v>1774</v>
      </c>
      <c r="F108" s="374" t="s">
        <v>1775</v>
      </c>
      <c r="G108" s="362"/>
      <c r="H108" s="367"/>
    </row>
    <row r="109" spans="1:8" s="249" customFormat="1" x14ac:dyDescent="0.35">
      <c r="A109" s="366" t="s">
        <v>1500</v>
      </c>
      <c r="B109" s="384" t="s">
        <v>1776</v>
      </c>
      <c r="C109" s="384" t="s">
        <v>1420</v>
      </c>
      <c r="D109" s="384" t="s">
        <v>411</v>
      </c>
      <c r="E109" s="394"/>
      <c r="F109" s="379" t="s">
        <v>1777</v>
      </c>
      <c r="G109" s="384"/>
      <c r="H109" s="395"/>
    </row>
    <row r="110" spans="1:8" x14ac:dyDescent="0.35">
      <c r="A110" s="366" t="s">
        <v>1500</v>
      </c>
      <c r="B110" s="374" t="s">
        <v>1778</v>
      </c>
      <c r="C110" s="374" t="s">
        <v>1779</v>
      </c>
      <c r="D110" s="374"/>
      <c r="E110" s="386"/>
      <c r="F110" s="374" t="s">
        <v>1780</v>
      </c>
      <c r="G110" s="362"/>
      <c r="H110" s="367"/>
    </row>
    <row r="111" spans="1:8" x14ac:dyDescent="0.35">
      <c r="A111" s="366" t="s">
        <v>1500</v>
      </c>
      <c r="B111" s="374" t="s">
        <v>1766</v>
      </c>
      <c r="C111" s="374" t="s">
        <v>1781</v>
      </c>
      <c r="D111" s="374" t="s">
        <v>1746</v>
      </c>
      <c r="E111" s="386" t="s">
        <v>1768</v>
      </c>
      <c r="F111" s="374" t="s">
        <v>1769</v>
      </c>
      <c r="G111" s="362"/>
      <c r="H111" s="367"/>
    </row>
    <row r="112" spans="1:8" x14ac:dyDescent="0.35">
      <c r="A112" s="366" t="s">
        <v>1500</v>
      </c>
      <c r="B112" s="374" t="s">
        <v>1782</v>
      </c>
      <c r="C112" s="374" t="s">
        <v>1783</v>
      </c>
      <c r="D112" s="374" t="s">
        <v>1751</v>
      </c>
      <c r="E112" s="386" t="s">
        <v>1784</v>
      </c>
      <c r="F112" s="374" t="s">
        <v>1785</v>
      </c>
      <c r="G112" s="362"/>
      <c r="H112" s="367"/>
    </row>
    <row r="113" spans="1:8" x14ac:dyDescent="0.35">
      <c r="A113" s="366" t="s">
        <v>1500</v>
      </c>
      <c r="B113" s="374" t="s">
        <v>1786</v>
      </c>
      <c r="C113" s="374" t="s">
        <v>1783</v>
      </c>
      <c r="D113" s="374" t="s">
        <v>1787</v>
      </c>
      <c r="E113" s="386"/>
      <c r="F113" s="374" t="s">
        <v>1788</v>
      </c>
      <c r="G113" s="362"/>
      <c r="H113" s="367"/>
    </row>
    <row r="114" spans="1:8" x14ac:dyDescent="0.35">
      <c r="A114" s="366" t="s">
        <v>1500</v>
      </c>
      <c r="B114" s="374" t="s">
        <v>1789</v>
      </c>
      <c r="C114" s="374" t="s">
        <v>1783</v>
      </c>
      <c r="D114" s="374" t="s">
        <v>1787</v>
      </c>
      <c r="E114" s="386" t="s">
        <v>1790</v>
      </c>
      <c r="F114" s="374" t="s">
        <v>1791</v>
      </c>
      <c r="G114" s="362"/>
      <c r="H114" s="367"/>
    </row>
    <row r="115" spans="1:8" x14ac:dyDescent="0.35">
      <c r="A115" s="366" t="s">
        <v>1500</v>
      </c>
      <c r="B115" s="374" t="s">
        <v>1792</v>
      </c>
      <c r="C115" s="374" t="s">
        <v>1418</v>
      </c>
      <c r="D115" s="374" t="s">
        <v>1793</v>
      </c>
      <c r="E115" s="386" t="s">
        <v>1794</v>
      </c>
      <c r="F115" s="374" t="s">
        <v>1795</v>
      </c>
      <c r="G115" s="362"/>
      <c r="H115" s="367"/>
    </row>
    <row r="116" spans="1:8" x14ac:dyDescent="0.35">
      <c r="A116" s="366" t="s">
        <v>1500</v>
      </c>
      <c r="B116" s="374" t="s">
        <v>1796</v>
      </c>
      <c r="C116" s="374" t="s">
        <v>1797</v>
      </c>
      <c r="D116" s="374" t="s">
        <v>1793</v>
      </c>
      <c r="E116" s="386" t="s">
        <v>1798</v>
      </c>
      <c r="F116" s="374" t="s">
        <v>1799</v>
      </c>
      <c r="G116" s="362"/>
      <c r="H116" s="367"/>
    </row>
    <row r="117" spans="1:8" x14ac:dyDescent="0.35">
      <c r="A117" s="366" t="s">
        <v>1506</v>
      </c>
      <c r="B117" s="387" t="s">
        <v>1634</v>
      </c>
      <c r="C117" s="374" t="s">
        <v>697</v>
      </c>
      <c r="D117" s="374" t="s">
        <v>697</v>
      </c>
      <c r="E117" s="333"/>
      <c r="F117" s="374" t="s">
        <v>1800</v>
      </c>
      <c r="G117" s="362"/>
      <c r="H117" s="367"/>
    </row>
    <row r="118" spans="1:8" x14ac:dyDescent="0.35">
      <c r="A118" s="366" t="s">
        <v>1506</v>
      </c>
      <c r="B118" s="374" t="s">
        <v>1801</v>
      </c>
      <c r="C118" s="374" t="s">
        <v>697</v>
      </c>
      <c r="D118" s="374" t="s">
        <v>697</v>
      </c>
      <c r="E118" s="386" t="s">
        <v>1802</v>
      </c>
      <c r="F118" s="374" t="s">
        <v>1803</v>
      </c>
      <c r="G118" s="362"/>
      <c r="H118" s="367"/>
    </row>
    <row r="119" spans="1:8" x14ac:dyDescent="0.35">
      <c r="A119" s="366" t="s">
        <v>1506</v>
      </c>
      <c r="B119" s="374" t="s">
        <v>1804</v>
      </c>
      <c r="C119" s="374" t="s">
        <v>697</v>
      </c>
      <c r="D119" s="374" t="s">
        <v>697</v>
      </c>
      <c r="E119" s="386" t="s">
        <v>1802</v>
      </c>
      <c r="F119" s="374" t="s">
        <v>1805</v>
      </c>
      <c r="G119" s="362"/>
      <c r="H119" s="367"/>
    </row>
    <row r="120" spans="1:8" x14ac:dyDescent="0.35">
      <c r="A120" s="366" t="s">
        <v>1500</v>
      </c>
      <c r="B120" s="374" t="s">
        <v>1806</v>
      </c>
      <c r="C120" s="374" t="s">
        <v>1807</v>
      </c>
      <c r="D120" s="374" t="s">
        <v>1808</v>
      </c>
      <c r="E120" s="386" t="s">
        <v>1809</v>
      </c>
      <c r="F120" s="374" t="s">
        <v>1810</v>
      </c>
      <c r="G120" s="362"/>
      <c r="H120" s="367"/>
    </row>
    <row r="121" spans="1:8" x14ac:dyDescent="0.35">
      <c r="A121" s="366" t="s">
        <v>1500</v>
      </c>
      <c r="B121" s="374" t="s">
        <v>1811</v>
      </c>
      <c r="C121" s="374" t="s">
        <v>1807</v>
      </c>
      <c r="D121" s="374" t="s">
        <v>1812</v>
      </c>
      <c r="E121" s="386" t="s">
        <v>1813</v>
      </c>
      <c r="F121" s="374" t="s">
        <v>1814</v>
      </c>
      <c r="G121" s="362"/>
      <c r="H121" s="367"/>
    </row>
    <row r="122" spans="1:8" x14ac:dyDescent="0.35">
      <c r="A122" s="366" t="s">
        <v>1500</v>
      </c>
      <c r="B122" s="374" t="s">
        <v>1815</v>
      </c>
      <c r="C122" s="374" t="s">
        <v>1807</v>
      </c>
      <c r="D122" s="374" t="s">
        <v>1812</v>
      </c>
      <c r="E122" s="386" t="s">
        <v>1816</v>
      </c>
      <c r="F122" s="374" t="s">
        <v>1817</v>
      </c>
      <c r="G122" s="362"/>
      <c r="H122" s="367"/>
    </row>
    <row r="123" spans="1:8" x14ac:dyDescent="0.35">
      <c r="A123" s="366" t="s">
        <v>1500</v>
      </c>
      <c r="B123" s="374" t="s">
        <v>1818</v>
      </c>
      <c r="C123" s="374" t="s">
        <v>1807</v>
      </c>
      <c r="D123" s="374" t="s">
        <v>1812</v>
      </c>
      <c r="E123" s="386" t="s">
        <v>1819</v>
      </c>
      <c r="F123" s="374" t="s">
        <v>1820</v>
      </c>
      <c r="G123" s="362"/>
      <c r="H123" s="367"/>
    </row>
    <row r="124" spans="1:8" x14ac:dyDescent="0.35">
      <c r="A124" s="366" t="s">
        <v>1500</v>
      </c>
      <c r="B124" s="374" t="s">
        <v>1821</v>
      </c>
      <c r="C124" s="374"/>
      <c r="D124" s="374" t="s">
        <v>1732</v>
      </c>
      <c r="E124" s="386" t="s">
        <v>1822</v>
      </c>
      <c r="F124" s="374" t="s">
        <v>1823</v>
      </c>
      <c r="G124" s="362"/>
      <c r="H124" s="367"/>
    </row>
    <row r="125" spans="1:8" ht="35" x14ac:dyDescent="0.35">
      <c r="A125" s="366" t="s">
        <v>1500</v>
      </c>
      <c r="B125" s="374" t="s">
        <v>1824</v>
      </c>
      <c r="C125" s="374" t="s">
        <v>1825</v>
      </c>
      <c r="D125" s="374"/>
      <c r="E125" s="374"/>
      <c r="F125" s="374" t="s">
        <v>1826</v>
      </c>
      <c r="G125" s="362"/>
      <c r="H125" s="367"/>
    </row>
    <row r="126" spans="1:8" x14ac:dyDescent="0.35">
      <c r="A126" s="366" t="s">
        <v>1500</v>
      </c>
      <c r="B126" s="374" t="s">
        <v>1827</v>
      </c>
      <c r="C126" s="374" t="s">
        <v>1825</v>
      </c>
      <c r="D126" s="374"/>
      <c r="E126" s="374"/>
      <c r="F126" s="374" t="s">
        <v>1828</v>
      </c>
      <c r="G126" s="362"/>
      <c r="H126" s="367"/>
    </row>
    <row r="127" spans="1:8" x14ac:dyDescent="0.35">
      <c r="A127" s="366" t="s">
        <v>1500</v>
      </c>
      <c r="B127" s="374" t="s">
        <v>1829</v>
      </c>
      <c r="C127" s="374" t="s">
        <v>1825</v>
      </c>
      <c r="D127" s="374"/>
      <c r="E127" s="374"/>
      <c r="F127" s="374" t="s">
        <v>1830</v>
      </c>
      <c r="G127" s="362"/>
      <c r="H127" s="367"/>
    </row>
    <row r="128" spans="1:8" x14ac:dyDescent="0.35">
      <c r="A128" s="366" t="s">
        <v>1500</v>
      </c>
      <c r="B128" s="374" t="s">
        <v>1831</v>
      </c>
      <c r="C128" s="374" t="s">
        <v>1825</v>
      </c>
      <c r="D128" s="374"/>
      <c r="E128" s="374"/>
      <c r="F128" s="374" t="s">
        <v>1832</v>
      </c>
      <c r="G128" s="362"/>
      <c r="H128" s="367"/>
    </row>
    <row r="129" spans="1:8" x14ac:dyDescent="0.35">
      <c r="A129" s="366" t="s">
        <v>1500</v>
      </c>
      <c r="B129" s="374" t="s">
        <v>1833</v>
      </c>
      <c r="C129" s="374" t="s">
        <v>1825</v>
      </c>
      <c r="D129" s="374"/>
      <c r="E129" s="374"/>
      <c r="F129" s="374" t="s">
        <v>1834</v>
      </c>
      <c r="G129" s="362"/>
      <c r="H129" s="367"/>
    </row>
    <row r="130" spans="1:8" x14ac:dyDescent="0.35">
      <c r="A130" s="366" t="s">
        <v>1500</v>
      </c>
      <c r="B130" s="374" t="s">
        <v>1835</v>
      </c>
      <c r="C130" s="374" t="s">
        <v>1825</v>
      </c>
      <c r="D130" s="374"/>
      <c r="E130" s="374"/>
      <c r="F130" s="374" t="s">
        <v>1836</v>
      </c>
      <c r="G130" s="362"/>
      <c r="H130" s="367"/>
    </row>
    <row r="131" spans="1:8" s="249" customFormat="1" ht="18.5" x14ac:dyDescent="0.45">
      <c r="A131" s="396" t="s">
        <v>1500</v>
      </c>
      <c r="B131" s="384" t="s">
        <v>1837</v>
      </c>
      <c r="C131" s="384" t="s">
        <v>1838</v>
      </c>
      <c r="D131" s="384"/>
      <c r="E131" s="397"/>
      <c r="F131" s="374" t="s">
        <v>1839</v>
      </c>
      <c r="G131" s="362"/>
      <c r="H131" s="385"/>
    </row>
    <row r="132" spans="1:8" s="252" customFormat="1" ht="18.5" x14ac:dyDescent="0.45">
      <c r="A132" s="398" t="s">
        <v>1500</v>
      </c>
      <c r="B132" s="399" t="s">
        <v>1840</v>
      </c>
      <c r="C132" s="399" t="s">
        <v>1841</v>
      </c>
      <c r="D132" s="399"/>
      <c r="E132" s="399"/>
      <c r="F132" s="374" t="s">
        <v>1842</v>
      </c>
      <c r="G132" s="362"/>
      <c r="H132" s="400"/>
    </row>
    <row r="133" spans="1:8" s="249" customFormat="1" x14ac:dyDescent="0.35">
      <c r="A133" s="396" t="s">
        <v>1500</v>
      </c>
      <c r="B133" s="384" t="s">
        <v>1843</v>
      </c>
      <c r="C133" s="384" t="s">
        <v>1841</v>
      </c>
      <c r="D133" s="384"/>
      <c r="E133" s="384"/>
      <c r="F133" s="374" t="s">
        <v>1844</v>
      </c>
      <c r="G133" s="362"/>
      <c r="H133" s="395"/>
    </row>
    <row r="134" spans="1:8" s="253" customFormat="1" x14ac:dyDescent="0.35">
      <c r="A134" s="384" t="s">
        <v>1506</v>
      </c>
      <c r="B134" s="384" t="s">
        <v>1702</v>
      </c>
      <c r="C134" s="384" t="s">
        <v>1841</v>
      </c>
      <c r="D134" s="401"/>
      <c r="E134" s="402"/>
      <c r="F134" s="374" t="s">
        <v>1845</v>
      </c>
      <c r="G134" s="362"/>
      <c r="H134" s="402"/>
    </row>
    <row r="135" spans="1:8" s="249" customFormat="1" x14ac:dyDescent="0.35">
      <c r="A135" s="384" t="s">
        <v>1500</v>
      </c>
      <c r="B135" s="384" t="s">
        <v>1846</v>
      </c>
      <c r="C135" s="384" t="s">
        <v>1847</v>
      </c>
      <c r="D135" s="384"/>
      <c r="E135" s="384"/>
      <c r="F135" s="374" t="s">
        <v>1848</v>
      </c>
      <c r="G135" s="362"/>
      <c r="H135" s="395"/>
    </row>
    <row r="136" spans="1:8" x14ac:dyDescent="0.35">
      <c r="A136" s="384" t="s">
        <v>1500</v>
      </c>
      <c r="B136" s="384" t="s">
        <v>1849</v>
      </c>
      <c r="C136" s="374" t="s">
        <v>1847</v>
      </c>
      <c r="D136" s="374"/>
      <c r="E136" s="374"/>
      <c r="F136" s="374" t="s">
        <v>1850</v>
      </c>
      <c r="G136" s="362"/>
      <c r="H136" s="367"/>
    </row>
    <row r="137" spans="1:8" ht="35" x14ac:dyDescent="0.35">
      <c r="A137" s="384" t="s">
        <v>1851</v>
      </c>
      <c r="B137" s="384" t="s">
        <v>1852</v>
      </c>
      <c r="C137" s="374" t="s">
        <v>1853</v>
      </c>
      <c r="D137" s="374"/>
      <c r="E137" s="374"/>
      <c r="F137" s="374" t="s">
        <v>1854</v>
      </c>
      <c r="G137" s="362"/>
      <c r="H137" s="367"/>
    </row>
    <row r="138" spans="1:8" x14ac:dyDescent="0.35">
      <c r="A138" s="384" t="s">
        <v>1506</v>
      </c>
      <c r="B138" s="384" t="s">
        <v>1702</v>
      </c>
      <c r="C138" s="374" t="s">
        <v>1855</v>
      </c>
      <c r="D138" s="374"/>
      <c r="E138" s="374"/>
      <c r="F138" s="374" t="s">
        <v>1856</v>
      </c>
      <c r="G138" s="362"/>
      <c r="H138" s="367"/>
    </row>
    <row r="139" spans="1:8" x14ac:dyDescent="0.35">
      <c r="A139" s="384" t="s">
        <v>1500</v>
      </c>
      <c r="B139" s="384" t="s">
        <v>1857</v>
      </c>
      <c r="C139" s="374" t="s">
        <v>1858</v>
      </c>
      <c r="D139" s="374"/>
      <c r="E139" s="374"/>
      <c r="F139" s="374" t="s">
        <v>1859</v>
      </c>
      <c r="G139" s="362"/>
      <c r="H139" s="367"/>
    </row>
    <row r="140" spans="1:8" x14ac:dyDescent="0.35">
      <c r="A140" s="384" t="s">
        <v>1506</v>
      </c>
      <c r="B140" s="384" t="s">
        <v>1833</v>
      </c>
      <c r="C140" s="374" t="s">
        <v>1860</v>
      </c>
      <c r="D140" s="374"/>
      <c r="E140" s="374"/>
      <c r="F140" s="374" t="s">
        <v>1861</v>
      </c>
      <c r="G140" s="362"/>
      <c r="H140" s="367"/>
    </row>
    <row r="141" spans="1:8" ht="35" x14ac:dyDescent="0.35">
      <c r="A141" s="384" t="s">
        <v>1851</v>
      </c>
      <c r="B141" s="384" t="s">
        <v>1862</v>
      </c>
      <c r="C141" s="374" t="s">
        <v>1863</v>
      </c>
      <c r="D141" s="374"/>
      <c r="E141" s="374"/>
      <c r="F141" s="374" t="s">
        <v>1864</v>
      </c>
      <c r="G141" s="362"/>
      <c r="H141" s="367"/>
    </row>
    <row r="142" spans="1:8" x14ac:dyDescent="0.35">
      <c r="A142" s="384" t="s">
        <v>1500</v>
      </c>
      <c r="B142" s="384" t="s">
        <v>1865</v>
      </c>
      <c r="C142" s="374" t="s">
        <v>1866</v>
      </c>
      <c r="D142" s="374"/>
      <c r="E142" s="374"/>
      <c r="F142" s="374" t="s">
        <v>1867</v>
      </c>
      <c r="G142" s="362"/>
      <c r="H142" s="367"/>
    </row>
    <row r="143" spans="1:8" x14ac:dyDescent="0.35">
      <c r="A143" s="384" t="s">
        <v>1500</v>
      </c>
      <c r="B143" s="384" t="s">
        <v>1868</v>
      </c>
      <c r="C143" s="374" t="s">
        <v>1866</v>
      </c>
      <c r="D143" s="374"/>
      <c r="E143" s="374"/>
      <c r="F143" s="374" t="s">
        <v>1869</v>
      </c>
      <c r="G143" s="362"/>
      <c r="H143" s="367"/>
    </row>
    <row r="144" spans="1:8" x14ac:dyDescent="0.35">
      <c r="A144" s="366" t="s">
        <v>1506</v>
      </c>
      <c r="B144" s="374" t="s">
        <v>1702</v>
      </c>
      <c r="C144" s="374" t="s">
        <v>1858</v>
      </c>
      <c r="D144" s="374"/>
      <c r="E144" s="374"/>
      <c r="F144" s="374" t="s">
        <v>1715</v>
      </c>
      <c r="G144" s="362"/>
      <c r="H144" s="367"/>
    </row>
    <row r="145" spans="1:8" x14ac:dyDescent="0.35">
      <c r="A145" s="366" t="s">
        <v>1500</v>
      </c>
      <c r="B145" s="374" t="s">
        <v>1870</v>
      </c>
      <c r="C145" s="374" t="s">
        <v>1871</v>
      </c>
      <c r="D145" s="374"/>
      <c r="E145" s="374"/>
      <c r="F145" s="160" t="s">
        <v>1872</v>
      </c>
      <c r="G145" s="362"/>
      <c r="H145" s="367"/>
    </row>
    <row r="146" spans="1:8" x14ac:dyDescent="0.35">
      <c r="A146" s="366" t="s">
        <v>1500</v>
      </c>
      <c r="B146" s="374" t="s">
        <v>1873</v>
      </c>
      <c r="C146" s="374" t="s">
        <v>1871</v>
      </c>
      <c r="D146" s="374"/>
      <c r="E146" s="374"/>
      <c r="F146" s="160" t="s">
        <v>1874</v>
      </c>
      <c r="G146" s="362"/>
      <c r="H146" s="367"/>
    </row>
    <row r="147" spans="1:8" x14ac:dyDescent="0.35">
      <c r="A147" s="366" t="s">
        <v>1506</v>
      </c>
      <c r="B147" s="374" t="s">
        <v>1702</v>
      </c>
      <c r="C147" s="374" t="s">
        <v>1871</v>
      </c>
      <c r="D147" s="374"/>
      <c r="E147" s="374"/>
      <c r="F147" s="374" t="s">
        <v>1875</v>
      </c>
      <c r="G147" s="362"/>
      <c r="H147" s="367"/>
    </row>
    <row r="148" spans="1:8" x14ac:dyDescent="0.35">
      <c r="A148" s="366" t="s">
        <v>1506</v>
      </c>
      <c r="B148" s="374" t="s">
        <v>1702</v>
      </c>
      <c r="C148" s="374" t="s">
        <v>1876</v>
      </c>
      <c r="D148" s="374"/>
      <c r="E148" s="374"/>
      <c r="F148" s="374" t="s">
        <v>1877</v>
      </c>
      <c r="G148" s="362"/>
      <c r="H148" s="367"/>
    </row>
    <row r="149" spans="1:8" x14ac:dyDescent="0.35">
      <c r="A149" s="366" t="s">
        <v>1500</v>
      </c>
      <c r="B149" s="374" t="s">
        <v>1878</v>
      </c>
      <c r="C149" s="374" t="s">
        <v>1879</v>
      </c>
      <c r="D149" s="374"/>
      <c r="E149" s="374"/>
      <c r="F149" s="160" t="s">
        <v>1874</v>
      </c>
      <c r="G149" s="362"/>
      <c r="H149" s="367"/>
    </row>
    <row r="150" spans="1:8" x14ac:dyDescent="0.35">
      <c r="A150" s="366" t="s">
        <v>1500</v>
      </c>
      <c r="B150" s="374" t="s">
        <v>1880</v>
      </c>
      <c r="C150" s="374" t="s">
        <v>1881</v>
      </c>
      <c r="D150" s="374" t="s">
        <v>1882</v>
      </c>
      <c r="E150" s="374"/>
      <c r="F150" s="374" t="s">
        <v>1883</v>
      </c>
      <c r="G150" s="362"/>
      <c r="H150" s="367"/>
    </row>
    <row r="151" spans="1:8" x14ac:dyDescent="0.35">
      <c r="A151" s="366" t="s">
        <v>1500</v>
      </c>
      <c r="B151" s="403" t="s">
        <v>1884</v>
      </c>
      <c r="C151" s="404" t="s">
        <v>1885</v>
      </c>
      <c r="D151" s="374"/>
      <c r="E151" s="374"/>
      <c r="F151" s="374" t="s">
        <v>1886</v>
      </c>
      <c r="G151" s="362"/>
      <c r="H151" s="386"/>
    </row>
    <row r="152" spans="1:8" ht="52.5" x14ac:dyDescent="0.35">
      <c r="A152" s="404" t="s">
        <v>1506</v>
      </c>
      <c r="B152" s="404" t="s">
        <v>1887</v>
      </c>
      <c r="C152" s="404" t="s">
        <v>1885</v>
      </c>
      <c r="D152" s="404"/>
      <c r="E152" s="404"/>
      <c r="F152" s="374" t="s">
        <v>1887</v>
      </c>
      <c r="G152" s="404" t="s">
        <v>1888</v>
      </c>
      <c r="H152" s="405"/>
    </row>
    <row r="153" spans="1:8" x14ac:dyDescent="0.35">
      <c r="A153" s="404" t="s">
        <v>1500</v>
      </c>
      <c r="B153" s="404" t="s">
        <v>1889</v>
      </c>
      <c r="C153" s="404" t="s">
        <v>1890</v>
      </c>
      <c r="D153" s="404" t="s">
        <v>1891</v>
      </c>
      <c r="E153" s="404"/>
      <c r="F153" s="404" t="s">
        <v>1892</v>
      </c>
      <c r="G153" s="404"/>
      <c r="H153" s="405"/>
    </row>
    <row r="154" spans="1:8" x14ac:dyDescent="0.35">
      <c r="A154" s="404" t="s">
        <v>1500</v>
      </c>
      <c r="B154" s="404" t="s">
        <v>1893</v>
      </c>
      <c r="C154" s="404" t="s">
        <v>1890</v>
      </c>
      <c r="D154" s="404" t="s">
        <v>411</v>
      </c>
      <c r="E154" s="404"/>
      <c r="F154" s="404" t="s">
        <v>1894</v>
      </c>
      <c r="G154" s="404"/>
      <c r="H154" s="405"/>
    </row>
    <row r="155" spans="1:8" x14ac:dyDescent="0.35">
      <c r="A155" s="404" t="s">
        <v>1500</v>
      </c>
      <c r="B155" s="404" t="s">
        <v>1895</v>
      </c>
      <c r="C155" s="404" t="s">
        <v>1896</v>
      </c>
      <c r="D155" s="404" t="s">
        <v>1891</v>
      </c>
      <c r="E155" s="404" t="s">
        <v>1897</v>
      </c>
      <c r="F155" s="404" t="s">
        <v>1898</v>
      </c>
      <c r="G155" s="404"/>
      <c r="H155" s="405"/>
    </row>
    <row r="156" spans="1:8" x14ac:dyDescent="0.35">
      <c r="A156" s="404" t="s">
        <v>1500</v>
      </c>
      <c r="B156" s="404" t="s">
        <v>1899</v>
      </c>
      <c r="C156" s="404" t="s">
        <v>1900</v>
      </c>
      <c r="D156" s="404"/>
      <c r="E156" s="404"/>
      <c r="F156" s="160" t="s">
        <v>1901</v>
      </c>
      <c r="G156" s="404"/>
      <c r="H156" s="405"/>
    </row>
    <row r="157" spans="1:8" x14ac:dyDescent="0.35">
      <c r="A157" s="404" t="s">
        <v>1500</v>
      </c>
      <c r="B157" s="404" t="s">
        <v>1902</v>
      </c>
      <c r="C157" s="404" t="s">
        <v>1900</v>
      </c>
      <c r="D157" s="404"/>
      <c r="E157" s="404"/>
      <c r="F157" s="404" t="s">
        <v>1903</v>
      </c>
      <c r="G157" s="404"/>
      <c r="H157" s="405"/>
    </row>
    <row r="158" spans="1:8" x14ac:dyDescent="0.35">
      <c r="A158" s="404" t="s">
        <v>1500</v>
      </c>
      <c r="B158" s="404" t="s">
        <v>1904</v>
      </c>
      <c r="C158" s="404" t="s">
        <v>1900</v>
      </c>
      <c r="D158" s="404"/>
      <c r="E158" s="404"/>
      <c r="F158" s="404" t="s">
        <v>1905</v>
      </c>
      <c r="G158" s="404"/>
      <c r="H158" s="405"/>
    </row>
    <row r="159" spans="1:8" x14ac:dyDescent="0.35">
      <c r="A159" s="404" t="s">
        <v>1500</v>
      </c>
      <c r="B159" s="404" t="s">
        <v>1906</v>
      </c>
      <c r="C159" s="404" t="s">
        <v>1900</v>
      </c>
      <c r="D159" s="404"/>
      <c r="E159" s="404"/>
      <c r="F159" s="404" t="s">
        <v>1907</v>
      </c>
      <c r="G159" s="404"/>
      <c r="H159" s="405"/>
    </row>
    <row r="160" spans="1:8" x14ac:dyDescent="0.35">
      <c r="A160" s="404" t="s">
        <v>1506</v>
      </c>
      <c r="B160" s="404" t="s">
        <v>1702</v>
      </c>
      <c r="C160" s="404" t="s">
        <v>1908</v>
      </c>
      <c r="D160" s="404"/>
      <c r="E160" s="404"/>
      <c r="F160" s="160" t="s">
        <v>1909</v>
      </c>
      <c r="G160" s="404"/>
      <c r="H160" s="405"/>
    </row>
    <row r="161" spans="1:8" x14ac:dyDescent="0.35">
      <c r="A161" s="404" t="s">
        <v>1506</v>
      </c>
      <c r="B161" s="404" t="s">
        <v>1702</v>
      </c>
      <c r="C161" s="404" t="s">
        <v>1896</v>
      </c>
      <c r="D161" s="404"/>
      <c r="E161" s="404"/>
      <c r="F161" s="387" t="s">
        <v>1910</v>
      </c>
      <c r="G161" s="404"/>
      <c r="H161" s="405"/>
    </row>
    <row r="162" spans="1:8" x14ac:dyDescent="0.35">
      <c r="A162" s="404" t="s">
        <v>1500</v>
      </c>
      <c r="B162" s="404" t="s">
        <v>1702</v>
      </c>
      <c r="C162" s="404" t="s">
        <v>1900</v>
      </c>
      <c r="D162" s="404"/>
      <c r="E162" s="404"/>
      <c r="F162" s="1058" t="s">
        <v>1911</v>
      </c>
      <c r="G162" s="404"/>
      <c r="H162" s="405"/>
    </row>
    <row r="163" spans="1:8" x14ac:dyDescent="0.35">
      <c r="A163" s="404" t="s">
        <v>1500</v>
      </c>
      <c r="B163" s="404" t="s">
        <v>1912</v>
      </c>
      <c r="C163" s="404" t="s">
        <v>1913</v>
      </c>
      <c r="D163" s="404"/>
      <c r="E163" s="404"/>
      <c r="F163" s="387" t="s">
        <v>1914</v>
      </c>
      <c r="G163" s="404" t="s">
        <v>1915</v>
      </c>
      <c r="H163" s="405"/>
    </row>
    <row r="164" spans="1:8" ht="35" x14ac:dyDescent="0.35">
      <c r="A164" s="374" t="s">
        <v>1916</v>
      </c>
      <c r="B164" s="374"/>
      <c r="C164" s="384"/>
      <c r="D164" s="384"/>
      <c r="E164" s="406"/>
      <c r="F164" s="384"/>
      <c r="G164" s="407"/>
      <c r="H164" s="359"/>
    </row>
    <row r="165" spans="1:8" ht="35" x14ac:dyDescent="0.35">
      <c r="A165" s="374" t="s">
        <v>1917</v>
      </c>
      <c r="B165" s="374" t="s">
        <v>1918</v>
      </c>
      <c r="C165" s="384"/>
      <c r="D165" s="384"/>
      <c r="E165" s="406"/>
      <c r="F165" s="384"/>
      <c r="G165" s="407"/>
      <c r="H165" s="359"/>
    </row>
    <row r="166" spans="1:8" x14ac:dyDescent="0.35">
      <c r="A166" s="374" t="s">
        <v>1919</v>
      </c>
      <c r="B166" s="374" t="s">
        <v>1920</v>
      </c>
      <c r="C166" s="384"/>
      <c r="D166" s="384"/>
      <c r="E166" s="406"/>
      <c r="F166" s="384"/>
      <c r="G166" s="407"/>
      <c r="H166" s="359"/>
    </row>
    <row r="167" spans="1:8" x14ac:dyDescent="0.35">
      <c r="A167" s="382"/>
      <c r="B167" s="384"/>
      <c r="C167" s="384"/>
      <c r="D167" s="384"/>
      <c r="E167" s="406"/>
      <c r="F167" s="384"/>
      <c r="G167" s="407"/>
      <c r="H167" s="359"/>
    </row>
    <row r="168" spans="1:8" ht="18" x14ac:dyDescent="0.35">
      <c r="A168" s="1141" t="s">
        <v>1921</v>
      </c>
      <c r="B168" s="1141"/>
      <c r="C168" s="1141"/>
      <c r="D168" s="1141"/>
      <c r="E168" s="1141"/>
      <c r="F168" s="1141"/>
      <c r="G168" s="1141"/>
      <c r="H168" s="359"/>
    </row>
    <row r="169" spans="1:8" s="247" customFormat="1" ht="18" x14ac:dyDescent="0.35">
      <c r="A169" s="353" t="s">
        <v>1492</v>
      </c>
      <c r="B169" s="353" t="s">
        <v>1529</v>
      </c>
      <c r="C169" s="354" t="s">
        <v>1494</v>
      </c>
      <c r="D169" s="353" t="s">
        <v>1495</v>
      </c>
      <c r="E169" s="353" t="s">
        <v>1496</v>
      </c>
      <c r="F169" s="353" t="s">
        <v>1922</v>
      </c>
      <c r="G169" s="353" t="s">
        <v>1923</v>
      </c>
      <c r="H169" s="381"/>
    </row>
    <row r="170" spans="1:8" x14ac:dyDescent="0.35">
      <c r="A170" s="374" t="s">
        <v>1500</v>
      </c>
      <c r="B170" s="374" t="s">
        <v>1924</v>
      </c>
      <c r="C170" s="374" t="s">
        <v>1925</v>
      </c>
      <c r="D170" s="374" t="s">
        <v>1926</v>
      </c>
      <c r="E170" s="374" t="s">
        <v>1927</v>
      </c>
      <c r="F170" s="374" t="s">
        <v>1928</v>
      </c>
      <c r="G170" s="374"/>
      <c r="H170" s="359"/>
    </row>
    <row r="171" spans="1:8" x14ac:dyDescent="0.35">
      <c r="A171" s="374" t="s">
        <v>1500</v>
      </c>
      <c r="B171" s="374" t="s">
        <v>1929</v>
      </c>
      <c r="C171" s="374" t="s">
        <v>1925</v>
      </c>
      <c r="D171" s="374" t="s">
        <v>1930</v>
      </c>
      <c r="E171" s="374"/>
      <c r="F171" s="374" t="s">
        <v>1931</v>
      </c>
      <c r="G171" s="333"/>
      <c r="H171" s="333"/>
    </row>
    <row r="172" spans="1:8" x14ac:dyDescent="0.35">
      <c r="A172" s="374" t="s">
        <v>1500</v>
      </c>
      <c r="B172" s="374" t="s">
        <v>122</v>
      </c>
      <c r="C172" s="374" t="s">
        <v>1925</v>
      </c>
      <c r="D172" s="374" t="s">
        <v>1930</v>
      </c>
      <c r="E172" s="374" t="s">
        <v>1932</v>
      </c>
      <c r="F172" s="374" t="s">
        <v>1933</v>
      </c>
      <c r="G172" s="374"/>
      <c r="H172" s="359"/>
    </row>
    <row r="173" spans="1:8" x14ac:dyDescent="0.35">
      <c r="A173" s="374" t="s">
        <v>1500</v>
      </c>
      <c r="B173" s="374" t="s">
        <v>1934</v>
      </c>
      <c r="C173" s="374" t="s">
        <v>1925</v>
      </c>
      <c r="D173" s="374" t="s">
        <v>1930</v>
      </c>
      <c r="E173" s="374" t="s">
        <v>1935</v>
      </c>
      <c r="F173" s="374" t="s">
        <v>1936</v>
      </c>
      <c r="G173" s="374"/>
      <c r="H173" s="359"/>
    </row>
    <row r="174" spans="1:8" x14ac:dyDescent="0.35">
      <c r="A174" s="374" t="s">
        <v>1500</v>
      </c>
      <c r="B174" s="374" t="s">
        <v>48</v>
      </c>
      <c r="C174" s="374" t="s">
        <v>1925</v>
      </c>
      <c r="D174" s="374" t="s">
        <v>1930</v>
      </c>
      <c r="E174" s="374" t="s">
        <v>1937</v>
      </c>
      <c r="F174" s="160" t="s">
        <v>1938</v>
      </c>
      <c r="G174" s="374"/>
      <c r="H174" s="359"/>
    </row>
    <row r="175" spans="1:8" x14ac:dyDescent="0.35">
      <c r="A175" s="374" t="s">
        <v>1500</v>
      </c>
      <c r="B175" s="374" t="s">
        <v>1939</v>
      </c>
      <c r="C175" s="374" t="s">
        <v>1925</v>
      </c>
      <c r="D175" s="374" t="s">
        <v>1503</v>
      </c>
      <c r="E175" s="374" t="s">
        <v>1940</v>
      </c>
      <c r="F175" s="374" t="s">
        <v>1941</v>
      </c>
      <c r="G175" s="374"/>
      <c r="H175" s="359"/>
    </row>
    <row r="176" spans="1:8" x14ac:dyDescent="0.35">
      <c r="A176" s="374" t="s">
        <v>1500</v>
      </c>
      <c r="B176" s="374" t="s">
        <v>1942</v>
      </c>
      <c r="C176" s="374" t="s">
        <v>1925</v>
      </c>
      <c r="D176" s="374" t="s">
        <v>1503</v>
      </c>
      <c r="E176" s="374" t="s">
        <v>1943</v>
      </c>
      <c r="F176" s="374" t="s">
        <v>1944</v>
      </c>
      <c r="G176" s="374"/>
      <c r="H176" s="359"/>
    </row>
    <row r="177" spans="1:8" x14ac:dyDescent="0.35">
      <c r="A177" s="374" t="s">
        <v>1500</v>
      </c>
      <c r="B177" s="374" t="s">
        <v>1945</v>
      </c>
      <c r="C177" s="374" t="s">
        <v>1925</v>
      </c>
      <c r="D177" s="374" t="s">
        <v>1946</v>
      </c>
      <c r="E177" s="374" t="s">
        <v>1947</v>
      </c>
      <c r="F177" s="374" t="s">
        <v>1948</v>
      </c>
      <c r="G177" s="374"/>
      <c r="H177" s="359"/>
    </row>
    <row r="178" spans="1:8" x14ac:dyDescent="0.35">
      <c r="A178" s="374" t="s">
        <v>1500</v>
      </c>
      <c r="B178" s="374" t="s">
        <v>1949</v>
      </c>
      <c r="C178" s="374" t="s">
        <v>1925</v>
      </c>
      <c r="D178" s="374" t="s">
        <v>1504</v>
      </c>
      <c r="E178" s="374" t="s">
        <v>1950</v>
      </c>
      <c r="F178" s="374" t="s">
        <v>1951</v>
      </c>
      <c r="G178" s="374"/>
      <c r="H178" s="359"/>
    </row>
    <row r="179" spans="1:8" x14ac:dyDescent="0.35">
      <c r="A179" s="374" t="s">
        <v>1500</v>
      </c>
      <c r="B179" s="374" t="s">
        <v>1952</v>
      </c>
      <c r="C179" s="374" t="s">
        <v>1925</v>
      </c>
      <c r="D179" s="374" t="s">
        <v>1504</v>
      </c>
      <c r="E179" s="374" t="s">
        <v>1953</v>
      </c>
      <c r="F179" s="374" t="s">
        <v>1954</v>
      </c>
      <c r="G179" s="374"/>
      <c r="H179" s="359"/>
    </row>
    <row r="180" spans="1:8" x14ac:dyDescent="0.35">
      <c r="A180" s="374" t="s">
        <v>1500</v>
      </c>
      <c r="B180" s="374" t="s">
        <v>1955</v>
      </c>
      <c r="C180" s="374" t="s">
        <v>1925</v>
      </c>
      <c r="D180" s="374" t="s">
        <v>1504</v>
      </c>
      <c r="E180" s="374" t="s">
        <v>1956</v>
      </c>
      <c r="F180" s="374" t="s">
        <v>1957</v>
      </c>
      <c r="G180" s="374"/>
      <c r="H180" s="359"/>
    </row>
    <row r="181" spans="1:8" x14ac:dyDescent="0.35">
      <c r="A181" s="374" t="s">
        <v>1500</v>
      </c>
      <c r="B181" s="374" t="s">
        <v>1958</v>
      </c>
      <c r="C181" s="374" t="s">
        <v>1925</v>
      </c>
      <c r="D181" s="374" t="s">
        <v>1504</v>
      </c>
      <c r="E181" s="374" t="s">
        <v>1959</v>
      </c>
      <c r="F181" s="374" t="s">
        <v>1960</v>
      </c>
      <c r="G181" s="374"/>
      <c r="H181" s="359"/>
    </row>
    <row r="182" spans="1:8" x14ac:dyDescent="0.35">
      <c r="A182" s="374" t="s">
        <v>1500</v>
      </c>
      <c r="B182" s="374" t="s">
        <v>1961</v>
      </c>
      <c r="C182" s="374" t="s">
        <v>1925</v>
      </c>
      <c r="D182" s="374" t="s">
        <v>1504</v>
      </c>
      <c r="E182" s="374" t="s">
        <v>1962</v>
      </c>
      <c r="F182" s="374" t="s">
        <v>1963</v>
      </c>
      <c r="G182" s="374"/>
      <c r="H182" s="359"/>
    </row>
    <row r="183" spans="1:8" x14ac:dyDescent="0.35">
      <c r="A183" s="374" t="s">
        <v>1500</v>
      </c>
      <c r="B183" s="374" t="s">
        <v>1964</v>
      </c>
      <c r="C183" s="374" t="s">
        <v>1925</v>
      </c>
      <c r="D183" s="374" t="s">
        <v>1965</v>
      </c>
      <c r="E183" s="374" t="s">
        <v>1966</v>
      </c>
      <c r="F183" s="374" t="s">
        <v>1182</v>
      </c>
      <c r="G183" s="374"/>
      <c r="H183" s="359"/>
    </row>
    <row r="184" spans="1:8" x14ac:dyDescent="0.35">
      <c r="A184" s="374" t="s">
        <v>1500</v>
      </c>
      <c r="B184" s="374" t="s">
        <v>1967</v>
      </c>
      <c r="C184" s="374" t="s">
        <v>1925</v>
      </c>
      <c r="D184" s="374" t="s">
        <v>1968</v>
      </c>
      <c r="E184" s="374" t="s">
        <v>1969</v>
      </c>
      <c r="F184" s="374" t="s">
        <v>1970</v>
      </c>
      <c r="G184" s="374"/>
      <c r="H184" s="359"/>
    </row>
    <row r="185" spans="1:8" x14ac:dyDescent="0.35">
      <c r="A185" s="374" t="s">
        <v>1500</v>
      </c>
      <c r="B185" s="374" t="s">
        <v>1971</v>
      </c>
      <c r="C185" s="374" t="s">
        <v>1925</v>
      </c>
      <c r="D185" s="374" t="s">
        <v>1972</v>
      </c>
      <c r="E185" s="374" t="s">
        <v>1973</v>
      </c>
      <c r="F185" s="374" t="s">
        <v>1974</v>
      </c>
      <c r="G185" s="374"/>
      <c r="H185" s="359"/>
    </row>
    <row r="186" spans="1:8" x14ac:dyDescent="0.35">
      <c r="A186" s="374" t="s">
        <v>1500</v>
      </c>
      <c r="B186" s="374" t="s">
        <v>1975</v>
      </c>
      <c r="C186" s="374" t="s">
        <v>1925</v>
      </c>
      <c r="D186" s="374" t="s">
        <v>1976</v>
      </c>
      <c r="E186" s="374" t="s">
        <v>1977</v>
      </c>
      <c r="F186" s="374" t="s">
        <v>1978</v>
      </c>
      <c r="G186" s="374"/>
      <c r="H186" s="359"/>
    </row>
    <row r="187" spans="1:8" x14ac:dyDescent="0.35">
      <c r="A187" s="374" t="s">
        <v>1500</v>
      </c>
      <c r="B187" s="374" t="s">
        <v>1979</v>
      </c>
      <c r="C187" s="374" t="s">
        <v>1925</v>
      </c>
      <c r="D187" s="374" t="s">
        <v>1980</v>
      </c>
      <c r="E187" s="374" t="s">
        <v>1981</v>
      </c>
      <c r="F187" s="374" t="s">
        <v>1982</v>
      </c>
      <c r="G187" s="374"/>
      <c r="H187" s="333"/>
    </row>
    <row r="188" spans="1:8" x14ac:dyDescent="0.35">
      <c r="A188" s="374" t="s">
        <v>1500</v>
      </c>
      <c r="B188" s="374" t="s">
        <v>1983</v>
      </c>
      <c r="C188" s="374" t="s">
        <v>1925</v>
      </c>
      <c r="D188" s="374" t="s">
        <v>1984</v>
      </c>
      <c r="E188" s="374" t="s">
        <v>1985</v>
      </c>
      <c r="F188" s="374" t="s">
        <v>1986</v>
      </c>
      <c r="G188" s="374"/>
      <c r="H188" s="333"/>
    </row>
    <row r="189" spans="1:8" x14ac:dyDescent="0.35">
      <c r="A189" s="374" t="s">
        <v>1500</v>
      </c>
      <c r="B189" s="374" t="s">
        <v>1987</v>
      </c>
      <c r="C189" s="374" t="s">
        <v>1925</v>
      </c>
      <c r="D189" s="374" t="s">
        <v>1504</v>
      </c>
      <c r="E189" s="374" t="s">
        <v>1988</v>
      </c>
      <c r="F189" s="374" t="s">
        <v>1989</v>
      </c>
      <c r="G189" s="374"/>
      <c r="H189" s="333"/>
    </row>
    <row r="190" spans="1:8" x14ac:dyDescent="0.35">
      <c r="A190" s="374" t="s">
        <v>1500</v>
      </c>
      <c r="B190" s="374" t="s">
        <v>1990</v>
      </c>
      <c r="C190" s="374" t="s">
        <v>1925</v>
      </c>
      <c r="D190" s="374" t="s">
        <v>1503</v>
      </c>
      <c r="E190" s="374"/>
      <c r="F190" s="374" t="s">
        <v>1991</v>
      </c>
      <c r="G190" s="333"/>
      <c r="H190" s="333"/>
    </row>
    <row r="191" spans="1:8" x14ac:dyDescent="0.35">
      <c r="A191" s="374" t="s">
        <v>1500</v>
      </c>
      <c r="B191" s="374" t="s">
        <v>1992</v>
      </c>
      <c r="C191" s="374" t="s">
        <v>1925</v>
      </c>
      <c r="D191" s="374" t="s">
        <v>1503</v>
      </c>
      <c r="E191" s="374" t="s">
        <v>1993</v>
      </c>
      <c r="F191" s="374" t="s">
        <v>1994</v>
      </c>
      <c r="G191" s="333"/>
      <c r="H191" s="333"/>
    </row>
    <row r="192" spans="1:8" x14ac:dyDescent="0.35">
      <c r="A192" s="374" t="s">
        <v>1500</v>
      </c>
      <c r="B192" s="374" t="s">
        <v>1995</v>
      </c>
      <c r="C192" s="374" t="s">
        <v>1925</v>
      </c>
      <c r="D192" s="374" t="s">
        <v>1503</v>
      </c>
      <c r="E192" s="374" t="s">
        <v>1996</v>
      </c>
      <c r="F192" s="374" t="s">
        <v>1997</v>
      </c>
      <c r="G192" s="333"/>
      <c r="H192" s="333"/>
    </row>
    <row r="193" spans="1:7" ht="18.5" x14ac:dyDescent="0.45">
      <c r="A193" s="374" t="s">
        <v>1500</v>
      </c>
      <c r="B193" s="374" t="s">
        <v>1998</v>
      </c>
      <c r="C193" s="374" t="s">
        <v>1925</v>
      </c>
      <c r="D193" s="374" t="s">
        <v>1503</v>
      </c>
      <c r="E193" s="374" t="s">
        <v>1999</v>
      </c>
      <c r="F193" s="374" t="s">
        <v>2000</v>
      </c>
      <c r="G193" s="408"/>
    </row>
    <row r="194" spans="1:7" x14ac:dyDescent="0.35">
      <c r="A194" s="374" t="s">
        <v>1500</v>
      </c>
      <c r="B194" s="374" t="s">
        <v>2001</v>
      </c>
      <c r="C194" s="374" t="s">
        <v>1925</v>
      </c>
      <c r="D194" s="374" t="s">
        <v>1503</v>
      </c>
      <c r="E194" s="374" t="s">
        <v>2002</v>
      </c>
      <c r="F194" s="374" t="s">
        <v>2003</v>
      </c>
      <c r="G194" s="333"/>
    </row>
    <row r="195" spans="1:7" x14ac:dyDescent="0.35">
      <c r="A195" s="374" t="s">
        <v>1500</v>
      </c>
      <c r="B195" s="374" t="s">
        <v>2004</v>
      </c>
      <c r="C195" s="374" t="s">
        <v>1925</v>
      </c>
      <c r="D195" s="374" t="s">
        <v>1503</v>
      </c>
      <c r="E195" s="374" t="s">
        <v>2005</v>
      </c>
      <c r="F195" s="374" t="s">
        <v>2006</v>
      </c>
      <c r="G195" s="333"/>
    </row>
    <row r="196" spans="1:7" x14ac:dyDescent="0.35">
      <c r="A196" s="374" t="s">
        <v>1500</v>
      </c>
      <c r="B196" s="374" t="s">
        <v>2007</v>
      </c>
      <c r="C196" s="374" t="s">
        <v>1925</v>
      </c>
      <c r="D196" s="374" t="s">
        <v>1503</v>
      </c>
      <c r="E196" s="374" t="s">
        <v>2008</v>
      </c>
      <c r="F196" s="374" t="s">
        <v>2009</v>
      </c>
      <c r="G196" s="333"/>
    </row>
    <row r="197" spans="1:7" x14ac:dyDescent="0.35">
      <c r="A197" s="374" t="s">
        <v>1500</v>
      </c>
      <c r="B197" s="374" t="s">
        <v>2010</v>
      </c>
      <c r="C197" s="374" t="s">
        <v>1925</v>
      </c>
      <c r="D197" s="374" t="s">
        <v>1503</v>
      </c>
      <c r="E197" s="374"/>
      <c r="F197" s="374" t="s">
        <v>2011</v>
      </c>
      <c r="G197" s="333"/>
    </row>
    <row r="198" spans="1:7" x14ac:dyDescent="0.35">
      <c r="A198" s="374" t="s">
        <v>1500</v>
      </c>
      <c r="B198" s="374" t="s">
        <v>2012</v>
      </c>
      <c r="C198" s="374" t="s">
        <v>1925</v>
      </c>
      <c r="D198" s="374" t="s">
        <v>1503</v>
      </c>
      <c r="E198" s="374" t="s">
        <v>2013</v>
      </c>
      <c r="F198" s="374" t="s">
        <v>2014</v>
      </c>
      <c r="G198" s="333"/>
    </row>
    <row r="199" spans="1:7" x14ac:dyDescent="0.35">
      <c r="A199" s="374" t="s">
        <v>1500</v>
      </c>
      <c r="B199" s="374" t="s">
        <v>2015</v>
      </c>
      <c r="C199" s="374" t="s">
        <v>1925</v>
      </c>
      <c r="D199" s="374" t="s">
        <v>1503</v>
      </c>
      <c r="E199" s="374"/>
      <c r="F199" s="374" t="s">
        <v>2016</v>
      </c>
      <c r="G199" s="333"/>
    </row>
    <row r="200" spans="1:7" x14ac:dyDescent="0.35">
      <c r="A200" s="374" t="s">
        <v>1500</v>
      </c>
      <c r="B200" s="374" t="s">
        <v>2004</v>
      </c>
      <c r="C200" s="374" t="s">
        <v>1925</v>
      </c>
      <c r="D200" s="374" t="s">
        <v>1503</v>
      </c>
      <c r="E200" s="374" t="s">
        <v>2005</v>
      </c>
      <c r="F200" s="374" t="s">
        <v>2006</v>
      </c>
      <c r="G200" s="333"/>
    </row>
    <row r="201" spans="1:7" x14ac:dyDescent="0.35">
      <c r="A201" s="374" t="s">
        <v>1500</v>
      </c>
      <c r="B201" s="374" t="s">
        <v>2017</v>
      </c>
      <c r="C201" s="374" t="s">
        <v>1925</v>
      </c>
      <c r="D201" s="374" t="s">
        <v>1503</v>
      </c>
      <c r="E201" s="374" t="s">
        <v>2008</v>
      </c>
      <c r="F201" s="374" t="s">
        <v>2009</v>
      </c>
      <c r="G201" s="333"/>
    </row>
    <row r="202" spans="1:7" x14ac:dyDescent="0.35">
      <c r="A202" s="374" t="s">
        <v>1500</v>
      </c>
      <c r="B202" s="374" t="s">
        <v>2010</v>
      </c>
      <c r="C202" s="374" t="s">
        <v>1925</v>
      </c>
      <c r="D202" s="374" t="s">
        <v>1503</v>
      </c>
      <c r="E202" s="374"/>
      <c r="F202" s="374" t="s">
        <v>2011</v>
      </c>
      <c r="G202" s="333"/>
    </row>
    <row r="203" spans="1:7" x14ac:dyDescent="0.35">
      <c r="A203" s="374" t="s">
        <v>1500</v>
      </c>
      <c r="B203" s="374" t="s">
        <v>2012</v>
      </c>
      <c r="C203" s="374" t="s">
        <v>1925</v>
      </c>
      <c r="D203" s="374" t="s">
        <v>1503</v>
      </c>
      <c r="E203" s="374" t="s">
        <v>2013</v>
      </c>
      <c r="F203" s="374" t="s">
        <v>2014</v>
      </c>
      <c r="G203" s="333"/>
    </row>
    <row r="204" spans="1:7" x14ac:dyDescent="0.35">
      <c r="A204" s="374" t="s">
        <v>1500</v>
      </c>
      <c r="B204" s="374" t="s">
        <v>2015</v>
      </c>
      <c r="C204" s="374" t="s">
        <v>1925</v>
      </c>
      <c r="D204" s="374" t="s">
        <v>1503</v>
      </c>
      <c r="E204" s="374"/>
      <c r="F204" s="374" t="s">
        <v>2016</v>
      </c>
      <c r="G204" s="333"/>
    </row>
    <row r="205" spans="1:7" x14ac:dyDescent="0.35">
      <c r="A205" s="374" t="s">
        <v>1500</v>
      </c>
      <c r="B205" s="374" t="s">
        <v>1929</v>
      </c>
      <c r="C205" s="374" t="s">
        <v>1925</v>
      </c>
      <c r="D205" s="374" t="s">
        <v>1503</v>
      </c>
      <c r="E205" s="374"/>
      <c r="F205" s="374" t="s">
        <v>1931</v>
      </c>
      <c r="G205" s="333"/>
    </row>
    <row r="206" spans="1:7" x14ac:dyDescent="0.35">
      <c r="A206" s="374" t="s">
        <v>1500</v>
      </c>
      <c r="B206" s="374" t="s">
        <v>2018</v>
      </c>
      <c r="C206" s="374" t="s">
        <v>1925</v>
      </c>
      <c r="D206" s="374" t="s">
        <v>1503</v>
      </c>
      <c r="E206" s="374"/>
      <c r="F206" s="374" t="s">
        <v>2019</v>
      </c>
      <c r="G206" s="333"/>
    </row>
  </sheetData>
  <mergeCells count="5">
    <mergeCell ref="A168:G168"/>
    <mergeCell ref="A4:G4"/>
    <mergeCell ref="A21:G21"/>
    <mergeCell ref="A92:H92"/>
    <mergeCell ref="A29:H29"/>
  </mergeCells>
  <hyperlinks>
    <hyperlink ref="F201" r:id="rId1" xr:uid="{869B8522-56A2-4214-9AC0-194D6EAE18BD}"/>
    <hyperlink ref="F205" r:id="rId2" xr:uid="{7D8BFB0E-E71B-467E-940D-825170A1BDD5}"/>
    <hyperlink ref="F206" r:id="rId3" xr:uid="{DADFBFA2-C2EA-4B48-AFC2-ACCE62CA2343}"/>
    <hyperlink ref="F24" r:id="rId4" xr:uid="{512AD251-377A-49BF-BA4C-5689CB5B01C2}"/>
    <hyperlink ref="F26" r:id="rId5" xr:uid="{9CD604CF-AB87-452F-A37D-BA714285E7F9}"/>
    <hyperlink ref="F125" r:id="rId6" display="Joseph.Adinolfi@anthem.com" xr:uid="{A9E3E8DE-7C2A-4C0F-ACB2-2B055F2BC640}"/>
    <hyperlink ref="F128" r:id="rId7" xr:uid="{02F137E4-08DF-4377-A61B-D67B2935F575}"/>
    <hyperlink ref="F126" r:id="rId8" xr:uid="{DB22FD34-EA32-47E9-B7C3-60D3E9DFDFE8}"/>
    <hyperlink ref="F42" r:id="rId9" xr:uid="{5A77E954-6E20-4DCE-87C5-B921C6C4BAB0}"/>
    <hyperlink ref="F48" r:id="rId10" xr:uid="{D4FDE99B-C9F6-47B7-9659-D2FBB343AAA6}"/>
    <hyperlink ref="F51" r:id="rId11" display="mailto:robert.abraham@anthem.com" xr:uid="{4B7ECFF4-758C-4686-9BC9-F3DFD35592BB}"/>
    <hyperlink ref="F57" r:id="rId12" xr:uid="{E9818266-E603-4B5B-8DAC-DB6871572D79}"/>
    <hyperlink ref="F63" r:id="rId13" xr:uid="{2F47F2AB-9805-4C03-ADAC-B953115653F1}"/>
    <hyperlink ref="F27" r:id="rId14" xr:uid="{00ACF07B-3DCE-4B48-809B-6C2354E05815}"/>
    <hyperlink ref="F75" r:id="rId15" xr:uid="{23819AC6-6A0F-4C54-8EA0-79AC54F17D8E}"/>
    <hyperlink ref="F76" r:id="rId16" xr:uid="{616197FC-079F-44F4-B212-BA7F985A626B}"/>
    <hyperlink ref="F58" r:id="rId17" xr:uid="{09A26186-E6A9-48F7-83B5-32AEB2CF7B4D}"/>
    <hyperlink ref="F73" r:id="rId18" xr:uid="{84A65D11-6A7C-4E77-BE72-3FA82641FCAC}"/>
    <hyperlink ref="F137" r:id="rId19" display="Satyam.Adusumilli@anthem.com" xr:uid="{E8CF4271-38CF-490E-8235-EEB47AC3E17A}"/>
    <hyperlink ref="F117" r:id="rId20" xr:uid="{3DD662D7-F886-4AEB-AA5C-FD23FDD03F1C}"/>
    <hyperlink ref="F86" r:id="rId21" xr:uid="{35325D6A-C489-4E1A-828E-197973F8388E}"/>
    <hyperlink ref="F138" r:id="rId22" xr:uid="{A98FD33F-2B89-4856-A2C4-89F27D9133DE}"/>
    <hyperlink ref="F118" r:id="rId23" display="mailto:daniel.reyes@anthem.com" xr:uid="{A9ED38DA-12E4-4728-BC28-0A03E4297FB2}"/>
    <hyperlink ref="F119" r:id="rId24" display="mailto:philip.stoltz@anthem.com" xr:uid="{591F8B2D-2BFB-4621-86A0-4A161FDCE9A8}"/>
    <hyperlink ref="F38" r:id="rId25" display="mailto:Anthem-DNS-F5-Support@kyndryl.com" xr:uid="{2F7B7BEA-655B-4316-9CAC-63A4CDCC9FFF}"/>
    <hyperlink ref="F61" r:id="rId26" display="mailto:dl-centrify-admins@anthem.com" xr:uid="{952C4EAF-714C-47BE-859C-DCBADF5ED209}"/>
    <hyperlink ref="F132" r:id="rId27" xr:uid="{9D1E07E7-DF66-40D7-89AF-F11F4B9A05E1}"/>
    <hyperlink ref="F134" r:id="rId28" display="mailto:dl-wdbs-oracle-offshore-project-dbas@anthem.com" xr:uid="{3F82669C-AE9F-4FD1-9A04-6AC35D9C4659}"/>
    <hyperlink ref="F135" r:id="rId29" display="mailto:boyd.nichols.jr@kyndryl.com" xr:uid="{1B480748-EC47-465F-8935-1952DD44D24C}"/>
    <hyperlink ref="B151" r:id="rId30" display="Nerissa.Hilton@kyndryl.com" xr:uid="{821DF88B-BD37-4B5F-A76A-671EC9B8C2B1}"/>
    <hyperlink ref="F151" r:id="rId31" xr:uid="{B613780B-B28F-4D0E-AFA9-5ACC2BED6726}"/>
    <hyperlink ref="B152" r:id="rId32" xr:uid="{A27A5A5A-8707-4EAE-86DB-40584A621DC1}"/>
    <hyperlink ref="F152" r:id="rId33" xr:uid="{67013FA9-6BD9-4971-8B1A-EEFB58D08BF2}"/>
    <hyperlink ref="B129" r:id="rId34" display="mailto:ronald.heckert@kyndryl.com" xr:uid="{629C7B4F-F276-41DC-81E0-189DECFBF640}"/>
    <hyperlink ref="F129" r:id="rId35" display="mailto:ronald.heckert@kyndryl.com" xr:uid="{5F94FC6A-D9C0-4BB1-B611-C802DCF07B91}"/>
    <hyperlink ref="F191" r:id="rId36" display="mailto:Jyothy.Ravinambudiri@kyndryl.com" xr:uid="{02079F14-3C8F-4B48-BDC5-5FAEAA4F0E28}"/>
    <hyperlink ref="F190" r:id="rId37" display="mailto:nitin.poddar@kyndryl.com" xr:uid="{2E8556A2-6BD8-47E5-83CD-12ED603A17E5}"/>
    <hyperlink ref="F192" r:id="rId38" display="mailto:Keith.Anderson@kyndryl.com" xr:uid="{CCAB34CB-FCEA-48A9-BF89-06C5EA29C772}"/>
    <hyperlink ref="F193" r:id="rId39" xr:uid="{B5C65BDD-79A0-4A9D-8034-A9E406723868}"/>
    <hyperlink ref="F194" r:id="rId40" xr:uid="{9BF7E689-6D6D-43A6-96B1-F9ED1983F8CE}"/>
    <hyperlink ref="F196" r:id="rId41" xr:uid="{AA9EC272-F6AF-490E-9ED4-E6EAA5C0AE7A}"/>
    <hyperlink ref="F171" r:id="rId42" xr:uid="{F31D2AFE-C3D2-4ADF-A20F-61F974CDDFD7}"/>
    <hyperlink ref="F78" r:id="rId43" display="mailto:Daisy.Bhavnani@anthem.com" xr:uid="{78C0010C-A0D1-446F-94EF-1F7CAAD43937}"/>
    <hyperlink ref="F79" r:id="rId44" display="mailto:Loretta.Oates@anthem.com" xr:uid="{38657701-E086-4FC2-84E4-A2942579ACF3}"/>
    <hyperlink ref="B78" r:id="rId45" display="mailto:Daisy.Bhavnani@anthem.com" xr:uid="{0BAC9A68-A305-4FF6-AB99-A584C1B7F502}"/>
    <hyperlink ref="B79" r:id="rId46" display="mailto:Loretta.Oates@anthem.com" xr:uid="{5C5833A5-52D9-49D2-A050-B82053C91A27}"/>
    <hyperlink ref="F162" r:id="rId47" xr:uid="{1F37AB81-21B1-44A9-AAC6-E6063500E0B6}"/>
  </hyperlinks>
  <pageMargins left="0.7" right="0.7" top="0.75" bottom="0.75" header="0.3" footer="0.3"/>
  <pageSetup orientation="portrait" r:id="rId48"/>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41730-8B71-4C9B-95A2-EDCC6BA49066}">
  <sheetPr codeName="Sheet26">
    <tabColor rgb="FF009900"/>
  </sheetPr>
  <dimension ref="A1:I15"/>
  <sheetViews>
    <sheetView topLeftCell="A3" zoomScale="70" zoomScaleNormal="70" workbookViewId="0">
      <selection activeCell="C9" sqref="C9"/>
    </sheetView>
  </sheetViews>
  <sheetFormatPr defaultColWidth="10.453125" defaultRowHeight="17.5" x14ac:dyDescent="0.35"/>
  <cols>
    <col min="1" max="1" width="25.453125" style="139" customWidth="1"/>
    <col min="2" max="2" width="26.81640625" style="139" customWidth="1"/>
    <col min="3" max="3" width="27.1796875" style="139" customWidth="1"/>
    <col min="4" max="4" width="2.1796875" style="94" customWidth="1"/>
    <col min="5" max="5" width="32.1796875" style="139" customWidth="1"/>
    <col min="6" max="6" width="24.1796875" style="139" customWidth="1"/>
    <col min="7" max="8" width="31.1796875" style="139" customWidth="1"/>
    <col min="9" max="9" width="28.453125" style="139" customWidth="1"/>
    <col min="10" max="16384" width="10.453125" style="94"/>
  </cols>
  <sheetData>
    <row r="1" spans="1:9" ht="17.899999999999999" customHeight="1" x14ac:dyDescent="0.35">
      <c r="A1" s="136"/>
      <c r="B1" s="1149"/>
      <c r="C1" s="1149"/>
      <c r="D1" s="1149"/>
      <c r="E1" s="1150"/>
      <c r="F1" s="1150"/>
      <c r="G1" s="1150"/>
      <c r="H1" s="1150"/>
      <c r="I1" s="1150"/>
    </row>
    <row r="2" spans="1:9" ht="32.15" customHeight="1" x14ac:dyDescent="0.35">
      <c r="A2" s="136"/>
      <c r="B2" s="137"/>
      <c r="C2" s="137"/>
      <c r="D2" s="220"/>
      <c r="E2" s="138"/>
      <c r="F2" s="138"/>
      <c r="G2" s="1151" t="s">
        <v>2020</v>
      </c>
      <c r="H2" s="1152"/>
      <c r="I2" s="1153"/>
    </row>
    <row r="3" spans="1:9" ht="38.15" customHeight="1" x14ac:dyDescent="0.35">
      <c r="A3" s="1154" t="s">
        <v>2021</v>
      </c>
      <c r="B3" s="1154" t="s">
        <v>2022</v>
      </c>
      <c r="C3" s="1154" t="s">
        <v>2023</v>
      </c>
      <c r="D3" s="409"/>
      <c r="E3" s="410">
        <v>44068</v>
      </c>
      <c r="F3" s="410">
        <v>44068</v>
      </c>
      <c r="G3" s="410">
        <v>44069</v>
      </c>
      <c r="H3" s="410">
        <v>44070</v>
      </c>
      <c r="I3" s="410">
        <v>44071</v>
      </c>
    </row>
    <row r="4" spans="1:9" ht="74.150000000000006" customHeight="1" x14ac:dyDescent="0.35">
      <c r="A4" s="1155"/>
      <c r="B4" s="1155"/>
      <c r="C4" s="1155"/>
      <c r="D4" s="409"/>
      <c r="E4" s="411" t="s">
        <v>2024</v>
      </c>
      <c r="F4" s="411" t="s">
        <v>2025</v>
      </c>
      <c r="G4" s="411" t="s">
        <v>2026</v>
      </c>
      <c r="H4" s="411" t="s">
        <v>2027</v>
      </c>
      <c r="I4" s="411" t="s">
        <v>2028</v>
      </c>
    </row>
    <row r="5" spans="1:9" ht="36" customHeight="1" x14ac:dyDescent="0.35">
      <c r="A5" s="412" t="s">
        <v>2029</v>
      </c>
      <c r="B5" s="412" t="s">
        <v>2030</v>
      </c>
      <c r="C5" s="412"/>
      <c r="D5" s="412"/>
      <c r="E5" s="413" t="s">
        <v>2031</v>
      </c>
      <c r="F5" s="413" t="s">
        <v>2032</v>
      </c>
      <c r="G5" s="414" t="s">
        <v>2033</v>
      </c>
      <c r="H5" s="413" t="s">
        <v>2034</v>
      </c>
      <c r="I5" s="413" t="s">
        <v>2034</v>
      </c>
    </row>
    <row r="6" spans="1:9" ht="56.15" customHeight="1" x14ac:dyDescent="0.35">
      <c r="A6" s="1147" t="s">
        <v>2035</v>
      </c>
      <c r="B6" s="415" t="s">
        <v>2036</v>
      </c>
      <c r="C6" s="1147" t="s">
        <v>2037</v>
      </c>
      <c r="D6" s="416"/>
      <c r="E6" s="417" t="s">
        <v>1404</v>
      </c>
      <c r="F6" s="417" t="s">
        <v>2038</v>
      </c>
      <c r="G6" s="417"/>
      <c r="H6" s="417"/>
      <c r="I6" s="417"/>
    </row>
    <row r="7" spans="1:9" ht="47.15" customHeight="1" x14ac:dyDescent="0.35">
      <c r="A7" s="1156"/>
      <c r="B7" s="415" t="s">
        <v>2039</v>
      </c>
      <c r="C7" s="1148"/>
      <c r="D7" s="416"/>
      <c r="E7" s="417"/>
      <c r="F7" s="417"/>
      <c r="G7" s="417"/>
      <c r="H7" s="417"/>
      <c r="I7" s="417"/>
    </row>
    <row r="8" spans="1:9" ht="72" x14ac:dyDescent="0.35">
      <c r="A8" s="1148"/>
      <c r="B8" s="415" t="s">
        <v>2040</v>
      </c>
      <c r="C8" s="415" t="s">
        <v>2041</v>
      </c>
      <c r="D8" s="416"/>
      <c r="E8" s="417"/>
      <c r="F8" s="417"/>
      <c r="G8" s="417"/>
      <c r="H8" s="417"/>
      <c r="I8" s="417"/>
    </row>
    <row r="9" spans="1:9" ht="65.150000000000006" customHeight="1" x14ac:dyDescent="0.35">
      <c r="A9" s="1145" t="s">
        <v>2042</v>
      </c>
      <c r="B9" s="418" t="s">
        <v>1504</v>
      </c>
      <c r="C9" s="418" t="s">
        <v>2043</v>
      </c>
      <c r="D9" s="416"/>
      <c r="E9" s="417"/>
      <c r="F9" s="417"/>
      <c r="G9" s="417"/>
      <c r="H9" s="417"/>
      <c r="I9" s="417"/>
    </row>
    <row r="10" spans="1:9" ht="56.15" customHeight="1" x14ac:dyDescent="0.35">
      <c r="A10" s="1146"/>
      <c r="B10" s="418" t="s">
        <v>2044</v>
      </c>
      <c r="C10" s="418" t="s">
        <v>1945</v>
      </c>
      <c r="D10" s="416"/>
      <c r="E10" s="417"/>
      <c r="F10" s="417"/>
      <c r="G10" s="417"/>
      <c r="H10" s="417"/>
      <c r="I10" s="417"/>
    </row>
    <row r="11" spans="1:9" ht="61.4" customHeight="1" x14ac:dyDescent="0.35">
      <c r="A11" s="984" t="s">
        <v>2045</v>
      </c>
      <c r="B11" s="415" t="s">
        <v>1505</v>
      </c>
      <c r="C11" s="415" t="s">
        <v>2046</v>
      </c>
      <c r="D11" s="416"/>
      <c r="E11" s="417"/>
      <c r="F11" s="417"/>
      <c r="G11" s="417"/>
      <c r="H11" s="417"/>
      <c r="I11" s="417"/>
    </row>
    <row r="12" spans="1:9" ht="61.4" customHeight="1" x14ac:dyDescent="0.35">
      <c r="A12" s="984" t="s">
        <v>2047</v>
      </c>
      <c r="B12" s="415" t="s">
        <v>2048</v>
      </c>
      <c r="C12" s="415" t="s">
        <v>2049</v>
      </c>
      <c r="D12" s="416"/>
      <c r="E12" s="417"/>
      <c r="F12" s="417"/>
      <c r="G12" s="417"/>
      <c r="H12" s="417"/>
      <c r="I12" s="417"/>
    </row>
    <row r="13" spans="1:9" ht="68.900000000000006" customHeight="1" x14ac:dyDescent="0.35">
      <c r="A13" s="985" t="s">
        <v>2050</v>
      </c>
      <c r="B13" s="418" t="s">
        <v>2051</v>
      </c>
      <c r="C13" s="418" t="s">
        <v>2052</v>
      </c>
      <c r="D13" s="416"/>
      <c r="E13" s="417"/>
      <c r="F13" s="417"/>
      <c r="G13" s="417"/>
      <c r="H13" s="417"/>
      <c r="I13" s="417"/>
    </row>
    <row r="14" spans="1:9" ht="68.900000000000006" customHeight="1" x14ac:dyDescent="0.35">
      <c r="A14" s="1147" t="s">
        <v>2053</v>
      </c>
      <c r="B14" s="415" t="s">
        <v>1891</v>
      </c>
      <c r="C14" s="415" t="s">
        <v>2054</v>
      </c>
      <c r="D14" s="416"/>
      <c r="E14" s="417"/>
      <c r="F14" s="417"/>
      <c r="G14" s="417"/>
      <c r="H14" s="417"/>
      <c r="I14" s="417"/>
    </row>
    <row r="15" spans="1:9" ht="68.900000000000006" customHeight="1" x14ac:dyDescent="0.35">
      <c r="A15" s="1148"/>
      <c r="B15" s="415" t="s">
        <v>411</v>
      </c>
      <c r="C15" s="415" t="s">
        <v>2055</v>
      </c>
      <c r="D15" s="416"/>
      <c r="E15" s="417"/>
      <c r="F15" s="417"/>
      <c r="G15" s="417"/>
      <c r="H15" s="417"/>
      <c r="I15" s="417"/>
    </row>
  </sheetData>
  <mergeCells count="9">
    <mergeCell ref="A9:A10"/>
    <mergeCell ref="A14:A15"/>
    <mergeCell ref="B1:I1"/>
    <mergeCell ref="G2:I2"/>
    <mergeCell ref="A3:A4"/>
    <mergeCell ref="B3:B4"/>
    <mergeCell ref="C3:C4"/>
    <mergeCell ref="A6:A8"/>
    <mergeCell ref="C6:C7"/>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009900"/>
  </sheetPr>
  <dimension ref="A1:C17"/>
  <sheetViews>
    <sheetView zoomScale="80" zoomScaleNormal="80" workbookViewId="0">
      <selection activeCell="B13" sqref="B13"/>
    </sheetView>
  </sheetViews>
  <sheetFormatPr defaultColWidth="9.1796875" defaultRowHeight="14.5" x14ac:dyDescent="0.35"/>
  <cols>
    <col min="1" max="1" width="4.81640625" style="93" customWidth="1"/>
    <col min="2" max="2" width="72.453125" style="93" customWidth="1"/>
    <col min="3" max="3" width="71.1796875" style="93" customWidth="1"/>
    <col min="4" max="4" width="53.81640625" style="111" customWidth="1"/>
    <col min="5" max="16384" width="9.1796875" style="111"/>
  </cols>
  <sheetData>
    <row r="1" spans="2:3" ht="21" customHeight="1" x14ac:dyDescent="0.35"/>
    <row r="2" spans="2:3" ht="33.65" customHeight="1" x14ac:dyDescent="0.35">
      <c r="B2" s="986" t="s">
        <v>2056</v>
      </c>
      <c r="C2" s="118"/>
    </row>
    <row r="3" spans="2:3" ht="33.65" customHeight="1" x14ac:dyDescent="0.35">
      <c r="B3" s="419" t="s">
        <v>2057</v>
      </c>
      <c r="C3" s="118"/>
    </row>
    <row r="4" spans="2:3" ht="25.5" customHeight="1" x14ac:dyDescent="0.35">
      <c r="B4" s="130" t="s">
        <v>2058</v>
      </c>
      <c r="C4" s="118"/>
    </row>
    <row r="5" spans="2:3" ht="23.15" customHeight="1" x14ac:dyDescent="0.35">
      <c r="B5" s="130" t="s">
        <v>2059</v>
      </c>
      <c r="C5" s="118"/>
    </row>
    <row r="6" spans="2:3" ht="24.65" customHeight="1" x14ac:dyDescent="0.35">
      <c r="B6" s="131" t="s">
        <v>2060</v>
      </c>
      <c r="C6" s="118"/>
    </row>
    <row r="7" spans="2:3" x14ac:dyDescent="0.35">
      <c r="B7" s="129"/>
      <c r="C7" s="118"/>
    </row>
    <row r="8" spans="2:3" x14ac:dyDescent="0.35">
      <c r="B8" s="129"/>
      <c r="C8" s="118"/>
    </row>
    <row r="9" spans="2:3" ht="55.4" customHeight="1" x14ac:dyDescent="0.35">
      <c r="B9" s="420" t="s">
        <v>2061</v>
      </c>
      <c r="C9" s="420" t="s">
        <v>2062</v>
      </c>
    </row>
    <row r="10" spans="2:3" ht="53.15" customHeight="1" x14ac:dyDescent="0.35">
      <c r="B10" s="421" t="s">
        <v>2063</v>
      </c>
      <c r="C10" s="421" t="s">
        <v>2064</v>
      </c>
    </row>
    <row r="11" spans="2:3" ht="8.15" customHeight="1" x14ac:dyDescent="0.35">
      <c r="B11" s="422"/>
      <c r="C11" s="422"/>
    </row>
    <row r="12" spans="2:3" ht="108.65" customHeight="1" x14ac:dyDescent="0.35">
      <c r="B12" s="421" t="s">
        <v>2065</v>
      </c>
      <c r="C12" s="421" t="s">
        <v>2066</v>
      </c>
    </row>
    <row r="13" spans="2:3" ht="93.65" customHeight="1" x14ac:dyDescent="0.35">
      <c r="B13" s="423" t="s">
        <v>2067</v>
      </c>
      <c r="C13" s="423" t="s">
        <v>2067</v>
      </c>
    </row>
    <row r="14" spans="2:3" ht="31.4" customHeight="1" x14ac:dyDescent="0.35">
      <c r="B14" s="987"/>
      <c r="C14" s="988"/>
    </row>
    <row r="15" spans="2:3" ht="35.9" customHeight="1" x14ac:dyDescent="0.35">
      <c r="B15" s="989" t="s">
        <v>2068</v>
      </c>
      <c r="C15" s="990"/>
    </row>
    <row r="16" spans="2:3" ht="108.65" customHeight="1" x14ac:dyDescent="0.35">
      <c r="B16" s="1159" t="s">
        <v>2069</v>
      </c>
      <c r="C16" s="1160"/>
    </row>
    <row r="17" spans="2:3" ht="144" customHeight="1" x14ac:dyDescent="0.35">
      <c r="B17" s="1157" t="s">
        <v>2070</v>
      </c>
      <c r="C17" s="1158"/>
    </row>
  </sheetData>
  <mergeCells count="2">
    <mergeCell ref="B17:C17"/>
    <mergeCell ref="B16:C16"/>
  </mergeCells>
  <pageMargins left="0.7" right="0.7" top="0.75" bottom="0.75" header="0.51180555555555496" footer="0.51180555555555496"/>
  <pageSetup paperSize="9" firstPageNumber="0"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E74EA-006B-437C-97E3-77104FA11617}">
  <sheetPr codeName="Sheet13">
    <tabColor theme="0"/>
  </sheetPr>
  <dimension ref="A1:J7"/>
  <sheetViews>
    <sheetView zoomScale="70" zoomScaleNormal="70" workbookViewId="0">
      <selection activeCell="E9" sqref="E9"/>
    </sheetView>
  </sheetViews>
  <sheetFormatPr defaultColWidth="8.81640625" defaultRowHeight="14.5" x14ac:dyDescent="0.35"/>
  <cols>
    <col min="1" max="1" width="21.453125" customWidth="1"/>
    <col min="3" max="3" width="18.1796875" customWidth="1"/>
    <col min="4" max="4" width="23.81640625" customWidth="1"/>
    <col min="5" max="5" width="16.453125" customWidth="1"/>
    <col min="6" max="6" width="12.453125" customWidth="1"/>
    <col min="7" max="7" width="13.1796875" customWidth="1"/>
    <col min="8" max="8" width="12" customWidth="1"/>
    <col min="9" max="9" width="12.81640625" customWidth="1"/>
    <col min="10" max="10" width="24" customWidth="1"/>
  </cols>
  <sheetData>
    <row r="1" spans="1:10" ht="20" x14ac:dyDescent="0.4">
      <c r="A1" s="213" t="s">
        <v>2071</v>
      </c>
    </row>
    <row r="3" spans="1:10" ht="35.15" customHeight="1" x14ac:dyDescent="0.35">
      <c r="A3" s="424" t="s">
        <v>2072</v>
      </c>
      <c r="B3" s="424" t="s">
        <v>2073</v>
      </c>
      <c r="C3" s="424" t="s">
        <v>2074</v>
      </c>
      <c r="D3" s="425" t="s">
        <v>2075</v>
      </c>
      <c r="E3" s="425" t="s">
        <v>2076</v>
      </c>
      <c r="F3" s="425" t="s">
        <v>1306</v>
      </c>
      <c r="G3" s="426" t="s">
        <v>210</v>
      </c>
      <c r="H3" s="426" t="s">
        <v>2077</v>
      </c>
      <c r="I3" s="426" t="s">
        <v>2078</v>
      </c>
      <c r="J3" s="425" t="s">
        <v>2079</v>
      </c>
    </row>
    <row r="4" spans="1:10" ht="68.150000000000006" customHeight="1" x14ac:dyDescent="0.35">
      <c r="A4" s="427" t="s">
        <v>1308</v>
      </c>
      <c r="B4" s="428">
        <v>1</v>
      </c>
      <c r="C4" s="429"/>
      <c r="D4" s="430"/>
      <c r="E4" s="430"/>
      <c r="F4" s="430"/>
      <c r="G4" s="430"/>
      <c r="H4" s="430"/>
      <c r="I4" s="430"/>
      <c r="J4" s="429"/>
    </row>
    <row r="5" spans="1:10" ht="87" customHeight="1" x14ac:dyDescent="0.35">
      <c r="A5" s="427" t="s">
        <v>2080</v>
      </c>
      <c r="B5" s="428">
        <v>2</v>
      </c>
      <c r="C5" s="429"/>
      <c r="D5" s="430"/>
      <c r="E5" s="430"/>
      <c r="F5" s="430"/>
      <c r="G5" s="430"/>
      <c r="H5" s="430"/>
      <c r="I5" s="430"/>
      <c r="J5" s="429"/>
    </row>
    <row r="6" spans="1:10" ht="93" customHeight="1" x14ac:dyDescent="0.35">
      <c r="A6" s="427" t="s">
        <v>2081</v>
      </c>
      <c r="B6" s="428">
        <v>3</v>
      </c>
      <c r="C6" s="298"/>
      <c r="D6" s="334"/>
      <c r="E6" s="334"/>
      <c r="F6" s="334"/>
      <c r="G6" s="334"/>
      <c r="H6" s="334"/>
      <c r="I6" s="334"/>
      <c r="J6" s="334"/>
    </row>
    <row r="7" spans="1:10" x14ac:dyDescent="0.35">
      <c r="A7" s="5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EF0E6-189B-45C9-89E4-9C93B7F3F22D}">
  <sheetPr codeName="Sheet27"/>
  <dimension ref="A1:A2"/>
  <sheetViews>
    <sheetView workbookViewId="0">
      <selection activeCell="A14" sqref="A14"/>
    </sheetView>
  </sheetViews>
  <sheetFormatPr defaultRowHeight="14.5" x14ac:dyDescent="0.35"/>
  <cols>
    <col min="1" max="1" width="83.81640625" bestFit="1" customWidth="1"/>
    <col min="2" max="2" width="21.1796875" bestFit="1" customWidth="1"/>
    <col min="3" max="3" width="56.81640625" bestFit="1" customWidth="1"/>
    <col min="4" max="4" width="78.1796875" customWidth="1"/>
    <col min="5" max="5" width="38.1796875" bestFit="1" customWidth="1"/>
    <col min="6" max="6" width="6.81640625" bestFit="1" customWidth="1"/>
    <col min="7" max="7" width="9.1796875" bestFit="1" customWidth="1"/>
  </cols>
  <sheetData>
    <row r="1" spans="1:1" x14ac:dyDescent="0.35">
      <c r="A1" t="s">
        <v>2082</v>
      </c>
    </row>
    <row r="2" spans="1:1" x14ac:dyDescent="0.35">
      <c r="A2" s="174" t="s">
        <v>2083</v>
      </c>
    </row>
  </sheetData>
  <hyperlinks>
    <hyperlink ref="A2" r:id="rId1" xr:uid="{7DC856EB-E9BB-420D-9A6B-3B53C5EA0B4A}"/>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D97AC-6D76-44DE-A4FD-70B40797E2A0}">
  <sheetPr codeName="Sheet15"/>
  <dimension ref="A12:I15"/>
  <sheetViews>
    <sheetView zoomScale="80" zoomScaleNormal="80" workbookViewId="0"/>
  </sheetViews>
  <sheetFormatPr defaultColWidth="8.81640625" defaultRowHeight="14.5" x14ac:dyDescent="0.35"/>
  <cols>
    <col min="1" max="1" width="20.1796875" customWidth="1"/>
    <col min="2" max="2" width="28.453125" bestFit="1" customWidth="1"/>
    <col min="3" max="3" width="20.81640625" bestFit="1" customWidth="1"/>
    <col min="4" max="4" width="27.453125" bestFit="1" customWidth="1"/>
    <col min="5" max="5" width="33.1796875" customWidth="1"/>
    <col min="6" max="6" width="40" bestFit="1" customWidth="1"/>
    <col min="7" max="7" width="24.1796875" bestFit="1" customWidth="1"/>
    <col min="8" max="8" width="32.453125" bestFit="1" customWidth="1"/>
    <col min="9" max="9" width="25.81640625" bestFit="1" customWidth="1"/>
  </cols>
  <sheetData>
    <row r="12" spans="1:9" ht="29" x14ac:dyDescent="0.35">
      <c r="A12" s="117" t="s">
        <v>2084</v>
      </c>
      <c r="E12" s="135" t="s">
        <v>1336</v>
      </c>
    </row>
    <row r="13" spans="1:9" ht="21" x14ac:dyDescent="0.5">
      <c r="B13" s="134"/>
      <c r="C13" s="134"/>
      <c r="D13" s="134"/>
      <c r="E13" s="134" t="s">
        <v>2085</v>
      </c>
      <c r="F13" s="134"/>
      <c r="G13" s="134"/>
      <c r="H13" s="134"/>
    </row>
    <row r="14" spans="1:9" ht="32.15" customHeight="1" x14ac:dyDescent="0.5">
      <c r="B14" s="134" t="s">
        <v>1185</v>
      </c>
      <c r="C14" s="134" t="s">
        <v>2086</v>
      </c>
      <c r="D14" s="134" t="s">
        <v>2087</v>
      </c>
      <c r="E14" s="134" t="s">
        <v>2088</v>
      </c>
      <c r="F14" s="134" t="s">
        <v>1234</v>
      </c>
      <c r="G14" s="134" t="s">
        <v>1272</v>
      </c>
      <c r="H14" s="134" t="s">
        <v>1075</v>
      </c>
      <c r="I14" s="134" t="s">
        <v>2089</v>
      </c>
    </row>
    <row r="15" spans="1:9" ht="29" x14ac:dyDescent="0.35">
      <c r="A15" s="117" t="s">
        <v>2084</v>
      </c>
      <c r="B15" s="135" t="s">
        <v>1336</v>
      </c>
      <c r="C15" s="135" t="s">
        <v>1336</v>
      </c>
      <c r="D15" s="135" t="s">
        <v>2090</v>
      </c>
      <c r="E15" s="135" t="s">
        <v>1505</v>
      </c>
      <c r="F15" s="135" t="s">
        <v>2091</v>
      </c>
      <c r="G15" s="135" t="s">
        <v>1336</v>
      </c>
      <c r="H15" s="135" t="s">
        <v>1336</v>
      </c>
      <c r="I15" s="135" t="s">
        <v>1336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AMK1007"/>
  <sheetViews>
    <sheetView topLeftCell="B1" zoomScale="74" zoomScaleNormal="74" workbookViewId="0">
      <pane ySplit="5" topLeftCell="A6" activePane="bottomLeft" state="frozen"/>
      <selection activeCell="B1" sqref="B1"/>
      <selection pane="bottomLeft" activeCell="D11" sqref="D11"/>
    </sheetView>
  </sheetViews>
  <sheetFormatPr defaultColWidth="8.81640625" defaultRowHeight="14.5" x14ac:dyDescent="0.35"/>
  <cols>
    <col min="1" max="1" width="31.453125" style="1" customWidth="1"/>
    <col min="2" max="2" width="35.453125" style="1" customWidth="1"/>
    <col min="3" max="3" width="13.453125" style="1" customWidth="1"/>
    <col min="4" max="5" width="24.453125" style="1" customWidth="1"/>
    <col min="6" max="6" width="29.453125" style="1" customWidth="1"/>
    <col min="7" max="7" width="34.453125" style="53" customWidth="1"/>
    <col min="8" max="9" width="5.453125" style="1" customWidth="1"/>
    <col min="10" max="10" width="6.453125" style="1" customWidth="1"/>
    <col min="11" max="11" width="5.453125" style="1" customWidth="1"/>
    <col min="12" max="12" width="6.453125" style="1" customWidth="1"/>
    <col min="13" max="13" width="7.453125" style="1" customWidth="1"/>
    <col min="14" max="14" width="3.453125" style="1" customWidth="1"/>
    <col min="15" max="26" width="9" style="1" customWidth="1"/>
    <col min="27" max="1025" width="13.453125" style="1" customWidth="1"/>
  </cols>
  <sheetData>
    <row r="1" spans="1:26" ht="1.5" customHeight="1" x14ac:dyDescent="0.35">
      <c r="A1" s="431"/>
      <c r="B1" s="432"/>
      <c r="C1" s="433"/>
      <c r="D1" s="434"/>
      <c r="E1" s="434"/>
      <c r="F1" s="991"/>
      <c r="G1" s="435"/>
      <c r="H1" s="992"/>
      <c r="I1" s="432"/>
      <c r="J1" s="432"/>
      <c r="K1" s="433"/>
      <c r="L1" s="431"/>
      <c r="M1" s="431"/>
      <c r="N1" s="431"/>
      <c r="O1" s="431"/>
      <c r="P1" s="431"/>
      <c r="Q1" s="431"/>
      <c r="R1" s="431"/>
      <c r="S1" s="431"/>
      <c r="T1" s="431"/>
      <c r="U1" s="431"/>
      <c r="V1" s="431"/>
      <c r="W1" s="431"/>
      <c r="X1" s="431"/>
      <c r="Y1" s="431"/>
      <c r="Z1" s="431"/>
    </row>
    <row r="2" spans="1:26" ht="12.75" hidden="1" customHeight="1" x14ac:dyDescent="0.35">
      <c r="A2" s="431"/>
      <c r="B2" s="432"/>
      <c r="C2" s="433"/>
      <c r="D2" s="434"/>
      <c r="E2" s="434"/>
      <c r="F2" s="991"/>
      <c r="G2" s="435"/>
      <c r="H2" s="992"/>
      <c r="I2" s="432"/>
      <c r="J2" s="432"/>
      <c r="K2" s="433"/>
      <c r="L2" s="431"/>
      <c r="M2" s="431"/>
      <c r="N2" s="431"/>
      <c r="O2" s="431"/>
      <c r="P2" s="431"/>
      <c r="Q2" s="431"/>
      <c r="R2" s="431"/>
      <c r="S2" s="431"/>
      <c r="T2" s="431"/>
      <c r="U2" s="431"/>
      <c r="V2" s="431"/>
      <c r="W2" s="431"/>
      <c r="X2" s="431"/>
      <c r="Y2" s="431"/>
      <c r="Z2" s="431"/>
    </row>
    <row r="3" spans="1:26" s="54" customFormat="1" ht="18.75" customHeight="1" x14ac:dyDescent="0.4">
      <c r="A3" s="436" t="s">
        <v>2092</v>
      </c>
      <c r="B3" s="437"/>
      <c r="C3" s="437"/>
      <c r="D3" s="438"/>
      <c r="E3" s="438"/>
      <c r="F3" s="993" t="s">
        <v>2093</v>
      </c>
      <c r="G3" s="1161"/>
      <c r="H3" s="1161"/>
      <c r="I3" s="1161"/>
      <c r="J3" s="1161"/>
      <c r="K3" s="439"/>
      <c r="L3" s="440"/>
      <c r="M3" s="440"/>
      <c r="N3" s="440"/>
      <c r="O3" s="440"/>
      <c r="P3" s="440"/>
      <c r="Q3" s="440"/>
      <c r="R3" s="440"/>
      <c r="S3" s="440"/>
      <c r="T3" s="440"/>
      <c r="U3" s="440"/>
      <c r="V3" s="440"/>
      <c r="W3" s="440"/>
      <c r="X3" s="440"/>
      <c r="Y3" s="440"/>
      <c r="Z3" s="440"/>
    </row>
    <row r="4" spans="1:26" ht="12.75" customHeight="1" x14ac:dyDescent="0.35">
      <c r="A4" s="431"/>
      <c r="B4" s="432"/>
      <c r="C4" s="433"/>
      <c r="D4" s="434"/>
      <c r="E4" s="434"/>
      <c r="F4" s="991"/>
      <c r="G4" s="435"/>
      <c r="H4" s="992"/>
      <c r="I4" s="432"/>
      <c r="J4" s="432"/>
      <c r="K4" s="433"/>
      <c r="L4" s="431"/>
      <c r="M4" s="431"/>
      <c r="N4" s="431"/>
      <c r="O4" s="431"/>
      <c r="P4" s="431"/>
      <c r="Q4" s="431"/>
      <c r="R4" s="431"/>
      <c r="S4" s="431"/>
      <c r="T4" s="431"/>
      <c r="U4" s="431"/>
      <c r="V4" s="431"/>
      <c r="W4" s="431"/>
      <c r="X4" s="431"/>
      <c r="Y4" s="431"/>
      <c r="Z4" s="431"/>
    </row>
    <row r="5" spans="1:26" ht="64.5" customHeight="1" x14ac:dyDescent="0.35">
      <c r="A5" s="441" t="s">
        <v>1493</v>
      </c>
      <c r="B5" s="441" t="s">
        <v>1495</v>
      </c>
      <c r="C5" s="442" t="s">
        <v>2094</v>
      </c>
      <c r="D5" s="443" t="s">
        <v>2095</v>
      </c>
      <c r="E5" s="443" t="s">
        <v>2096</v>
      </c>
      <c r="F5" s="994" t="s">
        <v>2097</v>
      </c>
      <c r="G5" s="441" t="s">
        <v>2098</v>
      </c>
      <c r="H5" s="995" t="s">
        <v>2099</v>
      </c>
      <c r="I5" s="442" t="s">
        <v>2100</v>
      </c>
      <c r="J5" s="442" t="s">
        <v>2101</v>
      </c>
      <c r="K5" s="442" t="s">
        <v>2102</v>
      </c>
      <c r="L5" s="444"/>
      <c r="M5" s="444"/>
      <c r="N5" s="442" t="s">
        <v>2103</v>
      </c>
      <c r="O5" s="431"/>
      <c r="P5" s="431"/>
      <c r="Q5" s="431"/>
      <c r="R5" s="431"/>
      <c r="S5" s="431"/>
      <c r="T5" s="431"/>
      <c r="U5" s="431"/>
      <c r="V5" s="431"/>
      <c r="W5" s="431"/>
      <c r="X5" s="431"/>
      <c r="Y5" s="431"/>
      <c r="Z5" s="431"/>
    </row>
    <row r="6" spans="1:26" ht="12.75" customHeight="1" x14ac:dyDescent="0.35">
      <c r="A6" s="445"/>
      <c r="B6" s="446" t="s">
        <v>2104</v>
      </c>
      <c r="C6" s="447"/>
      <c r="D6" s="448"/>
      <c r="E6" s="448"/>
      <c r="F6" s="996"/>
      <c r="G6" s="449"/>
      <c r="H6" s="997"/>
      <c r="I6" s="447"/>
      <c r="J6" s="447"/>
      <c r="K6" s="450"/>
      <c r="L6" s="447"/>
      <c r="M6" s="447"/>
      <c r="N6" s="445"/>
      <c r="O6" s="431"/>
      <c r="P6" s="431"/>
      <c r="Q6" s="431"/>
      <c r="R6" s="431"/>
      <c r="S6" s="431"/>
      <c r="T6" s="431"/>
      <c r="U6" s="431"/>
      <c r="V6" s="431"/>
      <c r="W6" s="431"/>
      <c r="X6" s="431"/>
      <c r="Y6" s="431"/>
      <c r="Z6" s="431"/>
    </row>
    <row r="7" spans="1:26" ht="12.75" customHeight="1" x14ac:dyDescent="0.35">
      <c r="A7" s="445"/>
      <c r="B7" s="446" t="s">
        <v>2105</v>
      </c>
      <c r="C7" s="447"/>
      <c r="D7" s="448"/>
      <c r="E7" s="448"/>
      <c r="F7" s="996"/>
      <c r="G7" s="449"/>
      <c r="H7" s="997"/>
      <c r="I7" s="447"/>
      <c r="J7" s="447"/>
      <c r="K7" s="450"/>
      <c r="L7" s="447"/>
      <c r="M7" s="447"/>
      <c r="N7" s="445"/>
      <c r="O7" s="431"/>
      <c r="P7" s="431"/>
      <c r="Q7" s="431"/>
      <c r="R7" s="431"/>
      <c r="S7" s="431"/>
      <c r="T7" s="431"/>
      <c r="U7" s="431"/>
      <c r="V7" s="431"/>
      <c r="W7" s="431"/>
      <c r="X7" s="431"/>
      <c r="Y7" s="431"/>
      <c r="Z7" s="431"/>
    </row>
    <row r="8" spans="1:26" ht="12.75" customHeight="1" x14ac:dyDescent="0.35">
      <c r="A8" s="445"/>
      <c r="B8" s="446" t="s">
        <v>2106</v>
      </c>
      <c r="C8" s="447"/>
      <c r="D8" s="448"/>
      <c r="E8" s="448"/>
      <c r="F8" s="996"/>
      <c r="G8" s="451"/>
      <c r="H8" s="997"/>
      <c r="I8" s="447"/>
      <c r="J8" s="447"/>
      <c r="K8" s="450"/>
      <c r="L8" s="447"/>
      <c r="M8" s="447"/>
      <c r="N8" s="445"/>
      <c r="O8" s="431"/>
      <c r="P8" s="431"/>
      <c r="Q8" s="431"/>
      <c r="R8" s="431"/>
      <c r="S8" s="431"/>
      <c r="T8" s="431"/>
      <c r="U8" s="431"/>
      <c r="V8" s="431"/>
      <c r="W8" s="431"/>
      <c r="X8" s="431"/>
      <c r="Y8" s="431"/>
      <c r="Z8" s="431"/>
    </row>
    <row r="9" spans="1:26" ht="12.75" customHeight="1" x14ac:dyDescent="0.35">
      <c r="A9" s="445"/>
      <c r="B9" s="446" t="s">
        <v>2107</v>
      </c>
      <c r="C9" s="447"/>
      <c r="D9" s="448"/>
      <c r="E9" s="448"/>
      <c r="F9" s="996"/>
      <c r="G9" s="451"/>
      <c r="H9" s="997"/>
      <c r="I9" s="447"/>
      <c r="J9" s="447"/>
      <c r="K9" s="450"/>
      <c r="L9" s="447"/>
      <c r="M9" s="447"/>
      <c r="N9" s="445"/>
      <c r="O9" s="431"/>
      <c r="P9" s="431"/>
      <c r="Q9" s="431"/>
      <c r="R9" s="431"/>
      <c r="S9" s="431"/>
      <c r="T9" s="431"/>
      <c r="U9" s="431"/>
      <c r="V9" s="431"/>
      <c r="W9" s="431"/>
      <c r="X9" s="431"/>
      <c r="Y9" s="431"/>
      <c r="Z9" s="431"/>
    </row>
    <row r="10" spans="1:26" ht="12.75" customHeight="1" x14ac:dyDescent="0.35">
      <c r="A10" s="445"/>
      <c r="B10" s="446" t="s">
        <v>2108</v>
      </c>
      <c r="C10" s="447"/>
      <c r="D10" s="448"/>
      <c r="E10" s="448"/>
      <c r="F10" s="996"/>
      <c r="G10" s="449"/>
      <c r="H10" s="997"/>
      <c r="I10" s="447"/>
      <c r="J10" s="447"/>
      <c r="K10" s="450"/>
      <c r="L10" s="447"/>
      <c r="M10" s="447"/>
      <c r="N10" s="445"/>
      <c r="O10" s="431"/>
      <c r="P10" s="431"/>
      <c r="Q10" s="431"/>
      <c r="R10" s="431"/>
      <c r="S10" s="431"/>
      <c r="T10" s="431"/>
      <c r="U10" s="431"/>
      <c r="V10" s="431"/>
      <c r="W10" s="431"/>
      <c r="X10" s="431"/>
      <c r="Y10" s="431"/>
      <c r="Z10" s="431"/>
    </row>
    <row r="11" spans="1:26" ht="12.75" customHeight="1" x14ac:dyDescent="0.35">
      <c r="A11" s="445"/>
      <c r="B11" s="446" t="s">
        <v>2109</v>
      </c>
      <c r="C11" s="447"/>
      <c r="D11" s="448"/>
      <c r="E11" s="448"/>
      <c r="F11" s="996"/>
      <c r="G11" s="449"/>
      <c r="H11" s="997"/>
      <c r="I11" s="447"/>
      <c r="J11" s="447"/>
      <c r="K11" s="450"/>
      <c r="L11" s="447"/>
      <c r="M11" s="447"/>
      <c r="N11" s="445"/>
      <c r="O11" s="431"/>
      <c r="P11" s="431"/>
      <c r="Q11" s="431"/>
      <c r="R11" s="431"/>
      <c r="S11" s="431"/>
      <c r="T11" s="431"/>
      <c r="U11" s="431"/>
      <c r="V11" s="431"/>
      <c r="W11" s="431"/>
      <c r="X11" s="431"/>
      <c r="Y11" s="431"/>
      <c r="Z11" s="431"/>
    </row>
    <row r="12" spans="1:26" ht="12.75" customHeight="1" x14ac:dyDescent="0.35">
      <c r="A12" s="445"/>
      <c r="B12" s="445"/>
      <c r="C12" s="447"/>
      <c r="D12" s="448"/>
      <c r="E12" s="448"/>
      <c r="F12" s="996"/>
      <c r="G12" s="451"/>
      <c r="H12" s="997"/>
      <c r="I12" s="447"/>
      <c r="J12" s="447"/>
      <c r="K12" s="450"/>
      <c r="L12" s="447"/>
      <c r="M12" s="447"/>
      <c r="N12" s="445"/>
      <c r="O12" s="431"/>
      <c r="P12" s="431"/>
      <c r="Q12" s="431"/>
      <c r="R12" s="431"/>
      <c r="S12" s="431"/>
      <c r="T12" s="431"/>
      <c r="U12" s="431"/>
      <c r="V12" s="431"/>
      <c r="W12" s="431"/>
      <c r="X12" s="431"/>
      <c r="Y12" s="431"/>
      <c r="Z12" s="431"/>
    </row>
    <row r="13" spans="1:26" ht="12.75" customHeight="1" x14ac:dyDescent="0.35">
      <c r="A13" s="445"/>
      <c r="B13" s="445"/>
      <c r="C13" s="447"/>
      <c r="D13" s="448"/>
      <c r="E13" s="448"/>
      <c r="F13" s="996"/>
      <c r="G13" s="451"/>
      <c r="H13" s="997"/>
      <c r="I13" s="447"/>
      <c r="J13" s="447"/>
      <c r="K13" s="450"/>
      <c r="L13" s="447"/>
      <c r="M13" s="447"/>
      <c r="N13" s="445"/>
      <c r="O13" s="431"/>
      <c r="P13" s="431"/>
      <c r="Q13" s="431"/>
      <c r="R13" s="431"/>
      <c r="S13" s="431"/>
      <c r="T13" s="431"/>
      <c r="U13" s="431"/>
      <c r="V13" s="431"/>
      <c r="W13" s="431"/>
      <c r="X13" s="431"/>
      <c r="Y13" s="431"/>
      <c r="Z13" s="431"/>
    </row>
    <row r="14" spans="1:26" ht="12.75" customHeight="1" x14ac:dyDescent="0.35">
      <c r="A14" s="445"/>
      <c r="B14" s="445"/>
      <c r="C14" s="447"/>
      <c r="D14" s="448"/>
      <c r="E14" s="448"/>
      <c r="F14" s="996"/>
      <c r="G14" s="451"/>
      <c r="H14" s="997"/>
      <c r="I14" s="447"/>
      <c r="J14" s="447"/>
      <c r="K14" s="450"/>
      <c r="L14" s="447"/>
      <c r="M14" s="447"/>
      <c r="N14" s="445"/>
      <c r="O14" s="431"/>
      <c r="P14" s="431"/>
      <c r="Q14" s="431"/>
      <c r="R14" s="431"/>
      <c r="S14" s="431"/>
      <c r="T14" s="431"/>
      <c r="U14" s="431"/>
      <c r="V14" s="431"/>
      <c r="W14" s="431"/>
      <c r="X14" s="431"/>
      <c r="Y14" s="431"/>
      <c r="Z14" s="431"/>
    </row>
    <row r="15" spans="1:26" ht="12.75" customHeight="1" x14ac:dyDescent="0.35">
      <c r="A15" s="445"/>
      <c r="B15" s="445"/>
      <c r="C15" s="447"/>
      <c r="D15" s="448"/>
      <c r="E15" s="448"/>
      <c r="F15" s="996"/>
      <c r="G15" s="451"/>
      <c r="H15" s="997"/>
      <c r="I15" s="447"/>
      <c r="J15" s="447"/>
      <c r="K15" s="450"/>
      <c r="L15" s="447"/>
      <c r="M15" s="447"/>
      <c r="N15" s="445"/>
      <c r="O15" s="431"/>
      <c r="P15" s="431"/>
      <c r="Q15" s="431"/>
      <c r="R15" s="431"/>
      <c r="S15" s="431"/>
      <c r="T15" s="431"/>
      <c r="U15" s="431"/>
      <c r="V15" s="431"/>
      <c r="W15" s="431"/>
      <c r="X15" s="431"/>
      <c r="Y15" s="431"/>
      <c r="Z15" s="431"/>
    </row>
    <row r="16" spans="1:26" ht="12.75" customHeight="1" x14ac:dyDescent="0.35">
      <c r="A16" s="445"/>
      <c r="B16" s="445"/>
      <c r="C16" s="447"/>
      <c r="D16" s="448"/>
      <c r="E16" s="448"/>
      <c r="F16" s="996"/>
      <c r="G16" s="449"/>
      <c r="H16" s="997"/>
      <c r="I16" s="447"/>
      <c r="J16" s="447"/>
      <c r="K16" s="450"/>
      <c r="L16" s="447"/>
      <c r="M16" s="447"/>
      <c r="N16" s="450"/>
      <c r="O16" s="431"/>
      <c r="P16" s="431"/>
      <c r="Q16" s="431"/>
      <c r="R16" s="431"/>
      <c r="S16" s="431"/>
      <c r="T16" s="431"/>
      <c r="U16" s="431"/>
      <c r="V16" s="431"/>
      <c r="W16" s="431"/>
      <c r="X16" s="431"/>
      <c r="Y16" s="431"/>
      <c r="Z16" s="431"/>
    </row>
    <row r="17" spans="1:26" ht="12.75" customHeight="1" x14ac:dyDescent="0.35">
      <c r="A17" s="445"/>
      <c r="B17" s="445"/>
      <c r="C17" s="447"/>
      <c r="D17" s="448"/>
      <c r="E17" s="448"/>
      <c r="F17" s="996"/>
      <c r="G17" s="449"/>
      <c r="H17" s="997"/>
      <c r="I17" s="447"/>
      <c r="J17" s="447"/>
      <c r="K17" s="450"/>
      <c r="L17" s="447"/>
      <c r="M17" s="447"/>
      <c r="N17" s="445"/>
      <c r="O17" s="452"/>
      <c r="P17" s="452"/>
      <c r="Q17" s="452"/>
      <c r="R17" s="452"/>
      <c r="S17" s="452"/>
      <c r="T17" s="452"/>
      <c r="U17" s="452"/>
      <c r="V17" s="452"/>
      <c r="W17" s="452"/>
      <c r="X17" s="452"/>
      <c r="Y17" s="452"/>
      <c r="Z17" s="452"/>
    </row>
    <row r="18" spans="1:26" ht="12.75" customHeight="1" x14ac:dyDescent="0.35">
      <c r="A18" s="445"/>
      <c r="B18" s="445"/>
      <c r="C18" s="447"/>
      <c r="D18" s="448"/>
      <c r="E18" s="448"/>
      <c r="F18" s="996"/>
      <c r="G18" s="451"/>
      <c r="H18" s="997"/>
      <c r="I18" s="447"/>
      <c r="J18" s="447"/>
      <c r="K18" s="450"/>
      <c r="L18" s="447"/>
      <c r="M18" s="447"/>
      <c r="N18" s="445"/>
      <c r="O18" s="431"/>
      <c r="P18" s="431"/>
      <c r="Q18" s="431"/>
      <c r="R18" s="431"/>
      <c r="S18" s="431"/>
      <c r="T18" s="431"/>
      <c r="U18" s="431"/>
      <c r="V18" s="431"/>
      <c r="W18" s="431"/>
      <c r="X18" s="431"/>
      <c r="Y18" s="431"/>
      <c r="Z18" s="431"/>
    </row>
    <row r="19" spans="1:26" ht="12.75" customHeight="1" x14ac:dyDescent="0.35">
      <c r="A19" s="445"/>
      <c r="B19" s="446"/>
      <c r="C19" s="453"/>
      <c r="D19" s="454"/>
      <c r="E19" s="454"/>
      <c r="F19" s="998"/>
      <c r="G19" s="455"/>
      <c r="H19" s="999"/>
      <c r="I19" s="453"/>
      <c r="J19" s="453"/>
      <c r="K19" s="456"/>
      <c r="L19" s="453"/>
      <c r="M19" s="453"/>
      <c r="N19" s="446"/>
      <c r="O19" s="431"/>
      <c r="P19" s="431"/>
      <c r="Q19" s="431"/>
      <c r="R19" s="431"/>
      <c r="S19" s="431"/>
      <c r="T19" s="431"/>
      <c r="U19" s="431"/>
      <c r="V19" s="431"/>
      <c r="W19" s="431"/>
      <c r="X19" s="431"/>
      <c r="Y19" s="431"/>
      <c r="Z19" s="431"/>
    </row>
    <row r="20" spans="1:26" ht="12.75" customHeight="1" x14ac:dyDescent="0.35">
      <c r="A20" s="445"/>
      <c r="B20" s="446"/>
      <c r="C20" s="453"/>
      <c r="D20" s="454"/>
      <c r="E20" s="454"/>
      <c r="F20" s="998"/>
      <c r="G20" s="455"/>
      <c r="H20" s="999"/>
      <c r="I20" s="453"/>
      <c r="J20" s="453"/>
      <c r="K20" s="456"/>
      <c r="L20" s="453"/>
      <c r="M20" s="453"/>
      <c r="N20" s="446"/>
      <c r="O20" s="452"/>
      <c r="P20" s="452"/>
      <c r="Q20" s="452"/>
      <c r="R20" s="452"/>
      <c r="S20" s="452"/>
      <c r="T20" s="452"/>
      <c r="U20" s="452"/>
      <c r="V20" s="452"/>
      <c r="W20" s="452"/>
      <c r="X20" s="452"/>
      <c r="Y20" s="452"/>
      <c r="Z20" s="452"/>
    </row>
    <row r="21" spans="1:26" ht="12.75" customHeight="1" x14ac:dyDescent="0.35">
      <c r="A21" s="445"/>
      <c r="B21" s="446"/>
      <c r="C21" s="453"/>
      <c r="D21" s="454"/>
      <c r="E21" s="454"/>
      <c r="F21" s="998"/>
      <c r="G21" s="455"/>
      <c r="H21" s="999"/>
      <c r="I21" s="453"/>
      <c r="J21" s="453"/>
      <c r="K21" s="456"/>
      <c r="L21" s="453"/>
      <c r="M21" s="453"/>
      <c r="N21" s="446"/>
      <c r="O21" s="431"/>
      <c r="P21" s="431"/>
      <c r="Q21" s="431"/>
      <c r="R21" s="431"/>
      <c r="S21" s="431"/>
      <c r="T21" s="431"/>
      <c r="U21" s="431"/>
      <c r="V21" s="431"/>
      <c r="W21" s="431"/>
      <c r="X21" s="431"/>
      <c r="Y21" s="431"/>
      <c r="Z21" s="431"/>
    </row>
    <row r="22" spans="1:26" ht="12.75" customHeight="1" x14ac:dyDescent="0.35">
      <c r="A22" s="445"/>
      <c r="B22" s="446"/>
      <c r="C22" s="453"/>
      <c r="D22" s="454"/>
      <c r="E22" s="457"/>
      <c r="F22" s="998"/>
      <c r="G22" s="455"/>
      <c r="H22" s="999"/>
      <c r="I22" s="453"/>
      <c r="J22" s="453"/>
      <c r="K22" s="456"/>
      <c r="L22" s="453"/>
      <c r="M22" s="453"/>
      <c r="N22" s="456"/>
      <c r="O22" s="452"/>
      <c r="P22" s="452"/>
      <c r="Q22" s="452"/>
      <c r="R22" s="452"/>
      <c r="S22" s="452"/>
      <c r="T22" s="452"/>
      <c r="U22" s="452"/>
      <c r="V22" s="452"/>
      <c r="W22" s="452"/>
      <c r="X22" s="452"/>
      <c r="Y22" s="452"/>
      <c r="Z22" s="452"/>
    </row>
    <row r="23" spans="1:26" ht="12.75" customHeight="1" x14ac:dyDescent="0.35">
      <c r="A23" s="445"/>
      <c r="B23" s="446"/>
      <c r="C23" s="453"/>
      <c r="D23" s="454"/>
      <c r="E23" s="457"/>
      <c r="F23" s="998"/>
      <c r="G23" s="455"/>
      <c r="H23" s="999"/>
      <c r="I23" s="453"/>
      <c r="J23" s="453"/>
      <c r="K23" s="456"/>
      <c r="L23" s="453"/>
      <c r="M23" s="453"/>
      <c r="N23" s="446"/>
      <c r="O23" s="431"/>
      <c r="P23" s="431"/>
      <c r="Q23" s="431"/>
      <c r="R23" s="431"/>
      <c r="S23" s="431"/>
      <c r="T23" s="431"/>
      <c r="U23" s="431"/>
      <c r="V23" s="431"/>
      <c r="W23" s="431"/>
      <c r="X23" s="431"/>
      <c r="Y23" s="431"/>
      <c r="Z23" s="431"/>
    </row>
    <row r="24" spans="1:26" ht="12.75" customHeight="1" x14ac:dyDescent="0.35">
      <c r="A24" s="445"/>
      <c r="B24" s="446"/>
      <c r="C24" s="453"/>
      <c r="D24" s="454"/>
      <c r="E24" s="454"/>
      <c r="F24" s="998"/>
      <c r="G24" s="455"/>
      <c r="H24" s="999"/>
      <c r="I24" s="453"/>
      <c r="J24" s="453"/>
      <c r="K24" s="456"/>
      <c r="L24" s="453"/>
      <c r="M24" s="453"/>
      <c r="N24" s="446"/>
      <c r="O24" s="431"/>
      <c r="P24" s="431"/>
      <c r="Q24" s="431"/>
      <c r="R24" s="431"/>
      <c r="S24" s="431"/>
      <c r="T24" s="431"/>
      <c r="U24" s="431"/>
      <c r="V24" s="431"/>
      <c r="W24" s="431"/>
      <c r="X24" s="431"/>
      <c r="Y24" s="431"/>
      <c r="Z24" s="431"/>
    </row>
    <row r="25" spans="1:26" ht="12.75" customHeight="1" x14ac:dyDescent="0.35">
      <c r="A25" s="445"/>
      <c r="B25" s="446"/>
      <c r="C25" s="453"/>
      <c r="D25" s="454"/>
      <c r="E25" s="454"/>
      <c r="F25" s="998"/>
      <c r="G25" s="455"/>
      <c r="H25" s="999"/>
      <c r="I25" s="453"/>
      <c r="J25" s="453"/>
      <c r="K25" s="456"/>
      <c r="L25" s="453"/>
      <c r="M25" s="453"/>
      <c r="N25" s="446"/>
      <c r="O25" s="431"/>
      <c r="P25" s="431"/>
      <c r="Q25" s="431"/>
      <c r="R25" s="431"/>
      <c r="S25" s="431"/>
      <c r="T25" s="431"/>
      <c r="U25" s="431"/>
      <c r="V25" s="431"/>
      <c r="W25" s="431"/>
      <c r="X25" s="431"/>
      <c r="Y25" s="431"/>
      <c r="Z25" s="431"/>
    </row>
    <row r="26" spans="1:26" ht="12.75" customHeight="1" x14ac:dyDescent="0.35">
      <c r="A26" s="445"/>
      <c r="B26" s="446"/>
      <c r="C26" s="453"/>
      <c r="D26" s="454"/>
      <c r="E26" s="454"/>
      <c r="F26" s="998"/>
      <c r="G26" s="458"/>
      <c r="H26" s="999"/>
      <c r="I26" s="453"/>
      <c r="J26" s="453"/>
      <c r="K26" s="456"/>
      <c r="L26" s="453"/>
      <c r="M26" s="453"/>
      <c r="N26" s="446"/>
      <c r="O26" s="431"/>
      <c r="P26" s="431"/>
      <c r="Q26" s="431"/>
      <c r="R26" s="431"/>
      <c r="S26" s="431"/>
      <c r="T26" s="431"/>
      <c r="U26" s="431"/>
      <c r="V26" s="431"/>
      <c r="W26" s="431"/>
      <c r="X26" s="431"/>
      <c r="Y26" s="431"/>
      <c r="Z26" s="431"/>
    </row>
    <row r="27" spans="1:26" ht="12.75" customHeight="1" x14ac:dyDescent="0.35">
      <c r="A27" s="445"/>
      <c r="B27" s="446"/>
      <c r="C27" s="453"/>
      <c r="D27" s="454"/>
      <c r="E27" s="55"/>
      <c r="F27" s="1000"/>
      <c r="G27" s="455"/>
      <c r="H27" s="999"/>
      <c r="I27" s="453"/>
      <c r="J27" s="453"/>
      <c r="K27" s="456"/>
      <c r="L27" s="453"/>
      <c r="M27" s="453"/>
      <c r="N27" s="446"/>
      <c r="O27" s="431"/>
      <c r="P27" s="431"/>
      <c r="Q27" s="431"/>
      <c r="R27" s="431"/>
      <c r="S27" s="431"/>
      <c r="T27" s="431"/>
      <c r="U27" s="431"/>
      <c r="V27" s="431"/>
      <c r="W27" s="431"/>
      <c r="X27" s="431"/>
      <c r="Y27" s="431"/>
      <c r="Z27" s="431"/>
    </row>
    <row r="28" spans="1:26" ht="12.75" customHeight="1" x14ac:dyDescent="0.35">
      <c r="A28" s="445"/>
      <c r="B28" s="446"/>
      <c r="C28" s="453"/>
      <c r="D28" s="454"/>
      <c r="E28" s="454"/>
      <c r="F28" s="998"/>
      <c r="G28" s="458"/>
      <c r="H28" s="999"/>
      <c r="I28" s="453"/>
      <c r="J28" s="453"/>
      <c r="K28" s="456"/>
      <c r="L28" s="453"/>
      <c r="M28" s="453"/>
      <c r="N28" s="446"/>
      <c r="O28" s="431"/>
      <c r="P28" s="431"/>
      <c r="Q28" s="431"/>
      <c r="R28" s="431"/>
      <c r="S28" s="431"/>
      <c r="T28" s="431"/>
      <c r="U28" s="431"/>
      <c r="V28" s="431"/>
      <c r="W28" s="431"/>
      <c r="X28" s="431"/>
      <c r="Y28" s="431"/>
      <c r="Z28" s="431"/>
    </row>
    <row r="29" spans="1:26" ht="12.75" customHeight="1" x14ac:dyDescent="0.35">
      <c r="A29" s="445"/>
      <c r="B29" s="446"/>
      <c r="C29" s="453"/>
      <c r="D29" s="454"/>
      <c r="E29" s="454"/>
      <c r="F29" s="998"/>
      <c r="G29" s="458"/>
      <c r="H29" s="999"/>
      <c r="I29" s="453"/>
      <c r="J29" s="453"/>
      <c r="K29" s="456"/>
      <c r="L29" s="453"/>
      <c r="M29" s="453"/>
      <c r="N29" s="446"/>
      <c r="O29" s="431"/>
      <c r="P29" s="431"/>
      <c r="Q29" s="431"/>
      <c r="R29" s="431"/>
      <c r="S29" s="431"/>
      <c r="T29" s="431"/>
      <c r="U29" s="431"/>
      <c r="V29" s="431"/>
      <c r="W29" s="431"/>
      <c r="X29" s="431"/>
      <c r="Y29" s="431"/>
      <c r="Z29" s="431"/>
    </row>
    <row r="30" spans="1:26" ht="12.75" customHeight="1" x14ac:dyDescent="0.35">
      <c r="A30" s="445"/>
      <c r="B30" s="446"/>
      <c r="C30" s="453"/>
      <c r="D30" s="454"/>
      <c r="E30" s="454"/>
      <c r="F30" s="998"/>
      <c r="G30" s="458"/>
      <c r="H30" s="999"/>
      <c r="I30" s="453"/>
      <c r="J30" s="453"/>
      <c r="K30" s="456"/>
      <c r="L30" s="453"/>
      <c r="M30" s="453"/>
      <c r="N30" s="446"/>
      <c r="O30" s="452"/>
      <c r="P30" s="452"/>
      <c r="Q30" s="452"/>
      <c r="R30" s="452"/>
      <c r="S30" s="452"/>
      <c r="T30" s="452"/>
      <c r="U30" s="452"/>
      <c r="V30" s="452"/>
      <c r="W30" s="452"/>
      <c r="X30" s="452"/>
      <c r="Y30" s="452"/>
      <c r="Z30" s="452"/>
    </row>
    <row r="31" spans="1:26" ht="12.75" customHeight="1" x14ac:dyDescent="0.35">
      <c r="A31" s="445"/>
      <c r="B31" s="446"/>
      <c r="C31" s="453"/>
      <c r="D31" s="454"/>
      <c r="E31" s="454"/>
      <c r="F31" s="998"/>
      <c r="G31" s="458"/>
      <c r="H31" s="999"/>
      <c r="I31" s="453"/>
      <c r="J31" s="453"/>
      <c r="K31" s="456"/>
      <c r="L31" s="453"/>
      <c r="M31" s="453"/>
      <c r="N31" s="446"/>
      <c r="O31" s="459"/>
      <c r="P31" s="459"/>
      <c r="Q31" s="459"/>
      <c r="R31" s="459"/>
      <c r="S31" s="459"/>
      <c r="T31" s="459"/>
      <c r="U31" s="459"/>
      <c r="V31" s="459"/>
      <c r="W31" s="459"/>
      <c r="X31" s="459"/>
      <c r="Y31" s="459"/>
      <c r="Z31" s="459"/>
    </row>
    <row r="32" spans="1:26" ht="12.75" customHeight="1" x14ac:dyDescent="0.35">
      <c r="A32" s="460"/>
      <c r="B32" s="461"/>
      <c r="C32" s="453"/>
      <c r="D32" s="462"/>
      <c r="E32" s="454"/>
      <c r="F32" s="1001"/>
      <c r="G32" s="458"/>
      <c r="H32" s="999"/>
      <c r="I32" s="453"/>
      <c r="J32" s="453"/>
      <c r="K32" s="453"/>
      <c r="L32" s="453"/>
      <c r="M32" s="453"/>
      <c r="N32" s="463"/>
      <c r="O32" s="452"/>
      <c r="P32" s="452"/>
      <c r="Q32" s="452"/>
      <c r="R32" s="452"/>
      <c r="S32" s="452"/>
      <c r="T32" s="452"/>
      <c r="U32" s="452"/>
      <c r="V32" s="452"/>
      <c r="W32" s="452"/>
      <c r="X32" s="452"/>
      <c r="Y32" s="452"/>
      <c r="Z32" s="452"/>
    </row>
    <row r="33" spans="1:26" ht="12.75" customHeight="1" x14ac:dyDescent="0.35">
      <c r="A33" s="445"/>
      <c r="B33" s="446"/>
      <c r="C33" s="453"/>
      <c r="D33" s="454"/>
      <c r="E33" s="454"/>
      <c r="F33" s="998"/>
      <c r="G33" s="458"/>
      <c r="H33" s="999"/>
      <c r="I33" s="453"/>
      <c r="J33" s="453"/>
      <c r="K33" s="456"/>
      <c r="L33" s="453"/>
      <c r="M33" s="453"/>
      <c r="N33" s="446"/>
      <c r="O33" s="431"/>
      <c r="P33" s="431"/>
      <c r="Q33" s="431"/>
      <c r="R33" s="431"/>
      <c r="S33" s="431"/>
      <c r="T33" s="431"/>
      <c r="U33" s="431"/>
      <c r="V33" s="431"/>
      <c r="W33" s="431"/>
      <c r="X33" s="431"/>
      <c r="Y33" s="431"/>
      <c r="Z33" s="431"/>
    </row>
    <row r="34" spans="1:26" ht="12.75" customHeight="1" x14ac:dyDescent="0.35">
      <c r="A34" s="445"/>
      <c r="B34" s="446"/>
      <c r="C34" s="453"/>
      <c r="D34" s="454"/>
      <c r="E34" s="454"/>
      <c r="F34" s="998"/>
      <c r="G34" s="458"/>
      <c r="H34" s="999"/>
      <c r="I34" s="453"/>
      <c r="J34" s="453"/>
      <c r="K34" s="456"/>
      <c r="L34" s="453"/>
      <c r="M34" s="453"/>
      <c r="N34" s="446"/>
      <c r="O34" s="431"/>
      <c r="P34" s="431"/>
      <c r="Q34" s="431"/>
      <c r="R34" s="431"/>
      <c r="S34" s="431"/>
      <c r="T34" s="431"/>
      <c r="U34" s="431"/>
      <c r="V34" s="431"/>
      <c r="W34" s="431"/>
      <c r="X34" s="431"/>
      <c r="Y34" s="431"/>
      <c r="Z34" s="431"/>
    </row>
    <row r="35" spans="1:26" ht="12.75" customHeight="1" x14ac:dyDescent="0.35">
      <c r="A35" s="445"/>
      <c r="B35" s="446"/>
      <c r="C35" s="453"/>
      <c r="D35" s="454"/>
      <c r="E35" s="454"/>
      <c r="F35" s="998"/>
      <c r="G35" s="458"/>
      <c r="H35" s="999"/>
      <c r="I35" s="453"/>
      <c r="J35" s="453"/>
      <c r="K35" s="456"/>
      <c r="L35" s="453"/>
      <c r="M35" s="453"/>
      <c r="N35" s="446"/>
      <c r="O35" s="431"/>
      <c r="P35" s="431"/>
      <c r="Q35" s="431"/>
      <c r="R35" s="431"/>
      <c r="S35" s="431"/>
      <c r="T35" s="431"/>
      <c r="U35" s="431"/>
      <c r="V35" s="431"/>
      <c r="W35" s="431"/>
      <c r="X35" s="431"/>
      <c r="Y35" s="431"/>
      <c r="Z35" s="431"/>
    </row>
    <row r="36" spans="1:26" ht="14.15" customHeight="1" x14ac:dyDescent="0.35">
      <c r="A36" s="445"/>
      <c r="B36" s="446"/>
      <c r="C36" s="453"/>
      <c r="D36" s="454"/>
      <c r="E36" s="454"/>
      <c r="F36" s="998"/>
      <c r="G36" s="458"/>
      <c r="H36" s="999"/>
      <c r="I36" s="453"/>
      <c r="J36" s="453"/>
      <c r="K36" s="456"/>
      <c r="L36" s="453"/>
      <c r="M36" s="453"/>
      <c r="N36" s="446"/>
      <c r="O36" s="431"/>
      <c r="P36" s="431"/>
      <c r="Q36" s="431"/>
      <c r="R36" s="431"/>
      <c r="S36" s="431"/>
      <c r="T36" s="431"/>
      <c r="U36" s="431"/>
      <c r="V36" s="431"/>
      <c r="W36" s="431"/>
      <c r="X36" s="431"/>
      <c r="Y36" s="431"/>
      <c r="Z36" s="431"/>
    </row>
    <row r="37" spans="1:26" ht="12.75" customHeight="1" x14ac:dyDescent="0.35">
      <c r="A37" s="445"/>
      <c r="B37" s="446"/>
      <c r="C37" s="453"/>
      <c r="D37" s="454"/>
      <c r="E37" s="454"/>
      <c r="F37" s="998"/>
      <c r="G37" s="455"/>
      <c r="H37" s="999"/>
      <c r="I37" s="453"/>
      <c r="J37" s="453"/>
      <c r="K37" s="456"/>
      <c r="L37" s="453"/>
      <c r="M37" s="453"/>
      <c r="N37" s="446"/>
      <c r="O37" s="431"/>
      <c r="P37" s="431"/>
      <c r="Q37" s="431"/>
      <c r="R37" s="431"/>
      <c r="S37" s="431"/>
      <c r="T37" s="431"/>
      <c r="U37" s="431"/>
      <c r="V37" s="431"/>
      <c r="W37" s="431"/>
      <c r="X37" s="431"/>
      <c r="Y37" s="431"/>
      <c r="Z37" s="431"/>
    </row>
    <row r="38" spans="1:26" ht="12.75" customHeight="1" x14ac:dyDescent="0.35">
      <c r="A38" s="448"/>
      <c r="B38" s="454"/>
      <c r="C38" s="453"/>
      <c r="D38" s="434"/>
      <c r="E38" s="454"/>
      <c r="F38" s="1002"/>
      <c r="G38" s="458"/>
      <c r="H38" s="1003"/>
      <c r="I38" s="454"/>
      <c r="J38" s="454"/>
      <c r="K38" s="464"/>
      <c r="L38" s="454"/>
      <c r="M38" s="454"/>
      <c r="N38" s="454"/>
      <c r="O38" s="459"/>
      <c r="P38" s="459"/>
      <c r="Q38" s="459"/>
      <c r="R38" s="459"/>
      <c r="S38" s="459"/>
      <c r="T38" s="459"/>
      <c r="U38" s="459"/>
      <c r="V38" s="459"/>
      <c r="W38" s="459"/>
      <c r="X38" s="459"/>
      <c r="Y38" s="459"/>
      <c r="Z38" s="459"/>
    </row>
    <row r="39" spans="1:26" ht="12.75" customHeight="1" x14ac:dyDescent="0.35">
      <c r="A39" s="445"/>
      <c r="B39" s="446"/>
      <c r="C39" s="453"/>
      <c r="D39" s="454"/>
      <c r="E39" s="454"/>
      <c r="F39" s="998"/>
      <c r="G39" s="465"/>
      <c r="H39" s="999"/>
      <c r="I39" s="453"/>
      <c r="J39" s="453"/>
      <c r="K39" s="456"/>
      <c r="L39" s="453"/>
      <c r="M39" s="453"/>
      <c r="N39" s="446"/>
      <c r="O39" s="431"/>
      <c r="P39" s="431"/>
      <c r="Q39" s="431"/>
      <c r="R39" s="431"/>
      <c r="S39" s="431"/>
      <c r="T39" s="431"/>
      <c r="U39" s="431"/>
      <c r="V39" s="431"/>
      <c r="W39" s="431"/>
      <c r="X39" s="431"/>
      <c r="Y39" s="431"/>
      <c r="Z39" s="431"/>
    </row>
    <row r="40" spans="1:26" ht="12.75" customHeight="1" x14ac:dyDescent="0.35">
      <c r="A40" s="445"/>
      <c r="B40" s="446"/>
      <c r="C40" s="453"/>
      <c r="D40" s="454"/>
      <c r="E40" s="454"/>
      <c r="F40" s="998"/>
      <c r="G40" s="465"/>
      <c r="H40" s="999"/>
      <c r="I40" s="453"/>
      <c r="J40" s="453"/>
      <c r="K40" s="456"/>
      <c r="L40" s="453"/>
      <c r="M40" s="453"/>
      <c r="N40" s="446"/>
      <c r="O40" s="431"/>
      <c r="P40" s="431"/>
      <c r="Q40" s="431"/>
      <c r="R40" s="431"/>
      <c r="S40" s="431"/>
      <c r="T40" s="431"/>
      <c r="U40" s="431"/>
      <c r="V40" s="431"/>
      <c r="W40" s="431"/>
      <c r="X40" s="431"/>
      <c r="Y40" s="431"/>
      <c r="Z40" s="431"/>
    </row>
    <row r="41" spans="1:26" ht="12.75" customHeight="1" x14ac:dyDescent="0.35">
      <c r="A41" s="445"/>
      <c r="B41" s="446"/>
      <c r="C41" s="453"/>
      <c r="D41" s="454"/>
      <c r="E41" s="454"/>
      <c r="F41" s="998"/>
      <c r="G41" s="455"/>
      <c r="H41" s="999"/>
      <c r="I41" s="453"/>
      <c r="J41" s="453"/>
      <c r="K41" s="456"/>
      <c r="L41" s="453"/>
      <c r="M41" s="453"/>
      <c r="N41" s="446"/>
      <c r="O41" s="431"/>
      <c r="P41" s="431"/>
      <c r="Q41" s="431"/>
      <c r="R41" s="431"/>
      <c r="S41" s="431"/>
      <c r="T41" s="431"/>
      <c r="U41" s="431"/>
      <c r="V41" s="431"/>
      <c r="W41" s="431"/>
      <c r="X41" s="431"/>
      <c r="Y41" s="431"/>
      <c r="Z41" s="431"/>
    </row>
    <row r="42" spans="1:26" ht="12.75" customHeight="1" x14ac:dyDescent="0.35">
      <c r="A42" s="460"/>
      <c r="B42" s="461"/>
      <c r="C42" s="453"/>
      <c r="D42" s="466"/>
      <c r="E42" s="434"/>
      <c r="F42" s="1001"/>
      <c r="G42" s="465"/>
      <c r="H42" s="999"/>
      <c r="I42" s="453"/>
      <c r="J42" s="453"/>
      <c r="K42" s="453"/>
      <c r="L42" s="453"/>
      <c r="M42" s="453"/>
      <c r="N42" s="463"/>
      <c r="O42" s="431"/>
      <c r="P42" s="431"/>
      <c r="Q42" s="431"/>
      <c r="R42" s="431"/>
      <c r="S42" s="431"/>
      <c r="T42" s="431"/>
      <c r="U42" s="431"/>
      <c r="V42" s="431"/>
      <c r="W42" s="431"/>
      <c r="X42" s="431"/>
      <c r="Y42" s="431"/>
      <c r="Z42" s="431"/>
    </row>
    <row r="43" spans="1:26" ht="12.75" customHeight="1" x14ac:dyDescent="0.35">
      <c r="A43" s="467"/>
      <c r="B43" s="466"/>
      <c r="C43" s="453"/>
      <c r="D43" s="468"/>
      <c r="E43" s="469"/>
      <c r="F43" s="1004"/>
      <c r="G43" s="470"/>
      <c r="H43" s="1005"/>
      <c r="I43" s="471"/>
      <c r="J43" s="471"/>
      <c r="K43" s="471"/>
      <c r="L43" s="471"/>
      <c r="M43" s="471"/>
      <c r="N43" s="471"/>
      <c r="O43" s="452"/>
      <c r="P43" s="452"/>
      <c r="Q43" s="452"/>
      <c r="R43" s="452"/>
      <c r="S43" s="452"/>
      <c r="T43" s="452"/>
      <c r="U43" s="452"/>
      <c r="V43" s="452"/>
      <c r="W43" s="452"/>
      <c r="X43" s="452"/>
      <c r="Y43" s="452"/>
      <c r="Z43" s="452"/>
    </row>
    <row r="44" spans="1:26" ht="12.75" customHeight="1" x14ac:dyDescent="0.35">
      <c r="A44" s="445"/>
      <c r="B44" s="446"/>
      <c r="C44" s="453"/>
      <c r="D44" s="454"/>
      <c r="E44" s="454"/>
      <c r="F44" s="998"/>
      <c r="G44" s="455"/>
      <c r="H44" s="999"/>
      <c r="I44" s="453"/>
      <c r="J44" s="453"/>
      <c r="K44" s="456"/>
      <c r="L44" s="453"/>
      <c r="M44" s="453"/>
      <c r="N44" s="446"/>
      <c r="O44" s="431"/>
      <c r="P44" s="431"/>
      <c r="Q44" s="431"/>
      <c r="R44" s="431"/>
      <c r="S44" s="431"/>
      <c r="T44" s="431"/>
      <c r="U44" s="431"/>
      <c r="V44" s="431"/>
      <c r="W44" s="431"/>
      <c r="X44" s="431"/>
      <c r="Y44" s="431"/>
      <c r="Z44" s="431"/>
    </row>
    <row r="45" spans="1:26" ht="12.75" customHeight="1" x14ac:dyDescent="0.35">
      <c r="A45" s="445"/>
      <c r="B45" s="446"/>
      <c r="C45" s="453"/>
      <c r="D45" s="454"/>
      <c r="E45" s="454"/>
      <c r="F45" s="998"/>
      <c r="G45" s="461"/>
      <c r="H45" s="999"/>
      <c r="I45" s="453"/>
      <c r="J45" s="453"/>
      <c r="K45" s="456"/>
      <c r="L45" s="453"/>
      <c r="M45" s="453"/>
      <c r="N45" s="446"/>
      <c r="O45" s="431"/>
      <c r="P45" s="431"/>
      <c r="Q45" s="431"/>
      <c r="R45" s="431"/>
      <c r="S45" s="431"/>
      <c r="T45" s="431"/>
      <c r="U45" s="431"/>
      <c r="V45" s="431"/>
      <c r="W45" s="431"/>
      <c r="X45" s="431"/>
      <c r="Y45" s="431"/>
      <c r="Z45" s="431"/>
    </row>
    <row r="46" spans="1:26" ht="12.75" customHeight="1" x14ac:dyDescent="0.35">
      <c r="A46" s="445"/>
      <c r="B46" s="446"/>
      <c r="C46" s="453"/>
      <c r="D46" s="454"/>
      <c r="E46" s="454"/>
      <c r="F46" s="998"/>
      <c r="G46" s="455"/>
      <c r="H46" s="999"/>
      <c r="I46" s="453"/>
      <c r="J46" s="453"/>
      <c r="K46" s="456"/>
      <c r="L46" s="453"/>
      <c r="M46" s="453"/>
      <c r="N46" s="446"/>
      <c r="O46" s="431"/>
      <c r="P46" s="431"/>
      <c r="Q46" s="431"/>
      <c r="R46" s="431"/>
      <c r="S46" s="431"/>
      <c r="T46" s="431"/>
      <c r="U46" s="431"/>
      <c r="V46" s="431"/>
      <c r="W46" s="431"/>
      <c r="X46" s="431"/>
      <c r="Y46" s="431"/>
      <c r="Z46" s="431"/>
    </row>
    <row r="47" spans="1:26" ht="12.75" customHeight="1" x14ac:dyDescent="0.35">
      <c r="A47" s="445"/>
      <c r="B47" s="446"/>
      <c r="C47" s="453"/>
      <c r="D47" s="454"/>
      <c r="E47" s="454"/>
      <c r="F47" s="998"/>
      <c r="G47" s="455"/>
      <c r="H47" s="999"/>
      <c r="I47" s="453"/>
      <c r="J47" s="453"/>
      <c r="K47" s="456"/>
      <c r="L47" s="453"/>
      <c r="M47" s="453"/>
      <c r="N47" s="446"/>
      <c r="O47" s="431"/>
      <c r="P47" s="431"/>
      <c r="Q47" s="431"/>
      <c r="R47" s="431"/>
      <c r="S47" s="431"/>
      <c r="T47" s="431"/>
      <c r="U47" s="431"/>
      <c r="V47" s="431"/>
      <c r="W47" s="431"/>
      <c r="X47" s="431"/>
      <c r="Y47" s="431"/>
      <c r="Z47" s="431"/>
    </row>
    <row r="48" spans="1:26" ht="12.75" customHeight="1" x14ac:dyDescent="0.35">
      <c r="A48" s="445"/>
      <c r="B48" s="445"/>
      <c r="C48" s="447"/>
      <c r="D48" s="448"/>
      <c r="E48" s="448"/>
      <c r="F48" s="996"/>
      <c r="G48" s="460"/>
      <c r="H48" s="997"/>
      <c r="I48" s="447"/>
      <c r="J48" s="447"/>
      <c r="K48" s="450"/>
      <c r="L48" s="447"/>
      <c r="M48" s="447"/>
      <c r="N48" s="445"/>
      <c r="O48" s="431"/>
      <c r="P48" s="431"/>
      <c r="Q48" s="431"/>
      <c r="R48" s="431"/>
      <c r="S48" s="431"/>
      <c r="T48" s="431"/>
      <c r="U48" s="431"/>
      <c r="V48" s="431"/>
      <c r="W48" s="431"/>
      <c r="X48" s="431"/>
      <c r="Y48" s="431"/>
      <c r="Z48" s="431"/>
    </row>
    <row r="49" spans="1:26" ht="12.75" customHeight="1" x14ac:dyDescent="0.35">
      <c r="A49" s="445"/>
      <c r="B49" s="445"/>
      <c r="C49" s="447"/>
      <c r="D49" s="448"/>
      <c r="E49" s="56"/>
      <c r="F49" s="996"/>
      <c r="G49" s="472"/>
      <c r="H49" s="997"/>
      <c r="I49" s="447"/>
      <c r="J49" s="447"/>
      <c r="K49" s="450"/>
      <c r="L49" s="447"/>
      <c r="M49" s="447"/>
      <c r="N49" s="445"/>
      <c r="O49" s="431"/>
      <c r="P49" s="431"/>
      <c r="Q49" s="431"/>
      <c r="R49" s="431"/>
      <c r="S49" s="431"/>
      <c r="T49" s="431"/>
      <c r="U49" s="431"/>
      <c r="V49" s="431"/>
      <c r="W49" s="431"/>
      <c r="X49" s="431"/>
      <c r="Y49" s="431"/>
      <c r="Z49" s="431"/>
    </row>
    <row r="50" spans="1:26" ht="12.75" customHeight="1" x14ac:dyDescent="0.35">
      <c r="A50" s="473"/>
      <c r="B50" s="452"/>
      <c r="C50" s="474"/>
      <c r="D50" s="452"/>
      <c r="E50" s="452"/>
      <c r="F50" s="1006"/>
      <c r="G50" s="474"/>
      <c r="H50" s="1007"/>
      <c r="I50" s="452"/>
      <c r="J50" s="452"/>
      <c r="K50" s="452"/>
      <c r="L50" s="452"/>
      <c r="M50" s="452"/>
      <c r="N50" s="452"/>
      <c r="O50" s="452"/>
      <c r="P50" s="452"/>
      <c r="Q50" s="452"/>
      <c r="R50" s="452"/>
      <c r="S50" s="452"/>
      <c r="T50" s="452"/>
      <c r="U50" s="452"/>
      <c r="V50" s="452"/>
      <c r="W50" s="452"/>
      <c r="X50" s="452"/>
      <c r="Y50" s="452"/>
      <c r="Z50" s="452"/>
    </row>
    <row r="51" spans="1:26" ht="12.75" customHeight="1" x14ac:dyDescent="0.35">
      <c r="A51" s="445"/>
      <c r="B51" s="445"/>
      <c r="C51" s="447"/>
      <c r="D51" s="448"/>
      <c r="E51" s="475"/>
      <c r="F51" s="1008"/>
      <c r="G51" s="460"/>
      <c r="H51" s="997"/>
      <c r="I51" s="447"/>
      <c r="J51" s="447"/>
      <c r="K51" s="450"/>
      <c r="L51" s="447"/>
      <c r="M51" s="447"/>
      <c r="N51" s="445"/>
      <c r="O51" s="431"/>
      <c r="P51" s="431"/>
      <c r="Q51" s="431"/>
      <c r="R51" s="431"/>
      <c r="S51" s="431"/>
      <c r="T51" s="431"/>
      <c r="U51" s="431"/>
      <c r="V51" s="431"/>
      <c r="W51" s="431"/>
      <c r="X51" s="431"/>
      <c r="Y51" s="431"/>
      <c r="Z51" s="431"/>
    </row>
    <row r="52" spans="1:26" ht="12.75" customHeight="1" x14ac:dyDescent="0.35">
      <c r="A52" s="445"/>
      <c r="B52" s="445"/>
      <c r="C52" s="447"/>
      <c r="D52" s="448"/>
      <c r="E52" s="56"/>
      <c r="F52" s="996"/>
      <c r="G52" s="472"/>
      <c r="H52" s="997"/>
      <c r="I52" s="447"/>
      <c r="J52" s="447"/>
      <c r="K52" s="450"/>
      <c r="L52" s="447"/>
      <c r="M52" s="447"/>
      <c r="N52" s="445"/>
      <c r="O52" s="431"/>
      <c r="P52" s="431"/>
      <c r="Q52" s="431"/>
      <c r="R52" s="431"/>
      <c r="S52" s="431"/>
      <c r="T52" s="431"/>
      <c r="U52" s="431"/>
      <c r="V52" s="431"/>
      <c r="W52" s="431"/>
      <c r="X52" s="431"/>
      <c r="Y52" s="431"/>
      <c r="Z52" s="431"/>
    </row>
    <row r="53" spans="1:26" ht="12.75" customHeight="1" x14ac:dyDescent="0.35">
      <c r="A53" s="445"/>
      <c r="B53" s="445"/>
      <c r="C53" s="447"/>
      <c r="D53" s="448"/>
      <c r="E53" s="448"/>
      <c r="F53" s="996"/>
      <c r="G53" s="460"/>
      <c r="H53" s="997"/>
      <c r="I53" s="447"/>
      <c r="J53" s="447"/>
      <c r="K53" s="450"/>
      <c r="L53" s="447"/>
      <c r="M53" s="447"/>
      <c r="N53" s="445"/>
      <c r="O53" s="431"/>
      <c r="P53" s="431"/>
      <c r="Q53" s="431"/>
      <c r="R53" s="431"/>
      <c r="S53" s="431"/>
      <c r="T53" s="431"/>
      <c r="U53" s="431"/>
      <c r="V53" s="431"/>
      <c r="W53" s="431"/>
      <c r="X53" s="431"/>
      <c r="Y53" s="431"/>
      <c r="Z53" s="431"/>
    </row>
    <row r="54" spans="1:26" ht="12.75" customHeight="1" x14ac:dyDescent="0.35">
      <c r="A54" s="445"/>
      <c r="B54" s="445"/>
      <c r="C54" s="447"/>
      <c r="D54" s="448"/>
      <c r="E54" s="448"/>
      <c r="F54" s="996"/>
      <c r="G54" s="460"/>
      <c r="H54" s="997"/>
      <c r="I54" s="447"/>
      <c r="J54" s="447"/>
      <c r="K54" s="450"/>
      <c r="L54" s="447"/>
      <c r="M54" s="447"/>
      <c r="N54" s="445"/>
      <c r="O54" s="431"/>
      <c r="P54" s="431"/>
      <c r="Q54" s="431"/>
      <c r="R54" s="431"/>
      <c r="S54" s="431"/>
      <c r="T54" s="431"/>
      <c r="U54" s="431"/>
      <c r="V54" s="431"/>
      <c r="W54" s="431"/>
      <c r="X54" s="431"/>
      <c r="Y54" s="431"/>
      <c r="Z54" s="431"/>
    </row>
    <row r="55" spans="1:26" ht="12.75" customHeight="1" x14ac:dyDescent="0.35">
      <c r="A55" s="445"/>
      <c r="B55" s="445"/>
      <c r="C55" s="447"/>
      <c r="D55" s="448"/>
      <c r="E55" s="448"/>
      <c r="F55" s="996"/>
      <c r="G55" s="445"/>
      <c r="H55" s="997"/>
      <c r="I55" s="447"/>
      <c r="J55" s="447"/>
      <c r="K55" s="450"/>
      <c r="L55" s="447"/>
      <c r="M55" s="447"/>
      <c r="N55" s="445"/>
      <c r="O55" s="431"/>
      <c r="P55" s="431"/>
      <c r="Q55" s="431"/>
      <c r="R55" s="431"/>
      <c r="S55" s="431"/>
      <c r="T55" s="431"/>
      <c r="U55" s="431"/>
      <c r="V55" s="431"/>
      <c r="W55" s="431"/>
      <c r="X55" s="431"/>
      <c r="Y55" s="431"/>
      <c r="Z55" s="431"/>
    </row>
    <row r="56" spans="1:26" ht="12.75" customHeight="1" x14ac:dyDescent="0.35">
      <c r="A56" s="445"/>
      <c r="B56" s="445"/>
      <c r="C56" s="447"/>
      <c r="D56" s="448"/>
      <c r="E56" s="448"/>
      <c r="F56" s="996"/>
      <c r="G56" s="460"/>
      <c r="H56" s="997"/>
      <c r="I56" s="447"/>
      <c r="J56" s="447"/>
      <c r="K56" s="450"/>
      <c r="L56" s="447"/>
      <c r="M56" s="447"/>
      <c r="N56" s="445"/>
      <c r="O56" s="431"/>
      <c r="P56" s="431"/>
      <c r="Q56" s="431"/>
      <c r="R56" s="431"/>
      <c r="S56" s="431"/>
      <c r="T56" s="431"/>
      <c r="U56" s="431"/>
      <c r="V56" s="431"/>
      <c r="W56" s="431"/>
      <c r="X56" s="431"/>
      <c r="Y56" s="431"/>
      <c r="Z56" s="431"/>
    </row>
    <row r="57" spans="1:26" ht="12.75" customHeight="1" x14ac:dyDescent="0.35">
      <c r="A57" s="445"/>
      <c r="B57" s="445"/>
      <c r="C57" s="447"/>
      <c r="D57" s="448"/>
      <c r="E57" s="448"/>
      <c r="F57" s="996"/>
      <c r="G57" s="460"/>
      <c r="H57" s="997"/>
      <c r="I57" s="447"/>
      <c r="J57" s="447"/>
      <c r="K57" s="450"/>
      <c r="L57" s="447"/>
      <c r="M57" s="447"/>
      <c r="N57" s="445"/>
      <c r="O57" s="431"/>
      <c r="P57" s="431"/>
      <c r="Q57" s="431"/>
      <c r="R57" s="431"/>
      <c r="S57" s="431"/>
      <c r="T57" s="431"/>
      <c r="U57" s="431"/>
      <c r="V57" s="431"/>
      <c r="W57" s="431"/>
      <c r="X57" s="431"/>
      <c r="Y57" s="431"/>
      <c r="Z57" s="431"/>
    </row>
    <row r="58" spans="1:26" ht="12.75" customHeight="1" x14ac:dyDescent="0.35">
      <c r="A58" s="473"/>
      <c r="B58" s="452"/>
      <c r="C58" s="476"/>
      <c r="D58" s="477"/>
      <c r="E58" s="452"/>
      <c r="F58" s="1006"/>
      <c r="G58" s="476"/>
      <c r="H58" s="1009"/>
      <c r="I58" s="452"/>
      <c r="J58" s="452"/>
      <c r="K58" s="452"/>
      <c r="L58" s="452"/>
      <c r="M58" s="452"/>
      <c r="N58" s="452"/>
      <c r="O58" s="452"/>
      <c r="P58" s="452"/>
      <c r="Q58" s="452"/>
      <c r="R58" s="452"/>
      <c r="S58" s="452"/>
      <c r="T58" s="452"/>
      <c r="U58" s="452"/>
      <c r="V58" s="452"/>
      <c r="W58" s="452"/>
      <c r="X58" s="452"/>
      <c r="Y58" s="452"/>
      <c r="Z58" s="452"/>
    </row>
    <row r="59" spans="1:26" ht="12.75" customHeight="1" x14ac:dyDescent="0.35">
      <c r="A59" s="445"/>
      <c r="B59" s="445"/>
      <c r="C59" s="447"/>
      <c r="D59" s="448"/>
      <c r="E59" s="448"/>
      <c r="F59" s="996"/>
      <c r="G59" s="460"/>
      <c r="H59" s="997"/>
      <c r="I59" s="447"/>
      <c r="J59" s="447"/>
      <c r="K59" s="450"/>
      <c r="L59" s="447"/>
      <c r="M59" s="447"/>
      <c r="N59" s="445"/>
      <c r="O59" s="431"/>
      <c r="P59" s="431"/>
      <c r="Q59" s="431"/>
      <c r="R59" s="431"/>
      <c r="S59" s="431"/>
      <c r="T59" s="431"/>
      <c r="U59" s="431"/>
      <c r="V59" s="431"/>
      <c r="W59" s="431"/>
      <c r="X59" s="431"/>
      <c r="Y59" s="431"/>
      <c r="Z59" s="431"/>
    </row>
    <row r="60" spans="1:26" ht="12.75" customHeight="1" x14ac:dyDescent="0.35">
      <c r="A60" s="445"/>
      <c r="B60" s="445"/>
      <c r="C60" s="447"/>
      <c r="D60" s="448"/>
      <c r="E60" s="448"/>
      <c r="F60" s="996"/>
      <c r="G60" s="460"/>
      <c r="H60" s="997"/>
      <c r="I60" s="447"/>
      <c r="J60" s="447"/>
      <c r="K60" s="450"/>
      <c r="L60" s="447"/>
      <c r="M60" s="447"/>
      <c r="N60" s="450"/>
      <c r="O60" s="431"/>
      <c r="P60" s="431"/>
      <c r="Q60" s="431"/>
      <c r="R60" s="431"/>
      <c r="S60" s="431"/>
      <c r="T60" s="431"/>
      <c r="U60" s="431"/>
      <c r="V60" s="431"/>
      <c r="W60" s="431"/>
      <c r="X60" s="431"/>
      <c r="Y60" s="431"/>
      <c r="Z60" s="431"/>
    </row>
    <row r="61" spans="1:26" ht="12.75" customHeight="1" x14ac:dyDescent="0.35">
      <c r="A61" s="473"/>
      <c r="B61" s="452"/>
      <c r="C61" s="474"/>
      <c r="D61" s="476"/>
      <c r="E61" s="452"/>
      <c r="F61" s="1006"/>
      <c r="G61" s="474"/>
      <c r="H61" s="1007"/>
      <c r="I61" s="452"/>
      <c r="J61" s="452"/>
      <c r="K61" s="452"/>
      <c r="L61" s="452"/>
      <c r="M61" s="452"/>
      <c r="N61" s="452"/>
      <c r="O61" s="452"/>
      <c r="P61" s="452"/>
      <c r="Q61" s="452"/>
      <c r="R61" s="452"/>
      <c r="S61" s="452"/>
      <c r="T61" s="452"/>
      <c r="U61" s="452"/>
      <c r="V61" s="452"/>
      <c r="W61" s="452"/>
      <c r="X61" s="452"/>
      <c r="Y61" s="452"/>
      <c r="Z61" s="452"/>
    </row>
    <row r="62" spans="1:26" ht="12.75" customHeight="1" x14ac:dyDescent="0.35">
      <c r="G62" s="478"/>
    </row>
    <row r="63" spans="1:26" ht="12.75" customHeight="1" x14ac:dyDescent="0.35">
      <c r="G63" s="478"/>
    </row>
    <row r="64" spans="1:26" ht="12.75" customHeight="1" x14ac:dyDescent="0.35">
      <c r="G64" s="478"/>
    </row>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row r="1001" ht="12.75" customHeight="1" x14ac:dyDescent="0.35"/>
    <row r="1002" ht="12.75" customHeight="1" x14ac:dyDescent="0.35"/>
    <row r="1003" ht="12.75" customHeight="1" x14ac:dyDescent="0.35"/>
    <row r="1004" ht="12.75" customHeight="1" x14ac:dyDescent="0.35"/>
    <row r="1005" ht="12.75" customHeight="1" x14ac:dyDescent="0.35"/>
    <row r="1006" ht="12.75" customHeight="1" x14ac:dyDescent="0.35"/>
    <row r="1007" ht="12.75" customHeight="1" x14ac:dyDescent="0.35"/>
  </sheetData>
  <mergeCells count="1">
    <mergeCell ref="G3:J3"/>
  </mergeCells>
  <pageMargins left="0.75" right="0.75" top="1" bottom="1" header="0.51180555555555496" footer="0.51180555555555496"/>
  <pageSetup firstPageNumber="0" orientation="portrait" horizontalDpi="300" verticalDpi="30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AMK1000"/>
  <sheetViews>
    <sheetView zoomScale="74" zoomScaleNormal="74" workbookViewId="0">
      <selection activeCell="B21" sqref="B21"/>
    </sheetView>
  </sheetViews>
  <sheetFormatPr defaultColWidth="8.81640625" defaultRowHeight="14.5" x14ac:dyDescent="0.35"/>
  <cols>
    <col min="1" max="1" width="9.453125" style="1" customWidth="1"/>
    <col min="2" max="2" width="61.453125" style="1" customWidth="1"/>
    <col min="3" max="3" width="18.453125" style="1" customWidth="1"/>
    <col min="4" max="4" width="26" style="1" customWidth="1"/>
    <col min="5" max="5" width="12.453125" style="1" customWidth="1"/>
    <col min="6" max="26" width="9.453125" style="1" customWidth="1"/>
    <col min="27" max="1025" width="13.453125" style="1" customWidth="1"/>
  </cols>
  <sheetData>
    <row r="1" spans="2:6" ht="14.25" customHeight="1" x14ac:dyDescent="0.35">
      <c r="C1" s="57"/>
      <c r="D1" s="57"/>
      <c r="E1" s="57"/>
    </row>
    <row r="2" spans="2:6" ht="14.25" customHeight="1" x14ac:dyDescent="0.35">
      <c r="C2" s="57"/>
      <c r="D2" s="57"/>
      <c r="E2" s="57"/>
    </row>
    <row r="3" spans="2:6" ht="14.25" customHeight="1" x14ac:dyDescent="0.35">
      <c r="B3" s="479" t="s">
        <v>2110</v>
      </c>
      <c r="C3" s="480" t="s">
        <v>2111</v>
      </c>
      <c r="D3" s="480" t="s">
        <v>1473</v>
      </c>
      <c r="E3" s="480" t="s">
        <v>2112</v>
      </c>
      <c r="F3" s="481" t="s">
        <v>1475</v>
      </c>
    </row>
    <row r="4" spans="2:6" ht="14.25" customHeight="1" x14ac:dyDescent="0.35">
      <c r="B4" s="482" t="s">
        <v>2113</v>
      </c>
      <c r="C4" s="483"/>
      <c r="D4" s="484"/>
      <c r="E4" s="483"/>
      <c r="F4" s="485"/>
    </row>
    <row r="5" spans="2:6" ht="14.25" customHeight="1" x14ac:dyDescent="0.35">
      <c r="B5" s="482" t="s">
        <v>2114</v>
      </c>
      <c r="C5" s="483"/>
      <c r="D5" s="483"/>
      <c r="E5" s="483"/>
      <c r="F5" s="486"/>
    </row>
    <row r="6" spans="2:6" ht="14.25" customHeight="1" x14ac:dyDescent="0.35">
      <c r="B6" s="482" t="s">
        <v>2115</v>
      </c>
      <c r="C6" s="483"/>
      <c r="D6" s="487"/>
      <c r="E6" s="483"/>
      <c r="F6" s="485"/>
    </row>
    <row r="7" spans="2:6" ht="14.25" customHeight="1" x14ac:dyDescent="0.35">
      <c r="B7" s="488" t="s">
        <v>2116</v>
      </c>
      <c r="C7" s="489"/>
      <c r="D7" s="487"/>
      <c r="E7" s="489"/>
      <c r="F7" s="485"/>
    </row>
    <row r="8" spans="2:6" ht="30.75" customHeight="1" x14ac:dyDescent="0.35">
      <c r="B8" s="490" t="s">
        <v>2117</v>
      </c>
      <c r="C8" s="489"/>
      <c r="D8" s="487"/>
      <c r="E8" s="489"/>
      <c r="F8" s="485"/>
    </row>
    <row r="9" spans="2:6" ht="14.25" customHeight="1" x14ac:dyDescent="0.35">
      <c r="B9" s="488" t="s">
        <v>2118</v>
      </c>
      <c r="C9" s="489"/>
      <c r="D9" s="487"/>
      <c r="E9" s="489"/>
      <c r="F9" s="485"/>
    </row>
    <row r="10" spans="2:6" ht="14.25" customHeight="1" x14ac:dyDescent="0.35">
      <c r="C10" s="57"/>
      <c r="D10" s="57"/>
      <c r="E10" s="57"/>
    </row>
    <row r="11" spans="2:6" ht="14.25" customHeight="1" x14ac:dyDescent="0.35">
      <c r="B11" s="491" t="s">
        <v>2119</v>
      </c>
      <c r="C11" s="491" t="s">
        <v>2</v>
      </c>
      <c r="D11" s="491" t="s">
        <v>2120</v>
      </c>
      <c r="E11" s="491" t="s">
        <v>2121</v>
      </c>
    </row>
    <row r="12" spans="2:6" ht="14.25" customHeight="1" x14ac:dyDescent="0.35">
      <c r="B12" s="492" t="s">
        <v>2122</v>
      </c>
      <c r="C12" s="493"/>
      <c r="D12" s="494"/>
      <c r="E12" s="494"/>
    </row>
    <row r="13" spans="2:6" ht="14.25" customHeight="1" x14ac:dyDescent="0.35">
      <c r="B13" s="495" t="s">
        <v>2123</v>
      </c>
      <c r="C13" s="495"/>
      <c r="D13" s="495"/>
      <c r="E13" s="496"/>
    </row>
    <row r="14" spans="2:6" ht="14.25" customHeight="1" x14ac:dyDescent="0.35">
      <c r="B14" s="58"/>
      <c r="C14" s="57"/>
      <c r="D14" s="57"/>
    </row>
    <row r="15" spans="2:6" ht="14.25" customHeight="1" x14ac:dyDescent="0.35">
      <c r="B15" s="497" t="s">
        <v>2124</v>
      </c>
      <c r="C15" s="498" t="s">
        <v>2125</v>
      </c>
      <c r="D15" s="498" t="s">
        <v>2126</v>
      </c>
      <c r="E15" s="59"/>
    </row>
    <row r="16" spans="2:6" ht="14.25" customHeight="1" x14ac:dyDescent="0.35">
      <c r="B16" s="496" t="s">
        <v>2127</v>
      </c>
      <c r="C16" s="499"/>
      <c r="D16" s="500" t="s">
        <v>2128</v>
      </c>
      <c r="E16" s="59"/>
    </row>
    <row r="17" spans="2:5" ht="14.25" customHeight="1" x14ac:dyDescent="0.35">
      <c r="B17" s="496" t="s">
        <v>2129</v>
      </c>
      <c r="C17" s="501"/>
      <c r="D17" s="500" t="s">
        <v>2130</v>
      </c>
      <c r="E17" s="59"/>
    </row>
    <row r="18" spans="2:5" ht="14.25" customHeight="1" x14ac:dyDescent="0.35">
      <c r="B18" s="496" t="s">
        <v>2131</v>
      </c>
      <c r="C18" s="478"/>
      <c r="D18" s="492" t="s">
        <v>2132</v>
      </c>
      <c r="E18" s="57"/>
    </row>
    <row r="19" spans="2:5" ht="14.25" customHeight="1" x14ac:dyDescent="0.35">
      <c r="B19" s="496" t="s">
        <v>2133</v>
      </c>
      <c r="C19" s="499"/>
      <c r="D19" s="500" t="s">
        <v>2134</v>
      </c>
      <c r="E19" s="57"/>
    </row>
    <row r="20" spans="2:5" ht="14.25" customHeight="1" x14ac:dyDescent="0.35"/>
    <row r="21" spans="2:5" ht="14.25" customHeight="1" x14ac:dyDescent="0.35"/>
    <row r="22" spans="2:5" ht="14.25" customHeight="1" x14ac:dyDescent="0.35"/>
    <row r="23" spans="2:5" ht="14.25" customHeight="1" x14ac:dyDescent="0.35"/>
    <row r="24" spans="2:5" ht="14.25" customHeight="1" x14ac:dyDescent="0.35"/>
    <row r="25" spans="2:5" ht="14.25" customHeight="1" x14ac:dyDescent="0.35"/>
    <row r="26" spans="2:5" ht="14.25" customHeight="1" x14ac:dyDescent="0.35"/>
    <row r="27" spans="2:5" ht="14.25" customHeight="1" x14ac:dyDescent="0.35"/>
    <row r="28" spans="2:5" ht="14.25" customHeight="1" x14ac:dyDescent="0.35"/>
    <row r="29" spans="2:5" ht="14.25" customHeight="1" x14ac:dyDescent="0.35"/>
    <row r="30" spans="2:5" ht="14.25" customHeight="1" x14ac:dyDescent="0.35"/>
    <row r="31" spans="2:5" ht="14.25" customHeight="1" x14ac:dyDescent="0.35"/>
    <row r="32" spans="2:5" ht="14.25" customHeight="1" x14ac:dyDescent="0.35"/>
    <row r="33" ht="14.25" customHeight="1" x14ac:dyDescent="0.35"/>
    <row r="34" ht="14.25" customHeight="1" x14ac:dyDescent="0.35"/>
    <row r="35" ht="14.25" customHeight="1" x14ac:dyDescent="0.35"/>
    <row r="36" ht="14.25" customHeight="1" x14ac:dyDescent="0.35"/>
    <row r="37" ht="14.25" customHeight="1" x14ac:dyDescent="0.35"/>
    <row r="38" ht="14.25" customHeight="1" x14ac:dyDescent="0.35"/>
    <row r="39" ht="14.25" customHeight="1" x14ac:dyDescent="0.35"/>
    <row r="40" ht="14.25" customHeight="1" x14ac:dyDescent="0.35"/>
    <row r="41" ht="14.25" customHeight="1" x14ac:dyDescent="0.35"/>
    <row r="42" ht="14.25" customHeight="1" x14ac:dyDescent="0.35"/>
    <row r="43" ht="14.25" customHeight="1" x14ac:dyDescent="0.35"/>
    <row r="44" ht="14.25" customHeight="1" x14ac:dyDescent="0.35"/>
    <row r="45" ht="14.25" customHeight="1" x14ac:dyDescent="0.35"/>
    <row r="46" ht="14.25" customHeight="1" x14ac:dyDescent="0.35"/>
    <row r="47" ht="14.25" customHeight="1" x14ac:dyDescent="0.35"/>
    <row r="48"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hyperlinks>
    <hyperlink ref="B12" r:id="rId1" xr:uid="{00000000-0004-0000-0B00-000000000000}"/>
    <hyperlink ref="D16" r:id="rId2" xr:uid="{00000000-0004-0000-0B00-000001000000}"/>
    <hyperlink ref="D17" r:id="rId3" xr:uid="{00000000-0004-0000-0B00-000002000000}"/>
    <hyperlink ref="D18" r:id="rId4" xr:uid="{00000000-0004-0000-0B00-000003000000}"/>
    <hyperlink ref="D19" r:id="rId5" xr:uid="{00000000-0004-0000-0B00-000004000000}"/>
  </hyperlinks>
  <pageMargins left="0.7" right="0.7" top="0.75" bottom="0.75" header="0.51180555555555496" footer="0.51180555555555496"/>
  <pageSetup firstPageNumber="0" orientation="landscape"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800080"/>
  </sheetPr>
  <dimension ref="A1:AMK1000"/>
  <sheetViews>
    <sheetView zoomScale="74" zoomScaleNormal="74" workbookViewId="0">
      <selection activeCell="D18" sqref="D18"/>
    </sheetView>
  </sheetViews>
  <sheetFormatPr defaultColWidth="8.81640625" defaultRowHeight="14.5" x14ac:dyDescent="0.35"/>
  <cols>
    <col min="1" max="1" width="11.453125" style="1"/>
    <col min="2" max="2" width="14.453125" style="1" customWidth="1"/>
    <col min="3" max="3" width="19.453125" style="1" customWidth="1"/>
    <col min="4" max="4" width="57.453125" style="60" customWidth="1"/>
    <col min="5" max="5" width="19.453125" style="1" customWidth="1"/>
    <col min="6" max="6" width="14.453125" style="1" customWidth="1"/>
    <col min="7" max="7" width="19.453125" style="1" customWidth="1"/>
    <col min="8" max="25" width="14.453125" style="1" customWidth="1"/>
    <col min="26" max="1025" width="13.453125" style="1" customWidth="1"/>
  </cols>
  <sheetData>
    <row r="1" spans="1:25" ht="51.75" customHeight="1" x14ac:dyDescent="0.35">
      <c r="A1" s="1010" t="s">
        <v>2135</v>
      </c>
      <c r="B1" s="1011" t="s">
        <v>2136</v>
      </c>
      <c r="C1" s="1011" t="s">
        <v>2137</v>
      </c>
      <c r="D1" s="1011" t="s">
        <v>2138</v>
      </c>
      <c r="E1" s="1011" t="s">
        <v>2139</v>
      </c>
      <c r="F1" s="1011" t="s">
        <v>2140</v>
      </c>
      <c r="G1" s="1011" t="s">
        <v>2141</v>
      </c>
      <c r="H1" s="1012" t="s">
        <v>2142</v>
      </c>
      <c r="I1" s="1011" t="s">
        <v>2143</v>
      </c>
      <c r="J1" s="1011" t="s">
        <v>210</v>
      </c>
      <c r="K1" s="1011" t="s">
        <v>2144</v>
      </c>
      <c r="L1" s="1011" t="s">
        <v>2145</v>
      </c>
      <c r="M1" s="52"/>
      <c r="N1" s="52"/>
      <c r="O1" s="52"/>
      <c r="P1" s="52"/>
      <c r="Q1" s="52"/>
      <c r="R1" s="52"/>
      <c r="S1" s="52"/>
      <c r="T1" s="52"/>
      <c r="U1" s="52"/>
      <c r="V1" s="52"/>
      <c r="W1" s="52"/>
      <c r="X1" s="52"/>
      <c r="Y1" s="52"/>
    </row>
    <row r="2" spans="1:25" ht="12.75" customHeight="1" x14ac:dyDescent="0.35">
      <c r="A2" s="502"/>
      <c r="B2" s="503"/>
      <c r="C2" s="454"/>
      <c r="D2" s="454"/>
      <c r="E2" s="454"/>
      <c r="F2" s="454"/>
      <c r="G2" s="454"/>
      <c r="H2" s="504"/>
      <c r="I2" s="504"/>
      <c r="J2" s="454"/>
      <c r="K2" s="505"/>
      <c r="L2" s="506"/>
      <c r="M2" s="52"/>
      <c r="N2" s="52"/>
      <c r="O2" s="52"/>
      <c r="P2" s="52"/>
      <c r="Q2" s="52"/>
      <c r="R2" s="52"/>
      <c r="S2" s="52"/>
      <c r="T2" s="52"/>
      <c r="U2" s="52"/>
      <c r="V2" s="52"/>
      <c r="W2" s="52"/>
      <c r="X2" s="52"/>
      <c r="Y2" s="52"/>
    </row>
    <row r="3" spans="1:25" ht="12.75" customHeight="1" x14ac:dyDescent="0.35">
      <c r="A3" s="466"/>
      <c r="B3" s="503"/>
      <c r="C3" s="454"/>
      <c r="D3" s="454"/>
      <c r="E3" s="466"/>
      <c r="F3" s="466"/>
      <c r="G3" s="466"/>
      <c r="H3" s="504"/>
      <c r="I3" s="466"/>
      <c r="J3" s="466"/>
      <c r="K3" s="432"/>
      <c r="L3" s="432"/>
      <c r="M3" s="52"/>
      <c r="N3" s="52"/>
      <c r="O3" s="52"/>
      <c r="P3" s="52"/>
      <c r="Q3" s="52"/>
      <c r="R3" s="52"/>
      <c r="S3" s="52"/>
      <c r="T3" s="52"/>
      <c r="U3" s="52"/>
      <c r="V3" s="52"/>
      <c r="W3" s="52"/>
      <c r="X3" s="52"/>
      <c r="Y3" s="52"/>
    </row>
    <row r="4" spans="1:25" ht="12.75" customHeight="1" x14ac:dyDescent="0.35">
      <c r="A4" s="466"/>
      <c r="B4" s="466"/>
      <c r="C4" s="466"/>
      <c r="D4" s="454"/>
      <c r="E4" s="466"/>
      <c r="F4" s="466"/>
      <c r="G4" s="466"/>
      <c r="H4" s="466"/>
      <c r="I4" s="466"/>
      <c r="J4" s="466"/>
      <c r="K4" s="432"/>
      <c r="L4" s="432"/>
      <c r="M4" s="52"/>
      <c r="N4" s="52"/>
      <c r="O4" s="52"/>
      <c r="P4" s="52"/>
      <c r="Q4" s="52"/>
      <c r="R4" s="52"/>
      <c r="S4" s="52"/>
      <c r="T4" s="52"/>
      <c r="U4" s="52"/>
      <c r="V4" s="52"/>
      <c r="W4" s="52"/>
      <c r="X4" s="52"/>
      <c r="Y4" s="52"/>
    </row>
    <row r="5" spans="1:25" ht="12.75" customHeight="1" x14ac:dyDescent="0.35">
      <c r="A5" s="466"/>
      <c r="B5" s="466"/>
      <c r="C5" s="466"/>
      <c r="D5" s="454"/>
      <c r="E5" s="466"/>
      <c r="F5" s="466"/>
      <c r="G5" s="466"/>
      <c r="H5" s="466"/>
      <c r="I5" s="466"/>
      <c r="J5" s="466"/>
      <c r="K5" s="432"/>
      <c r="L5" s="432"/>
      <c r="M5" s="52"/>
      <c r="N5" s="52"/>
      <c r="O5" s="52"/>
      <c r="P5" s="52"/>
      <c r="Q5" s="52"/>
      <c r="R5" s="52"/>
      <c r="S5" s="52"/>
      <c r="T5" s="52"/>
      <c r="U5" s="52"/>
      <c r="V5" s="52"/>
      <c r="W5" s="52"/>
      <c r="X5" s="52"/>
      <c r="Y5" s="52"/>
    </row>
    <row r="6" spans="1:25" ht="12.75" customHeight="1" x14ac:dyDescent="0.35">
      <c r="A6" s="466"/>
      <c r="B6" s="466"/>
      <c r="C6" s="466"/>
      <c r="D6" s="454"/>
      <c r="E6" s="466"/>
      <c r="F6" s="466"/>
      <c r="G6" s="466"/>
      <c r="H6" s="466"/>
      <c r="I6" s="466"/>
      <c r="J6" s="466"/>
      <c r="K6" s="432"/>
      <c r="L6" s="432"/>
      <c r="M6" s="52"/>
      <c r="N6" s="52"/>
      <c r="O6" s="52"/>
      <c r="P6" s="52"/>
      <c r="Q6" s="52"/>
      <c r="R6" s="52"/>
      <c r="S6" s="52"/>
      <c r="T6" s="52"/>
      <c r="U6" s="52"/>
      <c r="V6" s="52"/>
      <c r="W6" s="52"/>
      <c r="X6" s="52"/>
      <c r="Y6" s="52"/>
    </row>
    <row r="7" spans="1:25" ht="12.75" customHeight="1" x14ac:dyDescent="0.35">
      <c r="A7" s="466"/>
      <c r="B7" s="466"/>
      <c r="C7" s="466"/>
      <c r="D7" s="454"/>
      <c r="E7" s="466"/>
      <c r="F7" s="466"/>
      <c r="G7" s="466"/>
      <c r="H7" s="466"/>
      <c r="I7" s="466"/>
      <c r="J7" s="466"/>
      <c r="K7" s="432"/>
      <c r="L7" s="432"/>
      <c r="M7" s="52"/>
      <c r="N7" s="52"/>
      <c r="O7" s="52"/>
      <c r="P7" s="52"/>
      <c r="Q7" s="52"/>
      <c r="R7" s="52"/>
      <c r="S7" s="52"/>
      <c r="T7" s="52"/>
      <c r="U7" s="52"/>
      <c r="V7" s="52"/>
      <c r="W7" s="52"/>
      <c r="X7" s="52"/>
      <c r="Y7" s="52"/>
    </row>
    <row r="8" spans="1:25" ht="12.75" customHeight="1" x14ac:dyDescent="0.35">
      <c r="A8" s="466"/>
      <c r="B8" s="466"/>
      <c r="C8" s="466"/>
      <c r="D8" s="454"/>
      <c r="E8" s="466"/>
      <c r="F8" s="466"/>
      <c r="G8" s="466"/>
      <c r="H8" s="466"/>
      <c r="I8" s="466"/>
      <c r="J8" s="466"/>
      <c r="K8" s="432"/>
      <c r="L8" s="432"/>
      <c r="M8" s="52"/>
      <c r="N8" s="52"/>
      <c r="O8" s="52"/>
      <c r="P8" s="52"/>
      <c r="Q8" s="52"/>
      <c r="R8" s="52"/>
      <c r="S8" s="52"/>
      <c r="T8" s="52"/>
      <c r="U8" s="52"/>
      <c r="V8" s="52"/>
      <c r="W8" s="52"/>
      <c r="X8" s="52"/>
      <c r="Y8" s="52"/>
    </row>
    <row r="9" spans="1:25" ht="12.75" customHeight="1" x14ac:dyDescent="0.35">
      <c r="A9" s="466"/>
      <c r="B9" s="466"/>
      <c r="C9" s="466"/>
      <c r="D9" s="454"/>
      <c r="E9" s="466"/>
      <c r="F9" s="466"/>
      <c r="G9" s="466"/>
      <c r="H9" s="466"/>
      <c r="I9" s="466"/>
      <c r="J9" s="466"/>
      <c r="K9" s="432"/>
      <c r="L9" s="432"/>
      <c r="M9" s="52"/>
      <c r="N9" s="52"/>
      <c r="O9" s="52"/>
      <c r="P9" s="52"/>
      <c r="Q9" s="52"/>
      <c r="R9" s="52"/>
      <c r="S9" s="52"/>
      <c r="T9" s="52"/>
      <c r="U9" s="52"/>
      <c r="V9" s="52"/>
      <c r="W9" s="52"/>
      <c r="X9" s="52"/>
      <c r="Y9" s="52"/>
    </row>
    <row r="10" spans="1:25" ht="12.75" customHeight="1" x14ac:dyDescent="0.35">
      <c r="A10" s="466"/>
      <c r="B10" s="466"/>
      <c r="C10" s="466"/>
      <c r="D10" s="454"/>
      <c r="E10" s="466"/>
      <c r="F10" s="466"/>
      <c r="G10" s="466"/>
      <c r="H10" s="466"/>
      <c r="I10" s="466"/>
      <c r="J10" s="466"/>
      <c r="K10" s="432"/>
      <c r="L10" s="432"/>
      <c r="M10" s="52"/>
      <c r="N10" s="52"/>
      <c r="O10" s="52"/>
      <c r="P10" s="52"/>
      <c r="Q10" s="52"/>
      <c r="R10" s="52"/>
      <c r="S10" s="52"/>
      <c r="T10" s="52"/>
      <c r="U10" s="52"/>
      <c r="V10" s="52"/>
      <c r="W10" s="52"/>
      <c r="X10" s="52"/>
      <c r="Y10" s="52"/>
    </row>
    <row r="11" spans="1:25" ht="12.75" customHeight="1" x14ac:dyDescent="0.35">
      <c r="A11" s="466"/>
      <c r="B11" s="466"/>
      <c r="C11" s="466"/>
      <c r="D11" s="454"/>
      <c r="E11" s="466"/>
      <c r="F11" s="466"/>
      <c r="G11" s="466"/>
      <c r="H11" s="466"/>
      <c r="I11" s="466"/>
      <c r="J11" s="466"/>
      <c r="K11" s="432"/>
      <c r="L11" s="432"/>
      <c r="M11" s="52"/>
      <c r="N11" s="52"/>
      <c r="O11" s="52"/>
      <c r="P11" s="52"/>
      <c r="Q11" s="52"/>
      <c r="R11" s="52"/>
      <c r="S11" s="52"/>
      <c r="T11" s="52"/>
      <c r="U11" s="52"/>
      <c r="V11" s="52"/>
      <c r="W11" s="52"/>
      <c r="X11" s="52"/>
      <c r="Y11" s="52"/>
    </row>
    <row r="12" spans="1:25" ht="12.75" customHeight="1" x14ac:dyDescent="0.35">
      <c r="A12" s="466"/>
      <c r="B12" s="466"/>
      <c r="C12" s="466"/>
      <c r="D12" s="454"/>
      <c r="E12" s="466"/>
      <c r="F12" s="466"/>
      <c r="G12" s="466"/>
      <c r="H12" s="466"/>
      <c r="I12" s="466"/>
      <c r="J12" s="466"/>
      <c r="K12" s="432"/>
      <c r="L12" s="432"/>
      <c r="M12" s="52"/>
      <c r="N12" s="52"/>
      <c r="O12" s="52"/>
      <c r="P12" s="52"/>
      <c r="Q12" s="52"/>
      <c r="R12" s="52"/>
      <c r="S12" s="52"/>
      <c r="T12" s="52"/>
      <c r="U12" s="52"/>
      <c r="V12" s="52"/>
      <c r="W12" s="52"/>
      <c r="X12" s="52"/>
      <c r="Y12" s="52"/>
    </row>
    <row r="13" spans="1:25" ht="12.75" customHeight="1" x14ac:dyDescent="0.35">
      <c r="A13" s="466"/>
      <c r="B13" s="466"/>
      <c r="C13" s="466"/>
      <c r="D13" s="454"/>
      <c r="E13" s="466"/>
      <c r="F13" s="466"/>
      <c r="G13" s="466"/>
      <c r="H13" s="466"/>
      <c r="I13" s="466"/>
      <c r="J13" s="466"/>
      <c r="K13" s="432"/>
      <c r="L13" s="432"/>
      <c r="M13" s="52"/>
      <c r="N13" s="52"/>
      <c r="O13" s="52"/>
      <c r="P13" s="52"/>
      <c r="Q13" s="52"/>
      <c r="R13" s="52"/>
      <c r="S13" s="52"/>
      <c r="T13" s="52"/>
      <c r="U13" s="52"/>
      <c r="V13" s="52"/>
      <c r="W13" s="52"/>
      <c r="X13" s="52"/>
      <c r="Y13" s="52"/>
    </row>
    <row r="14" spans="1:25" ht="12.75" customHeight="1" x14ac:dyDescent="0.35">
      <c r="A14" s="466"/>
      <c r="B14" s="466"/>
      <c r="C14" s="466"/>
      <c r="D14" s="454"/>
      <c r="E14" s="466"/>
      <c r="F14" s="466"/>
      <c r="G14" s="466"/>
      <c r="H14" s="466"/>
      <c r="I14" s="466"/>
      <c r="J14" s="466"/>
      <c r="K14" s="432"/>
      <c r="L14" s="432"/>
      <c r="M14" s="52"/>
      <c r="N14" s="52"/>
      <c r="O14" s="52"/>
      <c r="P14" s="52"/>
      <c r="Q14" s="52"/>
      <c r="R14" s="52"/>
      <c r="S14" s="52"/>
      <c r="T14" s="52"/>
      <c r="U14" s="52"/>
      <c r="V14" s="52"/>
      <c r="W14" s="52"/>
      <c r="X14" s="52"/>
      <c r="Y14" s="52"/>
    </row>
    <row r="15" spans="1:25" ht="12.75" customHeight="1" x14ac:dyDescent="0.35">
      <c r="A15" s="466"/>
      <c r="B15" s="466"/>
      <c r="C15" s="466"/>
      <c r="D15" s="454"/>
      <c r="E15" s="466"/>
      <c r="F15" s="466"/>
      <c r="G15" s="466"/>
      <c r="H15" s="466"/>
      <c r="I15" s="466"/>
      <c r="J15" s="466"/>
      <c r="K15" s="432"/>
      <c r="L15" s="432"/>
      <c r="M15" s="52"/>
      <c r="N15" s="52"/>
      <c r="O15" s="52"/>
      <c r="P15" s="52"/>
      <c r="Q15" s="52"/>
      <c r="R15" s="52"/>
      <c r="S15" s="52"/>
      <c r="T15" s="52"/>
      <c r="U15" s="52"/>
      <c r="V15" s="52"/>
      <c r="W15" s="52"/>
      <c r="X15" s="52"/>
      <c r="Y15" s="52"/>
    </row>
    <row r="16" spans="1:25" ht="12.75" customHeight="1" x14ac:dyDescent="0.35">
      <c r="A16" s="466"/>
      <c r="B16" s="466"/>
      <c r="C16" s="466"/>
      <c r="D16" s="454"/>
      <c r="E16" s="466"/>
      <c r="F16" s="466"/>
      <c r="G16" s="466"/>
      <c r="H16" s="466"/>
      <c r="I16" s="466"/>
      <c r="J16" s="466"/>
      <c r="K16" s="431"/>
      <c r="L16" s="431"/>
      <c r="M16" s="52"/>
      <c r="N16" s="52"/>
      <c r="O16" s="52"/>
      <c r="P16" s="52"/>
      <c r="Q16" s="52"/>
      <c r="R16" s="52"/>
      <c r="S16" s="52"/>
      <c r="T16" s="52"/>
      <c r="U16" s="52"/>
      <c r="V16" s="52"/>
      <c r="W16" s="52"/>
      <c r="X16" s="52"/>
      <c r="Y16" s="52"/>
    </row>
    <row r="17" spans="1:25" ht="12.75" customHeight="1" x14ac:dyDescent="0.35">
      <c r="A17" s="466"/>
      <c r="B17" s="466"/>
      <c r="C17" s="466"/>
      <c r="D17" s="454"/>
      <c r="E17" s="466"/>
      <c r="F17" s="466"/>
      <c r="G17" s="466"/>
      <c r="H17" s="466"/>
      <c r="I17" s="466"/>
      <c r="J17" s="466"/>
      <c r="K17" s="431"/>
      <c r="L17" s="431"/>
      <c r="M17" s="52"/>
      <c r="N17" s="52"/>
      <c r="O17" s="52"/>
      <c r="P17" s="52"/>
      <c r="Q17" s="52"/>
      <c r="R17" s="52"/>
      <c r="S17" s="52"/>
      <c r="T17" s="52"/>
      <c r="U17" s="52"/>
      <c r="V17" s="52"/>
      <c r="W17" s="52"/>
      <c r="X17" s="52"/>
      <c r="Y17" s="52"/>
    </row>
    <row r="18" spans="1:25" ht="12.75" customHeight="1" x14ac:dyDescent="0.35">
      <c r="A18" s="431"/>
      <c r="B18" s="431"/>
      <c r="C18" s="431"/>
      <c r="D18" s="507"/>
      <c r="E18" s="431"/>
      <c r="F18" s="431"/>
      <c r="G18" s="431"/>
      <c r="H18" s="431"/>
      <c r="I18" s="431"/>
      <c r="J18" s="431"/>
      <c r="K18" s="431"/>
      <c r="L18" s="431"/>
      <c r="M18" s="52"/>
      <c r="N18" s="52"/>
      <c r="O18" s="52"/>
      <c r="P18" s="52"/>
      <c r="Q18" s="52"/>
      <c r="R18" s="52"/>
      <c r="S18" s="52"/>
      <c r="T18" s="52"/>
      <c r="U18" s="52"/>
      <c r="V18" s="52"/>
      <c r="W18" s="52"/>
      <c r="X18" s="52"/>
      <c r="Y18" s="52"/>
    </row>
    <row r="19" spans="1:25" ht="12.75" customHeight="1" x14ac:dyDescent="0.35">
      <c r="A19" s="431"/>
      <c r="B19" s="431"/>
      <c r="C19" s="431"/>
      <c r="D19" s="507"/>
      <c r="E19" s="431"/>
      <c r="F19" s="431"/>
      <c r="G19" s="431"/>
      <c r="H19" s="431"/>
      <c r="I19" s="431"/>
      <c r="J19" s="431"/>
      <c r="K19" s="431"/>
      <c r="L19" s="431"/>
      <c r="M19" s="52"/>
      <c r="N19" s="52"/>
      <c r="O19" s="52"/>
      <c r="P19" s="52"/>
      <c r="Q19" s="52"/>
      <c r="R19" s="52"/>
      <c r="S19" s="52"/>
      <c r="T19" s="52"/>
      <c r="U19" s="52"/>
      <c r="V19" s="52"/>
      <c r="W19" s="52"/>
      <c r="X19" s="52"/>
      <c r="Y19" s="52"/>
    </row>
    <row r="20" spans="1:25" ht="12.75" customHeight="1" x14ac:dyDescent="0.35">
      <c r="A20" s="431"/>
      <c r="B20" s="431"/>
      <c r="C20" s="431"/>
      <c r="D20" s="507"/>
      <c r="E20" s="431"/>
      <c r="F20" s="431"/>
      <c r="G20" s="431"/>
      <c r="H20" s="431"/>
      <c r="I20" s="431"/>
      <c r="J20" s="431"/>
      <c r="K20" s="431"/>
      <c r="L20" s="431"/>
      <c r="M20" s="52"/>
      <c r="N20" s="52"/>
      <c r="O20" s="52"/>
      <c r="P20" s="52"/>
      <c r="Q20" s="52"/>
      <c r="R20" s="52"/>
      <c r="S20" s="52"/>
      <c r="T20" s="52"/>
      <c r="U20" s="52"/>
      <c r="V20" s="52"/>
      <c r="W20" s="52"/>
      <c r="X20" s="52"/>
      <c r="Y20" s="52"/>
    </row>
    <row r="21" spans="1:25" ht="12.75" customHeight="1" x14ac:dyDescent="0.35">
      <c r="A21" s="431"/>
      <c r="B21" s="431"/>
      <c r="C21" s="431"/>
      <c r="D21" s="507"/>
      <c r="E21" s="431"/>
      <c r="F21" s="431"/>
      <c r="G21" s="431"/>
      <c r="H21" s="431"/>
      <c r="I21" s="431"/>
      <c r="J21" s="431"/>
      <c r="K21" s="431"/>
      <c r="L21" s="431"/>
      <c r="M21" s="52"/>
      <c r="N21" s="52"/>
      <c r="O21" s="52"/>
      <c r="P21" s="52"/>
      <c r="Q21" s="52"/>
      <c r="R21" s="52"/>
      <c r="S21" s="52"/>
      <c r="T21" s="52"/>
      <c r="U21" s="52"/>
      <c r="V21" s="52"/>
      <c r="W21" s="52"/>
      <c r="X21" s="52"/>
      <c r="Y21" s="52"/>
    </row>
    <row r="22" spans="1:25" ht="12.75" customHeight="1" x14ac:dyDescent="0.35"/>
    <row r="23" spans="1:25" ht="12.75" customHeight="1" x14ac:dyDescent="0.35"/>
    <row r="24" spans="1:25" ht="12.75" customHeight="1" x14ac:dyDescent="0.35"/>
    <row r="25" spans="1:25" ht="12.75" customHeight="1" x14ac:dyDescent="0.35"/>
    <row r="26" spans="1:25" ht="12.75" customHeight="1" x14ac:dyDescent="0.35"/>
    <row r="27" spans="1:25" ht="12.75" customHeight="1" x14ac:dyDescent="0.35"/>
    <row r="28" spans="1:25" ht="12.75" customHeight="1" x14ac:dyDescent="0.35"/>
    <row r="29" spans="1:25" ht="12.75" customHeight="1" x14ac:dyDescent="0.35"/>
    <row r="30" spans="1:25" ht="12.75" customHeight="1" x14ac:dyDescent="0.35"/>
    <row r="31" spans="1:25" ht="12.75" customHeight="1" x14ac:dyDescent="0.35"/>
    <row r="32" spans="1:25" ht="12.75" customHeight="1" x14ac:dyDescent="0.35"/>
    <row r="33" ht="12.75" customHeight="1" x14ac:dyDescent="0.35"/>
    <row r="34" ht="12.75" customHeight="1" x14ac:dyDescent="0.35"/>
    <row r="35" ht="12.75" customHeight="1" x14ac:dyDescent="0.35"/>
    <row r="36" ht="12.75" customHeight="1" x14ac:dyDescent="0.35"/>
    <row r="37" ht="12.75" customHeight="1" x14ac:dyDescent="0.35"/>
    <row r="38" ht="12.75" customHeight="1" x14ac:dyDescent="0.35"/>
    <row r="39" ht="12.75" customHeight="1" x14ac:dyDescent="0.35"/>
    <row r="40" ht="12.75" customHeight="1" x14ac:dyDescent="0.35"/>
    <row r="41" ht="12.75" customHeight="1" x14ac:dyDescent="0.35"/>
    <row r="42" ht="12.75" customHeight="1" x14ac:dyDescent="0.35"/>
    <row r="43" ht="12.75" customHeight="1" x14ac:dyDescent="0.35"/>
    <row r="44" ht="12.75" customHeight="1" x14ac:dyDescent="0.35"/>
    <row r="45" ht="12.75" customHeight="1" x14ac:dyDescent="0.35"/>
    <row r="46" ht="12.75" customHeight="1" x14ac:dyDescent="0.35"/>
    <row r="47" ht="12.75" customHeight="1" x14ac:dyDescent="0.35"/>
    <row r="48"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conditionalFormatting sqref="F2">
    <cfRule type="expression" dxfId="5" priority="2">
      <formula>NOT(ISERROR(SEARCH("HIgh",F2)))</formula>
    </cfRule>
  </conditionalFormatting>
  <conditionalFormatting sqref="F2">
    <cfRule type="expression" dxfId="4" priority="3">
      <formula>NOT(ISERROR(SEARCH("Low",F2)))</formula>
    </cfRule>
  </conditionalFormatting>
  <conditionalFormatting sqref="F2">
    <cfRule type="expression" dxfId="3" priority="4">
      <formula>NOT(ISERROR(SEARCH("Medium",F2)))</formula>
    </cfRule>
  </conditionalFormatting>
  <pageMargins left="0.75" right="0.75" top="1" bottom="1" header="0.51180555555555496" footer="0.51180555555555496"/>
  <pageSetup firstPageNumber="0" orientation="landscape"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tabColor rgb="FF99CCFF"/>
  </sheetPr>
  <dimension ref="A1:AMK998"/>
  <sheetViews>
    <sheetView zoomScale="74" zoomScaleNormal="74" workbookViewId="0">
      <selection activeCell="D9" sqref="D9"/>
    </sheetView>
  </sheetViews>
  <sheetFormatPr defaultColWidth="8.81640625" defaultRowHeight="14.5" x14ac:dyDescent="0.35"/>
  <cols>
    <col min="1" max="1" width="8.453125" style="1" customWidth="1"/>
    <col min="2" max="2" width="12.453125" style="1" customWidth="1"/>
    <col min="3" max="3" width="25.453125" style="1" customWidth="1"/>
    <col min="4" max="4" width="56.453125" style="1" customWidth="1"/>
    <col min="5" max="5" width="13.453125" style="1" customWidth="1"/>
    <col min="6" max="6" width="10.453125" style="1" customWidth="1"/>
    <col min="7" max="7" width="12.453125" style="1" customWidth="1"/>
    <col min="8" max="8" width="8.453125" style="1" customWidth="1"/>
    <col min="9" max="9" width="14.453125" style="1" customWidth="1"/>
    <col min="10" max="10" width="48" style="1" customWidth="1"/>
    <col min="11" max="11" width="19.453125" style="1" customWidth="1"/>
    <col min="12" max="12" width="18.453125" style="1" customWidth="1"/>
    <col min="13" max="14" width="8.453125" style="1" customWidth="1"/>
    <col min="15" max="15" width="37.453125" style="1" customWidth="1"/>
    <col min="16" max="26" width="9.453125" style="1" customWidth="1"/>
    <col min="27" max="1025" width="13.453125" style="1" customWidth="1"/>
  </cols>
  <sheetData>
    <row r="1" spans="1:26" ht="44.9" customHeight="1" x14ac:dyDescent="0.35">
      <c r="A1" s="508" t="s">
        <v>2146</v>
      </c>
      <c r="B1" s="508" t="s">
        <v>2147</v>
      </c>
      <c r="C1" s="508" t="s">
        <v>2148</v>
      </c>
      <c r="D1" s="508" t="s">
        <v>2148</v>
      </c>
      <c r="E1" s="509" t="s">
        <v>2149</v>
      </c>
      <c r="F1" s="508" t="s">
        <v>2150</v>
      </c>
      <c r="G1" s="510" t="s">
        <v>2151</v>
      </c>
      <c r="H1" s="510" t="s">
        <v>2152</v>
      </c>
      <c r="I1" s="510" t="s">
        <v>2153</v>
      </c>
      <c r="J1" s="511" t="s">
        <v>2154</v>
      </c>
      <c r="K1" s="511" t="s">
        <v>2155</v>
      </c>
      <c r="L1" s="511" t="s">
        <v>2156</v>
      </c>
      <c r="M1" s="511" t="s">
        <v>210</v>
      </c>
      <c r="N1" s="511" t="s">
        <v>2157</v>
      </c>
      <c r="O1" s="512" t="s">
        <v>133</v>
      </c>
      <c r="P1" s="52"/>
      <c r="Q1" s="52"/>
      <c r="R1" s="52"/>
      <c r="S1" s="52"/>
      <c r="T1" s="52"/>
      <c r="U1" s="52"/>
      <c r="V1" s="52"/>
      <c r="W1" s="52"/>
      <c r="X1" s="52"/>
      <c r="Y1" s="52"/>
      <c r="Z1" s="52"/>
    </row>
    <row r="2" spans="1:26" ht="44.9" customHeight="1" x14ac:dyDescent="0.35">
      <c r="A2" s="513" t="s">
        <v>2158</v>
      </c>
      <c r="B2" s="514"/>
      <c r="C2" s="514" t="s">
        <v>2159</v>
      </c>
      <c r="D2" s="514" t="s">
        <v>2160</v>
      </c>
      <c r="E2" s="515">
        <v>43388</v>
      </c>
      <c r="F2" s="514"/>
      <c r="G2" s="513" t="s">
        <v>2161</v>
      </c>
      <c r="H2" s="513" t="s">
        <v>2162</v>
      </c>
      <c r="I2" s="514"/>
      <c r="J2" s="514" t="s">
        <v>2163</v>
      </c>
      <c r="K2" s="516" t="s">
        <v>197</v>
      </c>
      <c r="L2" s="517"/>
      <c r="M2" s="516"/>
      <c r="N2" s="518"/>
      <c r="O2" s="516"/>
      <c r="P2" s="52"/>
      <c r="Q2" s="52"/>
      <c r="R2" s="52"/>
      <c r="S2" s="52"/>
      <c r="T2" s="52"/>
      <c r="U2" s="52"/>
      <c r="V2" s="52"/>
      <c r="W2" s="52"/>
      <c r="X2" s="52"/>
      <c r="Y2" s="52"/>
      <c r="Z2" s="52"/>
    </row>
    <row r="3" spans="1:26" ht="44.9" customHeight="1" x14ac:dyDescent="0.35">
      <c r="A3" s="513" t="s">
        <v>2164</v>
      </c>
      <c r="B3" s="514"/>
      <c r="C3" s="514" t="s">
        <v>2165</v>
      </c>
      <c r="D3" s="514" t="s">
        <v>2166</v>
      </c>
      <c r="E3" s="515">
        <v>43388</v>
      </c>
      <c r="F3" s="514"/>
      <c r="G3" s="513" t="s">
        <v>2162</v>
      </c>
      <c r="H3" s="513" t="s">
        <v>2162</v>
      </c>
      <c r="I3" s="514"/>
      <c r="J3" s="514" t="s">
        <v>2163</v>
      </c>
      <c r="K3" s="516" t="s">
        <v>197</v>
      </c>
      <c r="L3" s="517"/>
      <c r="M3" s="516"/>
      <c r="N3" s="518"/>
      <c r="O3" s="516"/>
      <c r="P3" s="52"/>
      <c r="Q3" s="52"/>
      <c r="R3" s="52"/>
      <c r="S3" s="52"/>
      <c r="T3" s="52"/>
      <c r="U3" s="52"/>
      <c r="V3" s="52"/>
      <c r="W3" s="52"/>
      <c r="X3" s="52"/>
      <c r="Y3" s="52"/>
      <c r="Z3" s="52"/>
    </row>
    <row r="4" spans="1:26" ht="44.9" customHeight="1" x14ac:dyDescent="0.35">
      <c r="A4" s="513" t="s">
        <v>2167</v>
      </c>
      <c r="B4" s="516"/>
      <c r="C4" s="516"/>
      <c r="D4" s="516"/>
      <c r="E4" s="518"/>
      <c r="F4" s="516"/>
      <c r="G4" s="519"/>
      <c r="H4" s="519"/>
      <c r="I4" s="516"/>
      <c r="J4" s="516"/>
      <c r="K4" s="516"/>
      <c r="L4" s="517"/>
      <c r="M4" s="516"/>
      <c r="N4" s="518"/>
      <c r="O4" s="516"/>
      <c r="P4" s="52"/>
      <c r="Q4" s="52"/>
      <c r="R4" s="52"/>
      <c r="S4" s="52"/>
      <c r="T4" s="52"/>
      <c r="U4" s="52"/>
      <c r="V4" s="52"/>
      <c r="W4" s="52"/>
      <c r="X4" s="52"/>
      <c r="Y4" s="52"/>
      <c r="Z4" s="52"/>
    </row>
    <row r="5" spans="1:26" ht="44.9" customHeight="1" x14ac:dyDescent="0.35">
      <c r="A5" s="513" t="s">
        <v>2168</v>
      </c>
      <c r="B5" s="516"/>
      <c r="C5" s="516"/>
      <c r="D5" s="516"/>
      <c r="E5" s="518"/>
      <c r="F5" s="516"/>
      <c r="G5" s="519"/>
      <c r="H5" s="519"/>
      <c r="I5" s="516"/>
      <c r="J5" s="516"/>
      <c r="K5" s="516"/>
      <c r="L5" s="517"/>
      <c r="M5" s="516"/>
      <c r="N5" s="518"/>
      <c r="O5" s="516"/>
      <c r="P5" s="52"/>
      <c r="Q5" s="52"/>
      <c r="R5" s="52"/>
      <c r="S5" s="52"/>
      <c r="T5" s="52"/>
      <c r="U5" s="52"/>
      <c r="V5" s="52"/>
      <c r="W5" s="52"/>
      <c r="X5" s="52"/>
      <c r="Y5" s="52"/>
      <c r="Z5" s="52"/>
    </row>
    <row r="6" spans="1:26" ht="44.9" customHeight="1" x14ac:dyDescent="0.35">
      <c r="A6" s="513" t="s">
        <v>2169</v>
      </c>
      <c r="B6" s="516"/>
      <c r="C6" s="516"/>
      <c r="D6" s="516"/>
      <c r="E6" s="518"/>
      <c r="F6" s="516"/>
      <c r="G6" s="519"/>
      <c r="H6" s="519"/>
      <c r="I6" s="516"/>
      <c r="J6" s="516"/>
      <c r="K6" s="516"/>
      <c r="L6" s="517"/>
      <c r="M6" s="516"/>
      <c r="N6" s="518"/>
      <c r="O6" s="516"/>
      <c r="P6" s="52"/>
      <c r="Q6" s="52"/>
      <c r="R6" s="52"/>
      <c r="S6" s="52"/>
      <c r="T6" s="52"/>
      <c r="U6" s="52"/>
      <c r="V6" s="52"/>
      <c r="W6" s="52"/>
      <c r="X6" s="52"/>
      <c r="Y6" s="52"/>
      <c r="Z6" s="52"/>
    </row>
    <row r="7" spans="1:26" ht="44.9" customHeight="1" x14ac:dyDescent="0.35">
      <c r="A7" s="513" t="s">
        <v>2170</v>
      </c>
      <c r="B7" s="516"/>
      <c r="C7" s="516"/>
      <c r="D7" s="516"/>
      <c r="E7" s="518"/>
      <c r="F7" s="516"/>
      <c r="G7" s="519"/>
      <c r="H7" s="519"/>
      <c r="I7" s="516"/>
      <c r="J7" s="516"/>
      <c r="K7" s="516"/>
      <c r="L7" s="520"/>
      <c r="M7" s="516"/>
      <c r="N7" s="518"/>
      <c r="O7" s="516"/>
      <c r="P7" s="52"/>
      <c r="Q7" s="52"/>
      <c r="R7" s="52"/>
      <c r="S7" s="52"/>
      <c r="T7" s="52"/>
      <c r="U7" s="52"/>
      <c r="V7" s="52"/>
      <c r="W7" s="52"/>
      <c r="X7" s="52"/>
      <c r="Y7" s="52"/>
      <c r="Z7" s="52"/>
    </row>
    <row r="8" spans="1:26" ht="44.9" customHeight="1" x14ac:dyDescent="0.35"/>
    <row r="9" spans="1:26" ht="44.9" customHeight="1" x14ac:dyDescent="0.35"/>
    <row r="10" spans="1:26" ht="44.9" customHeight="1" x14ac:dyDescent="0.35"/>
    <row r="11" spans="1:26" ht="44.9" customHeight="1" x14ac:dyDescent="0.35"/>
    <row r="12" spans="1:26" ht="44.9" customHeight="1" x14ac:dyDescent="0.35"/>
    <row r="13" spans="1:26" ht="44.9" customHeight="1" x14ac:dyDescent="0.35"/>
    <row r="14" spans="1:26" ht="44.9" customHeight="1" x14ac:dyDescent="0.35"/>
    <row r="15" spans="1:26" ht="44.9" customHeight="1" x14ac:dyDescent="0.35"/>
    <row r="16" spans="1:26" ht="44.9" customHeight="1" x14ac:dyDescent="0.35"/>
    <row r="17" ht="44.9" customHeight="1" x14ac:dyDescent="0.35"/>
    <row r="18" ht="44.9" customHeight="1" x14ac:dyDescent="0.35"/>
    <row r="19" ht="44.9" customHeight="1" x14ac:dyDescent="0.35"/>
    <row r="20" ht="44.9" customHeight="1" x14ac:dyDescent="0.35"/>
    <row r="21" ht="44.9" customHeight="1" x14ac:dyDescent="0.35"/>
    <row r="22" ht="44.9" customHeight="1" x14ac:dyDescent="0.35"/>
    <row r="23" ht="44.9" customHeight="1" x14ac:dyDescent="0.35"/>
    <row r="24" ht="44.9" customHeight="1" x14ac:dyDescent="0.35"/>
    <row r="25" ht="44.9" customHeight="1" x14ac:dyDescent="0.35"/>
    <row r="26" ht="44.9" customHeight="1" x14ac:dyDescent="0.35"/>
    <row r="27" ht="44.9" customHeight="1" x14ac:dyDescent="0.35"/>
    <row r="28" ht="44.9" customHeight="1" x14ac:dyDescent="0.35"/>
    <row r="29" ht="44.9" customHeight="1" x14ac:dyDescent="0.35"/>
    <row r="30" ht="44.9" customHeight="1" x14ac:dyDescent="0.35"/>
    <row r="31" ht="44.9" customHeight="1" x14ac:dyDescent="0.35"/>
    <row r="32" ht="44.9" customHeight="1" x14ac:dyDescent="0.35"/>
    <row r="33" ht="44.9" customHeight="1" x14ac:dyDescent="0.35"/>
    <row r="34" ht="44.9" customHeight="1" x14ac:dyDescent="0.35"/>
    <row r="35" ht="44.9" customHeight="1" x14ac:dyDescent="0.35"/>
    <row r="36" ht="44.9" customHeight="1" x14ac:dyDescent="0.35"/>
    <row r="37" ht="44.9" customHeight="1" x14ac:dyDescent="0.35"/>
    <row r="38" ht="44.9" customHeight="1" x14ac:dyDescent="0.35"/>
    <row r="39" ht="44.9" customHeight="1" x14ac:dyDescent="0.35"/>
    <row r="40" ht="44.9" customHeight="1" x14ac:dyDescent="0.35"/>
    <row r="41" ht="44.9" customHeight="1" x14ac:dyDescent="0.35"/>
    <row r="42" ht="44.9" customHeight="1" x14ac:dyDescent="0.35"/>
    <row r="43" ht="44.9" customHeight="1" x14ac:dyDescent="0.35"/>
    <row r="44" ht="44.9" customHeight="1" x14ac:dyDescent="0.35"/>
    <row r="45" ht="44.9" customHeight="1" x14ac:dyDescent="0.35"/>
    <row r="46" ht="44.9" customHeight="1" x14ac:dyDescent="0.35"/>
    <row r="47" ht="44.9" customHeight="1" x14ac:dyDescent="0.35"/>
    <row r="48" ht="44.9" customHeight="1" x14ac:dyDescent="0.35"/>
    <row r="49" ht="44.9" customHeight="1" x14ac:dyDescent="0.35"/>
    <row r="50" ht="44.9" customHeight="1" x14ac:dyDescent="0.35"/>
    <row r="51" ht="44.9" customHeight="1" x14ac:dyDescent="0.35"/>
    <row r="52" ht="44.9" customHeight="1" x14ac:dyDescent="0.35"/>
    <row r="53" ht="44.9" customHeight="1" x14ac:dyDescent="0.35"/>
    <row r="54" ht="44.9" customHeight="1" x14ac:dyDescent="0.35"/>
    <row r="55" ht="44.9" customHeight="1" x14ac:dyDescent="0.35"/>
    <row r="56" ht="44.9" customHeight="1" x14ac:dyDescent="0.35"/>
    <row r="57" ht="44.9" customHeight="1" x14ac:dyDescent="0.35"/>
    <row r="58" ht="44.9" customHeight="1" x14ac:dyDescent="0.35"/>
    <row r="59" ht="44.9" customHeight="1" x14ac:dyDescent="0.35"/>
    <row r="60" ht="44.9" customHeight="1" x14ac:dyDescent="0.35"/>
    <row r="61" ht="44.9" customHeight="1" x14ac:dyDescent="0.35"/>
    <row r="62" ht="44.9" customHeight="1" x14ac:dyDescent="0.35"/>
    <row r="63" ht="44.9" customHeight="1" x14ac:dyDescent="0.35"/>
    <row r="64" ht="44.9" customHeight="1" x14ac:dyDescent="0.35"/>
    <row r="65" ht="44.9" customHeight="1" x14ac:dyDescent="0.35"/>
    <row r="66" ht="44.9" customHeight="1" x14ac:dyDescent="0.35"/>
    <row r="67" ht="44.9" customHeight="1" x14ac:dyDescent="0.35"/>
    <row r="68" ht="44.9" customHeight="1" x14ac:dyDescent="0.35"/>
    <row r="69" ht="44.9" customHeight="1" x14ac:dyDescent="0.35"/>
    <row r="70" ht="44.9" customHeight="1" x14ac:dyDescent="0.35"/>
    <row r="71" ht="44.9" customHeight="1" x14ac:dyDescent="0.35"/>
    <row r="72" ht="44.9" customHeight="1" x14ac:dyDescent="0.35"/>
    <row r="73" ht="44.9" customHeight="1" x14ac:dyDescent="0.35"/>
    <row r="74" ht="44.9" customHeight="1" x14ac:dyDescent="0.35"/>
    <row r="75" ht="44.9" customHeight="1" x14ac:dyDescent="0.35"/>
    <row r="76" ht="44.9" customHeight="1" x14ac:dyDescent="0.35"/>
    <row r="77" ht="44.9" customHeight="1" x14ac:dyDescent="0.35"/>
    <row r="78" ht="44.9" customHeight="1" x14ac:dyDescent="0.35"/>
    <row r="79" ht="44.9" customHeight="1" x14ac:dyDescent="0.35"/>
    <row r="80" ht="44.9" customHeight="1" x14ac:dyDescent="0.35"/>
    <row r="81" ht="44.9" customHeight="1" x14ac:dyDescent="0.35"/>
    <row r="82" ht="44.9" customHeight="1" x14ac:dyDescent="0.35"/>
    <row r="83" ht="44.9" customHeight="1" x14ac:dyDescent="0.35"/>
    <row r="84" ht="44.9" customHeight="1" x14ac:dyDescent="0.35"/>
    <row r="85" ht="44.9" customHeight="1" x14ac:dyDescent="0.35"/>
    <row r="86" ht="44.9" customHeight="1" x14ac:dyDescent="0.35"/>
    <row r="87" ht="44.9" customHeight="1" x14ac:dyDescent="0.35"/>
    <row r="88" ht="44.9" customHeight="1" x14ac:dyDescent="0.35"/>
    <row r="89" ht="44.9" customHeight="1" x14ac:dyDescent="0.35"/>
    <row r="90" ht="44.9" customHeight="1" x14ac:dyDescent="0.35"/>
    <row r="91" ht="44.9" customHeight="1" x14ac:dyDescent="0.35"/>
    <row r="92" ht="44.9" customHeight="1" x14ac:dyDescent="0.35"/>
    <row r="93" ht="44.9" customHeight="1" x14ac:dyDescent="0.35"/>
    <row r="94" ht="44.9" customHeight="1" x14ac:dyDescent="0.35"/>
    <row r="95" ht="44.9" customHeight="1" x14ac:dyDescent="0.35"/>
    <row r="96" ht="44.9" customHeight="1" x14ac:dyDescent="0.35"/>
    <row r="97" ht="44.9" customHeight="1" x14ac:dyDescent="0.35"/>
    <row r="98" ht="44.9" customHeight="1" x14ac:dyDescent="0.35"/>
    <row r="99" ht="44.9" customHeight="1" x14ac:dyDescent="0.35"/>
    <row r="100" ht="44.9" customHeight="1" x14ac:dyDescent="0.35"/>
    <row r="101" ht="44.9" customHeight="1" x14ac:dyDescent="0.35"/>
    <row r="102" ht="44.9" customHeight="1" x14ac:dyDescent="0.35"/>
    <row r="103" ht="44.9" customHeight="1" x14ac:dyDescent="0.35"/>
    <row r="104" ht="44.9" customHeight="1" x14ac:dyDescent="0.35"/>
    <row r="105" ht="44.9" customHeight="1" x14ac:dyDescent="0.35"/>
    <row r="106" ht="44.9" customHeight="1" x14ac:dyDescent="0.35"/>
    <row r="107" ht="44.9" customHeight="1" x14ac:dyDescent="0.35"/>
    <row r="108" ht="44.9" customHeight="1" x14ac:dyDescent="0.35"/>
    <row r="109" ht="44.9" customHeight="1" x14ac:dyDescent="0.35"/>
    <row r="110" ht="44.9" customHeight="1" x14ac:dyDescent="0.35"/>
    <row r="111" ht="44.9" customHeight="1" x14ac:dyDescent="0.35"/>
    <row r="112" ht="44.9" customHeight="1" x14ac:dyDescent="0.35"/>
    <row r="113" ht="44.9" customHeight="1" x14ac:dyDescent="0.35"/>
    <row r="114" ht="44.9" customHeight="1" x14ac:dyDescent="0.35"/>
    <row r="115" ht="44.9" customHeight="1" x14ac:dyDescent="0.35"/>
    <row r="116" ht="44.9" customHeight="1" x14ac:dyDescent="0.35"/>
    <row r="117" ht="44.9" customHeight="1" x14ac:dyDescent="0.35"/>
    <row r="118" ht="44.9" customHeight="1" x14ac:dyDescent="0.35"/>
    <row r="119" ht="44.9" customHeight="1" x14ac:dyDescent="0.35"/>
    <row r="120" ht="44.9" customHeight="1" x14ac:dyDescent="0.35"/>
    <row r="121" ht="44.9" customHeight="1" x14ac:dyDescent="0.35"/>
    <row r="122" ht="44.9" customHeight="1" x14ac:dyDescent="0.35"/>
    <row r="123" ht="44.9" customHeight="1" x14ac:dyDescent="0.35"/>
    <row r="124" ht="44.9" customHeight="1" x14ac:dyDescent="0.35"/>
    <row r="125" ht="44.9" customHeight="1" x14ac:dyDescent="0.35"/>
    <row r="126" ht="44.9" customHeight="1" x14ac:dyDescent="0.35"/>
    <row r="127" ht="44.9" customHeight="1" x14ac:dyDescent="0.35"/>
    <row r="128" ht="44.9" customHeight="1" x14ac:dyDescent="0.35"/>
    <row r="129" ht="44.9" customHeight="1" x14ac:dyDescent="0.35"/>
    <row r="130" ht="44.9" customHeight="1" x14ac:dyDescent="0.35"/>
    <row r="131" ht="44.9" customHeight="1" x14ac:dyDescent="0.35"/>
    <row r="132" ht="44.9" customHeight="1" x14ac:dyDescent="0.35"/>
    <row r="133" ht="44.9" customHeight="1" x14ac:dyDescent="0.35"/>
    <row r="134" ht="44.9" customHeight="1" x14ac:dyDescent="0.35"/>
    <row r="135" ht="44.9" customHeight="1" x14ac:dyDescent="0.35"/>
    <row r="136" ht="44.9" customHeight="1" x14ac:dyDescent="0.35"/>
    <row r="137" ht="44.9" customHeight="1" x14ac:dyDescent="0.35"/>
    <row r="138" ht="44.9" customHeight="1" x14ac:dyDescent="0.35"/>
    <row r="139" ht="44.9" customHeight="1" x14ac:dyDescent="0.35"/>
    <row r="140" ht="44.9" customHeight="1" x14ac:dyDescent="0.35"/>
    <row r="141" ht="44.9" customHeight="1" x14ac:dyDescent="0.35"/>
    <row r="142" ht="44.9" customHeight="1" x14ac:dyDescent="0.35"/>
    <row r="143" ht="44.9" customHeight="1" x14ac:dyDescent="0.35"/>
    <row r="144" ht="44.9" customHeight="1" x14ac:dyDescent="0.35"/>
    <row r="145" ht="44.9" customHeight="1" x14ac:dyDescent="0.35"/>
    <row r="146" ht="44.9" customHeight="1" x14ac:dyDescent="0.35"/>
    <row r="147" ht="44.9" customHeight="1" x14ac:dyDescent="0.35"/>
    <row r="148" ht="44.9" customHeight="1" x14ac:dyDescent="0.35"/>
    <row r="149" ht="44.9" customHeight="1" x14ac:dyDescent="0.35"/>
    <row r="150" ht="44.9" customHeight="1" x14ac:dyDescent="0.35"/>
    <row r="151" ht="44.9" customHeight="1" x14ac:dyDescent="0.35"/>
    <row r="152" ht="44.9" customHeight="1" x14ac:dyDescent="0.35"/>
    <row r="153" ht="44.9" customHeight="1" x14ac:dyDescent="0.35"/>
    <row r="154" ht="44.9" customHeight="1" x14ac:dyDescent="0.35"/>
    <row r="155" ht="44.9" customHeight="1" x14ac:dyDescent="0.35"/>
    <row r="156" ht="44.9" customHeight="1" x14ac:dyDescent="0.35"/>
    <row r="157" ht="44.9" customHeight="1" x14ac:dyDescent="0.35"/>
    <row r="158" ht="44.9" customHeight="1" x14ac:dyDescent="0.35"/>
    <row r="159" ht="44.9" customHeight="1" x14ac:dyDescent="0.35"/>
    <row r="160" ht="44.9" customHeight="1" x14ac:dyDescent="0.35"/>
    <row r="161" ht="44.9" customHeight="1" x14ac:dyDescent="0.35"/>
    <row r="162" ht="44.9" customHeight="1" x14ac:dyDescent="0.35"/>
    <row r="163" ht="44.9" customHeight="1" x14ac:dyDescent="0.35"/>
    <row r="164" ht="44.9" customHeight="1" x14ac:dyDescent="0.35"/>
    <row r="165" ht="44.9" customHeight="1" x14ac:dyDescent="0.35"/>
    <row r="166" ht="44.9" customHeight="1" x14ac:dyDescent="0.35"/>
    <row r="167" ht="44.9" customHeight="1" x14ac:dyDescent="0.35"/>
    <row r="168" ht="44.9" customHeight="1" x14ac:dyDescent="0.35"/>
    <row r="169" ht="44.9" customHeight="1" x14ac:dyDescent="0.35"/>
    <row r="170" ht="44.9" customHeight="1" x14ac:dyDescent="0.35"/>
    <row r="171" ht="44.9" customHeight="1" x14ac:dyDescent="0.35"/>
    <row r="172" ht="44.9" customHeight="1" x14ac:dyDescent="0.35"/>
    <row r="173" ht="44.9" customHeight="1" x14ac:dyDescent="0.35"/>
    <row r="174" ht="44.9" customHeight="1" x14ac:dyDescent="0.35"/>
    <row r="175" ht="44.9" customHeight="1" x14ac:dyDescent="0.35"/>
    <row r="176" ht="44.9" customHeight="1" x14ac:dyDescent="0.35"/>
    <row r="177" ht="44.9" customHeight="1" x14ac:dyDescent="0.35"/>
    <row r="178" ht="44.9" customHeight="1" x14ac:dyDescent="0.35"/>
    <row r="179" ht="44.9" customHeight="1" x14ac:dyDescent="0.35"/>
    <row r="180" ht="44.9" customHeight="1" x14ac:dyDescent="0.35"/>
    <row r="181" ht="44.9" customHeight="1" x14ac:dyDescent="0.35"/>
    <row r="182" ht="44.9" customHeight="1" x14ac:dyDescent="0.35"/>
    <row r="183" ht="44.9" customHeight="1" x14ac:dyDescent="0.35"/>
    <row r="184" ht="44.9" customHeight="1" x14ac:dyDescent="0.35"/>
    <row r="185" ht="44.9" customHeight="1" x14ac:dyDescent="0.35"/>
    <row r="186" ht="44.9" customHeight="1" x14ac:dyDescent="0.35"/>
    <row r="187" ht="44.9" customHeight="1" x14ac:dyDescent="0.35"/>
    <row r="188" ht="44.9" customHeight="1" x14ac:dyDescent="0.35"/>
    <row r="189" ht="44.9" customHeight="1" x14ac:dyDescent="0.35"/>
    <row r="190" ht="44.9" customHeight="1" x14ac:dyDescent="0.35"/>
    <row r="191" ht="44.9" customHeight="1" x14ac:dyDescent="0.35"/>
    <row r="192" ht="44.9" customHeight="1" x14ac:dyDescent="0.35"/>
    <row r="193" ht="44.9" customHeight="1" x14ac:dyDescent="0.35"/>
    <row r="194" ht="44.9" customHeight="1" x14ac:dyDescent="0.35"/>
    <row r="195" ht="44.9" customHeight="1" x14ac:dyDescent="0.35"/>
    <row r="196" ht="44.9" customHeight="1" x14ac:dyDescent="0.35"/>
    <row r="197" ht="44.9" customHeight="1" x14ac:dyDescent="0.35"/>
    <row r="198" ht="44.9" customHeight="1" x14ac:dyDescent="0.35"/>
    <row r="199" ht="44.9" customHeight="1" x14ac:dyDescent="0.35"/>
    <row r="200" ht="44.9" customHeight="1" x14ac:dyDescent="0.35"/>
    <row r="201" ht="44.9" customHeight="1" x14ac:dyDescent="0.35"/>
    <row r="202" ht="44.9" customHeight="1" x14ac:dyDescent="0.35"/>
    <row r="203" ht="44.9" customHeight="1" x14ac:dyDescent="0.35"/>
    <row r="204" ht="44.9" customHeight="1" x14ac:dyDescent="0.35"/>
    <row r="205" ht="44.9" customHeight="1" x14ac:dyDescent="0.35"/>
    <row r="206" ht="44.9" customHeight="1" x14ac:dyDescent="0.35"/>
    <row r="207" ht="44.9" customHeight="1" x14ac:dyDescent="0.35"/>
    <row r="208" ht="44.9" customHeight="1" x14ac:dyDescent="0.35"/>
    <row r="209" ht="44.9" customHeight="1" x14ac:dyDescent="0.35"/>
    <row r="210" ht="44.9" customHeight="1" x14ac:dyDescent="0.35"/>
    <row r="211" ht="44.9" customHeight="1" x14ac:dyDescent="0.35"/>
    <row r="212" ht="44.9" customHeight="1" x14ac:dyDescent="0.35"/>
    <row r="213" ht="44.9" customHeight="1" x14ac:dyDescent="0.35"/>
    <row r="214" ht="44.9" customHeight="1" x14ac:dyDescent="0.35"/>
    <row r="215" ht="44.9" customHeight="1" x14ac:dyDescent="0.35"/>
    <row r="216" ht="44.9" customHeight="1" x14ac:dyDescent="0.35"/>
    <row r="217" ht="44.9" customHeight="1" x14ac:dyDescent="0.35"/>
    <row r="218" ht="44.9" customHeight="1" x14ac:dyDescent="0.35"/>
    <row r="219" ht="44.9" customHeight="1" x14ac:dyDescent="0.35"/>
    <row r="220" ht="44.9" customHeight="1" x14ac:dyDescent="0.35"/>
    <row r="221" ht="44.9" customHeight="1" x14ac:dyDescent="0.35"/>
    <row r="222" ht="44.9" customHeight="1" x14ac:dyDescent="0.35"/>
    <row r="223" ht="44.9" customHeight="1" x14ac:dyDescent="0.35"/>
    <row r="224" ht="44.9" customHeight="1" x14ac:dyDescent="0.35"/>
    <row r="225" ht="44.9" customHeight="1" x14ac:dyDescent="0.35"/>
    <row r="226" ht="44.9" customHeight="1" x14ac:dyDescent="0.35"/>
    <row r="227" ht="44.9" customHeight="1" x14ac:dyDescent="0.35"/>
    <row r="228" ht="44.9" customHeight="1" x14ac:dyDescent="0.35"/>
    <row r="229" ht="44.9" customHeight="1" x14ac:dyDescent="0.35"/>
    <row r="230" ht="44.9" customHeight="1" x14ac:dyDescent="0.35"/>
    <row r="231" ht="44.9" customHeight="1" x14ac:dyDescent="0.35"/>
    <row r="232" ht="44.9" customHeight="1" x14ac:dyDescent="0.35"/>
    <row r="233" ht="44.9" customHeight="1" x14ac:dyDescent="0.35"/>
    <row r="234" ht="44.9" customHeight="1" x14ac:dyDescent="0.35"/>
    <row r="235" ht="44.9" customHeight="1" x14ac:dyDescent="0.35"/>
    <row r="236" ht="44.9" customHeight="1" x14ac:dyDescent="0.35"/>
    <row r="237" ht="44.9" customHeight="1" x14ac:dyDescent="0.35"/>
    <row r="238" ht="44.9" customHeight="1" x14ac:dyDescent="0.35"/>
    <row r="239" ht="44.9" customHeight="1" x14ac:dyDescent="0.35"/>
    <row r="240" ht="44.9" customHeight="1" x14ac:dyDescent="0.35"/>
    <row r="241" ht="44.9" customHeight="1" x14ac:dyDescent="0.35"/>
    <row r="242" ht="44.9" customHeight="1" x14ac:dyDescent="0.35"/>
    <row r="243" ht="44.9" customHeight="1" x14ac:dyDescent="0.35"/>
    <row r="244" ht="44.9" customHeight="1" x14ac:dyDescent="0.35"/>
    <row r="245" ht="44.9" customHeight="1" x14ac:dyDescent="0.35"/>
    <row r="246" ht="44.9" customHeight="1" x14ac:dyDescent="0.35"/>
    <row r="247" ht="44.9" customHeight="1" x14ac:dyDescent="0.35"/>
    <row r="248" ht="44.9" customHeight="1" x14ac:dyDescent="0.35"/>
    <row r="249" ht="44.9" customHeight="1" x14ac:dyDescent="0.35"/>
    <row r="250" ht="44.9" customHeight="1" x14ac:dyDescent="0.35"/>
    <row r="251" ht="44.9" customHeight="1" x14ac:dyDescent="0.35"/>
    <row r="252" ht="44.9" customHeight="1" x14ac:dyDescent="0.35"/>
    <row r="253" ht="44.9" customHeight="1" x14ac:dyDescent="0.35"/>
    <row r="254" ht="44.9" customHeight="1" x14ac:dyDescent="0.35"/>
    <row r="255" ht="44.9" customHeight="1" x14ac:dyDescent="0.35"/>
    <row r="256" ht="44.9" customHeight="1" x14ac:dyDescent="0.35"/>
    <row r="257" ht="44.9" customHeight="1" x14ac:dyDescent="0.35"/>
    <row r="258" ht="44.9" customHeight="1" x14ac:dyDescent="0.35"/>
    <row r="259" ht="44.9" customHeight="1" x14ac:dyDescent="0.35"/>
    <row r="260" ht="44.9" customHeight="1" x14ac:dyDescent="0.35"/>
    <row r="261" ht="44.9" customHeight="1" x14ac:dyDescent="0.35"/>
    <row r="262" ht="44.9" customHeight="1" x14ac:dyDescent="0.35"/>
    <row r="263" ht="44.9" customHeight="1" x14ac:dyDescent="0.35"/>
    <row r="264" ht="44.9" customHeight="1" x14ac:dyDescent="0.35"/>
    <row r="265" ht="44.9" customHeight="1" x14ac:dyDescent="0.35"/>
    <row r="266" ht="44.9" customHeight="1" x14ac:dyDescent="0.35"/>
    <row r="267" ht="44.9" customHeight="1" x14ac:dyDescent="0.35"/>
    <row r="268" ht="44.9" customHeight="1" x14ac:dyDescent="0.35"/>
    <row r="269" ht="44.9" customHeight="1" x14ac:dyDescent="0.35"/>
    <row r="270" ht="44.9" customHeight="1" x14ac:dyDescent="0.35"/>
    <row r="271" ht="44.9" customHeight="1" x14ac:dyDescent="0.35"/>
    <row r="272" ht="44.9" customHeight="1" x14ac:dyDescent="0.35"/>
    <row r="273" ht="44.9" customHeight="1" x14ac:dyDescent="0.35"/>
    <row r="274" ht="44.9" customHeight="1" x14ac:dyDescent="0.35"/>
    <row r="275" ht="44.9" customHeight="1" x14ac:dyDescent="0.35"/>
    <row r="276" ht="44.9" customHeight="1" x14ac:dyDescent="0.35"/>
    <row r="277" ht="44.9" customHeight="1" x14ac:dyDescent="0.35"/>
    <row r="278" ht="44.9" customHeight="1" x14ac:dyDescent="0.35"/>
    <row r="279" ht="44.9" customHeight="1" x14ac:dyDescent="0.35"/>
    <row r="280" ht="44.9" customHeight="1" x14ac:dyDescent="0.35"/>
    <row r="281" ht="44.9" customHeight="1" x14ac:dyDescent="0.35"/>
    <row r="282" ht="44.9" customHeight="1" x14ac:dyDescent="0.35"/>
    <row r="283" ht="44.9" customHeight="1" x14ac:dyDescent="0.35"/>
    <row r="284" ht="44.9" customHeight="1" x14ac:dyDescent="0.35"/>
    <row r="285" ht="44.9" customHeight="1" x14ac:dyDescent="0.35"/>
    <row r="286" ht="44.9" customHeight="1" x14ac:dyDescent="0.35"/>
    <row r="287" ht="44.9" customHeight="1" x14ac:dyDescent="0.35"/>
    <row r="288" ht="44.9" customHeight="1" x14ac:dyDescent="0.35"/>
    <row r="289" ht="44.9" customHeight="1" x14ac:dyDescent="0.35"/>
    <row r="290" ht="44.9" customHeight="1" x14ac:dyDescent="0.35"/>
    <row r="291" ht="44.9" customHeight="1" x14ac:dyDescent="0.35"/>
    <row r="292" ht="44.9" customHeight="1" x14ac:dyDescent="0.35"/>
    <row r="293" ht="44.9" customHeight="1" x14ac:dyDescent="0.35"/>
    <row r="294" ht="44.9" customHeight="1" x14ac:dyDescent="0.35"/>
    <row r="295" ht="44.9" customHeight="1" x14ac:dyDescent="0.35"/>
    <row r="296" ht="44.9" customHeight="1" x14ac:dyDescent="0.35"/>
    <row r="297" ht="44.9" customHeight="1" x14ac:dyDescent="0.35"/>
    <row r="298" ht="44.9" customHeight="1" x14ac:dyDescent="0.35"/>
    <row r="299" ht="44.9" customHeight="1" x14ac:dyDescent="0.35"/>
    <row r="300" ht="44.9" customHeight="1" x14ac:dyDescent="0.35"/>
    <row r="301" ht="44.9" customHeight="1" x14ac:dyDescent="0.35"/>
    <row r="302" ht="44.9" customHeight="1" x14ac:dyDescent="0.35"/>
    <row r="303" ht="44.9" customHeight="1" x14ac:dyDescent="0.35"/>
    <row r="304" ht="44.9" customHeight="1" x14ac:dyDescent="0.35"/>
    <row r="305" ht="44.9" customHeight="1" x14ac:dyDescent="0.35"/>
    <row r="306" ht="44.9" customHeight="1" x14ac:dyDescent="0.35"/>
    <row r="307" ht="44.9" customHeight="1" x14ac:dyDescent="0.35"/>
    <row r="308" ht="44.9" customHeight="1" x14ac:dyDescent="0.35"/>
    <row r="309" ht="44.9" customHeight="1" x14ac:dyDescent="0.35"/>
    <row r="310" ht="44.9" customHeight="1" x14ac:dyDescent="0.35"/>
    <row r="311" ht="44.9" customHeight="1" x14ac:dyDescent="0.35"/>
    <row r="312" ht="44.9" customHeight="1" x14ac:dyDescent="0.35"/>
    <row r="313" ht="44.9" customHeight="1" x14ac:dyDescent="0.35"/>
    <row r="314" ht="44.9" customHeight="1" x14ac:dyDescent="0.35"/>
    <row r="315" ht="44.9" customHeight="1" x14ac:dyDescent="0.35"/>
    <row r="316" ht="44.9" customHeight="1" x14ac:dyDescent="0.35"/>
    <row r="317" ht="44.9" customHeight="1" x14ac:dyDescent="0.35"/>
    <row r="318" ht="44.9" customHeight="1" x14ac:dyDescent="0.35"/>
    <row r="319" ht="44.9" customHeight="1" x14ac:dyDescent="0.35"/>
    <row r="320" ht="44.9" customHeight="1" x14ac:dyDescent="0.35"/>
    <row r="321" ht="44.9" customHeight="1" x14ac:dyDescent="0.35"/>
    <row r="322" ht="44.9" customHeight="1" x14ac:dyDescent="0.35"/>
    <row r="323" ht="44.9" customHeight="1" x14ac:dyDescent="0.35"/>
    <row r="324" ht="44.9" customHeight="1" x14ac:dyDescent="0.35"/>
    <row r="325" ht="44.9" customHeight="1" x14ac:dyDescent="0.35"/>
    <row r="326" ht="44.9" customHeight="1" x14ac:dyDescent="0.35"/>
    <row r="327" ht="44.9" customHeight="1" x14ac:dyDescent="0.35"/>
    <row r="328" ht="44.9" customHeight="1" x14ac:dyDescent="0.35"/>
    <row r="329" ht="44.9" customHeight="1" x14ac:dyDescent="0.35"/>
    <row r="330" ht="44.9" customHeight="1" x14ac:dyDescent="0.35"/>
    <row r="331" ht="44.9" customHeight="1" x14ac:dyDescent="0.35"/>
    <row r="332" ht="44.9" customHeight="1" x14ac:dyDescent="0.35"/>
    <row r="333" ht="44.9" customHeight="1" x14ac:dyDescent="0.35"/>
    <row r="334" ht="44.9" customHeight="1" x14ac:dyDescent="0.35"/>
    <row r="335" ht="44.9" customHeight="1" x14ac:dyDescent="0.35"/>
    <row r="336" ht="44.9" customHeight="1" x14ac:dyDescent="0.35"/>
    <row r="337" ht="44.9" customHeight="1" x14ac:dyDescent="0.35"/>
    <row r="338" ht="44.9" customHeight="1" x14ac:dyDescent="0.35"/>
    <row r="339" ht="44.9" customHeight="1" x14ac:dyDescent="0.35"/>
    <row r="340" ht="44.9" customHeight="1" x14ac:dyDescent="0.35"/>
    <row r="341" ht="44.9" customHeight="1" x14ac:dyDescent="0.35"/>
    <row r="342" ht="44.9" customHeight="1" x14ac:dyDescent="0.35"/>
    <row r="343" ht="44.9" customHeight="1" x14ac:dyDescent="0.35"/>
    <row r="344" ht="44.9" customHeight="1" x14ac:dyDescent="0.35"/>
    <row r="345" ht="44.9" customHeight="1" x14ac:dyDescent="0.35"/>
    <row r="346" ht="44.9" customHeight="1" x14ac:dyDescent="0.35"/>
    <row r="347" ht="44.9" customHeight="1" x14ac:dyDescent="0.35"/>
    <row r="348" ht="44.9" customHeight="1" x14ac:dyDescent="0.35"/>
    <row r="349" ht="44.9" customHeight="1" x14ac:dyDescent="0.35"/>
    <row r="350" ht="44.9" customHeight="1" x14ac:dyDescent="0.35"/>
    <row r="351" ht="44.9" customHeight="1" x14ac:dyDescent="0.35"/>
    <row r="352" ht="44.9" customHeight="1" x14ac:dyDescent="0.35"/>
    <row r="353" ht="44.9" customHeight="1" x14ac:dyDescent="0.35"/>
    <row r="354" ht="44.9" customHeight="1" x14ac:dyDescent="0.35"/>
    <row r="355" ht="44.9" customHeight="1" x14ac:dyDescent="0.35"/>
    <row r="356" ht="44.9" customHeight="1" x14ac:dyDescent="0.35"/>
    <row r="357" ht="44.9" customHeight="1" x14ac:dyDescent="0.35"/>
    <row r="358" ht="44.9" customHeight="1" x14ac:dyDescent="0.35"/>
    <row r="359" ht="44.9" customHeight="1" x14ac:dyDescent="0.35"/>
    <row r="360" ht="44.9" customHeight="1" x14ac:dyDescent="0.35"/>
    <row r="361" ht="44.9" customHeight="1" x14ac:dyDescent="0.35"/>
    <row r="362" ht="44.9" customHeight="1" x14ac:dyDescent="0.35"/>
    <row r="363" ht="44.9" customHeight="1" x14ac:dyDescent="0.35"/>
    <row r="364" ht="44.9" customHeight="1" x14ac:dyDescent="0.35"/>
    <row r="365" ht="44.9" customHeight="1" x14ac:dyDescent="0.35"/>
    <row r="366" ht="44.9" customHeight="1" x14ac:dyDescent="0.35"/>
    <row r="367" ht="44.9" customHeight="1" x14ac:dyDescent="0.35"/>
    <row r="368" ht="44.9" customHeight="1" x14ac:dyDescent="0.35"/>
    <row r="369" ht="44.9" customHeight="1" x14ac:dyDescent="0.35"/>
    <row r="370" ht="44.9" customHeight="1" x14ac:dyDescent="0.35"/>
    <row r="371" ht="44.9" customHeight="1" x14ac:dyDescent="0.35"/>
    <row r="372" ht="44.9" customHeight="1" x14ac:dyDescent="0.35"/>
    <row r="373" ht="44.9" customHeight="1" x14ac:dyDescent="0.35"/>
    <row r="374" ht="44.9" customHeight="1" x14ac:dyDescent="0.35"/>
    <row r="375" ht="44.9" customHeight="1" x14ac:dyDescent="0.35"/>
    <row r="376" ht="44.9" customHeight="1" x14ac:dyDescent="0.35"/>
    <row r="377" ht="44.9" customHeight="1" x14ac:dyDescent="0.35"/>
    <row r="378" ht="44.9" customHeight="1" x14ac:dyDescent="0.35"/>
    <row r="379" ht="44.9" customHeight="1" x14ac:dyDescent="0.35"/>
    <row r="380" ht="44.9" customHeight="1" x14ac:dyDescent="0.35"/>
    <row r="381" ht="44.9" customHeight="1" x14ac:dyDescent="0.35"/>
    <row r="382" ht="44.9" customHeight="1" x14ac:dyDescent="0.35"/>
    <row r="383" ht="44.9" customHeight="1" x14ac:dyDescent="0.35"/>
    <row r="384" ht="44.9" customHeight="1" x14ac:dyDescent="0.35"/>
    <row r="385" ht="44.9" customHeight="1" x14ac:dyDescent="0.35"/>
    <row r="386" ht="44.9" customHeight="1" x14ac:dyDescent="0.35"/>
    <row r="387" ht="44.9" customHeight="1" x14ac:dyDescent="0.35"/>
    <row r="388" ht="44.9" customHeight="1" x14ac:dyDescent="0.35"/>
    <row r="389" ht="44.9" customHeight="1" x14ac:dyDescent="0.35"/>
    <row r="390" ht="44.9" customHeight="1" x14ac:dyDescent="0.35"/>
    <row r="391" ht="44.9" customHeight="1" x14ac:dyDescent="0.35"/>
    <row r="392" ht="44.9" customHeight="1" x14ac:dyDescent="0.35"/>
    <row r="393" ht="44.9" customHeight="1" x14ac:dyDescent="0.35"/>
    <row r="394" ht="44.9" customHeight="1" x14ac:dyDescent="0.35"/>
    <row r="395" ht="44.9" customHeight="1" x14ac:dyDescent="0.35"/>
    <row r="396" ht="44.9" customHeight="1" x14ac:dyDescent="0.35"/>
    <row r="397" ht="44.9" customHeight="1" x14ac:dyDescent="0.35"/>
    <row r="398" ht="44.9" customHeight="1" x14ac:dyDescent="0.35"/>
    <row r="399" ht="44.9" customHeight="1" x14ac:dyDescent="0.35"/>
    <row r="400" ht="44.9" customHeight="1" x14ac:dyDescent="0.35"/>
    <row r="401" ht="44.9" customHeight="1" x14ac:dyDescent="0.35"/>
    <row r="402" ht="44.9" customHeight="1" x14ac:dyDescent="0.35"/>
    <row r="403" ht="44.9" customHeight="1" x14ac:dyDescent="0.35"/>
    <row r="404" ht="44.9" customHeight="1" x14ac:dyDescent="0.35"/>
    <row r="405" ht="44.9" customHeight="1" x14ac:dyDescent="0.35"/>
    <row r="406" ht="44.9" customHeight="1" x14ac:dyDescent="0.35"/>
    <row r="407" ht="44.9" customHeight="1" x14ac:dyDescent="0.35"/>
    <row r="408" ht="44.9" customHeight="1" x14ac:dyDescent="0.35"/>
    <row r="409" ht="44.9" customHeight="1" x14ac:dyDescent="0.35"/>
    <row r="410" ht="44.9" customHeight="1" x14ac:dyDescent="0.35"/>
    <row r="411" ht="44.9" customHeight="1" x14ac:dyDescent="0.35"/>
    <row r="412" ht="44.9" customHeight="1" x14ac:dyDescent="0.35"/>
    <row r="413" ht="44.9" customHeight="1" x14ac:dyDescent="0.35"/>
    <row r="414" ht="44.9" customHeight="1" x14ac:dyDescent="0.35"/>
    <row r="415" ht="44.9" customHeight="1" x14ac:dyDescent="0.35"/>
    <row r="416" ht="44.9" customHeight="1" x14ac:dyDescent="0.35"/>
    <row r="417" ht="44.9" customHeight="1" x14ac:dyDescent="0.35"/>
    <row r="418" ht="44.9" customHeight="1" x14ac:dyDescent="0.35"/>
    <row r="419" ht="44.9" customHeight="1" x14ac:dyDescent="0.35"/>
    <row r="420" ht="44.9" customHeight="1" x14ac:dyDescent="0.35"/>
    <row r="421" ht="44.9" customHeight="1" x14ac:dyDescent="0.35"/>
    <row r="422" ht="44.9" customHeight="1" x14ac:dyDescent="0.35"/>
    <row r="423" ht="44.9" customHeight="1" x14ac:dyDescent="0.35"/>
    <row r="424" ht="44.9" customHeight="1" x14ac:dyDescent="0.35"/>
    <row r="425" ht="44.9" customHeight="1" x14ac:dyDescent="0.35"/>
    <row r="426" ht="44.9" customHeight="1" x14ac:dyDescent="0.35"/>
    <row r="427" ht="44.9" customHeight="1" x14ac:dyDescent="0.35"/>
    <row r="428" ht="44.9" customHeight="1" x14ac:dyDescent="0.35"/>
    <row r="429" ht="44.9" customHeight="1" x14ac:dyDescent="0.35"/>
    <row r="430" ht="44.9" customHeight="1" x14ac:dyDescent="0.35"/>
    <row r="431" ht="44.9" customHeight="1" x14ac:dyDescent="0.35"/>
    <row r="432" ht="44.9" customHeight="1" x14ac:dyDescent="0.35"/>
    <row r="433" ht="44.9" customHeight="1" x14ac:dyDescent="0.35"/>
    <row r="434" ht="44.9" customHeight="1" x14ac:dyDescent="0.35"/>
    <row r="435" ht="44.9" customHeight="1" x14ac:dyDescent="0.35"/>
    <row r="436" ht="44.9" customHeight="1" x14ac:dyDescent="0.35"/>
    <row r="437" ht="44.9" customHeight="1" x14ac:dyDescent="0.35"/>
    <row r="438" ht="44.9" customHeight="1" x14ac:dyDescent="0.35"/>
    <row r="439" ht="44.9" customHeight="1" x14ac:dyDescent="0.35"/>
    <row r="440" ht="44.9" customHeight="1" x14ac:dyDescent="0.35"/>
    <row r="441" ht="44.9" customHeight="1" x14ac:dyDescent="0.35"/>
    <row r="442" ht="44.9" customHeight="1" x14ac:dyDescent="0.35"/>
    <row r="443" ht="44.9" customHeight="1" x14ac:dyDescent="0.35"/>
    <row r="444" ht="44.9" customHeight="1" x14ac:dyDescent="0.35"/>
    <row r="445" ht="44.9" customHeight="1" x14ac:dyDescent="0.35"/>
    <row r="446" ht="44.9" customHeight="1" x14ac:dyDescent="0.35"/>
    <row r="447" ht="44.9" customHeight="1" x14ac:dyDescent="0.35"/>
    <row r="448" ht="44.9" customHeight="1" x14ac:dyDescent="0.35"/>
    <row r="449" ht="44.9" customHeight="1" x14ac:dyDescent="0.35"/>
    <row r="450" ht="44.9" customHeight="1" x14ac:dyDescent="0.35"/>
    <row r="451" ht="44.9" customHeight="1" x14ac:dyDescent="0.35"/>
    <row r="452" ht="44.9" customHeight="1" x14ac:dyDescent="0.35"/>
    <row r="453" ht="44.9" customHeight="1" x14ac:dyDescent="0.35"/>
    <row r="454" ht="44.9" customHeight="1" x14ac:dyDescent="0.35"/>
    <row r="455" ht="44.9" customHeight="1" x14ac:dyDescent="0.35"/>
    <row r="456" ht="44.9" customHeight="1" x14ac:dyDescent="0.35"/>
    <row r="457" ht="44.9" customHeight="1" x14ac:dyDescent="0.35"/>
    <row r="458" ht="44.9" customHeight="1" x14ac:dyDescent="0.35"/>
    <row r="459" ht="44.9" customHeight="1" x14ac:dyDescent="0.35"/>
    <row r="460" ht="44.9" customHeight="1" x14ac:dyDescent="0.35"/>
    <row r="461" ht="44.9" customHeight="1" x14ac:dyDescent="0.35"/>
    <row r="462" ht="44.9" customHeight="1" x14ac:dyDescent="0.35"/>
    <row r="463" ht="44.9" customHeight="1" x14ac:dyDescent="0.35"/>
    <row r="464" ht="44.9" customHeight="1" x14ac:dyDescent="0.35"/>
    <row r="465" ht="44.9" customHeight="1" x14ac:dyDescent="0.35"/>
    <row r="466" ht="44.9" customHeight="1" x14ac:dyDescent="0.35"/>
    <row r="467" ht="44.9" customHeight="1" x14ac:dyDescent="0.35"/>
    <row r="468" ht="44.9" customHeight="1" x14ac:dyDescent="0.35"/>
    <row r="469" ht="44.9" customHeight="1" x14ac:dyDescent="0.35"/>
    <row r="470" ht="44.9" customHeight="1" x14ac:dyDescent="0.35"/>
    <row r="471" ht="44.9" customHeight="1" x14ac:dyDescent="0.35"/>
    <row r="472" ht="44.9" customHeight="1" x14ac:dyDescent="0.35"/>
    <row r="473" ht="44.9" customHeight="1" x14ac:dyDescent="0.35"/>
    <row r="474" ht="44.9" customHeight="1" x14ac:dyDescent="0.35"/>
    <row r="475" ht="44.9" customHeight="1" x14ac:dyDescent="0.35"/>
    <row r="476" ht="44.9" customHeight="1" x14ac:dyDescent="0.35"/>
    <row r="477" ht="44.9" customHeight="1" x14ac:dyDescent="0.35"/>
    <row r="478" ht="44.9" customHeight="1" x14ac:dyDescent="0.35"/>
    <row r="479" ht="44.9" customHeight="1" x14ac:dyDescent="0.35"/>
    <row r="480" ht="44.9" customHeight="1" x14ac:dyDescent="0.35"/>
    <row r="481" ht="44.9" customHeight="1" x14ac:dyDescent="0.35"/>
    <row r="482" ht="44.9" customHeight="1" x14ac:dyDescent="0.35"/>
    <row r="483" ht="44.9" customHeight="1" x14ac:dyDescent="0.35"/>
    <row r="484" ht="44.9" customHeight="1" x14ac:dyDescent="0.35"/>
    <row r="485" ht="44.9" customHeight="1" x14ac:dyDescent="0.35"/>
    <row r="486" ht="44.9" customHeight="1" x14ac:dyDescent="0.35"/>
    <row r="487" ht="44.9" customHeight="1" x14ac:dyDescent="0.35"/>
    <row r="488" ht="44.9" customHeight="1" x14ac:dyDescent="0.35"/>
    <row r="489" ht="44.9" customHeight="1" x14ac:dyDescent="0.35"/>
    <row r="490" ht="44.9" customHeight="1" x14ac:dyDescent="0.35"/>
    <row r="491" ht="44.9" customHeight="1" x14ac:dyDescent="0.35"/>
    <row r="492" ht="44.9" customHeight="1" x14ac:dyDescent="0.35"/>
    <row r="493" ht="44.9" customHeight="1" x14ac:dyDescent="0.35"/>
    <row r="494" ht="44.9" customHeight="1" x14ac:dyDescent="0.35"/>
    <row r="495" ht="44.9" customHeight="1" x14ac:dyDescent="0.35"/>
    <row r="496" ht="44.9" customHeight="1" x14ac:dyDescent="0.35"/>
    <row r="497" ht="44.9" customHeight="1" x14ac:dyDescent="0.35"/>
    <row r="498" ht="44.9" customHeight="1" x14ac:dyDescent="0.35"/>
    <row r="499" ht="44.9" customHeight="1" x14ac:dyDescent="0.35"/>
    <row r="500" ht="44.9" customHeight="1" x14ac:dyDescent="0.35"/>
    <row r="501" ht="44.9" customHeight="1" x14ac:dyDescent="0.35"/>
    <row r="502" ht="44.9" customHeight="1" x14ac:dyDescent="0.35"/>
    <row r="503" ht="44.9" customHeight="1" x14ac:dyDescent="0.35"/>
    <row r="504" ht="44.9" customHeight="1" x14ac:dyDescent="0.35"/>
    <row r="505" ht="44.9" customHeight="1" x14ac:dyDescent="0.35"/>
    <row r="506" ht="44.9" customHeight="1" x14ac:dyDescent="0.35"/>
    <row r="507" ht="44.9" customHeight="1" x14ac:dyDescent="0.35"/>
    <row r="508" ht="44.9" customHeight="1" x14ac:dyDescent="0.35"/>
    <row r="509" ht="44.9" customHeight="1" x14ac:dyDescent="0.35"/>
    <row r="510" ht="44.9" customHeight="1" x14ac:dyDescent="0.35"/>
    <row r="511" ht="44.9" customHeight="1" x14ac:dyDescent="0.35"/>
    <row r="512" ht="44.9" customHeight="1" x14ac:dyDescent="0.35"/>
    <row r="513" ht="44.9" customHeight="1" x14ac:dyDescent="0.35"/>
    <row r="514" ht="44.9" customHeight="1" x14ac:dyDescent="0.35"/>
    <row r="515" ht="44.9" customHeight="1" x14ac:dyDescent="0.35"/>
    <row r="516" ht="44.9" customHeight="1" x14ac:dyDescent="0.35"/>
    <row r="517" ht="44.9" customHeight="1" x14ac:dyDescent="0.35"/>
    <row r="518" ht="44.9" customHeight="1" x14ac:dyDescent="0.35"/>
    <row r="519" ht="44.9" customHeight="1" x14ac:dyDescent="0.35"/>
    <row r="520" ht="44.9" customHeight="1" x14ac:dyDescent="0.35"/>
    <row r="521" ht="44.9" customHeight="1" x14ac:dyDescent="0.35"/>
    <row r="522" ht="44.9" customHeight="1" x14ac:dyDescent="0.35"/>
    <row r="523" ht="44.9" customHeight="1" x14ac:dyDescent="0.35"/>
    <row r="524" ht="44.9" customHeight="1" x14ac:dyDescent="0.35"/>
    <row r="525" ht="44.9" customHeight="1" x14ac:dyDescent="0.35"/>
    <row r="526" ht="44.9" customHeight="1" x14ac:dyDescent="0.35"/>
    <row r="527" ht="44.9" customHeight="1" x14ac:dyDescent="0.35"/>
    <row r="528" ht="44.9" customHeight="1" x14ac:dyDescent="0.35"/>
    <row r="529" ht="44.9" customHeight="1" x14ac:dyDescent="0.35"/>
    <row r="530" ht="44.9" customHeight="1" x14ac:dyDescent="0.35"/>
    <row r="531" ht="44.9" customHeight="1" x14ac:dyDescent="0.35"/>
    <row r="532" ht="44.9" customHeight="1" x14ac:dyDescent="0.35"/>
    <row r="533" ht="44.9" customHeight="1" x14ac:dyDescent="0.35"/>
    <row r="534" ht="44.9" customHeight="1" x14ac:dyDescent="0.35"/>
    <row r="535" ht="44.9" customHeight="1" x14ac:dyDescent="0.35"/>
    <row r="536" ht="44.9" customHeight="1" x14ac:dyDescent="0.35"/>
    <row r="537" ht="44.9" customHeight="1" x14ac:dyDescent="0.35"/>
    <row r="538" ht="44.9" customHeight="1" x14ac:dyDescent="0.35"/>
    <row r="539" ht="44.9" customHeight="1" x14ac:dyDescent="0.35"/>
    <row r="540" ht="44.9" customHeight="1" x14ac:dyDescent="0.35"/>
    <row r="541" ht="44.9" customHeight="1" x14ac:dyDescent="0.35"/>
    <row r="542" ht="44.9" customHeight="1" x14ac:dyDescent="0.35"/>
    <row r="543" ht="44.9" customHeight="1" x14ac:dyDescent="0.35"/>
    <row r="544" ht="44.9" customHeight="1" x14ac:dyDescent="0.35"/>
    <row r="545" ht="44.9" customHeight="1" x14ac:dyDescent="0.35"/>
    <row r="546" ht="44.9" customHeight="1" x14ac:dyDescent="0.35"/>
    <row r="547" ht="44.9" customHeight="1" x14ac:dyDescent="0.35"/>
    <row r="548" ht="44.9" customHeight="1" x14ac:dyDescent="0.35"/>
    <row r="549" ht="44.9" customHeight="1" x14ac:dyDescent="0.35"/>
    <row r="550" ht="44.9" customHeight="1" x14ac:dyDescent="0.35"/>
    <row r="551" ht="44.9" customHeight="1" x14ac:dyDescent="0.35"/>
    <row r="552" ht="44.9" customHeight="1" x14ac:dyDescent="0.35"/>
    <row r="553" ht="44.9" customHeight="1" x14ac:dyDescent="0.35"/>
    <row r="554" ht="44.9" customHeight="1" x14ac:dyDescent="0.35"/>
    <row r="555" ht="44.9" customHeight="1" x14ac:dyDescent="0.35"/>
    <row r="556" ht="44.9" customHeight="1" x14ac:dyDescent="0.35"/>
    <row r="557" ht="44.9" customHeight="1" x14ac:dyDescent="0.35"/>
    <row r="558" ht="44.9" customHeight="1" x14ac:dyDescent="0.35"/>
    <row r="559" ht="44.9" customHeight="1" x14ac:dyDescent="0.35"/>
    <row r="560" ht="44.9" customHeight="1" x14ac:dyDescent="0.35"/>
    <row r="561" ht="44.9" customHeight="1" x14ac:dyDescent="0.35"/>
    <row r="562" ht="44.9" customHeight="1" x14ac:dyDescent="0.35"/>
    <row r="563" ht="44.9" customHeight="1" x14ac:dyDescent="0.35"/>
    <row r="564" ht="44.9" customHeight="1" x14ac:dyDescent="0.35"/>
    <row r="565" ht="44.9" customHeight="1" x14ac:dyDescent="0.35"/>
    <row r="566" ht="44.9" customHeight="1" x14ac:dyDescent="0.35"/>
    <row r="567" ht="44.9" customHeight="1" x14ac:dyDescent="0.35"/>
    <row r="568" ht="44.9" customHeight="1" x14ac:dyDescent="0.35"/>
    <row r="569" ht="44.9" customHeight="1" x14ac:dyDescent="0.35"/>
    <row r="570" ht="44.9" customHeight="1" x14ac:dyDescent="0.35"/>
    <row r="571" ht="44.9" customHeight="1" x14ac:dyDescent="0.35"/>
    <row r="572" ht="44.9" customHeight="1" x14ac:dyDescent="0.35"/>
    <row r="573" ht="44.9" customHeight="1" x14ac:dyDescent="0.35"/>
    <row r="574" ht="44.9" customHeight="1" x14ac:dyDescent="0.35"/>
    <row r="575" ht="44.9" customHeight="1" x14ac:dyDescent="0.35"/>
    <row r="576" ht="44.9" customHeight="1" x14ac:dyDescent="0.35"/>
    <row r="577" ht="44.9" customHeight="1" x14ac:dyDescent="0.35"/>
    <row r="578" ht="44.9" customHeight="1" x14ac:dyDescent="0.35"/>
    <row r="579" ht="44.9" customHeight="1" x14ac:dyDescent="0.35"/>
    <row r="580" ht="44.9" customHeight="1" x14ac:dyDescent="0.35"/>
    <row r="581" ht="44.9" customHeight="1" x14ac:dyDescent="0.35"/>
    <row r="582" ht="44.9" customHeight="1" x14ac:dyDescent="0.35"/>
    <row r="583" ht="44.9" customHeight="1" x14ac:dyDescent="0.35"/>
    <row r="584" ht="44.9" customHeight="1" x14ac:dyDescent="0.35"/>
    <row r="585" ht="44.9" customHeight="1" x14ac:dyDescent="0.35"/>
    <row r="586" ht="44.9" customHeight="1" x14ac:dyDescent="0.35"/>
    <row r="587" ht="44.9" customHeight="1" x14ac:dyDescent="0.35"/>
    <row r="588" ht="44.9" customHeight="1" x14ac:dyDescent="0.35"/>
    <row r="589" ht="44.9" customHeight="1" x14ac:dyDescent="0.35"/>
    <row r="590" ht="44.9" customHeight="1" x14ac:dyDescent="0.35"/>
    <row r="591" ht="44.9" customHeight="1" x14ac:dyDescent="0.35"/>
    <row r="592" ht="44.9" customHeight="1" x14ac:dyDescent="0.35"/>
    <row r="593" ht="44.9" customHeight="1" x14ac:dyDescent="0.35"/>
    <row r="594" ht="44.9" customHeight="1" x14ac:dyDescent="0.35"/>
    <row r="595" ht="44.9" customHeight="1" x14ac:dyDescent="0.35"/>
    <row r="596" ht="44.9" customHeight="1" x14ac:dyDescent="0.35"/>
    <row r="597" ht="44.9" customHeight="1" x14ac:dyDescent="0.35"/>
    <row r="598" ht="44.9" customHeight="1" x14ac:dyDescent="0.35"/>
    <row r="599" ht="44.9" customHeight="1" x14ac:dyDescent="0.35"/>
    <row r="600" ht="44.9" customHeight="1" x14ac:dyDescent="0.35"/>
    <row r="601" ht="44.9" customHeight="1" x14ac:dyDescent="0.35"/>
    <row r="602" ht="44.9" customHeight="1" x14ac:dyDescent="0.35"/>
    <row r="603" ht="44.9" customHeight="1" x14ac:dyDescent="0.35"/>
    <row r="604" ht="44.9" customHeight="1" x14ac:dyDescent="0.35"/>
    <row r="605" ht="44.9" customHeight="1" x14ac:dyDescent="0.35"/>
    <row r="606" ht="44.9" customHeight="1" x14ac:dyDescent="0.35"/>
    <row r="607" ht="44.9" customHeight="1" x14ac:dyDescent="0.35"/>
    <row r="608" ht="44.9" customHeight="1" x14ac:dyDescent="0.35"/>
    <row r="609" ht="44.9" customHeight="1" x14ac:dyDescent="0.35"/>
    <row r="610" ht="44.9" customHeight="1" x14ac:dyDescent="0.35"/>
    <row r="611" ht="44.9" customHeight="1" x14ac:dyDescent="0.35"/>
    <row r="612" ht="44.9" customHeight="1" x14ac:dyDescent="0.35"/>
    <row r="613" ht="44.9" customHeight="1" x14ac:dyDescent="0.35"/>
    <row r="614" ht="44.9" customHeight="1" x14ac:dyDescent="0.35"/>
    <row r="615" ht="44.9" customHeight="1" x14ac:dyDescent="0.35"/>
    <row r="616" ht="44.9" customHeight="1" x14ac:dyDescent="0.35"/>
    <row r="617" ht="44.9" customHeight="1" x14ac:dyDescent="0.35"/>
    <row r="618" ht="44.9" customHeight="1" x14ac:dyDescent="0.35"/>
    <row r="619" ht="44.9" customHeight="1" x14ac:dyDescent="0.35"/>
    <row r="620" ht="44.9" customHeight="1" x14ac:dyDescent="0.35"/>
    <row r="621" ht="44.9" customHeight="1" x14ac:dyDescent="0.35"/>
    <row r="622" ht="44.9" customHeight="1" x14ac:dyDescent="0.35"/>
    <row r="623" ht="44.9" customHeight="1" x14ac:dyDescent="0.35"/>
    <row r="624" ht="44.9" customHeight="1" x14ac:dyDescent="0.35"/>
    <row r="625" ht="44.9" customHeight="1" x14ac:dyDescent="0.35"/>
    <row r="626" ht="44.9" customHeight="1" x14ac:dyDescent="0.35"/>
    <row r="627" ht="44.9" customHeight="1" x14ac:dyDescent="0.35"/>
    <row r="628" ht="44.9" customHeight="1" x14ac:dyDescent="0.35"/>
    <row r="629" ht="44.9" customHeight="1" x14ac:dyDescent="0.35"/>
    <row r="630" ht="44.9" customHeight="1" x14ac:dyDescent="0.35"/>
    <row r="631" ht="44.9" customHeight="1" x14ac:dyDescent="0.35"/>
    <row r="632" ht="44.9" customHeight="1" x14ac:dyDescent="0.35"/>
    <row r="633" ht="44.9" customHeight="1" x14ac:dyDescent="0.35"/>
    <row r="634" ht="44.9" customHeight="1" x14ac:dyDescent="0.35"/>
    <row r="635" ht="44.9" customHeight="1" x14ac:dyDescent="0.35"/>
    <row r="636" ht="44.9" customHeight="1" x14ac:dyDescent="0.35"/>
    <row r="637" ht="44.9" customHeight="1" x14ac:dyDescent="0.35"/>
    <row r="638" ht="44.9" customHeight="1" x14ac:dyDescent="0.35"/>
    <row r="639" ht="44.9" customHeight="1" x14ac:dyDescent="0.35"/>
    <row r="640" ht="44.9" customHeight="1" x14ac:dyDescent="0.35"/>
    <row r="641" ht="44.9" customHeight="1" x14ac:dyDescent="0.35"/>
    <row r="642" ht="44.9" customHeight="1" x14ac:dyDescent="0.35"/>
    <row r="643" ht="44.9" customHeight="1" x14ac:dyDescent="0.35"/>
    <row r="644" ht="44.9" customHeight="1" x14ac:dyDescent="0.35"/>
    <row r="645" ht="44.9" customHeight="1" x14ac:dyDescent="0.35"/>
    <row r="646" ht="44.9" customHeight="1" x14ac:dyDescent="0.35"/>
    <row r="647" ht="44.9" customHeight="1" x14ac:dyDescent="0.35"/>
    <row r="648" ht="44.9" customHeight="1" x14ac:dyDescent="0.35"/>
    <row r="649" ht="44.9" customHeight="1" x14ac:dyDescent="0.35"/>
    <row r="650" ht="44.9" customHeight="1" x14ac:dyDescent="0.35"/>
    <row r="651" ht="44.9" customHeight="1" x14ac:dyDescent="0.35"/>
    <row r="652" ht="44.9" customHeight="1" x14ac:dyDescent="0.35"/>
    <row r="653" ht="44.9" customHeight="1" x14ac:dyDescent="0.35"/>
    <row r="654" ht="44.9" customHeight="1" x14ac:dyDescent="0.35"/>
    <row r="655" ht="44.9" customHeight="1" x14ac:dyDescent="0.35"/>
    <row r="656" ht="44.9" customHeight="1" x14ac:dyDescent="0.35"/>
    <row r="657" ht="44.9" customHeight="1" x14ac:dyDescent="0.35"/>
    <row r="658" ht="44.9" customHeight="1" x14ac:dyDescent="0.35"/>
    <row r="659" ht="44.9" customHeight="1" x14ac:dyDescent="0.35"/>
    <row r="660" ht="44.9" customHeight="1" x14ac:dyDescent="0.35"/>
    <row r="661" ht="44.9" customHeight="1" x14ac:dyDescent="0.35"/>
    <row r="662" ht="44.9" customHeight="1" x14ac:dyDescent="0.35"/>
    <row r="663" ht="44.9" customHeight="1" x14ac:dyDescent="0.35"/>
    <row r="664" ht="44.9" customHeight="1" x14ac:dyDescent="0.35"/>
    <row r="665" ht="44.9" customHeight="1" x14ac:dyDescent="0.35"/>
    <row r="666" ht="44.9" customHeight="1" x14ac:dyDescent="0.35"/>
    <row r="667" ht="44.9" customHeight="1" x14ac:dyDescent="0.35"/>
    <row r="668" ht="44.9" customHeight="1" x14ac:dyDescent="0.35"/>
    <row r="669" ht="44.9" customHeight="1" x14ac:dyDescent="0.35"/>
    <row r="670" ht="44.9" customHeight="1" x14ac:dyDescent="0.35"/>
    <row r="671" ht="44.9" customHeight="1" x14ac:dyDescent="0.35"/>
    <row r="672" ht="44.9" customHeight="1" x14ac:dyDescent="0.35"/>
    <row r="673" ht="44.9" customHeight="1" x14ac:dyDescent="0.35"/>
    <row r="674" ht="44.9" customHeight="1" x14ac:dyDescent="0.35"/>
    <row r="675" ht="44.9" customHeight="1" x14ac:dyDescent="0.35"/>
    <row r="676" ht="44.9" customHeight="1" x14ac:dyDescent="0.35"/>
    <row r="677" ht="44.9" customHeight="1" x14ac:dyDescent="0.35"/>
    <row r="678" ht="44.9" customHeight="1" x14ac:dyDescent="0.35"/>
    <row r="679" ht="44.9" customHeight="1" x14ac:dyDescent="0.35"/>
    <row r="680" ht="44.9" customHeight="1" x14ac:dyDescent="0.35"/>
    <row r="681" ht="44.9" customHeight="1" x14ac:dyDescent="0.35"/>
    <row r="682" ht="44.9" customHeight="1" x14ac:dyDescent="0.35"/>
    <row r="683" ht="44.9" customHeight="1" x14ac:dyDescent="0.35"/>
    <row r="684" ht="44.9" customHeight="1" x14ac:dyDescent="0.35"/>
    <row r="685" ht="44.9" customHeight="1" x14ac:dyDescent="0.35"/>
    <row r="686" ht="44.9" customHeight="1" x14ac:dyDescent="0.35"/>
    <row r="687" ht="44.9" customHeight="1" x14ac:dyDescent="0.35"/>
    <row r="688" ht="44.9" customHeight="1" x14ac:dyDescent="0.35"/>
    <row r="689" ht="44.9" customHeight="1" x14ac:dyDescent="0.35"/>
    <row r="690" ht="44.9" customHeight="1" x14ac:dyDescent="0.35"/>
    <row r="691" ht="44.9" customHeight="1" x14ac:dyDescent="0.35"/>
    <row r="692" ht="44.9" customHeight="1" x14ac:dyDescent="0.35"/>
    <row r="693" ht="44.9" customHeight="1" x14ac:dyDescent="0.35"/>
    <row r="694" ht="44.9" customHeight="1" x14ac:dyDescent="0.35"/>
    <row r="695" ht="44.9" customHeight="1" x14ac:dyDescent="0.35"/>
    <row r="696" ht="44.9" customHeight="1" x14ac:dyDescent="0.35"/>
    <row r="697" ht="44.9" customHeight="1" x14ac:dyDescent="0.35"/>
    <row r="698" ht="44.9" customHeight="1" x14ac:dyDescent="0.35"/>
    <row r="699" ht="44.9" customHeight="1" x14ac:dyDescent="0.35"/>
    <row r="700" ht="44.9" customHeight="1" x14ac:dyDescent="0.35"/>
    <row r="701" ht="44.9" customHeight="1" x14ac:dyDescent="0.35"/>
    <row r="702" ht="44.9" customHeight="1" x14ac:dyDescent="0.35"/>
    <row r="703" ht="44.9" customHeight="1" x14ac:dyDescent="0.35"/>
    <row r="704" ht="44.9" customHeight="1" x14ac:dyDescent="0.35"/>
    <row r="705" ht="44.9" customHeight="1" x14ac:dyDescent="0.35"/>
    <row r="706" ht="44.9" customHeight="1" x14ac:dyDescent="0.35"/>
    <row r="707" ht="44.9" customHeight="1" x14ac:dyDescent="0.35"/>
    <row r="708" ht="44.9" customHeight="1" x14ac:dyDescent="0.35"/>
    <row r="709" ht="44.9" customHeight="1" x14ac:dyDescent="0.35"/>
    <row r="710" ht="44.9" customHeight="1" x14ac:dyDescent="0.35"/>
    <row r="711" ht="44.9" customHeight="1" x14ac:dyDescent="0.35"/>
    <row r="712" ht="44.9" customHeight="1" x14ac:dyDescent="0.35"/>
    <row r="713" ht="44.9" customHeight="1" x14ac:dyDescent="0.35"/>
    <row r="714" ht="44.9" customHeight="1" x14ac:dyDescent="0.35"/>
    <row r="715" ht="44.9" customHeight="1" x14ac:dyDescent="0.35"/>
    <row r="716" ht="44.9" customHeight="1" x14ac:dyDescent="0.35"/>
    <row r="717" ht="44.9" customHeight="1" x14ac:dyDescent="0.35"/>
    <row r="718" ht="44.9" customHeight="1" x14ac:dyDescent="0.35"/>
    <row r="719" ht="44.9" customHeight="1" x14ac:dyDescent="0.35"/>
    <row r="720" ht="44.9" customHeight="1" x14ac:dyDescent="0.35"/>
    <row r="721" ht="44.9" customHeight="1" x14ac:dyDescent="0.35"/>
    <row r="722" ht="44.9" customHeight="1" x14ac:dyDescent="0.35"/>
    <row r="723" ht="44.9" customHeight="1" x14ac:dyDescent="0.35"/>
    <row r="724" ht="44.9" customHeight="1" x14ac:dyDescent="0.35"/>
    <row r="725" ht="44.9" customHeight="1" x14ac:dyDescent="0.35"/>
    <row r="726" ht="44.9" customHeight="1" x14ac:dyDescent="0.35"/>
    <row r="727" ht="44.9" customHeight="1" x14ac:dyDescent="0.35"/>
    <row r="728" ht="44.9" customHeight="1" x14ac:dyDescent="0.35"/>
    <row r="729" ht="44.9" customHeight="1" x14ac:dyDescent="0.35"/>
    <row r="730" ht="44.9" customHeight="1" x14ac:dyDescent="0.35"/>
    <row r="731" ht="44.9" customHeight="1" x14ac:dyDescent="0.35"/>
    <row r="732" ht="44.9" customHeight="1" x14ac:dyDescent="0.35"/>
    <row r="733" ht="44.9" customHeight="1" x14ac:dyDescent="0.35"/>
    <row r="734" ht="44.9" customHeight="1" x14ac:dyDescent="0.35"/>
    <row r="735" ht="44.9" customHeight="1" x14ac:dyDescent="0.35"/>
    <row r="736" ht="44.9" customHeight="1" x14ac:dyDescent="0.35"/>
    <row r="737" ht="44.9" customHeight="1" x14ac:dyDescent="0.35"/>
    <row r="738" ht="44.9" customHeight="1" x14ac:dyDescent="0.35"/>
    <row r="739" ht="44.9" customHeight="1" x14ac:dyDescent="0.35"/>
    <row r="740" ht="44.9" customHeight="1" x14ac:dyDescent="0.35"/>
    <row r="741" ht="44.9" customHeight="1" x14ac:dyDescent="0.35"/>
    <row r="742" ht="44.9" customHeight="1" x14ac:dyDescent="0.35"/>
    <row r="743" ht="44.9" customHeight="1" x14ac:dyDescent="0.35"/>
    <row r="744" ht="44.9" customHeight="1" x14ac:dyDescent="0.35"/>
    <row r="745" ht="44.9" customHeight="1" x14ac:dyDescent="0.35"/>
    <row r="746" ht="44.9" customHeight="1" x14ac:dyDescent="0.35"/>
    <row r="747" ht="44.9" customHeight="1" x14ac:dyDescent="0.35"/>
    <row r="748" ht="44.9" customHeight="1" x14ac:dyDescent="0.35"/>
    <row r="749" ht="44.9" customHeight="1" x14ac:dyDescent="0.35"/>
    <row r="750" ht="44.9" customHeight="1" x14ac:dyDescent="0.35"/>
    <row r="751" ht="44.9" customHeight="1" x14ac:dyDescent="0.35"/>
    <row r="752" ht="44.9" customHeight="1" x14ac:dyDescent="0.35"/>
    <row r="753" ht="44.9" customHeight="1" x14ac:dyDescent="0.35"/>
    <row r="754" ht="44.9" customHeight="1" x14ac:dyDescent="0.35"/>
    <row r="755" ht="44.9" customHeight="1" x14ac:dyDescent="0.35"/>
    <row r="756" ht="44.9" customHeight="1" x14ac:dyDescent="0.35"/>
    <row r="757" ht="44.9" customHeight="1" x14ac:dyDescent="0.35"/>
    <row r="758" ht="44.9" customHeight="1" x14ac:dyDescent="0.35"/>
    <row r="759" ht="44.9" customHeight="1" x14ac:dyDescent="0.35"/>
    <row r="760" ht="44.9" customHeight="1" x14ac:dyDescent="0.35"/>
    <row r="761" ht="44.9" customHeight="1" x14ac:dyDescent="0.35"/>
    <row r="762" ht="44.9" customHeight="1" x14ac:dyDescent="0.35"/>
    <row r="763" ht="44.9" customHeight="1" x14ac:dyDescent="0.35"/>
    <row r="764" ht="44.9" customHeight="1" x14ac:dyDescent="0.35"/>
    <row r="765" ht="44.9" customHeight="1" x14ac:dyDescent="0.35"/>
    <row r="766" ht="44.9" customHeight="1" x14ac:dyDescent="0.35"/>
    <row r="767" ht="44.9" customHeight="1" x14ac:dyDescent="0.35"/>
    <row r="768" ht="44.9" customHeight="1" x14ac:dyDescent="0.35"/>
    <row r="769" ht="44.9" customHeight="1" x14ac:dyDescent="0.35"/>
    <row r="770" ht="44.9" customHeight="1" x14ac:dyDescent="0.35"/>
    <row r="771" ht="44.9" customHeight="1" x14ac:dyDescent="0.35"/>
    <row r="772" ht="44.9" customHeight="1" x14ac:dyDescent="0.35"/>
    <row r="773" ht="44.9" customHeight="1" x14ac:dyDescent="0.35"/>
    <row r="774" ht="44.9" customHeight="1" x14ac:dyDescent="0.35"/>
    <row r="775" ht="44.9" customHeight="1" x14ac:dyDescent="0.35"/>
    <row r="776" ht="44.9" customHeight="1" x14ac:dyDescent="0.35"/>
    <row r="777" ht="44.9" customHeight="1" x14ac:dyDescent="0.35"/>
    <row r="778" ht="44.9" customHeight="1" x14ac:dyDescent="0.35"/>
    <row r="779" ht="44.9" customHeight="1" x14ac:dyDescent="0.35"/>
    <row r="780" ht="44.9" customHeight="1" x14ac:dyDescent="0.35"/>
    <row r="781" ht="44.9" customHeight="1" x14ac:dyDescent="0.35"/>
    <row r="782" ht="44.9" customHeight="1" x14ac:dyDescent="0.35"/>
    <row r="783" ht="44.9" customHeight="1" x14ac:dyDescent="0.35"/>
    <row r="784" ht="44.9" customHeight="1" x14ac:dyDescent="0.35"/>
    <row r="785" ht="44.9" customHeight="1" x14ac:dyDescent="0.35"/>
    <row r="786" ht="44.9" customHeight="1" x14ac:dyDescent="0.35"/>
    <row r="787" ht="44.9" customHeight="1" x14ac:dyDescent="0.35"/>
    <row r="788" ht="44.9" customHeight="1" x14ac:dyDescent="0.35"/>
    <row r="789" ht="44.9" customHeight="1" x14ac:dyDescent="0.35"/>
    <row r="790" ht="44.9" customHeight="1" x14ac:dyDescent="0.35"/>
    <row r="791" ht="44.9" customHeight="1" x14ac:dyDescent="0.35"/>
    <row r="792" ht="44.9" customHeight="1" x14ac:dyDescent="0.35"/>
    <row r="793" ht="44.9" customHeight="1" x14ac:dyDescent="0.35"/>
    <row r="794" ht="44.9" customHeight="1" x14ac:dyDescent="0.35"/>
    <row r="795" ht="44.9" customHeight="1" x14ac:dyDescent="0.35"/>
    <row r="796" ht="44.9" customHeight="1" x14ac:dyDescent="0.35"/>
    <row r="797" ht="44.9" customHeight="1" x14ac:dyDescent="0.35"/>
    <row r="798" ht="44.9" customHeight="1" x14ac:dyDescent="0.35"/>
    <row r="799" ht="44.9" customHeight="1" x14ac:dyDescent="0.35"/>
    <row r="800" ht="44.9" customHeight="1" x14ac:dyDescent="0.35"/>
    <row r="801" ht="44.9" customHeight="1" x14ac:dyDescent="0.35"/>
    <row r="802" ht="44.9" customHeight="1" x14ac:dyDescent="0.35"/>
    <row r="803" ht="44.9" customHeight="1" x14ac:dyDescent="0.35"/>
    <row r="804" ht="44.9" customHeight="1" x14ac:dyDescent="0.35"/>
    <row r="805" ht="44.9" customHeight="1" x14ac:dyDescent="0.35"/>
    <row r="806" ht="44.9" customHeight="1" x14ac:dyDescent="0.35"/>
    <row r="807" ht="44.9" customHeight="1" x14ac:dyDescent="0.35"/>
    <row r="808" ht="44.9" customHeight="1" x14ac:dyDescent="0.35"/>
    <row r="809" ht="44.9" customHeight="1" x14ac:dyDescent="0.35"/>
    <row r="810" ht="44.9" customHeight="1" x14ac:dyDescent="0.35"/>
    <row r="811" ht="44.9" customHeight="1" x14ac:dyDescent="0.35"/>
    <row r="812" ht="44.9" customHeight="1" x14ac:dyDescent="0.35"/>
    <row r="813" ht="44.9" customHeight="1" x14ac:dyDescent="0.35"/>
    <row r="814" ht="44.9" customHeight="1" x14ac:dyDescent="0.35"/>
    <row r="815" ht="44.9" customHeight="1" x14ac:dyDescent="0.35"/>
    <row r="816" ht="44.9" customHeight="1" x14ac:dyDescent="0.35"/>
    <row r="817" ht="44.9" customHeight="1" x14ac:dyDescent="0.35"/>
    <row r="818" ht="44.9" customHeight="1" x14ac:dyDescent="0.35"/>
    <row r="819" ht="44.9" customHeight="1" x14ac:dyDescent="0.35"/>
    <row r="820" ht="44.9" customHeight="1" x14ac:dyDescent="0.35"/>
    <row r="821" ht="44.9" customHeight="1" x14ac:dyDescent="0.35"/>
    <row r="822" ht="44.9" customHeight="1" x14ac:dyDescent="0.35"/>
    <row r="823" ht="44.9" customHeight="1" x14ac:dyDescent="0.35"/>
    <row r="824" ht="44.9" customHeight="1" x14ac:dyDescent="0.35"/>
    <row r="825" ht="44.9" customHeight="1" x14ac:dyDescent="0.35"/>
    <row r="826" ht="44.9" customHeight="1" x14ac:dyDescent="0.35"/>
    <row r="827" ht="44.9" customHeight="1" x14ac:dyDescent="0.35"/>
    <row r="828" ht="44.9" customHeight="1" x14ac:dyDescent="0.35"/>
    <row r="829" ht="44.9" customHeight="1" x14ac:dyDescent="0.35"/>
    <row r="830" ht="44.9" customHeight="1" x14ac:dyDescent="0.35"/>
    <row r="831" ht="44.9" customHeight="1" x14ac:dyDescent="0.35"/>
    <row r="832" ht="44.9" customHeight="1" x14ac:dyDescent="0.35"/>
    <row r="833" ht="44.9" customHeight="1" x14ac:dyDescent="0.35"/>
    <row r="834" ht="44.9" customHeight="1" x14ac:dyDescent="0.35"/>
    <row r="835" ht="44.9" customHeight="1" x14ac:dyDescent="0.35"/>
    <row r="836" ht="44.9" customHeight="1" x14ac:dyDescent="0.35"/>
    <row r="837" ht="44.9" customHeight="1" x14ac:dyDescent="0.35"/>
    <row r="838" ht="44.9" customHeight="1" x14ac:dyDescent="0.35"/>
    <row r="839" ht="44.9" customHeight="1" x14ac:dyDescent="0.35"/>
    <row r="840" ht="44.9" customHeight="1" x14ac:dyDescent="0.35"/>
    <row r="841" ht="44.9" customHeight="1" x14ac:dyDescent="0.35"/>
    <row r="842" ht="44.9" customHeight="1" x14ac:dyDescent="0.35"/>
    <row r="843" ht="44.9" customHeight="1" x14ac:dyDescent="0.35"/>
    <row r="844" ht="44.9" customHeight="1" x14ac:dyDescent="0.35"/>
    <row r="845" ht="44.9" customHeight="1" x14ac:dyDescent="0.35"/>
    <row r="846" ht="44.9" customHeight="1" x14ac:dyDescent="0.35"/>
    <row r="847" ht="44.9" customHeight="1" x14ac:dyDescent="0.35"/>
    <row r="848" ht="44.9" customHeight="1" x14ac:dyDescent="0.35"/>
    <row r="849" ht="44.9" customHeight="1" x14ac:dyDescent="0.35"/>
    <row r="850" ht="44.9" customHeight="1" x14ac:dyDescent="0.35"/>
    <row r="851" ht="44.9" customHeight="1" x14ac:dyDescent="0.35"/>
    <row r="852" ht="44.9" customHeight="1" x14ac:dyDescent="0.35"/>
    <row r="853" ht="44.9" customHeight="1" x14ac:dyDescent="0.35"/>
    <row r="854" ht="44.9" customHeight="1" x14ac:dyDescent="0.35"/>
    <row r="855" ht="44.9" customHeight="1" x14ac:dyDescent="0.35"/>
    <row r="856" ht="44.9" customHeight="1" x14ac:dyDescent="0.35"/>
    <row r="857" ht="44.9" customHeight="1" x14ac:dyDescent="0.35"/>
    <row r="858" ht="44.9" customHeight="1" x14ac:dyDescent="0.35"/>
    <row r="859" ht="44.9" customHeight="1" x14ac:dyDescent="0.35"/>
    <row r="860" ht="44.9" customHeight="1" x14ac:dyDescent="0.35"/>
    <row r="861" ht="44.9" customHeight="1" x14ac:dyDescent="0.35"/>
    <row r="862" ht="44.9" customHeight="1" x14ac:dyDescent="0.35"/>
    <row r="863" ht="44.9" customHeight="1" x14ac:dyDescent="0.35"/>
    <row r="864" ht="44.9" customHeight="1" x14ac:dyDescent="0.35"/>
    <row r="865" ht="44.9" customHeight="1" x14ac:dyDescent="0.35"/>
    <row r="866" ht="44.9" customHeight="1" x14ac:dyDescent="0.35"/>
    <row r="867" ht="44.9" customHeight="1" x14ac:dyDescent="0.35"/>
    <row r="868" ht="44.9" customHeight="1" x14ac:dyDescent="0.35"/>
    <row r="869" ht="44.9" customHeight="1" x14ac:dyDescent="0.35"/>
    <row r="870" ht="44.9" customHeight="1" x14ac:dyDescent="0.35"/>
    <row r="871" ht="44.9" customHeight="1" x14ac:dyDescent="0.35"/>
    <row r="872" ht="44.9" customHeight="1" x14ac:dyDescent="0.35"/>
    <row r="873" ht="44.9" customHeight="1" x14ac:dyDescent="0.35"/>
    <row r="874" ht="44.9" customHeight="1" x14ac:dyDescent="0.35"/>
    <row r="875" ht="44.9" customHeight="1" x14ac:dyDescent="0.35"/>
    <row r="876" ht="44.9" customHeight="1" x14ac:dyDescent="0.35"/>
    <row r="877" ht="44.9" customHeight="1" x14ac:dyDescent="0.35"/>
    <row r="878" ht="44.9" customHeight="1" x14ac:dyDescent="0.35"/>
    <row r="879" ht="44.9" customHeight="1" x14ac:dyDescent="0.35"/>
    <row r="880" ht="44.9" customHeight="1" x14ac:dyDescent="0.35"/>
    <row r="881" ht="44.9" customHeight="1" x14ac:dyDescent="0.35"/>
    <row r="882" ht="44.9" customHeight="1" x14ac:dyDescent="0.35"/>
    <row r="883" ht="44.9" customHeight="1" x14ac:dyDescent="0.35"/>
    <row r="884" ht="44.9" customHeight="1" x14ac:dyDescent="0.35"/>
    <row r="885" ht="44.9" customHeight="1" x14ac:dyDescent="0.35"/>
    <row r="886" ht="44.9" customHeight="1" x14ac:dyDescent="0.35"/>
    <row r="887" ht="44.9" customHeight="1" x14ac:dyDescent="0.35"/>
    <row r="888" ht="44.9" customHeight="1" x14ac:dyDescent="0.35"/>
    <row r="889" ht="44.9" customHeight="1" x14ac:dyDescent="0.35"/>
    <row r="890" ht="44.9" customHeight="1" x14ac:dyDescent="0.35"/>
    <row r="891" ht="44.9" customHeight="1" x14ac:dyDescent="0.35"/>
    <row r="892" ht="44.9" customHeight="1" x14ac:dyDescent="0.35"/>
    <row r="893" ht="44.9" customHeight="1" x14ac:dyDescent="0.35"/>
    <row r="894" ht="44.9" customHeight="1" x14ac:dyDescent="0.35"/>
    <row r="895" ht="44.9" customHeight="1" x14ac:dyDescent="0.35"/>
    <row r="896" ht="44.9" customHeight="1" x14ac:dyDescent="0.35"/>
    <row r="897" ht="44.9" customHeight="1" x14ac:dyDescent="0.35"/>
    <row r="898" ht="44.9" customHeight="1" x14ac:dyDescent="0.35"/>
    <row r="899" ht="44.9" customHeight="1" x14ac:dyDescent="0.35"/>
    <row r="900" ht="44.9" customHeight="1" x14ac:dyDescent="0.35"/>
    <row r="901" ht="44.9" customHeight="1" x14ac:dyDescent="0.35"/>
    <row r="902" ht="44.9" customHeight="1" x14ac:dyDescent="0.35"/>
    <row r="903" ht="44.9" customHeight="1" x14ac:dyDescent="0.35"/>
    <row r="904" ht="44.9" customHeight="1" x14ac:dyDescent="0.35"/>
    <row r="905" ht="44.9" customHeight="1" x14ac:dyDescent="0.35"/>
    <row r="906" ht="44.9" customHeight="1" x14ac:dyDescent="0.35"/>
    <row r="907" ht="44.9" customHeight="1" x14ac:dyDescent="0.35"/>
    <row r="908" ht="44.9" customHeight="1" x14ac:dyDescent="0.35"/>
    <row r="909" ht="44.9" customHeight="1" x14ac:dyDescent="0.35"/>
    <row r="910" ht="44.9" customHeight="1" x14ac:dyDescent="0.35"/>
    <row r="911" ht="44.9" customHeight="1" x14ac:dyDescent="0.35"/>
    <row r="912" ht="44.9" customHeight="1" x14ac:dyDescent="0.35"/>
    <row r="913" ht="44.9" customHeight="1" x14ac:dyDescent="0.35"/>
    <row r="914" ht="44.9" customHeight="1" x14ac:dyDescent="0.35"/>
    <row r="915" ht="44.9" customHeight="1" x14ac:dyDescent="0.35"/>
    <row r="916" ht="44.9" customHeight="1" x14ac:dyDescent="0.35"/>
    <row r="917" ht="44.9" customHeight="1" x14ac:dyDescent="0.35"/>
    <row r="918" ht="44.9" customHeight="1" x14ac:dyDescent="0.35"/>
    <row r="919" ht="44.9" customHeight="1" x14ac:dyDescent="0.35"/>
    <row r="920" ht="44.9" customHeight="1" x14ac:dyDescent="0.35"/>
    <row r="921" ht="44.9" customHeight="1" x14ac:dyDescent="0.35"/>
    <row r="922" ht="44.9" customHeight="1" x14ac:dyDescent="0.35"/>
    <row r="923" ht="44.9" customHeight="1" x14ac:dyDescent="0.35"/>
    <row r="924" ht="44.9" customHeight="1" x14ac:dyDescent="0.35"/>
    <row r="925" ht="44.9" customHeight="1" x14ac:dyDescent="0.35"/>
    <row r="926" ht="44.9" customHeight="1" x14ac:dyDescent="0.35"/>
    <row r="927" ht="44.9" customHeight="1" x14ac:dyDescent="0.35"/>
    <row r="928" ht="44.9" customHeight="1" x14ac:dyDescent="0.35"/>
    <row r="929" ht="44.9" customHeight="1" x14ac:dyDescent="0.35"/>
    <row r="930" ht="44.9" customHeight="1" x14ac:dyDescent="0.35"/>
    <row r="931" ht="44.9" customHeight="1" x14ac:dyDescent="0.35"/>
    <row r="932" ht="44.9" customHeight="1" x14ac:dyDescent="0.35"/>
    <row r="933" ht="44.9" customHeight="1" x14ac:dyDescent="0.35"/>
    <row r="934" ht="44.9" customHeight="1" x14ac:dyDescent="0.35"/>
    <row r="935" ht="44.9" customHeight="1" x14ac:dyDescent="0.35"/>
    <row r="936" ht="44.9" customHeight="1" x14ac:dyDescent="0.35"/>
    <row r="937" ht="44.9" customHeight="1" x14ac:dyDescent="0.35"/>
    <row r="938" ht="44.9" customHeight="1" x14ac:dyDescent="0.35"/>
    <row r="939" ht="44.9" customHeight="1" x14ac:dyDescent="0.35"/>
    <row r="940" ht="44.9" customHeight="1" x14ac:dyDescent="0.35"/>
    <row r="941" ht="44.9" customHeight="1" x14ac:dyDescent="0.35"/>
    <row r="942" ht="44.9" customHeight="1" x14ac:dyDescent="0.35"/>
    <row r="943" ht="44.9" customHeight="1" x14ac:dyDescent="0.35"/>
    <row r="944" ht="44.9" customHeight="1" x14ac:dyDescent="0.35"/>
    <row r="945" ht="44.9" customHeight="1" x14ac:dyDescent="0.35"/>
    <row r="946" ht="44.9" customHeight="1" x14ac:dyDescent="0.35"/>
    <row r="947" ht="44.9" customHeight="1" x14ac:dyDescent="0.35"/>
    <row r="948" ht="44.9" customHeight="1" x14ac:dyDescent="0.35"/>
    <row r="949" ht="44.9" customHeight="1" x14ac:dyDescent="0.35"/>
    <row r="950" ht="44.9" customHeight="1" x14ac:dyDescent="0.35"/>
    <row r="951" ht="44.9" customHeight="1" x14ac:dyDescent="0.35"/>
    <row r="952" ht="44.9" customHeight="1" x14ac:dyDescent="0.35"/>
    <row r="953" ht="44.9" customHeight="1" x14ac:dyDescent="0.35"/>
    <row r="954" ht="44.9" customHeight="1" x14ac:dyDescent="0.35"/>
    <row r="955" ht="44.9" customHeight="1" x14ac:dyDescent="0.35"/>
    <row r="956" ht="44.9" customHeight="1" x14ac:dyDescent="0.35"/>
    <row r="957" ht="44.9" customHeight="1" x14ac:dyDescent="0.35"/>
    <row r="958" ht="44.9" customHeight="1" x14ac:dyDescent="0.35"/>
    <row r="959" ht="44.9" customHeight="1" x14ac:dyDescent="0.35"/>
    <row r="960" ht="44.9" customHeight="1" x14ac:dyDescent="0.35"/>
    <row r="961" ht="44.9" customHeight="1" x14ac:dyDescent="0.35"/>
    <row r="962" ht="44.9" customHeight="1" x14ac:dyDescent="0.35"/>
    <row r="963" ht="44.9" customHeight="1" x14ac:dyDescent="0.35"/>
    <row r="964" ht="44.9" customHeight="1" x14ac:dyDescent="0.35"/>
    <row r="965" ht="44.9" customHeight="1" x14ac:dyDescent="0.35"/>
    <row r="966" ht="44.9" customHeight="1" x14ac:dyDescent="0.35"/>
    <row r="967" ht="44.9" customHeight="1" x14ac:dyDescent="0.35"/>
    <row r="968" ht="44.9" customHeight="1" x14ac:dyDescent="0.35"/>
    <row r="969" ht="44.9" customHeight="1" x14ac:dyDescent="0.35"/>
    <row r="970" ht="44.9" customHeight="1" x14ac:dyDescent="0.35"/>
    <row r="971" ht="44.9" customHeight="1" x14ac:dyDescent="0.35"/>
    <row r="972" ht="44.9" customHeight="1" x14ac:dyDescent="0.35"/>
    <row r="973" ht="44.9" customHeight="1" x14ac:dyDescent="0.35"/>
    <row r="974" ht="44.9" customHeight="1" x14ac:dyDescent="0.35"/>
    <row r="975" ht="44.9" customHeight="1" x14ac:dyDescent="0.35"/>
    <row r="976" ht="44.9" customHeight="1" x14ac:dyDescent="0.35"/>
    <row r="977" ht="44.9" customHeight="1" x14ac:dyDescent="0.35"/>
    <row r="978" ht="44.9" customHeight="1" x14ac:dyDescent="0.35"/>
    <row r="979" ht="44.9" customHeight="1" x14ac:dyDescent="0.35"/>
    <row r="980" ht="44.9" customHeight="1" x14ac:dyDescent="0.35"/>
    <row r="981" ht="44.9" customHeight="1" x14ac:dyDescent="0.35"/>
    <row r="982" ht="44.9" customHeight="1" x14ac:dyDescent="0.35"/>
    <row r="983" ht="44.9" customHeight="1" x14ac:dyDescent="0.35"/>
    <row r="984" ht="44.9" customHeight="1" x14ac:dyDescent="0.35"/>
    <row r="985" ht="44.9" customHeight="1" x14ac:dyDescent="0.35"/>
    <row r="986" ht="44.9" customHeight="1" x14ac:dyDescent="0.35"/>
    <row r="987" ht="44.9" customHeight="1" x14ac:dyDescent="0.35"/>
    <row r="988" ht="44.9" customHeight="1" x14ac:dyDescent="0.35"/>
    <row r="989" ht="44.9" customHeight="1" x14ac:dyDescent="0.35"/>
    <row r="990" ht="44.9" customHeight="1" x14ac:dyDescent="0.35"/>
    <row r="991" ht="44.9" customHeight="1" x14ac:dyDescent="0.35"/>
    <row r="992" ht="44.9" customHeight="1" x14ac:dyDescent="0.35"/>
    <row r="993" ht="44.9" customHeight="1" x14ac:dyDescent="0.35"/>
    <row r="994" ht="44.9" customHeight="1" x14ac:dyDescent="0.35"/>
    <row r="995" ht="44.9" customHeight="1" x14ac:dyDescent="0.35"/>
    <row r="996" ht="44.9" customHeight="1" x14ac:dyDescent="0.35"/>
    <row r="997" ht="44.9" customHeight="1" x14ac:dyDescent="0.35"/>
    <row r="998" ht="44.9" customHeight="1" x14ac:dyDescent="0.35"/>
  </sheetData>
  <conditionalFormatting sqref="G2:H7">
    <cfRule type="expression" dxfId="2" priority="2">
      <formula>NOT(ISERROR(SEARCH("HIgh",G2)))</formula>
    </cfRule>
  </conditionalFormatting>
  <conditionalFormatting sqref="G2:H7">
    <cfRule type="expression" dxfId="1" priority="3">
      <formula>NOT(ISERROR(SEARCH("Low",G2)))</formula>
    </cfRule>
  </conditionalFormatting>
  <conditionalFormatting sqref="G2:H7">
    <cfRule type="expression" dxfId="0" priority="4">
      <formula>NOT(ISERROR(SEARCH("Medium",G2)))</formula>
    </cfRule>
  </conditionalFormatting>
  <pageMargins left="0.75" right="0.75" top="1" bottom="1" header="0.51180555555555496" footer="0.51180555555555496"/>
  <pageSetup firstPageNumber="0" orientation="landscape"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2:C10"/>
  <sheetViews>
    <sheetView zoomScale="74" zoomScaleNormal="74" workbookViewId="0">
      <selection activeCell="C23" sqref="C23"/>
    </sheetView>
  </sheetViews>
  <sheetFormatPr defaultColWidth="8.81640625" defaultRowHeight="14.5" x14ac:dyDescent="0.35"/>
  <cols>
    <col min="1" max="1" width="8.453125" customWidth="1"/>
    <col min="2" max="2" width="38.453125" customWidth="1"/>
    <col min="3" max="3" width="126.453125" customWidth="1"/>
    <col min="4" max="1025" width="8.453125" customWidth="1"/>
  </cols>
  <sheetData>
    <row r="2" spans="1:3" ht="35.9" customHeight="1" x14ac:dyDescent="0.35">
      <c r="B2" s="521" t="s">
        <v>2171</v>
      </c>
      <c r="C2" s="521" t="s">
        <v>2172</v>
      </c>
    </row>
    <row r="3" spans="1:3" ht="21" customHeight="1" x14ac:dyDescent="0.4">
      <c r="A3" s="61"/>
      <c r="B3" s="62" t="s">
        <v>2173</v>
      </c>
      <c r="C3" s="62" t="s">
        <v>2174</v>
      </c>
    </row>
    <row r="4" spans="1:3" ht="20.25" customHeight="1" x14ac:dyDescent="0.4">
      <c r="A4" s="61"/>
      <c r="B4" s="62" t="s">
        <v>2175</v>
      </c>
      <c r="C4" s="62"/>
    </row>
    <row r="5" spans="1:3" ht="20.25" customHeight="1" x14ac:dyDescent="0.4">
      <c r="B5" s="62" t="s">
        <v>2176</v>
      </c>
      <c r="C5" s="62" t="s">
        <v>2177</v>
      </c>
    </row>
    <row r="6" spans="1:3" ht="20.25" customHeight="1" x14ac:dyDescent="0.4">
      <c r="B6" s="62" t="s">
        <v>2178</v>
      </c>
      <c r="C6" s="62"/>
    </row>
    <row r="7" spans="1:3" ht="21" customHeight="1" x14ac:dyDescent="0.4">
      <c r="B7" s="62" t="s">
        <v>2179</v>
      </c>
      <c r="C7" s="62"/>
    </row>
    <row r="8" spans="1:3" ht="17" x14ac:dyDescent="0.4">
      <c r="B8" s="62" t="s">
        <v>2180</v>
      </c>
      <c r="C8" s="62" t="s">
        <v>2181</v>
      </c>
    </row>
    <row r="9" spans="1:3" ht="17" x14ac:dyDescent="0.4">
      <c r="B9" s="62" t="s">
        <v>2182</v>
      </c>
      <c r="C9" s="62"/>
    </row>
    <row r="10" spans="1:3" ht="17" x14ac:dyDescent="0.4">
      <c r="B10" s="62" t="s">
        <v>2183</v>
      </c>
      <c r="C10" s="62"/>
    </row>
  </sheetData>
  <pageMargins left="0.78749999999999998" right="0.78749999999999998" top="1.05277777777778" bottom="1.05277777777778" header="0.78749999999999998" footer="0.78749999999999998"/>
  <pageSetup paperSize="9" firstPageNumber="0" orientation="portrait" horizontalDpi="300" verticalDpi="300"/>
  <headerFooter>
    <oddHeader>&amp;C&amp;"Times New Roman,Regular"&amp;12&amp;A</oddHeader>
    <oddFooter>&amp;C&amp;"Times New Roman,Regular"&amp;12Page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AMK1000"/>
  <sheetViews>
    <sheetView topLeftCell="A3" zoomScale="74" zoomScaleNormal="74" workbookViewId="0">
      <selection activeCell="G40" sqref="G40"/>
    </sheetView>
  </sheetViews>
  <sheetFormatPr defaultColWidth="8.81640625" defaultRowHeight="14.5" outlineLevelRow="1" x14ac:dyDescent="0.35"/>
  <cols>
    <col min="1" max="1" width="27" style="1" customWidth="1"/>
    <col min="2" max="2" width="11.453125" style="1"/>
    <col min="3" max="3" width="13.453125" style="1" customWidth="1"/>
    <col min="4" max="4" width="12.453125" style="1" customWidth="1"/>
    <col min="5" max="5" width="9.453125" style="1" customWidth="1"/>
    <col min="6" max="6" width="5.453125" style="1" customWidth="1"/>
    <col min="7" max="10" width="9.453125" style="1" customWidth="1"/>
    <col min="11" max="26" width="9" style="1" customWidth="1"/>
    <col min="27" max="1025" width="13.453125" style="1" customWidth="1"/>
  </cols>
  <sheetData>
    <row r="1" spans="1:26" ht="34.5" customHeight="1" x14ac:dyDescent="0.6">
      <c r="A1" s="178" t="s">
        <v>2184</v>
      </c>
      <c r="B1" s="179"/>
      <c r="C1" s="180"/>
      <c r="D1" s="180"/>
      <c r="E1" s="180"/>
      <c r="F1" s="180"/>
      <c r="G1" s="180"/>
      <c r="H1" s="180"/>
      <c r="I1" s="180"/>
      <c r="J1" s="180"/>
      <c r="K1" s="52"/>
      <c r="L1" s="52"/>
      <c r="M1" s="52"/>
      <c r="N1" s="52"/>
      <c r="O1" s="52"/>
      <c r="P1" s="63"/>
      <c r="Q1" s="63"/>
      <c r="R1" s="63"/>
      <c r="S1" s="63"/>
      <c r="T1" s="63"/>
      <c r="U1" s="63"/>
      <c r="V1" s="63"/>
      <c r="W1" s="63"/>
      <c r="X1" s="63"/>
      <c r="Y1" s="63"/>
      <c r="Z1" s="63"/>
    </row>
    <row r="2" spans="1:26" ht="12.75" customHeight="1" x14ac:dyDescent="0.35">
      <c r="A2" s="181"/>
      <c r="B2" s="21"/>
      <c r="C2" s="21"/>
      <c r="D2" s="21"/>
      <c r="E2" s="21"/>
      <c r="F2" s="21"/>
      <c r="G2" s="21"/>
      <c r="H2" s="21"/>
      <c r="I2" s="21"/>
      <c r="J2" s="1013"/>
      <c r="K2" s="52"/>
      <c r="L2" s="52"/>
      <c r="M2" s="52"/>
      <c r="N2" s="52"/>
      <c r="O2" s="52"/>
      <c r="P2" s="63"/>
      <c r="Q2" s="63"/>
      <c r="R2" s="63"/>
      <c r="S2" s="63"/>
      <c r="T2" s="63"/>
      <c r="U2" s="63"/>
      <c r="V2" s="63"/>
      <c r="W2" s="63"/>
      <c r="X2" s="63"/>
      <c r="Y2" s="63"/>
      <c r="Z2" s="63"/>
    </row>
    <row r="3" spans="1:26" ht="27" customHeight="1" x14ac:dyDescent="0.4">
      <c r="A3" s="182" t="s">
        <v>197</v>
      </c>
      <c r="B3" s="183"/>
      <c r="C3" s="184"/>
      <c r="D3" s="184"/>
      <c r="E3" s="184"/>
      <c r="F3" s="184"/>
      <c r="G3" s="184"/>
      <c r="H3" s="184"/>
      <c r="I3" s="184"/>
      <c r="J3" s="184"/>
      <c r="K3" s="64"/>
      <c r="L3" s="64"/>
      <c r="M3" s="64"/>
      <c r="N3" s="64"/>
      <c r="O3" s="64"/>
      <c r="P3" s="64"/>
      <c r="Q3" s="64"/>
      <c r="R3" s="64"/>
      <c r="S3" s="64"/>
      <c r="T3" s="64"/>
      <c r="U3" s="64"/>
      <c r="V3" s="64"/>
      <c r="W3" s="64"/>
      <c r="X3" s="64"/>
      <c r="Y3" s="64"/>
      <c r="Z3" s="64"/>
    </row>
    <row r="4" spans="1:26" ht="12.75" hidden="1" customHeight="1" outlineLevel="1" x14ac:dyDescent="0.35">
      <c r="A4" s="185" t="s">
        <v>2185</v>
      </c>
      <c r="B4" s="21"/>
      <c r="C4" s="21"/>
      <c r="D4" s="21"/>
      <c r="E4" s="21"/>
      <c r="F4" s="21"/>
      <c r="G4" s="21"/>
      <c r="H4" s="21"/>
      <c r="I4" s="21"/>
      <c r="J4" s="21"/>
      <c r="K4" s="52"/>
      <c r="L4" s="52"/>
      <c r="M4" s="52"/>
      <c r="N4" s="52"/>
      <c r="O4" s="52"/>
      <c r="P4" s="63"/>
      <c r="Q4" s="63"/>
      <c r="R4" s="63"/>
      <c r="S4" s="63"/>
      <c r="T4" s="63"/>
      <c r="U4" s="63"/>
      <c r="V4" s="63"/>
      <c r="W4" s="63"/>
      <c r="X4" s="63"/>
      <c r="Y4" s="63"/>
      <c r="Z4" s="63"/>
    </row>
    <row r="5" spans="1:26" ht="12.75" hidden="1" customHeight="1" outlineLevel="1" x14ac:dyDescent="0.35">
      <c r="A5" s="185" t="s">
        <v>2186</v>
      </c>
      <c r="B5" s="21"/>
      <c r="C5" s="21"/>
      <c r="D5" s="21"/>
      <c r="E5" s="21"/>
      <c r="F5" s="21"/>
      <c r="G5" s="21"/>
      <c r="H5" s="21"/>
      <c r="I5" s="21"/>
      <c r="J5" s="21"/>
      <c r="K5" s="52"/>
      <c r="L5" s="52"/>
      <c r="M5" s="52"/>
      <c r="N5" s="52"/>
      <c r="O5" s="52"/>
      <c r="P5" s="63"/>
      <c r="Q5" s="63"/>
      <c r="R5" s="63"/>
      <c r="S5" s="63"/>
      <c r="T5" s="63"/>
      <c r="U5" s="63"/>
      <c r="V5" s="63"/>
      <c r="W5" s="63"/>
      <c r="X5" s="63"/>
      <c r="Y5" s="63"/>
      <c r="Z5" s="63"/>
    </row>
    <row r="6" spans="1:26" ht="12.75" hidden="1" customHeight="1" outlineLevel="1" x14ac:dyDescent="0.35">
      <c r="A6" s="186" t="s">
        <v>2187</v>
      </c>
      <c r="B6" s="21"/>
      <c r="C6" s="21"/>
      <c r="D6" s="21"/>
      <c r="E6" s="21"/>
      <c r="F6" s="21"/>
      <c r="G6" s="21"/>
      <c r="H6" s="21"/>
      <c r="I6" s="21"/>
      <c r="J6" s="21"/>
      <c r="K6" s="52"/>
      <c r="L6" s="52"/>
      <c r="M6" s="52"/>
      <c r="N6" s="52"/>
      <c r="O6" s="52"/>
      <c r="P6" s="63"/>
      <c r="Q6" s="63"/>
      <c r="R6" s="63"/>
      <c r="S6" s="63"/>
      <c r="T6" s="63"/>
      <c r="U6" s="63"/>
      <c r="V6" s="63"/>
      <c r="W6" s="63"/>
      <c r="X6" s="63"/>
      <c r="Y6" s="63"/>
      <c r="Z6" s="63"/>
    </row>
    <row r="7" spans="1:26" ht="12.75" customHeight="1" x14ac:dyDescent="0.35">
      <c r="A7" s="186"/>
      <c r="B7" s="21"/>
      <c r="C7" s="21"/>
      <c r="D7" s="21"/>
      <c r="E7" s="21"/>
      <c r="F7" s="21"/>
      <c r="G7" s="21"/>
      <c r="H7" s="21"/>
      <c r="I7" s="21"/>
      <c r="J7" s="21"/>
      <c r="K7" s="52"/>
      <c r="L7" s="52"/>
      <c r="M7" s="52"/>
      <c r="N7" s="52"/>
      <c r="O7" s="52"/>
      <c r="P7" s="63"/>
      <c r="Q7" s="63"/>
      <c r="R7" s="63"/>
      <c r="S7" s="63"/>
      <c r="T7" s="63"/>
      <c r="U7" s="63"/>
      <c r="V7" s="63"/>
      <c r="W7" s="63"/>
      <c r="X7" s="63"/>
      <c r="Y7" s="63"/>
      <c r="Z7" s="63"/>
    </row>
    <row r="8" spans="1:26" ht="12.75" customHeight="1" x14ac:dyDescent="0.35">
      <c r="A8" s="187"/>
      <c r="B8" s="21"/>
      <c r="C8" s="21"/>
      <c r="D8" s="21"/>
      <c r="E8" s="21"/>
      <c r="F8" s="21"/>
      <c r="G8" s="21"/>
      <c r="H8" s="21"/>
      <c r="I8" s="21"/>
      <c r="J8" s="21"/>
      <c r="K8" s="52"/>
      <c r="L8" s="52"/>
      <c r="M8" s="52"/>
      <c r="N8" s="52"/>
      <c r="O8" s="52"/>
      <c r="P8" s="63"/>
      <c r="Q8" s="63"/>
      <c r="R8" s="63"/>
      <c r="S8" s="63"/>
      <c r="T8" s="63"/>
      <c r="U8" s="63"/>
      <c r="V8" s="63"/>
      <c r="W8" s="63"/>
      <c r="X8" s="63"/>
      <c r="Y8" s="63"/>
      <c r="Z8" s="63"/>
    </row>
    <row r="9" spans="1:26" ht="26.9" customHeight="1" x14ac:dyDescent="0.4">
      <c r="A9" s="182" t="s">
        <v>303</v>
      </c>
      <c r="B9" s="183"/>
      <c r="C9" s="184"/>
      <c r="D9" s="184"/>
      <c r="E9" s="184"/>
      <c r="F9" s="184"/>
      <c r="G9" s="184"/>
      <c r="H9" s="184"/>
      <c r="I9" s="184"/>
      <c r="J9" s="184"/>
      <c r="K9" s="64"/>
      <c r="L9" s="64"/>
      <c r="M9" s="64"/>
      <c r="N9" s="64"/>
      <c r="O9" s="64"/>
      <c r="P9" s="64"/>
      <c r="Q9" s="64"/>
      <c r="R9" s="64"/>
      <c r="S9" s="64"/>
      <c r="T9" s="64"/>
      <c r="U9" s="64"/>
      <c r="V9" s="64"/>
      <c r="W9" s="64"/>
      <c r="X9" s="64"/>
      <c r="Y9" s="64"/>
      <c r="Z9" s="64"/>
    </row>
    <row r="10" spans="1:26" ht="12.75" hidden="1" customHeight="1" outlineLevel="1" x14ac:dyDescent="0.35">
      <c r="A10" s="185" t="s">
        <v>2188</v>
      </c>
      <c r="B10" s="21"/>
      <c r="C10" s="21"/>
      <c r="D10" s="21"/>
      <c r="E10" s="21"/>
      <c r="F10" s="21"/>
      <c r="G10" s="21"/>
      <c r="H10" s="21"/>
      <c r="I10" s="21"/>
      <c r="J10" s="21"/>
      <c r="K10" s="52"/>
      <c r="L10" s="52"/>
      <c r="M10" s="52"/>
      <c r="N10" s="52"/>
      <c r="O10" s="52"/>
      <c r="P10" s="63"/>
      <c r="Q10" s="63"/>
      <c r="R10" s="63"/>
      <c r="S10" s="63"/>
      <c r="T10" s="63"/>
      <c r="U10" s="63"/>
      <c r="V10" s="63"/>
      <c r="W10" s="63"/>
      <c r="X10" s="63"/>
      <c r="Y10" s="63"/>
      <c r="Z10" s="63"/>
    </row>
    <row r="11" spans="1:26" ht="12.75" hidden="1" customHeight="1" outlineLevel="1" x14ac:dyDescent="0.35">
      <c r="A11" s="185" t="s">
        <v>2189</v>
      </c>
      <c r="B11" s="21"/>
      <c r="C11" s="21"/>
      <c r="D11" s="21"/>
      <c r="E11" s="21"/>
      <c r="F11" s="21"/>
      <c r="G11" s="21"/>
      <c r="H11" s="21"/>
      <c r="I11" s="21"/>
      <c r="J11" s="21"/>
      <c r="K11" s="52"/>
      <c r="L11" s="52"/>
      <c r="M11" s="52"/>
      <c r="N11" s="52"/>
      <c r="O11" s="52"/>
      <c r="P11" s="63"/>
      <c r="Q11" s="63"/>
      <c r="R11" s="63"/>
      <c r="S11" s="63"/>
      <c r="T11" s="63"/>
      <c r="U11" s="63"/>
      <c r="V11" s="63"/>
      <c r="W11" s="63"/>
      <c r="X11" s="63"/>
      <c r="Y11" s="63"/>
      <c r="Z11" s="63"/>
    </row>
    <row r="12" spans="1:26" ht="12.75" hidden="1" customHeight="1" outlineLevel="1" x14ac:dyDescent="0.35">
      <c r="A12" s="185" t="s">
        <v>2190</v>
      </c>
      <c r="B12" s="21"/>
      <c r="C12" s="21"/>
      <c r="D12" s="21"/>
      <c r="E12" s="21"/>
      <c r="F12" s="21"/>
      <c r="G12" s="21"/>
      <c r="H12" s="21"/>
      <c r="I12" s="21"/>
      <c r="J12" s="21"/>
      <c r="K12" s="52"/>
      <c r="L12" s="52"/>
      <c r="M12" s="52"/>
      <c r="N12" s="52"/>
      <c r="O12" s="52"/>
      <c r="P12" s="63"/>
      <c r="Q12" s="63"/>
      <c r="R12" s="63"/>
      <c r="S12" s="63"/>
      <c r="T12" s="63"/>
      <c r="U12" s="63"/>
      <c r="V12" s="63"/>
      <c r="W12" s="63"/>
      <c r="X12" s="63"/>
      <c r="Y12" s="63"/>
      <c r="Z12" s="63"/>
    </row>
    <row r="13" spans="1:26" ht="12.75" customHeight="1" x14ac:dyDescent="0.35">
      <c r="A13" s="185"/>
      <c r="B13" s="21"/>
      <c r="C13" s="21"/>
      <c r="D13" s="21"/>
      <c r="E13" s="21"/>
      <c r="F13" s="21"/>
      <c r="G13" s="21"/>
      <c r="H13" s="21"/>
      <c r="I13" s="21"/>
      <c r="J13" s="21"/>
      <c r="K13" s="52"/>
      <c r="L13" s="52"/>
      <c r="M13" s="52"/>
      <c r="N13" s="52"/>
      <c r="O13" s="52"/>
      <c r="P13" s="63"/>
      <c r="Q13" s="63"/>
      <c r="R13" s="63"/>
      <c r="S13" s="63"/>
      <c r="T13" s="63"/>
      <c r="U13" s="63"/>
      <c r="V13" s="63"/>
      <c r="W13" s="63"/>
      <c r="X13" s="63"/>
      <c r="Y13" s="63"/>
      <c r="Z13" s="63"/>
    </row>
    <row r="14" spans="1:26" ht="12.75" customHeight="1" x14ac:dyDescent="0.35">
      <c r="A14" s="181"/>
      <c r="B14" s="21"/>
      <c r="C14" s="21"/>
      <c r="D14" s="21"/>
      <c r="E14" s="21"/>
      <c r="F14" s="21"/>
      <c r="G14" s="21"/>
      <c r="H14" s="21"/>
      <c r="I14" s="21"/>
      <c r="J14" s="21"/>
      <c r="K14" s="52"/>
      <c r="L14" s="52"/>
      <c r="M14" s="52"/>
      <c r="N14" s="52"/>
      <c r="O14" s="52"/>
      <c r="P14" s="63"/>
      <c r="Q14" s="63"/>
      <c r="R14" s="63"/>
      <c r="S14" s="63"/>
      <c r="T14" s="63"/>
      <c r="U14" s="63"/>
      <c r="V14" s="63"/>
      <c r="W14" s="63"/>
      <c r="X14" s="63"/>
      <c r="Y14" s="63"/>
      <c r="Z14" s="63"/>
    </row>
    <row r="15" spans="1:26" ht="21.75" customHeight="1" x14ac:dyDescent="0.45">
      <c r="A15" s="182" t="s">
        <v>2191</v>
      </c>
      <c r="B15" s="183"/>
      <c r="C15" s="184"/>
      <c r="D15" s="184"/>
      <c r="E15" s="184"/>
      <c r="F15" s="184"/>
      <c r="G15" s="184"/>
      <c r="H15" s="184"/>
      <c r="I15" s="184"/>
      <c r="J15" s="184"/>
      <c r="K15" s="65"/>
      <c r="L15" s="65"/>
      <c r="M15" s="65"/>
      <c r="N15" s="65"/>
      <c r="O15" s="65"/>
      <c r="P15" s="63"/>
      <c r="Q15" s="63"/>
      <c r="R15" s="63"/>
      <c r="S15" s="63"/>
      <c r="T15" s="63"/>
      <c r="U15" s="63"/>
      <c r="V15" s="63"/>
      <c r="W15" s="63"/>
      <c r="X15" s="63"/>
      <c r="Y15" s="63"/>
      <c r="Z15" s="63"/>
    </row>
    <row r="16" spans="1:26" ht="12.75" customHeight="1" x14ac:dyDescent="0.35">
      <c r="A16" s="21"/>
      <c r="B16" s="21"/>
      <c r="C16" s="21"/>
      <c r="D16" s="21"/>
      <c r="E16" s="21"/>
      <c r="F16" s="21"/>
      <c r="G16" s="21"/>
      <c r="H16" s="21"/>
      <c r="I16" s="21"/>
      <c r="J16" s="21"/>
      <c r="K16" s="52"/>
      <c r="L16" s="52"/>
      <c r="M16" s="52"/>
      <c r="N16" s="52"/>
      <c r="O16" s="52"/>
      <c r="P16" s="63"/>
      <c r="Q16" s="63"/>
      <c r="R16" s="63"/>
      <c r="S16" s="63"/>
      <c r="T16" s="63"/>
      <c r="U16" s="63"/>
      <c r="V16" s="63"/>
      <c r="W16" s="63"/>
      <c r="X16" s="63"/>
      <c r="Y16" s="63"/>
      <c r="Z16" s="63"/>
    </row>
    <row r="17" spans="1:26" ht="33.75" customHeight="1" x14ac:dyDescent="0.4">
      <c r="A17" s="522" t="s">
        <v>2192</v>
      </c>
      <c r="B17" s="523" t="s">
        <v>2193</v>
      </c>
      <c r="C17" s="523" t="s">
        <v>2194</v>
      </c>
      <c r="D17" s="523"/>
      <c r="E17" s="523"/>
      <c r="F17" s="66"/>
      <c r="G17" s="21"/>
      <c r="H17" s="21"/>
      <c r="I17" s="21"/>
      <c r="J17" s="21"/>
      <c r="K17" s="52"/>
      <c r="L17" s="52"/>
      <c r="M17" s="52"/>
      <c r="N17" s="52"/>
      <c r="O17" s="52"/>
      <c r="P17" s="63"/>
      <c r="Q17" s="63"/>
      <c r="R17" s="63"/>
      <c r="S17" s="63"/>
      <c r="T17" s="63"/>
      <c r="U17" s="63"/>
      <c r="V17" s="63"/>
      <c r="W17" s="63"/>
      <c r="X17" s="63"/>
      <c r="Y17" s="63"/>
      <c r="Z17" s="63"/>
    </row>
    <row r="18" spans="1:26" ht="12.75" customHeight="1" x14ac:dyDescent="0.35">
      <c r="A18" s="1014" t="s">
        <v>2195</v>
      </c>
      <c r="B18" s="1015">
        <v>0.77083333333333304</v>
      </c>
      <c r="C18" s="1015">
        <v>0.29166666666666702</v>
      </c>
      <c r="D18" s="1016"/>
      <c r="E18" s="1016"/>
      <c r="F18" s="67"/>
      <c r="G18" s="21"/>
      <c r="H18" s="21"/>
      <c r="I18" s="21"/>
      <c r="J18" s="21"/>
      <c r="K18" s="52"/>
      <c r="L18" s="52"/>
      <c r="M18" s="52"/>
      <c r="N18" s="52"/>
      <c r="O18" s="52"/>
      <c r="P18" s="63"/>
      <c r="Q18" s="63"/>
      <c r="R18" s="63"/>
      <c r="S18" s="63"/>
      <c r="T18" s="63"/>
      <c r="U18" s="63"/>
      <c r="V18" s="63"/>
      <c r="W18" s="63"/>
      <c r="X18" s="63"/>
      <c r="Y18" s="63"/>
      <c r="Z18" s="63"/>
    </row>
    <row r="19" spans="1:26" ht="12.75" hidden="1" customHeight="1" outlineLevel="1" x14ac:dyDescent="0.35">
      <c r="A19" s="432"/>
      <c r="B19" s="524"/>
      <c r="C19" s="525"/>
      <c r="D19" s="525"/>
      <c r="E19" s="525"/>
      <c r="F19" s="21"/>
      <c r="G19" s="21"/>
      <c r="H19" s="21"/>
      <c r="I19" s="21"/>
      <c r="J19" s="21"/>
      <c r="K19" s="52"/>
      <c r="L19" s="52"/>
      <c r="M19" s="52"/>
      <c r="N19" s="52"/>
      <c r="O19" s="52"/>
      <c r="P19" s="63"/>
      <c r="Q19" s="63"/>
      <c r="R19" s="63"/>
      <c r="S19" s="63"/>
      <c r="T19" s="63"/>
      <c r="U19" s="63"/>
      <c r="V19" s="63"/>
      <c r="W19" s="63"/>
      <c r="X19" s="63"/>
      <c r="Y19" s="63"/>
      <c r="Z19" s="63"/>
    </row>
    <row r="20" spans="1:26" ht="12.75" hidden="1" customHeight="1" outlineLevel="1" x14ac:dyDescent="0.35">
      <c r="A20" s="432"/>
      <c r="B20" s="524"/>
      <c r="C20" s="525"/>
      <c r="D20" s="525"/>
      <c r="E20" s="525"/>
      <c r="F20" s="21"/>
      <c r="G20" s="21"/>
      <c r="H20" s="21"/>
      <c r="I20" s="21"/>
      <c r="J20" s="21"/>
      <c r="K20" s="52"/>
      <c r="L20" s="52"/>
      <c r="M20" s="52"/>
      <c r="N20" s="52"/>
      <c r="O20" s="52"/>
      <c r="P20" s="63"/>
      <c r="Q20" s="63"/>
      <c r="R20" s="63"/>
      <c r="S20" s="63"/>
      <c r="T20" s="63"/>
      <c r="U20" s="63"/>
      <c r="V20" s="63"/>
      <c r="W20" s="63"/>
      <c r="X20" s="63"/>
      <c r="Y20" s="63"/>
      <c r="Z20" s="63"/>
    </row>
    <row r="21" spans="1:26" ht="12.75" hidden="1" customHeight="1" outlineLevel="1" x14ac:dyDescent="0.35">
      <c r="A21" s="432"/>
      <c r="B21" s="524"/>
      <c r="C21" s="525"/>
      <c r="D21" s="525"/>
      <c r="E21" s="525"/>
      <c r="F21" s="21"/>
      <c r="G21" s="21"/>
      <c r="H21" s="21"/>
      <c r="I21" s="21"/>
      <c r="J21" s="21"/>
      <c r="K21" s="52"/>
      <c r="L21" s="52"/>
      <c r="M21" s="52"/>
      <c r="N21" s="52"/>
      <c r="O21" s="52"/>
      <c r="P21" s="63"/>
      <c r="Q21" s="63"/>
      <c r="R21" s="63"/>
      <c r="S21" s="63"/>
      <c r="T21" s="63"/>
      <c r="U21" s="63"/>
      <c r="V21" s="63"/>
      <c r="W21" s="63"/>
      <c r="X21" s="63"/>
      <c r="Y21" s="63"/>
      <c r="Z21" s="63"/>
    </row>
    <row r="22" spans="1:26" ht="12.75" hidden="1" customHeight="1" outlineLevel="1" x14ac:dyDescent="0.35">
      <c r="A22" s="432"/>
      <c r="B22" s="524"/>
      <c r="C22" s="525"/>
      <c r="D22" s="525"/>
      <c r="E22" s="525"/>
      <c r="F22" s="21"/>
      <c r="G22" s="21"/>
      <c r="H22" s="21"/>
      <c r="I22" s="21"/>
      <c r="J22" s="21"/>
      <c r="K22" s="52"/>
      <c r="L22" s="52"/>
      <c r="M22" s="52"/>
      <c r="N22" s="52"/>
      <c r="O22" s="52"/>
      <c r="P22" s="63"/>
      <c r="Q22" s="63"/>
      <c r="R22" s="63"/>
      <c r="S22" s="63"/>
      <c r="T22" s="63"/>
      <c r="U22" s="63"/>
      <c r="V22" s="63"/>
      <c r="W22" s="63"/>
      <c r="X22" s="63"/>
      <c r="Y22" s="63"/>
      <c r="Z22" s="63"/>
    </row>
    <row r="23" spans="1:26" ht="12.75" hidden="1" customHeight="1" outlineLevel="1" x14ac:dyDescent="0.35">
      <c r="A23" s="432"/>
      <c r="B23" s="524"/>
      <c r="C23" s="525"/>
      <c r="D23" s="525"/>
      <c r="E23" s="525"/>
      <c r="F23" s="21"/>
      <c r="G23" s="21"/>
      <c r="H23" s="21"/>
      <c r="I23" s="21"/>
      <c r="J23" s="21"/>
      <c r="K23" s="52"/>
      <c r="L23" s="52"/>
      <c r="M23" s="52"/>
      <c r="N23" s="52"/>
      <c r="O23" s="52"/>
      <c r="P23" s="63"/>
      <c r="Q23" s="63"/>
      <c r="R23" s="63"/>
      <c r="S23" s="63"/>
      <c r="T23" s="63"/>
      <c r="U23" s="63"/>
      <c r="V23" s="63"/>
      <c r="W23" s="63"/>
      <c r="X23" s="63"/>
      <c r="Y23" s="63"/>
      <c r="Z23" s="63"/>
    </row>
    <row r="24" spans="1:26" ht="12.75" customHeight="1" x14ac:dyDescent="0.35">
      <c r="A24" s="1017" t="s">
        <v>2127</v>
      </c>
      <c r="B24" s="188"/>
      <c r="C24" s="188"/>
      <c r="D24" s="189"/>
      <c r="E24" s="189"/>
      <c r="F24" s="21"/>
      <c r="G24" s="21"/>
      <c r="H24" s="21"/>
      <c r="I24" s="21"/>
      <c r="J24" s="21"/>
      <c r="K24" s="52"/>
      <c r="L24" s="52"/>
      <c r="M24" s="52"/>
      <c r="N24" s="52"/>
      <c r="O24" s="52"/>
      <c r="P24" s="63"/>
      <c r="Q24" s="63"/>
      <c r="R24" s="63"/>
      <c r="S24" s="63"/>
      <c r="T24" s="63"/>
      <c r="U24" s="63"/>
      <c r="V24" s="63"/>
      <c r="W24" s="63"/>
      <c r="X24" s="63"/>
      <c r="Y24" s="63"/>
      <c r="Z24" s="63"/>
    </row>
    <row r="25" spans="1:26" ht="12.75" hidden="1" customHeight="1" outlineLevel="1" x14ac:dyDescent="0.35">
      <c r="A25" s="432"/>
      <c r="B25" s="524"/>
      <c r="C25" s="525"/>
      <c r="D25" s="525"/>
      <c r="E25" s="525"/>
      <c r="F25" s="21"/>
      <c r="G25" s="21"/>
      <c r="H25" s="21"/>
      <c r="I25" s="21"/>
      <c r="J25" s="21"/>
      <c r="K25" s="52"/>
      <c r="L25" s="52"/>
      <c r="M25" s="52"/>
      <c r="N25" s="52"/>
      <c r="O25" s="52"/>
      <c r="P25" s="63"/>
      <c r="Q25" s="63"/>
      <c r="R25" s="63"/>
      <c r="S25" s="63"/>
      <c r="T25" s="63"/>
      <c r="U25" s="63"/>
      <c r="V25" s="63"/>
      <c r="W25" s="63"/>
      <c r="X25" s="63"/>
      <c r="Y25" s="63"/>
      <c r="Z25" s="63"/>
    </row>
    <row r="26" spans="1:26" ht="12.75" hidden="1" customHeight="1" outlineLevel="1" x14ac:dyDescent="0.35">
      <c r="A26" s="432"/>
      <c r="B26" s="524"/>
      <c r="C26" s="525"/>
      <c r="D26" s="525"/>
      <c r="E26" s="525"/>
      <c r="F26" s="21"/>
      <c r="G26" s="21"/>
      <c r="H26" s="21"/>
      <c r="I26" s="21"/>
      <c r="J26" s="21"/>
      <c r="K26" s="52"/>
      <c r="L26" s="52"/>
      <c r="M26" s="52"/>
      <c r="N26" s="52"/>
      <c r="O26" s="52"/>
      <c r="P26" s="63"/>
      <c r="Q26" s="63"/>
      <c r="R26" s="63"/>
      <c r="S26" s="63"/>
      <c r="T26" s="63"/>
      <c r="U26" s="63"/>
      <c r="V26" s="63"/>
      <c r="W26" s="63"/>
      <c r="X26" s="63"/>
      <c r="Y26" s="63"/>
      <c r="Z26" s="63"/>
    </row>
    <row r="27" spans="1:26" ht="12.75" customHeight="1" x14ac:dyDescent="0.35">
      <c r="A27" s="1014"/>
      <c r="B27" s="1018"/>
      <c r="C27" s="1018"/>
      <c r="D27" s="1019"/>
      <c r="E27" s="1019"/>
      <c r="F27" s="21"/>
      <c r="G27" s="21"/>
      <c r="H27" s="21"/>
      <c r="I27" s="21"/>
      <c r="J27" s="21"/>
      <c r="K27" s="52"/>
      <c r="L27" s="52"/>
      <c r="M27" s="52"/>
      <c r="N27" s="52"/>
      <c r="O27" s="52"/>
      <c r="P27" s="63"/>
      <c r="Q27" s="63"/>
      <c r="R27" s="63"/>
      <c r="S27" s="63"/>
      <c r="T27" s="63"/>
      <c r="U27" s="63"/>
      <c r="V27" s="63"/>
      <c r="W27" s="63"/>
      <c r="X27" s="63"/>
      <c r="Y27" s="63"/>
      <c r="Z27" s="63"/>
    </row>
    <row r="28" spans="1:26" ht="12.75" hidden="1" customHeight="1" outlineLevel="1" x14ac:dyDescent="0.35">
      <c r="A28" s="526"/>
      <c r="B28" s="524"/>
      <c r="C28" s="525"/>
      <c r="D28" s="525"/>
      <c r="E28" s="525"/>
      <c r="F28" s="68"/>
      <c r="G28" s="21"/>
      <c r="H28" s="21"/>
      <c r="I28" s="21"/>
      <c r="J28" s="21"/>
      <c r="K28" s="52"/>
      <c r="L28" s="52"/>
      <c r="M28" s="52"/>
      <c r="N28" s="52"/>
      <c r="O28" s="52"/>
      <c r="P28" s="63"/>
      <c r="Q28" s="63"/>
      <c r="R28" s="63"/>
      <c r="S28" s="63"/>
      <c r="T28" s="63"/>
      <c r="U28" s="63"/>
      <c r="V28" s="63"/>
      <c r="W28" s="63"/>
      <c r="X28" s="63"/>
      <c r="Y28" s="63"/>
      <c r="Z28" s="63"/>
    </row>
    <row r="29" spans="1:26" ht="12.75" hidden="1" customHeight="1" outlineLevel="1" x14ac:dyDescent="0.35">
      <c r="A29" s="526"/>
      <c r="B29" s="524"/>
      <c r="C29" s="525"/>
      <c r="D29" s="525"/>
      <c r="E29" s="525"/>
      <c r="F29" s="68"/>
      <c r="G29" s="21"/>
      <c r="H29" s="21"/>
      <c r="I29" s="21"/>
      <c r="J29" s="21"/>
      <c r="K29" s="52"/>
      <c r="L29" s="52"/>
      <c r="M29" s="52"/>
      <c r="N29" s="52"/>
      <c r="O29" s="52"/>
      <c r="P29" s="63"/>
      <c r="Q29" s="63"/>
      <c r="R29" s="63"/>
      <c r="S29" s="63"/>
      <c r="T29" s="63"/>
      <c r="U29" s="63"/>
      <c r="V29" s="63"/>
      <c r="W29" s="63"/>
      <c r="X29" s="63"/>
      <c r="Y29" s="63"/>
      <c r="Z29" s="63"/>
    </row>
    <row r="30" spans="1:26" ht="12.75" hidden="1" customHeight="1" outlineLevel="1" x14ac:dyDescent="0.35">
      <c r="A30" s="526"/>
      <c r="B30" s="524"/>
      <c r="C30" s="525"/>
      <c r="D30" s="525"/>
      <c r="E30" s="525"/>
      <c r="F30" s="68"/>
      <c r="G30" s="21"/>
      <c r="H30" s="21"/>
      <c r="I30" s="21"/>
      <c r="J30" s="21"/>
      <c r="K30" s="52"/>
      <c r="L30" s="52"/>
      <c r="M30" s="52"/>
      <c r="N30" s="52"/>
      <c r="O30" s="52"/>
      <c r="P30" s="63"/>
      <c r="Q30" s="63"/>
      <c r="R30" s="63"/>
      <c r="S30" s="63"/>
      <c r="T30" s="63"/>
      <c r="U30" s="63"/>
      <c r="V30" s="63"/>
      <c r="W30" s="63"/>
      <c r="X30" s="63"/>
      <c r="Y30" s="63"/>
      <c r="Z30" s="63"/>
    </row>
    <row r="31" spans="1:26" ht="12.75" hidden="1" customHeight="1" outlineLevel="1" x14ac:dyDescent="0.35">
      <c r="A31" s="526"/>
      <c r="B31" s="524"/>
      <c r="C31" s="525"/>
      <c r="D31" s="525"/>
      <c r="E31" s="525"/>
      <c r="F31" s="68"/>
      <c r="G31" s="21"/>
      <c r="H31" s="21"/>
      <c r="I31" s="21"/>
      <c r="J31" s="21"/>
      <c r="K31" s="52"/>
      <c r="L31" s="52"/>
      <c r="M31" s="52"/>
      <c r="N31" s="52"/>
      <c r="O31" s="52"/>
      <c r="P31" s="63"/>
      <c r="Q31" s="63"/>
      <c r="R31" s="63"/>
      <c r="S31" s="63"/>
      <c r="T31" s="63"/>
      <c r="U31" s="63"/>
      <c r="V31" s="63"/>
      <c r="W31" s="63"/>
      <c r="X31" s="63"/>
      <c r="Y31" s="63"/>
      <c r="Z31" s="63"/>
    </row>
    <row r="32" spans="1:26" ht="12.75" hidden="1" customHeight="1" outlineLevel="1" x14ac:dyDescent="0.35">
      <c r="A32" s="526"/>
      <c r="B32" s="524"/>
      <c r="C32" s="525"/>
      <c r="D32" s="525"/>
      <c r="E32" s="525"/>
      <c r="F32" s="68"/>
      <c r="G32" s="21"/>
      <c r="H32" s="21"/>
      <c r="I32" s="21"/>
      <c r="J32" s="21"/>
      <c r="K32" s="52"/>
      <c r="L32" s="52"/>
      <c r="M32" s="52"/>
      <c r="N32" s="52"/>
      <c r="O32" s="52"/>
      <c r="P32" s="63"/>
      <c r="Q32" s="63"/>
      <c r="R32" s="63"/>
      <c r="S32" s="63"/>
      <c r="T32" s="63"/>
      <c r="U32" s="63"/>
      <c r="V32" s="63"/>
      <c r="W32" s="63"/>
      <c r="X32" s="63"/>
      <c r="Y32" s="63"/>
      <c r="Z32" s="63"/>
    </row>
    <row r="33" spans="1:26" ht="12.75" customHeight="1" x14ac:dyDescent="0.35">
      <c r="A33" s="1014"/>
      <c r="B33" s="1018"/>
      <c r="C33" s="1018"/>
      <c r="D33" s="1019"/>
      <c r="E33" s="1019"/>
      <c r="F33" s="21"/>
      <c r="G33" s="21"/>
      <c r="H33" s="21"/>
      <c r="I33" s="21"/>
      <c r="J33" s="21"/>
      <c r="K33" s="52"/>
      <c r="L33" s="52"/>
      <c r="M33" s="52"/>
      <c r="N33" s="52"/>
      <c r="O33" s="52"/>
      <c r="P33" s="63"/>
      <c r="Q33" s="63"/>
      <c r="R33" s="63"/>
      <c r="S33" s="63"/>
      <c r="T33" s="63"/>
      <c r="U33" s="63"/>
      <c r="V33" s="63"/>
      <c r="W33" s="63"/>
      <c r="X33" s="63"/>
      <c r="Y33" s="63"/>
      <c r="Z33" s="63"/>
    </row>
    <row r="34" spans="1:26" ht="12.75" customHeight="1" outlineLevel="1" x14ac:dyDescent="0.35">
      <c r="A34" s="69" t="s">
        <v>2196</v>
      </c>
      <c r="B34" s="527"/>
      <c r="C34" s="527"/>
      <c r="D34" s="527"/>
      <c r="E34" s="527"/>
      <c r="F34" s="21"/>
      <c r="G34" s="21"/>
      <c r="H34" s="21"/>
      <c r="I34" s="21"/>
      <c r="J34" s="21"/>
      <c r="K34" s="52"/>
      <c r="L34" s="52"/>
      <c r="M34" s="52"/>
      <c r="N34" s="52"/>
      <c r="O34" s="52"/>
      <c r="P34" s="63"/>
      <c r="Q34" s="63"/>
      <c r="R34" s="63"/>
      <c r="S34" s="63"/>
      <c r="T34" s="63"/>
      <c r="U34" s="63"/>
      <c r="V34" s="63"/>
      <c r="W34" s="63"/>
      <c r="X34" s="63"/>
      <c r="Y34" s="63"/>
      <c r="Z34" s="63"/>
    </row>
    <row r="35" spans="1:26" ht="12.75" customHeight="1" outlineLevel="1" x14ac:dyDescent="0.35">
      <c r="A35" s="528" t="s">
        <v>2197</v>
      </c>
      <c r="B35" s="1015">
        <v>0.77083333333333304</v>
      </c>
      <c r="C35" s="1015">
        <v>0.29166666666666702</v>
      </c>
      <c r="D35" s="527"/>
      <c r="E35" s="527"/>
      <c r="F35" s="21"/>
      <c r="G35" s="21"/>
      <c r="H35" s="21"/>
      <c r="I35" s="21"/>
      <c r="J35" s="21"/>
      <c r="K35" s="52"/>
      <c r="L35" s="52"/>
      <c r="M35" s="52"/>
      <c r="N35" s="52"/>
      <c r="O35" s="52"/>
      <c r="P35" s="63"/>
      <c r="Q35" s="63"/>
      <c r="R35" s="63"/>
      <c r="S35" s="63"/>
      <c r="T35" s="63"/>
      <c r="U35" s="63"/>
      <c r="V35" s="63"/>
      <c r="W35" s="63"/>
      <c r="X35" s="63"/>
      <c r="Y35" s="63"/>
      <c r="Z35" s="63"/>
    </row>
    <row r="36" spans="1:26" ht="12.75" customHeight="1" outlineLevel="1" x14ac:dyDescent="0.35">
      <c r="A36" s="528" t="s">
        <v>2129</v>
      </c>
      <c r="B36" s="1015">
        <v>0.77083333333333304</v>
      </c>
      <c r="C36" s="1015">
        <v>0.29166666666666702</v>
      </c>
      <c r="D36" s="527"/>
      <c r="E36" s="527"/>
      <c r="F36" s="21"/>
      <c r="G36" s="21"/>
      <c r="H36" s="21"/>
      <c r="I36" s="21"/>
      <c r="J36" s="21"/>
      <c r="K36" s="52"/>
      <c r="L36" s="52"/>
      <c r="M36" s="52"/>
      <c r="N36" s="52"/>
      <c r="O36" s="52"/>
      <c r="P36" s="63"/>
      <c r="Q36" s="63"/>
      <c r="R36" s="63"/>
      <c r="S36" s="63"/>
      <c r="T36" s="63"/>
      <c r="U36" s="63"/>
      <c r="V36" s="63"/>
      <c r="W36" s="63"/>
      <c r="X36" s="63"/>
      <c r="Y36" s="63"/>
      <c r="Z36" s="63"/>
    </row>
    <row r="37" spans="1:26" ht="12.75" customHeight="1" outlineLevel="1" x14ac:dyDescent="0.35">
      <c r="A37" s="528" t="s">
        <v>2198</v>
      </c>
      <c r="B37" s="1015">
        <v>0.77083333333333304</v>
      </c>
      <c r="C37" s="1015">
        <v>0.29166666666666702</v>
      </c>
      <c r="D37" s="527"/>
      <c r="E37" s="527"/>
      <c r="F37" s="21"/>
      <c r="G37" s="21"/>
      <c r="H37" s="21"/>
      <c r="I37" s="21"/>
      <c r="J37" s="21"/>
      <c r="K37" s="52"/>
      <c r="L37" s="52"/>
      <c r="M37" s="52"/>
      <c r="N37" s="52"/>
      <c r="O37" s="52"/>
      <c r="P37" s="63"/>
      <c r="Q37" s="63"/>
      <c r="R37" s="63"/>
      <c r="S37" s="63"/>
      <c r="T37" s="63"/>
      <c r="U37" s="63"/>
      <c r="V37" s="63"/>
      <c r="W37" s="63"/>
      <c r="X37" s="63"/>
      <c r="Y37" s="63"/>
      <c r="Z37" s="63"/>
    </row>
    <row r="38" spans="1:26" ht="12.75" customHeight="1" outlineLevel="1" x14ac:dyDescent="0.35">
      <c r="A38" s="528" t="s">
        <v>2199</v>
      </c>
      <c r="B38" s="1015">
        <v>0.77083333333333304</v>
      </c>
      <c r="C38" s="1015">
        <v>0.29166666666666702</v>
      </c>
      <c r="D38" s="527"/>
      <c r="E38" s="527"/>
      <c r="F38" s="21"/>
      <c r="G38" s="21"/>
      <c r="H38" s="21"/>
      <c r="I38" s="21"/>
      <c r="J38" s="21"/>
      <c r="K38" s="52"/>
      <c r="L38" s="52"/>
      <c r="M38" s="52"/>
      <c r="N38" s="52"/>
      <c r="O38" s="52"/>
      <c r="P38" s="63"/>
      <c r="Q38" s="63"/>
      <c r="R38" s="63"/>
      <c r="S38" s="63"/>
      <c r="T38" s="63"/>
      <c r="U38" s="63"/>
      <c r="V38" s="63"/>
      <c r="W38" s="63"/>
      <c r="X38" s="63"/>
      <c r="Y38" s="63"/>
      <c r="Z38" s="63"/>
    </row>
    <row r="39" spans="1:26" ht="12.75" customHeight="1" outlineLevel="1" x14ac:dyDescent="0.35">
      <c r="A39" s="528"/>
      <c r="B39" s="527"/>
      <c r="C39" s="527"/>
      <c r="D39" s="527"/>
      <c r="E39" s="527"/>
      <c r="F39" s="21"/>
      <c r="G39" s="21"/>
      <c r="H39" s="21"/>
      <c r="I39" s="21"/>
      <c r="J39" s="21"/>
      <c r="K39" s="52"/>
      <c r="L39" s="52"/>
      <c r="M39" s="52"/>
      <c r="N39" s="52"/>
      <c r="O39" s="52"/>
      <c r="P39" s="63"/>
      <c r="Q39" s="63"/>
      <c r="R39" s="63"/>
      <c r="S39" s="63"/>
      <c r="T39" s="63"/>
      <c r="U39" s="63"/>
      <c r="V39" s="63"/>
      <c r="W39" s="63"/>
      <c r="X39" s="63"/>
      <c r="Y39" s="63"/>
      <c r="Z39" s="63"/>
    </row>
    <row r="40" spans="1:26" ht="12.75" customHeight="1" outlineLevel="1" x14ac:dyDescent="0.35">
      <c r="A40" s="528"/>
      <c r="B40" s="527"/>
      <c r="C40" s="527"/>
      <c r="D40" s="527"/>
      <c r="E40" s="527"/>
      <c r="F40" s="21"/>
      <c r="G40" s="21"/>
      <c r="H40" s="21"/>
      <c r="I40" s="21"/>
      <c r="J40" s="21"/>
      <c r="K40" s="52"/>
      <c r="L40" s="52"/>
      <c r="M40" s="52"/>
      <c r="N40" s="52"/>
      <c r="O40" s="52"/>
      <c r="P40" s="63"/>
      <c r="Q40" s="63"/>
      <c r="R40" s="63"/>
      <c r="S40" s="63"/>
      <c r="T40" s="63"/>
      <c r="U40" s="63"/>
      <c r="V40" s="63"/>
      <c r="W40" s="63"/>
      <c r="X40" s="63"/>
      <c r="Y40" s="63"/>
      <c r="Z40" s="63"/>
    </row>
    <row r="41" spans="1:26" ht="12.75" customHeight="1" x14ac:dyDescent="0.35">
      <c r="A41" s="1014"/>
      <c r="B41" s="1019"/>
      <c r="C41" s="1019"/>
      <c r="D41" s="1019"/>
      <c r="E41" s="1019"/>
      <c r="F41" s="21"/>
      <c r="G41" s="21"/>
      <c r="H41" s="21"/>
      <c r="I41" s="21"/>
      <c r="J41" s="21"/>
      <c r="K41" s="52"/>
      <c r="L41" s="52"/>
      <c r="M41" s="52"/>
      <c r="N41" s="52"/>
      <c r="O41" s="52"/>
      <c r="P41" s="63"/>
      <c r="Q41" s="63"/>
      <c r="R41" s="63"/>
      <c r="S41" s="63"/>
      <c r="T41" s="63"/>
      <c r="U41" s="63"/>
      <c r="V41" s="63"/>
      <c r="W41" s="63"/>
      <c r="X41" s="63"/>
      <c r="Y41" s="63"/>
      <c r="Z41" s="63"/>
    </row>
    <row r="42" spans="1:26" ht="12.75" customHeight="1" outlineLevel="1" x14ac:dyDescent="0.35">
      <c r="A42" s="454"/>
      <c r="B42" s="524"/>
      <c r="C42" s="525"/>
      <c r="D42" s="524"/>
      <c r="E42" s="524"/>
      <c r="F42" s="21"/>
      <c r="G42" s="21"/>
      <c r="H42" s="21"/>
      <c r="I42" s="21"/>
      <c r="J42" s="21"/>
      <c r="K42" s="52"/>
      <c r="L42" s="52"/>
      <c r="M42" s="52"/>
      <c r="N42" s="52"/>
      <c r="O42" s="52"/>
      <c r="P42" s="63"/>
      <c r="Q42" s="63"/>
      <c r="R42" s="63"/>
      <c r="S42" s="63"/>
      <c r="T42" s="63"/>
      <c r="U42" s="63"/>
      <c r="V42" s="63"/>
      <c r="W42" s="63"/>
      <c r="X42" s="63"/>
      <c r="Y42" s="63"/>
      <c r="Z42" s="63"/>
    </row>
    <row r="43" spans="1:26" ht="12.75" customHeight="1" outlineLevel="1" x14ac:dyDescent="0.35">
      <c r="A43" s="454"/>
      <c r="B43" s="524"/>
      <c r="C43" s="525"/>
      <c r="D43" s="525"/>
      <c r="E43" s="525"/>
      <c r="F43" s="21"/>
      <c r="G43" s="21"/>
      <c r="H43" s="21"/>
      <c r="I43" s="21"/>
      <c r="J43" s="21"/>
      <c r="K43" s="52"/>
      <c r="L43" s="52"/>
      <c r="M43" s="52"/>
      <c r="N43" s="52"/>
      <c r="O43" s="52"/>
      <c r="P43" s="63"/>
      <c r="Q43" s="63"/>
      <c r="R43" s="63"/>
      <c r="S43" s="63"/>
      <c r="T43" s="63"/>
      <c r="U43" s="63"/>
      <c r="V43" s="63"/>
      <c r="W43" s="63"/>
      <c r="X43" s="63"/>
      <c r="Y43" s="63"/>
      <c r="Z43" s="63"/>
    </row>
    <row r="44" spans="1:26" ht="12.75" customHeight="1" outlineLevel="1" x14ac:dyDescent="0.35">
      <c r="A44" s="454"/>
      <c r="B44" s="524"/>
      <c r="C44" s="525"/>
      <c r="D44" s="525"/>
      <c r="E44" s="525"/>
      <c r="F44" s="21"/>
      <c r="G44" s="21"/>
      <c r="H44" s="21"/>
      <c r="I44" s="21"/>
      <c r="J44" s="21"/>
      <c r="K44" s="52"/>
      <c r="L44" s="52"/>
      <c r="M44" s="52"/>
      <c r="N44" s="52"/>
      <c r="O44" s="52"/>
      <c r="P44" s="63"/>
      <c r="Q44" s="63"/>
      <c r="R44" s="63"/>
      <c r="S44" s="63"/>
      <c r="T44" s="63"/>
      <c r="U44" s="63"/>
      <c r="V44" s="63"/>
      <c r="W44" s="63"/>
      <c r="X44" s="63"/>
      <c r="Y44" s="63"/>
      <c r="Z44" s="63"/>
    </row>
    <row r="45" spans="1:26" ht="12.75" customHeight="1" x14ac:dyDescent="0.35">
      <c r="A45" s="1020"/>
      <c r="B45" s="1021"/>
      <c r="C45" s="1021"/>
      <c r="D45" s="1021"/>
      <c r="E45" s="1021"/>
      <c r="F45" s="52"/>
      <c r="G45" s="52"/>
      <c r="H45" s="52"/>
      <c r="I45" s="52"/>
      <c r="J45" s="52"/>
      <c r="K45" s="52"/>
      <c r="L45" s="52"/>
      <c r="M45" s="52"/>
      <c r="N45" s="52"/>
      <c r="O45" s="52"/>
      <c r="P45" s="63"/>
      <c r="Q45" s="63"/>
      <c r="R45" s="63"/>
      <c r="S45" s="63"/>
      <c r="T45" s="63"/>
      <c r="U45" s="63"/>
      <c r="V45" s="63"/>
      <c r="W45" s="63"/>
      <c r="X45" s="63"/>
      <c r="Y45" s="63"/>
      <c r="Z45" s="63"/>
    </row>
    <row r="46" spans="1:26" ht="12.75" customHeight="1" outlineLevel="1" x14ac:dyDescent="0.35">
      <c r="A46" s="1022"/>
      <c r="B46" s="529"/>
      <c r="C46" s="433"/>
      <c r="D46" s="433"/>
      <c r="E46" s="433"/>
      <c r="F46" s="52"/>
      <c r="G46" s="52"/>
      <c r="H46" s="52"/>
      <c r="I46" s="52"/>
      <c r="J46" s="52"/>
      <c r="K46" s="52"/>
      <c r="L46" s="52"/>
      <c r="M46" s="52"/>
      <c r="N46" s="52"/>
      <c r="O46" s="52"/>
      <c r="P46" s="63"/>
      <c r="Q46" s="63"/>
      <c r="R46" s="63"/>
      <c r="S46" s="63"/>
      <c r="T46" s="63"/>
      <c r="U46" s="63"/>
      <c r="V46" s="63"/>
      <c r="W46" s="63"/>
      <c r="X46" s="63"/>
      <c r="Y46" s="63"/>
      <c r="Z46" s="63"/>
    </row>
    <row r="47" spans="1:26" ht="12.75" customHeight="1" outlineLevel="1" x14ac:dyDescent="0.35">
      <c r="A47" s="1022"/>
      <c r="B47" s="529"/>
      <c r="C47" s="433"/>
      <c r="D47" s="433"/>
      <c r="E47" s="433"/>
      <c r="F47" s="52"/>
      <c r="G47" s="52"/>
      <c r="H47" s="52"/>
      <c r="I47" s="52"/>
      <c r="J47" s="52"/>
      <c r="K47" s="52"/>
      <c r="L47" s="52"/>
      <c r="M47" s="52"/>
      <c r="N47" s="52"/>
      <c r="O47" s="52"/>
      <c r="P47" s="63"/>
      <c r="Q47" s="63"/>
      <c r="R47" s="63"/>
      <c r="S47" s="63"/>
      <c r="T47" s="63"/>
      <c r="U47" s="63"/>
      <c r="V47" s="63"/>
      <c r="W47" s="63"/>
      <c r="X47" s="63"/>
      <c r="Y47" s="63"/>
      <c r="Z47" s="63"/>
    </row>
    <row r="48" spans="1:26" ht="12.75" customHeight="1" outlineLevel="1" x14ac:dyDescent="0.35">
      <c r="A48" s="1022"/>
      <c r="B48" s="529"/>
      <c r="C48" s="433"/>
      <c r="D48" s="433"/>
      <c r="E48" s="433"/>
      <c r="F48" s="52"/>
      <c r="G48" s="52"/>
      <c r="H48" s="52"/>
      <c r="I48" s="52"/>
      <c r="J48" s="52"/>
      <c r="K48" s="52"/>
      <c r="L48" s="52"/>
      <c r="M48" s="52"/>
      <c r="N48" s="52"/>
      <c r="O48" s="52"/>
      <c r="P48" s="63"/>
      <c r="Q48" s="63"/>
      <c r="R48" s="63"/>
      <c r="S48" s="63"/>
      <c r="T48" s="63"/>
      <c r="U48" s="63"/>
      <c r="V48" s="63"/>
      <c r="W48" s="63"/>
      <c r="X48" s="63"/>
      <c r="Y48" s="63"/>
      <c r="Z48" s="63"/>
    </row>
    <row r="49" spans="1:26" ht="12.75" customHeight="1" outlineLevel="1" x14ac:dyDescent="0.35">
      <c r="A49" s="1022"/>
      <c r="B49" s="529"/>
      <c r="C49" s="433"/>
      <c r="D49" s="433"/>
      <c r="E49" s="433"/>
      <c r="F49" s="52"/>
      <c r="G49" s="52"/>
      <c r="H49" s="52"/>
      <c r="I49" s="52"/>
      <c r="J49" s="52"/>
      <c r="K49" s="52"/>
      <c r="L49" s="52"/>
      <c r="M49" s="52"/>
      <c r="N49" s="52"/>
      <c r="O49" s="52"/>
      <c r="P49" s="63"/>
      <c r="Q49" s="63"/>
      <c r="R49" s="63"/>
      <c r="S49" s="63"/>
      <c r="T49" s="63"/>
      <c r="U49" s="63"/>
      <c r="V49" s="63"/>
      <c r="W49" s="63"/>
      <c r="X49" s="63"/>
      <c r="Y49" s="63"/>
      <c r="Z49" s="63"/>
    </row>
    <row r="50" spans="1:26" ht="12.75" customHeight="1" x14ac:dyDescent="0.35">
      <c r="A50" s="1020"/>
      <c r="B50" s="1021"/>
      <c r="C50" s="1021"/>
      <c r="D50" s="1021"/>
      <c r="E50" s="1021"/>
      <c r="F50" s="52"/>
      <c r="G50" s="52"/>
      <c r="H50" s="52"/>
      <c r="I50" s="52"/>
      <c r="J50" s="52"/>
      <c r="K50" s="52"/>
      <c r="L50" s="52"/>
      <c r="M50" s="52"/>
      <c r="N50" s="52"/>
      <c r="O50" s="52"/>
      <c r="P50" s="63"/>
      <c r="Q50" s="63"/>
      <c r="R50" s="63"/>
      <c r="S50" s="63"/>
      <c r="T50" s="63"/>
      <c r="U50" s="63"/>
      <c r="V50" s="63"/>
      <c r="W50" s="63"/>
      <c r="X50" s="63"/>
      <c r="Y50" s="63"/>
      <c r="Z50" s="63"/>
    </row>
    <row r="51" spans="1:26" ht="12.75" customHeight="1" outlineLevel="1" x14ac:dyDescent="0.35">
      <c r="A51" s="431"/>
      <c r="B51" s="529"/>
      <c r="C51" s="433"/>
      <c r="D51" s="433"/>
      <c r="E51" s="433"/>
      <c r="F51" s="52"/>
      <c r="G51" s="52"/>
      <c r="H51" s="52"/>
      <c r="I51" s="52"/>
      <c r="J51" s="52"/>
      <c r="K51" s="52"/>
      <c r="L51" s="52"/>
      <c r="M51" s="52"/>
      <c r="N51" s="52"/>
      <c r="O51" s="52"/>
      <c r="P51" s="63"/>
      <c r="Q51" s="63"/>
      <c r="R51" s="63"/>
      <c r="S51" s="63"/>
      <c r="T51" s="63"/>
      <c r="U51" s="63"/>
      <c r="V51" s="63"/>
      <c r="W51" s="63"/>
      <c r="X51" s="63"/>
      <c r="Y51" s="63"/>
      <c r="Z51" s="63"/>
    </row>
    <row r="52" spans="1:26" ht="12.75" customHeight="1" outlineLevel="1" x14ac:dyDescent="0.35">
      <c r="A52" s="530"/>
      <c r="B52" s="529"/>
      <c r="C52" s="433"/>
      <c r="D52" s="433"/>
      <c r="E52" s="433"/>
      <c r="F52" s="52"/>
      <c r="G52" s="52"/>
      <c r="H52" s="52"/>
      <c r="I52" s="52"/>
      <c r="J52" s="52"/>
      <c r="K52" s="52"/>
      <c r="L52" s="52"/>
      <c r="M52" s="52"/>
      <c r="N52" s="52"/>
      <c r="O52" s="52"/>
      <c r="P52" s="63"/>
      <c r="Q52" s="63"/>
      <c r="R52" s="63"/>
      <c r="S52" s="63"/>
      <c r="T52" s="63"/>
      <c r="U52" s="63"/>
      <c r="V52" s="63"/>
      <c r="W52" s="63"/>
      <c r="X52" s="63"/>
      <c r="Y52" s="63"/>
      <c r="Z52" s="63"/>
    </row>
    <row r="53" spans="1:26" ht="12.75" customHeight="1" x14ac:dyDescent="0.35">
      <c r="A53" s="1020"/>
      <c r="B53" s="1021"/>
      <c r="C53" s="1021"/>
      <c r="D53" s="1021"/>
      <c r="E53" s="1021"/>
      <c r="F53" s="52"/>
      <c r="G53" s="52"/>
      <c r="H53" s="52"/>
      <c r="I53" s="52"/>
      <c r="J53" s="52"/>
      <c r="K53" s="52"/>
      <c r="L53" s="52"/>
      <c r="M53" s="52"/>
      <c r="N53" s="52"/>
      <c r="O53" s="52"/>
      <c r="P53" s="63"/>
      <c r="Q53" s="63"/>
      <c r="R53" s="63"/>
      <c r="S53" s="63"/>
      <c r="T53" s="63"/>
      <c r="U53" s="63"/>
      <c r="V53" s="63"/>
      <c r="W53" s="63"/>
      <c r="X53" s="63"/>
      <c r="Y53" s="63"/>
      <c r="Z53" s="63"/>
    </row>
    <row r="54" spans="1:26" ht="12.75" customHeight="1" outlineLevel="1" x14ac:dyDescent="0.35">
      <c r="A54" s="431"/>
      <c r="B54" s="529"/>
      <c r="C54" s="531"/>
      <c r="D54" s="531"/>
      <c r="E54" s="531"/>
      <c r="F54" s="52"/>
      <c r="G54" s="52"/>
      <c r="H54" s="52"/>
      <c r="I54" s="52"/>
      <c r="J54" s="52"/>
      <c r="K54" s="52"/>
      <c r="L54" s="52"/>
      <c r="M54" s="52"/>
      <c r="N54" s="52"/>
      <c r="O54" s="52"/>
      <c r="P54" s="63"/>
      <c r="Q54" s="63"/>
      <c r="R54" s="63"/>
      <c r="S54" s="63"/>
      <c r="T54" s="63"/>
      <c r="U54" s="63"/>
      <c r="V54" s="63"/>
      <c r="W54" s="63"/>
      <c r="X54" s="63"/>
      <c r="Y54" s="63"/>
      <c r="Z54" s="63"/>
    </row>
    <row r="55" spans="1:26" ht="12.75" customHeight="1" outlineLevel="1" x14ac:dyDescent="0.35">
      <c r="A55" s="431"/>
      <c r="B55" s="529"/>
      <c r="C55" s="531"/>
      <c r="D55" s="531"/>
      <c r="E55" s="531"/>
      <c r="F55" s="52"/>
      <c r="G55" s="52"/>
      <c r="H55" s="52"/>
      <c r="I55" s="52"/>
      <c r="J55" s="52"/>
      <c r="K55" s="52"/>
      <c r="L55" s="52"/>
      <c r="M55" s="52"/>
      <c r="N55" s="52"/>
      <c r="O55" s="52"/>
      <c r="P55" s="63"/>
      <c r="Q55" s="63"/>
      <c r="R55" s="63"/>
      <c r="S55" s="63"/>
      <c r="T55" s="63"/>
      <c r="U55" s="63"/>
      <c r="V55" s="63"/>
      <c r="W55" s="63"/>
      <c r="X55" s="63"/>
      <c r="Y55" s="63"/>
      <c r="Z55" s="63"/>
    </row>
    <row r="56" spans="1:26" ht="12.75" customHeight="1" x14ac:dyDescent="0.35">
      <c r="A56" s="1020"/>
      <c r="B56" s="1021"/>
      <c r="C56" s="1021"/>
      <c r="D56" s="1021"/>
      <c r="E56" s="1021"/>
      <c r="F56" s="52"/>
      <c r="G56" s="52"/>
      <c r="H56" s="52"/>
      <c r="I56" s="52"/>
      <c r="J56" s="52"/>
      <c r="K56" s="52"/>
      <c r="L56" s="52"/>
      <c r="M56" s="52"/>
      <c r="N56" s="52"/>
      <c r="O56" s="52"/>
      <c r="P56" s="63"/>
      <c r="Q56" s="63"/>
      <c r="R56" s="63"/>
      <c r="S56" s="63"/>
      <c r="T56" s="63"/>
      <c r="U56" s="63"/>
      <c r="V56" s="63"/>
      <c r="W56" s="63"/>
      <c r="X56" s="63"/>
      <c r="Y56" s="63"/>
      <c r="Z56" s="63"/>
    </row>
    <row r="57" spans="1:26" ht="12.75" customHeight="1" outlineLevel="1" x14ac:dyDescent="0.35">
      <c r="A57" s="532"/>
      <c r="B57" s="1023"/>
      <c r="C57" s="1024"/>
      <c r="D57" s="1024"/>
      <c r="E57" s="1024"/>
      <c r="F57" s="52"/>
      <c r="G57" s="52"/>
      <c r="H57" s="52"/>
      <c r="I57" s="52"/>
      <c r="J57" s="52"/>
      <c r="K57" s="52"/>
      <c r="L57" s="52"/>
      <c r="M57" s="52"/>
      <c r="N57" s="52"/>
      <c r="O57" s="52"/>
      <c r="P57" s="63"/>
      <c r="Q57" s="63"/>
      <c r="R57" s="63"/>
      <c r="S57" s="63"/>
      <c r="T57" s="63"/>
      <c r="U57" s="63"/>
      <c r="V57" s="63"/>
      <c r="W57" s="63"/>
      <c r="X57" s="63"/>
      <c r="Y57" s="63"/>
      <c r="Z57" s="63"/>
    </row>
    <row r="58" spans="1:26" ht="12.75" customHeight="1" outlineLevel="1" x14ac:dyDescent="0.35">
      <c r="A58" s="1025"/>
      <c r="B58" s="529"/>
      <c r="C58" s="1026"/>
      <c r="D58" s="531"/>
      <c r="E58" s="531"/>
      <c r="F58" s="52"/>
      <c r="G58" s="52"/>
      <c r="H58" s="52"/>
      <c r="I58" s="52"/>
      <c r="J58" s="52"/>
      <c r="K58" s="52"/>
      <c r="L58" s="52"/>
      <c r="M58" s="52"/>
      <c r="N58" s="52"/>
      <c r="O58" s="52"/>
      <c r="P58" s="63"/>
      <c r="Q58" s="63"/>
      <c r="R58" s="63"/>
      <c r="S58" s="63"/>
      <c r="T58" s="63"/>
      <c r="U58" s="63"/>
      <c r="V58" s="63"/>
      <c r="W58" s="63"/>
      <c r="X58" s="63"/>
      <c r="Y58" s="63"/>
      <c r="Z58" s="63"/>
    </row>
    <row r="59" spans="1:26" ht="12.75" customHeight="1" outlineLevel="1" x14ac:dyDescent="0.35">
      <c r="A59" s="7"/>
      <c r="B59" s="529"/>
      <c r="C59" s="1026"/>
      <c r="D59" s="531"/>
      <c r="E59" s="531"/>
      <c r="F59" s="52"/>
      <c r="G59" s="52"/>
      <c r="H59" s="52"/>
      <c r="I59" s="52"/>
      <c r="J59" s="52"/>
      <c r="K59" s="52"/>
      <c r="L59" s="52"/>
      <c r="M59" s="52"/>
      <c r="N59" s="52"/>
      <c r="O59" s="52"/>
      <c r="P59" s="63"/>
      <c r="Q59" s="63"/>
      <c r="R59" s="63"/>
      <c r="S59" s="63"/>
      <c r="T59" s="63"/>
      <c r="U59" s="63"/>
      <c r="V59" s="63"/>
      <c r="W59" s="63"/>
      <c r="X59" s="63"/>
      <c r="Y59" s="63"/>
      <c r="Z59" s="63"/>
    </row>
    <row r="60" spans="1:26" ht="12.75" customHeight="1" outlineLevel="1" x14ac:dyDescent="0.35">
      <c r="A60" s="1027"/>
      <c r="B60" s="1023"/>
      <c r="C60" s="1024"/>
      <c r="D60" s="1024"/>
      <c r="E60" s="1024"/>
      <c r="F60" s="52"/>
      <c r="G60" s="52"/>
      <c r="H60" s="52"/>
      <c r="I60" s="52"/>
      <c r="J60" s="52"/>
      <c r="K60" s="52"/>
      <c r="L60" s="52"/>
      <c r="M60" s="52"/>
      <c r="N60" s="52"/>
      <c r="O60" s="52"/>
      <c r="P60" s="63"/>
      <c r="Q60" s="63"/>
      <c r="R60" s="63"/>
      <c r="S60" s="63"/>
      <c r="T60" s="63"/>
      <c r="U60" s="63"/>
      <c r="V60" s="63"/>
      <c r="W60" s="63"/>
      <c r="X60" s="63"/>
      <c r="Y60" s="63"/>
      <c r="Z60" s="63"/>
    </row>
    <row r="61" spans="1:26" ht="12.75" customHeight="1" outlineLevel="1" x14ac:dyDescent="0.35">
      <c r="A61" s="1025"/>
      <c r="B61" s="529"/>
      <c r="C61" s="1026"/>
      <c r="D61" s="531"/>
      <c r="E61" s="531"/>
      <c r="F61" s="52"/>
      <c r="G61" s="52"/>
      <c r="H61" s="52"/>
      <c r="I61" s="52"/>
      <c r="J61" s="52"/>
      <c r="K61" s="52"/>
      <c r="L61" s="52"/>
      <c r="M61" s="52"/>
      <c r="N61" s="52"/>
      <c r="O61" s="52"/>
      <c r="P61" s="63"/>
      <c r="Q61" s="63"/>
      <c r="R61" s="63"/>
      <c r="S61" s="63"/>
      <c r="T61" s="63"/>
      <c r="U61" s="63"/>
      <c r="V61" s="63"/>
      <c r="W61" s="63"/>
      <c r="X61" s="63"/>
      <c r="Y61" s="63"/>
      <c r="Z61" s="63"/>
    </row>
    <row r="62" spans="1:26" ht="12.75" customHeight="1" outlineLevel="1" x14ac:dyDescent="0.35">
      <c r="A62" s="1025"/>
      <c r="B62" s="529"/>
      <c r="C62" s="1026"/>
      <c r="D62" s="531"/>
      <c r="E62" s="531"/>
      <c r="F62" s="52"/>
      <c r="G62" s="52"/>
      <c r="H62" s="52"/>
      <c r="I62" s="52"/>
      <c r="J62" s="52"/>
      <c r="K62" s="52"/>
      <c r="L62" s="52"/>
      <c r="M62" s="52"/>
      <c r="N62" s="52"/>
      <c r="O62" s="52"/>
      <c r="P62" s="63"/>
      <c r="Q62" s="63"/>
      <c r="R62" s="63"/>
      <c r="S62" s="63"/>
      <c r="T62" s="63"/>
      <c r="U62" s="63"/>
      <c r="V62" s="63"/>
      <c r="W62" s="63"/>
      <c r="X62" s="63"/>
      <c r="Y62" s="63"/>
      <c r="Z62" s="63"/>
    </row>
    <row r="63" spans="1:26" ht="12.75" customHeight="1" outlineLevel="1" x14ac:dyDescent="0.35">
      <c r="A63" s="1027"/>
      <c r="B63" s="1028"/>
      <c r="C63" s="1029"/>
      <c r="D63" s="1029"/>
      <c r="E63" s="1029"/>
      <c r="F63" s="52"/>
      <c r="G63" s="52"/>
      <c r="H63" s="52"/>
      <c r="I63" s="52"/>
      <c r="J63" s="52"/>
      <c r="K63" s="52"/>
      <c r="L63" s="52"/>
      <c r="M63" s="52"/>
      <c r="N63" s="52"/>
      <c r="O63" s="52"/>
      <c r="P63" s="63"/>
      <c r="Q63" s="63"/>
      <c r="R63" s="63"/>
      <c r="S63" s="63"/>
      <c r="T63" s="63"/>
      <c r="U63" s="63"/>
      <c r="V63" s="63"/>
      <c r="W63" s="63"/>
      <c r="X63" s="63"/>
      <c r="Y63" s="63"/>
      <c r="Z63" s="63"/>
    </row>
    <row r="64" spans="1:26" ht="12.75" customHeight="1" outlineLevel="1" x14ac:dyDescent="0.35">
      <c r="A64" s="1025"/>
      <c r="B64" s="529"/>
      <c r="C64" s="1026"/>
      <c r="D64" s="531"/>
      <c r="E64" s="531"/>
      <c r="F64" s="52"/>
      <c r="G64" s="52"/>
      <c r="H64" s="52"/>
      <c r="I64" s="52"/>
      <c r="J64" s="52"/>
      <c r="K64" s="52"/>
      <c r="L64" s="52"/>
      <c r="M64" s="52"/>
      <c r="N64" s="52"/>
      <c r="O64" s="52"/>
      <c r="P64" s="63"/>
      <c r="Q64" s="63"/>
      <c r="R64" s="63"/>
      <c r="S64" s="63"/>
      <c r="T64" s="63"/>
      <c r="U64" s="63"/>
      <c r="V64" s="63"/>
      <c r="W64" s="63"/>
      <c r="X64" s="63"/>
      <c r="Y64" s="63"/>
      <c r="Z64" s="63"/>
    </row>
    <row r="65" spans="1:26" ht="12.75" customHeight="1" outlineLevel="1" x14ac:dyDescent="0.35">
      <c r="A65" s="1025"/>
      <c r="B65" s="529"/>
      <c r="C65" s="1026"/>
      <c r="D65" s="531"/>
      <c r="E65" s="531"/>
      <c r="F65" s="52"/>
      <c r="G65" s="52"/>
      <c r="H65" s="52"/>
      <c r="I65" s="52"/>
      <c r="J65" s="52"/>
      <c r="K65" s="52"/>
      <c r="L65" s="52"/>
      <c r="M65" s="52"/>
      <c r="N65" s="52"/>
      <c r="O65" s="52"/>
      <c r="P65" s="63"/>
      <c r="Q65" s="63"/>
      <c r="R65" s="63"/>
      <c r="S65" s="63"/>
      <c r="T65" s="63"/>
      <c r="U65" s="63"/>
      <c r="V65" s="63"/>
      <c r="W65" s="63"/>
      <c r="X65" s="63"/>
      <c r="Y65" s="63"/>
      <c r="Z65" s="63"/>
    </row>
    <row r="66" spans="1:26" ht="12.75" customHeight="1" outlineLevel="1" x14ac:dyDescent="0.35">
      <c r="A66" s="1025"/>
      <c r="B66" s="529"/>
      <c r="C66" s="1026"/>
      <c r="D66" s="531"/>
      <c r="E66" s="531"/>
      <c r="F66" s="52"/>
      <c r="G66" s="52"/>
      <c r="H66" s="52"/>
      <c r="I66" s="52"/>
      <c r="J66" s="52"/>
      <c r="K66" s="52"/>
      <c r="L66" s="52"/>
      <c r="M66" s="52"/>
      <c r="N66" s="52"/>
      <c r="O66" s="52"/>
      <c r="P66" s="63"/>
      <c r="Q66" s="63"/>
      <c r="R66" s="63"/>
      <c r="S66" s="63"/>
      <c r="T66" s="63"/>
      <c r="U66" s="63"/>
      <c r="V66" s="63"/>
      <c r="W66" s="63"/>
      <c r="X66" s="63"/>
      <c r="Y66" s="63"/>
      <c r="Z66" s="63"/>
    </row>
    <row r="67" spans="1:26" ht="12.75" customHeight="1" outlineLevel="1" x14ac:dyDescent="0.35">
      <c r="A67" s="532"/>
      <c r="B67" s="1023"/>
      <c r="C67" s="1024"/>
      <c r="D67" s="1024"/>
      <c r="E67" s="1024"/>
      <c r="F67" s="52"/>
      <c r="G67" s="52"/>
      <c r="H67" s="52"/>
      <c r="I67" s="52"/>
      <c r="J67" s="52"/>
      <c r="K67" s="52"/>
      <c r="L67" s="52"/>
      <c r="M67" s="52"/>
      <c r="N67" s="52"/>
      <c r="O67" s="52"/>
      <c r="P67" s="63"/>
      <c r="Q67" s="63"/>
      <c r="R67" s="63"/>
      <c r="S67" s="63"/>
      <c r="T67" s="63"/>
      <c r="U67" s="63"/>
      <c r="V67" s="63"/>
      <c r="W67" s="63"/>
      <c r="X67" s="63"/>
      <c r="Y67" s="63"/>
      <c r="Z67" s="63"/>
    </row>
    <row r="68" spans="1:26" ht="12.75" customHeight="1" outlineLevel="1" x14ac:dyDescent="0.35">
      <c r="A68" s="431"/>
      <c r="B68" s="529"/>
      <c r="C68" s="1026"/>
      <c r="D68" s="531"/>
      <c r="E68" s="531"/>
      <c r="F68" s="52"/>
      <c r="G68" s="52"/>
      <c r="H68" s="52"/>
      <c r="I68" s="52"/>
      <c r="J68" s="52"/>
      <c r="K68" s="52"/>
      <c r="L68" s="52"/>
      <c r="M68" s="52"/>
      <c r="N68" s="52"/>
      <c r="O68" s="52"/>
      <c r="P68" s="63"/>
      <c r="Q68" s="63"/>
      <c r="R68" s="63"/>
      <c r="S68" s="63"/>
      <c r="T68" s="63"/>
      <c r="U68" s="63"/>
      <c r="V68" s="63"/>
      <c r="W68" s="63"/>
      <c r="X68" s="63"/>
      <c r="Y68" s="63"/>
      <c r="Z68" s="63"/>
    </row>
    <row r="69" spans="1:26" ht="12.75" customHeight="1" outlineLevel="1" x14ac:dyDescent="0.35">
      <c r="A69" s="431"/>
      <c r="B69" s="529"/>
      <c r="C69" s="1026"/>
      <c r="D69" s="531"/>
      <c r="E69" s="531"/>
      <c r="F69" s="52"/>
      <c r="G69" s="52"/>
      <c r="H69" s="52"/>
      <c r="I69" s="52"/>
      <c r="J69" s="52"/>
      <c r="K69" s="52"/>
      <c r="L69" s="52"/>
      <c r="M69" s="52"/>
      <c r="N69" s="52"/>
      <c r="O69" s="52"/>
      <c r="P69" s="63"/>
      <c r="Q69" s="63"/>
      <c r="R69" s="63"/>
      <c r="S69" s="63"/>
      <c r="T69" s="63"/>
      <c r="U69" s="63"/>
      <c r="V69" s="63"/>
      <c r="W69" s="63"/>
      <c r="X69" s="63"/>
      <c r="Y69" s="63"/>
      <c r="Z69" s="63"/>
    </row>
    <row r="70" spans="1:26" ht="12.75" customHeight="1" outlineLevel="1" x14ac:dyDescent="0.35">
      <c r="A70" s="532"/>
      <c r="B70" s="1023"/>
      <c r="C70" s="1024"/>
      <c r="D70" s="1024"/>
      <c r="E70" s="1024"/>
      <c r="F70" s="52"/>
      <c r="G70" s="52"/>
      <c r="H70" s="52"/>
      <c r="I70" s="52"/>
      <c r="J70" s="52"/>
      <c r="K70" s="52"/>
      <c r="L70" s="52"/>
      <c r="M70" s="52"/>
      <c r="N70" s="52"/>
      <c r="O70" s="52"/>
      <c r="P70" s="63"/>
      <c r="Q70" s="63"/>
      <c r="R70" s="63"/>
      <c r="S70" s="63"/>
      <c r="T70" s="63"/>
      <c r="U70" s="63"/>
      <c r="V70" s="63"/>
      <c r="W70" s="63"/>
      <c r="X70" s="63"/>
      <c r="Y70" s="63"/>
      <c r="Z70" s="63"/>
    </row>
    <row r="71" spans="1:26" ht="12.75" customHeight="1" x14ac:dyDescent="0.35">
      <c r="A71" s="431"/>
      <c r="B71" s="529"/>
      <c r="C71" s="1026"/>
      <c r="D71" s="531"/>
      <c r="E71" s="531"/>
      <c r="F71" s="52"/>
      <c r="G71" s="52"/>
      <c r="H71" s="52"/>
      <c r="I71" s="52"/>
      <c r="J71" s="52"/>
      <c r="K71" s="52"/>
      <c r="L71" s="52"/>
      <c r="M71" s="52"/>
      <c r="N71" s="52"/>
      <c r="O71" s="52"/>
      <c r="P71" s="63"/>
      <c r="Q71" s="63"/>
      <c r="R71" s="63"/>
      <c r="S71" s="63"/>
      <c r="T71" s="63"/>
      <c r="U71" s="63"/>
      <c r="V71" s="63"/>
      <c r="W71" s="63"/>
      <c r="X71" s="63"/>
      <c r="Y71" s="63"/>
      <c r="Z71" s="63"/>
    </row>
    <row r="72" spans="1:26" ht="12.75" customHeight="1" x14ac:dyDescent="0.35">
      <c r="A72" s="532"/>
      <c r="B72" s="1023"/>
      <c r="C72" s="1024"/>
      <c r="D72" s="1024"/>
      <c r="E72" s="1024"/>
      <c r="F72" s="52"/>
      <c r="G72" s="52"/>
      <c r="H72" s="52"/>
      <c r="I72" s="52"/>
      <c r="J72" s="52"/>
      <c r="K72" s="52"/>
      <c r="L72" s="52"/>
      <c r="M72" s="52"/>
      <c r="N72" s="52"/>
      <c r="O72" s="52"/>
      <c r="P72" s="63"/>
      <c r="Q72" s="63"/>
      <c r="R72" s="63"/>
      <c r="S72" s="63"/>
      <c r="T72" s="63"/>
      <c r="U72" s="63"/>
      <c r="V72" s="63"/>
      <c r="W72" s="63"/>
      <c r="X72" s="63"/>
      <c r="Y72" s="63"/>
      <c r="Z72" s="63"/>
    </row>
    <row r="73" spans="1:26" ht="12.75" customHeight="1" x14ac:dyDescent="0.35">
      <c r="A73" s="431"/>
      <c r="B73" s="529"/>
      <c r="C73" s="1026"/>
      <c r="D73" s="531"/>
      <c r="E73" s="531"/>
      <c r="F73" s="52"/>
      <c r="G73" s="52"/>
      <c r="H73" s="52"/>
      <c r="I73" s="52"/>
      <c r="J73" s="52"/>
      <c r="K73" s="52"/>
      <c r="L73" s="52"/>
      <c r="M73" s="52"/>
      <c r="N73" s="52"/>
      <c r="O73" s="52"/>
      <c r="P73" s="63"/>
      <c r="Q73" s="63"/>
      <c r="R73" s="63"/>
      <c r="S73" s="63"/>
      <c r="T73" s="63"/>
      <c r="U73" s="63"/>
      <c r="V73" s="63"/>
      <c r="W73" s="63"/>
      <c r="X73" s="63"/>
      <c r="Y73" s="63"/>
      <c r="Z73" s="63"/>
    </row>
    <row r="74" spans="1:26" ht="12.75" customHeight="1" x14ac:dyDescent="0.35">
      <c r="A74" s="431"/>
      <c r="B74" s="529"/>
      <c r="C74" s="1026"/>
      <c r="D74" s="531"/>
      <c r="E74" s="531"/>
      <c r="F74" s="52"/>
      <c r="G74" s="52"/>
      <c r="H74" s="52"/>
      <c r="I74" s="52"/>
      <c r="J74" s="52"/>
      <c r="K74" s="52"/>
      <c r="L74" s="52"/>
      <c r="M74" s="52"/>
      <c r="N74" s="52"/>
      <c r="O74" s="52"/>
      <c r="P74" s="63"/>
      <c r="Q74" s="63"/>
      <c r="R74" s="63"/>
      <c r="S74" s="63"/>
      <c r="T74" s="63"/>
      <c r="U74" s="63"/>
      <c r="V74" s="63"/>
      <c r="W74" s="63"/>
      <c r="X74" s="63"/>
      <c r="Y74" s="63"/>
      <c r="Z74" s="63"/>
    </row>
    <row r="75" spans="1:26" ht="12.75" customHeight="1" x14ac:dyDescent="0.35">
      <c r="A75" s="431"/>
      <c r="B75" s="529"/>
      <c r="C75" s="1026"/>
      <c r="D75" s="531"/>
      <c r="E75" s="531"/>
      <c r="F75" s="52"/>
      <c r="G75" s="52"/>
      <c r="H75" s="52"/>
      <c r="I75" s="52"/>
      <c r="J75" s="52"/>
      <c r="K75" s="52"/>
      <c r="L75" s="52"/>
      <c r="M75" s="52"/>
      <c r="N75" s="52"/>
      <c r="O75" s="52"/>
      <c r="P75" s="63"/>
      <c r="Q75" s="63"/>
      <c r="R75" s="63"/>
      <c r="S75" s="63"/>
      <c r="T75" s="63"/>
      <c r="U75" s="63"/>
      <c r="V75" s="63"/>
      <c r="W75" s="63"/>
      <c r="X75" s="63"/>
      <c r="Y75" s="63"/>
      <c r="Z75" s="63"/>
    </row>
    <row r="76" spans="1:26" ht="12.75" customHeight="1" x14ac:dyDescent="0.35">
      <c r="A76" s="431"/>
      <c r="B76" s="529"/>
      <c r="C76" s="1026"/>
      <c r="D76" s="531"/>
      <c r="E76" s="531"/>
      <c r="F76" s="52"/>
      <c r="G76" s="52"/>
      <c r="H76" s="52"/>
      <c r="I76" s="52"/>
      <c r="J76" s="52"/>
      <c r="K76" s="52"/>
      <c r="L76" s="52"/>
      <c r="M76" s="52"/>
      <c r="N76" s="52"/>
      <c r="O76" s="52"/>
      <c r="P76" s="63"/>
      <c r="Q76" s="63"/>
      <c r="R76" s="63"/>
      <c r="S76" s="63"/>
      <c r="T76" s="63"/>
      <c r="U76" s="63"/>
      <c r="V76" s="63"/>
      <c r="W76" s="63"/>
      <c r="X76" s="63"/>
      <c r="Y76" s="63"/>
      <c r="Z76" s="63"/>
    </row>
    <row r="77" spans="1:26" ht="12.75" customHeight="1" x14ac:dyDescent="0.35">
      <c r="A77" s="532"/>
      <c r="B77" s="1023"/>
      <c r="C77" s="1024"/>
      <c r="D77" s="1024"/>
      <c r="E77" s="1024"/>
      <c r="F77" s="52"/>
      <c r="G77" s="52"/>
      <c r="H77" s="52"/>
      <c r="I77" s="52"/>
      <c r="J77" s="52"/>
      <c r="K77" s="52"/>
      <c r="L77" s="52"/>
      <c r="M77" s="52"/>
      <c r="N77" s="52"/>
      <c r="O77" s="52"/>
      <c r="P77" s="63"/>
      <c r="Q77" s="63"/>
      <c r="R77" s="63"/>
      <c r="S77" s="63"/>
      <c r="T77" s="63"/>
      <c r="U77" s="63"/>
      <c r="V77" s="63"/>
      <c r="W77" s="63"/>
      <c r="X77" s="63"/>
      <c r="Y77" s="63"/>
      <c r="Z77" s="63"/>
    </row>
    <row r="78" spans="1:26" ht="12.75" customHeight="1" x14ac:dyDescent="0.35">
      <c r="A78" s="431"/>
      <c r="B78" s="529"/>
      <c r="C78" s="1026"/>
      <c r="D78" s="531"/>
      <c r="E78" s="531"/>
      <c r="F78" s="52"/>
      <c r="G78" s="52"/>
      <c r="H78" s="52"/>
      <c r="I78" s="52"/>
      <c r="J78" s="52"/>
      <c r="K78" s="52"/>
      <c r="L78" s="52"/>
      <c r="M78" s="52"/>
      <c r="N78" s="52"/>
      <c r="O78" s="52"/>
      <c r="P78" s="63"/>
      <c r="Q78" s="63"/>
      <c r="R78" s="63"/>
      <c r="S78" s="63"/>
      <c r="T78" s="63"/>
      <c r="U78" s="63"/>
      <c r="V78" s="63"/>
      <c r="W78" s="63"/>
      <c r="X78" s="63"/>
      <c r="Y78" s="63"/>
      <c r="Z78" s="63"/>
    </row>
    <row r="79" spans="1:26" ht="12.75" customHeight="1" x14ac:dyDescent="0.35">
      <c r="A79" s="532"/>
      <c r="B79" s="1023"/>
      <c r="C79" s="1024"/>
      <c r="D79" s="1024"/>
      <c r="E79" s="1024"/>
      <c r="F79" s="52"/>
      <c r="G79" s="52"/>
      <c r="H79" s="52"/>
      <c r="I79" s="52"/>
      <c r="J79" s="52"/>
      <c r="K79" s="52"/>
      <c r="L79" s="52"/>
      <c r="M79" s="52"/>
      <c r="N79" s="52"/>
      <c r="O79" s="52"/>
      <c r="P79" s="63"/>
      <c r="Q79" s="63"/>
      <c r="R79" s="63"/>
      <c r="S79" s="63"/>
      <c r="T79" s="63"/>
      <c r="U79" s="63"/>
      <c r="V79" s="63"/>
      <c r="W79" s="63"/>
      <c r="X79" s="63"/>
      <c r="Y79" s="63"/>
      <c r="Z79" s="63"/>
    </row>
    <row r="80" spans="1:26" ht="12.75" customHeight="1" x14ac:dyDescent="0.35">
      <c r="A80" s="431"/>
      <c r="B80" s="529"/>
      <c r="C80" s="1026"/>
      <c r="D80" s="531"/>
      <c r="E80" s="531"/>
      <c r="F80" s="52"/>
      <c r="G80" s="52"/>
      <c r="H80" s="52"/>
      <c r="I80" s="52"/>
      <c r="J80" s="52"/>
      <c r="K80" s="52"/>
      <c r="L80" s="52"/>
      <c r="M80" s="52"/>
      <c r="N80" s="52"/>
      <c r="O80" s="52"/>
      <c r="P80" s="63"/>
      <c r="Q80" s="63"/>
      <c r="R80" s="63"/>
      <c r="S80" s="63"/>
      <c r="T80" s="63"/>
      <c r="U80" s="63"/>
      <c r="V80" s="63"/>
      <c r="W80" s="63"/>
      <c r="X80" s="63"/>
      <c r="Y80" s="63"/>
      <c r="Z80" s="63"/>
    </row>
    <row r="81" spans="1:26" ht="12.75" customHeight="1" x14ac:dyDescent="0.35">
      <c r="A81" s="532"/>
      <c r="B81" s="1023"/>
      <c r="C81" s="1024"/>
      <c r="D81" s="1024"/>
      <c r="E81" s="1024"/>
      <c r="F81" s="52"/>
      <c r="G81" s="52"/>
      <c r="H81" s="52"/>
      <c r="I81" s="52"/>
      <c r="J81" s="52"/>
      <c r="K81" s="52"/>
      <c r="L81" s="52"/>
      <c r="M81" s="52"/>
      <c r="N81" s="52"/>
      <c r="O81" s="52"/>
      <c r="P81" s="63"/>
      <c r="Q81" s="63"/>
      <c r="R81" s="63"/>
      <c r="S81" s="63"/>
      <c r="T81" s="63"/>
      <c r="U81" s="63"/>
      <c r="V81" s="63"/>
      <c r="W81" s="63"/>
      <c r="X81" s="63"/>
      <c r="Y81" s="63"/>
      <c r="Z81" s="63"/>
    </row>
    <row r="82" spans="1:26" ht="12.75" customHeight="1" x14ac:dyDescent="0.35">
      <c r="A82" s="431"/>
      <c r="B82" s="529"/>
      <c r="C82" s="1026"/>
      <c r="D82" s="531"/>
      <c r="E82" s="531"/>
      <c r="F82" s="52"/>
      <c r="G82" s="52"/>
      <c r="H82" s="52"/>
      <c r="I82" s="52"/>
      <c r="J82" s="52"/>
      <c r="K82" s="52"/>
      <c r="L82" s="52"/>
      <c r="M82" s="52"/>
      <c r="N82" s="52"/>
      <c r="O82" s="52"/>
      <c r="P82" s="63"/>
      <c r="Q82" s="63"/>
      <c r="R82" s="63"/>
      <c r="S82" s="63"/>
      <c r="T82" s="63"/>
      <c r="U82" s="63"/>
      <c r="V82" s="63"/>
      <c r="W82" s="63"/>
      <c r="X82" s="63"/>
      <c r="Y82" s="63"/>
      <c r="Z82" s="63"/>
    </row>
    <row r="83" spans="1:26" ht="12.75" customHeight="1" x14ac:dyDescent="0.35">
      <c r="A83" s="532"/>
      <c r="B83" s="1023"/>
      <c r="C83" s="1024"/>
      <c r="D83" s="1024"/>
      <c r="E83" s="1024"/>
      <c r="F83" s="52"/>
      <c r="G83" s="52"/>
      <c r="H83" s="52"/>
      <c r="I83" s="52"/>
      <c r="J83" s="52"/>
      <c r="K83" s="52"/>
      <c r="L83" s="52"/>
      <c r="M83" s="52"/>
      <c r="N83" s="52"/>
      <c r="O83" s="52"/>
      <c r="P83" s="63"/>
      <c r="Q83" s="63"/>
      <c r="R83" s="63"/>
      <c r="S83" s="63"/>
      <c r="T83" s="63"/>
      <c r="U83" s="63"/>
      <c r="V83" s="63"/>
      <c r="W83" s="63"/>
      <c r="X83" s="63"/>
      <c r="Y83" s="63"/>
      <c r="Z83" s="63"/>
    </row>
    <row r="84" spans="1:26" ht="12.75" customHeight="1" x14ac:dyDescent="0.35">
      <c r="A84" s="431"/>
      <c r="B84" s="529"/>
      <c r="C84" s="1026"/>
      <c r="D84" s="531"/>
      <c r="E84" s="531"/>
      <c r="F84" s="52"/>
      <c r="G84" s="52"/>
      <c r="H84" s="52"/>
      <c r="I84" s="52"/>
      <c r="J84" s="52"/>
      <c r="K84" s="52"/>
      <c r="L84" s="52"/>
      <c r="M84" s="52"/>
      <c r="N84" s="52"/>
      <c r="O84" s="52"/>
      <c r="P84" s="63"/>
      <c r="Q84" s="63"/>
      <c r="R84" s="63"/>
      <c r="S84" s="63"/>
      <c r="T84" s="63"/>
      <c r="U84" s="63"/>
      <c r="V84" s="63"/>
      <c r="W84" s="63"/>
      <c r="X84" s="63"/>
      <c r="Y84" s="63"/>
      <c r="Z84" s="63"/>
    </row>
    <row r="85" spans="1:26" ht="12.75" customHeight="1" x14ac:dyDescent="0.35">
      <c r="A85" s="532"/>
      <c r="B85" s="1023"/>
      <c r="C85" s="1024"/>
      <c r="D85" s="1024"/>
      <c r="E85" s="1024"/>
      <c r="F85" s="52"/>
      <c r="G85" s="52"/>
      <c r="H85" s="52"/>
      <c r="I85" s="52"/>
      <c r="J85" s="52"/>
      <c r="K85" s="52"/>
      <c r="L85" s="52"/>
      <c r="M85" s="52"/>
      <c r="N85" s="52"/>
      <c r="O85" s="52"/>
      <c r="P85" s="63"/>
      <c r="Q85" s="63"/>
      <c r="R85" s="63"/>
      <c r="S85" s="63"/>
      <c r="T85" s="63"/>
      <c r="U85" s="63"/>
      <c r="V85" s="63"/>
      <c r="W85" s="63"/>
      <c r="X85" s="63"/>
      <c r="Y85" s="63"/>
      <c r="Z85" s="63"/>
    </row>
    <row r="86" spans="1:26" ht="12.75" customHeight="1" x14ac:dyDescent="0.35">
      <c r="A86" s="431"/>
      <c r="B86" s="529"/>
      <c r="C86" s="1026"/>
      <c r="D86" s="531"/>
      <c r="E86" s="531"/>
      <c r="F86" s="52"/>
      <c r="G86" s="52"/>
      <c r="H86" s="52"/>
      <c r="I86" s="52"/>
      <c r="J86" s="52"/>
      <c r="K86" s="52"/>
      <c r="L86" s="52"/>
      <c r="M86" s="52"/>
      <c r="N86" s="52"/>
      <c r="O86" s="52"/>
      <c r="P86" s="63"/>
      <c r="Q86" s="63"/>
      <c r="R86" s="63"/>
      <c r="S86" s="63"/>
      <c r="T86" s="63"/>
      <c r="U86" s="63"/>
      <c r="V86" s="63"/>
      <c r="W86" s="63"/>
      <c r="X86" s="63"/>
      <c r="Y86" s="63"/>
      <c r="Z86" s="63"/>
    </row>
    <row r="87" spans="1:26" ht="12.75" customHeight="1" x14ac:dyDescent="0.35">
      <c r="A87" s="532"/>
      <c r="B87" s="1023"/>
      <c r="C87" s="1024"/>
      <c r="D87" s="1024"/>
      <c r="E87" s="1024"/>
      <c r="F87" s="52"/>
      <c r="G87" s="52"/>
      <c r="H87" s="52"/>
      <c r="I87" s="52"/>
      <c r="J87" s="52"/>
      <c r="K87" s="52"/>
      <c r="L87" s="52"/>
      <c r="M87" s="52"/>
      <c r="N87" s="52"/>
      <c r="O87" s="52"/>
      <c r="P87" s="63"/>
      <c r="Q87" s="63"/>
      <c r="R87" s="63"/>
      <c r="S87" s="63"/>
      <c r="T87" s="63"/>
      <c r="U87" s="63"/>
      <c r="V87" s="63"/>
      <c r="W87" s="63"/>
      <c r="X87" s="63"/>
      <c r="Y87" s="63"/>
      <c r="Z87" s="63"/>
    </row>
    <row r="88" spans="1:26" ht="12.75" customHeight="1" x14ac:dyDescent="0.35">
      <c r="A88" s="431"/>
      <c r="B88" s="529"/>
      <c r="C88" s="1026"/>
      <c r="D88" s="531"/>
      <c r="E88" s="531"/>
      <c r="F88" s="52"/>
      <c r="G88" s="52"/>
      <c r="H88" s="52"/>
      <c r="I88" s="52"/>
      <c r="J88" s="52"/>
      <c r="K88" s="52"/>
      <c r="L88" s="52"/>
      <c r="M88" s="52"/>
      <c r="N88" s="52"/>
      <c r="O88" s="52"/>
      <c r="P88" s="63"/>
      <c r="Q88" s="63"/>
      <c r="R88" s="63"/>
      <c r="S88" s="63"/>
      <c r="T88" s="63"/>
      <c r="U88" s="63"/>
      <c r="V88" s="63"/>
      <c r="W88" s="63"/>
      <c r="X88" s="63"/>
      <c r="Y88" s="63"/>
      <c r="Z88" s="63"/>
    </row>
    <row r="89" spans="1:26" ht="12.75" customHeight="1" x14ac:dyDescent="0.35">
      <c r="A89" s="532"/>
      <c r="B89" s="1023"/>
      <c r="C89" s="1024"/>
      <c r="D89" s="1024"/>
      <c r="E89" s="1024"/>
      <c r="F89" s="52"/>
      <c r="G89" s="52"/>
      <c r="H89" s="52"/>
      <c r="I89" s="52"/>
      <c r="J89" s="52"/>
      <c r="K89" s="52"/>
      <c r="L89" s="52"/>
      <c r="M89" s="52"/>
      <c r="N89" s="52"/>
      <c r="O89" s="52"/>
      <c r="P89" s="63"/>
      <c r="Q89" s="63"/>
      <c r="R89" s="63"/>
      <c r="S89" s="63"/>
      <c r="T89" s="63"/>
      <c r="U89" s="63"/>
      <c r="V89" s="63"/>
      <c r="W89" s="63"/>
      <c r="X89" s="63"/>
      <c r="Y89" s="63"/>
      <c r="Z89" s="63"/>
    </row>
    <row r="90" spans="1:26" ht="12.75" customHeight="1" x14ac:dyDescent="0.35">
      <c r="A90" s="431"/>
      <c r="B90" s="529"/>
      <c r="C90" s="1026"/>
      <c r="D90" s="531"/>
      <c r="E90" s="531"/>
      <c r="F90" s="52"/>
      <c r="G90" s="52"/>
      <c r="H90" s="52"/>
      <c r="I90" s="52"/>
      <c r="J90" s="52"/>
      <c r="K90" s="52"/>
      <c r="L90" s="52"/>
      <c r="M90" s="52"/>
      <c r="N90" s="52"/>
      <c r="O90" s="52"/>
      <c r="P90" s="63"/>
      <c r="Q90" s="63"/>
      <c r="R90" s="63"/>
      <c r="S90" s="63"/>
      <c r="T90" s="63"/>
      <c r="U90" s="63"/>
      <c r="V90" s="63"/>
      <c r="W90" s="63"/>
      <c r="X90" s="63"/>
      <c r="Y90" s="63"/>
      <c r="Z90" s="63"/>
    </row>
    <row r="91" spans="1:26" ht="12.75" customHeight="1" x14ac:dyDescent="0.35"/>
    <row r="92" spans="1:26" ht="12.75" customHeight="1" x14ac:dyDescent="0.35"/>
    <row r="93" spans="1:26" ht="12.75" customHeight="1" x14ac:dyDescent="0.35"/>
    <row r="94" spans="1:26" ht="12.75" customHeight="1" x14ac:dyDescent="0.35"/>
    <row r="95" spans="1:26" ht="12.75" customHeight="1" x14ac:dyDescent="0.35"/>
    <row r="96" spans="1:2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pageMargins left="0.75" right="0.75" top="1" bottom="1" header="0.51180555555555496" footer="0.51180555555555496"/>
  <pageSetup firstPageNumber="0"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dimension ref="A1:AMK408"/>
  <sheetViews>
    <sheetView zoomScale="74" zoomScaleNormal="74" workbookViewId="0">
      <selection activeCell="A16" sqref="A16"/>
    </sheetView>
  </sheetViews>
  <sheetFormatPr defaultColWidth="8.81640625" defaultRowHeight="14.5" x14ac:dyDescent="0.35"/>
  <cols>
    <col min="1" max="1" width="33.453125" style="1" customWidth="1"/>
    <col min="2" max="2" width="100.453125" style="1" customWidth="1"/>
    <col min="3" max="3" width="51" style="1" customWidth="1"/>
    <col min="4" max="4" width="101.453125" style="1" customWidth="1"/>
    <col min="5" max="5" width="58.453125" style="1" customWidth="1"/>
    <col min="6" max="6" width="38.453125" style="1" customWidth="1"/>
    <col min="7" max="26" width="9" style="1" customWidth="1"/>
    <col min="27" max="1025" width="13.453125" style="1" customWidth="1"/>
  </cols>
  <sheetData>
    <row r="1" spans="1:26" ht="64.5" customHeight="1" x14ac:dyDescent="0.35">
      <c r="A1" s="70" t="s">
        <v>2200</v>
      </c>
      <c r="B1" s="70"/>
      <c r="C1" s="70"/>
      <c r="D1" s="71"/>
      <c r="E1" s="71"/>
      <c r="F1" s="71"/>
      <c r="G1" s="71"/>
      <c r="H1" s="71"/>
      <c r="I1" s="71"/>
      <c r="J1" s="71"/>
      <c r="K1" s="71"/>
      <c r="L1" s="71"/>
      <c r="M1" s="71"/>
      <c r="N1" s="71"/>
      <c r="O1" s="71"/>
      <c r="P1" s="71"/>
      <c r="Q1" s="71"/>
      <c r="R1" s="71"/>
      <c r="S1" s="71"/>
      <c r="T1" s="71"/>
      <c r="U1" s="71"/>
      <c r="V1" s="71"/>
      <c r="W1" s="71"/>
      <c r="X1" s="71"/>
      <c r="Y1" s="71"/>
      <c r="Z1" s="71"/>
    </row>
    <row r="2" spans="1:26" ht="12.75" customHeight="1" x14ac:dyDescent="0.35">
      <c r="A2" s="71"/>
      <c r="B2" s="71"/>
      <c r="C2" s="71"/>
      <c r="D2" s="71"/>
      <c r="E2" s="71"/>
      <c r="F2" s="71"/>
      <c r="G2" s="71"/>
      <c r="H2" s="71"/>
      <c r="I2" s="71"/>
      <c r="J2" s="71"/>
      <c r="K2" s="71"/>
      <c r="L2" s="71"/>
      <c r="M2" s="71"/>
      <c r="N2" s="71"/>
      <c r="O2" s="71"/>
      <c r="P2" s="71"/>
      <c r="Q2" s="71"/>
      <c r="R2" s="71"/>
      <c r="S2" s="71"/>
      <c r="T2" s="71"/>
      <c r="U2" s="71"/>
      <c r="V2" s="71"/>
      <c r="W2" s="71"/>
      <c r="X2" s="71"/>
      <c r="Y2" s="71"/>
      <c r="Z2" s="71"/>
    </row>
    <row r="3" spans="1:26" ht="12.75" customHeight="1" x14ac:dyDescent="0.35">
      <c r="A3" s="71"/>
      <c r="B3" s="71"/>
      <c r="C3" s="71"/>
      <c r="D3" s="71"/>
      <c r="E3" s="71"/>
      <c r="F3" s="71"/>
      <c r="G3" s="71"/>
      <c r="H3" s="71"/>
      <c r="I3" s="71"/>
      <c r="J3" s="71"/>
      <c r="K3" s="71"/>
      <c r="L3" s="71"/>
      <c r="M3" s="71"/>
      <c r="N3" s="71"/>
      <c r="O3" s="71"/>
      <c r="P3" s="71"/>
      <c r="Q3" s="71"/>
      <c r="R3" s="71"/>
      <c r="S3" s="71"/>
      <c r="T3" s="71"/>
      <c r="U3" s="71"/>
      <c r="V3" s="71"/>
      <c r="W3" s="71"/>
      <c r="X3" s="71"/>
      <c r="Y3" s="71"/>
      <c r="Z3" s="71"/>
    </row>
    <row r="4" spans="1:26" ht="12.75" customHeight="1" x14ac:dyDescent="0.35">
      <c r="A4" s="1164" t="s">
        <v>2201</v>
      </c>
      <c r="B4" s="1165" t="s">
        <v>2202</v>
      </c>
      <c r="C4" s="1165" t="s">
        <v>2203</v>
      </c>
      <c r="D4" s="71"/>
      <c r="E4" s="71"/>
      <c r="F4" s="71"/>
      <c r="G4" s="71"/>
      <c r="H4" s="71"/>
      <c r="I4" s="71"/>
      <c r="J4" s="71"/>
      <c r="K4" s="71"/>
      <c r="L4" s="71"/>
      <c r="M4" s="71"/>
      <c r="N4" s="71"/>
      <c r="O4" s="71"/>
      <c r="P4" s="71"/>
      <c r="Q4" s="71"/>
      <c r="R4" s="71"/>
      <c r="S4" s="71"/>
      <c r="T4" s="71"/>
      <c r="U4" s="71"/>
      <c r="V4" s="71"/>
      <c r="W4" s="71"/>
      <c r="X4" s="71"/>
      <c r="Y4" s="71"/>
      <c r="Z4" s="71"/>
    </row>
    <row r="5" spans="1:26" ht="12.75" customHeight="1" x14ac:dyDescent="0.35">
      <c r="A5" s="1164"/>
      <c r="B5" s="1164"/>
      <c r="C5" s="1164"/>
      <c r="D5" s="71"/>
      <c r="E5" s="71"/>
      <c r="F5" s="71"/>
      <c r="G5" s="71"/>
      <c r="H5" s="71"/>
      <c r="I5" s="71"/>
      <c r="J5" s="71"/>
      <c r="K5" s="71"/>
      <c r="L5" s="71"/>
      <c r="M5" s="71"/>
      <c r="N5" s="71"/>
      <c r="O5" s="71"/>
      <c r="P5" s="71"/>
      <c r="Q5" s="71"/>
      <c r="R5" s="71"/>
      <c r="S5" s="71"/>
      <c r="T5" s="71"/>
      <c r="U5" s="71"/>
      <c r="V5" s="71"/>
      <c r="W5" s="71"/>
      <c r="X5" s="71"/>
      <c r="Y5" s="71"/>
      <c r="Z5" s="71"/>
    </row>
    <row r="6" spans="1:26" ht="12.75" customHeight="1" x14ac:dyDescent="0.35">
      <c r="A6" s="533"/>
      <c r="B6" s="534"/>
      <c r="C6" s="534"/>
      <c r="D6" s="71"/>
      <c r="E6" s="71"/>
      <c r="F6" s="71"/>
      <c r="G6" s="71"/>
      <c r="H6" s="71"/>
      <c r="I6" s="71"/>
      <c r="J6" s="71"/>
      <c r="K6" s="71"/>
      <c r="L6" s="71"/>
      <c r="M6" s="71"/>
      <c r="N6" s="71"/>
      <c r="O6" s="71"/>
      <c r="P6" s="71"/>
      <c r="Q6" s="71"/>
      <c r="R6" s="71"/>
      <c r="S6" s="71"/>
      <c r="T6" s="71"/>
      <c r="U6" s="71"/>
      <c r="V6" s="71"/>
      <c r="W6" s="71"/>
      <c r="X6" s="71"/>
      <c r="Y6" s="71"/>
      <c r="Z6" s="71"/>
    </row>
    <row r="7" spans="1:26" ht="12.75" customHeight="1" x14ac:dyDescent="0.35">
      <c r="A7" s="533"/>
      <c r="B7" s="534"/>
      <c r="C7" s="534"/>
      <c r="D7" s="71"/>
      <c r="E7" s="71"/>
      <c r="F7" s="71"/>
      <c r="G7" s="71"/>
      <c r="H7" s="71"/>
      <c r="I7" s="71"/>
      <c r="J7" s="71"/>
      <c r="K7" s="71"/>
      <c r="L7" s="71"/>
      <c r="M7" s="71"/>
      <c r="N7" s="71"/>
      <c r="O7" s="71"/>
      <c r="P7" s="71"/>
      <c r="Q7" s="71"/>
      <c r="R7" s="71"/>
      <c r="S7" s="71"/>
      <c r="T7" s="71"/>
      <c r="U7" s="71"/>
      <c r="V7" s="71"/>
      <c r="W7" s="71"/>
      <c r="X7" s="71"/>
      <c r="Y7" s="71"/>
      <c r="Z7" s="71"/>
    </row>
    <row r="8" spans="1:26" ht="12.75" customHeight="1" x14ac:dyDescent="0.35">
      <c r="A8" s="533"/>
      <c r="B8" s="534"/>
      <c r="C8" s="534"/>
      <c r="D8" s="71"/>
      <c r="E8" s="71"/>
      <c r="F8" s="71"/>
      <c r="G8" s="71"/>
      <c r="H8" s="71"/>
      <c r="I8" s="71"/>
      <c r="J8" s="71"/>
      <c r="K8" s="71"/>
      <c r="L8" s="71"/>
      <c r="M8" s="71"/>
      <c r="N8" s="71"/>
      <c r="O8" s="71"/>
      <c r="P8" s="71"/>
      <c r="Q8" s="71"/>
      <c r="R8" s="71"/>
      <c r="S8" s="71"/>
      <c r="T8" s="71"/>
      <c r="U8" s="71"/>
      <c r="V8" s="71"/>
      <c r="W8" s="71"/>
      <c r="X8" s="71"/>
      <c r="Y8" s="71"/>
      <c r="Z8" s="71"/>
    </row>
    <row r="9" spans="1:26" ht="12.75" customHeight="1" x14ac:dyDescent="0.35">
      <c r="A9" s="533"/>
      <c r="B9" s="534"/>
      <c r="C9" s="534"/>
      <c r="D9" s="71"/>
      <c r="E9" s="71"/>
      <c r="F9" s="71"/>
      <c r="G9" s="71"/>
      <c r="H9" s="71"/>
      <c r="I9" s="71"/>
      <c r="J9" s="71"/>
      <c r="K9" s="71"/>
      <c r="L9" s="71"/>
      <c r="M9" s="71"/>
      <c r="N9" s="71"/>
      <c r="O9" s="71"/>
      <c r="P9" s="71"/>
      <c r="Q9" s="71"/>
      <c r="R9" s="71"/>
      <c r="S9" s="71"/>
      <c r="T9" s="71"/>
      <c r="U9" s="71"/>
      <c r="V9" s="71"/>
      <c r="W9" s="71"/>
      <c r="X9" s="71"/>
      <c r="Y9" s="71"/>
      <c r="Z9" s="71"/>
    </row>
    <row r="10" spans="1:26" ht="12.75" customHeight="1" x14ac:dyDescent="0.35">
      <c r="A10" s="533"/>
      <c r="B10" s="534"/>
      <c r="C10" s="534"/>
      <c r="D10" s="71"/>
      <c r="E10" s="72"/>
      <c r="F10" s="72"/>
      <c r="G10" s="71"/>
      <c r="H10" s="71"/>
      <c r="I10" s="71"/>
      <c r="J10" s="71"/>
      <c r="K10" s="71"/>
      <c r="L10" s="71"/>
      <c r="M10" s="71"/>
      <c r="N10" s="71"/>
      <c r="O10" s="71"/>
      <c r="P10" s="71"/>
      <c r="Q10" s="71"/>
      <c r="R10" s="71"/>
      <c r="S10" s="71"/>
      <c r="T10" s="71"/>
      <c r="U10" s="71"/>
      <c r="V10" s="71"/>
      <c r="W10" s="71"/>
      <c r="X10" s="71"/>
      <c r="Y10" s="71"/>
      <c r="Z10" s="71"/>
    </row>
    <row r="11" spans="1:26" ht="12.75" customHeight="1" x14ac:dyDescent="0.35">
      <c r="A11" s="535"/>
      <c r="B11" s="536"/>
      <c r="C11" s="537"/>
      <c r="D11" s="71"/>
      <c r="E11" s="73"/>
      <c r="F11" s="73"/>
      <c r="G11" s="71"/>
      <c r="H11" s="71"/>
      <c r="I11" s="71"/>
      <c r="J11" s="71"/>
      <c r="K11" s="71"/>
      <c r="L11" s="71"/>
      <c r="M11" s="71"/>
      <c r="N11" s="71"/>
      <c r="O11" s="71"/>
      <c r="P11" s="71"/>
      <c r="Q11" s="71"/>
      <c r="R11" s="71"/>
      <c r="S11" s="71"/>
      <c r="T11" s="71"/>
      <c r="U11" s="71"/>
      <c r="V11" s="71"/>
      <c r="W11" s="71"/>
      <c r="X11" s="71"/>
      <c r="Y11" s="71"/>
      <c r="Z11" s="71"/>
    </row>
    <row r="12" spans="1:26" ht="12.75" customHeight="1" x14ac:dyDescent="0.35">
      <c r="A12" s="535"/>
      <c r="B12" s="536"/>
      <c r="C12" s="537"/>
      <c r="D12" s="71"/>
      <c r="E12" s="73"/>
      <c r="F12" s="73"/>
      <c r="G12" s="71"/>
      <c r="H12" s="71"/>
      <c r="I12" s="71"/>
      <c r="J12" s="71"/>
      <c r="K12" s="71"/>
      <c r="L12" s="71"/>
      <c r="M12" s="71"/>
      <c r="N12" s="71"/>
      <c r="O12" s="71"/>
      <c r="P12" s="71"/>
      <c r="Q12" s="71"/>
      <c r="R12" s="71"/>
      <c r="S12" s="71"/>
      <c r="T12" s="71"/>
      <c r="U12" s="71"/>
      <c r="V12" s="71"/>
      <c r="W12" s="71"/>
      <c r="X12" s="71"/>
      <c r="Y12" s="71"/>
      <c r="Z12" s="71"/>
    </row>
    <row r="13" spans="1:26" ht="12.75" customHeight="1" x14ac:dyDescent="0.35">
      <c r="A13" s="538" t="s">
        <v>2204</v>
      </c>
      <c r="B13" s="536"/>
      <c r="C13" s="537"/>
      <c r="D13" s="71"/>
      <c r="E13" s="73"/>
      <c r="F13" s="73"/>
      <c r="G13" s="71"/>
      <c r="H13" s="71"/>
      <c r="I13" s="71"/>
      <c r="J13" s="71"/>
      <c r="K13" s="71"/>
      <c r="L13" s="71"/>
      <c r="M13" s="71"/>
      <c r="N13" s="71"/>
      <c r="O13" s="71"/>
      <c r="P13" s="71"/>
      <c r="Q13" s="71"/>
      <c r="R13" s="71"/>
      <c r="S13" s="71"/>
      <c r="T13" s="71"/>
      <c r="U13" s="71"/>
      <c r="V13" s="71"/>
      <c r="W13" s="71"/>
      <c r="X13" s="71"/>
      <c r="Y13" s="71"/>
      <c r="Z13" s="71"/>
    </row>
    <row r="14" spans="1:26" ht="12.75" customHeight="1" x14ac:dyDescent="0.35">
      <c r="A14" s="539" t="s">
        <v>2205</v>
      </c>
      <c r="B14" s="539" t="s">
        <v>2206</v>
      </c>
      <c r="C14" s="539" t="s">
        <v>2207</v>
      </c>
      <c r="D14" s="190" t="s">
        <v>2208</v>
      </c>
      <c r="E14" s="540"/>
      <c r="F14" s="540"/>
      <c r="G14" s="71"/>
      <c r="H14" s="71"/>
      <c r="I14" s="71"/>
      <c r="J14" s="71"/>
      <c r="K14" s="71"/>
      <c r="L14" s="71"/>
      <c r="M14" s="71"/>
      <c r="N14" s="71"/>
      <c r="O14" s="71"/>
      <c r="P14" s="71"/>
      <c r="Q14" s="71"/>
      <c r="R14" s="71"/>
      <c r="S14" s="71"/>
      <c r="T14" s="71"/>
      <c r="U14" s="71"/>
      <c r="V14" s="71"/>
      <c r="W14" s="71"/>
      <c r="X14" s="71"/>
      <c r="Y14" s="71"/>
      <c r="Z14" s="71"/>
    </row>
    <row r="15" spans="1:26" x14ac:dyDescent="0.35">
      <c r="A15" s="541">
        <v>0</v>
      </c>
      <c r="B15" s="542" t="s">
        <v>2209</v>
      </c>
      <c r="C15" s="542" t="s">
        <v>2210</v>
      </c>
      <c r="D15" s="542" t="s">
        <v>2211</v>
      </c>
      <c r="E15" s="478"/>
      <c r="F15" s="478"/>
    </row>
    <row r="16" spans="1:26" x14ac:dyDescent="0.35">
      <c r="A16" s="541">
        <v>0</v>
      </c>
      <c r="B16" s="542" t="s">
        <v>2209</v>
      </c>
      <c r="C16" s="542" t="s">
        <v>2210</v>
      </c>
      <c r="D16" s="542" t="s">
        <v>2211</v>
      </c>
      <c r="E16" s="478"/>
      <c r="F16" s="478"/>
    </row>
    <row r="17" spans="1:26" x14ac:dyDescent="0.35">
      <c r="A17" s="541">
        <v>0</v>
      </c>
      <c r="B17" s="542" t="s">
        <v>2209</v>
      </c>
      <c r="C17" s="542" t="s">
        <v>2210</v>
      </c>
      <c r="D17" s="542" t="s">
        <v>2211</v>
      </c>
      <c r="E17" s="478"/>
      <c r="F17" s="478"/>
    </row>
    <row r="18" spans="1:26" x14ac:dyDescent="0.35">
      <c r="A18" s="334"/>
      <c r="B18" s="334"/>
      <c r="C18" s="334"/>
      <c r="D18" s="334"/>
      <c r="E18" s="478"/>
      <c r="F18" s="478"/>
    </row>
    <row r="19" spans="1:26" x14ac:dyDescent="0.35">
      <c r="A19" s="541">
        <v>0</v>
      </c>
      <c r="B19" s="542" t="s">
        <v>2209</v>
      </c>
      <c r="C19" s="542" t="s">
        <v>2210</v>
      </c>
      <c r="D19" s="542" t="s">
        <v>2211</v>
      </c>
      <c r="E19" s="478"/>
      <c r="F19" s="478"/>
    </row>
    <row r="20" spans="1:26" x14ac:dyDescent="0.35">
      <c r="A20" s="541">
        <v>0</v>
      </c>
      <c r="B20" s="542" t="s">
        <v>2209</v>
      </c>
      <c r="C20" s="542" t="s">
        <v>2210</v>
      </c>
      <c r="D20" s="542" t="s">
        <v>2211</v>
      </c>
      <c r="E20" s="478"/>
      <c r="F20" s="478"/>
    </row>
    <row r="21" spans="1:26" x14ac:dyDescent="0.35">
      <c r="A21" s="541">
        <v>0</v>
      </c>
      <c r="B21" s="542" t="s">
        <v>2209</v>
      </c>
      <c r="C21" s="542" t="s">
        <v>2210</v>
      </c>
      <c r="D21" s="542" t="s">
        <v>2211</v>
      </c>
      <c r="E21" s="478"/>
      <c r="F21" s="478"/>
    </row>
    <row r="22" spans="1:26" ht="12.75" customHeight="1" x14ac:dyDescent="0.35">
      <c r="A22" s="535"/>
      <c r="B22" s="536"/>
      <c r="C22" s="537"/>
      <c r="D22" s="543"/>
      <c r="E22" s="540"/>
      <c r="F22" s="540"/>
      <c r="G22" s="71"/>
      <c r="H22" s="71"/>
      <c r="I22" s="71"/>
      <c r="J22" s="71"/>
      <c r="K22" s="71"/>
      <c r="L22" s="71"/>
      <c r="M22" s="71"/>
      <c r="N22" s="71"/>
      <c r="O22" s="71"/>
      <c r="P22" s="71"/>
      <c r="Q22" s="71"/>
      <c r="R22" s="71"/>
      <c r="S22" s="71"/>
      <c r="T22" s="71"/>
      <c r="U22" s="71"/>
      <c r="V22" s="71"/>
      <c r="W22" s="71"/>
      <c r="X22" s="71"/>
      <c r="Y22" s="71"/>
      <c r="Z22" s="71"/>
    </row>
    <row r="23" spans="1:26" ht="12.75" customHeight="1" x14ac:dyDescent="0.35">
      <c r="A23" s="538" t="s">
        <v>2212</v>
      </c>
      <c r="B23" s="536"/>
      <c r="C23" s="537"/>
      <c r="D23" s="543"/>
      <c r="E23" s="540"/>
      <c r="F23" s="540"/>
      <c r="G23" s="71"/>
      <c r="H23" s="71"/>
      <c r="I23" s="71"/>
      <c r="J23" s="71"/>
      <c r="K23" s="71"/>
      <c r="L23" s="71"/>
      <c r="M23" s="71"/>
      <c r="N23" s="71"/>
      <c r="O23" s="71"/>
      <c r="P23" s="71"/>
      <c r="Q23" s="71"/>
      <c r="R23" s="71"/>
      <c r="S23" s="71"/>
      <c r="T23" s="71"/>
      <c r="U23" s="71"/>
      <c r="V23" s="71"/>
      <c r="W23" s="71"/>
      <c r="X23" s="71"/>
      <c r="Y23" s="71"/>
      <c r="Z23" s="71"/>
    </row>
    <row r="24" spans="1:26" ht="12.75" customHeight="1" x14ac:dyDescent="0.35">
      <c r="A24" s="1166" t="s">
        <v>2213</v>
      </c>
      <c r="B24" s="1166"/>
      <c r="C24" s="1166"/>
      <c r="D24" s="1166" t="s">
        <v>2214</v>
      </c>
      <c r="E24" s="1166"/>
      <c r="F24" s="1166"/>
      <c r="G24" s="71"/>
      <c r="H24" s="71"/>
      <c r="I24" s="71"/>
      <c r="J24" s="71"/>
      <c r="K24" s="71"/>
      <c r="L24" s="71"/>
      <c r="M24" s="71"/>
      <c r="N24" s="71"/>
      <c r="O24" s="71"/>
      <c r="P24" s="71"/>
      <c r="Q24" s="71"/>
      <c r="R24" s="71"/>
      <c r="S24" s="71"/>
      <c r="T24" s="71"/>
      <c r="U24" s="71"/>
      <c r="V24" s="71"/>
      <c r="W24" s="71"/>
      <c r="X24" s="71"/>
      <c r="Y24" s="71"/>
      <c r="Z24" s="71"/>
    </row>
    <row r="25" spans="1:26" ht="12.75" customHeight="1" x14ac:dyDescent="0.35">
      <c r="A25" s="539" t="s">
        <v>390</v>
      </c>
      <c r="B25" s="539" t="s">
        <v>2205</v>
      </c>
      <c r="C25" s="539" t="s">
        <v>2215</v>
      </c>
      <c r="D25" s="539" t="s">
        <v>390</v>
      </c>
      <c r="E25" s="539" t="s">
        <v>2205</v>
      </c>
      <c r="F25" s="539" t="s">
        <v>2215</v>
      </c>
      <c r="G25" s="71"/>
      <c r="H25" s="71"/>
      <c r="I25" s="71"/>
      <c r="J25" s="71"/>
      <c r="K25" s="71"/>
      <c r="L25" s="71"/>
      <c r="M25" s="71"/>
      <c r="N25" s="71"/>
      <c r="O25" s="71"/>
      <c r="P25" s="71"/>
      <c r="Q25" s="71"/>
      <c r="R25" s="71"/>
      <c r="S25" s="71"/>
      <c r="T25" s="71"/>
      <c r="U25" s="71"/>
      <c r="V25" s="71"/>
      <c r="W25" s="71"/>
      <c r="X25" s="71"/>
      <c r="Y25" s="71"/>
      <c r="Z25" s="71"/>
    </row>
    <row r="26" spans="1:26" ht="12.75" customHeight="1" x14ac:dyDescent="0.35">
      <c r="A26" s="1162" t="s">
        <v>2216</v>
      </c>
      <c r="B26" s="541">
        <v>0</v>
      </c>
      <c r="C26" s="541" t="s">
        <v>2217</v>
      </c>
      <c r="D26" s="1162" t="s">
        <v>2216</v>
      </c>
      <c r="E26" s="541">
        <v>0</v>
      </c>
      <c r="F26" s="541" t="s">
        <v>2217</v>
      </c>
      <c r="G26" s="71"/>
      <c r="H26" s="71"/>
      <c r="I26" s="71"/>
      <c r="J26" s="71"/>
      <c r="K26" s="71"/>
      <c r="L26" s="71"/>
      <c r="M26" s="71"/>
      <c r="N26" s="71"/>
      <c r="O26" s="71"/>
      <c r="P26" s="71"/>
      <c r="Q26" s="71"/>
      <c r="R26" s="71"/>
      <c r="S26" s="71"/>
      <c r="T26" s="71"/>
      <c r="U26" s="71"/>
      <c r="V26" s="71"/>
      <c r="W26" s="71"/>
      <c r="X26" s="71"/>
      <c r="Y26" s="71"/>
      <c r="Z26" s="71"/>
    </row>
    <row r="27" spans="1:26" ht="12.75" customHeight="1" x14ac:dyDescent="0.35">
      <c r="A27" s="1162"/>
      <c r="B27" s="541">
        <v>0</v>
      </c>
      <c r="C27" s="541" t="s">
        <v>2218</v>
      </c>
      <c r="D27" s="1162"/>
      <c r="E27" s="541">
        <v>0</v>
      </c>
      <c r="F27" s="541" t="s">
        <v>2218</v>
      </c>
      <c r="G27" s="71"/>
      <c r="H27" s="71"/>
      <c r="I27" s="71"/>
      <c r="J27" s="71"/>
      <c r="K27" s="71"/>
      <c r="L27" s="71"/>
      <c r="M27" s="71"/>
      <c r="N27" s="71"/>
      <c r="O27" s="71"/>
      <c r="P27" s="71"/>
      <c r="Q27" s="71"/>
      <c r="R27" s="71"/>
      <c r="S27" s="71"/>
      <c r="T27" s="71"/>
      <c r="U27" s="71"/>
      <c r="V27" s="71"/>
      <c r="W27" s="71"/>
      <c r="X27" s="71"/>
      <c r="Y27" s="71"/>
      <c r="Z27" s="71"/>
    </row>
    <row r="28" spans="1:26" ht="12.75" customHeight="1" x14ac:dyDescent="0.35">
      <c r="A28" s="1162"/>
      <c r="B28" s="541" t="s">
        <v>2219</v>
      </c>
      <c r="C28" s="541" t="s">
        <v>2220</v>
      </c>
      <c r="D28" s="1162"/>
      <c r="E28" s="541" t="s">
        <v>2219</v>
      </c>
      <c r="F28" s="541" t="s">
        <v>2220</v>
      </c>
      <c r="G28" s="71"/>
      <c r="H28" s="71"/>
      <c r="I28" s="71"/>
      <c r="J28" s="71"/>
      <c r="K28" s="71"/>
      <c r="L28" s="71"/>
      <c r="M28" s="71"/>
      <c r="N28" s="71"/>
      <c r="O28" s="71"/>
      <c r="P28" s="71"/>
      <c r="Q28" s="71"/>
      <c r="R28" s="71"/>
      <c r="S28" s="71"/>
      <c r="T28" s="71"/>
      <c r="U28" s="71"/>
      <c r="V28" s="71"/>
      <c r="W28" s="71"/>
      <c r="X28" s="71"/>
      <c r="Y28" s="71"/>
      <c r="Z28" s="71"/>
    </row>
    <row r="29" spans="1:26" ht="12.75" customHeight="1" x14ac:dyDescent="0.35">
      <c r="A29" s="334" t="s">
        <v>2221</v>
      </c>
      <c r="B29" s="541">
        <v>0</v>
      </c>
      <c r="C29" s="541" t="s">
        <v>2222</v>
      </c>
      <c r="D29" s="334" t="s">
        <v>2221</v>
      </c>
      <c r="E29" s="541">
        <v>0</v>
      </c>
      <c r="F29" s="541" t="s">
        <v>2222</v>
      </c>
      <c r="G29" s="71"/>
      <c r="H29" s="71"/>
      <c r="I29" s="71"/>
      <c r="J29" s="71"/>
      <c r="K29" s="71"/>
      <c r="L29" s="71"/>
      <c r="M29" s="71"/>
      <c r="N29" s="71"/>
      <c r="O29" s="71"/>
      <c r="P29" s="71"/>
      <c r="Q29" s="71"/>
      <c r="R29" s="71"/>
      <c r="S29" s="71"/>
      <c r="T29" s="71"/>
      <c r="U29" s="71"/>
      <c r="V29" s="71"/>
      <c r="W29" s="71"/>
      <c r="X29" s="71"/>
      <c r="Y29" s="71"/>
      <c r="Z29" s="71"/>
    </row>
    <row r="30" spans="1:26" ht="12.75" customHeight="1" x14ac:dyDescent="0.35">
      <c r="A30" s="1162" t="s">
        <v>2223</v>
      </c>
      <c r="B30" s="541" t="s">
        <v>2219</v>
      </c>
      <c r="C30" s="541" t="s">
        <v>2224</v>
      </c>
      <c r="D30" s="1162" t="s">
        <v>2223</v>
      </c>
      <c r="E30" s="541" t="s">
        <v>2219</v>
      </c>
      <c r="F30" s="541" t="s">
        <v>2224</v>
      </c>
      <c r="G30" s="71"/>
      <c r="H30" s="71"/>
      <c r="I30" s="71"/>
      <c r="J30" s="71"/>
      <c r="K30" s="71"/>
      <c r="L30" s="71"/>
      <c r="M30" s="71"/>
      <c r="N30" s="71"/>
      <c r="O30" s="71"/>
      <c r="P30" s="71"/>
      <c r="Q30" s="71"/>
      <c r="R30" s="71"/>
      <c r="S30" s="71"/>
      <c r="T30" s="71"/>
      <c r="U30" s="71"/>
      <c r="V30" s="71"/>
      <c r="W30" s="71"/>
      <c r="X30" s="71"/>
      <c r="Y30" s="71"/>
      <c r="Z30" s="71"/>
    </row>
    <row r="31" spans="1:26" ht="12.75" customHeight="1" x14ac:dyDescent="0.35">
      <c r="A31" s="1162"/>
      <c r="B31" s="541">
        <v>0</v>
      </c>
      <c r="C31" s="541" t="s">
        <v>2225</v>
      </c>
      <c r="D31" s="1162"/>
      <c r="E31" s="541">
        <v>0</v>
      </c>
      <c r="F31" s="541" t="s">
        <v>2225</v>
      </c>
      <c r="G31" s="71"/>
      <c r="H31" s="71"/>
      <c r="I31" s="71"/>
      <c r="J31" s="71"/>
      <c r="K31" s="71"/>
      <c r="L31" s="71"/>
      <c r="M31" s="71"/>
      <c r="N31" s="71"/>
      <c r="O31" s="71"/>
      <c r="P31" s="71"/>
      <c r="Q31" s="71"/>
      <c r="R31" s="71"/>
      <c r="S31" s="71"/>
      <c r="T31" s="71"/>
      <c r="U31" s="71"/>
      <c r="V31" s="71"/>
      <c r="W31" s="71"/>
      <c r="X31" s="71"/>
      <c r="Y31" s="71"/>
      <c r="Z31" s="71"/>
    </row>
    <row r="32" spans="1:26" ht="12.75" customHeight="1" x14ac:dyDescent="0.35">
      <c r="A32" s="1163" t="s">
        <v>2226</v>
      </c>
      <c r="B32" s="1163"/>
      <c r="C32" s="1163"/>
      <c r="D32" s="1163" t="s">
        <v>2226</v>
      </c>
      <c r="E32" s="1163"/>
      <c r="F32" s="1163"/>
      <c r="G32" s="71"/>
      <c r="H32" s="71"/>
      <c r="I32" s="71"/>
      <c r="J32" s="71"/>
      <c r="K32" s="71"/>
      <c r="L32" s="71"/>
      <c r="M32" s="71"/>
      <c r="N32" s="71"/>
      <c r="O32" s="71"/>
      <c r="P32" s="71"/>
      <c r="Q32" s="71"/>
      <c r="R32" s="71"/>
      <c r="S32" s="71"/>
      <c r="T32" s="71"/>
      <c r="U32" s="71"/>
      <c r="V32" s="71"/>
      <c r="W32" s="71"/>
      <c r="X32" s="71"/>
      <c r="Y32" s="71"/>
      <c r="Z32" s="71"/>
    </row>
    <row r="33" spans="1:26" ht="12.75" customHeight="1" x14ac:dyDescent="0.35">
      <c r="A33" s="74"/>
      <c r="B33" s="75"/>
      <c r="C33" s="76"/>
      <c r="D33" s="71"/>
      <c r="E33" s="73"/>
      <c r="F33" s="73"/>
      <c r="G33" s="71"/>
      <c r="H33" s="71"/>
      <c r="I33" s="71"/>
      <c r="J33" s="71"/>
      <c r="K33" s="71"/>
      <c r="L33" s="71"/>
      <c r="M33" s="71"/>
      <c r="N33" s="71"/>
      <c r="O33" s="71"/>
      <c r="P33" s="71"/>
      <c r="Q33" s="71"/>
      <c r="R33" s="71"/>
      <c r="S33" s="71"/>
      <c r="T33" s="71"/>
      <c r="U33" s="71"/>
      <c r="V33" s="71"/>
      <c r="W33" s="71"/>
      <c r="X33" s="71"/>
      <c r="Y33" s="71"/>
      <c r="Z33" s="71"/>
    </row>
    <row r="34" spans="1:26" ht="12.75" customHeight="1" x14ac:dyDescent="0.35">
      <c r="A34" s="74"/>
      <c r="B34" s="75"/>
      <c r="C34" s="76"/>
      <c r="D34" s="71"/>
      <c r="E34" s="73"/>
      <c r="F34" s="73"/>
      <c r="G34" s="71"/>
      <c r="H34" s="71"/>
      <c r="I34" s="71"/>
      <c r="J34" s="71"/>
      <c r="K34" s="71"/>
      <c r="L34" s="71"/>
      <c r="M34" s="71"/>
      <c r="N34" s="71"/>
      <c r="O34" s="71"/>
      <c r="P34" s="71"/>
      <c r="Q34" s="71"/>
      <c r="R34" s="71"/>
      <c r="S34" s="71"/>
      <c r="T34" s="71"/>
      <c r="U34" s="71"/>
      <c r="V34" s="71"/>
      <c r="W34" s="71"/>
      <c r="X34" s="71"/>
      <c r="Y34" s="71"/>
      <c r="Z34" s="71"/>
    </row>
    <row r="35" spans="1:26" ht="12.75" customHeight="1" x14ac:dyDescent="0.35">
      <c r="A35" s="74"/>
      <c r="B35" s="75"/>
      <c r="C35" s="76"/>
      <c r="D35" s="71"/>
      <c r="E35" s="73"/>
      <c r="F35" s="73"/>
      <c r="G35" s="71"/>
      <c r="H35" s="71"/>
      <c r="I35" s="71"/>
      <c r="J35" s="71"/>
      <c r="K35" s="71"/>
      <c r="L35" s="71"/>
      <c r="M35" s="71"/>
      <c r="N35" s="71"/>
      <c r="O35" s="71"/>
      <c r="P35" s="71"/>
      <c r="Q35" s="71"/>
      <c r="R35" s="71"/>
      <c r="S35" s="71"/>
      <c r="T35" s="71"/>
      <c r="U35" s="71"/>
      <c r="V35" s="71"/>
      <c r="W35" s="71"/>
      <c r="X35" s="71"/>
      <c r="Y35" s="71"/>
      <c r="Z35" s="71"/>
    </row>
    <row r="36" spans="1:26" ht="12.75" customHeight="1" x14ac:dyDescent="0.35">
      <c r="A36" s="74"/>
      <c r="B36" s="75"/>
      <c r="C36" s="76"/>
      <c r="D36" s="71"/>
      <c r="E36" s="73"/>
      <c r="F36" s="73"/>
      <c r="G36" s="71"/>
      <c r="H36" s="71"/>
      <c r="I36" s="71"/>
      <c r="J36" s="71"/>
      <c r="K36" s="71"/>
      <c r="L36" s="71"/>
      <c r="M36" s="71"/>
      <c r="N36" s="71"/>
      <c r="O36" s="71"/>
      <c r="P36" s="71"/>
      <c r="Q36" s="71"/>
      <c r="R36" s="71"/>
      <c r="S36" s="71"/>
      <c r="T36" s="71"/>
      <c r="U36" s="71"/>
      <c r="V36" s="71"/>
      <c r="W36" s="71"/>
      <c r="X36" s="71"/>
      <c r="Y36" s="71"/>
      <c r="Z36" s="71"/>
    </row>
    <row r="37" spans="1:26" ht="12.75" customHeight="1" x14ac:dyDescent="0.35">
      <c r="A37" s="74"/>
      <c r="B37" s="75"/>
      <c r="C37" s="76"/>
      <c r="D37" s="71"/>
      <c r="E37" s="73"/>
      <c r="F37" s="73"/>
      <c r="G37" s="71"/>
      <c r="H37" s="71"/>
      <c r="I37" s="71"/>
      <c r="J37" s="71"/>
      <c r="K37" s="71"/>
      <c r="L37" s="71"/>
      <c r="M37" s="71"/>
      <c r="N37" s="71"/>
      <c r="O37" s="71"/>
      <c r="P37" s="71"/>
      <c r="Q37" s="71"/>
      <c r="R37" s="71"/>
      <c r="S37" s="71"/>
      <c r="T37" s="71"/>
      <c r="U37" s="71"/>
      <c r="V37" s="71"/>
      <c r="W37" s="71"/>
      <c r="X37" s="71"/>
      <c r="Y37" s="71"/>
      <c r="Z37" s="71"/>
    </row>
    <row r="38" spans="1:26" ht="12.75" customHeight="1" x14ac:dyDescent="0.35">
      <c r="A38" s="74"/>
      <c r="B38" s="75"/>
      <c r="C38" s="76"/>
      <c r="D38" s="71"/>
      <c r="E38" s="73"/>
      <c r="F38" s="73"/>
      <c r="G38" s="71"/>
      <c r="H38" s="71"/>
      <c r="I38" s="71"/>
      <c r="J38" s="71"/>
      <c r="K38" s="71"/>
      <c r="L38" s="71"/>
      <c r="M38" s="71"/>
      <c r="N38" s="71"/>
      <c r="O38" s="71"/>
      <c r="P38" s="71"/>
      <c r="Q38" s="71"/>
      <c r="R38" s="71"/>
      <c r="S38" s="71"/>
      <c r="T38" s="71"/>
      <c r="U38" s="71"/>
      <c r="V38" s="71"/>
      <c r="W38" s="71"/>
      <c r="X38" s="71"/>
      <c r="Y38" s="71"/>
      <c r="Z38" s="71"/>
    </row>
    <row r="39" spans="1:26" ht="12.75" customHeight="1" x14ac:dyDescent="0.35">
      <c r="A39" s="74"/>
      <c r="B39" s="75"/>
      <c r="C39" s="76"/>
      <c r="D39" s="71"/>
      <c r="E39" s="73"/>
      <c r="F39" s="73"/>
      <c r="G39" s="71"/>
      <c r="H39" s="71"/>
      <c r="I39" s="71"/>
      <c r="J39" s="71"/>
      <c r="K39" s="71"/>
      <c r="L39" s="71"/>
      <c r="M39" s="71"/>
      <c r="N39" s="71"/>
      <c r="O39" s="71"/>
      <c r="P39" s="71"/>
      <c r="Q39" s="71"/>
      <c r="R39" s="71"/>
      <c r="S39" s="71"/>
      <c r="T39" s="71"/>
      <c r="U39" s="71"/>
      <c r="V39" s="71"/>
      <c r="W39" s="71"/>
      <c r="X39" s="71"/>
      <c r="Y39" s="71"/>
      <c r="Z39" s="71"/>
    </row>
    <row r="40" spans="1:26" ht="12.75" customHeight="1" x14ac:dyDescent="0.35">
      <c r="A40" s="74"/>
      <c r="B40" s="75"/>
      <c r="C40" s="76"/>
      <c r="D40" s="71"/>
      <c r="E40" s="73"/>
      <c r="F40" s="73"/>
      <c r="G40" s="71"/>
      <c r="H40" s="71"/>
      <c r="I40" s="71"/>
      <c r="J40" s="71"/>
      <c r="K40" s="71"/>
      <c r="L40" s="71"/>
      <c r="M40" s="71"/>
      <c r="N40" s="71"/>
      <c r="O40" s="71"/>
      <c r="P40" s="71"/>
      <c r="Q40" s="71"/>
      <c r="R40" s="71"/>
      <c r="S40" s="71"/>
      <c r="T40" s="71"/>
      <c r="U40" s="71"/>
      <c r="V40" s="71"/>
      <c r="W40" s="71"/>
      <c r="X40" s="71"/>
      <c r="Y40" s="71"/>
      <c r="Z40" s="71"/>
    </row>
    <row r="41" spans="1:26" ht="12.75" customHeight="1" x14ac:dyDescent="0.35">
      <c r="A41" s="74"/>
      <c r="B41" s="75"/>
      <c r="C41" s="76"/>
      <c r="D41" s="71"/>
      <c r="E41" s="73"/>
      <c r="F41" s="73"/>
      <c r="G41" s="71"/>
      <c r="H41" s="71"/>
      <c r="I41" s="71"/>
      <c r="J41" s="71"/>
      <c r="K41" s="71"/>
      <c r="L41" s="71"/>
      <c r="M41" s="71"/>
      <c r="N41" s="71"/>
      <c r="O41" s="71"/>
      <c r="P41" s="71"/>
      <c r="Q41" s="71"/>
      <c r="R41" s="71"/>
      <c r="S41" s="71"/>
      <c r="T41" s="71"/>
      <c r="U41" s="71"/>
      <c r="V41" s="71"/>
      <c r="W41" s="71"/>
      <c r="X41" s="71"/>
      <c r="Y41" s="71"/>
      <c r="Z41" s="71"/>
    </row>
    <row r="42" spans="1:26" ht="12.75" customHeight="1" x14ac:dyDescent="0.35">
      <c r="A42" s="74"/>
      <c r="B42" s="75"/>
      <c r="C42" s="76"/>
      <c r="D42" s="71"/>
      <c r="E42" s="73"/>
      <c r="F42" s="73"/>
      <c r="G42" s="71"/>
      <c r="H42" s="71"/>
      <c r="I42" s="71"/>
      <c r="J42" s="71"/>
      <c r="K42" s="71"/>
      <c r="L42" s="71"/>
      <c r="M42" s="71"/>
      <c r="N42" s="71"/>
      <c r="O42" s="71"/>
      <c r="P42" s="71"/>
      <c r="Q42" s="71"/>
      <c r="R42" s="71"/>
      <c r="S42" s="71"/>
      <c r="T42" s="71"/>
      <c r="U42" s="71"/>
      <c r="V42" s="71"/>
      <c r="W42" s="71"/>
      <c r="X42" s="71"/>
      <c r="Y42" s="71"/>
      <c r="Z42" s="71"/>
    </row>
    <row r="43" spans="1:26" ht="12.75" customHeight="1" x14ac:dyDescent="0.35">
      <c r="A43" s="74"/>
      <c r="B43" s="75"/>
      <c r="C43" s="76"/>
      <c r="D43" s="71"/>
      <c r="E43" s="73"/>
      <c r="F43" s="73"/>
      <c r="G43" s="71"/>
      <c r="H43" s="71"/>
      <c r="I43" s="71"/>
      <c r="J43" s="71"/>
      <c r="K43" s="71"/>
      <c r="L43" s="71"/>
      <c r="M43" s="71"/>
      <c r="N43" s="71"/>
      <c r="O43" s="71"/>
      <c r="P43" s="71"/>
      <c r="Q43" s="71"/>
      <c r="R43" s="71"/>
      <c r="S43" s="71"/>
      <c r="T43" s="71"/>
      <c r="U43" s="71"/>
      <c r="V43" s="71"/>
      <c r="W43" s="71"/>
      <c r="X43" s="71"/>
      <c r="Y43" s="71"/>
      <c r="Z43" s="71"/>
    </row>
    <row r="44" spans="1:26" ht="12.75" customHeight="1" x14ac:dyDescent="0.35">
      <c r="A44" s="74"/>
      <c r="B44" s="75"/>
      <c r="C44" s="76"/>
      <c r="D44" s="71"/>
      <c r="E44" s="73"/>
      <c r="F44" s="73"/>
      <c r="G44" s="71"/>
      <c r="H44" s="71"/>
      <c r="I44" s="71"/>
      <c r="J44" s="71"/>
      <c r="K44" s="71"/>
      <c r="L44" s="71"/>
      <c r="M44" s="71"/>
      <c r="N44" s="71"/>
      <c r="O44" s="71"/>
      <c r="P44" s="71"/>
      <c r="Q44" s="71"/>
      <c r="R44" s="71"/>
      <c r="S44" s="71"/>
      <c r="T44" s="71"/>
      <c r="U44" s="71"/>
      <c r="V44" s="71"/>
      <c r="W44" s="71"/>
      <c r="X44" s="71"/>
      <c r="Y44" s="71"/>
      <c r="Z44" s="71"/>
    </row>
    <row r="45" spans="1:26" ht="12.75" customHeight="1" x14ac:dyDescent="0.35">
      <c r="A45" s="74"/>
      <c r="B45" s="75"/>
      <c r="C45" s="76"/>
      <c r="D45" s="71"/>
      <c r="E45" s="73"/>
      <c r="F45" s="73"/>
      <c r="G45" s="71"/>
      <c r="H45" s="71"/>
      <c r="I45" s="71"/>
      <c r="J45" s="71"/>
      <c r="K45" s="71"/>
      <c r="L45" s="71"/>
      <c r="M45" s="71"/>
      <c r="N45" s="71"/>
      <c r="O45" s="71"/>
      <c r="P45" s="71"/>
      <c r="Q45" s="71"/>
      <c r="R45" s="71"/>
      <c r="S45" s="71"/>
      <c r="T45" s="71"/>
      <c r="U45" s="71"/>
      <c r="V45" s="71"/>
      <c r="W45" s="71"/>
      <c r="X45" s="71"/>
      <c r="Y45" s="71"/>
      <c r="Z45" s="71"/>
    </row>
    <row r="46" spans="1:26" ht="12.75" customHeight="1" x14ac:dyDescent="0.35">
      <c r="A46" s="74"/>
      <c r="B46" s="75"/>
      <c r="C46" s="76"/>
      <c r="D46" s="71"/>
      <c r="E46" s="73"/>
      <c r="F46" s="73"/>
      <c r="G46" s="71"/>
      <c r="H46" s="71"/>
      <c r="I46" s="71"/>
      <c r="J46" s="71"/>
      <c r="K46" s="71"/>
      <c r="L46" s="71"/>
      <c r="M46" s="71"/>
      <c r="N46" s="71"/>
      <c r="O46" s="71"/>
      <c r="P46" s="71"/>
      <c r="Q46" s="71"/>
      <c r="R46" s="71"/>
      <c r="S46" s="71"/>
      <c r="T46" s="71"/>
      <c r="U46" s="71"/>
      <c r="V46" s="71"/>
      <c r="W46" s="71"/>
      <c r="X46" s="71"/>
      <c r="Y46" s="71"/>
      <c r="Z46" s="71"/>
    </row>
    <row r="47" spans="1:26" ht="12.75" customHeight="1" x14ac:dyDescent="0.35">
      <c r="A47" s="74"/>
      <c r="B47" s="75"/>
      <c r="C47" s="76"/>
      <c r="D47" s="71"/>
      <c r="E47" s="73"/>
      <c r="F47" s="73"/>
      <c r="G47" s="71"/>
      <c r="H47" s="71"/>
      <c r="I47" s="71"/>
      <c r="J47" s="71"/>
      <c r="K47" s="71"/>
      <c r="L47" s="71"/>
      <c r="M47" s="71"/>
      <c r="N47" s="71"/>
      <c r="O47" s="71"/>
      <c r="P47" s="71"/>
      <c r="Q47" s="71"/>
      <c r="R47" s="71"/>
      <c r="S47" s="71"/>
      <c r="T47" s="71"/>
      <c r="U47" s="71"/>
      <c r="V47" s="71"/>
      <c r="W47" s="71"/>
      <c r="X47" s="71"/>
      <c r="Y47" s="71"/>
      <c r="Z47" s="71"/>
    </row>
    <row r="48" spans="1:26" ht="12.75" customHeight="1" x14ac:dyDescent="0.35">
      <c r="A48" s="74"/>
      <c r="B48" s="75"/>
      <c r="C48" s="76"/>
      <c r="D48" s="71"/>
      <c r="E48" s="73"/>
      <c r="F48" s="73"/>
      <c r="G48" s="71"/>
      <c r="H48" s="71"/>
      <c r="I48" s="71"/>
      <c r="J48" s="71"/>
      <c r="K48" s="71"/>
      <c r="L48" s="71"/>
      <c r="M48" s="71"/>
      <c r="N48" s="71"/>
      <c r="O48" s="71"/>
      <c r="P48" s="71"/>
      <c r="Q48" s="71"/>
      <c r="R48" s="71"/>
      <c r="S48" s="71"/>
      <c r="T48" s="71"/>
      <c r="U48" s="71"/>
      <c r="V48" s="71"/>
      <c r="W48" s="71"/>
      <c r="X48" s="71"/>
      <c r="Y48" s="71"/>
      <c r="Z48" s="71"/>
    </row>
    <row r="49" spans="1:26" ht="12.75" customHeight="1" x14ac:dyDescent="0.35">
      <c r="A49" s="74"/>
      <c r="B49" s="75"/>
      <c r="C49" s="76"/>
      <c r="D49" s="71"/>
      <c r="E49" s="73"/>
      <c r="F49" s="73"/>
      <c r="G49" s="71"/>
      <c r="H49" s="71"/>
      <c r="I49" s="71"/>
      <c r="J49" s="71"/>
      <c r="K49" s="71"/>
      <c r="L49" s="71"/>
      <c r="M49" s="71"/>
      <c r="N49" s="71"/>
      <c r="O49" s="71"/>
      <c r="P49" s="71"/>
      <c r="Q49" s="71"/>
      <c r="R49" s="71"/>
      <c r="S49" s="71"/>
      <c r="T49" s="71"/>
      <c r="U49" s="71"/>
      <c r="V49" s="71"/>
      <c r="W49" s="71"/>
      <c r="X49" s="71"/>
      <c r="Y49" s="71"/>
      <c r="Z49" s="71"/>
    </row>
    <row r="50" spans="1:26" ht="12.75" customHeight="1" x14ac:dyDescent="0.35">
      <c r="A50" s="74"/>
      <c r="B50" s="75"/>
      <c r="C50" s="76"/>
      <c r="D50" s="71"/>
      <c r="E50" s="73"/>
      <c r="F50" s="73"/>
      <c r="G50" s="71"/>
      <c r="H50" s="71"/>
      <c r="I50" s="71"/>
      <c r="J50" s="71"/>
      <c r="K50" s="71"/>
      <c r="L50" s="71"/>
      <c r="M50" s="71"/>
      <c r="N50" s="71"/>
      <c r="O50" s="71"/>
      <c r="P50" s="71"/>
      <c r="Q50" s="71"/>
      <c r="R50" s="71"/>
      <c r="S50" s="71"/>
      <c r="T50" s="71"/>
      <c r="U50" s="71"/>
      <c r="V50" s="71"/>
      <c r="W50" s="71"/>
      <c r="X50" s="71"/>
      <c r="Y50" s="71"/>
      <c r="Z50" s="71"/>
    </row>
    <row r="51" spans="1:26" ht="12.75" customHeight="1" x14ac:dyDescent="0.35">
      <c r="A51" s="74"/>
      <c r="B51" s="75"/>
      <c r="C51" s="76"/>
      <c r="D51" s="71"/>
      <c r="E51" s="73"/>
      <c r="F51" s="73"/>
      <c r="G51" s="71"/>
      <c r="H51" s="71"/>
      <c r="I51" s="71"/>
      <c r="J51" s="71"/>
      <c r="K51" s="71"/>
      <c r="L51" s="71"/>
      <c r="M51" s="71"/>
      <c r="N51" s="71"/>
      <c r="O51" s="71"/>
      <c r="P51" s="71"/>
      <c r="Q51" s="71"/>
      <c r="R51" s="71"/>
      <c r="S51" s="71"/>
      <c r="T51" s="71"/>
      <c r="U51" s="71"/>
      <c r="V51" s="71"/>
      <c r="W51" s="71"/>
      <c r="X51" s="71"/>
      <c r="Y51" s="71"/>
      <c r="Z51" s="71"/>
    </row>
    <row r="52" spans="1:26" ht="12.75" customHeight="1" x14ac:dyDescent="0.35">
      <c r="A52" s="74"/>
      <c r="B52" s="75"/>
      <c r="C52" s="76"/>
      <c r="D52" s="71"/>
      <c r="E52" s="73"/>
      <c r="F52" s="73"/>
      <c r="G52" s="71"/>
      <c r="H52" s="71"/>
      <c r="I52" s="71"/>
      <c r="J52" s="71"/>
      <c r="K52" s="71"/>
      <c r="L52" s="71"/>
      <c r="M52" s="71"/>
      <c r="N52" s="71"/>
      <c r="O52" s="71"/>
      <c r="P52" s="71"/>
      <c r="Q52" s="71"/>
      <c r="R52" s="71"/>
      <c r="S52" s="71"/>
      <c r="T52" s="71"/>
      <c r="U52" s="71"/>
      <c r="V52" s="71"/>
      <c r="W52" s="71"/>
      <c r="X52" s="71"/>
      <c r="Y52" s="71"/>
      <c r="Z52" s="71"/>
    </row>
    <row r="53" spans="1:26" ht="12.75" customHeight="1" x14ac:dyDescent="0.35">
      <c r="A53" s="74"/>
      <c r="B53" s="75"/>
      <c r="C53" s="76"/>
      <c r="D53" s="71"/>
      <c r="E53" s="73"/>
      <c r="F53" s="73"/>
      <c r="G53" s="71"/>
      <c r="H53" s="71"/>
      <c r="I53" s="71"/>
      <c r="J53" s="71"/>
      <c r="K53" s="71"/>
      <c r="L53" s="71"/>
      <c r="M53" s="71"/>
      <c r="N53" s="71"/>
      <c r="O53" s="71"/>
      <c r="P53" s="71"/>
      <c r="Q53" s="71"/>
      <c r="R53" s="71"/>
      <c r="S53" s="71"/>
      <c r="T53" s="71"/>
      <c r="U53" s="71"/>
      <c r="V53" s="71"/>
      <c r="W53" s="71"/>
      <c r="X53" s="71"/>
      <c r="Y53" s="71"/>
      <c r="Z53" s="71"/>
    </row>
    <row r="54" spans="1:26" ht="12.75" customHeight="1" x14ac:dyDescent="0.35">
      <c r="A54" s="74"/>
      <c r="B54" s="75"/>
      <c r="C54" s="76"/>
      <c r="D54" s="71"/>
      <c r="E54" s="73"/>
      <c r="F54" s="73"/>
      <c r="G54" s="71"/>
      <c r="H54" s="71"/>
      <c r="I54" s="71"/>
      <c r="J54" s="71"/>
      <c r="K54" s="71"/>
      <c r="L54" s="71"/>
      <c r="M54" s="71"/>
      <c r="N54" s="71"/>
      <c r="O54" s="71"/>
      <c r="P54" s="71"/>
      <c r="Q54" s="71"/>
      <c r="R54" s="71"/>
      <c r="S54" s="71"/>
      <c r="T54" s="71"/>
      <c r="U54" s="71"/>
      <c r="V54" s="71"/>
      <c r="W54" s="71"/>
      <c r="X54" s="71"/>
      <c r="Y54" s="71"/>
      <c r="Z54" s="71"/>
    </row>
    <row r="55" spans="1:26" ht="12.75" customHeight="1" x14ac:dyDescent="0.35">
      <c r="A55" s="74"/>
      <c r="B55" s="75"/>
      <c r="C55" s="76"/>
      <c r="D55" s="71"/>
      <c r="E55" s="73"/>
      <c r="F55" s="73"/>
      <c r="G55" s="71"/>
      <c r="H55" s="71"/>
      <c r="I55" s="71"/>
      <c r="J55" s="71"/>
      <c r="K55" s="71"/>
      <c r="L55" s="71"/>
      <c r="M55" s="71"/>
      <c r="N55" s="71"/>
      <c r="O55" s="71"/>
      <c r="P55" s="71"/>
      <c r="Q55" s="71"/>
      <c r="R55" s="71"/>
      <c r="S55" s="71"/>
      <c r="T55" s="71"/>
      <c r="U55" s="71"/>
      <c r="V55" s="71"/>
      <c r="W55" s="71"/>
      <c r="X55" s="71"/>
      <c r="Y55" s="71"/>
      <c r="Z55" s="71"/>
    </row>
    <row r="56" spans="1:26" ht="12.75" customHeight="1" x14ac:dyDescent="0.35">
      <c r="A56" s="71"/>
      <c r="B56" s="71"/>
      <c r="C56" s="71"/>
      <c r="D56" s="71"/>
      <c r="E56" s="77"/>
      <c r="F56" s="73"/>
      <c r="G56" s="71"/>
      <c r="H56" s="71"/>
      <c r="I56" s="71"/>
      <c r="J56" s="71"/>
      <c r="K56" s="71"/>
      <c r="L56" s="71"/>
      <c r="M56" s="71"/>
      <c r="N56" s="71"/>
      <c r="O56" s="71"/>
      <c r="P56" s="71"/>
      <c r="Q56" s="71"/>
      <c r="R56" s="71"/>
      <c r="S56" s="71"/>
      <c r="T56" s="71"/>
      <c r="U56" s="71"/>
      <c r="V56" s="71"/>
      <c r="W56" s="71"/>
      <c r="X56" s="71"/>
      <c r="Y56" s="71"/>
      <c r="Z56" s="71"/>
    </row>
    <row r="57" spans="1:26" ht="12.75" customHeight="1" x14ac:dyDescent="0.35"/>
    <row r="58" spans="1:26" ht="12.75" customHeight="1" x14ac:dyDescent="0.35"/>
    <row r="59" spans="1:26" ht="12.75" customHeight="1" x14ac:dyDescent="0.35"/>
    <row r="60" spans="1:26" ht="12.75" customHeight="1" x14ac:dyDescent="0.35"/>
    <row r="61" spans="1:26" ht="12.75" customHeight="1" x14ac:dyDescent="0.35"/>
    <row r="62" spans="1:26" ht="12.75" customHeight="1" x14ac:dyDescent="0.35"/>
    <row r="63" spans="1:26" ht="12.75" customHeight="1" x14ac:dyDescent="0.35"/>
    <row r="64" spans="1:26"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sheetData>
  <mergeCells count="11">
    <mergeCell ref="A4:A5"/>
    <mergeCell ref="B4:B5"/>
    <mergeCell ref="C4:C5"/>
    <mergeCell ref="A24:C24"/>
    <mergeCell ref="D24:F24"/>
    <mergeCell ref="A26:A28"/>
    <mergeCell ref="D26:D28"/>
    <mergeCell ref="A30:A31"/>
    <mergeCell ref="D30:D31"/>
    <mergeCell ref="A32:C32"/>
    <mergeCell ref="D32:F32"/>
  </mergeCells>
  <pageMargins left="0.75" right="0.75" top="1" bottom="1" header="0.51180555555555496" footer="0.51180555555555496"/>
  <pageSetup firstPageNumber="0"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A1:AMK983"/>
  <sheetViews>
    <sheetView zoomScale="74" zoomScaleNormal="74" workbookViewId="0">
      <selection activeCell="C34" sqref="C34"/>
    </sheetView>
  </sheetViews>
  <sheetFormatPr defaultColWidth="8.81640625" defaultRowHeight="14.5" x14ac:dyDescent="0.35"/>
  <cols>
    <col min="1" max="1" width="19.453125" style="1" customWidth="1"/>
    <col min="2" max="2" width="26.453125" style="1" customWidth="1"/>
    <col min="3" max="3" width="18.453125" style="1" customWidth="1"/>
    <col min="4" max="4" width="26.453125" style="1" customWidth="1"/>
    <col min="5" max="7" width="24.453125" style="1" customWidth="1"/>
    <col min="8" max="8" width="10.453125" style="1" customWidth="1"/>
    <col min="9" max="26" width="9.453125" style="1" customWidth="1"/>
    <col min="27" max="1025" width="13.453125" style="1" customWidth="1"/>
  </cols>
  <sheetData>
    <row r="1" spans="1:26" ht="14.25" customHeight="1" x14ac:dyDescent="0.35">
      <c r="A1" s="78" t="s">
        <v>2227</v>
      </c>
      <c r="B1" s="79"/>
      <c r="C1" s="79"/>
      <c r="D1" s="79"/>
      <c r="E1" s="80"/>
      <c r="F1" s="81"/>
      <c r="G1" s="81"/>
      <c r="H1" s="81"/>
      <c r="I1" s="81"/>
      <c r="J1" s="81"/>
      <c r="K1" s="81"/>
      <c r="L1" s="81"/>
      <c r="M1" s="81"/>
      <c r="N1" s="81"/>
      <c r="O1" s="81"/>
      <c r="P1" s="81"/>
      <c r="Q1" s="81"/>
      <c r="R1" s="81"/>
      <c r="S1" s="81"/>
      <c r="T1" s="81"/>
      <c r="U1" s="81"/>
      <c r="V1" s="81"/>
      <c r="W1" s="81"/>
      <c r="X1" s="81"/>
      <c r="Y1" s="81"/>
      <c r="Z1" s="81"/>
    </row>
    <row r="2" spans="1:26" ht="14.25" customHeight="1" x14ac:dyDescent="0.35">
      <c r="A2" s="82"/>
      <c r="B2" s="29"/>
      <c r="C2" s="29"/>
      <c r="D2" s="29"/>
      <c r="E2" s="55"/>
      <c r="I2" s="2"/>
      <c r="J2" s="2"/>
      <c r="K2" s="2"/>
      <c r="L2" s="2"/>
      <c r="M2" s="2"/>
      <c r="N2" s="2"/>
      <c r="O2" s="2"/>
      <c r="P2" s="2"/>
      <c r="Q2" s="2"/>
      <c r="R2" s="2"/>
      <c r="S2" s="2"/>
      <c r="T2" s="2"/>
      <c r="U2" s="2"/>
      <c r="V2" s="2"/>
      <c r="W2" s="2"/>
      <c r="X2" s="2"/>
      <c r="Y2" s="2"/>
      <c r="Z2" s="2"/>
    </row>
    <row r="3" spans="1:26" s="55" customFormat="1" ht="14.25" customHeight="1" x14ac:dyDescent="0.35">
      <c r="A3" s="82" t="s">
        <v>197</v>
      </c>
      <c r="B3" s="29"/>
      <c r="C3" s="29"/>
      <c r="D3" s="29"/>
      <c r="I3" s="34"/>
      <c r="J3" s="34"/>
      <c r="K3" s="34"/>
      <c r="L3" s="34"/>
      <c r="M3" s="34"/>
      <c r="N3" s="34"/>
      <c r="O3" s="34"/>
      <c r="P3" s="34"/>
      <c r="Q3" s="34"/>
      <c r="R3" s="34"/>
      <c r="S3" s="34"/>
      <c r="T3" s="34"/>
      <c r="U3" s="34"/>
      <c r="V3" s="34"/>
      <c r="W3" s="34"/>
      <c r="X3" s="34"/>
      <c r="Y3" s="34"/>
      <c r="Z3" s="34"/>
    </row>
    <row r="4" spans="1:26" s="55" customFormat="1" ht="14.25" customHeight="1" x14ac:dyDescent="0.35">
      <c r="A4" s="544" t="s">
        <v>1495</v>
      </c>
      <c r="B4" s="544" t="s">
        <v>1529</v>
      </c>
      <c r="C4" s="544" t="s">
        <v>2228</v>
      </c>
      <c r="D4" s="544" t="s">
        <v>1497</v>
      </c>
      <c r="E4" s="544" t="s">
        <v>216</v>
      </c>
      <c r="I4" s="34"/>
      <c r="J4" s="34"/>
      <c r="K4" s="34"/>
      <c r="L4" s="34"/>
      <c r="M4" s="34"/>
      <c r="N4" s="34"/>
      <c r="O4" s="34"/>
      <c r="P4" s="34"/>
      <c r="Q4" s="34"/>
      <c r="R4" s="34"/>
      <c r="S4" s="34"/>
      <c r="T4" s="34"/>
      <c r="U4" s="34"/>
      <c r="V4" s="34"/>
      <c r="W4" s="34"/>
      <c r="X4" s="34"/>
      <c r="Y4" s="34"/>
      <c r="Z4" s="34"/>
    </row>
    <row r="5" spans="1:26" s="55" customFormat="1" ht="14.25" customHeight="1" x14ac:dyDescent="0.25">
      <c r="A5" s="482" t="s">
        <v>2229</v>
      </c>
      <c r="B5" s="483" t="s">
        <v>2127</v>
      </c>
      <c r="C5" s="483" t="s">
        <v>2230</v>
      </c>
      <c r="D5" s="545" t="s">
        <v>2128</v>
      </c>
      <c r="E5" s="483"/>
      <c r="I5" s="34"/>
      <c r="J5" s="34"/>
      <c r="K5" s="34"/>
      <c r="L5" s="34"/>
      <c r="M5" s="34"/>
      <c r="N5" s="34"/>
      <c r="O5" s="34"/>
      <c r="P5" s="34"/>
      <c r="Q5" s="34"/>
      <c r="R5" s="34"/>
      <c r="S5" s="34"/>
      <c r="T5" s="34"/>
      <c r="U5" s="34"/>
      <c r="V5" s="34"/>
      <c r="W5" s="34"/>
      <c r="X5" s="34"/>
      <c r="Y5" s="34"/>
      <c r="Z5" s="34"/>
    </row>
    <row r="6" spans="1:26" s="55" customFormat="1" ht="14.25" customHeight="1" x14ac:dyDescent="0.25">
      <c r="A6" s="482" t="s">
        <v>2231</v>
      </c>
      <c r="B6" s="483" t="s">
        <v>2131</v>
      </c>
      <c r="C6" s="483"/>
      <c r="D6" s="546" t="s">
        <v>2232</v>
      </c>
      <c r="E6" s="483"/>
      <c r="I6" s="34"/>
      <c r="J6" s="34"/>
      <c r="K6" s="34"/>
      <c r="L6" s="34"/>
      <c r="M6" s="34"/>
      <c r="N6" s="34"/>
      <c r="O6" s="34"/>
      <c r="P6" s="34"/>
      <c r="Q6" s="34"/>
      <c r="R6" s="34"/>
      <c r="S6" s="34"/>
      <c r="T6" s="34"/>
      <c r="U6" s="34"/>
      <c r="V6" s="34"/>
      <c r="W6" s="34"/>
      <c r="X6" s="34"/>
      <c r="Y6" s="34"/>
      <c r="Z6" s="34"/>
    </row>
    <row r="7" spans="1:26" s="55" customFormat="1" ht="14.25" customHeight="1" x14ac:dyDescent="0.35">
      <c r="A7" s="482" t="s">
        <v>2231</v>
      </c>
      <c r="B7" s="483" t="s">
        <v>2129</v>
      </c>
      <c r="C7" s="483"/>
      <c r="D7" s="483" t="s">
        <v>2130</v>
      </c>
      <c r="E7" s="483"/>
      <c r="I7" s="34"/>
      <c r="J7" s="34"/>
      <c r="K7" s="34"/>
      <c r="L7" s="34"/>
      <c r="M7" s="34"/>
      <c r="N7" s="34"/>
      <c r="O7" s="34"/>
      <c r="P7" s="34"/>
      <c r="Q7" s="34"/>
      <c r="R7" s="34"/>
      <c r="S7" s="34"/>
      <c r="T7" s="34"/>
      <c r="U7" s="34"/>
      <c r="V7" s="34"/>
      <c r="W7" s="34"/>
      <c r="X7" s="34"/>
      <c r="Y7" s="34"/>
      <c r="Z7" s="34"/>
    </row>
    <row r="8" spans="1:26" s="55" customFormat="1" ht="14.25" customHeight="1" x14ac:dyDescent="0.25">
      <c r="A8" s="482" t="s">
        <v>2233</v>
      </c>
      <c r="B8" s="483" t="s">
        <v>2234</v>
      </c>
      <c r="C8" s="483"/>
      <c r="D8" s="545" t="s">
        <v>2235</v>
      </c>
      <c r="E8" s="483"/>
      <c r="I8" s="34"/>
      <c r="J8" s="34"/>
      <c r="K8" s="34"/>
      <c r="L8" s="34"/>
      <c r="M8" s="34"/>
      <c r="N8" s="34"/>
      <c r="O8" s="34"/>
      <c r="P8" s="34"/>
      <c r="Q8" s="34"/>
      <c r="R8" s="34"/>
      <c r="S8" s="34"/>
      <c r="T8" s="34"/>
      <c r="U8" s="34"/>
      <c r="V8" s="34"/>
      <c r="W8" s="34"/>
      <c r="X8" s="34"/>
      <c r="Y8" s="34"/>
      <c r="Z8" s="34"/>
    </row>
    <row r="9" spans="1:26" s="55" customFormat="1" ht="14.25" customHeight="1" x14ac:dyDescent="0.25">
      <c r="A9" s="461" t="s">
        <v>2233</v>
      </c>
      <c r="B9" s="483" t="s">
        <v>2236</v>
      </c>
      <c r="C9" s="483"/>
      <c r="D9" s="545" t="s">
        <v>2237</v>
      </c>
      <c r="E9" s="483"/>
      <c r="I9" s="34"/>
      <c r="J9" s="34"/>
      <c r="K9" s="34"/>
      <c r="L9" s="34"/>
      <c r="M9" s="34"/>
      <c r="N9" s="34"/>
      <c r="O9" s="34"/>
      <c r="P9" s="34"/>
      <c r="Q9" s="34"/>
      <c r="R9" s="34"/>
      <c r="S9" s="34"/>
      <c r="T9" s="34"/>
      <c r="U9" s="34"/>
      <c r="V9" s="34"/>
      <c r="W9" s="34"/>
      <c r="X9" s="34"/>
      <c r="Y9" s="34"/>
      <c r="Z9" s="34"/>
    </row>
    <row r="10" spans="1:26" s="55" customFormat="1" ht="14.25" customHeight="1" x14ac:dyDescent="0.35">
      <c r="A10" s="547"/>
      <c r="B10" s="483"/>
      <c r="C10" s="483"/>
      <c r="D10" s="547"/>
      <c r="E10" s="483"/>
      <c r="I10" s="34"/>
      <c r="J10" s="34"/>
      <c r="K10" s="34"/>
      <c r="L10" s="34"/>
      <c r="M10" s="34"/>
      <c r="N10" s="34"/>
      <c r="O10" s="34"/>
      <c r="P10" s="34"/>
      <c r="Q10" s="34"/>
      <c r="R10" s="34"/>
      <c r="S10" s="34"/>
      <c r="T10" s="34"/>
      <c r="U10" s="34"/>
      <c r="V10" s="34"/>
      <c r="W10" s="34"/>
      <c r="X10" s="34"/>
      <c r="Y10" s="34"/>
      <c r="Z10" s="34"/>
    </row>
    <row r="11" spans="1:26" s="55" customFormat="1" ht="14.25" customHeight="1" x14ac:dyDescent="0.35">
      <c r="A11" s="461"/>
      <c r="B11" s="483"/>
      <c r="C11" s="483"/>
      <c r="D11" s="548"/>
      <c r="E11" s="483"/>
      <c r="I11" s="34"/>
      <c r="J11" s="34"/>
      <c r="K11" s="34"/>
      <c r="L11" s="34"/>
      <c r="M11" s="34"/>
      <c r="N11" s="34"/>
      <c r="O11" s="34"/>
      <c r="P11" s="34"/>
      <c r="Q11" s="34"/>
      <c r="R11" s="34"/>
      <c r="S11" s="34"/>
      <c r="T11" s="34"/>
      <c r="U11" s="34"/>
      <c r="V11" s="34"/>
      <c r="W11" s="34"/>
      <c r="X11" s="34"/>
      <c r="Y11" s="34"/>
      <c r="Z11" s="34"/>
    </row>
    <row r="12" spans="1:26" s="55" customFormat="1" ht="14.25" customHeight="1" x14ac:dyDescent="0.35">
      <c r="A12" s="547"/>
      <c r="B12" s="483"/>
      <c r="C12" s="483"/>
      <c r="D12" s="549"/>
      <c r="E12" s="483"/>
      <c r="I12" s="34"/>
      <c r="J12" s="34"/>
      <c r="K12" s="34"/>
      <c r="L12" s="34"/>
      <c r="M12" s="34"/>
      <c r="N12" s="34"/>
      <c r="O12" s="34"/>
      <c r="P12" s="34"/>
      <c r="Q12" s="34"/>
      <c r="R12" s="34"/>
      <c r="S12" s="34"/>
      <c r="T12" s="34"/>
      <c r="U12" s="34"/>
      <c r="V12" s="34"/>
      <c r="W12" s="34"/>
      <c r="X12" s="34"/>
      <c r="Y12" s="34"/>
      <c r="Z12" s="34"/>
    </row>
    <row r="13" spans="1:26" s="55" customFormat="1" ht="14.25" customHeight="1" x14ac:dyDescent="0.35">
      <c r="A13" s="547"/>
      <c r="B13" s="483"/>
      <c r="C13" s="483"/>
      <c r="D13" s="550"/>
      <c r="E13" s="483"/>
      <c r="I13" s="34"/>
      <c r="J13" s="34"/>
      <c r="K13" s="34"/>
      <c r="L13" s="34"/>
      <c r="M13" s="34"/>
      <c r="N13" s="34"/>
      <c r="O13" s="34"/>
      <c r="P13" s="34"/>
      <c r="Q13" s="34"/>
      <c r="R13" s="34"/>
      <c r="S13" s="34"/>
      <c r="T13" s="34"/>
      <c r="U13" s="34"/>
      <c r="V13" s="34"/>
      <c r="W13" s="34"/>
      <c r="X13" s="34"/>
      <c r="Y13" s="34"/>
      <c r="Z13" s="34"/>
    </row>
    <row r="14" spans="1:26" s="55" customFormat="1" ht="14.25" customHeight="1" x14ac:dyDescent="0.35">
      <c r="A14" s="547"/>
      <c r="B14" s="483"/>
      <c r="C14" s="483"/>
      <c r="D14" s="550"/>
      <c r="E14" s="483"/>
      <c r="I14" s="34"/>
      <c r="J14" s="34"/>
      <c r="K14" s="34"/>
      <c r="L14" s="34"/>
      <c r="M14" s="34"/>
      <c r="N14" s="34"/>
      <c r="O14" s="34"/>
      <c r="P14" s="34"/>
      <c r="Q14" s="34"/>
      <c r="R14" s="34"/>
      <c r="S14" s="34"/>
      <c r="T14" s="34"/>
      <c r="U14" s="34"/>
      <c r="V14" s="34"/>
      <c r="W14" s="34"/>
      <c r="X14" s="34"/>
      <c r="Y14" s="34"/>
      <c r="Z14" s="34"/>
    </row>
    <row r="15" spans="1:26" s="55" customFormat="1" ht="14.25" customHeight="1" x14ac:dyDescent="0.35">
      <c r="A15" s="547"/>
      <c r="B15" s="483"/>
      <c r="C15" s="483"/>
      <c r="D15" s="550"/>
      <c r="E15" s="483"/>
      <c r="I15" s="34"/>
      <c r="J15" s="34"/>
      <c r="K15" s="34"/>
      <c r="L15" s="34"/>
      <c r="M15" s="34"/>
      <c r="N15" s="34"/>
      <c r="O15" s="34"/>
      <c r="P15" s="34"/>
      <c r="Q15" s="34"/>
      <c r="R15" s="34"/>
      <c r="S15" s="34"/>
      <c r="T15" s="34"/>
      <c r="U15" s="34"/>
      <c r="V15" s="34"/>
      <c r="W15" s="34"/>
      <c r="X15" s="34"/>
      <c r="Y15" s="34"/>
      <c r="Z15" s="34"/>
    </row>
    <row r="16" spans="1:26" s="55" customFormat="1" ht="14.25" customHeight="1" x14ac:dyDescent="0.25">
      <c r="A16" s="457"/>
      <c r="B16" s="483"/>
      <c r="C16" s="461"/>
      <c r="D16" s="551"/>
      <c r="E16" s="552"/>
      <c r="I16" s="34"/>
      <c r="J16" s="34"/>
      <c r="K16" s="34"/>
      <c r="L16" s="34"/>
      <c r="M16" s="34"/>
      <c r="N16" s="34"/>
      <c r="O16" s="34"/>
      <c r="P16" s="34"/>
      <c r="Q16" s="34"/>
      <c r="R16" s="34"/>
      <c r="S16" s="34"/>
      <c r="T16" s="34"/>
      <c r="U16" s="34"/>
      <c r="V16" s="34"/>
      <c r="W16" s="34"/>
      <c r="X16" s="34"/>
      <c r="Y16" s="34"/>
      <c r="Z16" s="34"/>
    </row>
    <row r="17" spans="1:26" s="55" customFormat="1" ht="14.25" customHeight="1" x14ac:dyDescent="0.35">
      <c r="A17" s="461"/>
      <c r="B17" s="483"/>
      <c r="C17" s="483"/>
      <c r="D17" s="548"/>
      <c r="E17" s="483"/>
      <c r="I17" s="34"/>
      <c r="J17" s="34"/>
      <c r="K17" s="34"/>
      <c r="L17" s="34"/>
      <c r="M17" s="34"/>
      <c r="N17" s="34"/>
      <c r="O17" s="34"/>
      <c r="P17" s="34"/>
      <c r="Q17" s="34"/>
      <c r="R17" s="34"/>
      <c r="S17" s="34"/>
      <c r="T17" s="34"/>
      <c r="U17" s="34"/>
      <c r="V17" s="34"/>
      <c r="W17" s="34"/>
      <c r="X17" s="34"/>
      <c r="Y17" s="34"/>
      <c r="Z17" s="34"/>
    </row>
    <row r="18" spans="1:26" s="55" customFormat="1" ht="14.25" customHeight="1" x14ac:dyDescent="0.35">
      <c r="A18" s="547"/>
      <c r="B18" s="483"/>
      <c r="C18" s="483"/>
      <c r="D18" s="549"/>
      <c r="E18" s="483"/>
      <c r="I18" s="34"/>
      <c r="J18" s="34"/>
      <c r="K18" s="34"/>
      <c r="L18" s="34"/>
      <c r="M18" s="34"/>
      <c r="N18" s="34"/>
      <c r="O18" s="34"/>
      <c r="P18" s="34"/>
      <c r="Q18" s="34"/>
      <c r="R18" s="34"/>
      <c r="S18" s="34"/>
      <c r="T18" s="34"/>
      <c r="U18" s="34"/>
      <c r="V18" s="34"/>
      <c r="W18" s="34"/>
      <c r="X18" s="34"/>
      <c r="Y18" s="34"/>
      <c r="Z18" s="34"/>
    </row>
    <row r="19" spans="1:26" s="55" customFormat="1" ht="14.25" customHeight="1" x14ac:dyDescent="0.35">
      <c r="A19" s="547"/>
      <c r="B19" s="483"/>
      <c r="C19" s="483"/>
      <c r="D19" s="550"/>
      <c r="E19" s="483"/>
      <c r="I19" s="34"/>
      <c r="J19" s="34"/>
      <c r="K19" s="34"/>
      <c r="L19" s="34"/>
      <c r="M19" s="34"/>
      <c r="N19" s="34"/>
      <c r="O19" s="34"/>
      <c r="P19" s="34"/>
      <c r="Q19" s="34"/>
      <c r="R19" s="34"/>
      <c r="S19" s="34"/>
      <c r="T19" s="34"/>
      <c r="U19" s="34"/>
      <c r="V19" s="34"/>
      <c r="W19" s="34"/>
      <c r="X19" s="34"/>
      <c r="Y19" s="34"/>
      <c r="Z19" s="34"/>
    </row>
    <row r="20" spans="1:26" s="55" customFormat="1" ht="14.25" customHeight="1" x14ac:dyDescent="0.35">
      <c r="A20" s="547"/>
      <c r="B20" s="483"/>
      <c r="C20" s="483"/>
      <c r="D20" s="550"/>
      <c r="E20" s="483"/>
      <c r="I20" s="34"/>
      <c r="J20" s="34"/>
      <c r="K20" s="34"/>
      <c r="L20" s="34"/>
      <c r="M20" s="34"/>
      <c r="N20" s="34"/>
      <c r="O20" s="34"/>
      <c r="P20" s="34"/>
      <c r="Q20" s="34"/>
      <c r="R20" s="34"/>
      <c r="S20" s="34"/>
      <c r="T20" s="34"/>
      <c r="U20" s="34"/>
      <c r="V20" s="34"/>
      <c r="W20" s="34"/>
      <c r="X20" s="34"/>
      <c r="Y20" s="34"/>
      <c r="Z20" s="34"/>
    </row>
    <row r="21" spans="1:26" s="55" customFormat="1" ht="14.25" customHeight="1" x14ac:dyDescent="0.35">
      <c r="A21" s="547"/>
      <c r="B21" s="483"/>
      <c r="C21" s="483"/>
      <c r="D21" s="550"/>
      <c r="E21" s="483"/>
      <c r="I21" s="34"/>
      <c r="J21" s="34"/>
      <c r="K21" s="34"/>
      <c r="L21" s="34"/>
      <c r="M21" s="34"/>
      <c r="N21" s="34"/>
      <c r="O21" s="34"/>
      <c r="P21" s="34"/>
      <c r="Q21" s="34"/>
      <c r="R21" s="34"/>
      <c r="S21" s="34"/>
      <c r="T21" s="34"/>
      <c r="U21" s="34"/>
      <c r="V21" s="34"/>
      <c r="W21" s="34"/>
      <c r="X21" s="34"/>
      <c r="Y21" s="34"/>
      <c r="Z21" s="34"/>
    </row>
    <row r="22" spans="1:26" s="55" customFormat="1" ht="14.25" customHeight="1" x14ac:dyDescent="0.25">
      <c r="A22" s="457"/>
      <c r="B22" s="483"/>
      <c r="C22" s="461"/>
      <c r="D22" s="551"/>
      <c r="E22" s="552"/>
      <c r="I22" s="34"/>
      <c r="J22" s="34"/>
      <c r="K22" s="34"/>
      <c r="L22" s="34"/>
      <c r="M22" s="34"/>
      <c r="N22" s="34"/>
      <c r="O22" s="34"/>
      <c r="P22" s="34"/>
      <c r="Q22" s="34"/>
      <c r="R22" s="34"/>
      <c r="S22" s="34"/>
      <c r="T22" s="34"/>
      <c r="U22" s="34"/>
      <c r="V22" s="34"/>
      <c r="W22" s="34"/>
      <c r="X22" s="34"/>
      <c r="Y22" s="34"/>
      <c r="Z22" s="34"/>
    </row>
    <row r="23" spans="1:26" s="55" customFormat="1" ht="14.25" customHeight="1" x14ac:dyDescent="0.25">
      <c r="A23" s="457"/>
      <c r="B23" s="483"/>
      <c r="C23" s="483"/>
      <c r="D23" s="553"/>
      <c r="E23" s="552"/>
      <c r="I23" s="34"/>
      <c r="J23" s="34"/>
      <c r="K23" s="34"/>
      <c r="L23" s="34"/>
      <c r="M23" s="34"/>
      <c r="N23" s="34"/>
      <c r="O23" s="34"/>
      <c r="P23" s="34"/>
      <c r="Q23" s="34"/>
      <c r="R23" s="34"/>
      <c r="S23" s="34"/>
      <c r="T23" s="34"/>
      <c r="U23" s="34"/>
      <c r="V23" s="34"/>
      <c r="W23" s="34"/>
      <c r="X23" s="34"/>
      <c r="Y23" s="34"/>
      <c r="Z23" s="34"/>
    </row>
    <row r="24" spans="1:26" s="55" customFormat="1" ht="14.25" customHeight="1" x14ac:dyDescent="0.35">
      <c r="A24" s="482"/>
      <c r="B24" s="483"/>
      <c r="C24" s="483"/>
      <c r="D24" s="553"/>
      <c r="E24" s="483"/>
      <c r="I24" s="34"/>
      <c r="J24" s="34"/>
      <c r="K24" s="34"/>
      <c r="L24" s="34"/>
      <c r="M24" s="34"/>
      <c r="N24" s="34"/>
      <c r="O24" s="34"/>
      <c r="P24" s="34"/>
      <c r="Q24" s="34"/>
      <c r="R24" s="34"/>
      <c r="S24" s="34"/>
      <c r="T24" s="34"/>
      <c r="U24" s="34"/>
      <c r="V24" s="34"/>
      <c r="W24" s="34"/>
      <c r="X24" s="34"/>
      <c r="Y24" s="34"/>
      <c r="Z24" s="34"/>
    </row>
    <row r="25" spans="1:26" s="55" customFormat="1" ht="14.25" customHeight="1" x14ac:dyDescent="0.35">
      <c r="A25" s="482"/>
      <c r="B25" s="483"/>
      <c r="C25" s="483"/>
      <c r="D25" s="554"/>
      <c r="E25" s="483"/>
      <c r="I25" s="34"/>
      <c r="J25" s="34"/>
      <c r="K25" s="34"/>
      <c r="L25" s="34"/>
      <c r="M25" s="34"/>
      <c r="N25" s="34"/>
      <c r="O25" s="34"/>
      <c r="P25" s="34"/>
      <c r="Q25" s="34"/>
      <c r="R25" s="34"/>
      <c r="S25" s="34"/>
      <c r="T25" s="34"/>
      <c r="U25" s="34"/>
      <c r="V25" s="34"/>
      <c r="W25" s="34"/>
      <c r="X25" s="34"/>
      <c r="Y25" s="34"/>
      <c r="Z25" s="34"/>
    </row>
    <row r="26" spans="1:26" s="55" customFormat="1" ht="14.25" customHeight="1" x14ac:dyDescent="0.35">
      <c r="A26" s="29"/>
      <c r="B26" s="29"/>
      <c r="C26" s="29"/>
      <c r="D26" s="83"/>
      <c r="I26" s="34"/>
      <c r="J26" s="34"/>
      <c r="K26" s="34"/>
      <c r="L26" s="34"/>
      <c r="M26" s="34"/>
      <c r="N26" s="34"/>
      <c r="O26" s="34"/>
      <c r="P26" s="34"/>
      <c r="Q26" s="34"/>
      <c r="R26" s="34"/>
      <c r="S26" s="34"/>
      <c r="T26" s="34"/>
      <c r="U26" s="34"/>
      <c r="V26" s="34"/>
      <c r="W26" s="34"/>
      <c r="X26" s="34"/>
      <c r="Y26" s="34"/>
      <c r="Z26" s="34"/>
    </row>
    <row r="27" spans="1:26" s="55" customFormat="1" ht="14.25" customHeight="1" x14ac:dyDescent="0.35">
      <c r="A27" s="82" t="s">
        <v>303</v>
      </c>
      <c r="B27" s="29"/>
      <c r="C27" s="29"/>
      <c r="D27" s="29"/>
      <c r="I27" s="34"/>
      <c r="J27" s="34"/>
      <c r="K27" s="34"/>
      <c r="L27" s="34"/>
      <c r="M27" s="34"/>
      <c r="N27" s="34"/>
      <c r="O27" s="34"/>
      <c r="P27" s="34"/>
      <c r="Q27" s="34"/>
      <c r="R27" s="34"/>
      <c r="S27" s="34"/>
      <c r="T27" s="34"/>
      <c r="U27" s="34"/>
      <c r="V27" s="34"/>
      <c r="W27" s="34"/>
      <c r="X27" s="34"/>
      <c r="Y27" s="34"/>
      <c r="Z27" s="34"/>
    </row>
    <row r="28" spans="1:26" s="55" customFormat="1" ht="14.25" customHeight="1" x14ac:dyDescent="0.35">
      <c r="A28" s="544" t="s">
        <v>1495</v>
      </c>
      <c r="B28" s="544" t="s">
        <v>1529</v>
      </c>
      <c r="C28" s="544" t="s">
        <v>2228</v>
      </c>
      <c r="D28" s="544" t="s">
        <v>1497</v>
      </c>
      <c r="E28" s="544" t="s">
        <v>216</v>
      </c>
      <c r="I28" s="34"/>
      <c r="J28" s="34"/>
      <c r="K28" s="34"/>
      <c r="L28" s="34"/>
      <c r="M28" s="34"/>
      <c r="N28" s="34"/>
      <c r="O28" s="34"/>
      <c r="P28" s="34"/>
      <c r="Q28" s="34"/>
      <c r="R28" s="34"/>
      <c r="S28" s="34"/>
      <c r="T28" s="34"/>
      <c r="U28" s="34"/>
      <c r="V28" s="34"/>
      <c r="W28" s="34"/>
      <c r="X28" s="34"/>
      <c r="Y28" s="34"/>
      <c r="Z28" s="34"/>
    </row>
    <row r="29" spans="1:26" s="55" customFormat="1" ht="14.25" customHeight="1" x14ac:dyDescent="0.35">
      <c r="A29" s="483" t="s">
        <v>2238</v>
      </c>
      <c r="B29" s="483"/>
      <c r="C29" s="483"/>
      <c r="D29" s="554"/>
      <c r="E29" s="555"/>
      <c r="I29" s="34"/>
      <c r="J29" s="34"/>
      <c r="K29" s="34"/>
      <c r="L29" s="34"/>
      <c r="M29" s="34"/>
      <c r="N29" s="34"/>
      <c r="O29" s="34"/>
      <c r="P29" s="34"/>
      <c r="Q29" s="34"/>
      <c r="R29" s="34"/>
      <c r="S29" s="34"/>
      <c r="T29" s="34"/>
      <c r="U29" s="34"/>
      <c r="V29" s="34"/>
      <c r="W29" s="34"/>
      <c r="X29" s="34"/>
      <c r="Y29" s="34"/>
      <c r="Z29" s="34"/>
    </row>
    <row r="30" spans="1:26" s="55" customFormat="1" ht="14.25" customHeight="1" x14ac:dyDescent="0.35">
      <c r="A30" s="483" t="s">
        <v>2239</v>
      </c>
      <c r="B30" s="483"/>
      <c r="C30" s="483"/>
      <c r="D30" s="554"/>
      <c r="E30" s="555"/>
      <c r="I30" s="34"/>
      <c r="J30" s="34"/>
      <c r="K30" s="34"/>
      <c r="L30" s="34"/>
      <c r="M30" s="34"/>
      <c r="N30" s="34"/>
      <c r="O30" s="34"/>
      <c r="P30" s="34"/>
      <c r="Q30" s="34"/>
      <c r="R30" s="34"/>
      <c r="S30" s="34"/>
      <c r="T30" s="34"/>
      <c r="U30" s="34"/>
      <c r="V30" s="34"/>
      <c r="W30" s="34"/>
      <c r="X30" s="34"/>
      <c r="Y30" s="34"/>
      <c r="Z30" s="34"/>
    </row>
    <row r="31" spans="1:26" s="55" customFormat="1" ht="14.25" customHeight="1" x14ac:dyDescent="0.35">
      <c r="A31" s="461" t="s">
        <v>2240</v>
      </c>
      <c r="B31" s="483"/>
      <c r="C31" s="483"/>
      <c r="D31" s="554"/>
      <c r="E31" s="555"/>
      <c r="I31" s="34"/>
      <c r="J31" s="34"/>
      <c r="K31" s="34"/>
      <c r="L31" s="34"/>
      <c r="M31" s="34"/>
      <c r="N31" s="34"/>
      <c r="O31" s="34"/>
      <c r="P31" s="34"/>
      <c r="Q31" s="34"/>
      <c r="R31" s="34"/>
      <c r="S31" s="34"/>
      <c r="T31" s="34"/>
      <c r="U31" s="34"/>
      <c r="V31" s="34"/>
      <c r="W31" s="34"/>
      <c r="X31" s="34"/>
      <c r="Y31" s="34"/>
      <c r="Z31" s="34"/>
    </row>
    <row r="32" spans="1:26" s="55" customFormat="1" ht="14.25" customHeight="1" x14ac:dyDescent="0.35">
      <c r="A32" s="461"/>
      <c r="B32" s="483"/>
      <c r="C32" s="483"/>
      <c r="D32" s="554"/>
      <c r="E32" s="555"/>
      <c r="I32" s="34"/>
      <c r="J32" s="34"/>
      <c r="K32" s="34"/>
      <c r="L32" s="34"/>
      <c r="M32" s="34"/>
      <c r="N32" s="34"/>
      <c r="O32" s="34"/>
      <c r="P32" s="34"/>
      <c r="Q32" s="34"/>
      <c r="R32" s="34"/>
      <c r="S32" s="34"/>
      <c r="T32" s="34"/>
      <c r="U32" s="34"/>
      <c r="V32" s="34"/>
      <c r="W32" s="34"/>
      <c r="X32" s="34"/>
      <c r="Y32" s="34"/>
      <c r="Z32" s="34"/>
    </row>
    <row r="33" spans="1:26" s="55" customFormat="1" ht="14.25" customHeight="1" x14ac:dyDescent="0.35">
      <c r="A33" s="461"/>
      <c r="B33" s="483"/>
      <c r="C33" s="483"/>
      <c r="D33" s="554"/>
      <c r="E33" s="555"/>
      <c r="I33" s="34"/>
      <c r="J33" s="34"/>
      <c r="K33" s="34"/>
      <c r="L33" s="34"/>
      <c r="M33" s="34"/>
      <c r="N33" s="34"/>
      <c r="O33" s="34"/>
      <c r="P33" s="34"/>
      <c r="Q33" s="34"/>
      <c r="R33" s="34"/>
      <c r="S33" s="34"/>
      <c r="T33" s="34"/>
      <c r="U33" s="34"/>
      <c r="V33" s="34"/>
      <c r="W33" s="34"/>
      <c r="X33" s="34"/>
      <c r="Y33" s="34"/>
      <c r="Z33" s="34"/>
    </row>
    <row r="34" spans="1:26" s="55" customFormat="1" ht="14.25" customHeight="1" x14ac:dyDescent="0.35">
      <c r="A34" s="461"/>
      <c r="B34" s="483"/>
      <c r="C34" s="483"/>
      <c r="D34" s="554"/>
      <c r="E34" s="555"/>
      <c r="I34" s="34"/>
      <c r="J34" s="34"/>
      <c r="K34" s="34"/>
      <c r="L34" s="34"/>
      <c r="M34" s="34"/>
      <c r="N34" s="34"/>
      <c r="O34" s="34"/>
      <c r="P34" s="34"/>
      <c r="Q34" s="34"/>
      <c r="R34" s="34"/>
      <c r="S34" s="34"/>
      <c r="T34" s="34"/>
      <c r="U34" s="34"/>
      <c r="V34" s="34"/>
      <c r="W34" s="34"/>
      <c r="X34" s="34"/>
      <c r="Y34" s="34"/>
      <c r="Z34" s="34"/>
    </row>
    <row r="35" spans="1:26" s="55" customFormat="1" ht="14.25" customHeight="1" x14ac:dyDescent="0.35">
      <c r="A35" s="461"/>
      <c r="B35" s="483"/>
      <c r="C35" s="483"/>
      <c r="D35" s="554"/>
      <c r="E35" s="555"/>
      <c r="I35" s="34"/>
      <c r="J35" s="34"/>
      <c r="K35" s="34"/>
      <c r="L35" s="34"/>
      <c r="M35" s="34"/>
      <c r="N35" s="34"/>
      <c r="O35" s="34"/>
      <c r="P35" s="34"/>
      <c r="Q35" s="34"/>
      <c r="R35" s="34"/>
      <c r="S35" s="34"/>
      <c r="T35" s="34"/>
      <c r="U35" s="34"/>
      <c r="V35" s="34"/>
      <c r="W35" s="34"/>
      <c r="X35" s="34"/>
      <c r="Y35" s="34"/>
      <c r="Z35" s="34"/>
    </row>
    <row r="36" spans="1:26" s="55" customFormat="1" ht="14.25" customHeight="1" x14ac:dyDescent="0.35">
      <c r="A36" s="461"/>
      <c r="B36" s="483"/>
      <c r="C36" s="483"/>
      <c r="D36" s="554"/>
      <c r="E36" s="555"/>
      <c r="I36" s="34"/>
      <c r="J36" s="34"/>
      <c r="K36" s="34"/>
      <c r="L36" s="34"/>
      <c r="M36" s="34"/>
      <c r="N36" s="34"/>
      <c r="O36" s="34"/>
      <c r="P36" s="34"/>
      <c r="Q36" s="34"/>
      <c r="R36" s="34"/>
      <c r="S36" s="34"/>
      <c r="T36" s="34"/>
      <c r="U36" s="34"/>
      <c r="V36" s="34"/>
      <c r="W36" s="34"/>
      <c r="X36" s="34"/>
      <c r="Y36" s="34"/>
      <c r="Z36" s="34"/>
    </row>
    <row r="37" spans="1:26" s="55" customFormat="1" ht="14.25" customHeight="1" x14ac:dyDescent="0.35">
      <c r="A37" s="461"/>
      <c r="B37" s="483"/>
      <c r="C37" s="483"/>
      <c r="D37" s="554"/>
      <c r="E37" s="555"/>
      <c r="I37" s="34"/>
      <c r="J37" s="34"/>
      <c r="K37" s="34"/>
      <c r="L37" s="34"/>
      <c r="M37" s="34"/>
      <c r="N37" s="34"/>
      <c r="O37" s="34"/>
      <c r="P37" s="34"/>
      <c r="Q37" s="34"/>
      <c r="R37" s="34"/>
      <c r="S37" s="34"/>
      <c r="T37" s="34"/>
      <c r="U37" s="34"/>
      <c r="V37" s="34"/>
      <c r="W37" s="34"/>
      <c r="X37" s="34"/>
      <c r="Y37" s="34"/>
      <c r="Z37" s="34"/>
    </row>
    <row r="38" spans="1:26" s="55" customFormat="1" ht="14.25" customHeight="1" x14ac:dyDescent="0.35">
      <c r="A38" s="461"/>
      <c r="B38" s="483"/>
      <c r="C38" s="483"/>
      <c r="D38" s="554"/>
      <c r="E38" s="555"/>
      <c r="I38" s="34"/>
      <c r="J38" s="34"/>
      <c r="K38" s="34"/>
      <c r="L38" s="34"/>
      <c r="M38" s="34"/>
      <c r="N38" s="34"/>
      <c r="O38" s="34"/>
      <c r="P38" s="34"/>
      <c r="Q38" s="34"/>
      <c r="R38" s="34"/>
      <c r="S38" s="34"/>
      <c r="T38" s="34"/>
      <c r="U38" s="34"/>
      <c r="V38" s="34"/>
      <c r="W38" s="34"/>
      <c r="X38" s="34"/>
      <c r="Y38" s="34"/>
      <c r="Z38" s="34"/>
    </row>
    <row r="39" spans="1:26" s="55" customFormat="1" ht="14.25" customHeight="1" x14ac:dyDescent="0.35">
      <c r="A39" s="461"/>
      <c r="B39" s="483"/>
      <c r="C39" s="483"/>
      <c r="D39" s="554"/>
      <c r="E39" s="555"/>
      <c r="I39" s="34"/>
      <c r="J39" s="34"/>
      <c r="K39" s="34"/>
      <c r="L39" s="34"/>
      <c r="M39" s="34"/>
      <c r="N39" s="34"/>
      <c r="O39" s="34"/>
      <c r="P39" s="34"/>
      <c r="Q39" s="34"/>
      <c r="R39" s="34"/>
      <c r="S39" s="34"/>
      <c r="T39" s="34"/>
      <c r="U39" s="34"/>
      <c r="V39" s="34"/>
      <c r="W39" s="34"/>
      <c r="X39" s="34"/>
      <c r="Y39" s="34"/>
      <c r="Z39" s="34"/>
    </row>
    <row r="40" spans="1:26" s="55" customFormat="1" ht="14.25" customHeight="1" x14ac:dyDescent="0.35">
      <c r="A40" s="461"/>
      <c r="B40" s="483"/>
      <c r="C40" s="483"/>
      <c r="D40" s="554"/>
      <c r="E40" s="555"/>
      <c r="I40" s="34"/>
      <c r="J40" s="34"/>
      <c r="K40" s="34"/>
      <c r="L40" s="34"/>
      <c r="M40" s="34"/>
      <c r="N40" s="34"/>
      <c r="O40" s="34"/>
      <c r="P40" s="34"/>
      <c r="Q40" s="34"/>
      <c r="R40" s="34"/>
      <c r="S40" s="34"/>
      <c r="T40" s="34"/>
      <c r="U40" s="34"/>
      <c r="V40" s="34"/>
      <c r="W40" s="34"/>
      <c r="X40" s="34"/>
      <c r="Y40" s="34"/>
      <c r="Z40" s="34"/>
    </row>
    <row r="41" spans="1:26" s="55" customFormat="1" ht="14.25" customHeight="1" x14ac:dyDescent="0.35">
      <c r="A41" s="461"/>
      <c r="B41" s="483"/>
      <c r="C41" s="483"/>
      <c r="D41" s="554"/>
      <c r="E41" s="555"/>
      <c r="I41" s="34"/>
      <c r="J41" s="34"/>
      <c r="K41" s="34"/>
      <c r="L41" s="34"/>
      <c r="M41" s="34"/>
      <c r="N41" s="34"/>
      <c r="O41" s="34"/>
      <c r="P41" s="34"/>
      <c r="Q41" s="34"/>
      <c r="R41" s="34"/>
      <c r="S41" s="34"/>
      <c r="T41" s="34"/>
      <c r="U41" s="34"/>
      <c r="V41" s="34"/>
      <c r="W41" s="34"/>
      <c r="X41" s="34"/>
      <c r="Y41" s="34"/>
      <c r="Z41" s="34"/>
    </row>
    <row r="42" spans="1:26" s="55" customFormat="1" ht="14.25" customHeight="1" x14ac:dyDescent="0.35">
      <c r="A42" s="483"/>
      <c r="B42" s="483"/>
      <c r="C42" s="556"/>
      <c r="D42" s="554"/>
      <c r="E42" s="555"/>
      <c r="I42" s="34"/>
      <c r="J42" s="34"/>
      <c r="K42" s="34"/>
      <c r="L42" s="34"/>
      <c r="M42" s="34"/>
      <c r="N42" s="34"/>
      <c r="O42" s="34"/>
      <c r="P42" s="34"/>
      <c r="Q42" s="34"/>
      <c r="R42" s="34"/>
      <c r="S42" s="34"/>
      <c r="T42" s="34"/>
      <c r="U42" s="34"/>
      <c r="V42" s="34"/>
      <c r="W42" s="34"/>
      <c r="X42" s="34"/>
      <c r="Y42" s="34"/>
      <c r="Z42" s="34"/>
    </row>
    <row r="43" spans="1:26" s="55" customFormat="1" ht="14.25" customHeight="1" x14ac:dyDescent="0.35">
      <c r="A43" s="483"/>
      <c r="B43" s="483"/>
      <c r="C43" s="483"/>
      <c r="D43" s="554"/>
      <c r="E43" s="555"/>
      <c r="I43" s="34"/>
      <c r="J43" s="34"/>
      <c r="K43" s="34"/>
      <c r="L43" s="34"/>
      <c r="M43" s="34"/>
      <c r="N43" s="34"/>
      <c r="O43" s="34"/>
      <c r="P43" s="34"/>
      <c r="Q43" s="34"/>
      <c r="R43" s="34"/>
      <c r="S43" s="34"/>
      <c r="T43" s="34"/>
      <c r="U43" s="34"/>
      <c r="V43" s="34"/>
      <c r="W43" s="34"/>
      <c r="X43" s="34"/>
      <c r="Y43" s="34"/>
      <c r="Z43" s="34"/>
    </row>
    <row r="44" spans="1:26" s="55" customFormat="1" ht="14.25" customHeight="1" x14ac:dyDescent="0.35">
      <c r="A44" s="557" t="s">
        <v>2241</v>
      </c>
      <c r="B44" s="482"/>
      <c r="C44" s="482"/>
      <c r="D44" s="482"/>
      <c r="E44" s="555"/>
      <c r="I44" s="34"/>
      <c r="J44" s="34"/>
      <c r="K44" s="34"/>
      <c r="L44" s="34"/>
      <c r="M44" s="34"/>
      <c r="N44" s="34"/>
      <c r="O44" s="34"/>
      <c r="P44" s="34"/>
      <c r="Q44" s="34"/>
      <c r="R44" s="34"/>
      <c r="S44" s="34"/>
      <c r="T44" s="34"/>
      <c r="U44" s="34"/>
      <c r="V44" s="34"/>
      <c r="W44" s="34"/>
      <c r="X44" s="34"/>
      <c r="Y44" s="34"/>
      <c r="Z44" s="34"/>
    </row>
    <row r="45" spans="1:26" s="55" customFormat="1" ht="14.25" customHeight="1" x14ac:dyDescent="0.35">
      <c r="A45" s="544" t="s">
        <v>2242</v>
      </c>
      <c r="B45" s="544" t="s">
        <v>2243</v>
      </c>
      <c r="C45" s="544" t="s">
        <v>2228</v>
      </c>
      <c r="D45" s="544" t="s">
        <v>1497</v>
      </c>
      <c r="E45" s="544" t="s">
        <v>216</v>
      </c>
      <c r="F45" s="84"/>
      <c r="G45" s="84"/>
      <c r="I45" s="34"/>
      <c r="J45" s="34"/>
      <c r="K45" s="34"/>
      <c r="L45" s="34"/>
      <c r="M45" s="34"/>
      <c r="N45" s="34"/>
      <c r="O45" s="34"/>
      <c r="P45" s="34"/>
      <c r="Q45" s="34"/>
      <c r="R45" s="34"/>
      <c r="S45" s="34"/>
      <c r="T45" s="34"/>
      <c r="U45" s="34"/>
      <c r="V45" s="34"/>
      <c r="W45" s="34"/>
      <c r="X45" s="34"/>
      <c r="Y45" s="34"/>
      <c r="Z45" s="34"/>
    </row>
    <row r="46" spans="1:26" s="55" customFormat="1" ht="14.25" customHeight="1" x14ac:dyDescent="0.35">
      <c r="A46" s="483"/>
      <c r="B46" s="483"/>
      <c r="C46" s="483"/>
      <c r="D46" s="483"/>
      <c r="E46" s="483"/>
      <c r="F46" s="29"/>
      <c r="G46" s="29"/>
      <c r="I46" s="34"/>
      <c r="J46" s="34"/>
      <c r="K46" s="34"/>
      <c r="L46" s="34"/>
      <c r="M46" s="34"/>
      <c r="N46" s="34"/>
      <c r="O46" s="34"/>
      <c r="P46" s="34"/>
      <c r="Q46" s="34"/>
      <c r="R46" s="34"/>
      <c r="S46" s="34"/>
      <c r="T46" s="34"/>
      <c r="U46" s="34"/>
      <c r="V46" s="34"/>
      <c r="W46" s="34"/>
      <c r="X46" s="34"/>
      <c r="Y46" s="34"/>
      <c r="Z46" s="34"/>
    </row>
    <row r="47" spans="1:26" s="55" customFormat="1" ht="14.25" customHeight="1" x14ac:dyDescent="0.35">
      <c r="A47" s="483"/>
      <c r="B47" s="483"/>
      <c r="C47" s="483"/>
      <c r="D47" s="483"/>
      <c r="E47" s="483"/>
      <c r="F47" s="29"/>
      <c r="G47" s="29"/>
      <c r="I47" s="34"/>
      <c r="J47" s="34"/>
      <c r="K47" s="34"/>
      <c r="L47" s="34"/>
      <c r="M47" s="34"/>
      <c r="N47" s="34"/>
      <c r="O47" s="34"/>
      <c r="P47" s="34"/>
      <c r="Q47" s="34"/>
      <c r="R47" s="34"/>
      <c r="S47" s="34"/>
      <c r="T47" s="34"/>
      <c r="U47" s="34"/>
      <c r="V47" s="34"/>
      <c r="W47" s="34"/>
      <c r="X47" s="34"/>
      <c r="Y47" s="34"/>
      <c r="Z47" s="34"/>
    </row>
    <row r="48" spans="1:26" s="55" customFormat="1" ht="14.25" customHeight="1" x14ac:dyDescent="0.35">
      <c r="A48" s="483"/>
      <c r="B48" s="483"/>
      <c r="C48" s="483"/>
      <c r="D48" s="483"/>
      <c r="E48" s="483"/>
      <c r="F48" s="29"/>
      <c r="G48" s="29"/>
      <c r="I48" s="34"/>
      <c r="J48" s="34"/>
      <c r="K48" s="34"/>
      <c r="L48" s="34"/>
      <c r="M48" s="34"/>
      <c r="N48" s="34"/>
      <c r="O48" s="34"/>
      <c r="P48" s="34"/>
      <c r="Q48" s="34"/>
      <c r="R48" s="34"/>
      <c r="S48" s="34"/>
      <c r="T48" s="34"/>
      <c r="U48" s="34"/>
      <c r="V48" s="34"/>
      <c r="W48" s="34"/>
      <c r="X48" s="34"/>
      <c r="Y48" s="34"/>
      <c r="Z48" s="34"/>
    </row>
    <row r="49" spans="1:26" s="55" customFormat="1" ht="14.25" customHeight="1" x14ac:dyDescent="0.35">
      <c r="A49" s="483"/>
      <c r="B49" s="483"/>
      <c r="C49" s="483"/>
      <c r="D49" s="483"/>
      <c r="E49" s="483"/>
      <c r="F49" s="29"/>
      <c r="G49" s="85"/>
      <c r="I49" s="34"/>
      <c r="J49" s="34"/>
      <c r="K49" s="34"/>
      <c r="L49" s="34"/>
      <c r="M49" s="34"/>
      <c r="N49" s="34"/>
      <c r="O49" s="34"/>
      <c r="P49" s="34"/>
      <c r="Q49" s="34"/>
      <c r="R49" s="34"/>
      <c r="S49" s="34"/>
      <c r="T49" s="34"/>
      <c r="U49" s="34"/>
      <c r="V49" s="34"/>
      <c r="W49" s="34"/>
      <c r="X49" s="34"/>
      <c r="Y49" s="34"/>
      <c r="Z49" s="34"/>
    </row>
    <row r="50" spans="1:26" s="55" customFormat="1" ht="14.25" customHeight="1" x14ac:dyDescent="0.35">
      <c r="A50" s="483"/>
      <c r="B50" s="483"/>
      <c r="C50" s="483"/>
      <c r="D50" s="483"/>
      <c r="E50" s="483"/>
      <c r="F50" s="29"/>
      <c r="G50" s="85"/>
      <c r="I50" s="34"/>
      <c r="J50" s="34"/>
      <c r="K50" s="34"/>
      <c r="L50" s="34"/>
      <c r="M50" s="34"/>
      <c r="N50" s="34"/>
      <c r="O50" s="34"/>
      <c r="P50" s="34"/>
      <c r="Q50" s="34"/>
      <c r="R50" s="34"/>
      <c r="S50" s="34"/>
      <c r="T50" s="34"/>
      <c r="U50" s="34"/>
      <c r="V50" s="34"/>
      <c r="W50" s="34"/>
      <c r="X50" s="34"/>
      <c r="Y50" s="34"/>
      <c r="Z50" s="34"/>
    </row>
    <row r="51" spans="1:26" s="55" customFormat="1" ht="14.25" customHeight="1" x14ac:dyDescent="0.35">
      <c r="A51" s="483"/>
      <c r="B51" s="483"/>
      <c r="C51" s="483"/>
      <c r="D51" s="483"/>
      <c r="E51" s="483"/>
      <c r="F51" s="29"/>
      <c r="G51" s="85"/>
      <c r="I51" s="34"/>
      <c r="J51" s="34"/>
      <c r="K51" s="34"/>
      <c r="L51" s="34"/>
      <c r="M51" s="34"/>
      <c r="N51" s="34"/>
      <c r="O51" s="34"/>
      <c r="P51" s="34"/>
      <c r="Q51" s="34"/>
      <c r="R51" s="34"/>
      <c r="S51" s="34"/>
      <c r="T51" s="34"/>
      <c r="U51" s="34"/>
      <c r="V51" s="34"/>
      <c r="W51" s="34"/>
      <c r="X51" s="34"/>
      <c r="Y51" s="34"/>
      <c r="Z51" s="34"/>
    </row>
    <row r="52" spans="1:26" s="55" customFormat="1" ht="14.25" customHeight="1" x14ac:dyDescent="0.35">
      <c r="A52" s="483"/>
      <c r="B52" s="483"/>
      <c r="C52" s="483"/>
      <c r="D52" s="483"/>
      <c r="E52" s="483"/>
      <c r="F52" s="29"/>
      <c r="G52" s="85"/>
      <c r="I52" s="34"/>
      <c r="J52" s="34"/>
      <c r="K52" s="34"/>
      <c r="L52" s="34"/>
      <c r="M52" s="34"/>
      <c r="N52" s="34"/>
      <c r="O52" s="34"/>
      <c r="P52" s="34"/>
      <c r="Q52" s="34"/>
      <c r="R52" s="34"/>
      <c r="S52" s="34"/>
      <c r="T52" s="34"/>
      <c r="U52" s="34"/>
      <c r="V52" s="34"/>
      <c r="W52" s="34"/>
      <c r="X52" s="34"/>
      <c r="Y52" s="34"/>
      <c r="Z52" s="34"/>
    </row>
    <row r="53" spans="1:26" s="55" customFormat="1" ht="14.25" customHeight="1" x14ac:dyDescent="0.3">
      <c r="A53" s="558"/>
      <c r="B53" s="559"/>
      <c r="C53" s="559"/>
      <c r="D53" s="559"/>
      <c r="E53" s="483"/>
      <c r="F53" s="29"/>
      <c r="G53" s="85"/>
      <c r="I53" s="34"/>
      <c r="J53" s="34"/>
      <c r="K53" s="34"/>
      <c r="L53" s="34"/>
      <c r="M53" s="34"/>
      <c r="N53" s="34"/>
      <c r="O53" s="34"/>
      <c r="P53" s="34"/>
      <c r="Q53" s="34"/>
      <c r="R53" s="34"/>
      <c r="S53" s="34"/>
      <c r="T53" s="34"/>
      <c r="U53" s="34"/>
      <c r="V53" s="34"/>
      <c r="W53" s="34"/>
      <c r="X53" s="34"/>
      <c r="Y53" s="34"/>
      <c r="Z53" s="34"/>
    </row>
    <row r="54" spans="1:26" s="55" customFormat="1" ht="14.25" customHeight="1" x14ac:dyDescent="0.35">
      <c r="A54" s="547"/>
      <c r="B54" s="483"/>
      <c r="C54" s="483"/>
      <c r="D54" s="483"/>
      <c r="E54" s="483"/>
      <c r="F54" s="29"/>
      <c r="G54" s="85"/>
      <c r="I54" s="34"/>
      <c r="J54" s="34"/>
      <c r="K54" s="34"/>
      <c r="L54" s="34"/>
      <c r="M54" s="34"/>
      <c r="N54" s="34"/>
      <c r="O54" s="34"/>
      <c r="P54" s="34"/>
      <c r="Q54" s="34"/>
      <c r="R54" s="34"/>
      <c r="S54" s="34"/>
      <c r="T54" s="34"/>
      <c r="U54" s="34"/>
      <c r="V54" s="34"/>
      <c r="W54" s="34"/>
      <c r="X54" s="34"/>
      <c r="Y54" s="34"/>
      <c r="Z54" s="34"/>
    </row>
    <row r="55" spans="1:26" s="55" customFormat="1" ht="14.25" customHeight="1" x14ac:dyDescent="0.35">
      <c r="A55" s="483"/>
      <c r="B55" s="483"/>
      <c r="C55" s="483"/>
      <c r="D55" s="483"/>
      <c r="E55" s="483"/>
      <c r="F55" s="29"/>
      <c r="G55" s="85"/>
      <c r="I55" s="34"/>
      <c r="J55" s="34"/>
      <c r="K55" s="34"/>
      <c r="L55" s="34"/>
      <c r="M55" s="34"/>
      <c r="N55" s="34"/>
      <c r="O55" s="34"/>
      <c r="P55" s="34"/>
      <c r="Q55" s="34"/>
      <c r="R55" s="34"/>
      <c r="S55" s="34"/>
      <c r="T55" s="34"/>
      <c r="U55" s="34"/>
      <c r="V55" s="34"/>
      <c r="W55" s="34"/>
      <c r="X55" s="34"/>
      <c r="Y55" s="34"/>
      <c r="Z55" s="34"/>
    </row>
    <row r="56" spans="1:26" s="55" customFormat="1" ht="14.25" customHeight="1" x14ac:dyDescent="0.35">
      <c r="A56" s="483"/>
      <c r="B56" s="483"/>
      <c r="C56" s="483"/>
      <c r="D56" s="483"/>
      <c r="E56" s="483"/>
      <c r="F56" s="29"/>
      <c r="G56" s="85"/>
      <c r="I56" s="34"/>
      <c r="J56" s="34"/>
      <c r="K56" s="34"/>
      <c r="L56" s="34"/>
      <c r="M56" s="34"/>
      <c r="N56" s="34"/>
      <c r="O56" s="34"/>
      <c r="P56" s="34"/>
      <c r="Q56" s="34"/>
      <c r="R56" s="34"/>
      <c r="S56" s="34"/>
      <c r="T56" s="34"/>
      <c r="U56" s="34"/>
      <c r="V56" s="34"/>
      <c r="W56" s="34"/>
      <c r="X56" s="34"/>
      <c r="Y56" s="34"/>
      <c r="Z56" s="34"/>
    </row>
    <row r="57" spans="1:26" s="55" customFormat="1" ht="14.25" customHeight="1" x14ac:dyDescent="0.35">
      <c r="A57" s="29"/>
      <c r="B57" s="29"/>
      <c r="C57" s="29"/>
      <c r="D57" s="29"/>
      <c r="E57" s="86"/>
      <c r="F57" s="29"/>
      <c r="G57" s="29"/>
      <c r="H57" s="29"/>
      <c r="I57" s="29"/>
      <c r="J57" s="29"/>
      <c r="K57" s="29"/>
      <c r="L57" s="29"/>
      <c r="M57" s="29"/>
      <c r="N57" s="29"/>
      <c r="O57" s="29"/>
      <c r="P57" s="29"/>
      <c r="Q57" s="29"/>
      <c r="R57" s="29"/>
      <c r="S57" s="29"/>
      <c r="T57" s="29"/>
      <c r="U57" s="29"/>
      <c r="V57" s="29"/>
      <c r="W57" s="29"/>
      <c r="X57" s="29"/>
      <c r="Y57" s="29"/>
      <c r="Z57" s="29"/>
    </row>
    <row r="58" spans="1:26" s="55" customFormat="1" ht="14.25" customHeight="1" x14ac:dyDescent="0.35">
      <c r="A58" s="84" t="s">
        <v>2244</v>
      </c>
      <c r="E58" s="87"/>
      <c r="F58" s="34"/>
      <c r="G58" s="34"/>
      <c r="H58" s="34"/>
      <c r="I58" s="34"/>
      <c r="J58" s="34"/>
      <c r="K58" s="34"/>
      <c r="L58" s="34"/>
      <c r="M58" s="34"/>
      <c r="N58" s="34"/>
      <c r="O58" s="34"/>
      <c r="P58" s="34"/>
      <c r="Q58" s="34"/>
      <c r="R58" s="34"/>
      <c r="S58" s="34"/>
      <c r="T58" s="34"/>
      <c r="U58" s="34"/>
      <c r="V58" s="34"/>
      <c r="W58" s="34"/>
      <c r="X58" s="34"/>
      <c r="Y58" s="34"/>
      <c r="Z58" s="34"/>
    </row>
    <row r="59" spans="1:26" s="55" customFormat="1" ht="14.25" customHeight="1" x14ac:dyDescent="0.35">
      <c r="A59" s="1030" t="s">
        <v>2245</v>
      </c>
      <c r="B59" s="1031"/>
      <c r="C59" s="1031"/>
      <c r="D59" s="1032"/>
      <c r="E59" s="87"/>
      <c r="F59" s="34"/>
      <c r="G59" s="34"/>
      <c r="H59" s="34"/>
      <c r="I59" s="34"/>
      <c r="J59" s="34"/>
      <c r="K59" s="34"/>
      <c r="L59" s="34"/>
      <c r="M59" s="34"/>
      <c r="N59" s="34"/>
      <c r="O59" s="34"/>
      <c r="P59" s="34"/>
      <c r="Q59" s="34"/>
      <c r="R59" s="34"/>
      <c r="S59" s="34"/>
      <c r="T59" s="34"/>
      <c r="U59" s="34"/>
      <c r="V59" s="34"/>
      <c r="W59" s="34"/>
      <c r="X59" s="34"/>
      <c r="Y59" s="34"/>
      <c r="Z59" s="34"/>
    </row>
    <row r="60" spans="1:26" s="55" customFormat="1" ht="14.25" customHeight="1" x14ac:dyDescent="0.35">
      <c r="A60" s="88" t="s">
        <v>2246</v>
      </c>
      <c r="B60" s="86"/>
      <c r="C60" s="86"/>
      <c r="D60" s="89"/>
      <c r="E60" s="87"/>
      <c r="F60" s="34"/>
      <c r="G60" s="34"/>
      <c r="H60" s="34"/>
      <c r="I60" s="34"/>
      <c r="J60" s="34"/>
      <c r="K60" s="34"/>
      <c r="L60" s="34"/>
      <c r="M60" s="34"/>
      <c r="N60" s="34"/>
      <c r="O60" s="34"/>
      <c r="P60" s="34"/>
      <c r="Q60" s="34"/>
      <c r="R60" s="34"/>
      <c r="S60" s="34"/>
      <c r="T60" s="34"/>
      <c r="U60" s="34"/>
      <c r="V60" s="34"/>
      <c r="W60" s="34"/>
      <c r="X60" s="34"/>
      <c r="Y60" s="34"/>
      <c r="Z60" s="34"/>
    </row>
    <row r="61" spans="1:26" s="55" customFormat="1" ht="14.25" customHeight="1" x14ac:dyDescent="0.35">
      <c r="A61" s="88" t="s">
        <v>2247</v>
      </c>
      <c r="B61" s="86"/>
      <c r="C61" s="86"/>
      <c r="D61" s="89"/>
      <c r="E61" s="87"/>
      <c r="F61" s="34"/>
      <c r="G61" s="34"/>
      <c r="H61" s="34"/>
      <c r="I61" s="34"/>
      <c r="J61" s="34"/>
      <c r="K61" s="34"/>
      <c r="L61" s="34"/>
      <c r="M61" s="34"/>
      <c r="N61" s="34"/>
      <c r="O61" s="34"/>
      <c r="P61" s="34"/>
      <c r="Q61" s="34"/>
      <c r="R61" s="34"/>
      <c r="S61" s="34"/>
      <c r="T61" s="34"/>
      <c r="U61" s="34"/>
      <c r="V61" s="34"/>
      <c r="W61" s="34"/>
      <c r="X61" s="34"/>
      <c r="Y61" s="34"/>
      <c r="Z61" s="34"/>
    </row>
    <row r="62" spans="1:26" s="55" customFormat="1" ht="14.25" customHeight="1" x14ac:dyDescent="0.35">
      <c r="A62" s="29" t="s">
        <v>2248</v>
      </c>
      <c r="B62" s="86"/>
      <c r="C62" s="86"/>
      <c r="D62" s="89"/>
      <c r="E62" s="87"/>
      <c r="F62" s="34"/>
      <c r="G62" s="34"/>
      <c r="H62" s="34"/>
      <c r="I62" s="34"/>
      <c r="J62" s="34"/>
      <c r="K62" s="34"/>
      <c r="L62" s="34"/>
      <c r="M62" s="34"/>
      <c r="N62" s="34"/>
      <c r="O62" s="34"/>
      <c r="P62" s="34"/>
      <c r="Q62" s="34"/>
      <c r="R62" s="34"/>
      <c r="S62" s="34"/>
      <c r="T62" s="34"/>
      <c r="U62" s="34"/>
      <c r="V62" s="34"/>
      <c r="W62" s="34"/>
      <c r="X62" s="34"/>
      <c r="Y62" s="34"/>
      <c r="Z62" s="34"/>
    </row>
    <row r="63" spans="1:26" s="55" customFormat="1" ht="14.25" customHeight="1" x14ac:dyDescent="0.35">
      <c r="A63" s="90"/>
      <c r="B63" s="86"/>
      <c r="C63" s="86"/>
      <c r="D63" s="89"/>
      <c r="E63" s="87"/>
      <c r="F63" s="34"/>
      <c r="G63" s="34"/>
      <c r="H63" s="34"/>
      <c r="I63" s="34"/>
      <c r="J63" s="34"/>
      <c r="K63" s="34"/>
      <c r="L63" s="34"/>
      <c r="M63" s="34"/>
      <c r="N63" s="34"/>
      <c r="O63" s="34"/>
      <c r="P63" s="34"/>
      <c r="Q63" s="34"/>
      <c r="R63" s="34"/>
      <c r="S63" s="34"/>
      <c r="T63" s="34"/>
      <c r="U63" s="34"/>
      <c r="V63" s="34"/>
      <c r="W63" s="34"/>
      <c r="X63" s="34"/>
      <c r="Y63" s="34"/>
      <c r="Z63" s="34"/>
    </row>
    <row r="64" spans="1:26" s="55" customFormat="1" ht="14.25" customHeight="1" x14ac:dyDescent="0.35">
      <c r="A64" s="88"/>
      <c r="B64" s="86"/>
      <c r="C64" s="86"/>
      <c r="D64" s="89"/>
      <c r="E64" s="87"/>
      <c r="F64" s="34"/>
      <c r="G64" s="34"/>
      <c r="H64" s="34"/>
      <c r="I64" s="34"/>
      <c r="J64" s="34"/>
      <c r="K64" s="34"/>
      <c r="L64" s="34"/>
      <c r="M64" s="34"/>
      <c r="N64" s="34"/>
      <c r="O64" s="34"/>
      <c r="P64" s="34"/>
      <c r="Q64" s="34"/>
      <c r="R64" s="34"/>
      <c r="S64" s="34"/>
      <c r="T64" s="34"/>
      <c r="U64" s="34"/>
      <c r="V64" s="34"/>
      <c r="W64" s="34"/>
      <c r="X64" s="34"/>
      <c r="Y64" s="34"/>
      <c r="Z64" s="34"/>
    </row>
    <row r="65" spans="1:26" s="55" customFormat="1" ht="14.25" customHeight="1" x14ac:dyDescent="0.35">
      <c r="A65" s="88"/>
      <c r="B65" s="86"/>
      <c r="C65" s="86"/>
      <c r="D65" s="89"/>
      <c r="E65" s="87"/>
      <c r="F65" s="34"/>
      <c r="G65" s="34"/>
      <c r="H65" s="34"/>
      <c r="I65" s="34"/>
      <c r="J65" s="34"/>
      <c r="K65" s="34"/>
      <c r="L65" s="34"/>
      <c r="M65" s="34"/>
      <c r="N65" s="34"/>
      <c r="O65" s="34"/>
      <c r="P65" s="34"/>
      <c r="Q65" s="34"/>
      <c r="R65" s="34"/>
      <c r="S65" s="34"/>
      <c r="T65" s="34"/>
      <c r="U65" s="34"/>
      <c r="V65" s="34"/>
      <c r="W65" s="34"/>
      <c r="X65" s="34"/>
      <c r="Y65" s="34"/>
      <c r="Z65" s="34"/>
    </row>
    <row r="66" spans="1:26" s="55" customFormat="1" ht="14.25" customHeight="1" x14ac:dyDescent="0.35">
      <c r="A66" s="91"/>
      <c r="B66" s="191"/>
      <c r="C66" s="191"/>
      <c r="D66" s="92"/>
      <c r="E66" s="87"/>
      <c r="F66" s="34"/>
      <c r="G66" s="34"/>
      <c r="H66" s="34"/>
      <c r="I66" s="34"/>
      <c r="J66" s="34"/>
      <c r="K66" s="34"/>
      <c r="L66" s="34"/>
      <c r="M66" s="34"/>
      <c r="N66" s="34"/>
      <c r="O66" s="34"/>
      <c r="P66" s="34"/>
      <c r="Q66" s="34"/>
      <c r="R66" s="34"/>
      <c r="S66" s="34"/>
      <c r="T66" s="34"/>
      <c r="U66" s="34"/>
      <c r="V66" s="34"/>
      <c r="W66" s="34"/>
      <c r="X66" s="34"/>
      <c r="Y66" s="34"/>
      <c r="Z66" s="34"/>
    </row>
    <row r="67" spans="1:26" ht="14.25" customHeight="1" x14ac:dyDescent="0.35"/>
    <row r="68" spans="1:26" ht="14.25" customHeight="1" x14ac:dyDescent="0.35"/>
    <row r="69" spans="1:26" ht="14.25" customHeight="1" x14ac:dyDescent="0.35"/>
    <row r="70" spans="1:26" ht="14.25" customHeight="1" x14ac:dyDescent="0.35"/>
    <row r="71" spans="1:26" ht="14.25" customHeight="1" x14ac:dyDescent="0.35"/>
    <row r="72" spans="1:26" ht="14.25" customHeight="1" x14ac:dyDescent="0.35"/>
    <row r="73" spans="1:26" ht="14.25" customHeight="1" x14ac:dyDescent="0.35"/>
    <row r="74" spans="1:26" ht="14.25" customHeight="1" x14ac:dyDescent="0.35"/>
    <row r="75" spans="1:26" ht="14.25" customHeight="1" x14ac:dyDescent="0.35"/>
    <row r="76" spans="1:26" ht="14.25" customHeight="1" x14ac:dyDescent="0.35"/>
    <row r="77" spans="1:26" ht="14.25" customHeight="1" x14ac:dyDescent="0.35"/>
    <row r="78" spans="1:26" ht="14.25" customHeight="1" x14ac:dyDescent="0.35"/>
    <row r="79" spans="1:26" ht="14.25" customHeight="1" x14ac:dyDescent="0.35"/>
    <row r="80" spans="1:26"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sheetData>
  <hyperlinks>
    <hyperlink ref="D6" r:id="rId1" xr:uid="{00000000-0004-0000-1100-000000000000}"/>
  </hyperlinks>
  <pageMargins left="0.75" right="0.75" top="1" bottom="1" header="0.51180555555555496" footer="0.51180555555555496"/>
  <pageSetup firstPageNumber="0" orientation="portrait" horizontalDpi="300" verticalDpi="30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dimension ref="A1:A10"/>
  <sheetViews>
    <sheetView zoomScale="74" zoomScaleNormal="74" workbookViewId="0">
      <selection activeCell="A10" sqref="A10"/>
    </sheetView>
  </sheetViews>
  <sheetFormatPr defaultColWidth="8.81640625" defaultRowHeight="14.5" x14ac:dyDescent="0.35"/>
  <cols>
    <col min="1" max="1025" width="8.453125" customWidth="1"/>
  </cols>
  <sheetData>
    <row r="1" spans="1:1" x14ac:dyDescent="0.35">
      <c r="A1" t="s">
        <v>2249</v>
      </c>
    </row>
    <row r="2" spans="1:1" x14ac:dyDescent="0.35">
      <c r="A2" t="s">
        <v>2250</v>
      </c>
    </row>
    <row r="3" spans="1:1" x14ac:dyDescent="0.35">
      <c r="A3" t="s">
        <v>2251</v>
      </c>
    </row>
    <row r="4" spans="1:1" x14ac:dyDescent="0.35">
      <c r="A4" t="s">
        <v>2252</v>
      </c>
    </row>
    <row r="5" spans="1:1" x14ac:dyDescent="0.35">
      <c r="A5" t="s">
        <v>2253</v>
      </c>
    </row>
    <row r="6" spans="1:1" x14ac:dyDescent="0.35">
      <c r="A6" t="s">
        <v>2254</v>
      </c>
    </row>
    <row r="7" spans="1:1" x14ac:dyDescent="0.35">
      <c r="A7" t="s">
        <v>2255</v>
      </c>
    </row>
    <row r="8" spans="1:1" x14ac:dyDescent="0.35">
      <c r="A8" t="s">
        <v>2256</v>
      </c>
    </row>
    <row r="9" spans="1:1" x14ac:dyDescent="0.35">
      <c r="A9" t="s">
        <v>2257</v>
      </c>
    </row>
    <row r="10" spans="1:1" x14ac:dyDescent="0.35">
      <c r="A10" t="s">
        <v>2258</v>
      </c>
    </row>
  </sheetData>
  <pageMargins left="0.7" right="0.7" top="0.75" bottom="0.75" header="0.51180555555555496" footer="0.51180555555555496"/>
  <pageSetup paperSize="9" firstPageNumber="0"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AC240FF90991443AA27694C7577E60F" ma:contentTypeVersion="23" ma:contentTypeDescription="Create a new document." ma:contentTypeScope="" ma:versionID="73f357ecdb448942c7b90d39c0b668f2">
  <xsd:schema xmlns:xsd="http://www.w3.org/2001/XMLSchema" xmlns:xs="http://www.w3.org/2001/XMLSchema" xmlns:p="http://schemas.microsoft.com/office/2006/metadata/properties" xmlns:ns1="http://schemas.microsoft.com/sharepoint/v3" xmlns:ns2="cb62bc94-3bd1-42f6-b2f1-0911ecd0f045" xmlns:ns3="fed42fab-2651-48fa-98cd-217af9ad7ad1" targetNamespace="http://schemas.microsoft.com/office/2006/metadata/properties" ma:root="true" ma:fieldsID="dba6e1368f348caea70fd372d5e9ae76" ns1:_="" ns2:_="" ns3:_="">
    <xsd:import namespace="http://schemas.microsoft.com/sharepoint/v3"/>
    <xsd:import namespace="cb62bc94-3bd1-42f6-b2f1-0911ecd0f045"/>
    <xsd:import namespace="fed42fab-2651-48fa-98cd-217af9ad7ad1"/>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1:_ip_UnifiedCompliancePolicyProperties" minOccurs="0"/>
                <xsd:element ref="ns1:_ip_UnifiedCompliancePolicyUIAction" minOccurs="0"/>
                <xsd:element ref="ns3:lcf76f155ced4ddcb4097134ff3c332f" minOccurs="0"/>
                <xsd:element ref="ns2:TaxCatchAll" minOccurs="0"/>
                <xsd:element ref="ns3:NumberTest" minOccurs="0"/>
                <xsd:element ref="ns3:Comment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b62bc94-3bd1-42f6-b2f1-0911ecd0f04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cbe32f9c-17f0-48a5-bab4-25cdea43a473}" ma:internalName="TaxCatchAll" ma:showField="CatchAllData" ma:web="cb62bc94-3bd1-42f6-b2f1-0911ecd0f04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ed42fab-2651-48fa-98cd-217af9ad7ad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54101172-0cdf-4a4d-852d-90099e45c587" ma:termSetId="09814cd3-568e-fe90-9814-8d621ff8fb84" ma:anchorId="fba54fb3-c3e1-fe81-a776-ca4b69148c4d" ma:open="true" ma:isKeyword="false">
      <xsd:complexType>
        <xsd:sequence>
          <xsd:element ref="pc:Terms" minOccurs="0" maxOccurs="1"/>
        </xsd:sequence>
      </xsd:complexType>
    </xsd:element>
    <xsd:element name="NumberTest" ma:index="25" nillable="true" ma:displayName="Number Test" ma:format="Dropdown" ma:internalName="NumberTest" ma:percentage="FALSE">
      <xsd:simpleType>
        <xsd:restriction base="dms:Number"/>
      </xsd:simpleType>
    </xsd:element>
    <xsd:element name="Comments" ma:index="26" nillable="true" ma:displayName="Comments" ma:format="Dropdown" ma:internalName="Comments">
      <xsd:simpleType>
        <xsd:restriction base="dms:Text">
          <xsd:maxLength value="255"/>
        </xsd:restriction>
      </xsd:simple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NumberTest xmlns="fed42fab-2651-48fa-98cd-217af9ad7ad1" xsi:nil="true"/>
    <_ip_UnifiedCompliancePolicyProperties xmlns="http://schemas.microsoft.com/sharepoint/v3" xsi:nil="true"/>
    <lcf76f155ced4ddcb4097134ff3c332f xmlns="fed42fab-2651-48fa-98cd-217af9ad7ad1">
      <Terms xmlns="http://schemas.microsoft.com/office/infopath/2007/PartnerControls"/>
    </lcf76f155ced4ddcb4097134ff3c332f>
    <TaxCatchAll xmlns="cb62bc94-3bd1-42f6-b2f1-0911ecd0f045" xsi:nil="true"/>
    <Comments xmlns="fed42fab-2651-48fa-98cd-217af9ad7ad1" xsi:nil="true"/>
  </documentManagement>
</p:properties>
</file>

<file path=customXml/itemProps1.xml><?xml version="1.0" encoding="utf-8"?>
<ds:datastoreItem xmlns:ds="http://schemas.openxmlformats.org/officeDocument/2006/customXml" ds:itemID="{FB76029C-AC0A-4B26-8A0F-9B4FA62EEECE}">
  <ds:schemaRefs>
    <ds:schemaRef ds:uri="http://schemas.microsoft.com/sharepoint/v3/contenttype/forms"/>
  </ds:schemaRefs>
</ds:datastoreItem>
</file>

<file path=customXml/itemProps2.xml><?xml version="1.0" encoding="utf-8"?>
<ds:datastoreItem xmlns:ds="http://schemas.openxmlformats.org/officeDocument/2006/customXml" ds:itemID="{1B643837-FAAA-4E2B-B819-3B9FEF432B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b62bc94-3bd1-42f6-b2f1-0911ecd0f045"/>
    <ds:schemaRef ds:uri="fed42fab-2651-48fa-98cd-217af9ad7ad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ACD3C35-DB90-4CD9-97D4-3C0D21A2C6DB}">
  <ds:schemaRefs>
    <ds:schemaRef ds:uri="http://schemas.microsoft.com/office/2006/metadata/properties"/>
    <ds:schemaRef ds:uri="http://schemas.microsoft.com/office/infopath/2007/PartnerControls"/>
    <ds:schemaRef ds:uri="http://schemas.microsoft.com/sharepoint/v3"/>
    <ds:schemaRef ds:uri="fed42fab-2651-48fa-98cd-217af9ad7ad1"/>
    <ds:schemaRef ds:uri="cb62bc94-3bd1-42f6-b2f1-0911ecd0f045"/>
  </ds:schemaRefs>
</ds:datastoreItem>
</file>

<file path=docMetadata/LabelInfo.xml><?xml version="1.0" encoding="utf-8"?>
<clbl:labelList xmlns:clbl="http://schemas.microsoft.com/office/2020/mipLabelMetadata">
  <clbl:label id="{f260df36-bc43-424c-8f44-c85226657b01}" enabled="0" method="" siteId="{f260df36-bc43-424c-8f44-c85226657b0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10</vt:i4>
      </vt:variant>
    </vt:vector>
  </HeadingPairs>
  <TitlesOfParts>
    <vt:vector size="37" baseType="lpstr">
      <vt:lpstr>Change Log</vt:lpstr>
      <vt:lpstr>Dashboard</vt:lpstr>
      <vt:lpstr>Summary</vt:lpstr>
      <vt:lpstr>Overview</vt:lpstr>
      <vt:lpstr>Wave 1 Rundown (2)</vt:lpstr>
      <vt:lpstr>Wave 1 Rundown</vt:lpstr>
      <vt:lpstr>Event Scope</vt:lpstr>
      <vt:lpstr>Pre &amp; Post Migration Tasks</vt:lpstr>
      <vt:lpstr>Migration-HxH Plan</vt:lpstr>
      <vt:lpstr>NAS RB</vt:lpstr>
      <vt:lpstr>Change records</vt:lpstr>
      <vt:lpstr>Roll Back Tasks</vt:lpstr>
      <vt:lpstr>Contact list</vt:lpstr>
      <vt:lpstr>Command Center</vt:lpstr>
      <vt:lpstr>Comm Plan</vt:lpstr>
      <vt:lpstr>Issues-Risks log</vt:lpstr>
      <vt:lpstr>Lessons Learned</vt:lpstr>
      <vt:lpstr>TM Flow</vt:lpstr>
      <vt:lpstr>Stakeholders</vt:lpstr>
      <vt:lpstr>Communication Plan</vt:lpstr>
      <vt:lpstr>Issues</vt:lpstr>
      <vt:lpstr>Risks</vt:lpstr>
      <vt:lpstr>Application Links</vt:lpstr>
      <vt:lpstr>Migration Coverage</vt:lpstr>
      <vt:lpstr>Backup_Contingency</vt:lpstr>
      <vt:lpstr>Contact</vt:lpstr>
      <vt:lpstr>Sheet1</vt:lpstr>
      <vt:lpstr>'Wave 1 Rundown'!_FilterDatabase</vt:lpstr>
      <vt:lpstr>'Wave 1 Rundown (2)'!_FilterDatabase</vt:lpstr>
      <vt:lpstr>'Wave 1 Rundown'!_FilterDatabase_0</vt:lpstr>
      <vt:lpstr>'Wave 1 Rundown (2)'!_FilterDatabase_0</vt:lpstr>
      <vt:lpstr>'Wave 1 Rundown'!_FilterDatabase_0_0</vt:lpstr>
      <vt:lpstr>'Wave 1 Rundown (2)'!_FilterDatabase_0_0</vt:lpstr>
      <vt:lpstr>'Wave 1 Rundown'!_FilterDatabase_0_0_0</vt:lpstr>
      <vt:lpstr>'Wave 1 Rundown (2)'!_FilterDatabase_0_0_0</vt:lpstr>
      <vt:lpstr>'Wave 1 Rundown'!_FilterDatabase_0_0_0_0</vt:lpstr>
      <vt:lpstr>'Wave 1 Rundown (2)'!_FilterDatabase_0_0_0_0</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SATHIS DURAISAMY</dc:creator>
  <cp:keywords/>
  <dc:description/>
  <cp:lastModifiedBy>Alonso Andres Villalobos Laurent</cp:lastModifiedBy>
  <cp:revision>162</cp:revision>
  <dcterms:created xsi:type="dcterms:W3CDTF">2018-06-13T09:58:40Z</dcterms:created>
  <dcterms:modified xsi:type="dcterms:W3CDTF">2023-08-30T02:47:45Z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0x010100DAC240FF90991443AA27694C7577E60F</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MediaServiceImageTags">
    <vt:lpwstr/>
  </property>
</Properties>
</file>