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tables/table8.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3.xml" ContentType="application/vnd.openxmlformats-officedocument.spreadsheetml.comments+xml"/>
  <Override PartName="/xl/tables/table24.xml" ContentType="application/vnd.openxmlformats-officedocument.spreadsheetml.table+xml"/>
  <Override PartName="/xl/comments4.xml" ContentType="application/vnd.openxmlformats-officedocument.spreadsheetml.comments+xml"/>
  <Override PartName="/xl/tables/table25.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drawings/drawing9.xml" ContentType="application/vnd.openxmlformats-officedocument.drawing+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defaultThemeVersion="166925"/>
  <mc:AlternateContent xmlns:mc="http://schemas.openxmlformats.org/markup-compatibility/2006">
    <mc:Choice Requires="x15">
      <x15ac:absPath xmlns:x15ac="http://schemas.microsoft.com/office/spreadsheetml/2010/11/ac" url="https://kyndryl.sharepoint.com/sites/AnthemMigrationTeam/Shared Documents/General/09. ADAI Go-Live Cutover Runbooks/MIGRATION EVENTS - HARRISONBURG &amp; RICHMOND/MEA000 Template 1/Scope/"/>
    </mc:Choice>
  </mc:AlternateContent>
  <xr:revisionPtr revIDLastSave="9192" documentId="8_{049009A0-7DD2-4A35-A92C-FB170F8F9894}" xr6:coauthVersionLast="47" xr6:coauthVersionMax="47" xr10:uidLastSave="{A198A51C-5AD5-4724-A5D4-99043D470222}"/>
  <bookViews>
    <workbookView xWindow="-110" yWindow="-110" windowWidth="19420" windowHeight="11500" tabRatio="815" firstSheet="1" activeTab="6" xr2:uid="{495B3BA7-DCC0-0D4E-AB29-7029D48A5DCD}"/>
  </bookViews>
  <sheets>
    <sheet name="TMWorkbook" sheetId="32" r:id="rId1"/>
    <sheet name="AppSum" sheetId="25" r:id="rId2"/>
    <sheet name="PMView" sheetId="40" r:id="rId3"/>
    <sheet name="Event Scope" sheetId="48" r:id="rId4"/>
    <sheet name="TM" sheetId="10" r:id="rId5"/>
    <sheet name="Applications" sheetId="26" r:id="rId6"/>
    <sheet name="Dependencies" sheetId="42" r:id="rId7"/>
    <sheet name="Affinities" sheetId="49" r:id="rId8"/>
    <sheet name="CS-Stacks" sheetId="39" r:id="rId9"/>
    <sheet name="AppSupStaff" sheetId="47" r:id="rId10"/>
    <sheet name="IntroMsg" sheetId="43" r:id="rId11"/>
    <sheet name="AAQMsg" sheetId="45" r:id="rId12"/>
    <sheet name="Info" sheetId="16" r:id="rId13"/>
    <sheet name="Summary Sheet-App Level" sheetId="51" r:id="rId14"/>
    <sheet name="App-Server Sign-off Details" sheetId="52" r:id="rId15"/>
    <sheet name="Unique Server List" sheetId="53" r:id="rId16"/>
    <sheet name="Physical Servers" sheetId="54" r:id="rId17"/>
    <sheet name="config" sheetId="13" r:id="rId18"/>
    <sheet name="TransitionManager" sheetId="31" state="hidden" r:id="rId19"/>
    <sheet name="WorkbookLists" sheetId="33" r:id="rId20"/>
    <sheet name="ChangeLog" sheetId="50" r:id="rId21"/>
  </sheets>
  <functionGroups builtInGroupCount="19"/>
  <externalReferences>
    <externalReference r:id="rId22"/>
  </externalReferences>
  <definedNames>
    <definedName name="___xlfn_COUNTIFS">#N/A</definedName>
    <definedName name="__Tab5">#REF!</definedName>
    <definedName name="__xlfn_COUNTIFS">#N/A</definedName>
    <definedName name="_Communication_Plan">#REF!</definedName>
    <definedName name="_xlnm._FilterDatabase" localSheetId="5" hidden="1">Applications!#REF!</definedName>
    <definedName name="_xlnm._FilterDatabase" localSheetId="14" hidden="1">'App-Server Sign-off Details'!$A$1:$V$1</definedName>
    <definedName name="_xlnm._FilterDatabase" localSheetId="3" hidden="1">'Event Scope'!$A$1:$AC$47</definedName>
    <definedName name="_xlnm._FilterDatabase" localSheetId="16" hidden="1">'Physical Servers'!$A$1:$T$1</definedName>
    <definedName name="_xlnm._FilterDatabase" localSheetId="2" hidden="1">PMView!$A$1:$AA$47</definedName>
    <definedName name="_xlnm._FilterDatabase" localSheetId="13" hidden="1">'Summary Sheet-App Level'!$A$1:$J$1</definedName>
    <definedName name="_xlnm._FilterDatabase" localSheetId="15" hidden="1">'Unique Server List'!$A$1:$X$1</definedName>
    <definedName name="_OS2">#REF!</definedName>
    <definedName name="_s3">#REF!</definedName>
    <definedName name="_SA1">#REF!</definedName>
    <definedName name="_SA2">#REF!</definedName>
    <definedName name="_SA3">#REF!</definedName>
    <definedName name="_SA4">#REF!</definedName>
    <definedName name="_Tab5">#REF!</definedName>
    <definedName name="_Toc207178484">#REF!</definedName>
    <definedName name="_Toc207178485">#REF!</definedName>
    <definedName name="_Toc207178486">#REF!</definedName>
    <definedName name="_Toc211248854">#REF!</definedName>
    <definedName name="_Toc211248855">#REF!</definedName>
    <definedName name="_Toc211248856">#REF!</definedName>
    <definedName name="_Toc213741895">#REF!</definedName>
    <definedName name="_Toc213741896">#REF!</definedName>
    <definedName name="_Toc213741902">#REF!</definedName>
    <definedName name="_Toc213741905">#REF!</definedName>
    <definedName name="_Toc233769434">#REF!</definedName>
    <definedName name="_Toc233769435">#REF!</definedName>
    <definedName name="_Toc233769436">#REF!</definedName>
    <definedName name="_Toc233769438">#REF!</definedName>
    <definedName name="_Toc233769439">#REF!</definedName>
    <definedName name="_xlpm.ACount" hidden="1" xlm="1">#NAME?</definedName>
    <definedName name="_xlpm.ApCount" hidden="1" xlm="1">#NAME?</definedName>
    <definedName name="_xlpm.AppCount" hidden="1" xlm="1">#NAME?</definedName>
    <definedName name="_xlpm.AppSvrs" hidden="1" xlm="1">#NAME?</definedName>
    <definedName name="_xlpm.byte" hidden="1" xlm="1">#NAME?</definedName>
    <definedName name="_xlpm.CCount" hidden="1" xlm="1">#NAME?</definedName>
    <definedName name="_xlpm.Count" hidden="1" xlm="1">#NAME?</definedName>
    <definedName name="_xlpm.CSCount" hidden="1" xlm="1">#NAME?</definedName>
    <definedName name="_xlpm.CSInfo" hidden="1" xlm="1">#NAME?</definedName>
    <definedName name="_xlpm.DBCount" hidden="1" xlm="1">#NAME?</definedName>
    <definedName name="_xlpm.DCLoc" hidden="1" xlm="1">#NAME?</definedName>
    <definedName name="_xlpm.DCount" hidden="1" xlm="1">#NAME?</definedName>
    <definedName name="_xlpm.DMCount" hidden="1" xlm="1">#NAME?</definedName>
    <definedName name="_xlpm.DMZCount" hidden="1" xlm="1">#NAME?</definedName>
    <definedName name="_xlpm.F5Count" hidden="1" xlm="1">#NAME?</definedName>
    <definedName name="_xlpm.FCount" hidden="1" xlm="1">#NAME?</definedName>
    <definedName name="_xlpm.Host" hidden="1" xlm="1">#NAME?</definedName>
    <definedName name="_xlpm.ItCount" hidden="1" xlm="1">#NAME?</definedName>
    <definedName name="_xlpm.loc" hidden="1" xlm="1">#NAME?</definedName>
    <definedName name="_xlpm.mea" hidden="1" xlm="1">#NAME?</definedName>
    <definedName name="_xlpm.MENum" hidden="1" xlm="1">#NAME?</definedName>
    <definedName name="_xlpm.MigSt" hidden="1" xlm="1">#NAME?</definedName>
    <definedName name="_xlpm.NACount" hidden="1" xlm="1">#NAME?</definedName>
    <definedName name="_xlpm.NATCount" hidden="1" xlm="1">#NAME?</definedName>
    <definedName name="_xlpm.NCount" hidden="1" xlm="1">#NAME?</definedName>
    <definedName name="_xlpm.OS" hidden="1" xlm="1">#NAME?</definedName>
    <definedName name="_xlpm.PhySN" hidden="1" xlm="1">#NAME?</definedName>
    <definedName name="_xlpm.Plat" hidden="1" xlm="1">#NAME?</definedName>
    <definedName name="_xlpm.SN" hidden="1" xlm="1">#NAME?</definedName>
    <definedName name="_xlpm.Svrs" hidden="1" xlm="1">#NAME?</definedName>
    <definedName name="_xlpm.tier" hidden="1" xlm="1">#NAME?</definedName>
    <definedName name="_xlpm.Ver" hidden="1" xlm="1">#NAME?</definedName>
    <definedName name="_xlpm.VIP" hidden="1" xlm="1">#NAME?</definedName>
    <definedName name="AddressType">#REF!</definedName>
    <definedName name="adsa">OFFSET(#REF!,0,0,COUNTA(#REF!),1)</definedName>
    <definedName name="aethrysrjst">#REF!</definedName>
    <definedName name="AfterGoNoGoDecision">#REF!</definedName>
    <definedName name="ALLIPs">#REF!</definedName>
    <definedName name="app">#REF!</definedName>
    <definedName name="app_view_id">TMWorkbook!$B$6</definedName>
    <definedName name="Application_Mnemonics">#REF!</definedName>
    <definedName name="AS">#REF!</definedName>
    <definedName name="asd">#REF!</definedName>
    <definedName name="AST">#REF!</definedName>
    <definedName name="awsedtfcghvjhj">#REF!</definedName>
    <definedName name="base">#REF!</definedName>
    <definedName name="base7">#REF!</definedName>
    <definedName name="base8">#REF!</definedName>
    <definedName name="Baxter_Application_Owners">#REF!</definedName>
    <definedName name="Baxter_Global_Leadership_Team__GLT">#REF!</definedName>
    <definedName name="Baxter_Transition_Team">#REF!</definedName>
    <definedName name="BC">#REF!</definedName>
    <definedName name="Boulder_SAN_Upgrade_Personnel">#REF!</definedName>
    <definedName name="BTECCRules">#REF!</definedName>
    <definedName name="BU">#REF!</definedName>
    <definedName name="BuiltIn_Print_Area___0">#REF!</definedName>
    <definedName name="BuiltIn_Print_Titles___0">#REF!</definedName>
    <definedName name="BundleCode">TMWorkbook!$B$3</definedName>
    <definedName name="BusinessRisks">#REF!</definedName>
    <definedName name="CAPS">#REF!</definedName>
    <definedName name="cfgBaseTMURL">TransitionManager!$B$2</definedName>
    <definedName name="cfgDBFileName" localSheetId="7">#REF!</definedName>
    <definedName name="cfgDBFileName" localSheetId="20">[1]config!$B$2</definedName>
    <definedName name="cfgDBFileName" localSheetId="2">#REF!</definedName>
    <definedName name="cfgDBFileName">config!$B$2</definedName>
    <definedName name="cfgDefaultUsername">TransitionManager!$B$3</definedName>
    <definedName name="ClientIPPassThroughRequired">#REF!</definedName>
    <definedName name="ClusterBU">#REF!</definedName>
    <definedName name="ClusterDomain">#REF!</definedName>
    <definedName name="Con">#REF!</definedName>
    <definedName name="Contacts">#REF!</definedName>
    <definedName name="CountryVLANFunction">#REF!</definedName>
    <definedName name="CPOS">#REF!</definedName>
    <definedName name="current_migration">#REF!</definedName>
    <definedName name="Datastore">#REF!</definedName>
    <definedName name="DC">#REF!</definedName>
    <definedName name="DCClusterName">#REF!</definedName>
    <definedName name="dec_data">#REF!</definedName>
    <definedName name="DefaultNetMask">#REF!</definedName>
    <definedName name="Denovo">#REF!</definedName>
    <definedName name="dev_view_id">TMWorkbook!$B$7</definedName>
    <definedName name="DNSDomain">#REF!</definedName>
    <definedName name="Domain">#REF!</definedName>
    <definedName name="dr_bkp_svm_cluster">#REF!</definedName>
    <definedName name="dr_bkp_svm_name">#REF!</definedName>
    <definedName name="dr_bkp_svm_policy">#REF!</definedName>
    <definedName name="dr_bkp_svm_sched1">#REF!</definedName>
    <definedName name="dr_svm_cluster">#REF!</definedName>
    <definedName name="dr_svm_name">#REF!</definedName>
    <definedName name="dr_vfiler_ip">#REF!</definedName>
    <definedName name="dr_vfiler_name">#REF!</definedName>
    <definedName name="dr_vfiler_port">#REF!</definedName>
    <definedName name="dr_vfiler_temp_cifs_server">#REF!</definedName>
    <definedName name="DRMethod">#REF!</definedName>
    <definedName name="DRRequired">#REF!</definedName>
    <definedName name="DRScope">#REF!</definedName>
    <definedName name="DSCluster">#REF!</definedName>
    <definedName name="DueDate">#REF!</definedName>
    <definedName name="DUR">#REF!</definedName>
    <definedName name="DUT">#REF!</definedName>
    <definedName name="EndFloatforAmercias">#REF!</definedName>
    <definedName name="EndFloatforEurope">#REF!</definedName>
    <definedName name="EndFloatforSingapore">#REF!</definedName>
    <definedName name="Environment">#REF!</definedName>
    <definedName name="Existing_DC">#REF!</definedName>
    <definedName name="fiske_data">#REF!</definedName>
    <definedName name="FS">#REF!</definedName>
    <definedName name="FWrule1">#REF!</definedName>
    <definedName name="FWRules">#REF!</definedName>
    <definedName name="HAHeartBeat">#REF!</definedName>
    <definedName name="HostRTIP">#REF!</definedName>
    <definedName name="HW">#REF!</definedName>
    <definedName name="i">OFFSET(#REF!,0,0,COUNTA(#REF!),1)</definedName>
    <definedName name="IBM">#REF!</definedName>
    <definedName name="IBMECCRules">#REF!</definedName>
    <definedName name="IBMMgt">#REF!</definedName>
    <definedName name="IBMToolCategory">#REF!</definedName>
    <definedName name="IC">#REF!</definedName>
    <definedName name="iCheck_in">#REF!</definedName>
    <definedName name="id_data">#REF!</definedName>
    <definedName name="ID_dates">#REF!</definedName>
    <definedName name="info">#REF!</definedName>
    <definedName name="info1">#REF!</definedName>
    <definedName name="jan_data">#REF!</definedName>
    <definedName name="jhgj">OFFSET(#REF!,0,0,COUNTA(#REF!),1)</definedName>
    <definedName name="L_Applications">OFFSET(#REF!,0,0,COUNTA(#REF!),1)</definedName>
    <definedName name="Likelihood">#REF!</definedName>
    <definedName name="list_Applications_0" localSheetId="7">#REF!</definedName>
    <definedName name="list_Applications_0" localSheetId="20">#REF!</definedName>
    <definedName name="list_Applications_0">#REF!</definedName>
    <definedName name="list_Applications_2" localSheetId="7">#REF!</definedName>
    <definedName name="list_Applications_2" localSheetId="20">#REF!</definedName>
    <definedName name="list_Applications_2">#REF!</definedName>
    <definedName name="list_Databases_0" localSheetId="7">#REF!</definedName>
    <definedName name="list_Databases_0" localSheetId="20">#REF!</definedName>
    <definedName name="list_Databases_0">#REF!</definedName>
    <definedName name="list_Databases_2" localSheetId="7">#REF!</definedName>
    <definedName name="list_Databases_2" localSheetId="20">#REF!</definedName>
    <definedName name="list_Databases_2">#REF!</definedName>
    <definedName name="list_Dependencies_3" localSheetId="7">#REF!</definedName>
    <definedName name="list_Dependencies_3" localSheetId="20">#REF!</definedName>
    <definedName name="list_Dependencies_3">#REF!</definedName>
    <definedName name="list_Dependencies_4" localSheetId="7">#REF!</definedName>
    <definedName name="list_Dependencies_4" localSheetId="20">#REF!</definedName>
    <definedName name="list_Dependencies_4">#REF!</definedName>
    <definedName name="list_Devices_0" localSheetId="7">#REF!</definedName>
    <definedName name="list_Devices_0" localSheetId="20">#REF!</definedName>
    <definedName name="list_Devices_0" localSheetId="3">#REF!</definedName>
    <definedName name="list_Devices_0">#REF!</definedName>
    <definedName name="list_Devices_1" localSheetId="7">#REF!</definedName>
    <definedName name="list_Devices_1" localSheetId="20">#REF!</definedName>
    <definedName name="list_Devices_1">#REF!</definedName>
    <definedName name="list_Devices_2" localSheetId="7">#REF!</definedName>
    <definedName name="list_Devices_2" localSheetId="20">#REF!</definedName>
    <definedName name="list_Devices_2">#REF!</definedName>
    <definedName name="list_Storage_0" localSheetId="7">#REF!</definedName>
    <definedName name="list_Storage_0" localSheetId="20">#REF!</definedName>
    <definedName name="list_Storage_0">#REF!</definedName>
    <definedName name="list_Storage_2" localSheetId="7">#REF!</definedName>
    <definedName name="list_Storage_2" localSheetId="20">#REF!</definedName>
    <definedName name="list_Storage_2">#REF!</definedName>
    <definedName name="LoadBalancingRequired">#REF!</definedName>
    <definedName name="mgmt_conf_call_number">#REF!</definedName>
    <definedName name="mgmt_conf_call_participant_code">#REF!</definedName>
    <definedName name="MICR">#REF!</definedName>
    <definedName name="Migration">#REF!</definedName>
    <definedName name="MigrationEventCode" localSheetId="7">#REF!</definedName>
    <definedName name="MigrationEventCode" localSheetId="20">[1]TMWorkbook!$B$2</definedName>
    <definedName name="MigrationEventCode" localSheetId="2">#REF!</definedName>
    <definedName name="MigrationEventCode">TMWorkbook!$B$2</definedName>
    <definedName name="mike_data">#REF!</definedName>
    <definedName name="MockEnd">#REF!</definedName>
    <definedName name="models">#REF!</definedName>
    <definedName name="New_DC">#REF!</definedName>
    <definedName name="NI">#REF!</definedName>
    <definedName name="OLE_LINK3">#REF!</definedName>
    <definedName name="options">#REF!</definedName>
    <definedName name="OS">#REF!</definedName>
    <definedName name="OSIType">#REF!</definedName>
    <definedName name="PADSMRTNumber">#REF!</definedName>
    <definedName name="PAlarm">#REF!</definedName>
    <definedName name="PATM">#REF!</definedName>
    <definedName name="Personnel">#REF!</definedName>
    <definedName name="PhysicalDC">#REF!</definedName>
    <definedName name="PickList">#REF!</definedName>
    <definedName name="Platform">#REF!</definedName>
    <definedName name="prd_bkp_svm_cluster">#REF!</definedName>
    <definedName name="prd_bkp_svm_name">#REF!</definedName>
    <definedName name="prd_bkp_svm_policy">#REF!</definedName>
    <definedName name="prd_bkp_svm_sched1">#REF!</definedName>
    <definedName name="prd_svm_cluster">#REF!</definedName>
    <definedName name="prd_svm_name">#REF!</definedName>
    <definedName name="prd_vfiler_ip">#REF!</definedName>
    <definedName name="prd_vfiler_name">#REF!</definedName>
    <definedName name="prd_vfiler_port">#REF!</definedName>
    <definedName name="prd_vfiler_temp_cifs_server">#REF!</definedName>
    <definedName name="PRDDRGroup">#REF!</definedName>
    <definedName name="project_id">TMWorkbook!$B$5</definedName>
    <definedName name="Project_name">#REF!</definedName>
    <definedName name="Project_type">#REF!</definedName>
    <definedName name="QA_conf_call_number">#REF!</definedName>
    <definedName name="QA_conf_call_participant_code">#REF!</definedName>
    <definedName name="recorded_status_conf_call_number">#REF!</definedName>
    <definedName name="recorded_status_conf_call_participant_code">#REF!</definedName>
    <definedName name="Relo">#REF!</definedName>
    <definedName name="Remodel">#REF!</definedName>
    <definedName name="ReqCustomer">#REF!</definedName>
    <definedName name="ReqName">#REF!</definedName>
    <definedName name="RequestType">#REF!</definedName>
    <definedName name="ResourceName">#REF!</definedName>
    <definedName name="Risk_Approaches">#REF!</definedName>
    <definedName name="rng_Expenses20">#REF!</definedName>
    <definedName name="RPParentName">#REF!</definedName>
    <definedName name="SecurityZone">#REF!</definedName>
    <definedName name="ServiceTier">#REF!</definedName>
    <definedName name="ServiceTierGMCVFrequency">#REF!</definedName>
    <definedName name="Severity">#REF!</definedName>
    <definedName name="SLA">#REF!</definedName>
    <definedName name="SMT">#REF!</definedName>
    <definedName name="SSDCVLANFunction">#REF!</definedName>
    <definedName name="StartClientTestAmericas">#REF!</definedName>
    <definedName name="Status">#REF!</definedName>
    <definedName name="StatusList">#REF!</definedName>
    <definedName name="stt">#REF!</definedName>
    <definedName name="svc">#REF!</definedName>
    <definedName name="SVCClusterkey">#REF!</definedName>
    <definedName name="t">#REF!</definedName>
    <definedName name="Target__PIFormat">#REF!</definedName>
    <definedName name="tblZoneIPLookup">#REF!</definedName>
    <definedName name="TCD">#REF!</definedName>
    <definedName name="tech_conf_call_number">#REF!</definedName>
    <definedName name="tech_conf_call_participant_code">#REF!</definedName>
    <definedName name="TechnologyRisks">#REF!</definedName>
    <definedName name="The_following_is_the_recommended_audience_for_the_Migration_Run_Book">#REF!</definedName>
    <definedName name="tito">#REF!</definedName>
    <definedName name="TMoct22">#REF!</definedName>
    <definedName name="tmpPassword">TransitionManager!$B$4</definedName>
    <definedName name="tmpToken">TransitionManager!$B$5</definedName>
    <definedName name="Transitioned">#REF!</definedName>
    <definedName name="TTN">#REF!</definedName>
    <definedName name="TTW">#REF!</definedName>
    <definedName name="TypeList">#REF!</definedName>
    <definedName name="U75R">#REF!</definedName>
    <definedName name="U75T">#REF!</definedName>
    <definedName name="UAT_conf_call_number">#REF!</definedName>
    <definedName name="UAT_conf_call_participant_code">#REF!</definedName>
    <definedName name="unm_cc">#REF!</definedName>
    <definedName name="unnamed1">#REF!</definedName>
    <definedName name="unnamed1_1">#REF!</definedName>
    <definedName name="unnamed1_2">#REF!</definedName>
    <definedName name="unnamed1_3">#REF!</definedName>
    <definedName name="UPS">#REF!</definedName>
    <definedName name="V2V_S6">#REF!</definedName>
    <definedName name="Veri">#REF!</definedName>
    <definedName name="ViewList">#REF!</definedName>
    <definedName name="VM_Clusters">#REF!</definedName>
    <definedName name="VMLicencePool">#REF!</definedName>
    <definedName name="WCOM">#REF!</definedName>
    <definedName name="weeks">#REF!</definedName>
    <definedName name="WMFS">#REF!</definedName>
    <definedName name="WRP">#REF!</definedName>
    <definedName name="wrzsdtgxfhc">#REF!</definedName>
    <definedName name="WTF">#REF!</definedName>
    <definedName name="xref_data">#REF!</definedName>
    <definedName name="XReferences">#REF!</definedName>
  </definedNames>
  <calcPr calcId="191028"/>
  <pivotCaches>
    <pivotCache cacheId="18" r:id="rId23"/>
    <pivotCache cacheId="25"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8" l="1"/>
  <c r="D34" i="48"/>
  <c r="E34" i="48" s="1"/>
  <c r="I34" i="48"/>
  <c r="Q34" i="48" s="1"/>
  <c r="K47" i="52" s="1"/>
  <c r="B33" i="48"/>
  <c r="D33" i="48"/>
  <c r="E33" i="48" s="1"/>
  <c r="F46" i="52" s="1"/>
  <c r="I33" i="48"/>
  <c r="Q33" i="48" s="1"/>
  <c r="K46" i="52" s="1"/>
  <c r="B3" i="48"/>
  <c r="D3" i="48"/>
  <c r="E3" i="48" s="1"/>
  <c r="F45" i="52" s="1"/>
  <c r="I3" i="48"/>
  <c r="Q3" i="48" s="1"/>
  <c r="K45" i="52" s="1"/>
  <c r="B2" i="48"/>
  <c r="D2" i="48"/>
  <c r="E2" i="48" s="1"/>
  <c r="F44" i="52" s="1"/>
  <c r="I2" i="48"/>
  <c r="Q2" i="48" s="1"/>
  <c r="K44" i="52" s="1"/>
  <c r="B4" i="48"/>
  <c r="D4" i="48"/>
  <c r="E4" i="48" s="1"/>
  <c r="F43" i="52" s="1"/>
  <c r="I4" i="48"/>
  <c r="Q4" i="48" s="1"/>
  <c r="K43" i="52" s="1"/>
  <c r="B41" i="48"/>
  <c r="D41" i="48"/>
  <c r="E41" i="48" s="1"/>
  <c r="F42" i="52" s="1"/>
  <c r="I41" i="48"/>
  <c r="Q41" i="48" s="1"/>
  <c r="K42" i="52" s="1"/>
  <c r="B40" i="48"/>
  <c r="D40" i="48"/>
  <c r="E40" i="48" s="1"/>
  <c r="F41" i="52" s="1"/>
  <c r="I40" i="48"/>
  <c r="Q40" i="48" s="1"/>
  <c r="K41" i="52" s="1"/>
  <c r="B39" i="48"/>
  <c r="D39" i="48"/>
  <c r="E39" i="48" s="1"/>
  <c r="F40" i="52" s="1"/>
  <c r="I39" i="48"/>
  <c r="Q39" i="48" s="1"/>
  <c r="K40" i="52" s="1"/>
  <c r="B38" i="48"/>
  <c r="D38" i="48"/>
  <c r="E38" i="48" s="1"/>
  <c r="F39" i="52" s="1"/>
  <c r="I38" i="48"/>
  <c r="B37" i="48"/>
  <c r="D37" i="48"/>
  <c r="E37" i="48" s="1"/>
  <c r="F38" i="52" s="1"/>
  <c r="I37" i="48"/>
  <c r="Q37" i="48" s="1"/>
  <c r="K38" i="52" s="1"/>
  <c r="B36" i="48"/>
  <c r="D36" i="48"/>
  <c r="E36" i="48" s="1"/>
  <c r="F37" i="52" s="1"/>
  <c r="I36" i="48"/>
  <c r="Q36" i="48" s="1"/>
  <c r="K37" i="52" s="1"/>
  <c r="B35" i="48"/>
  <c r="D35" i="48"/>
  <c r="F35" i="48" s="1"/>
  <c r="I35" i="48"/>
  <c r="B42" i="48"/>
  <c r="D42" i="48"/>
  <c r="F42" i="48" s="1"/>
  <c r="I42" i="48"/>
  <c r="Q42" i="48" s="1"/>
  <c r="K35" i="52" s="1"/>
  <c r="B43" i="48"/>
  <c r="D43" i="48"/>
  <c r="E43" i="48" s="1"/>
  <c r="F34" i="52" s="1"/>
  <c r="I43" i="48"/>
  <c r="Q43" i="48" s="1"/>
  <c r="K34" i="52" s="1"/>
  <c r="B5" i="48"/>
  <c r="D5" i="48"/>
  <c r="E5" i="48" s="1"/>
  <c r="F33" i="52" s="1"/>
  <c r="I5" i="48"/>
  <c r="U5" i="48" s="1"/>
  <c r="B6" i="48"/>
  <c r="D6" i="48"/>
  <c r="E6" i="48" s="1"/>
  <c r="F32" i="52" s="1"/>
  <c r="I6" i="48"/>
  <c r="Q6" i="48" s="1"/>
  <c r="K32" i="52" s="1"/>
  <c r="B7" i="48"/>
  <c r="D7" i="48"/>
  <c r="E7" i="48" s="1"/>
  <c r="F31" i="52" s="1"/>
  <c r="I7" i="48"/>
  <c r="B8" i="48"/>
  <c r="D8" i="48"/>
  <c r="E8" i="48" s="1"/>
  <c r="F30" i="52" s="1"/>
  <c r="I8" i="48"/>
  <c r="Q8" i="48" s="1"/>
  <c r="K30" i="52" s="1"/>
  <c r="B9" i="48"/>
  <c r="D9" i="48"/>
  <c r="E9" i="48" s="1"/>
  <c r="F29" i="52" s="1"/>
  <c r="I9" i="48"/>
  <c r="K9" i="48" s="1"/>
  <c r="H29" i="52" s="1"/>
  <c r="B10" i="48"/>
  <c r="D10" i="48"/>
  <c r="E10" i="48" s="1"/>
  <c r="F28" i="52" s="1"/>
  <c r="I10" i="48"/>
  <c r="Q10" i="48" s="1"/>
  <c r="K28" i="52" s="1"/>
  <c r="B11" i="48"/>
  <c r="D11" i="48"/>
  <c r="G11" i="48" s="1"/>
  <c r="I11" i="48"/>
  <c r="K11" i="48" s="1"/>
  <c r="H27" i="52" s="1"/>
  <c r="B12" i="48"/>
  <c r="D12" i="48"/>
  <c r="E12" i="48" s="1"/>
  <c r="F26" i="52" s="1"/>
  <c r="I12" i="48"/>
  <c r="Q12" i="48" s="1"/>
  <c r="K26" i="52" s="1"/>
  <c r="B13" i="48"/>
  <c r="D13" i="48"/>
  <c r="F13" i="48" s="1"/>
  <c r="I13" i="48"/>
  <c r="Q13" i="48" s="1"/>
  <c r="K25" i="52" s="1"/>
  <c r="B14" i="48"/>
  <c r="D14" i="48"/>
  <c r="E14" i="48" s="1"/>
  <c r="F24" i="52" s="1"/>
  <c r="I14" i="48"/>
  <c r="B15" i="48"/>
  <c r="D15" i="48"/>
  <c r="E23" i="52" s="1"/>
  <c r="I15" i="48"/>
  <c r="R15" i="48" s="1"/>
  <c r="B16" i="48"/>
  <c r="D16" i="48"/>
  <c r="E16" i="48" s="1"/>
  <c r="F22" i="52" s="1"/>
  <c r="I16" i="48"/>
  <c r="S16" i="48" s="1"/>
  <c r="B17" i="48"/>
  <c r="D17" i="48"/>
  <c r="E17" i="48" s="1"/>
  <c r="F21" i="52" s="1"/>
  <c r="I17" i="48"/>
  <c r="Q17" i="48" s="1"/>
  <c r="K21" i="52" s="1"/>
  <c r="B18" i="48"/>
  <c r="D18" i="48"/>
  <c r="E18" i="48" s="1"/>
  <c r="F20" i="52" s="1"/>
  <c r="I18" i="48"/>
  <c r="Q18" i="48" s="1"/>
  <c r="K20" i="52" s="1"/>
  <c r="B19" i="48"/>
  <c r="D19" i="48"/>
  <c r="E19" i="48" s="1"/>
  <c r="F19" i="52" s="1"/>
  <c r="I19" i="48"/>
  <c r="Q19" i="48" s="1"/>
  <c r="K19" i="52" s="1"/>
  <c r="B20" i="48"/>
  <c r="D20" i="48"/>
  <c r="E20" i="48" s="1"/>
  <c r="F18" i="52" s="1"/>
  <c r="I20" i="48"/>
  <c r="K20" i="48" s="1"/>
  <c r="H18" i="52" s="1"/>
  <c r="B21" i="48"/>
  <c r="D21" i="48"/>
  <c r="E21" i="48" s="1"/>
  <c r="F17" i="52" s="1"/>
  <c r="I21" i="48"/>
  <c r="Q21" i="48" s="1"/>
  <c r="K17" i="52" s="1"/>
  <c r="B22" i="48"/>
  <c r="D22" i="48"/>
  <c r="E22" i="48" s="1"/>
  <c r="F16" i="52" s="1"/>
  <c r="I22" i="48"/>
  <c r="Q22" i="48" s="1"/>
  <c r="K16" i="52" s="1"/>
  <c r="B23" i="48"/>
  <c r="D23" i="48"/>
  <c r="E23" i="48" s="1"/>
  <c r="F15" i="52" s="1"/>
  <c r="I23" i="48"/>
  <c r="K23" i="48" s="1"/>
  <c r="H15" i="52" s="1"/>
  <c r="B24" i="48"/>
  <c r="D24" i="48"/>
  <c r="E24" i="48" s="1"/>
  <c r="F14" i="52" s="1"/>
  <c r="I24" i="48"/>
  <c r="B25" i="48"/>
  <c r="D25" i="48"/>
  <c r="E25" i="48" s="1"/>
  <c r="F13" i="52" s="1"/>
  <c r="I25" i="48"/>
  <c r="R25" i="48" s="1"/>
  <c r="B26" i="48"/>
  <c r="D26" i="48"/>
  <c r="E26" i="48" s="1"/>
  <c r="F12" i="52" s="1"/>
  <c r="I26" i="48"/>
  <c r="R26" i="48" s="1"/>
  <c r="B27" i="48"/>
  <c r="D27" i="48"/>
  <c r="E27" i="48" s="1"/>
  <c r="F11" i="52" s="1"/>
  <c r="I27" i="48"/>
  <c r="K27" i="48" s="1"/>
  <c r="H11" i="52" s="1"/>
  <c r="B28" i="48"/>
  <c r="D28" i="48"/>
  <c r="F28" i="48" s="1"/>
  <c r="I28" i="48"/>
  <c r="K28" i="48" s="1"/>
  <c r="H10" i="52" s="1"/>
  <c r="B29" i="48"/>
  <c r="D29" i="48"/>
  <c r="E29" i="48" s="1"/>
  <c r="F9" i="52" s="1"/>
  <c r="I29" i="48"/>
  <c r="B30" i="48"/>
  <c r="D30" i="48"/>
  <c r="E30" i="48" s="1"/>
  <c r="F8" i="52" s="1"/>
  <c r="I30" i="48"/>
  <c r="U30" i="48" s="1"/>
  <c r="B31" i="48"/>
  <c r="D31" i="48"/>
  <c r="F31" i="48" s="1"/>
  <c r="I31" i="48"/>
  <c r="L31" i="48" s="1"/>
  <c r="B32" i="48"/>
  <c r="D32" i="48"/>
  <c r="G32" i="48" s="1"/>
  <c r="I32" i="48"/>
  <c r="Q32" i="48" s="1"/>
  <c r="K6" i="52" s="1"/>
  <c r="B47" i="48"/>
  <c r="D47" i="48"/>
  <c r="E47" i="48" s="1"/>
  <c r="F5" i="52" s="1"/>
  <c r="I47" i="48"/>
  <c r="Q47" i="48" s="1"/>
  <c r="K5" i="52" s="1"/>
  <c r="B46" i="48"/>
  <c r="D46" i="48"/>
  <c r="E46" i="48" s="1"/>
  <c r="F4" i="52" s="1"/>
  <c r="I46" i="48"/>
  <c r="S46" i="48" s="1"/>
  <c r="B45" i="48"/>
  <c r="D45" i="48"/>
  <c r="E45" i="48" s="1"/>
  <c r="F3" i="52" s="1"/>
  <c r="I45" i="48"/>
  <c r="Q45" i="48" s="1"/>
  <c r="K3" i="52" s="1"/>
  <c r="B44" i="48"/>
  <c r="D44" i="48"/>
  <c r="E44" i="48" s="1"/>
  <c r="F2" i="52" s="1"/>
  <c r="I44" i="48"/>
  <c r="Q44" i="48" s="1"/>
  <c r="K2" i="52" s="1"/>
  <c r="B3" i="51"/>
  <c r="B4" i="51"/>
  <c r="B5" i="51"/>
  <c r="B6" i="51"/>
  <c r="B7" i="51"/>
  <c r="B8" i="51"/>
  <c r="B9" i="51"/>
  <c r="B10" i="51"/>
  <c r="B11" i="51"/>
  <c r="B12" i="51"/>
  <c r="C3" i="51"/>
  <c r="C4" i="51"/>
  <c r="C5" i="51"/>
  <c r="C6" i="51"/>
  <c r="C7" i="51"/>
  <c r="C8" i="51"/>
  <c r="C9" i="51"/>
  <c r="C10" i="51"/>
  <c r="C11" i="51"/>
  <c r="C12" i="51"/>
  <c r="F3" i="51"/>
  <c r="F4" i="51"/>
  <c r="F5" i="51"/>
  <c r="F6" i="51"/>
  <c r="F7" i="51"/>
  <c r="F8" i="51"/>
  <c r="F9" i="51"/>
  <c r="F10" i="51"/>
  <c r="F11" i="51"/>
  <c r="F12" i="51"/>
  <c r="I3" i="51"/>
  <c r="I4" i="51"/>
  <c r="I5" i="51"/>
  <c r="I6" i="51"/>
  <c r="I7" i="51"/>
  <c r="I8" i="51"/>
  <c r="I9" i="51"/>
  <c r="I10" i="51"/>
  <c r="I11" i="51"/>
  <c r="I12" i="51"/>
  <c r="D61" i="42"/>
  <c r="E8" i="51" s="1"/>
  <c r="D53" i="42"/>
  <c r="D59" i="42"/>
  <c r="E6" i="51" s="1"/>
  <c r="D56" i="42"/>
  <c r="E12" i="51" s="1"/>
  <c r="D57" i="42"/>
  <c r="E5" i="51" s="1"/>
  <c r="D58" i="42"/>
  <c r="E3" i="51" s="1"/>
  <c r="D52" i="42"/>
  <c r="E9" i="51" s="1"/>
  <c r="D51" i="42"/>
  <c r="E4" i="51" s="1"/>
  <c r="D54" i="42"/>
  <c r="E10" i="51" s="1"/>
  <c r="D55" i="42"/>
  <c r="E11" i="51" s="1"/>
  <c r="C47" i="52"/>
  <c r="D47" i="52"/>
  <c r="F47" i="52"/>
  <c r="P47" i="52"/>
  <c r="B47" i="52" s="1"/>
  <c r="C46" i="52"/>
  <c r="D46" i="52"/>
  <c r="E46" i="52"/>
  <c r="P46" i="52"/>
  <c r="B46" i="52" s="1"/>
  <c r="C45" i="52"/>
  <c r="D45" i="52"/>
  <c r="P45" i="52"/>
  <c r="B45" i="52" s="1"/>
  <c r="C44" i="52"/>
  <c r="D44" i="52"/>
  <c r="P44" i="52"/>
  <c r="B44" i="52" s="1"/>
  <c r="C43" i="52"/>
  <c r="D43" i="52"/>
  <c r="P43" i="52"/>
  <c r="B43" i="52" s="1"/>
  <c r="C42" i="52"/>
  <c r="D42" i="52"/>
  <c r="P42" i="52"/>
  <c r="B42" i="52" s="1"/>
  <c r="C41" i="52"/>
  <c r="D41" i="52"/>
  <c r="P41" i="52"/>
  <c r="B41" i="52" s="1"/>
  <c r="C40" i="52"/>
  <c r="D40" i="52"/>
  <c r="P40" i="52"/>
  <c r="I40" i="52" s="1"/>
  <c r="C39" i="52"/>
  <c r="D39" i="52"/>
  <c r="P39" i="52"/>
  <c r="B39" i="52" s="1"/>
  <c r="C38" i="52"/>
  <c r="D38" i="52"/>
  <c r="P38" i="52"/>
  <c r="B38" i="52" s="1"/>
  <c r="C37" i="52"/>
  <c r="D37" i="52"/>
  <c r="P37" i="52"/>
  <c r="L37" i="52" s="1"/>
  <c r="C36" i="52"/>
  <c r="D36" i="52"/>
  <c r="P36" i="52"/>
  <c r="B36" i="52" s="1"/>
  <c r="C35" i="52"/>
  <c r="D35" i="52"/>
  <c r="P35" i="52"/>
  <c r="L35" i="52" s="1"/>
  <c r="C34" i="52"/>
  <c r="D34" i="52"/>
  <c r="P34" i="52"/>
  <c r="B34" i="52" s="1"/>
  <c r="C33" i="52"/>
  <c r="D33" i="52"/>
  <c r="P33" i="52"/>
  <c r="B33" i="52" s="1"/>
  <c r="C32" i="52"/>
  <c r="D32" i="52"/>
  <c r="P32" i="52"/>
  <c r="B32" i="52" s="1"/>
  <c r="C31" i="52"/>
  <c r="D31" i="52"/>
  <c r="P31" i="52"/>
  <c r="B31" i="52" s="1"/>
  <c r="C30" i="52"/>
  <c r="D30" i="52"/>
  <c r="P30" i="52"/>
  <c r="B30" i="52" s="1"/>
  <c r="C29" i="52"/>
  <c r="D29" i="52"/>
  <c r="P29" i="52"/>
  <c r="B29" i="52" s="1"/>
  <c r="C28" i="52"/>
  <c r="D28" i="52"/>
  <c r="P28" i="52"/>
  <c r="G28" i="52" s="1"/>
  <c r="C27" i="52"/>
  <c r="D27" i="52"/>
  <c r="P27" i="52"/>
  <c r="B27" i="52" s="1"/>
  <c r="C26" i="52"/>
  <c r="D26" i="52"/>
  <c r="P26" i="52"/>
  <c r="G26" i="52" s="1"/>
  <c r="C25" i="52"/>
  <c r="D25" i="52"/>
  <c r="P25" i="52"/>
  <c r="B25" i="52" s="1"/>
  <c r="C24" i="52"/>
  <c r="D24" i="52"/>
  <c r="P24" i="52"/>
  <c r="B24" i="52" s="1"/>
  <c r="C23" i="52"/>
  <c r="D23" i="52"/>
  <c r="P23" i="52"/>
  <c r="Q23" i="52" s="1"/>
  <c r="C22" i="52"/>
  <c r="D22" i="52"/>
  <c r="P22" i="52"/>
  <c r="R22" i="52" s="1"/>
  <c r="C21" i="52"/>
  <c r="D21" i="52"/>
  <c r="P21" i="52"/>
  <c r="B21" i="52" s="1"/>
  <c r="C20" i="52"/>
  <c r="D20" i="52"/>
  <c r="P20" i="52"/>
  <c r="G20" i="52" s="1"/>
  <c r="C19" i="52"/>
  <c r="D19" i="52"/>
  <c r="P19" i="52"/>
  <c r="B19" i="52" s="1"/>
  <c r="C18" i="52"/>
  <c r="D18" i="52"/>
  <c r="P18" i="52"/>
  <c r="B18" i="52" s="1"/>
  <c r="C17" i="52"/>
  <c r="D17" i="52"/>
  <c r="P17" i="52"/>
  <c r="B17" i="52" s="1"/>
  <c r="C16" i="52"/>
  <c r="D16" i="52"/>
  <c r="P16" i="52"/>
  <c r="G16" i="52" s="1"/>
  <c r="C15" i="52"/>
  <c r="D15" i="52"/>
  <c r="P15" i="52"/>
  <c r="B15" i="52" s="1"/>
  <c r="C14" i="52"/>
  <c r="D14" i="52"/>
  <c r="P14" i="52"/>
  <c r="B14" i="52" s="1"/>
  <c r="C13" i="52"/>
  <c r="D13" i="52"/>
  <c r="P13" i="52"/>
  <c r="B13" i="52" s="1"/>
  <c r="C12" i="52"/>
  <c r="D12" i="52"/>
  <c r="P12" i="52"/>
  <c r="C11" i="52"/>
  <c r="D11" i="52"/>
  <c r="P11" i="52"/>
  <c r="B11" i="52" s="1"/>
  <c r="C10" i="52"/>
  <c r="D10" i="52"/>
  <c r="P10" i="52"/>
  <c r="B10" i="52" s="1"/>
  <c r="C9" i="52"/>
  <c r="D9" i="52"/>
  <c r="P9" i="52"/>
  <c r="B9" i="52" s="1"/>
  <c r="C8" i="52"/>
  <c r="D8" i="52"/>
  <c r="P8" i="52"/>
  <c r="B8" i="52" s="1"/>
  <c r="C7" i="52"/>
  <c r="D7" i="52"/>
  <c r="P7" i="52"/>
  <c r="B7" i="52" s="1"/>
  <c r="C6" i="52"/>
  <c r="D6" i="52"/>
  <c r="P6" i="52"/>
  <c r="B6" i="52" s="1"/>
  <c r="C5" i="52"/>
  <c r="D5" i="52"/>
  <c r="P5" i="52"/>
  <c r="B5" i="52" s="1"/>
  <c r="C4" i="52"/>
  <c r="D4" i="52"/>
  <c r="P4" i="52"/>
  <c r="B4" i="52" s="1"/>
  <c r="C3" i="52"/>
  <c r="D3" i="52"/>
  <c r="P3" i="52"/>
  <c r="B3" i="52" s="1"/>
  <c r="C2" i="52"/>
  <c r="D2" i="52"/>
  <c r="P2" i="52"/>
  <c r="I2" i="52" s="1"/>
  <c r="C47" i="40"/>
  <c r="D47" i="40"/>
  <c r="F47" i="40"/>
  <c r="H47" i="40" s="1"/>
  <c r="C46" i="40"/>
  <c r="D46" i="40"/>
  <c r="F46" i="40"/>
  <c r="Q46" i="40" s="1"/>
  <c r="C45" i="40"/>
  <c r="D45" i="40"/>
  <c r="F45" i="40"/>
  <c r="K45" i="40" s="1"/>
  <c r="C44" i="40"/>
  <c r="D44" i="40"/>
  <c r="F44" i="40"/>
  <c r="Q44" i="40" s="1"/>
  <c r="C43" i="40"/>
  <c r="D43" i="40"/>
  <c r="F43" i="40"/>
  <c r="Q43" i="40" s="1"/>
  <c r="C42" i="40"/>
  <c r="D42" i="40"/>
  <c r="F42" i="40"/>
  <c r="Q42" i="40" s="1"/>
  <c r="C41" i="40"/>
  <c r="D41" i="40"/>
  <c r="F41" i="40"/>
  <c r="H41" i="40" s="1"/>
  <c r="C40" i="40"/>
  <c r="D40" i="40"/>
  <c r="F40" i="40"/>
  <c r="Q40" i="40" s="1"/>
  <c r="C39" i="40"/>
  <c r="D39" i="40"/>
  <c r="F39" i="40"/>
  <c r="J39" i="40" s="1"/>
  <c r="C38" i="40"/>
  <c r="D38" i="40"/>
  <c r="F38" i="40"/>
  <c r="Q38" i="40" s="1"/>
  <c r="C37" i="40"/>
  <c r="D37" i="40"/>
  <c r="F37" i="40"/>
  <c r="Q37" i="40" s="1"/>
  <c r="C36" i="40"/>
  <c r="D36" i="40"/>
  <c r="F36" i="40"/>
  <c r="H36" i="40" s="1"/>
  <c r="C35" i="40"/>
  <c r="F35" i="40"/>
  <c r="R35" i="40" s="1"/>
  <c r="C34" i="40"/>
  <c r="F34" i="40"/>
  <c r="Q34" i="40" s="1"/>
  <c r="C33" i="40"/>
  <c r="F33" i="40"/>
  <c r="H33" i="40" s="1"/>
  <c r="C32" i="40"/>
  <c r="F32" i="40"/>
  <c r="Q32" i="40" s="1"/>
  <c r="C31" i="40"/>
  <c r="F31" i="40"/>
  <c r="R31" i="40" s="1"/>
  <c r="C30" i="40"/>
  <c r="F30" i="40"/>
  <c r="Q30" i="40" s="1"/>
  <c r="C29" i="40"/>
  <c r="F29" i="40"/>
  <c r="Q29" i="40" s="1"/>
  <c r="C28" i="40"/>
  <c r="F28" i="40"/>
  <c r="H28" i="40" s="1"/>
  <c r="C27" i="40"/>
  <c r="F27" i="40"/>
  <c r="Q27" i="40" s="1"/>
  <c r="C26" i="40"/>
  <c r="F26" i="40"/>
  <c r="Q26" i="40" s="1"/>
  <c r="C25" i="40"/>
  <c r="F25" i="40"/>
  <c r="Q25" i="40" s="1"/>
  <c r="C24" i="40"/>
  <c r="F24" i="40"/>
  <c r="R24" i="40" s="1"/>
  <c r="C23" i="40"/>
  <c r="F23" i="40"/>
  <c r="Q23" i="40" s="1"/>
  <c r="C22" i="40"/>
  <c r="F22" i="40"/>
  <c r="J22" i="40" s="1"/>
  <c r="C21" i="40"/>
  <c r="F21" i="40"/>
  <c r="Q21" i="40" s="1"/>
  <c r="C20" i="40"/>
  <c r="F20" i="40"/>
  <c r="Q20" i="40" s="1"/>
  <c r="C19" i="40"/>
  <c r="F19" i="40"/>
  <c r="H19" i="40" s="1"/>
  <c r="C18" i="40"/>
  <c r="F18" i="40"/>
  <c r="Q18" i="40" s="1"/>
  <c r="C17" i="40"/>
  <c r="F17" i="40"/>
  <c r="I17" i="40" s="1"/>
  <c r="C16" i="40"/>
  <c r="F16" i="40"/>
  <c r="H16" i="40" s="1"/>
  <c r="C15" i="40"/>
  <c r="F15" i="40"/>
  <c r="S15" i="40" s="1"/>
  <c r="C14" i="40"/>
  <c r="F14" i="40"/>
  <c r="Q14" i="40" s="1"/>
  <c r="C13" i="40"/>
  <c r="F13" i="40"/>
  <c r="I13" i="40" s="1"/>
  <c r="C12" i="40"/>
  <c r="F12" i="40"/>
  <c r="R12" i="40" s="1"/>
  <c r="C11" i="40"/>
  <c r="F11" i="40"/>
  <c r="Q11" i="40" s="1"/>
  <c r="C10" i="40"/>
  <c r="F10" i="40"/>
  <c r="H10" i="40" s="1"/>
  <c r="C9" i="40"/>
  <c r="F9" i="40"/>
  <c r="J9" i="40" s="1"/>
  <c r="C8" i="40"/>
  <c r="F8" i="40"/>
  <c r="K8" i="40" s="1"/>
  <c r="C7" i="40"/>
  <c r="F7" i="40"/>
  <c r="H7" i="40" s="1"/>
  <c r="C6" i="40"/>
  <c r="F6" i="40"/>
  <c r="T6" i="40" s="1"/>
  <c r="C5" i="40"/>
  <c r="F5" i="40"/>
  <c r="J5" i="40" s="1"/>
  <c r="C4" i="40"/>
  <c r="F4" i="40"/>
  <c r="L4" i="40" s="1"/>
  <c r="C3" i="40"/>
  <c r="F3" i="40"/>
  <c r="Q3" i="40" s="1"/>
  <c r="C2" i="40"/>
  <c r="F2" i="40"/>
  <c r="K2" i="40" s="1"/>
  <c r="E43" i="52" l="1"/>
  <c r="E45" i="52"/>
  <c r="J24" i="48"/>
  <c r="J7" i="48"/>
  <c r="J38" i="48"/>
  <c r="J14" i="48"/>
  <c r="J35" i="48"/>
  <c r="E34" i="52"/>
  <c r="J29" i="48"/>
  <c r="E40" i="52"/>
  <c r="E44" i="52"/>
  <c r="E47" i="52"/>
  <c r="Y34" i="48"/>
  <c r="R34" i="48"/>
  <c r="P34" i="48" s="1"/>
  <c r="J34" i="48"/>
  <c r="AE34" i="48"/>
  <c r="O34" i="48"/>
  <c r="J47" i="52" s="1"/>
  <c r="AB34" i="48"/>
  <c r="L34" i="48"/>
  <c r="K34" i="48"/>
  <c r="H34" i="48"/>
  <c r="U34" i="48"/>
  <c r="G34" i="48"/>
  <c r="T34" i="48"/>
  <c r="F34" i="48"/>
  <c r="S34" i="48"/>
  <c r="Y33" i="48"/>
  <c r="Z33" i="48" s="1"/>
  <c r="U33" i="48"/>
  <c r="T33" i="48"/>
  <c r="R33" i="48"/>
  <c r="P33" i="48" s="1"/>
  <c r="AE33" i="48"/>
  <c r="O33" i="48"/>
  <c r="J46" i="52" s="1"/>
  <c r="E42" i="52"/>
  <c r="AB33" i="48"/>
  <c r="L33" i="48"/>
  <c r="K33" i="48"/>
  <c r="E32" i="52"/>
  <c r="E29" i="52"/>
  <c r="J33" i="48"/>
  <c r="H33" i="48"/>
  <c r="G33" i="48"/>
  <c r="F33" i="48"/>
  <c r="S33" i="48"/>
  <c r="G3" i="48"/>
  <c r="AE3" i="48"/>
  <c r="O3" i="48"/>
  <c r="J45" i="52" s="1"/>
  <c r="AB3" i="48"/>
  <c r="L3" i="48"/>
  <c r="E37" i="52"/>
  <c r="K3" i="48"/>
  <c r="H45" i="52" s="1"/>
  <c r="J3" i="48"/>
  <c r="Y3" i="48"/>
  <c r="H3" i="48"/>
  <c r="U3" i="48"/>
  <c r="T3" i="48"/>
  <c r="F3" i="48"/>
  <c r="F2" i="48"/>
  <c r="S3" i="48"/>
  <c r="R3" i="48"/>
  <c r="Y2" i="48"/>
  <c r="U2" i="48"/>
  <c r="T2" i="48"/>
  <c r="J2" i="48"/>
  <c r="G2" i="48"/>
  <c r="AE2" i="48"/>
  <c r="O2" i="48"/>
  <c r="J44" i="52" s="1"/>
  <c r="AB2" i="48"/>
  <c r="L2" i="48"/>
  <c r="E22" i="52"/>
  <c r="K2" i="48"/>
  <c r="H44" i="52" s="1"/>
  <c r="H2" i="48"/>
  <c r="S2" i="48"/>
  <c r="R2" i="48"/>
  <c r="Y4" i="48"/>
  <c r="Z4" i="48" s="1"/>
  <c r="AE4" i="48"/>
  <c r="O4" i="48"/>
  <c r="J43" i="52" s="1"/>
  <c r="AB4" i="48"/>
  <c r="L4" i="48"/>
  <c r="K4" i="48"/>
  <c r="H43" i="52" s="1"/>
  <c r="J4" i="48"/>
  <c r="H4" i="48"/>
  <c r="E35" i="52"/>
  <c r="U4" i="48"/>
  <c r="G4" i="48"/>
  <c r="T4" i="48"/>
  <c r="F4" i="48"/>
  <c r="S4" i="48"/>
  <c r="R4" i="48"/>
  <c r="E39" i="52"/>
  <c r="E41" i="52"/>
  <c r="Y41" i="48"/>
  <c r="Z41" i="48" s="1"/>
  <c r="H41" i="48"/>
  <c r="AE41" i="48"/>
  <c r="O41" i="48"/>
  <c r="J42" i="52" s="1"/>
  <c r="L41" i="48"/>
  <c r="AB41" i="48"/>
  <c r="E31" i="52"/>
  <c r="K41" i="48"/>
  <c r="H42" i="52" s="1"/>
  <c r="J41" i="48"/>
  <c r="E25" i="52"/>
  <c r="U41" i="48"/>
  <c r="G41" i="48"/>
  <c r="T41" i="48"/>
  <c r="F41" i="48"/>
  <c r="S41" i="48"/>
  <c r="R41" i="48"/>
  <c r="Y40" i="48"/>
  <c r="Z40" i="48" s="1"/>
  <c r="U40" i="48"/>
  <c r="R40" i="48"/>
  <c r="P40" i="48" s="1"/>
  <c r="AE40" i="48"/>
  <c r="O40" i="48"/>
  <c r="J41" i="52" s="1"/>
  <c r="AB40" i="48"/>
  <c r="L40" i="48"/>
  <c r="K40" i="48"/>
  <c r="H41" i="52" s="1"/>
  <c r="J40" i="48"/>
  <c r="H40" i="48"/>
  <c r="G40" i="48"/>
  <c r="T40" i="48"/>
  <c r="F40" i="48"/>
  <c r="S40" i="48"/>
  <c r="Y39" i="48"/>
  <c r="Z39" i="48" s="1"/>
  <c r="G39" i="48"/>
  <c r="AE39" i="48"/>
  <c r="O39" i="48"/>
  <c r="J40" i="52" s="1"/>
  <c r="E38" i="52"/>
  <c r="AB39" i="48"/>
  <c r="L39" i="48"/>
  <c r="K39" i="48"/>
  <c r="H40" i="52" s="1"/>
  <c r="J39" i="48"/>
  <c r="H39" i="48"/>
  <c r="U39" i="48"/>
  <c r="T38" i="48"/>
  <c r="T39" i="48"/>
  <c r="F39" i="48"/>
  <c r="S39" i="48"/>
  <c r="R39" i="48"/>
  <c r="E36" i="52"/>
  <c r="Y38" i="48"/>
  <c r="Z38" i="48" s="1"/>
  <c r="U38" i="48"/>
  <c r="S38" i="48"/>
  <c r="R38" i="48"/>
  <c r="P38" i="48" s="1"/>
  <c r="Q38" i="48"/>
  <c r="K39" i="52" s="1"/>
  <c r="O38" i="48"/>
  <c r="J39" i="52" s="1"/>
  <c r="AE38" i="48"/>
  <c r="AB38" i="48"/>
  <c r="L38" i="48"/>
  <c r="K38" i="48"/>
  <c r="H39" i="52" s="1"/>
  <c r="H38" i="48"/>
  <c r="G38" i="48"/>
  <c r="F38" i="48"/>
  <c r="Y37" i="48"/>
  <c r="Z37" i="48" s="1"/>
  <c r="AE37" i="48"/>
  <c r="O37" i="48"/>
  <c r="J38" i="52" s="1"/>
  <c r="AB37" i="48"/>
  <c r="L37" i="48"/>
  <c r="E28" i="52"/>
  <c r="E33" i="52"/>
  <c r="K37" i="48"/>
  <c r="H38" i="52" s="1"/>
  <c r="J37" i="48"/>
  <c r="H37" i="48"/>
  <c r="U37" i="48"/>
  <c r="G37" i="48"/>
  <c r="T37" i="48"/>
  <c r="F37" i="48"/>
  <c r="S37" i="48"/>
  <c r="R37" i="48"/>
  <c r="E27" i="52"/>
  <c r="E24" i="52"/>
  <c r="Y36" i="48"/>
  <c r="Z36" i="48" s="1"/>
  <c r="R36" i="48"/>
  <c r="P36" i="48" s="1"/>
  <c r="AE36" i="48"/>
  <c r="O36" i="48"/>
  <c r="J37" i="52" s="1"/>
  <c r="AB36" i="48"/>
  <c r="L36" i="48"/>
  <c r="K36" i="48"/>
  <c r="H37" i="52" s="1"/>
  <c r="G42" i="48"/>
  <c r="J36" i="48"/>
  <c r="H36" i="48"/>
  <c r="U36" i="48"/>
  <c r="G36" i="48"/>
  <c r="Y35" i="48"/>
  <c r="Z35" i="48" s="1"/>
  <c r="T36" i="48"/>
  <c r="F36" i="48"/>
  <c r="S36" i="48"/>
  <c r="E30" i="52"/>
  <c r="T35" i="48"/>
  <c r="S35" i="48"/>
  <c r="R35" i="48"/>
  <c r="Q35" i="48"/>
  <c r="K36" i="52" s="1"/>
  <c r="O35" i="48"/>
  <c r="J36" i="52" s="1"/>
  <c r="K35" i="48"/>
  <c r="H36" i="52" s="1"/>
  <c r="AE35" i="48"/>
  <c r="H35" i="48"/>
  <c r="E35" i="48"/>
  <c r="F36" i="52" s="1"/>
  <c r="U35" i="48"/>
  <c r="E18" i="52"/>
  <c r="AB35" i="48"/>
  <c r="L35" i="48"/>
  <c r="G35" i="48"/>
  <c r="Y42" i="48"/>
  <c r="Z42" i="48" s="1"/>
  <c r="H42" i="48"/>
  <c r="E42" i="48"/>
  <c r="F35" i="52" s="1"/>
  <c r="AE42" i="48"/>
  <c r="O42" i="48"/>
  <c r="J35" i="52" s="1"/>
  <c r="AB42" i="48"/>
  <c r="L42" i="48"/>
  <c r="E26" i="52"/>
  <c r="K42" i="48"/>
  <c r="H35" i="52" s="1"/>
  <c r="J42" i="48"/>
  <c r="U42" i="48"/>
  <c r="T42" i="48"/>
  <c r="S42" i="48"/>
  <c r="R42" i="48"/>
  <c r="Y43" i="48"/>
  <c r="Z43" i="48" s="1"/>
  <c r="AE43" i="48"/>
  <c r="O43" i="48"/>
  <c r="J34" i="52" s="1"/>
  <c r="AB43" i="48"/>
  <c r="L43" i="48"/>
  <c r="K43" i="48"/>
  <c r="H34" i="52" s="1"/>
  <c r="J43" i="48"/>
  <c r="R5" i="48"/>
  <c r="P5" i="48" s="1"/>
  <c r="H43" i="48"/>
  <c r="Q5" i="48"/>
  <c r="K33" i="52" s="1"/>
  <c r="U43" i="48"/>
  <c r="G43" i="48"/>
  <c r="L5" i="48"/>
  <c r="T43" i="48"/>
  <c r="F43" i="48"/>
  <c r="S43" i="48"/>
  <c r="R43" i="48"/>
  <c r="AB5" i="48"/>
  <c r="Y5" i="48"/>
  <c r="Z5" i="48" s="1"/>
  <c r="T5" i="48"/>
  <c r="S5" i="48"/>
  <c r="O5" i="48"/>
  <c r="J33" i="52" s="1"/>
  <c r="AE5" i="48"/>
  <c r="S7" i="48"/>
  <c r="K5" i="48"/>
  <c r="Q7" i="48"/>
  <c r="K31" i="52" s="1"/>
  <c r="J5" i="48"/>
  <c r="H5" i="48"/>
  <c r="G5" i="48"/>
  <c r="F5" i="48"/>
  <c r="Y6" i="48"/>
  <c r="Z6" i="48" s="1"/>
  <c r="G6" i="48"/>
  <c r="AE6" i="48"/>
  <c r="O6" i="48"/>
  <c r="J32" i="52" s="1"/>
  <c r="AB7" i="48"/>
  <c r="AB6" i="48"/>
  <c r="L6" i="48"/>
  <c r="U9" i="48"/>
  <c r="U7" i="48"/>
  <c r="K6" i="48"/>
  <c r="H32" i="52" s="1"/>
  <c r="Q9" i="48"/>
  <c r="K29" i="52" s="1"/>
  <c r="T7" i="48"/>
  <c r="J6" i="48"/>
  <c r="R7" i="48"/>
  <c r="P7" i="48" s="1"/>
  <c r="H6" i="48"/>
  <c r="U6" i="48"/>
  <c r="O7" i="48"/>
  <c r="J31" i="52" s="1"/>
  <c r="T6" i="48"/>
  <c r="F6" i="48"/>
  <c r="Y8" i="48"/>
  <c r="Z8" i="48" s="1"/>
  <c r="S6" i="48"/>
  <c r="R6" i="48"/>
  <c r="L7" i="48"/>
  <c r="G7" i="48"/>
  <c r="AE7" i="48"/>
  <c r="F7" i="48"/>
  <c r="Y7" i="48"/>
  <c r="Z7" i="48" s="1"/>
  <c r="J9" i="48"/>
  <c r="K7" i="48"/>
  <c r="H7" i="48"/>
  <c r="T10" i="48"/>
  <c r="Y9" i="48"/>
  <c r="AA9" i="48" s="1"/>
  <c r="H8" i="48"/>
  <c r="G8" i="48"/>
  <c r="F8" i="48"/>
  <c r="AE8" i="48"/>
  <c r="O8" i="48"/>
  <c r="J30" i="52" s="1"/>
  <c r="E20" i="52"/>
  <c r="AB8" i="48"/>
  <c r="L8" i="48"/>
  <c r="K8" i="48"/>
  <c r="H30" i="52" s="1"/>
  <c r="J8" i="48"/>
  <c r="U8" i="48"/>
  <c r="T8" i="48"/>
  <c r="S8" i="48"/>
  <c r="R8" i="48"/>
  <c r="T9" i="48"/>
  <c r="S9" i="48"/>
  <c r="R9" i="48"/>
  <c r="P9" i="48" s="1"/>
  <c r="AE9" i="48"/>
  <c r="O9" i="48"/>
  <c r="J29" i="52" s="1"/>
  <c r="E19" i="52"/>
  <c r="AB9" i="48"/>
  <c r="L9" i="48"/>
  <c r="H9" i="48"/>
  <c r="G9" i="48"/>
  <c r="F9" i="48"/>
  <c r="Y10" i="48"/>
  <c r="Z10" i="48" s="1"/>
  <c r="H10" i="48"/>
  <c r="F10" i="48"/>
  <c r="AE10" i="48"/>
  <c r="O10" i="48"/>
  <c r="J28" i="52" s="1"/>
  <c r="AB10" i="48"/>
  <c r="L10" i="48"/>
  <c r="K10" i="48"/>
  <c r="H28" i="52" s="1"/>
  <c r="AE11" i="48"/>
  <c r="J10" i="48"/>
  <c r="S11" i="48"/>
  <c r="E12" i="52"/>
  <c r="O11" i="48"/>
  <c r="J27" i="52" s="1"/>
  <c r="E9" i="52"/>
  <c r="J11" i="48"/>
  <c r="U10" i="48"/>
  <c r="G10" i="48"/>
  <c r="F11" i="48"/>
  <c r="S10" i="48"/>
  <c r="R10" i="48"/>
  <c r="R11" i="48"/>
  <c r="P11" i="48" s="1"/>
  <c r="Q11" i="48"/>
  <c r="K27" i="52" s="1"/>
  <c r="E11" i="48"/>
  <c r="F27" i="52" s="1"/>
  <c r="Y11" i="48"/>
  <c r="U11" i="48"/>
  <c r="T11" i="48"/>
  <c r="AB11" i="48"/>
  <c r="L11" i="48"/>
  <c r="H11" i="48"/>
  <c r="Y12" i="48"/>
  <c r="Z12" i="48" s="1"/>
  <c r="AE12" i="48"/>
  <c r="O12" i="48"/>
  <c r="J26" i="52" s="1"/>
  <c r="AB12" i="48"/>
  <c r="L12" i="48"/>
  <c r="E21" i="52"/>
  <c r="K12" i="48"/>
  <c r="H26" i="52" s="1"/>
  <c r="J12" i="48"/>
  <c r="H12" i="48"/>
  <c r="U12" i="48"/>
  <c r="G12" i="48"/>
  <c r="T12" i="48"/>
  <c r="F12" i="48"/>
  <c r="S12" i="48"/>
  <c r="R12" i="48"/>
  <c r="Y13" i="48"/>
  <c r="Z13" i="48" s="1"/>
  <c r="H13" i="48"/>
  <c r="E13" i="48"/>
  <c r="F25" i="52" s="1"/>
  <c r="AE13" i="48"/>
  <c r="O13" i="48"/>
  <c r="J25" i="52" s="1"/>
  <c r="AB13" i="48"/>
  <c r="L13" i="48"/>
  <c r="K13" i="48"/>
  <c r="H25" i="52" s="1"/>
  <c r="J13" i="48"/>
  <c r="E17" i="52"/>
  <c r="U13" i="48"/>
  <c r="G13" i="48"/>
  <c r="T13" i="48"/>
  <c r="S13" i="48"/>
  <c r="R13" i="48"/>
  <c r="AE14" i="48"/>
  <c r="Y14" i="48"/>
  <c r="Z14" i="48" s="1"/>
  <c r="U14" i="48"/>
  <c r="T14" i="48"/>
  <c r="S14" i="48"/>
  <c r="R14" i="48"/>
  <c r="P14" i="48" s="1"/>
  <c r="Q14" i="48"/>
  <c r="K24" i="52" s="1"/>
  <c r="O14" i="48"/>
  <c r="J24" i="52" s="1"/>
  <c r="AB14" i="48"/>
  <c r="L14" i="48"/>
  <c r="K14" i="48"/>
  <c r="H14" i="48"/>
  <c r="G14" i="48"/>
  <c r="F14" i="48"/>
  <c r="AE15" i="48"/>
  <c r="Y15" i="48"/>
  <c r="Z15" i="48" s="1"/>
  <c r="U15" i="48"/>
  <c r="T15" i="48"/>
  <c r="Q15" i="48"/>
  <c r="K23" i="52" s="1"/>
  <c r="H15" i="48"/>
  <c r="G15" i="48"/>
  <c r="F15" i="48"/>
  <c r="E15" i="48"/>
  <c r="F23" i="52" s="1"/>
  <c r="P15" i="48"/>
  <c r="O15" i="48"/>
  <c r="J23" i="52" s="1"/>
  <c r="AB15" i="48"/>
  <c r="L15" i="48"/>
  <c r="AA15" i="48"/>
  <c r="K15" i="48"/>
  <c r="Y20" i="48"/>
  <c r="AA20" i="48" s="1"/>
  <c r="J15" i="48"/>
  <c r="S15" i="48"/>
  <c r="Y16" i="48"/>
  <c r="Z16" i="48" s="1"/>
  <c r="T16" i="48"/>
  <c r="R16" i="48"/>
  <c r="P16" i="48" s="1"/>
  <c r="Q16" i="48"/>
  <c r="K22" i="52" s="1"/>
  <c r="AE16" i="48"/>
  <c r="O16" i="48"/>
  <c r="J22" i="52" s="1"/>
  <c r="AB16" i="48"/>
  <c r="L16" i="48"/>
  <c r="K16" i="48"/>
  <c r="J16" i="48"/>
  <c r="H16" i="48"/>
  <c r="U16" i="48"/>
  <c r="G16" i="48"/>
  <c r="F16" i="48"/>
  <c r="Y17" i="48"/>
  <c r="U17" i="48"/>
  <c r="T17" i="48"/>
  <c r="S17" i="48"/>
  <c r="R17" i="48"/>
  <c r="P17" i="48" s="1"/>
  <c r="L17" i="48"/>
  <c r="K17" i="48"/>
  <c r="H21" i="52" s="1"/>
  <c r="J17" i="48"/>
  <c r="AB17" i="48"/>
  <c r="AE17" i="48"/>
  <c r="O17" i="48"/>
  <c r="J21" i="52" s="1"/>
  <c r="H17" i="48"/>
  <c r="G17" i="48"/>
  <c r="F17" i="48"/>
  <c r="Y18" i="48"/>
  <c r="Z18" i="48" s="1"/>
  <c r="F18" i="48"/>
  <c r="T20" i="48"/>
  <c r="AE18" i="48"/>
  <c r="O18" i="48"/>
  <c r="J20" i="52" s="1"/>
  <c r="S20" i="48"/>
  <c r="AB18" i="48"/>
  <c r="L18" i="48"/>
  <c r="E13" i="52"/>
  <c r="E8" i="52"/>
  <c r="R20" i="48"/>
  <c r="P20" i="48" s="1"/>
  <c r="K18" i="48"/>
  <c r="H20" i="52" s="1"/>
  <c r="J18" i="48"/>
  <c r="H18" i="48"/>
  <c r="U18" i="48"/>
  <c r="G18" i="48"/>
  <c r="T18" i="48"/>
  <c r="G19" i="48"/>
  <c r="S18" i="48"/>
  <c r="R18" i="48"/>
  <c r="Y19" i="48"/>
  <c r="Z19" i="48" s="1"/>
  <c r="H19" i="48"/>
  <c r="F19" i="48"/>
  <c r="E16" i="52"/>
  <c r="AE19" i="48"/>
  <c r="O19" i="48"/>
  <c r="J19" i="52" s="1"/>
  <c r="AB19" i="48"/>
  <c r="L19" i="48"/>
  <c r="K19" i="48"/>
  <c r="H19" i="52" s="1"/>
  <c r="AB20" i="48"/>
  <c r="J19" i="48"/>
  <c r="U19" i="48"/>
  <c r="T19" i="48"/>
  <c r="S19" i="48"/>
  <c r="R19" i="48"/>
  <c r="E10" i="52"/>
  <c r="Q20" i="48"/>
  <c r="K18" i="52" s="1"/>
  <c r="O20" i="48"/>
  <c r="J18" i="52" s="1"/>
  <c r="L20" i="48"/>
  <c r="AE20" i="48"/>
  <c r="J20" i="48"/>
  <c r="G20" i="48"/>
  <c r="U20" i="48"/>
  <c r="H20" i="48"/>
  <c r="F20" i="48"/>
  <c r="Y21" i="48"/>
  <c r="Z21" i="48" s="1"/>
  <c r="H21" i="48"/>
  <c r="G21" i="48"/>
  <c r="F21" i="48"/>
  <c r="E15" i="52"/>
  <c r="AE21" i="48"/>
  <c r="O21" i="48"/>
  <c r="J17" i="52" s="1"/>
  <c r="S23" i="48"/>
  <c r="AB21" i="48"/>
  <c r="L21" i="48"/>
  <c r="O23" i="48"/>
  <c r="J15" i="52" s="1"/>
  <c r="K21" i="48"/>
  <c r="H17" i="52" s="1"/>
  <c r="J23" i="48"/>
  <c r="J21" i="48"/>
  <c r="U21" i="48"/>
  <c r="T21" i="48"/>
  <c r="S21" i="48"/>
  <c r="R21" i="48"/>
  <c r="Y22" i="48"/>
  <c r="Z22" i="48" s="1"/>
  <c r="H22" i="48"/>
  <c r="G22" i="48"/>
  <c r="F22" i="48"/>
  <c r="AE22" i="48"/>
  <c r="O22" i="48"/>
  <c r="J16" i="52" s="1"/>
  <c r="AB22" i="48"/>
  <c r="L22" i="48"/>
  <c r="K22" i="48"/>
  <c r="H16" i="52" s="1"/>
  <c r="J22" i="48"/>
  <c r="U22" i="48"/>
  <c r="T22" i="48"/>
  <c r="S22" i="48"/>
  <c r="R22" i="48"/>
  <c r="Y23" i="48"/>
  <c r="U23" i="48"/>
  <c r="T23" i="48"/>
  <c r="R23" i="48"/>
  <c r="P23" i="48" s="1"/>
  <c r="Q23" i="48"/>
  <c r="K15" i="52" s="1"/>
  <c r="AE23" i="48"/>
  <c r="E14" i="52"/>
  <c r="AB23" i="48"/>
  <c r="L23" i="48"/>
  <c r="H23" i="48"/>
  <c r="G23" i="48"/>
  <c r="F23" i="48"/>
  <c r="E5" i="52"/>
  <c r="E11" i="52"/>
  <c r="Y24" i="48"/>
  <c r="Z24" i="48" s="1"/>
  <c r="U24" i="48"/>
  <c r="T24" i="48"/>
  <c r="S24" i="48"/>
  <c r="R24" i="48"/>
  <c r="P24" i="48" s="1"/>
  <c r="Q24" i="48"/>
  <c r="K14" i="52" s="1"/>
  <c r="O24" i="48"/>
  <c r="J14" i="52" s="1"/>
  <c r="AE24" i="48"/>
  <c r="AB24" i="48"/>
  <c r="L24" i="48"/>
  <c r="K24" i="48"/>
  <c r="H14" i="52" s="1"/>
  <c r="H24" i="48"/>
  <c r="G24" i="48"/>
  <c r="F24" i="48"/>
  <c r="Y25" i="48"/>
  <c r="Z25" i="48" s="1"/>
  <c r="T25" i="48"/>
  <c r="Q25" i="48"/>
  <c r="K13" i="52" s="1"/>
  <c r="H25" i="48"/>
  <c r="F25" i="48"/>
  <c r="P25" i="48"/>
  <c r="Y27" i="48"/>
  <c r="AA27" i="48" s="1"/>
  <c r="AE25" i="48"/>
  <c r="O25" i="48"/>
  <c r="J13" i="52" s="1"/>
  <c r="Q27" i="48"/>
  <c r="K11" i="52" s="1"/>
  <c r="AB25" i="48"/>
  <c r="L25" i="48"/>
  <c r="O27" i="48"/>
  <c r="J11" i="52" s="1"/>
  <c r="K25" i="48"/>
  <c r="J27" i="48"/>
  <c r="J25" i="48"/>
  <c r="U25" i="48"/>
  <c r="G25" i="48"/>
  <c r="S25" i="48"/>
  <c r="Y26" i="48"/>
  <c r="Z26" i="48" s="1"/>
  <c r="Q26" i="48"/>
  <c r="K12" i="52" s="1"/>
  <c r="P26" i="48"/>
  <c r="AE26" i="48"/>
  <c r="O26" i="48"/>
  <c r="J12" i="52" s="1"/>
  <c r="AB26" i="48"/>
  <c r="L26" i="48"/>
  <c r="K26" i="48"/>
  <c r="H12" i="52" s="1"/>
  <c r="J26" i="48"/>
  <c r="H26" i="48"/>
  <c r="U26" i="48"/>
  <c r="G26" i="48"/>
  <c r="T26" i="48"/>
  <c r="F26" i="48"/>
  <c r="S26" i="48"/>
  <c r="U27" i="48"/>
  <c r="T27" i="48"/>
  <c r="S27" i="48"/>
  <c r="R27" i="48"/>
  <c r="P27" i="48" s="1"/>
  <c r="AE27" i="48"/>
  <c r="AB27" i="48"/>
  <c r="L27" i="48"/>
  <c r="E4" i="52"/>
  <c r="E7" i="52"/>
  <c r="AB28" i="48"/>
  <c r="H27" i="48"/>
  <c r="U28" i="48"/>
  <c r="G27" i="48"/>
  <c r="F27" i="48"/>
  <c r="H28" i="48"/>
  <c r="R28" i="48"/>
  <c r="P28" i="48" s="1"/>
  <c r="Q28" i="48"/>
  <c r="K10" i="52" s="1"/>
  <c r="L28" i="48"/>
  <c r="J28" i="48"/>
  <c r="G28" i="48"/>
  <c r="Y28" i="48"/>
  <c r="E28" i="48"/>
  <c r="F10" i="52" s="1"/>
  <c r="T28" i="48"/>
  <c r="S28" i="48"/>
  <c r="G31" i="48"/>
  <c r="AE28" i="48"/>
  <c r="O28" i="48"/>
  <c r="J10" i="52" s="1"/>
  <c r="E6" i="52"/>
  <c r="AE29" i="48"/>
  <c r="Y29" i="48"/>
  <c r="Z29" i="48" s="1"/>
  <c r="U29" i="48"/>
  <c r="T29" i="48"/>
  <c r="S29" i="48"/>
  <c r="R29" i="48"/>
  <c r="P29" i="48" s="1"/>
  <c r="Q29" i="48"/>
  <c r="K9" i="52" s="1"/>
  <c r="O29" i="48"/>
  <c r="J9" i="52" s="1"/>
  <c r="AB29" i="48"/>
  <c r="L29" i="48"/>
  <c r="K29" i="48"/>
  <c r="H29" i="48"/>
  <c r="G29" i="48"/>
  <c r="F29" i="48"/>
  <c r="Y30" i="48"/>
  <c r="Z30" i="48" s="1"/>
  <c r="T30" i="48"/>
  <c r="S30" i="48"/>
  <c r="R30" i="48"/>
  <c r="P30" i="48" s="1"/>
  <c r="Q30" i="48"/>
  <c r="K8" i="52" s="1"/>
  <c r="AE30" i="48"/>
  <c r="O30" i="48"/>
  <c r="J8" i="52" s="1"/>
  <c r="AB30" i="48"/>
  <c r="L30" i="48"/>
  <c r="K30" i="48"/>
  <c r="T31" i="48"/>
  <c r="J30" i="48"/>
  <c r="R31" i="48"/>
  <c r="P31" i="48" s="1"/>
  <c r="Q31" i="48"/>
  <c r="K7" i="52" s="1"/>
  <c r="H30" i="48"/>
  <c r="O31" i="48"/>
  <c r="J7" i="52" s="1"/>
  <c r="G30" i="48"/>
  <c r="F30" i="48"/>
  <c r="AE31" i="48"/>
  <c r="K31" i="48"/>
  <c r="H7" i="52" s="1"/>
  <c r="J31" i="48"/>
  <c r="Y31" i="48"/>
  <c r="H31" i="48"/>
  <c r="U31" i="48"/>
  <c r="E31" i="48"/>
  <c r="F7" i="52" s="1"/>
  <c r="S31" i="48"/>
  <c r="E3" i="52"/>
  <c r="AB31" i="48"/>
  <c r="J32" i="48"/>
  <c r="Y32" i="48"/>
  <c r="T32" i="48"/>
  <c r="S32" i="48"/>
  <c r="L32" i="48"/>
  <c r="F32" i="48"/>
  <c r="E32" i="48"/>
  <c r="F6" i="52" s="1"/>
  <c r="AB32" i="48"/>
  <c r="AE32" i="48"/>
  <c r="O32" i="48"/>
  <c r="J6" i="52" s="1"/>
  <c r="K32" i="48"/>
  <c r="H6" i="52" s="1"/>
  <c r="H32" i="48"/>
  <c r="U32" i="48"/>
  <c r="R32" i="48"/>
  <c r="Y47" i="48"/>
  <c r="Z47" i="48" s="1"/>
  <c r="R47" i="48"/>
  <c r="P47" i="48" s="1"/>
  <c r="AE47" i="48"/>
  <c r="O47" i="48"/>
  <c r="J5" i="52" s="1"/>
  <c r="AB47" i="48"/>
  <c r="L47" i="48"/>
  <c r="K47" i="48"/>
  <c r="J47" i="48"/>
  <c r="H47" i="48"/>
  <c r="U47" i="48"/>
  <c r="G47" i="48"/>
  <c r="R46" i="48"/>
  <c r="P46" i="48" s="1"/>
  <c r="T47" i="48"/>
  <c r="F47" i="48"/>
  <c r="S47" i="48"/>
  <c r="Y46" i="48"/>
  <c r="Z46" i="48" s="1"/>
  <c r="Q46" i="48"/>
  <c r="K4" i="52" s="1"/>
  <c r="AE46" i="48"/>
  <c r="O46" i="48"/>
  <c r="J4" i="52" s="1"/>
  <c r="AB46" i="48"/>
  <c r="L46" i="48"/>
  <c r="K46" i="48"/>
  <c r="J46" i="48"/>
  <c r="H46" i="48"/>
  <c r="U46" i="48"/>
  <c r="G46" i="48"/>
  <c r="T46" i="48"/>
  <c r="F46" i="48"/>
  <c r="Y45" i="48"/>
  <c r="Z45" i="48" s="1"/>
  <c r="E2" i="52"/>
  <c r="AE45" i="48"/>
  <c r="O45" i="48"/>
  <c r="J3" i="52" s="1"/>
  <c r="AB45" i="48"/>
  <c r="L45" i="48"/>
  <c r="K45" i="48"/>
  <c r="H3" i="52" s="1"/>
  <c r="J45" i="48"/>
  <c r="H45" i="48"/>
  <c r="U45" i="48"/>
  <c r="G45" i="48"/>
  <c r="Y44" i="48"/>
  <c r="Z44" i="48" s="1"/>
  <c r="T45" i="48"/>
  <c r="F45" i="48"/>
  <c r="S45" i="48"/>
  <c r="R45" i="48"/>
  <c r="AE44" i="48"/>
  <c r="O44" i="48"/>
  <c r="J2" i="52" s="1"/>
  <c r="AB44" i="48"/>
  <c r="L44" i="48"/>
  <c r="K44" i="48"/>
  <c r="H2" i="52" s="1"/>
  <c r="J44" i="48"/>
  <c r="H44" i="48"/>
  <c r="U44" i="48"/>
  <c r="G44" i="48"/>
  <c r="T44" i="48"/>
  <c r="F44" i="48"/>
  <c r="S44" i="48"/>
  <c r="R44" i="48"/>
  <c r="V45" i="40"/>
  <c r="U45" i="40"/>
  <c r="H45" i="40"/>
  <c r="Q46" i="52"/>
  <c r="Q47" i="52"/>
  <c r="I47" i="52"/>
  <c r="G47" i="52"/>
  <c r="U47" i="52"/>
  <c r="T47" i="52"/>
  <c r="S47" i="52"/>
  <c r="R47" i="52"/>
  <c r="M47" i="52"/>
  <c r="L47" i="52"/>
  <c r="N47" i="52"/>
  <c r="M46" i="52"/>
  <c r="I46" i="52"/>
  <c r="G46" i="52"/>
  <c r="U46" i="52"/>
  <c r="S46" i="52"/>
  <c r="R46" i="52"/>
  <c r="L46" i="52"/>
  <c r="T46" i="52"/>
  <c r="N46" i="52"/>
  <c r="Q45" i="52"/>
  <c r="M45" i="52"/>
  <c r="L45" i="52"/>
  <c r="U45" i="52"/>
  <c r="I45" i="52"/>
  <c r="T45" i="52"/>
  <c r="S45" i="52"/>
  <c r="G45" i="52"/>
  <c r="R45" i="52"/>
  <c r="N45" i="52"/>
  <c r="Q44" i="52"/>
  <c r="I44" i="52"/>
  <c r="G44" i="52"/>
  <c r="U44" i="52"/>
  <c r="T44" i="52"/>
  <c r="S44" i="52"/>
  <c r="M44" i="52"/>
  <c r="L44" i="52"/>
  <c r="R44" i="52"/>
  <c r="N44" i="52"/>
  <c r="Q43" i="52"/>
  <c r="I43" i="52"/>
  <c r="G43" i="52"/>
  <c r="U43" i="52"/>
  <c r="S43" i="52"/>
  <c r="M43" i="52"/>
  <c r="L43" i="52"/>
  <c r="S40" i="52"/>
  <c r="T43" i="52"/>
  <c r="R43" i="52"/>
  <c r="N43" i="52"/>
  <c r="M42" i="52"/>
  <c r="L42" i="52"/>
  <c r="U42" i="52"/>
  <c r="I42" i="52"/>
  <c r="T42" i="52"/>
  <c r="S42" i="52"/>
  <c r="G42" i="52"/>
  <c r="R42" i="52"/>
  <c r="Q42" i="52"/>
  <c r="N42" i="52"/>
  <c r="T41" i="52"/>
  <c r="R41" i="52"/>
  <c r="M41" i="52"/>
  <c r="L41" i="52"/>
  <c r="U41" i="52"/>
  <c r="I41" i="52"/>
  <c r="S41" i="52"/>
  <c r="G41" i="52"/>
  <c r="Q41" i="52"/>
  <c r="N41" i="52"/>
  <c r="N40" i="52"/>
  <c r="M40" i="52"/>
  <c r="L40" i="52"/>
  <c r="T40" i="52"/>
  <c r="G40" i="52"/>
  <c r="R40" i="52"/>
  <c r="Q40" i="52"/>
  <c r="B40" i="52"/>
  <c r="U40" i="52"/>
  <c r="Q39" i="52"/>
  <c r="I39" i="52"/>
  <c r="G39" i="52"/>
  <c r="U39" i="52"/>
  <c r="S39" i="52"/>
  <c r="M39" i="52"/>
  <c r="L39" i="52"/>
  <c r="T39" i="52"/>
  <c r="R39" i="52"/>
  <c r="N39" i="52"/>
  <c r="T37" i="52"/>
  <c r="M38" i="52"/>
  <c r="S37" i="52"/>
  <c r="L38" i="52"/>
  <c r="R37" i="52"/>
  <c r="Q37" i="52"/>
  <c r="U38" i="52"/>
  <c r="I38" i="52"/>
  <c r="T38" i="52"/>
  <c r="N37" i="52"/>
  <c r="S38" i="52"/>
  <c r="G38" i="52"/>
  <c r="R38" i="52"/>
  <c r="Q38" i="52"/>
  <c r="I37" i="52"/>
  <c r="U37" i="52"/>
  <c r="G37" i="52"/>
  <c r="N38" i="52"/>
  <c r="B37" i="52"/>
  <c r="M37" i="52"/>
  <c r="M36" i="52"/>
  <c r="L36" i="52"/>
  <c r="U36" i="52"/>
  <c r="I36" i="52"/>
  <c r="T36" i="52"/>
  <c r="S36" i="52"/>
  <c r="G36" i="52"/>
  <c r="R36" i="52"/>
  <c r="Q36" i="52"/>
  <c r="I35" i="52"/>
  <c r="G35" i="52"/>
  <c r="N36" i="52"/>
  <c r="N35" i="52"/>
  <c r="M35" i="52"/>
  <c r="T35" i="52"/>
  <c r="U35" i="52"/>
  <c r="S35" i="52"/>
  <c r="Q35" i="52"/>
  <c r="R35" i="52"/>
  <c r="B35" i="52"/>
  <c r="Q34" i="52"/>
  <c r="R34" i="52"/>
  <c r="I34" i="52"/>
  <c r="G34" i="52"/>
  <c r="U34" i="52"/>
  <c r="S34" i="52"/>
  <c r="M34" i="52"/>
  <c r="L34" i="52"/>
  <c r="T34" i="52"/>
  <c r="N34" i="52"/>
  <c r="U33" i="52"/>
  <c r="I33" i="52"/>
  <c r="M33" i="52"/>
  <c r="L33" i="52"/>
  <c r="T33" i="52"/>
  <c r="S33" i="52"/>
  <c r="G33" i="52"/>
  <c r="R33" i="52"/>
  <c r="Q33" i="52"/>
  <c r="N33" i="52"/>
  <c r="U32" i="52"/>
  <c r="T32" i="52"/>
  <c r="Q32" i="52"/>
  <c r="I32" i="52"/>
  <c r="M32" i="52"/>
  <c r="L32" i="52"/>
  <c r="S32" i="52"/>
  <c r="G32" i="52"/>
  <c r="R32" i="52"/>
  <c r="N32" i="52"/>
  <c r="U31" i="52"/>
  <c r="Q31" i="52"/>
  <c r="I31" i="52"/>
  <c r="M31" i="52"/>
  <c r="L31" i="52"/>
  <c r="T31" i="52"/>
  <c r="S31" i="52"/>
  <c r="G31" i="52"/>
  <c r="R31" i="52"/>
  <c r="N31" i="52"/>
  <c r="Q30" i="52"/>
  <c r="R30" i="52"/>
  <c r="I30" i="52"/>
  <c r="G30" i="52"/>
  <c r="U30" i="52"/>
  <c r="S30" i="52"/>
  <c r="L30" i="52"/>
  <c r="M30" i="52"/>
  <c r="T30" i="52"/>
  <c r="N30" i="52"/>
  <c r="U29" i="52"/>
  <c r="I29" i="52"/>
  <c r="M29" i="52"/>
  <c r="L29" i="52"/>
  <c r="T29" i="52"/>
  <c r="S29" i="52"/>
  <c r="G29" i="52"/>
  <c r="R29" i="52"/>
  <c r="Q29" i="52"/>
  <c r="N29" i="52"/>
  <c r="R28" i="52"/>
  <c r="Q28" i="52"/>
  <c r="L28" i="52"/>
  <c r="N28" i="52"/>
  <c r="B28" i="52"/>
  <c r="M28" i="52"/>
  <c r="U28" i="52"/>
  <c r="I28" i="52"/>
  <c r="T28" i="52"/>
  <c r="S28" i="52"/>
  <c r="R27" i="52"/>
  <c r="Q27" i="52"/>
  <c r="M27" i="52"/>
  <c r="L27" i="52"/>
  <c r="U27" i="52"/>
  <c r="I27" i="52"/>
  <c r="T27" i="52"/>
  <c r="S27" i="52"/>
  <c r="G27" i="52"/>
  <c r="N27" i="52"/>
  <c r="N26" i="52"/>
  <c r="M26" i="52"/>
  <c r="L26" i="52"/>
  <c r="R26" i="52"/>
  <c r="Q26" i="52"/>
  <c r="B26" i="52"/>
  <c r="U26" i="52"/>
  <c r="I26" i="52"/>
  <c r="T26" i="52"/>
  <c r="S26" i="52"/>
  <c r="M25" i="52"/>
  <c r="L25" i="52"/>
  <c r="U25" i="52"/>
  <c r="I25" i="52"/>
  <c r="T25" i="52"/>
  <c r="S25" i="52"/>
  <c r="G25" i="52"/>
  <c r="R25" i="52"/>
  <c r="Q25" i="52"/>
  <c r="N25" i="52"/>
  <c r="S24" i="52"/>
  <c r="G24" i="52"/>
  <c r="T24" i="52"/>
  <c r="M24" i="52"/>
  <c r="L24" i="52"/>
  <c r="U24" i="52"/>
  <c r="I24" i="52"/>
  <c r="R24" i="52"/>
  <c r="Q24" i="52"/>
  <c r="N24" i="52"/>
  <c r="L23" i="52"/>
  <c r="I23" i="52"/>
  <c r="N23" i="52"/>
  <c r="U23" i="52"/>
  <c r="R23" i="52"/>
  <c r="B23" i="52"/>
  <c r="M23" i="52"/>
  <c r="T23" i="52"/>
  <c r="S23" i="52"/>
  <c r="G23" i="52"/>
  <c r="N22" i="52"/>
  <c r="M22" i="52"/>
  <c r="Q22" i="52"/>
  <c r="B22" i="52"/>
  <c r="L22" i="52"/>
  <c r="U22" i="52"/>
  <c r="I22" i="52"/>
  <c r="T22" i="52"/>
  <c r="S22" i="52"/>
  <c r="G22" i="52"/>
  <c r="M21" i="52"/>
  <c r="L21" i="52"/>
  <c r="U21" i="52"/>
  <c r="I21" i="52"/>
  <c r="T21" i="52"/>
  <c r="S21" i="52"/>
  <c r="G21" i="52"/>
  <c r="R21" i="52"/>
  <c r="Q21" i="52"/>
  <c r="N21" i="52"/>
  <c r="N20" i="52"/>
  <c r="M20" i="52"/>
  <c r="R20" i="52"/>
  <c r="Q20" i="52"/>
  <c r="B20" i="52"/>
  <c r="L20" i="52"/>
  <c r="U20" i="52"/>
  <c r="I20" i="52"/>
  <c r="T20" i="52"/>
  <c r="S20" i="52"/>
  <c r="M19" i="52"/>
  <c r="Q16" i="52"/>
  <c r="L19" i="52"/>
  <c r="N19" i="52"/>
  <c r="L16" i="52"/>
  <c r="U19" i="52"/>
  <c r="I19" i="52"/>
  <c r="T19" i="52"/>
  <c r="S19" i="52"/>
  <c r="G19" i="52"/>
  <c r="R19" i="52"/>
  <c r="Q19" i="52"/>
  <c r="R18" i="52"/>
  <c r="M18" i="52"/>
  <c r="L18" i="52"/>
  <c r="U18" i="52"/>
  <c r="I18" i="52"/>
  <c r="T18" i="52"/>
  <c r="R16" i="52"/>
  <c r="S18" i="52"/>
  <c r="G18" i="52"/>
  <c r="Q18" i="52"/>
  <c r="N16" i="52"/>
  <c r="M16" i="52"/>
  <c r="N18" i="52"/>
  <c r="R17" i="52"/>
  <c r="G17" i="52"/>
  <c r="Q17" i="52"/>
  <c r="S17" i="52"/>
  <c r="M17" i="52"/>
  <c r="L17" i="52"/>
  <c r="U17" i="52"/>
  <c r="I17" i="52"/>
  <c r="T17" i="52"/>
  <c r="N17" i="52"/>
  <c r="B16" i="52"/>
  <c r="U16" i="52"/>
  <c r="I16" i="52"/>
  <c r="T16" i="52"/>
  <c r="S16" i="52"/>
  <c r="M15" i="52"/>
  <c r="L15" i="52"/>
  <c r="U15" i="52"/>
  <c r="I15" i="52"/>
  <c r="T15" i="52"/>
  <c r="S15" i="52"/>
  <c r="G15" i="52"/>
  <c r="R15" i="52"/>
  <c r="Q15" i="52"/>
  <c r="N15" i="52"/>
  <c r="R14" i="52"/>
  <c r="Q14" i="52"/>
  <c r="L14" i="52"/>
  <c r="M14" i="52"/>
  <c r="I14" i="52"/>
  <c r="U14" i="52"/>
  <c r="T14" i="52"/>
  <c r="S14" i="52"/>
  <c r="G14" i="52"/>
  <c r="N14" i="52"/>
  <c r="S13" i="52"/>
  <c r="R13" i="52"/>
  <c r="Q13" i="52"/>
  <c r="G13" i="52"/>
  <c r="T13" i="52"/>
  <c r="M13" i="52"/>
  <c r="L13" i="52"/>
  <c r="U13" i="52"/>
  <c r="I13" i="52"/>
  <c r="N13" i="52"/>
  <c r="N12" i="52"/>
  <c r="I12" i="52"/>
  <c r="G12" i="52"/>
  <c r="T12" i="52"/>
  <c r="S12" i="52"/>
  <c r="U12" i="52"/>
  <c r="R12" i="52"/>
  <c r="Q12" i="52"/>
  <c r="B12" i="52"/>
  <c r="M12" i="52"/>
  <c r="L12" i="52"/>
  <c r="R11" i="52"/>
  <c r="Q11" i="52"/>
  <c r="M11" i="52"/>
  <c r="L11" i="52"/>
  <c r="U11" i="52"/>
  <c r="I11" i="52"/>
  <c r="Q10" i="52"/>
  <c r="T11" i="52"/>
  <c r="S11" i="52"/>
  <c r="G11" i="52"/>
  <c r="G10" i="52"/>
  <c r="N11" i="52"/>
  <c r="M10" i="52"/>
  <c r="T10" i="52"/>
  <c r="S10" i="52"/>
  <c r="R10" i="52"/>
  <c r="L10" i="52"/>
  <c r="U10" i="52"/>
  <c r="I10" i="52"/>
  <c r="T9" i="52"/>
  <c r="N10" i="52"/>
  <c r="R9" i="52"/>
  <c r="Q9" i="52"/>
  <c r="M9" i="52"/>
  <c r="L9" i="52"/>
  <c r="U9" i="52"/>
  <c r="I9" i="52"/>
  <c r="S9" i="52"/>
  <c r="G9" i="52"/>
  <c r="N9" i="52"/>
  <c r="S8" i="52"/>
  <c r="T8" i="52"/>
  <c r="R8" i="52"/>
  <c r="G8" i="52"/>
  <c r="Q8" i="52"/>
  <c r="M8" i="52"/>
  <c r="L8" i="52"/>
  <c r="U8" i="52"/>
  <c r="I8" i="52"/>
  <c r="N8" i="52"/>
  <c r="S7" i="52"/>
  <c r="Q7" i="52"/>
  <c r="G7" i="52"/>
  <c r="R7" i="52"/>
  <c r="T7" i="52"/>
  <c r="M7" i="52"/>
  <c r="L7" i="52"/>
  <c r="U7" i="52"/>
  <c r="I7" i="52"/>
  <c r="N7" i="52"/>
  <c r="M6" i="52"/>
  <c r="R6" i="52"/>
  <c r="Q6" i="52"/>
  <c r="G6" i="52"/>
  <c r="S6" i="52"/>
  <c r="L6" i="52"/>
  <c r="U6" i="52"/>
  <c r="I6" i="52"/>
  <c r="T6" i="52"/>
  <c r="N6" i="52"/>
  <c r="Q5" i="52"/>
  <c r="L5" i="52"/>
  <c r="M5" i="52"/>
  <c r="U5" i="52"/>
  <c r="I5" i="52"/>
  <c r="T5" i="52"/>
  <c r="S5" i="52"/>
  <c r="G5" i="52"/>
  <c r="R5" i="52"/>
  <c r="N5" i="52"/>
  <c r="Q4" i="52"/>
  <c r="L4" i="52"/>
  <c r="G4" i="52"/>
  <c r="S4" i="52"/>
  <c r="R4" i="52"/>
  <c r="M4" i="52"/>
  <c r="U4" i="52"/>
  <c r="I4" i="52"/>
  <c r="T4" i="52"/>
  <c r="N4" i="52"/>
  <c r="R3" i="52"/>
  <c r="S3" i="52"/>
  <c r="Q3" i="52"/>
  <c r="G3" i="52"/>
  <c r="T3" i="52"/>
  <c r="M3" i="52"/>
  <c r="L3" i="52"/>
  <c r="U3" i="52"/>
  <c r="I3" i="52"/>
  <c r="N3" i="52"/>
  <c r="S2" i="52"/>
  <c r="N2" i="52"/>
  <c r="B2" i="52"/>
  <c r="M2" i="52"/>
  <c r="L2" i="52"/>
  <c r="Q2" i="52"/>
  <c r="T2" i="52"/>
  <c r="G2" i="52"/>
  <c r="R2" i="52"/>
  <c r="U2" i="52"/>
  <c r="Y47" i="40"/>
  <c r="V47" i="40"/>
  <c r="W7" i="25" s="1"/>
  <c r="S47" i="40"/>
  <c r="R47" i="40"/>
  <c r="M47" i="40"/>
  <c r="L7" i="25" s="1"/>
  <c r="J47" i="40"/>
  <c r="C7" i="25" s="1"/>
  <c r="Q47" i="40"/>
  <c r="O47" i="40"/>
  <c r="N47" i="40"/>
  <c r="X47" i="40"/>
  <c r="L47" i="40"/>
  <c r="R45" i="40"/>
  <c r="W47" i="40"/>
  <c r="Y7" i="25" s="1"/>
  <c r="K47" i="40"/>
  <c r="U47" i="40"/>
  <c r="P7" i="25" s="1"/>
  <c r="I47" i="40"/>
  <c r="T47" i="40"/>
  <c r="X7" i="25" s="1"/>
  <c r="S46" i="40"/>
  <c r="O46" i="40"/>
  <c r="N46" i="40"/>
  <c r="Y46" i="40"/>
  <c r="M46" i="40"/>
  <c r="H6" i="25" s="1"/>
  <c r="X46" i="40"/>
  <c r="L46" i="40"/>
  <c r="W46" i="40"/>
  <c r="Y6" i="25" s="1"/>
  <c r="K46" i="40"/>
  <c r="V46" i="40"/>
  <c r="W6" i="25" s="1"/>
  <c r="J46" i="40"/>
  <c r="B6" i="25" s="1"/>
  <c r="U46" i="40"/>
  <c r="I46" i="40"/>
  <c r="S45" i="40"/>
  <c r="T46" i="40"/>
  <c r="X6" i="25" s="1"/>
  <c r="H46" i="40"/>
  <c r="R46" i="40"/>
  <c r="T45" i="40"/>
  <c r="Q45" i="40"/>
  <c r="J45" i="40"/>
  <c r="I45" i="40"/>
  <c r="O45" i="40"/>
  <c r="N45" i="40"/>
  <c r="Y45" i="40"/>
  <c r="M45" i="40"/>
  <c r="X45" i="40"/>
  <c r="L45" i="40"/>
  <c r="W45" i="40"/>
  <c r="S44" i="40"/>
  <c r="O44" i="40"/>
  <c r="N44" i="40"/>
  <c r="Y44" i="40"/>
  <c r="M44" i="40"/>
  <c r="X44" i="40"/>
  <c r="L44" i="40"/>
  <c r="W44" i="40"/>
  <c r="K44" i="40"/>
  <c r="V44" i="40"/>
  <c r="W3" i="25" s="1"/>
  <c r="J44" i="40"/>
  <c r="U44" i="40"/>
  <c r="T3" i="25" s="1"/>
  <c r="I44" i="40"/>
  <c r="T44" i="40"/>
  <c r="X3" i="25" s="1"/>
  <c r="H44" i="40"/>
  <c r="R44" i="40"/>
  <c r="V43" i="40"/>
  <c r="W4" i="25" s="1"/>
  <c r="S43" i="40"/>
  <c r="R43" i="40"/>
  <c r="J43" i="40"/>
  <c r="C4" i="25" s="1"/>
  <c r="O43" i="40"/>
  <c r="N43" i="40"/>
  <c r="Y43" i="40"/>
  <c r="M43" i="40"/>
  <c r="J4" i="25" s="1"/>
  <c r="X43" i="40"/>
  <c r="L43" i="40"/>
  <c r="W43" i="40"/>
  <c r="Y4" i="25" s="1"/>
  <c r="K43" i="40"/>
  <c r="U43" i="40"/>
  <c r="R4" i="25" s="1"/>
  <c r="I43" i="40"/>
  <c r="T43" i="40"/>
  <c r="X4" i="25" s="1"/>
  <c r="H43" i="40"/>
  <c r="S42" i="40"/>
  <c r="R42" i="40"/>
  <c r="O42" i="40"/>
  <c r="N42" i="40"/>
  <c r="Y42" i="40"/>
  <c r="M42" i="40"/>
  <c r="X42" i="40"/>
  <c r="L42" i="40"/>
  <c r="W42" i="40"/>
  <c r="K42" i="40"/>
  <c r="V42" i="40"/>
  <c r="J42" i="40"/>
  <c r="U42" i="40"/>
  <c r="I42" i="40"/>
  <c r="T42" i="40"/>
  <c r="H42" i="40"/>
  <c r="V41" i="40"/>
  <c r="S41" i="40"/>
  <c r="R41" i="40"/>
  <c r="Q41" i="40"/>
  <c r="J41" i="40"/>
  <c r="O41" i="40"/>
  <c r="N41" i="40"/>
  <c r="Y41" i="40"/>
  <c r="M41" i="40"/>
  <c r="X41" i="40"/>
  <c r="L41" i="40"/>
  <c r="W41" i="40"/>
  <c r="K41" i="40"/>
  <c r="U41" i="40"/>
  <c r="I41" i="40"/>
  <c r="T41" i="40"/>
  <c r="S40" i="40"/>
  <c r="R40" i="40"/>
  <c r="O40" i="40"/>
  <c r="N40" i="40"/>
  <c r="Y40" i="40"/>
  <c r="M40" i="40"/>
  <c r="X40" i="40"/>
  <c r="L40" i="40"/>
  <c r="W40" i="40"/>
  <c r="K40" i="40"/>
  <c r="V40" i="40"/>
  <c r="J40" i="40"/>
  <c r="U40" i="40"/>
  <c r="I40" i="40"/>
  <c r="T40" i="40"/>
  <c r="H40" i="40"/>
  <c r="U39" i="40"/>
  <c r="T39" i="40"/>
  <c r="S39" i="40"/>
  <c r="R39" i="40"/>
  <c r="I39" i="40"/>
  <c r="H39" i="40"/>
  <c r="Q39" i="40"/>
  <c r="O39" i="40"/>
  <c r="N39" i="40"/>
  <c r="Y39" i="40"/>
  <c r="M39" i="40"/>
  <c r="X39" i="40"/>
  <c r="L39" i="40"/>
  <c r="W39" i="40"/>
  <c r="K39" i="40"/>
  <c r="I37" i="40"/>
  <c r="V39" i="40"/>
  <c r="U38" i="40"/>
  <c r="S38" i="40"/>
  <c r="O38" i="40"/>
  <c r="N38" i="40"/>
  <c r="Y38" i="40"/>
  <c r="M38" i="40"/>
  <c r="X38" i="40"/>
  <c r="L38" i="40"/>
  <c r="W38" i="40"/>
  <c r="K38" i="40"/>
  <c r="V38" i="40"/>
  <c r="J38" i="40"/>
  <c r="I38" i="40"/>
  <c r="T38" i="40"/>
  <c r="H38" i="40"/>
  <c r="R38" i="40"/>
  <c r="U37" i="40"/>
  <c r="S37" i="40"/>
  <c r="O37" i="40"/>
  <c r="N37" i="40"/>
  <c r="Y37" i="40"/>
  <c r="M37" i="40"/>
  <c r="X37" i="40"/>
  <c r="L37" i="40"/>
  <c r="W37" i="40"/>
  <c r="Y9" i="25" s="1"/>
  <c r="K37" i="40"/>
  <c r="V37" i="40"/>
  <c r="J37" i="40"/>
  <c r="B9" i="25" s="1"/>
  <c r="T37" i="40"/>
  <c r="H37" i="40"/>
  <c r="R37" i="40"/>
  <c r="U36" i="40"/>
  <c r="O8" i="25" s="1"/>
  <c r="S36" i="40"/>
  <c r="R36" i="40"/>
  <c r="V36" i="40"/>
  <c r="W8" i="25" s="1"/>
  <c r="Q36" i="40"/>
  <c r="J36" i="40"/>
  <c r="D8" i="25" s="1"/>
  <c r="I36" i="40"/>
  <c r="O36" i="40"/>
  <c r="N36" i="40"/>
  <c r="Y36" i="40"/>
  <c r="M36" i="40"/>
  <c r="K8" i="25" s="1"/>
  <c r="X36" i="40"/>
  <c r="L36" i="40"/>
  <c r="W36" i="40"/>
  <c r="Y8" i="25" s="1"/>
  <c r="K36" i="40"/>
  <c r="T36" i="40"/>
  <c r="X8" i="25" s="1"/>
  <c r="X35" i="40"/>
  <c r="V35" i="40"/>
  <c r="U35" i="40"/>
  <c r="S35" i="40"/>
  <c r="Q35" i="40"/>
  <c r="L35" i="40"/>
  <c r="J35" i="40"/>
  <c r="I35" i="40"/>
  <c r="O35" i="40"/>
  <c r="N35" i="40"/>
  <c r="Y35" i="40"/>
  <c r="M35" i="40"/>
  <c r="W35" i="40"/>
  <c r="K35" i="40"/>
  <c r="T35" i="40"/>
  <c r="H35" i="40"/>
  <c r="S34" i="40"/>
  <c r="O34" i="40"/>
  <c r="N34" i="40"/>
  <c r="Y34" i="40"/>
  <c r="M34" i="40"/>
  <c r="X34" i="40"/>
  <c r="L34" i="40"/>
  <c r="W34" i="40"/>
  <c r="K34" i="40"/>
  <c r="V34" i="40"/>
  <c r="W11" i="25" s="1"/>
  <c r="J34" i="40"/>
  <c r="U34" i="40"/>
  <c r="I34" i="40"/>
  <c r="T34" i="40"/>
  <c r="H34" i="40"/>
  <c r="R34" i="40"/>
  <c r="X33" i="40"/>
  <c r="S33" i="40"/>
  <c r="R33" i="40"/>
  <c r="Q33" i="40"/>
  <c r="L33" i="40"/>
  <c r="O33" i="40"/>
  <c r="N33" i="40"/>
  <c r="Y33" i="40"/>
  <c r="M33" i="40"/>
  <c r="W33" i="40"/>
  <c r="K33" i="40"/>
  <c r="V33" i="40"/>
  <c r="J33" i="40"/>
  <c r="U33" i="40"/>
  <c r="I33" i="40"/>
  <c r="T33" i="40"/>
  <c r="T32" i="40"/>
  <c r="M32" i="40"/>
  <c r="U32" i="40"/>
  <c r="S32" i="40"/>
  <c r="J32" i="40"/>
  <c r="I32" i="40"/>
  <c r="K32" i="40"/>
  <c r="H32" i="40"/>
  <c r="Y32" i="40"/>
  <c r="W32" i="40"/>
  <c r="V32" i="40"/>
  <c r="O32" i="40"/>
  <c r="N32" i="40"/>
  <c r="X32" i="40"/>
  <c r="L32" i="40"/>
  <c r="S30" i="40"/>
  <c r="R32" i="40"/>
  <c r="T31" i="40"/>
  <c r="V31" i="40"/>
  <c r="J31" i="40"/>
  <c r="H31" i="40"/>
  <c r="S31" i="40"/>
  <c r="Q31" i="40"/>
  <c r="O31" i="40"/>
  <c r="N31" i="40"/>
  <c r="Y31" i="40"/>
  <c r="M31" i="40"/>
  <c r="X31" i="40"/>
  <c r="L31" i="40"/>
  <c r="W31" i="40"/>
  <c r="K31" i="40"/>
  <c r="U31" i="40"/>
  <c r="I31" i="40"/>
  <c r="R30" i="40"/>
  <c r="O30" i="40"/>
  <c r="N30" i="40"/>
  <c r="Y30" i="40"/>
  <c r="M30" i="40"/>
  <c r="X30" i="40"/>
  <c r="L30" i="40"/>
  <c r="W30" i="40"/>
  <c r="K30" i="40"/>
  <c r="V30" i="40"/>
  <c r="J30" i="40"/>
  <c r="U30" i="40"/>
  <c r="I30" i="40"/>
  <c r="T30" i="40"/>
  <c r="H30" i="40"/>
  <c r="S29" i="40"/>
  <c r="O29" i="40"/>
  <c r="N29" i="40"/>
  <c r="Y29" i="40"/>
  <c r="M29" i="40"/>
  <c r="X29" i="40"/>
  <c r="L29" i="40"/>
  <c r="W29" i="40"/>
  <c r="K29" i="40"/>
  <c r="V29" i="40"/>
  <c r="J29" i="40"/>
  <c r="U29" i="40"/>
  <c r="I29" i="40"/>
  <c r="T29" i="40"/>
  <c r="H29" i="40"/>
  <c r="Q28" i="40"/>
  <c r="R29" i="40"/>
  <c r="S28" i="40"/>
  <c r="R28" i="40"/>
  <c r="O28" i="40"/>
  <c r="N28" i="40"/>
  <c r="Y28" i="40"/>
  <c r="M28" i="40"/>
  <c r="X28" i="40"/>
  <c r="L28" i="40"/>
  <c r="W28" i="40"/>
  <c r="K28" i="40"/>
  <c r="V28" i="40"/>
  <c r="J28" i="40"/>
  <c r="U28" i="40"/>
  <c r="I28" i="40"/>
  <c r="T28" i="40"/>
  <c r="S27" i="40"/>
  <c r="O27" i="40"/>
  <c r="N27" i="40"/>
  <c r="Y27" i="40"/>
  <c r="M27" i="40"/>
  <c r="V25" i="40"/>
  <c r="X27" i="40"/>
  <c r="L27" i="40"/>
  <c r="I25" i="40"/>
  <c r="W27" i="40"/>
  <c r="K27" i="40"/>
  <c r="V27" i="40"/>
  <c r="J27" i="40"/>
  <c r="U27" i="40"/>
  <c r="I27" i="40"/>
  <c r="T27" i="40"/>
  <c r="H27" i="40"/>
  <c r="H26" i="40"/>
  <c r="R27" i="40"/>
  <c r="R26" i="40"/>
  <c r="S26" i="40"/>
  <c r="T26" i="40"/>
  <c r="O26" i="40"/>
  <c r="N26" i="40"/>
  <c r="Y26" i="40"/>
  <c r="M26" i="40"/>
  <c r="X26" i="40"/>
  <c r="L26" i="40"/>
  <c r="W26" i="40"/>
  <c r="K26" i="40"/>
  <c r="V26" i="40"/>
  <c r="J26" i="40"/>
  <c r="U26" i="40"/>
  <c r="I26" i="40"/>
  <c r="U25" i="40"/>
  <c r="J25" i="40"/>
  <c r="O25" i="40"/>
  <c r="N25" i="40"/>
  <c r="Y25" i="40"/>
  <c r="M25" i="40"/>
  <c r="R25" i="40"/>
  <c r="X25" i="40"/>
  <c r="L25" i="40"/>
  <c r="W25" i="40"/>
  <c r="K25" i="40"/>
  <c r="T25" i="40"/>
  <c r="H25" i="40"/>
  <c r="S25" i="40"/>
  <c r="T24" i="40"/>
  <c r="S24" i="40"/>
  <c r="Q24" i="40"/>
  <c r="H24" i="40"/>
  <c r="O24" i="40"/>
  <c r="N24" i="40"/>
  <c r="Y24" i="40"/>
  <c r="M24" i="40"/>
  <c r="X24" i="40"/>
  <c r="L24" i="40"/>
  <c r="W24" i="40"/>
  <c r="K24" i="40"/>
  <c r="V24" i="40"/>
  <c r="J24" i="40"/>
  <c r="U24" i="40"/>
  <c r="I24" i="40"/>
  <c r="J23" i="40"/>
  <c r="V23" i="40"/>
  <c r="U23" i="40"/>
  <c r="I23" i="40"/>
  <c r="R23" i="40"/>
  <c r="Y23" i="40"/>
  <c r="M23" i="40"/>
  <c r="O23" i="40"/>
  <c r="X23" i="40"/>
  <c r="L23" i="40"/>
  <c r="S23" i="40"/>
  <c r="N23" i="40"/>
  <c r="W23" i="40"/>
  <c r="K23" i="40"/>
  <c r="T23" i="40"/>
  <c r="H23" i="40"/>
  <c r="T22" i="40"/>
  <c r="Q22" i="40"/>
  <c r="S22" i="40"/>
  <c r="R22" i="40"/>
  <c r="O22" i="40"/>
  <c r="H22" i="40"/>
  <c r="N22" i="40"/>
  <c r="I22" i="40"/>
  <c r="U22" i="40"/>
  <c r="Y22" i="40"/>
  <c r="M22" i="40"/>
  <c r="X22" i="40"/>
  <c r="L22" i="40"/>
  <c r="P22" i="40" s="1"/>
  <c r="W22" i="40"/>
  <c r="K22" i="40"/>
  <c r="V22" i="40"/>
  <c r="S21" i="40"/>
  <c r="R21" i="40"/>
  <c r="O21" i="40"/>
  <c r="N21" i="40"/>
  <c r="Y21" i="40"/>
  <c r="M21" i="40"/>
  <c r="X21" i="40"/>
  <c r="L21" i="40"/>
  <c r="W21" i="40"/>
  <c r="K21" i="40"/>
  <c r="V21" i="40"/>
  <c r="J21" i="40"/>
  <c r="U21" i="40"/>
  <c r="I21" i="40"/>
  <c r="T21" i="40"/>
  <c r="H21" i="40"/>
  <c r="N20" i="40"/>
  <c r="Y20" i="40"/>
  <c r="M20" i="40"/>
  <c r="O20" i="40"/>
  <c r="X20" i="40"/>
  <c r="L20" i="40"/>
  <c r="W20" i="40"/>
  <c r="K20" i="40"/>
  <c r="V20" i="40"/>
  <c r="J20" i="40"/>
  <c r="U20" i="40"/>
  <c r="I20" i="40"/>
  <c r="T20" i="40"/>
  <c r="H20" i="40"/>
  <c r="V19" i="40"/>
  <c r="R20" i="40"/>
  <c r="S20" i="40"/>
  <c r="S19" i="40"/>
  <c r="J19" i="40"/>
  <c r="R19" i="40"/>
  <c r="Q19" i="40"/>
  <c r="O19" i="40"/>
  <c r="N19" i="40"/>
  <c r="Y19" i="40"/>
  <c r="M19" i="40"/>
  <c r="X19" i="40"/>
  <c r="L19" i="40"/>
  <c r="W19" i="40"/>
  <c r="K19" i="40"/>
  <c r="U19" i="40"/>
  <c r="I19" i="40"/>
  <c r="T19" i="40"/>
  <c r="M18" i="40"/>
  <c r="Y18" i="40"/>
  <c r="X18" i="40"/>
  <c r="O18" i="40"/>
  <c r="L18" i="40"/>
  <c r="S18" i="40"/>
  <c r="N18" i="40"/>
  <c r="W18" i="40"/>
  <c r="K18" i="40"/>
  <c r="V18" i="40"/>
  <c r="J18" i="40"/>
  <c r="U18" i="40"/>
  <c r="I18" i="40"/>
  <c r="T18" i="40"/>
  <c r="H18" i="40"/>
  <c r="R18" i="40"/>
  <c r="T17" i="40"/>
  <c r="S17" i="40"/>
  <c r="R17" i="40"/>
  <c r="H17" i="40"/>
  <c r="Q17" i="40"/>
  <c r="O17" i="40"/>
  <c r="N17" i="40"/>
  <c r="Y17" i="40"/>
  <c r="M17" i="40"/>
  <c r="X17" i="40"/>
  <c r="L17" i="40"/>
  <c r="W17" i="40"/>
  <c r="K17" i="40"/>
  <c r="V17" i="40"/>
  <c r="J17" i="40"/>
  <c r="U17" i="40"/>
  <c r="R16" i="40"/>
  <c r="S16" i="40"/>
  <c r="Q16" i="40"/>
  <c r="O16" i="40"/>
  <c r="N16" i="40"/>
  <c r="Y16" i="40"/>
  <c r="X16" i="40"/>
  <c r="L16" i="40"/>
  <c r="M16" i="40"/>
  <c r="W16" i="40"/>
  <c r="K16" i="40"/>
  <c r="V16" i="40"/>
  <c r="J16" i="40"/>
  <c r="U16" i="40"/>
  <c r="I16" i="40"/>
  <c r="T16" i="40"/>
  <c r="R15" i="40"/>
  <c r="Q15" i="40"/>
  <c r="O15" i="40"/>
  <c r="I12" i="40"/>
  <c r="N15" i="40"/>
  <c r="Y15" i="40"/>
  <c r="M15" i="40"/>
  <c r="X15" i="40"/>
  <c r="L15" i="40"/>
  <c r="W15" i="40"/>
  <c r="K15" i="40"/>
  <c r="V15" i="40"/>
  <c r="J15" i="40"/>
  <c r="U15" i="40"/>
  <c r="I15" i="40"/>
  <c r="T15" i="40"/>
  <c r="H15" i="40"/>
  <c r="V14" i="40"/>
  <c r="J14" i="40"/>
  <c r="I14" i="40"/>
  <c r="U14" i="40"/>
  <c r="O14" i="40"/>
  <c r="N14" i="40"/>
  <c r="Y14" i="40"/>
  <c r="M14" i="40"/>
  <c r="S14" i="40"/>
  <c r="X14" i="40"/>
  <c r="L14" i="40"/>
  <c r="J12" i="40"/>
  <c r="W14" i="40"/>
  <c r="K14" i="40"/>
  <c r="T14" i="40"/>
  <c r="H14" i="40"/>
  <c r="R14" i="40"/>
  <c r="H13" i="40"/>
  <c r="S13" i="40"/>
  <c r="O13" i="40"/>
  <c r="N13" i="40"/>
  <c r="T13" i="40"/>
  <c r="R13" i="40"/>
  <c r="Y13" i="40"/>
  <c r="M13" i="40"/>
  <c r="X13" i="40"/>
  <c r="L13" i="40"/>
  <c r="W13" i="40"/>
  <c r="K13" i="40"/>
  <c r="Q13" i="40"/>
  <c r="V13" i="40"/>
  <c r="J13" i="40"/>
  <c r="U13" i="40"/>
  <c r="V12" i="40"/>
  <c r="U12" i="40"/>
  <c r="T12" i="40"/>
  <c r="H12" i="40"/>
  <c r="O12" i="40"/>
  <c r="N12" i="40"/>
  <c r="S12" i="40"/>
  <c r="Y12" i="40"/>
  <c r="M12" i="40"/>
  <c r="Q12" i="40"/>
  <c r="X12" i="40"/>
  <c r="L12" i="40"/>
  <c r="W12" i="40"/>
  <c r="K12" i="40"/>
  <c r="S11" i="40"/>
  <c r="J11" i="40"/>
  <c r="V11" i="40"/>
  <c r="U11" i="40"/>
  <c r="T11" i="40"/>
  <c r="I11" i="40"/>
  <c r="H11" i="40"/>
  <c r="N11" i="40"/>
  <c r="Y11" i="40"/>
  <c r="M11" i="40"/>
  <c r="H9" i="40"/>
  <c r="O11" i="40"/>
  <c r="T9" i="40"/>
  <c r="X11" i="40"/>
  <c r="L11" i="40"/>
  <c r="I9" i="40"/>
  <c r="W11" i="40"/>
  <c r="K11" i="40"/>
  <c r="R11" i="40"/>
  <c r="S10" i="40"/>
  <c r="R10" i="40"/>
  <c r="N10" i="40"/>
  <c r="Y10" i="40"/>
  <c r="M10" i="40"/>
  <c r="O10" i="40"/>
  <c r="L10" i="40"/>
  <c r="Q10" i="40"/>
  <c r="X10" i="40"/>
  <c r="W10" i="40"/>
  <c r="K10" i="40"/>
  <c r="U9" i="40"/>
  <c r="V10" i="40"/>
  <c r="J10" i="40"/>
  <c r="U10" i="40"/>
  <c r="I10" i="40"/>
  <c r="S9" i="40"/>
  <c r="T10" i="40"/>
  <c r="O9" i="40"/>
  <c r="N9" i="40"/>
  <c r="R9" i="40"/>
  <c r="Y9" i="40"/>
  <c r="M9" i="40"/>
  <c r="Q9" i="40"/>
  <c r="X9" i="40"/>
  <c r="L9" i="40"/>
  <c r="W9" i="40"/>
  <c r="K9" i="40"/>
  <c r="V9" i="40"/>
  <c r="J8" i="40"/>
  <c r="V8" i="40"/>
  <c r="U8" i="40"/>
  <c r="T8" i="40"/>
  <c r="I8" i="40"/>
  <c r="H8" i="40"/>
  <c r="S8" i="40"/>
  <c r="R8" i="40"/>
  <c r="Q8" i="40"/>
  <c r="O8" i="40"/>
  <c r="N8" i="40"/>
  <c r="Y8" i="40"/>
  <c r="M8" i="40"/>
  <c r="X8" i="40"/>
  <c r="L8" i="40"/>
  <c r="W8" i="40"/>
  <c r="V7" i="40"/>
  <c r="J7" i="40"/>
  <c r="R7" i="40"/>
  <c r="Q7" i="40"/>
  <c r="O7" i="40"/>
  <c r="N7" i="40"/>
  <c r="M7" i="40"/>
  <c r="X7" i="40"/>
  <c r="L7" i="40"/>
  <c r="S7" i="40"/>
  <c r="Y7" i="40"/>
  <c r="W7" i="40"/>
  <c r="K7" i="40"/>
  <c r="U7" i="40"/>
  <c r="I7" i="40"/>
  <c r="T7" i="40"/>
  <c r="S6" i="40"/>
  <c r="Q6" i="40"/>
  <c r="O6" i="40"/>
  <c r="N6" i="40"/>
  <c r="Y6" i="40"/>
  <c r="M6" i="40"/>
  <c r="R6" i="40"/>
  <c r="X6" i="40"/>
  <c r="L6" i="40"/>
  <c r="W6" i="40"/>
  <c r="K6" i="40"/>
  <c r="V6" i="40"/>
  <c r="J6" i="40"/>
  <c r="U6" i="40"/>
  <c r="I6" i="40"/>
  <c r="H6" i="40"/>
  <c r="T5" i="40"/>
  <c r="S5" i="40"/>
  <c r="U5" i="40"/>
  <c r="I5" i="40"/>
  <c r="H5" i="40"/>
  <c r="Q5" i="40"/>
  <c r="N5" i="40"/>
  <c r="M5" i="40"/>
  <c r="L5" i="40"/>
  <c r="O5" i="40"/>
  <c r="Y5" i="40"/>
  <c r="K5" i="40"/>
  <c r="R5" i="40"/>
  <c r="X5" i="40"/>
  <c r="T3" i="40"/>
  <c r="W5" i="40"/>
  <c r="S3" i="40"/>
  <c r="V5" i="40"/>
  <c r="W4" i="40"/>
  <c r="V4" i="40"/>
  <c r="U4" i="40"/>
  <c r="J4" i="40"/>
  <c r="D13" i="25" s="1"/>
  <c r="T4" i="40"/>
  <c r="S4" i="40"/>
  <c r="R4" i="40"/>
  <c r="Q4" i="40"/>
  <c r="K4" i="40"/>
  <c r="I4" i="40"/>
  <c r="H4" i="40"/>
  <c r="L3" i="40"/>
  <c r="K3" i="40"/>
  <c r="H3" i="40"/>
  <c r="X3" i="40"/>
  <c r="V3" i="40"/>
  <c r="Y4" i="40"/>
  <c r="M4" i="40"/>
  <c r="O4" i="40"/>
  <c r="W3" i="40"/>
  <c r="N4" i="40"/>
  <c r="U3" i="40"/>
  <c r="X4" i="40"/>
  <c r="J3" i="40"/>
  <c r="I3" i="40"/>
  <c r="N3" i="40"/>
  <c r="R3" i="40"/>
  <c r="O3" i="40"/>
  <c r="Y3" i="40"/>
  <c r="M3" i="40"/>
  <c r="H2" i="40"/>
  <c r="Q2" i="40"/>
  <c r="O2" i="40"/>
  <c r="N2" i="40"/>
  <c r="V2" i="40"/>
  <c r="J2" i="40"/>
  <c r="D12" i="25" s="1"/>
  <c r="U2" i="40"/>
  <c r="I2" i="40"/>
  <c r="M2" i="40"/>
  <c r="T2" i="40"/>
  <c r="S2" i="40"/>
  <c r="L2" i="40"/>
  <c r="R2" i="40"/>
  <c r="Y2" i="40"/>
  <c r="X2" i="40"/>
  <c r="W2" i="40"/>
  <c r="L32" i="54"/>
  <c r="L33" i="54"/>
  <c r="G20" i="54"/>
  <c r="G24" i="54"/>
  <c r="G31" i="54"/>
  <c r="B3" i="54"/>
  <c r="B4" i="54"/>
  <c r="B5" i="54"/>
  <c r="B6" i="54"/>
  <c r="B7" i="54"/>
  <c r="B8" i="54"/>
  <c r="B9" i="54"/>
  <c r="B10" i="54"/>
  <c r="B11" i="54"/>
  <c r="B12" i="54"/>
  <c r="B13" i="54"/>
  <c r="B14" i="54"/>
  <c r="B15" i="54"/>
  <c r="B16" i="54"/>
  <c r="B17" i="54"/>
  <c r="B18" i="54"/>
  <c r="B19" i="54"/>
  <c r="B20" i="54"/>
  <c r="B21" i="54"/>
  <c r="B22" i="54"/>
  <c r="B23" i="54"/>
  <c r="B24" i="54"/>
  <c r="B25" i="54"/>
  <c r="B26" i="54"/>
  <c r="B27" i="54"/>
  <c r="B28" i="54"/>
  <c r="B29" i="54"/>
  <c r="B30" i="54"/>
  <c r="B31" i="54"/>
  <c r="B32" i="54"/>
  <c r="B33" i="54"/>
  <c r="C3" i="54"/>
  <c r="C4" i="54"/>
  <c r="C5" i="54"/>
  <c r="C6" i="54"/>
  <c r="C7" i="54"/>
  <c r="C8" i="54"/>
  <c r="C9" i="54"/>
  <c r="C10" i="54"/>
  <c r="C11" i="54"/>
  <c r="C12" i="54"/>
  <c r="C13" i="54"/>
  <c r="C14" i="54"/>
  <c r="C15" i="54"/>
  <c r="C16" i="54"/>
  <c r="C17" i="54"/>
  <c r="C18" i="54"/>
  <c r="C19" i="54"/>
  <c r="C20" i="54"/>
  <c r="C21" i="54"/>
  <c r="C22" i="54"/>
  <c r="C23" i="54"/>
  <c r="C24" i="54"/>
  <c r="C25" i="54"/>
  <c r="C26" i="54"/>
  <c r="C27" i="54"/>
  <c r="C28" i="54"/>
  <c r="C29" i="54"/>
  <c r="C30" i="54"/>
  <c r="C31" i="54"/>
  <c r="C32" i="54"/>
  <c r="C33" i="54"/>
  <c r="D3" i="54"/>
  <c r="D4" i="54"/>
  <c r="D5" i="54"/>
  <c r="D6" i="54"/>
  <c r="D7" i="54"/>
  <c r="D8" i="54"/>
  <c r="D9" i="54"/>
  <c r="D10" i="54"/>
  <c r="D11" i="54"/>
  <c r="D12" i="54"/>
  <c r="D13" i="54"/>
  <c r="D14" i="54"/>
  <c r="D15" i="54"/>
  <c r="D16" i="54"/>
  <c r="D17" i="54"/>
  <c r="D18" i="54"/>
  <c r="D19" i="54"/>
  <c r="D20" i="54"/>
  <c r="D21" i="54"/>
  <c r="D22" i="54"/>
  <c r="D23" i="54"/>
  <c r="D24" i="54"/>
  <c r="D25" i="54"/>
  <c r="D26" i="54"/>
  <c r="D27" i="54"/>
  <c r="D28" i="54"/>
  <c r="D29" i="54"/>
  <c r="D30" i="54"/>
  <c r="D31" i="54"/>
  <c r="D32" i="54"/>
  <c r="D33" i="54"/>
  <c r="E3" i="54"/>
  <c r="E4" i="54"/>
  <c r="E5" i="54"/>
  <c r="E6" i="54"/>
  <c r="E7" i="54"/>
  <c r="E8" i="54"/>
  <c r="E9" i="54"/>
  <c r="E10" i="54"/>
  <c r="E11" i="54"/>
  <c r="E12" i="54"/>
  <c r="E13" i="54"/>
  <c r="E14" i="54"/>
  <c r="E15" i="54"/>
  <c r="E16" i="54"/>
  <c r="E17" i="54"/>
  <c r="E18" i="54"/>
  <c r="E19" i="54"/>
  <c r="E20" i="54"/>
  <c r="E21" i="54"/>
  <c r="E22" i="54"/>
  <c r="E23" i="54"/>
  <c r="E24" i="54"/>
  <c r="E25" i="54"/>
  <c r="E26" i="54"/>
  <c r="E27" i="54"/>
  <c r="E28" i="54"/>
  <c r="E29" i="54"/>
  <c r="E30" i="54"/>
  <c r="E31" i="54"/>
  <c r="E32" i="54"/>
  <c r="E33" i="54"/>
  <c r="F3" i="54"/>
  <c r="F4" i="54"/>
  <c r="F5" i="54"/>
  <c r="F6" i="54"/>
  <c r="F7" i="54"/>
  <c r="F8" i="54"/>
  <c r="F9" i="54"/>
  <c r="F10" i="54"/>
  <c r="F11" i="54"/>
  <c r="F12" i="54"/>
  <c r="F13" i="54"/>
  <c r="F14" i="54"/>
  <c r="F15" i="54"/>
  <c r="F16" i="54"/>
  <c r="F17" i="54"/>
  <c r="F18" i="54"/>
  <c r="F19" i="54"/>
  <c r="F20" i="54"/>
  <c r="F21" i="54"/>
  <c r="F22" i="54"/>
  <c r="F23" i="54"/>
  <c r="F24" i="54"/>
  <c r="F25" i="54"/>
  <c r="F26" i="54"/>
  <c r="F27" i="54"/>
  <c r="F28" i="54"/>
  <c r="F29" i="54"/>
  <c r="F30" i="54"/>
  <c r="F31" i="54"/>
  <c r="F32" i="54"/>
  <c r="F33" i="54"/>
  <c r="G3" i="54"/>
  <c r="G4" i="54"/>
  <c r="G5" i="54"/>
  <c r="G6" i="54"/>
  <c r="G7" i="54"/>
  <c r="G8" i="54"/>
  <c r="G9" i="54"/>
  <c r="G10" i="54"/>
  <c r="G11" i="54"/>
  <c r="G12" i="54"/>
  <c r="G13" i="54"/>
  <c r="G14" i="54"/>
  <c r="G15" i="54"/>
  <c r="G16" i="54"/>
  <c r="G17" i="54"/>
  <c r="G18" i="54"/>
  <c r="G19" i="54"/>
  <c r="G21" i="54"/>
  <c r="G22" i="54"/>
  <c r="G23" i="54"/>
  <c r="G25" i="54"/>
  <c r="G26" i="54"/>
  <c r="G27" i="54"/>
  <c r="G28" i="54"/>
  <c r="G29" i="54"/>
  <c r="G30" i="54"/>
  <c r="G32" i="54"/>
  <c r="G33" i="54"/>
  <c r="H3" i="54"/>
  <c r="H4" i="54"/>
  <c r="H5" i="54"/>
  <c r="H6" i="54"/>
  <c r="H7" i="54"/>
  <c r="H8" i="54"/>
  <c r="H9" i="54"/>
  <c r="H10" i="54"/>
  <c r="H11" i="54"/>
  <c r="H12" i="54"/>
  <c r="H13" i="54"/>
  <c r="H14" i="54"/>
  <c r="H15" i="54"/>
  <c r="H16" i="54"/>
  <c r="H17" i="54"/>
  <c r="H18" i="54"/>
  <c r="H19" i="54"/>
  <c r="H20" i="54"/>
  <c r="H21" i="54"/>
  <c r="H22" i="54"/>
  <c r="H23" i="54"/>
  <c r="H24" i="54"/>
  <c r="H25" i="54"/>
  <c r="H26" i="54"/>
  <c r="H27" i="54"/>
  <c r="H28" i="54"/>
  <c r="H29" i="54"/>
  <c r="H30" i="54"/>
  <c r="H31" i="54"/>
  <c r="H32" i="54"/>
  <c r="H33" i="54"/>
  <c r="I3" i="54"/>
  <c r="I4" i="54"/>
  <c r="I5" i="54"/>
  <c r="I6" i="54"/>
  <c r="I7" i="54"/>
  <c r="I8" i="54"/>
  <c r="I9" i="54"/>
  <c r="I10" i="54"/>
  <c r="I11" i="54"/>
  <c r="I12" i="54"/>
  <c r="I13" i="54"/>
  <c r="I14" i="54"/>
  <c r="I15" i="54"/>
  <c r="I16" i="54"/>
  <c r="I17" i="54"/>
  <c r="I18" i="54"/>
  <c r="I19" i="54"/>
  <c r="I20" i="54"/>
  <c r="I21" i="54"/>
  <c r="I22" i="54"/>
  <c r="I23" i="54"/>
  <c r="I24" i="54"/>
  <c r="I25" i="54"/>
  <c r="I26" i="54"/>
  <c r="I27" i="54"/>
  <c r="I28" i="54"/>
  <c r="I29" i="54"/>
  <c r="I30" i="54"/>
  <c r="I31" i="54"/>
  <c r="I32" i="54"/>
  <c r="I33" i="54"/>
  <c r="K3" i="54"/>
  <c r="K4" i="54"/>
  <c r="K5" i="54"/>
  <c r="K6" i="54"/>
  <c r="K7" i="54"/>
  <c r="K8" i="54"/>
  <c r="K9" i="54"/>
  <c r="K10" i="54"/>
  <c r="K11" i="54"/>
  <c r="K12" i="54"/>
  <c r="K13" i="54"/>
  <c r="K14" i="54"/>
  <c r="K15" i="54"/>
  <c r="K16" i="54"/>
  <c r="K17" i="54"/>
  <c r="K18" i="54"/>
  <c r="K19" i="54"/>
  <c r="K20" i="54"/>
  <c r="K21" i="54"/>
  <c r="K22" i="54"/>
  <c r="K23" i="54"/>
  <c r="K24" i="54"/>
  <c r="K25" i="54"/>
  <c r="K26" i="54"/>
  <c r="K27" i="54"/>
  <c r="K28" i="54"/>
  <c r="K29" i="54"/>
  <c r="K30" i="54"/>
  <c r="K31" i="54"/>
  <c r="K32" i="54"/>
  <c r="K33" i="54"/>
  <c r="L3" i="54"/>
  <c r="L4" i="54"/>
  <c r="L5" i="54"/>
  <c r="L6" i="54"/>
  <c r="L7" i="54"/>
  <c r="L8" i="54"/>
  <c r="L9" i="54"/>
  <c r="L10" i="54"/>
  <c r="L11" i="54"/>
  <c r="L12" i="54"/>
  <c r="L13" i="54"/>
  <c r="L14" i="54"/>
  <c r="L15" i="54"/>
  <c r="L16" i="54"/>
  <c r="L17" i="54"/>
  <c r="L18" i="54"/>
  <c r="L19" i="54"/>
  <c r="L20" i="54"/>
  <c r="L21" i="54"/>
  <c r="L22" i="54"/>
  <c r="L23" i="54"/>
  <c r="L24" i="54"/>
  <c r="L25" i="54"/>
  <c r="L26" i="54"/>
  <c r="L27" i="54"/>
  <c r="L28" i="54"/>
  <c r="L29" i="54"/>
  <c r="L30" i="54"/>
  <c r="L31" i="54"/>
  <c r="O3" i="54"/>
  <c r="O4" i="54"/>
  <c r="O5" i="54"/>
  <c r="O6" i="54"/>
  <c r="O7" i="54"/>
  <c r="O8" i="54"/>
  <c r="O9" i="54"/>
  <c r="O10" i="54"/>
  <c r="O11" i="54"/>
  <c r="O12" i="54"/>
  <c r="O13" i="54"/>
  <c r="O14" i="54"/>
  <c r="O15" i="54"/>
  <c r="O16" i="54"/>
  <c r="O17" i="54"/>
  <c r="O18" i="54"/>
  <c r="O19" i="54"/>
  <c r="O20" i="54"/>
  <c r="O21" i="54"/>
  <c r="O22" i="54"/>
  <c r="O23" i="54"/>
  <c r="O24" i="54"/>
  <c r="O25" i="54"/>
  <c r="O26" i="54"/>
  <c r="O27" i="54"/>
  <c r="O28" i="54"/>
  <c r="O29" i="54"/>
  <c r="O30" i="54"/>
  <c r="O31" i="54"/>
  <c r="O32" i="54"/>
  <c r="O33" i="54"/>
  <c r="P3" i="54"/>
  <c r="P4" i="54"/>
  <c r="P5" i="54"/>
  <c r="P6" i="54"/>
  <c r="P7" i="54"/>
  <c r="P8" i="54"/>
  <c r="P9" i="54"/>
  <c r="P10" i="54"/>
  <c r="P11" i="54"/>
  <c r="P12" i="54"/>
  <c r="P13" i="54"/>
  <c r="P14" i="54"/>
  <c r="P15" i="54"/>
  <c r="P16" i="54"/>
  <c r="P17" i="54"/>
  <c r="P18" i="54"/>
  <c r="P19" i="54"/>
  <c r="P20" i="54"/>
  <c r="P21" i="54"/>
  <c r="P22" i="54"/>
  <c r="P23" i="54"/>
  <c r="P24" i="54"/>
  <c r="P25" i="54"/>
  <c r="P26" i="54"/>
  <c r="P27" i="54"/>
  <c r="P28" i="54"/>
  <c r="P29" i="54"/>
  <c r="P30" i="54"/>
  <c r="P31" i="54"/>
  <c r="P32" i="54"/>
  <c r="P33" i="54"/>
  <c r="Q3" i="54"/>
  <c r="Q4" i="54"/>
  <c r="Q5" i="54"/>
  <c r="Q6" i="54"/>
  <c r="Q7" i="54"/>
  <c r="Q8" i="54"/>
  <c r="Q9" i="54"/>
  <c r="Q10" i="54"/>
  <c r="Q11" i="54"/>
  <c r="Q12" i="54"/>
  <c r="Q13" i="54"/>
  <c r="Q14" i="54"/>
  <c r="Q15" i="54"/>
  <c r="Q16" i="54"/>
  <c r="Q17" i="54"/>
  <c r="Q18" i="54"/>
  <c r="Q19" i="54"/>
  <c r="Q20" i="54"/>
  <c r="Q21" i="54"/>
  <c r="Q22" i="54"/>
  <c r="Q23" i="54"/>
  <c r="Q24" i="54"/>
  <c r="Q25" i="54"/>
  <c r="Q26" i="54"/>
  <c r="Q27" i="54"/>
  <c r="Q28" i="54"/>
  <c r="Q29" i="54"/>
  <c r="Q30" i="54"/>
  <c r="Q31" i="54"/>
  <c r="Q32" i="54"/>
  <c r="Q33" i="54"/>
  <c r="R3" i="54"/>
  <c r="R4" i="54"/>
  <c r="R5" i="54"/>
  <c r="R6" i="54"/>
  <c r="R7" i="54"/>
  <c r="R8" i="54"/>
  <c r="R9" i="54"/>
  <c r="R10" i="54"/>
  <c r="R11" i="54"/>
  <c r="R12" i="54"/>
  <c r="R13" i="54"/>
  <c r="R14" i="54"/>
  <c r="R15" i="54"/>
  <c r="R16" i="54"/>
  <c r="R17" i="54"/>
  <c r="R18" i="54"/>
  <c r="R19" i="54"/>
  <c r="R20" i="54"/>
  <c r="R21" i="54"/>
  <c r="R22" i="54"/>
  <c r="R23" i="54"/>
  <c r="R24" i="54"/>
  <c r="R25" i="54"/>
  <c r="R26" i="54"/>
  <c r="R27" i="54"/>
  <c r="R28" i="54"/>
  <c r="R29" i="54"/>
  <c r="R30" i="54"/>
  <c r="R31" i="54"/>
  <c r="R32" i="54"/>
  <c r="R33" i="54"/>
  <c r="S3" i="54"/>
  <c r="S4" i="54"/>
  <c r="S5" i="54"/>
  <c r="S6" i="54"/>
  <c r="S7" i="54"/>
  <c r="S8" i="54"/>
  <c r="S9" i="54"/>
  <c r="S10" i="54"/>
  <c r="S11" i="54"/>
  <c r="S12" i="54"/>
  <c r="S13" i="54"/>
  <c r="S14" i="54"/>
  <c r="S15" i="54"/>
  <c r="S16" i="54"/>
  <c r="S17" i="54"/>
  <c r="S18" i="54"/>
  <c r="S19" i="54"/>
  <c r="S20" i="54"/>
  <c r="S21" i="54"/>
  <c r="S22" i="54"/>
  <c r="S23" i="54"/>
  <c r="S24" i="54"/>
  <c r="S25" i="54"/>
  <c r="S26" i="54"/>
  <c r="S27" i="54"/>
  <c r="S28" i="54"/>
  <c r="S29" i="54"/>
  <c r="S30" i="54"/>
  <c r="S31" i="54"/>
  <c r="S32" i="54"/>
  <c r="S33" i="54"/>
  <c r="C3" i="53"/>
  <c r="C4" i="53"/>
  <c r="C5" i="53"/>
  <c r="C6" i="53"/>
  <c r="C7" i="53"/>
  <c r="C8" i="53"/>
  <c r="C9" i="53"/>
  <c r="C10" i="53"/>
  <c r="C11" i="53"/>
  <c r="C12" i="53"/>
  <c r="C13" i="53"/>
  <c r="C14" i="53"/>
  <c r="C15" i="53"/>
  <c r="C16" i="53"/>
  <c r="C17" i="53"/>
  <c r="C18" i="53"/>
  <c r="C19" i="53"/>
  <c r="C20" i="53"/>
  <c r="C21" i="53"/>
  <c r="C22" i="53"/>
  <c r="C23" i="53"/>
  <c r="C24" i="53"/>
  <c r="C25" i="53"/>
  <c r="C26" i="53"/>
  <c r="C27" i="53"/>
  <c r="C28" i="53"/>
  <c r="C29" i="53"/>
  <c r="C30" i="53"/>
  <c r="C31" i="53"/>
  <c r="C32" i="53"/>
  <c r="C33" i="53"/>
  <c r="C34" i="53"/>
  <c r="C35" i="53"/>
  <c r="C36" i="53"/>
  <c r="C37" i="53"/>
  <c r="C38" i="53"/>
  <c r="C39" i="53"/>
  <c r="C40" i="53"/>
  <c r="C41" i="53"/>
  <c r="C42" i="53"/>
  <c r="C43" i="53"/>
  <c r="C44" i="53"/>
  <c r="C45" i="53"/>
  <c r="C46" i="53"/>
  <c r="C47" i="53"/>
  <c r="D3" i="53"/>
  <c r="D4" i="53"/>
  <c r="D5" i="53"/>
  <c r="D6" i="53"/>
  <c r="D7" i="53"/>
  <c r="D8" i="53"/>
  <c r="D9" i="53"/>
  <c r="D10" i="53"/>
  <c r="D11" i="53"/>
  <c r="D12" i="53"/>
  <c r="D13" i="53"/>
  <c r="D14" i="53"/>
  <c r="D15" i="53"/>
  <c r="D16" i="53"/>
  <c r="D17" i="53"/>
  <c r="D18" i="53"/>
  <c r="D19" i="53"/>
  <c r="D20" i="53"/>
  <c r="D21" i="53"/>
  <c r="D22" i="53"/>
  <c r="D23" i="53"/>
  <c r="D24" i="53"/>
  <c r="D25" i="53"/>
  <c r="D26" i="53"/>
  <c r="D27" i="53"/>
  <c r="D28" i="53"/>
  <c r="D29" i="53"/>
  <c r="D30" i="53"/>
  <c r="D31" i="53"/>
  <c r="D32" i="53"/>
  <c r="D33" i="53"/>
  <c r="D34" i="53"/>
  <c r="D35" i="53"/>
  <c r="D36" i="53"/>
  <c r="D37" i="53"/>
  <c r="D38" i="53"/>
  <c r="D39" i="53"/>
  <c r="D40" i="53"/>
  <c r="D41" i="53"/>
  <c r="D42" i="53"/>
  <c r="D43" i="53"/>
  <c r="D44" i="53"/>
  <c r="D45" i="53"/>
  <c r="D46" i="53"/>
  <c r="D47" i="53"/>
  <c r="E3" i="53"/>
  <c r="E4" i="53"/>
  <c r="E5" i="53"/>
  <c r="E6" i="53"/>
  <c r="E7" i="53"/>
  <c r="E8" i="53"/>
  <c r="E9" i="53"/>
  <c r="E10" i="53"/>
  <c r="E11" i="53"/>
  <c r="E12" i="53"/>
  <c r="E13" i="53"/>
  <c r="E14" i="53"/>
  <c r="E15" i="53"/>
  <c r="E16" i="53"/>
  <c r="E17" i="53"/>
  <c r="E18" i="53"/>
  <c r="E19" i="53"/>
  <c r="E20" i="53"/>
  <c r="E21" i="53"/>
  <c r="E22" i="53"/>
  <c r="E23" i="53"/>
  <c r="E24" i="53"/>
  <c r="E25" i="53"/>
  <c r="E26" i="53"/>
  <c r="E27" i="53"/>
  <c r="E28" i="53"/>
  <c r="E29" i="53"/>
  <c r="E30" i="53"/>
  <c r="E31" i="53"/>
  <c r="E32" i="53"/>
  <c r="E33" i="53"/>
  <c r="E34" i="53"/>
  <c r="E35" i="53"/>
  <c r="E36" i="53"/>
  <c r="E37" i="53"/>
  <c r="E38" i="53"/>
  <c r="E39" i="53"/>
  <c r="E40" i="53"/>
  <c r="E41" i="53"/>
  <c r="E42" i="53"/>
  <c r="E43" i="53"/>
  <c r="E44" i="53"/>
  <c r="E45" i="53"/>
  <c r="E46" i="53"/>
  <c r="E47" i="53"/>
  <c r="F3" i="53"/>
  <c r="F4" i="53"/>
  <c r="F5" i="53"/>
  <c r="F6" i="53"/>
  <c r="F7" i="53"/>
  <c r="F8" i="53"/>
  <c r="F9" i="53"/>
  <c r="F10" i="53"/>
  <c r="F11" i="53"/>
  <c r="F12" i="53"/>
  <c r="F13" i="53"/>
  <c r="F14" i="53"/>
  <c r="F15" i="53"/>
  <c r="F16" i="53"/>
  <c r="F17" i="53"/>
  <c r="F18" i="53"/>
  <c r="F19" i="53"/>
  <c r="F20" i="53"/>
  <c r="F21" i="53"/>
  <c r="F22" i="53"/>
  <c r="F23" i="53"/>
  <c r="F24" i="53"/>
  <c r="F25" i="53"/>
  <c r="F26" i="53"/>
  <c r="F27" i="53"/>
  <c r="F28" i="53"/>
  <c r="F29" i="53"/>
  <c r="F30" i="53"/>
  <c r="F31" i="53"/>
  <c r="F32" i="53"/>
  <c r="F33" i="53"/>
  <c r="F34" i="53"/>
  <c r="F35" i="53"/>
  <c r="F36" i="53"/>
  <c r="F37" i="53"/>
  <c r="F38" i="53"/>
  <c r="F39" i="53"/>
  <c r="F40" i="53"/>
  <c r="F41" i="53"/>
  <c r="F42" i="53"/>
  <c r="F43" i="53"/>
  <c r="F44" i="53"/>
  <c r="F45" i="53"/>
  <c r="F46" i="53"/>
  <c r="F47" i="53"/>
  <c r="H3" i="53"/>
  <c r="H4" i="53"/>
  <c r="H5" i="53"/>
  <c r="H6" i="53"/>
  <c r="H7" i="53"/>
  <c r="H8" i="53"/>
  <c r="H9" i="53"/>
  <c r="H10" i="53"/>
  <c r="H11" i="53"/>
  <c r="H12" i="53"/>
  <c r="H13" i="53"/>
  <c r="H14" i="53"/>
  <c r="H15" i="53"/>
  <c r="H16" i="53"/>
  <c r="H17" i="53"/>
  <c r="H18" i="53"/>
  <c r="H19" i="53"/>
  <c r="H20" i="53"/>
  <c r="H21" i="53"/>
  <c r="H22" i="53"/>
  <c r="H23" i="53"/>
  <c r="H24" i="53"/>
  <c r="H25" i="53"/>
  <c r="H26" i="53"/>
  <c r="H27" i="53"/>
  <c r="H28" i="53"/>
  <c r="H29" i="53"/>
  <c r="H30" i="53"/>
  <c r="H31" i="53"/>
  <c r="H32" i="53"/>
  <c r="H33" i="53"/>
  <c r="H34" i="53"/>
  <c r="H35" i="53"/>
  <c r="H36" i="53"/>
  <c r="H37" i="53"/>
  <c r="H38" i="53"/>
  <c r="H39" i="53"/>
  <c r="H40" i="53"/>
  <c r="H41" i="53"/>
  <c r="H42" i="53"/>
  <c r="H43" i="53"/>
  <c r="H44" i="53"/>
  <c r="H45" i="53"/>
  <c r="H46" i="53"/>
  <c r="H47" i="53"/>
  <c r="I3" i="53"/>
  <c r="I4" i="53"/>
  <c r="I5" i="53"/>
  <c r="I6" i="53"/>
  <c r="I7" i="53"/>
  <c r="I8" i="53"/>
  <c r="I9" i="53"/>
  <c r="I10" i="53"/>
  <c r="I11" i="53"/>
  <c r="I12" i="53"/>
  <c r="I13" i="53"/>
  <c r="I14" i="53"/>
  <c r="I15" i="53"/>
  <c r="I16" i="53"/>
  <c r="I17" i="53"/>
  <c r="I18" i="53"/>
  <c r="I19" i="53"/>
  <c r="I20" i="53"/>
  <c r="I21" i="53"/>
  <c r="I22" i="53"/>
  <c r="I23" i="53"/>
  <c r="I24" i="53"/>
  <c r="I25" i="53"/>
  <c r="I26" i="53"/>
  <c r="I27" i="53"/>
  <c r="I28" i="53"/>
  <c r="I29" i="53"/>
  <c r="I30" i="53"/>
  <c r="I31" i="53"/>
  <c r="I32" i="53"/>
  <c r="I33" i="53"/>
  <c r="I34" i="53"/>
  <c r="I35" i="53"/>
  <c r="I36" i="53"/>
  <c r="I37" i="53"/>
  <c r="I38" i="53"/>
  <c r="I39" i="53"/>
  <c r="I40" i="53"/>
  <c r="I41" i="53"/>
  <c r="I42" i="53"/>
  <c r="I43" i="53"/>
  <c r="I44" i="53"/>
  <c r="I45" i="53"/>
  <c r="I46" i="53"/>
  <c r="I47" i="53"/>
  <c r="J3" i="53"/>
  <c r="J3" i="54" s="1"/>
  <c r="J4" i="53"/>
  <c r="J4" i="54" s="1"/>
  <c r="J5" i="53"/>
  <c r="J5" i="54" s="1"/>
  <c r="J6" i="53"/>
  <c r="J6" i="54" s="1"/>
  <c r="J7" i="53"/>
  <c r="J7" i="54" s="1"/>
  <c r="J8" i="53"/>
  <c r="J8" i="54" s="1"/>
  <c r="J9" i="53"/>
  <c r="J9" i="54" s="1"/>
  <c r="J10" i="53"/>
  <c r="J10" i="54" s="1"/>
  <c r="J11" i="53"/>
  <c r="J11" i="54" s="1"/>
  <c r="J12" i="53"/>
  <c r="J12" i="54" s="1"/>
  <c r="J13" i="53"/>
  <c r="J13" i="54" s="1"/>
  <c r="J14" i="53"/>
  <c r="J14" i="54" s="1"/>
  <c r="J15" i="53"/>
  <c r="J15" i="54" s="1"/>
  <c r="J16" i="53"/>
  <c r="J16" i="54" s="1"/>
  <c r="J17" i="53"/>
  <c r="J17" i="54" s="1"/>
  <c r="J18" i="53"/>
  <c r="J18" i="54" s="1"/>
  <c r="J19" i="53"/>
  <c r="J19" i="54" s="1"/>
  <c r="J20" i="53"/>
  <c r="J20" i="54" s="1"/>
  <c r="J21" i="53"/>
  <c r="J21" i="54" s="1"/>
  <c r="J22" i="53"/>
  <c r="J22" i="54" s="1"/>
  <c r="J23" i="53"/>
  <c r="J23" i="54" s="1"/>
  <c r="J24" i="53"/>
  <c r="J24" i="54" s="1"/>
  <c r="J25" i="53"/>
  <c r="J25" i="54" s="1"/>
  <c r="J26" i="53"/>
  <c r="J26" i="54" s="1"/>
  <c r="J27" i="53"/>
  <c r="J27" i="54" s="1"/>
  <c r="J28" i="53"/>
  <c r="J28" i="54" s="1"/>
  <c r="J29" i="53"/>
  <c r="J29" i="54" s="1"/>
  <c r="J30" i="53"/>
  <c r="J31" i="53"/>
  <c r="J32" i="53"/>
  <c r="J33" i="53"/>
  <c r="J34" i="53"/>
  <c r="J35" i="53"/>
  <c r="J30" i="54" s="1"/>
  <c r="J36" i="53"/>
  <c r="J31" i="54" s="1"/>
  <c r="J37" i="53"/>
  <c r="J38" i="53"/>
  <c r="J39" i="53"/>
  <c r="J32" i="54" s="1"/>
  <c r="J40" i="53"/>
  <c r="J33" i="54" s="1"/>
  <c r="J41" i="53"/>
  <c r="J42" i="53"/>
  <c r="J43" i="53"/>
  <c r="J44" i="53"/>
  <c r="J45" i="53"/>
  <c r="J46" i="53"/>
  <c r="J47" i="53"/>
  <c r="K3" i="53"/>
  <c r="K4" i="53"/>
  <c r="K5" i="53"/>
  <c r="K6" i="53"/>
  <c r="K7" i="53"/>
  <c r="K8" i="53"/>
  <c r="K9" i="53"/>
  <c r="K10" i="53"/>
  <c r="K11" i="53"/>
  <c r="K12" i="53"/>
  <c r="K13" i="53"/>
  <c r="K14" i="53"/>
  <c r="K15" i="53"/>
  <c r="K16" i="53"/>
  <c r="K17" i="53"/>
  <c r="K18" i="53"/>
  <c r="K19" i="53"/>
  <c r="K20" i="53"/>
  <c r="K21" i="53"/>
  <c r="K22" i="53"/>
  <c r="K23" i="53"/>
  <c r="K24" i="53"/>
  <c r="K25" i="53"/>
  <c r="K26" i="53"/>
  <c r="K27" i="53"/>
  <c r="K28" i="53"/>
  <c r="K29" i="53"/>
  <c r="K30" i="53"/>
  <c r="K31" i="53"/>
  <c r="K32" i="53"/>
  <c r="K33" i="53"/>
  <c r="K34" i="53"/>
  <c r="K35" i="53"/>
  <c r="K36" i="53"/>
  <c r="K37" i="53"/>
  <c r="K38" i="53"/>
  <c r="K39" i="53"/>
  <c r="K40" i="53"/>
  <c r="K41" i="53"/>
  <c r="K42" i="53"/>
  <c r="K43" i="53"/>
  <c r="K44" i="53"/>
  <c r="K45" i="53"/>
  <c r="K46" i="53"/>
  <c r="K47" i="53"/>
  <c r="O3" i="53"/>
  <c r="O4" i="53"/>
  <c r="O5" i="53"/>
  <c r="O6" i="53"/>
  <c r="O7" i="53"/>
  <c r="O8" i="53"/>
  <c r="O9" i="53"/>
  <c r="O10" i="53"/>
  <c r="O11" i="53"/>
  <c r="O12" i="53"/>
  <c r="O13" i="53"/>
  <c r="O14" i="53"/>
  <c r="O15" i="53"/>
  <c r="O16" i="53"/>
  <c r="O17" i="53"/>
  <c r="O18" i="53"/>
  <c r="O19" i="53"/>
  <c r="O20" i="53"/>
  <c r="O21" i="53"/>
  <c r="O22" i="53"/>
  <c r="O23" i="53"/>
  <c r="O24" i="53"/>
  <c r="O25" i="53"/>
  <c r="O26" i="53"/>
  <c r="O27" i="53"/>
  <c r="O28" i="53"/>
  <c r="O29" i="53"/>
  <c r="O30" i="53"/>
  <c r="O31" i="53"/>
  <c r="O32" i="53"/>
  <c r="O33" i="53"/>
  <c r="O34" i="53"/>
  <c r="O35" i="53"/>
  <c r="O36" i="53"/>
  <c r="O37" i="53"/>
  <c r="O38" i="53"/>
  <c r="O39" i="53"/>
  <c r="O40" i="53"/>
  <c r="O41" i="53"/>
  <c r="O42" i="53"/>
  <c r="O43" i="53"/>
  <c r="O44" i="53"/>
  <c r="O45" i="53"/>
  <c r="O46" i="53"/>
  <c r="O47" i="53"/>
  <c r="P3" i="53"/>
  <c r="P4" i="53"/>
  <c r="P5" i="53"/>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Q3" i="53"/>
  <c r="Q4" i="53"/>
  <c r="Q5" i="53"/>
  <c r="Q6" i="53"/>
  <c r="Q7" i="53"/>
  <c r="Q8" i="53"/>
  <c r="Q9" i="53"/>
  <c r="Q10" i="53"/>
  <c r="Q11" i="53"/>
  <c r="Q12" i="53"/>
  <c r="Q13" i="53"/>
  <c r="Q14" i="53"/>
  <c r="Q15" i="53"/>
  <c r="Q16" i="53"/>
  <c r="Q17" i="53"/>
  <c r="Q18" i="53"/>
  <c r="Q19" i="53"/>
  <c r="Q20" i="53"/>
  <c r="Q21" i="53"/>
  <c r="Q22" i="53"/>
  <c r="Q23" i="53"/>
  <c r="Q24" i="53"/>
  <c r="Q25" i="53"/>
  <c r="Q26" i="53"/>
  <c r="Q27" i="53"/>
  <c r="Q28" i="53"/>
  <c r="Q29" i="53"/>
  <c r="Q30" i="53"/>
  <c r="Q31" i="53"/>
  <c r="Q32" i="53"/>
  <c r="Q33" i="53"/>
  <c r="Q34" i="53"/>
  <c r="Q35" i="53"/>
  <c r="Q36" i="53"/>
  <c r="Q37" i="53"/>
  <c r="Q38" i="53"/>
  <c r="Q39" i="53"/>
  <c r="Q40" i="53"/>
  <c r="Q41" i="53"/>
  <c r="Q42" i="53"/>
  <c r="Q43" i="53"/>
  <c r="Q44" i="53"/>
  <c r="Q45" i="53"/>
  <c r="Q46" i="53"/>
  <c r="Q47" i="53"/>
  <c r="I34" i="42"/>
  <c r="O34" i="42"/>
  <c r="P34" i="42"/>
  <c r="Q34" i="42"/>
  <c r="R34" i="42"/>
  <c r="S34" i="42"/>
  <c r="T34" i="42"/>
  <c r="U34" i="42"/>
  <c r="X34" i="42"/>
  <c r="I47" i="42"/>
  <c r="O47" i="42"/>
  <c r="P47" i="42"/>
  <c r="Q47" i="42"/>
  <c r="R47" i="42"/>
  <c r="S47" i="42"/>
  <c r="T47" i="42"/>
  <c r="U47" i="42"/>
  <c r="X47" i="42"/>
  <c r="I38" i="42"/>
  <c r="O38" i="42"/>
  <c r="P38" i="42"/>
  <c r="Q38" i="42"/>
  <c r="R38" i="42"/>
  <c r="S38" i="42"/>
  <c r="T38" i="42"/>
  <c r="U38" i="42"/>
  <c r="X38" i="42"/>
  <c r="I37" i="42"/>
  <c r="O37" i="42"/>
  <c r="P37" i="42"/>
  <c r="Q37" i="42"/>
  <c r="R37" i="42"/>
  <c r="S37" i="42"/>
  <c r="T37" i="42"/>
  <c r="U37" i="42"/>
  <c r="X37" i="42"/>
  <c r="I42" i="42"/>
  <c r="O42" i="42"/>
  <c r="P42" i="42"/>
  <c r="Q42" i="42"/>
  <c r="R42" i="42"/>
  <c r="S42" i="42"/>
  <c r="T42" i="42"/>
  <c r="U42" i="42"/>
  <c r="X42" i="42"/>
  <c r="I45" i="42"/>
  <c r="O45" i="42"/>
  <c r="P45" i="42"/>
  <c r="Q45" i="42"/>
  <c r="R45" i="42"/>
  <c r="S45" i="42"/>
  <c r="T45" i="42"/>
  <c r="U45" i="42"/>
  <c r="X45" i="42"/>
  <c r="I43" i="42"/>
  <c r="O43" i="42"/>
  <c r="P43" i="42"/>
  <c r="Q43" i="42"/>
  <c r="R43" i="42"/>
  <c r="S43" i="42"/>
  <c r="T43" i="42"/>
  <c r="U43" i="42"/>
  <c r="X43" i="42"/>
  <c r="I33" i="42"/>
  <c r="O33" i="42"/>
  <c r="P33" i="42"/>
  <c r="Q33" i="42"/>
  <c r="R33" i="42"/>
  <c r="S33" i="42"/>
  <c r="T33" i="42"/>
  <c r="U33" i="42"/>
  <c r="X33" i="42"/>
  <c r="I32" i="42"/>
  <c r="O32" i="42"/>
  <c r="P32" i="42"/>
  <c r="Q32" i="42"/>
  <c r="R32" i="42"/>
  <c r="S32" i="42"/>
  <c r="T32" i="42"/>
  <c r="U32" i="42"/>
  <c r="X32" i="42"/>
  <c r="I46" i="42"/>
  <c r="O46" i="42"/>
  <c r="P46" i="42"/>
  <c r="Q46" i="42"/>
  <c r="R46" i="42"/>
  <c r="S46" i="42"/>
  <c r="T46" i="42"/>
  <c r="U46" i="42"/>
  <c r="X46" i="42"/>
  <c r="I41" i="42"/>
  <c r="O41" i="42"/>
  <c r="P41" i="42"/>
  <c r="Q41" i="42"/>
  <c r="R41" i="42"/>
  <c r="S41" i="42"/>
  <c r="T41" i="42"/>
  <c r="U41" i="42"/>
  <c r="X41" i="42"/>
  <c r="I44" i="42"/>
  <c r="O44" i="42"/>
  <c r="P44" i="42"/>
  <c r="Q44" i="42"/>
  <c r="R44" i="42"/>
  <c r="S44" i="42"/>
  <c r="T44" i="42"/>
  <c r="U44" i="42"/>
  <c r="X44" i="42"/>
  <c r="E30" i="42"/>
  <c r="D35" i="40" s="1"/>
  <c r="I30" i="42"/>
  <c r="O30" i="42"/>
  <c r="P30" i="42"/>
  <c r="Q30" i="42"/>
  <c r="R30" i="42"/>
  <c r="S30" i="42"/>
  <c r="T30" i="42"/>
  <c r="U30" i="42"/>
  <c r="X30" i="42"/>
  <c r="E31" i="42"/>
  <c r="D34" i="40" s="1"/>
  <c r="I31" i="42"/>
  <c r="O31" i="42"/>
  <c r="P31" i="42"/>
  <c r="Q31" i="42"/>
  <c r="R31" i="42"/>
  <c r="S31" i="42"/>
  <c r="T31" i="42"/>
  <c r="U31" i="42"/>
  <c r="X31" i="42"/>
  <c r="E2" i="42"/>
  <c r="D33" i="40" s="1"/>
  <c r="I2" i="42"/>
  <c r="O2" i="42"/>
  <c r="P2" i="42"/>
  <c r="Q2" i="42"/>
  <c r="R2" i="42"/>
  <c r="S2" i="42"/>
  <c r="T2" i="42"/>
  <c r="U2" i="42"/>
  <c r="X2" i="42"/>
  <c r="E3" i="42"/>
  <c r="D32" i="40" s="1"/>
  <c r="I3" i="42"/>
  <c r="O3" i="42"/>
  <c r="P3" i="42"/>
  <c r="Q3" i="42"/>
  <c r="R3" i="42"/>
  <c r="S3" i="42"/>
  <c r="T3" i="42"/>
  <c r="U3" i="42"/>
  <c r="X3" i="42"/>
  <c r="E4" i="42"/>
  <c r="D31" i="40" s="1"/>
  <c r="I4" i="42"/>
  <c r="O4" i="42"/>
  <c r="P4" i="42"/>
  <c r="Q4" i="42"/>
  <c r="R4" i="42"/>
  <c r="S4" i="42"/>
  <c r="T4" i="42"/>
  <c r="U4" i="42"/>
  <c r="X4" i="42"/>
  <c r="E5" i="42"/>
  <c r="D30" i="40" s="1"/>
  <c r="I5" i="42"/>
  <c r="O5" i="42"/>
  <c r="P5" i="42"/>
  <c r="Q5" i="42"/>
  <c r="R5" i="42"/>
  <c r="S5" i="42"/>
  <c r="T5" i="42"/>
  <c r="U5" i="42"/>
  <c r="X5" i="42"/>
  <c r="E6" i="42"/>
  <c r="D29" i="40" s="1"/>
  <c r="I6" i="42"/>
  <c r="O6" i="42"/>
  <c r="P6" i="42"/>
  <c r="Q6" i="42"/>
  <c r="R6" i="42"/>
  <c r="S6" i="42"/>
  <c r="T6" i="42"/>
  <c r="U6" i="42"/>
  <c r="X6" i="42"/>
  <c r="E7" i="42"/>
  <c r="D28" i="40" s="1"/>
  <c r="I7" i="42"/>
  <c r="O7" i="42"/>
  <c r="P7" i="42"/>
  <c r="Q7" i="42"/>
  <c r="R7" i="42"/>
  <c r="S7" i="42"/>
  <c r="T7" i="42"/>
  <c r="U7" i="42"/>
  <c r="X7" i="42"/>
  <c r="E8" i="42"/>
  <c r="D27" i="40" s="1"/>
  <c r="I8" i="42"/>
  <c r="O8" i="42"/>
  <c r="P8" i="42"/>
  <c r="Q8" i="42"/>
  <c r="R8" i="42"/>
  <c r="S8" i="42"/>
  <c r="T8" i="42"/>
  <c r="U8" i="42"/>
  <c r="X8" i="42"/>
  <c r="E9" i="42"/>
  <c r="D26" i="40" s="1"/>
  <c r="I9" i="42"/>
  <c r="O9" i="42"/>
  <c r="P9" i="42"/>
  <c r="Q9" i="42"/>
  <c r="R9" i="42"/>
  <c r="S9" i="42"/>
  <c r="T9" i="42"/>
  <c r="U9" i="42"/>
  <c r="X9" i="42"/>
  <c r="E10" i="42"/>
  <c r="D25" i="40" s="1"/>
  <c r="I10" i="42"/>
  <c r="O10" i="42"/>
  <c r="P10" i="42"/>
  <c r="Q10" i="42"/>
  <c r="R10" i="42"/>
  <c r="S10" i="42"/>
  <c r="T10" i="42"/>
  <c r="U10" i="42"/>
  <c r="X10" i="42"/>
  <c r="E11" i="42"/>
  <c r="D24" i="40" s="1"/>
  <c r="I11" i="42"/>
  <c r="O11" i="42"/>
  <c r="P11" i="42"/>
  <c r="Q11" i="42"/>
  <c r="R11" i="42"/>
  <c r="S11" i="42"/>
  <c r="T11" i="42"/>
  <c r="U11" i="42"/>
  <c r="X11" i="42"/>
  <c r="E12" i="42"/>
  <c r="D23" i="40" s="1"/>
  <c r="I12" i="42"/>
  <c r="O12" i="42"/>
  <c r="P12" i="42"/>
  <c r="Q12" i="42"/>
  <c r="R12" i="42"/>
  <c r="S12" i="42"/>
  <c r="T12" i="42"/>
  <c r="U12" i="42"/>
  <c r="X12" i="42"/>
  <c r="E13" i="42"/>
  <c r="D22" i="40" s="1"/>
  <c r="I13" i="42"/>
  <c r="O13" i="42"/>
  <c r="P13" i="42"/>
  <c r="Q13" i="42"/>
  <c r="R13" i="42"/>
  <c r="S13" i="42"/>
  <c r="T13" i="42"/>
  <c r="U13" i="42"/>
  <c r="X13" i="42"/>
  <c r="E14" i="42"/>
  <c r="D21" i="40" s="1"/>
  <c r="I14" i="42"/>
  <c r="O14" i="42"/>
  <c r="P14" i="42"/>
  <c r="Q14" i="42"/>
  <c r="R14" i="42"/>
  <c r="S14" i="42"/>
  <c r="T14" i="42"/>
  <c r="U14" i="42"/>
  <c r="X14" i="42"/>
  <c r="E15" i="42"/>
  <c r="D20" i="40" s="1"/>
  <c r="I15" i="42"/>
  <c r="O15" i="42"/>
  <c r="P15" i="42"/>
  <c r="Q15" i="42"/>
  <c r="R15" i="42"/>
  <c r="S15" i="42"/>
  <c r="T15" i="42"/>
  <c r="U15" i="42"/>
  <c r="X15" i="42"/>
  <c r="E16" i="42"/>
  <c r="D19" i="40" s="1"/>
  <c r="I16" i="42"/>
  <c r="O16" i="42"/>
  <c r="P16" i="42"/>
  <c r="Q16" i="42"/>
  <c r="R16" i="42"/>
  <c r="S16" i="42"/>
  <c r="T16" i="42"/>
  <c r="U16" i="42"/>
  <c r="X16" i="42"/>
  <c r="E17" i="42"/>
  <c r="D18" i="40" s="1"/>
  <c r="I17" i="42"/>
  <c r="O17" i="42"/>
  <c r="P17" i="42"/>
  <c r="Q17" i="42"/>
  <c r="R17" i="42"/>
  <c r="S17" i="42"/>
  <c r="T17" i="42"/>
  <c r="U17" i="42"/>
  <c r="X17" i="42"/>
  <c r="E18" i="42"/>
  <c r="D17" i="40" s="1"/>
  <c r="I18" i="42"/>
  <c r="O18" i="42"/>
  <c r="P18" i="42"/>
  <c r="Q18" i="42"/>
  <c r="R18" i="42"/>
  <c r="S18" i="42"/>
  <c r="T18" i="42"/>
  <c r="U18" i="42"/>
  <c r="X18" i="42"/>
  <c r="E19" i="42"/>
  <c r="D16" i="40" s="1"/>
  <c r="I19" i="42"/>
  <c r="O19" i="42"/>
  <c r="P19" i="42"/>
  <c r="Q19" i="42"/>
  <c r="R19" i="42"/>
  <c r="S19" i="42"/>
  <c r="T19" i="42"/>
  <c r="U19" i="42"/>
  <c r="X19" i="42"/>
  <c r="E20" i="42"/>
  <c r="D15" i="40" s="1"/>
  <c r="I20" i="42"/>
  <c r="O20" i="42"/>
  <c r="P20" i="42"/>
  <c r="Q20" i="42"/>
  <c r="R20" i="42"/>
  <c r="S20" i="42"/>
  <c r="T20" i="42"/>
  <c r="U20" i="42"/>
  <c r="X20" i="42"/>
  <c r="E21" i="42"/>
  <c r="D14" i="40" s="1"/>
  <c r="I21" i="42"/>
  <c r="O21" i="42"/>
  <c r="P21" i="42"/>
  <c r="Q21" i="42"/>
  <c r="R21" i="42"/>
  <c r="S21" i="42"/>
  <c r="T21" i="42"/>
  <c r="U21" i="42"/>
  <c r="X21" i="42"/>
  <c r="E22" i="42"/>
  <c r="D13" i="40" s="1"/>
  <c r="I22" i="42"/>
  <c r="O22" i="42"/>
  <c r="P22" i="42"/>
  <c r="Q22" i="42"/>
  <c r="R22" i="42"/>
  <c r="S22" i="42"/>
  <c r="T22" i="42"/>
  <c r="U22" i="42"/>
  <c r="X22" i="42"/>
  <c r="E23" i="42"/>
  <c r="D12" i="40" s="1"/>
  <c r="I23" i="42"/>
  <c r="O23" i="42"/>
  <c r="P23" i="42"/>
  <c r="Q23" i="42"/>
  <c r="R23" i="42"/>
  <c r="S23" i="42"/>
  <c r="T23" i="42"/>
  <c r="U23" i="42"/>
  <c r="X23" i="42"/>
  <c r="E24" i="42"/>
  <c r="D11" i="40" s="1"/>
  <c r="I24" i="42"/>
  <c r="O24" i="42"/>
  <c r="P24" i="42"/>
  <c r="Q24" i="42"/>
  <c r="R24" i="42"/>
  <c r="S24" i="42"/>
  <c r="T24" i="42"/>
  <c r="U24" i="42"/>
  <c r="X24" i="42"/>
  <c r="E25" i="42"/>
  <c r="D10" i="40" s="1"/>
  <c r="I25" i="42"/>
  <c r="O25" i="42"/>
  <c r="P25" i="42"/>
  <c r="Q25" i="42"/>
  <c r="R25" i="42"/>
  <c r="S25" i="42"/>
  <c r="T25" i="42"/>
  <c r="U25" i="42"/>
  <c r="X25" i="42"/>
  <c r="E26" i="42"/>
  <c r="D9" i="40" s="1"/>
  <c r="I26" i="42"/>
  <c r="O26" i="42"/>
  <c r="P26" i="42"/>
  <c r="Q26" i="42"/>
  <c r="R26" i="42"/>
  <c r="S26" i="42"/>
  <c r="T26" i="42"/>
  <c r="U26" i="42"/>
  <c r="X26" i="42"/>
  <c r="E27" i="42"/>
  <c r="D8" i="40" s="1"/>
  <c r="I27" i="42"/>
  <c r="O27" i="42"/>
  <c r="P27" i="42"/>
  <c r="Q27" i="42"/>
  <c r="R27" i="42"/>
  <c r="S27" i="42"/>
  <c r="T27" i="42"/>
  <c r="U27" i="42"/>
  <c r="X27" i="42"/>
  <c r="E28" i="42"/>
  <c r="D7" i="40" s="1"/>
  <c r="I28" i="42"/>
  <c r="O28" i="42"/>
  <c r="P28" i="42"/>
  <c r="Q28" i="42"/>
  <c r="R28" i="42"/>
  <c r="S28" i="42"/>
  <c r="T28" i="42"/>
  <c r="U28" i="42"/>
  <c r="X28" i="42"/>
  <c r="E29" i="42"/>
  <c r="D6" i="40" s="1"/>
  <c r="I29" i="42"/>
  <c r="O29" i="42"/>
  <c r="P29" i="42"/>
  <c r="Q29" i="42"/>
  <c r="R29" i="42"/>
  <c r="S29" i="42"/>
  <c r="T29" i="42"/>
  <c r="U29" i="42"/>
  <c r="X29" i="42"/>
  <c r="E40" i="42"/>
  <c r="D5" i="40" s="1"/>
  <c r="I40" i="42"/>
  <c r="O40" i="42"/>
  <c r="P40" i="42"/>
  <c r="Q40" i="42"/>
  <c r="R40" i="42"/>
  <c r="S40" i="42"/>
  <c r="T40" i="42"/>
  <c r="U40" i="42"/>
  <c r="X40" i="42"/>
  <c r="E39" i="42"/>
  <c r="D4" i="40" s="1"/>
  <c r="I39" i="42"/>
  <c r="O39" i="42"/>
  <c r="P39" i="42"/>
  <c r="Q39" i="42"/>
  <c r="R39" i="42"/>
  <c r="S39" i="42"/>
  <c r="T39" i="42"/>
  <c r="U39" i="42"/>
  <c r="X39" i="42"/>
  <c r="E36" i="42"/>
  <c r="D3" i="40" s="1"/>
  <c r="I36" i="42"/>
  <c r="O36" i="42"/>
  <c r="P36" i="42"/>
  <c r="Q36" i="42"/>
  <c r="R36" i="42"/>
  <c r="S36" i="42"/>
  <c r="T36" i="42"/>
  <c r="U36" i="42"/>
  <c r="X36" i="42"/>
  <c r="E35" i="42"/>
  <c r="D2" i="40" s="1"/>
  <c r="I35" i="42"/>
  <c r="O35" i="42"/>
  <c r="P35" i="42"/>
  <c r="Q35" i="42"/>
  <c r="R35" i="42"/>
  <c r="S35" i="42"/>
  <c r="T35" i="42"/>
  <c r="U35" i="42"/>
  <c r="X35" i="42"/>
  <c r="G13" i="25" l="1"/>
  <c r="X13" i="25"/>
  <c r="G9" i="25"/>
  <c r="E3" i="25"/>
  <c r="X12" i="25"/>
  <c r="W13" i="25"/>
  <c r="O12" i="25"/>
  <c r="Y13" i="25"/>
  <c r="L5" i="25"/>
  <c r="P5" i="25"/>
  <c r="I11" i="25"/>
  <c r="L3" i="25"/>
  <c r="W12" i="25"/>
  <c r="D11" i="25"/>
  <c r="X10" i="25"/>
  <c r="K12" i="25"/>
  <c r="Y3" i="25"/>
  <c r="Y12" i="25"/>
  <c r="Q11" i="25"/>
  <c r="W9" i="25"/>
  <c r="C10" i="25"/>
  <c r="W10" i="25"/>
  <c r="Y11" i="25"/>
  <c r="Y10" i="25"/>
  <c r="C5" i="25"/>
  <c r="W5" i="25"/>
  <c r="X5" i="25"/>
  <c r="L10" i="25"/>
  <c r="Y5" i="25"/>
  <c r="X11" i="25"/>
  <c r="X9" i="25"/>
  <c r="S9" i="25"/>
  <c r="Q6" i="25"/>
  <c r="G10" i="25"/>
  <c r="L13" i="25"/>
  <c r="D6" i="25"/>
  <c r="R7" i="25"/>
  <c r="I9" i="25"/>
  <c r="E7" i="25"/>
  <c r="E4" i="25"/>
  <c r="S11" i="25"/>
  <c r="Q12" i="25"/>
  <c r="O9" i="25"/>
  <c r="S12" i="25"/>
  <c r="Q9" i="25"/>
  <c r="O6" i="25"/>
  <c r="D10" i="25"/>
  <c r="J13" i="25"/>
  <c r="H8" i="25"/>
  <c r="D3" i="25"/>
  <c r="S6" i="25"/>
  <c r="I10" i="25"/>
  <c r="G6" i="25"/>
  <c r="T7" i="25"/>
  <c r="T4" i="25"/>
  <c r="J5" i="25"/>
  <c r="H7" i="25"/>
  <c r="E13" i="25"/>
  <c r="J7" i="25"/>
  <c r="H13" i="25"/>
  <c r="E8" i="25"/>
  <c r="S10" i="25"/>
  <c r="B3" i="25"/>
  <c r="L11" i="25"/>
  <c r="S3" i="25"/>
  <c r="J8" i="25"/>
  <c r="P13" i="25"/>
  <c r="K10" i="25"/>
  <c r="K9" i="25"/>
  <c r="I6" i="25"/>
  <c r="T13" i="25"/>
  <c r="K6" i="25"/>
  <c r="B10" i="25"/>
  <c r="T8" i="25"/>
  <c r="J11" i="25"/>
  <c r="Q3" i="25"/>
  <c r="O4" i="25"/>
  <c r="D5" i="25"/>
  <c r="J12" i="25"/>
  <c r="B4" i="25"/>
  <c r="P11" i="25"/>
  <c r="G3" i="25"/>
  <c r="L8" i="25"/>
  <c r="C11" i="25"/>
  <c r="C13" i="25"/>
  <c r="O10" i="25"/>
  <c r="K3" i="25"/>
  <c r="C8" i="25"/>
  <c r="Q10" i="25"/>
  <c r="O3" i="25"/>
  <c r="K4" i="25"/>
  <c r="B5" i="25"/>
  <c r="H12" i="25"/>
  <c r="E9" i="25"/>
  <c r="S5" i="25"/>
  <c r="B7" i="25"/>
  <c r="Q4" i="25"/>
  <c r="G5" i="25"/>
  <c r="D4" i="25"/>
  <c r="R11" i="25"/>
  <c r="R13" i="25"/>
  <c r="P8" i="25"/>
  <c r="E11" i="25"/>
  <c r="C12" i="25"/>
  <c r="R8" i="25"/>
  <c r="H11" i="25"/>
  <c r="E12" i="25"/>
  <c r="C9" i="25"/>
  <c r="Q5" i="25"/>
  <c r="T9" i="25"/>
  <c r="C6" i="25"/>
  <c r="Q7" i="25"/>
  <c r="H9" i="25"/>
  <c r="L12" i="25"/>
  <c r="S4" i="25"/>
  <c r="I5" i="25"/>
  <c r="I3" i="25"/>
  <c r="G4" i="25"/>
  <c r="T11" i="25"/>
  <c r="R12" i="25"/>
  <c r="I4" i="25"/>
  <c r="T12" i="25"/>
  <c r="R9" i="25"/>
  <c r="O7" i="25"/>
  <c r="K13" i="25"/>
  <c r="R6" i="25"/>
  <c r="H10" i="25"/>
  <c r="D7" i="25"/>
  <c r="J9" i="25"/>
  <c r="K5" i="25"/>
  <c r="I7" i="25"/>
  <c r="O5" i="25"/>
  <c r="K7" i="25"/>
  <c r="I13" i="25"/>
  <c r="P6" i="25"/>
  <c r="E10" i="25"/>
  <c r="C3" i="25"/>
  <c r="I8" i="25"/>
  <c r="O13" i="25"/>
  <c r="E6" i="25"/>
  <c r="S7" i="25"/>
  <c r="B13" i="25"/>
  <c r="P12" i="25"/>
  <c r="L9" i="25"/>
  <c r="J6" i="25"/>
  <c r="P9" i="25"/>
  <c r="L6" i="25"/>
  <c r="G8" i="25"/>
  <c r="T10" i="25"/>
  <c r="R3" i="25"/>
  <c r="O11" i="25"/>
  <c r="T6" i="25"/>
  <c r="J10" i="25"/>
  <c r="Q13" i="25"/>
  <c r="G7" i="25"/>
  <c r="B8" i="25"/>
  <c r="P10" i="25"/>
  <c r="R10" i="25"/>
  <c r="P3" i="25"/>
  <c r="K11" i="25"/>
  <c r="I12" i="25"/>
  <c r="P4" i="25"/>
  <c r="E5" i="25"/>
  <c r="B11" i="25"/>
  <c r="H3" i="25"/>
  <c r="S13" i="25"/>
  <c r="Q8" i="25"/>
  <c r="G11" i="25"/>
  <c r="S8" i="25"/>
  <c r="G12" i="25"/>
  <c r="L4" i="25"/>
  <c r="T5" i="25"/>
  <c r="J3" i="25"/>
  <c r="H4" i="25"/>
  <c r="D9" i="25"/>
  <c r="R5" i="25"/>
  <c r="H5" i="25"/>
  <c r="B12" i="25"/>
  <c r="E39" i="40"/>
  <c r="A38" i="48"/>
  <c r="E43" i="40"/>
  <c r="A4" i="48"/>
  <c r="E47" i="40"/>
  <c r="A34" i="48"/>
  <c r="E4" i="40"/>
  <c r="A46" i="48"/>
  <c r="E10" i="40"/>
  <c r="A28" i="48"/>
  <c r="E16" i="40"/>
  <c r="A22" i="48"/>
  <c r="E22" i="40"/>
  <c r="A16" i="48"/>
  <c r="E28" i="40"/>
  <c r="A10" i="48"/>
  <c r="E34" i="40"/>
  <c r="A43" i="48"/>
  <c r="E3" i="40"/>
  <c r="A45" i="48"/>
  <c r="E9" i="40"/>
  <c r="A29" i="48"/>
  <c r="E15" i="40"/>
  <c r="A23" i="48"/>
  <c r="E21" i="40"/>
  <c r="A17" i="48"/>
  <c r="E27" i="40"/>
  <c r="A11" i="48"/>
  <c r="E33" i="40"/>
  <c r="A5" i="48"/>
  <c r="E38" i="40"/>
  <c r="A37" i="48"/>
  <c r="E42" i="40"/>
  <c r="A41" i="48"/>
  <c r="E46" i="40"/>
  <c r="A33" i="48"/>
  <c r="E2" i="40"/>
  <c r="A44" i="48"/>
  <c r="E8" i="40"/>
  <c r="A30" i="48"/>
  <c r="E14" i="40"/>
  <c r="A24" i="48"/>
  <c r="E20" i="40"/>
  <c r="A18" i="48"/>
  <c r="E26" i="40"/>
  <c r="A12" i="48"/>
  <c r="E32" i="40"/>
  <c r="A6" i="48"/>
  <c r="E37" i="40"/>
  <c r="A36" i="48"/>
  <c r="E41" i="40"/>
  <c r="A40" i="48"/>
  <c r="E45" i="40"/>
  <c r="A3" i="48"/>
  <c r="E18" i="40"/>
  <c r="A20" i="48"/>
  <c r="E36" i="40"/>
  <c r="A35" i="48"/>
  <c r="E7" i="40"/>
  <c r="A31" i="48"/>
  <c r="E13" i="40"/>
  <c r="A25" i="48"/>
  <c r="E19" i="40"/>
  <c r="A19" i="48"/>
  <c r="E25" i="40"/>
  <c r="A13" i="48"/>
  <c r="E31" i="40"/>
  <c r="A7" i="48"/>
  <c r="E12" i="40"/>
  <c r="A26" i="48"/>
  <c r="E40" i="40"/>
  <c r="A39" i="48"/>
  <c r="E30" i="40"/>
  <c r="A8" i="48"/>
  <c r="E44" i="40"/>
  <c r="A2" i="48"/>
  <c r="E24" i="40"/>
  <c r="A14" i="48"/>
  <c r="E6" i="40"/>
  <c r="A32" i="48"/>
  <c r="E5" i="40"/>
  <c r="A47" i="48"/>
  <c r="E11" i="40"/>
  <c r="A27" i="48"/>
  <c r="E17" i="40"/>
  <c r="A21" i="48"/>
  <c r="E23" i="40"/>
  <c r="A15" i="48"/>
  <c r="E29" i="40"/>
  <c r="A9" i="48"/>
  <c r="E35" i="40"/>
  <c r="A42" i="48"/>
  <c r="X34" i="48"/>
  <c r="H47" i="52"/>
  <c r="AA34" i="48"/>
  <c r="Z34" i="48"/>
  <c r="AA33" i="48"/>
  <c r="X33" i="48"/>
  <c r="H46" i="52"/>
  <c r="AA4" i="48"/>
  <c r="Z3" i="48"/>
  <c r="AA3" i="48"/>
  <c r="P3" i="48"/>
  <c r="X3" i="48"/>
  <c r="AA2" i="48"/>
  <c r="Z2" i="48"/>
  <c r="P2" i="48"/>
  <c r="X2" i="48"/>
  <c r="X40" i="48"/>
  <c r="P4" i="48"/>
  <c r="X4" i="48"/>
  <c r="AA41" i="48"/>
  <c r="AA40" i="48"/>
  <c r="P41" i="48"/>
  <c r="X41" i="48"/>
  <c r="AA39" i="48"/>
  <c r="P39" i="48"/>
  <c r="X39" i="48"/>
  <c r="AA37" i="48"/>
  <c r="AA38" i="48"/>
  <c r="X38" i="48"/>
  <c r="P37" i="48"/>
  <c r="X37" i="48"/>
  <c r="AA36" i="48"/>
  <c r="X36" i="48"/>
  <c r="AA35" i="48"/>
  <c r="P35" i="48"/>
  <c r="X35" i="48"/>
  <c r="AA42" i="48"/>
  <c r="P42" i="48"/>
  <c r="X42" i="48"/>
  <c r="AA43" i="48"/>
  <c r="AA6" i="48"/>
  <c r="P43" i="48"/>
  <c r="X43" i="48"/>
  <c r="AA8" i="48"/>
  <c r="AA5" i="48"/>
  <c r="X5" i="48"/>
  <c r="H33" i="52"/>
  <c r="Z9" i="48"/>
  <c r="P6" i="48"/>
  <c r="X6" i="48"/>
  <c r="X7" i="48"/>
  <c r="H31" i="52"/>
  <c r="AA7" i="48"/>
  <c r="AA10" i="48"/>
  <c r="P8" i="48"/>
  <c r="X8" i="48"/>
  <c r="AA14" i="48"/>
  <c r="X9" i="48"/>
  <c r="X11" i="48"/>
  <c r="P10" i="48"/>
  <c r="X10" i="48"/>
  <c r="AA11" i="48"/>
  <c r="Z11" i="48"/>
  <c r="AA12" i="48"/>
  <c r="AA13" i="48"/>
  <c r="P12" i="48"/>
  <c r="X12" i="48"/>
  <c r="AA16" i="48"/>
  <c r="P13" i="48"/>
  <c r="X13" i="48"/>
  <c r="X14" i="48"/>
  <c r="H24" i="52"/>
  <c r="AA18" i="48"/>
  <c r="X15" i="48"/>
  <c r="H23" i="52"/>
  <c r="Z20" i="48"/>
  <c r="X16" i="48"/>
  <c r="H22" i="52"/>
  <c r="X17" i="48"/>
  <c r="X20" i="48"/>
  <c r="Z17" i="48"/>
  <c r="AA17" i="48"/>
  <c r="AA19" i="48"/>
  <c r="P18" i="48"/>
  <c r="X18" i="48"/>
  <c r="P19" i="48"/>
  <c r="X19" i="48"/>
  <c r="AA21" i="48"/>
  <c r="AA22" i="48"/>
  <c r="P21" i="48"/>
  <c r="X21" i="48"/>
  <c r="P22" i="48"/>
  <c r="X22" i="48"/>
  <c r="X23" i="48"/>
  <c r="AA23" i="48"/>
  <c r="Z23" i="48"/>
  <c r="X28" i="48"/>
  <c r="AA24" i="48"/>
  <c r="X24" i="48"/>
  <c r="Z27" i="48"/>
  <c r="X25" i="48"/>
  <c r="H13" i="52"/>
  <c r="AA25" i="48"/>
  <c r="AA26" i="48"/>
  <c r="X26" i="48"/>
  <c r="X27" i="48"/>
  <c r="AA29" i="48"/>
  <c r="AA28" i="48"/>
  <c r="Z28" i="48"/>
  <c r="X29" i="48"/>
  <c r="H9" i="52"/>
  <c r="X30" i="48"/>
  <c r="H8" i="52"/>
  <c r="AA30" i="48"/>
  <c r="Z31" i="48"/>
  <c r="AA31" i="48"/>
  <c r="X31" i="48"/>
  <c r="AA32" i="48"/>
  <c r="Z32" i="48"/>
  <c r="P32" i="48"/>
  <c r="X32" i="48"/>
  <c r="AA47" i="48"/>
  <c r="X47" i="48"/>
  <c r="H5" i="52"/>
  <c r="AA46" i="48"/>
  <c r="X46" i="48"/>
  <c r="H4" i="52"/>
  <c r="AA44" i="48"/>
  <c r="AA45" i="48"/>
  <c r="P45" i="48"/>
  <c r="X45" i="48"/>
  <c r="P44" i="48"/>
  <c r="X44" i="48"/>
  <c r="P47" i="40"/>
  <c r="P46" i="40"/>
  <c r="P45" i="40"/>
  <c r="P44" i="40"/>
  <c r="P43" i="40"/>
  <c r="P42" i="40"/>
  <c r="P41" i="40"/>
  <c r="P39" i="40"/>
  <c r="P40" i="40"/>
  <c r="P38" i="40"/>
  <c r="P37" i="40"/>
  <c r="P36" i="40"/>
  <c r="P35" i="40"/>
  <c r="P32" i="40"/>
  <c r="P34" i="40"/>
  <c r="P33" i="40"/>
  <c r="P31" i="40"/>
  <c r="P30" i="40"/>
  <c r="P29" i="40"/>
  <c r="P28" i="40"/>
  <c r="P27" i="40"/>
  <c r="P26" i="40"/>
  <c r="P25" i="40"/>
  <c r="P23" i="40"/>
  <c r="P24" i="40"/>
  <c r="P21" i="40"/>
  <c r="P20" i="40"/>
  <c r="P19" i="40"/>
  <c r="P18" i="40"/>
  <c r="P17" i="40"/>
  <c r="P16" i="40"/>
  <c r="P15" i="40"/>
  <c r="P14" i="40"/>
  <c r="P13" i="40"/>
  <c r="P12" i="40"/>
  <c r="P9" i="40"/>
  <c r="P11" i="40"/>
  <c r="P8" i="40"/>
  <c r="P10" i="40"/>
  <c r="P5" i="40"/>
  <c r="P7" i="40"/>
  <c r="P3" i="40"/>
  <c r="P6" i="40"/>
  <c r="P4" i="40"/>
  <c r="P2" i="40"/>
  <c r="B11" i="32"/>
  <c r="B12" i="32"/>
  <c r="U12" i="25" l="1"/>
  <c r="V12" i="25" s="1"/>
  <c r="U5" i="25"/>
  <c r="V5" i="25" s="1"/>
  <c r="U9" i="25"/>
  <c r="V9" i="25" s="1"/>
  <c r="U3" i="25"/>
  <c r="V3" i="25" s="1"/>
  <c r="U8" i="25"/>
  <c r="V8" i="25" s="1"/>
  <c r="U10" i="25"/>
  <c r="V10" i="25" s="1"/>
  <c r="M11" i="25"/>
  <c r="N11" i="25" s="1"/>
  <c r="F10" i="25"/>
  <c r="F9" i="25"/>
  <c r="F7" i="25"/>
  <c r="M13" i="25"/>
  <c r="N13" i="25" s="1"/>
  <c r="U7" i="25"/>
  <c r="V7" i="25" s="1"/>
  <c r="U6" i="25"/>
  <c r="V6" i="25" s="1"/>
  <c r="U11" i="25"/>
  <c r="V11" i="25" s="1"/>
  <c r="U13" i="25"/>
  <c r="V13" i="25" s="1"/>
  <c r="M9" i="25"/>
  <c r="N9" i="25" s="1"/>
  <c r="U4" i="25"/>
  <c r="V4" i="25" s="1"/>
  <c r="M4" i="25"/>
  <c r="N4" i="25" s="1"/>
  <c r="F6" i="25"/>
  <c r="M8" i="25"/>
  <c r="N8" i="25" s="1"/>
  <c r="M3" i="25"/>
  <c r="N3" i="25" s="1"/>
  <c r="M12" i="25"/>
  <c r="N12" i="25" s="1"/>
  <c r="M10" i="25"/>
  <c r="N10" i="25" s="1"/>
  <c r="F5" i="25"/>
  <c r="F4" i="25"/>
  <c r="F8" i="25"/>
  <c r="M7" i="25"/>
  <c r="N7" i="25" s="1"/>
  <c r="F12" i="25"/>
  <c r="M6" i="25"/>
  <c r="N6" i="25" s="1"/>
  <c r="F13" i="25"/>
  <c r="F11" i="25"/>
  <c r="M5" i="25"/>
  <c r="N5" i="25" s="1"/>
  <c r="F3" i="25"/>
  <c r="M6" i="53"/>
  <c r="M18" i="53"/>
  <c r="M30" i="53"/>
  <c r="O35" i="52" s="1"/>
  <c r="M42" i="53"/>
  <c r="O43" i="52" s="1"/>
  <c r="M7" i="53"/>
  <c r="M19" i="53"/>
  <c r="M31" i="53"/>
  <c r="O34" i="52" s="1"/>
  <c r="M43" i="53"/>
  <c r="O41" i="52" s="1"/>
  <c r="M8" i="53"/>
  <c r="M20" i="53"/>
  <c r="M32" i="53"/>
  <c r="O39" i="52" s="1"/>
  <c r="M44" i="53"/>
  <c r="O36" i="52" s="1"/>
  <c r="M9" i="53"/>
  <c r="M21" i="53"/>
  <c r="M33" i="53"/>
  <c r="O40" i="52" s="1"/>
  <c r="M45" i="53"/>
  <c r="O42" i="52" s="1"/>
  <c r="M10" i="53"/>
  <c r="M22" i="53"/>
  <c r="M34" i="53"/>
  <c r="O47" i="52" s="1"/>
  <c r="M46" i="53"/>
  <c r="O38" i="52" s="1"/>
  <c r="M11" i="53"/>
  <c r="M23" i="53"/>
  <c r="M35" i="53"/>
  <c r="M47" i="53"/>
  <c r="O46" i="52" s="1"/>
  <c r="M12" i="53"/>
  <c r="M24" i="53"/>
  <c r="M36" i="53"/>
  <c r="M13" i="53"/>
  <c r="M25" i="53"/>
  <c r="M37" i="53"/>
  <c r="O44" i="52" s="1"/>
  <c r="M14" i="53"/>
  <c r="M26" i="53"/>
  <c r="M38" i="53"/>
  <c r="O45" i="52" s="1"/>
  <c r="M3" i="53"/>
  <c r="M15" i="53"/>
  <c r="M27" i="53"/>
  <c r="M39" i="53"/>
  <c r="M4" i="53"/>
  <c r="M16" i="53"/>
  <c r="M28" i="53"/>
  <c r="M40" i="53"/>
  <c r="M5" i="53"/>
  <c r="M17" i="53"/>
  <c r="M29" i="53"/>
  <c r="M41" i="53"/>
  <c r="O37" i="52" s="1"/>
  <c r="M5" i="54" l="1"/>
  <c r="O30" i="52"/>
  <c r="M28" i="54"/>
  <c r="O7" i="52"/>
  <c r="M21" i="54"/>
  <c r="O14" i="52"/>
  <c r="M15" i="54"/>
  <c r="O20" i="52"/>
  <c r="M30" i="54"/>
  <c r="O2" i="52"/>
  <c r="M3" i="54"/>
  <c r="O32" i="52"/>
  <c r="M23" i="54"/>
  <c r="O12" i="52"/>
  <c r="M20" i="54"/>
  <c r="O15" i="52"/>
  <c r="M13" i="54"/>
  <c r="O22" i="52"/>
  <c r="M11" i="54"/>
  <c r="O24" i="52"/>
  <c r="M8" i="54"/>
  <c r="O27" i="52"/>
  <c r="M29" i="54"/>
  <c r="O6" i="52"/>
  <c r="M26" i="54"/>
  <c r="O9" i="52"/>
  <c r="M17" i="54"/>
  <c r="O18" i="52"/>
  <c r="M14" i="54"/>
  <c r="O21" i="52"/>
  <c r="M22" i="54"/>
  <c r="O13" i="52"/>
  <c r="M19" i="54"/>
  <c r="O16" i="52"/>
  <c r="M33" i="54"/>
  <c r="O5" i="52"/>
  <c r="M25" i="54"/>
  <c r="O10" i="52"/>
  <c r="M10" i="54"/>
  <c r="O25" i="52"/>
  <c r="M7" i="54"/>
  <c r="O28" i="52"/>
  <c r="M16" i="54"/>
  <c r="O19" i="52"/>
  <c r="M18" i="54"/>
  <c r="O17" i="52"/>
  <c r="M32" i="54"/>
  <c r="O4" i="52"/>
  <c r="M12" i="54"/>
  <c r="O23" i="52"/>
  <c r="M9" i="54"/>
  <c r="O26" i="52"/>
  <c r="M6" i="54"/>
  <c r="O29" i="52"/>
  <c r="M31" i="54"/>
  <c r="O3" i="52"/>
  <c r="M4" i="54"/>
  <c r="O31" i="52"/>
  <c r="M24" i="54"/>
  <c r="O11" i="52"/>
  <c r="M27" i="54"/>
  <c r="O8" i="52"/>
  <c r="D60" i="42"/>
  <c r="N34" i="42" l="1"/>
  <c r="E7" i="51"/>
  <c r="N47" i="42"/>
  <c r="N38" i="42"/>
  <c r="N37" i="42"/>
  <c r="N42" i="42"/>
  <c r="N45" i="42"/>
  <c r="N33" i="42"/>
  <c r="N43" i="42"/>
  <c r="N46" i="42"/>
  <c r="N32" i="42"/>
  <c r="N44" i="42"/>
  <c r="N41" i="42"/>
  <c r="N31" i="42"/>
  <c r="N30" i="42"/>
  <c r="N3" i="42"/>
  <c r="N2" i="42"/>
  <c r="N5" i="42"/>
  <c r="N4" i="42"/>
  <c r="N7" i="42"/>
  <c r="N6" i="42"/>
  <c r="N9" i="42"/>
  <c r="N8" i="42"/>
  <c r="N11" i="42"/>
  <c r="N10" i="42"/>
  <c r="N13" i="42"/>
  <c r="N12" i="42"/>
  <c r="N15" i="42"/>
  <c r="N14" i="42"/>
  <c r="N17" i="42"/>
  <c r="N16" i="42"/>
  <c r="N19" i="42"/>
  <c r="N18" i="42"/>
  <c r="N20" i="42"/>
  <c r="N22" i="42"/>
  <c r="N21" i="42"/>
  <c r="N24" i="42"/>
  <c r="N23" i="42"/>
  <c r="N25" i="42"/>
  <c r="N27" i="42"/>
  <c r="N26" i="42"/>
  <c r="N29" i="42"/>
  <c r="N28" i="42"/>
  <c r="N40" i="42"/>
  <c r="N39" i="42"/>
  <c r="N36" i="42"/>
  <c r="N35" i="42"/>
  <c r="B2" i="54" l="1"/>
  <c r="C2" i="54"/>
  <c r="D2" i="54"/>
  <c r="E2" i="54"/>
  <c r="F2" i="54"/>
  <c r="G2" i="54"/>
  <c r="H2" i="54"/>
  <c r="I2" i="54"/>
  <c r="K2" i="54"/>
  <c r="L2" i="54"/>
  <c r="O2" i="54"/>
  <c r="P2" i="54"/>
  <c r="Q2" i="54"/>
  <c r="R2" i="54"/>
  <c r="S2" i="54"/>
  <c r="A23" i="25" l="1" a="1"/>
  <c r="A23" i="25" s="1"/>
  <c r="I25" i="25" l="1"/>
  <c r="I24" i="25"/>
  <c r="B9" i="43"/>
  <c r="M2" i="53" l="1"/>
  <c r="O33" i="52" s="1"/>
  <c r="M2" i="54" l="1"/>
  <c r="K2" i="53"/>
  <c r="D2" i="53" l="1"/>
  <c r="C2" i="51"/>
  <c r="Q2" i="53" l="1"/>
  <c r="P2" i="53"/>
  <c r="O2" i="53"/>
  <c r="J2" i="53"/>
  <c r="J2" i="54" s="1"/>
  <c r="I2" i="53"/>
  <c r="H2" i="53"/>
  <c r="F2" i="53"/>
  <c r="E2" i="53"/>
  <c r="C2" i="53"/>
  <c r="I2" i="51" l="1"/>
  <c r="F2" i="51"/>
  <c r="E2" i="51" l="1"/>
  <c r="B2" i="51"/>
  <c r="I23" i="25" l="1"/>
  <c r="I22" i="25"/>
  <c r="B3" i="32" l="1"/>
  <c r="I20" i="25" l="1"/>
  <c r="I21" i="25"/>
  <c r="I19" i="25"/>
  <c r="B21" i="25" l="1"/>
  <c r="D19" i="25" l="1"/>
  <c r="D18" i="25"/>
  <c r="D17" i="25"/>
  <c r="F18" i="25" l="1"/>
  <c r="B20" i="25"/>
  <c r="B19" i="25"/>
  <c r="B18" i="25" a="1"/>
  <c r="B18" i="25" s="1"/>
  <c r="I18" i="25"/>
  <c r="I26" i="25" l="1"/>
  <c r="J25" i="25" l="1"/>
  <c r="A22" i="25" a="1"/>
  <c r="A22" i="25" s="1"/>
  <c r="J24" i="25"/>
  <c r="J22" i="25"/>
  <c r="J23" i="25"/>
  <c r="J19" i="25"/>
  <c r="J20" i="25"/>
  <c r="J21" i="25"/>
  <c r="J18" i="25"/>
  <c r="J26" i="25" l="1"/>
  <c r="Y15" i="25"/>
  <c r="X15" i="25"/>
  <c r="W15" i="25"/>
  <c r="Q15" i="25"/>
  <c r="T15" i="25"/>
  <c r="S15" i="25"/>
  <c r="R15" i="25"/>
  <c r="P15" i="25"/>
  <c r="O15" i="25"/>
  <c r="I15" i="25"/>
  <c r="L15" i="25"/>
  <c r="K15" i="25"/>
  <c r="J15" i="25"/>
  <c r="H15" i="25"/>
  <c r="G15" i="25"/>
  <c r="A15" i="25"/>
  <c r="E15" i="25"/>
  <c r="D15" i="25"/>
  <c r="C15" i="25"/>
  <c r="B15" i="25"/>
  <c r="A1" i="25"/>
  <c r="B7" i="32"/>
  <c r="B6" i="32"/>
  <c r="B5" i="32"/>
  <c r="B17" i="25" l="1"/>
  <c r="B5" i="45"/>
  <c r="M15" i="25"/>
  <c r="N15" i="25" s="1"/>
  <c r="F15" i="25"/>
  <c r="F17" i="25" s="1"/>
  <c r="U15" i="25"/>
  <c r="V1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Alonso A. Villalobos Laurent</author>
  </authors>
  <commentList>
    <comment ref="A1" authorId="0" shapeId="0" xr:uid="{FDD195C5-911A-4C11-9794-3CA5DB9887DB}">
      <text>
        <r>
          <rPr>
            <b/>
            <sz val="9"/>
            <color indexed="81"/>
            <rFont val="Tahoma"/>
            <family val="2"/>
          </rPr>
          <t>Id</t>
        </r>
        <r>
          <rPr>
            <sz val="9"/>
            <color indexed="81"/>
            <rFont val="Tahoma"/>
            <family val="2"/>
          </rPr>
          <t xml:space="preserve">
</t>
        </r>
      </text>
    </comment>
    <comment ref="B1" authorId="0" shapeId="0" xr:uid="{3B7FDE3B-A8D5-4BCA-80A3-A73988A323C8}">
      <text>
        <r>
          <rPr>
            <b/>
            <sz val="9"/>
            <color indexed="81"/>
            <rFont val="Tahoma"/>
            <family val="2"/>
          </rPr>
          <t>Name</t>
        </r>
        <r>
          <rPr>
            <sz val="9"/>
            <color indexed="81"/>
            <rFont val="Tahoma"/>
            <family val="2"/>
          </rPr>
          <t xml:space="preserve">
</t>
        </r>
      </text>
    </comment>
    <comment ref="C1" authorId="0" shapeId="0" xr:uid="{B7974537-6A46-4E2C-9E50-9D7478C9A38A}">
      <text>
        <r>
          <rPr>
            <b/>
            <sz val="9"/>
            <color indexed="81"/>
            <rFont val="Tahoma"/>
            <family val="2"/>
          </rPr>
          <t>Bundle</t>
        </r>
        <r>
          <rPr>
            <sz val="9"/>
            <color indexed="81"/>
            <rFont val="Tahoma"/>
            <family val="2"/>
          </rPr>
          <t xml:space="preserve">
</t>
        </r>
      </text>
    </comment>
    <comment ref="D1" authorId="0" shapeId="0" xr:uid="{7D0D1D0A-A0D5-4593-B111-1364F5EA0540}">
      <text>
        <r>
          <rPr>
            <b/>
            <sz val="9"/>
            <color indexed="81"/>
            <rFont val="Tahoma"/>
            <family val="2"/>
          </rPr>
          <t>Device Type</t>
        </r>
        <r>
          <rPr>
            <sz val="9"/>
            <color indexed="81"/>
            <rFont val="Tahoma"/>
            <family val="2"/>
          </rPr>
          <t xml:space="preserve">
</t>
        </r>
      </text>
    </comment>
    <comment ref="E1" authorId="0" shapeId="0" xr:uid="{90E2072A-FB5E-404B-BA04-1C435AAA1C26}">
      <text>
        <r>
          <rPr>
            <b/>
            <sz val="9"/>
            <color indexed="81"/>
            <rFont val="Tahoma"/>
            <family val="2"/>
          </rPr>
          <t>Environment</t>
        </r>
        <r>
          <rPr>
            <sz val="9"/>
            <color indexed="81"/>
            <rFont val="Tahoma"/>
            <family val="2"/>
          </rPr>
          <t xml:space="preserve">
</t>
        </r>
      </text>
    </comment>
    <comment ref="F1" authorId="0" shapeId="0" xr:uid="{B49EC8A1-C59C-4099-B076-D8AB8DCBA474}">
      <text>
        <r>
          <rPr>
            <b/>
            <sz val="9"/>
            <color indexed="81"/>
            <rFont val="Tahoma"/>
            <family val="2"/>
          </rPr>
          <t>OS</t>
        </r>
        <r>
          <rPr>
            <sz val="9"/>
            <color indexed="81"/>
            <rFont val="Tahoma"/>
            <family val="2"/>
          </rPr>
          <t xml:space="preserve">
</t>
        </r>
      </text>
    </comment>
    <comment ref="G1" authorId="0" shapeId="0" xr:uid="{AB2C4727-FAAA-4CC3-9539-572F37D6BFD5}">
      <text>
        <r>
          <rPr>
            <b/>
            <sz val="9"/>
            <color indexed="81"/>
            <rFont val="Tahoma"/>
            <family val="2"/>
          </rPr>
          <t>OS Version</t>
        </r>
        <r>
          <rPr>
            <sz val="9"/>
            <color indexed="81"/>
            <rFont val="Tahoma"/>
            <family val="2"/>
          </rPr>
          <t xml:space="preserve">
</t>
        </r>
      </text>
    </comment>
    <comment ref="H1" authorId="0" shapeId="0" xr:uid="{6FE44272-C7AD-4997-AD11-00D67B679631}">
      <text>
        <r>
          <rPr>
            <b/>
            <sz val="9"/>
            <color indexed="81"/>
            <rFont val="Tahoma"/>
            <family val="2"/>
          </rPr>
          <t>Manufacturer</t>
        </r>
      </text>
    </comment>
    <comment ref="I1" authorId="0" shapeId="0" xr:uid="{87424069-D7FD-499C-B011-8C25E2B4B38E}">
      <text>
        <r>
          <rPr>
            <b/>
            <sz val="9"/>
            <color indexed="81"/>
            <rFont val="Tahoma"/>
            <family val="2"/>
          </rPr>
          <t>Model</t>
        </r>
        <r>
          <rPr>
            <sz val="9"/>
            <color indexed="81"/>
            <rFont val="Tahoma"/>
            <family val="2"/>
          </rPr>
          <t xml:space="preserve">
</t>
        </r>
      </text>
    </comment>
    <comment ref="J1" authorId="0" shapeId="0" xr:uid="{6B3436C1-D9DB-4515-A618-1810A6C98BF9}">
      <text>
        <r>
          <rPr>
            <b/>
            <sz val="9"/>
            <color indexed="81"/>
            <rFont val="Tahoma"/>
            <family val="2"/>
          </rPr>
          <t>IP Address</t>
        </r>
        <r>
          <rPr>
            <sz val="9"/>
            <color indexed="81"/>
            <rFont val="Tahoma"/>
            <family val="2"/>
          </rPr>
          <t xml:space="preserve">
</t>
        </r>
      </text>
    </comment>
    <comment ref="K1" authorId="0" shapeId="0" xr:uid="{52283A13-D033-4458-ADDC-C892EDF1760D}">
      <text>
        <r>
          <rPr>
            <b/>
            <sz val="9"/>
            <color indexed="81"/>
            <rFont val="Tahoma"/>
            <family val="2"/>
          </rPr>
          <t>Alternate Name</t>
        </r>
        <r>
          <rPr>
            <sz val="9"/>
            <color indexed="81"/>
            <rFont val="Tahoma"/>
            <family val="2"/>
          </rPr>
          <t xml:space="preserve">
</t>
        </r>
      </text>
    </comment>
    <comment ref="L1" authorId="0" shapeId="0" xr:uid="{BEB1B84B-C1D3-4692-B564-DFFB5F154CF3}">
      <text>
        <r>
          <rPr>
            <b/>
            <sz val="9"/>
            <color indexed="81"/>
            <rFont val="Tahoma"/>
            <family val="2"/>
          </rPr>
          <t>Clustered</t>
        </r>
      </text>
    </comment>
    <comment ref="M1" authorId="0" shapeId="0" xr:uid="{AECE44C1-D94B-4FD2-844C-7208F9D22E38}">
      <text>
        <r>
          <rPr>
            <b/>
            <sz val="9"/>
            <color indexed="81"/>
            <rFont val="Tahoma"/>
            <family val="2"/>
          </rPr>
          <t>DB Type</t>
        </r>
      </text>
    </comment>
    <comment ref="N1" authorId="0" shapeId="0" xr:uid="{76620F78-E71D-41CD-A05B-6F979CF016F5}">
      <text>
        <r>
          <rPr>
            <b/>
            <sz val="9"/>
            <color indexed="81"/>
            <rFont val="Tahoma"/>
            <family val="2"/>
          </rPr>
          <t>DMZ</t>
        </r>
        <r>
          <rPr>
            <sz val="9"/>
            <color indexed="81"/>
            <rFont val="Tahoma"/>
            <family val="2"/>
          </rPr>
          <t xml:space="preserve">
</t>
        </r>
      </text>
    </comment>
    <comment ref="O1" authorId="0" shapeId="0" xr:uid="{C9ED48E4-ABD4-48D8-9499-DF4DE1BD2DBE}">
      <text>
        <r>
          <rPr>
            <b/>
            <sz val="9"/>
            <color indexed="81"/>
            <rFont val="Tahoma"/>
            <family val="2"/>
          </rPr>
          <t>F5 load balancer</t>
        </r>
      </text>
    </comment>
    <comment ref="P1" authorId="0" shapeId="0" xr:uid="{84A0CDB4-43A1-4DAB-A53E-EF12D09FD56C}">
      <text>
        <r>
          <rPr>
            <b/>
            <sz val="9"/>
            <color indexed="81"/>
            <rFont val="Tahoma"/>
            <family val="2"/>
          </rPr>
          <t>Segmentation Zone</t>
        </r>
      </text>
    </comment>
    <comment ref="Q1" authorId="0" shapeId="0" xr:uid="{EED9EB4E-61D5-43CC-8865-FB2C7E37DE3A}">
      <text>
        <r>
          <rPr>
            <b/>
            <sz val="9"/>
            <color indexed="81"/>
            <rFont val="Tahoma"/>
            <family val="2"/>
          </rPr>
          <t>Server Role</t>
        </r>
      </text>
    </comment>
    <comment ref="R1" authorId="0" shapeId="0" xr:uid="{85B14665-765B-4737-9513-C9B9A68CDCB4}">
      <text>
        <r>
          <rPr>
            <b/>
            <sz val="9"/>
            <color indexed="81"/>
            <rFont val="Tahoma"/>
            <family val="2"/>
          </rPr>
          <t>Memory GB</t>
        </r>
        <r>
          <rPr>
            <sz val="9"/>
            <color indexed="81"/>
            <rFont val="Tahoma"/>
            <family val="2"/>
          </rPr>
          <t xml:space="preserve">
</t>
        </r>
      </text>
    </comment>
    <comment ref="S1" authorId="0" shapeId="0" xr:uid="{F23331C8-6912-44A5-8AF6-E883B3F93B49}">
      <text>
        <r>
          <rPr>
            <b/>
            <sz val="9"/>
            <color indexed="81"/>
            <rFont val="Tahoma"/>
            <family val="2"/>
          </rPr>
          <t>Processor - Core Count</t>
        </r>
      </text>
    </comment>
    <comment ref="T1" authorId="0" shapeId="0" xr:uid="{E342EB5B-6644-4643-BD29-8ED258B15297}">
      <text>
        <r>
          <rPr>
            <b/>
            <sz val="9"/>
            <color indexed="81"/>
            <rFont val="Tahoma"/>
            <family val="2"/>
          </rPr>
          <t>Total Storage GB</t>
        </r>
      </text>
    </comment>
    <comment ref="U1" authorId="0" shapeId="0" xr:uid="{753160F6-B829-4EAD-A173-DB57E2F4BDEF}">
      <text>
        <r>
          <rPr>
            <b/>
            <sz val="9"/>
            <color indexed="81"/>
            <rFont val="Tahoma"/>
            <family val="2"/>
          </rPr>
          <t>P2P-P2V Assessment results</t>
        </r>
      </text>
    </comment>
    <comment ref="V1" authorId="0" shapeId="0" xr:uid="{3F9B7FB7-6AB4-46C9-A6D8-B3EBF4910035}">
      <text>
        <r>
          <rPr>
            <b/>
            <sz val="9"/>
            <color indexed="81"/>
            <rFont val="Tahoma"/>
            <family val="2"/>
          </rPr>
          <t>Storage Array</t>
        </r>
      </text>
    </comment>
    <comment ref="W1" authorId="0" shapeId="0" xr:uid="{E718BE44-AD01-4B18-90B2-8D2ADE165AE2}">
      <text>
        <r>
          <rPr>
            <b/>
            <sz val="9"/>
            <color indexed="81"/>
            <rFont val="Tahoma"/>
            <family val="2"/>
          </rPr>
          <t>Size</t>
        </r>
      </text>
    </comment>
    <comment ref="X1" authorId="0" shapeId="0" xr:uid="{03DB9268-046E-4A4F-B4A0-D5BB80B6E3B4}">
      <text>
        <r>
          <rPr>
            <b/>
            <sz val="9"/>
            <color indexed="81"/>
            <rFont val="Tahoma"/>
            <family val="2"/>
          </rPr>
          <t>LUN</t>
        </r>
        <r>
          <rPr>
            <sz val="9"/>
            <color indexed="81"/>
            <rFont val="Tahoma"/>
            <family val="2"/>
          </rPr>
          <t xml:space="preserve">
</t>
        </r>
      </text>
    </comment>
    <comment ref="Y1" authorId="0" shapeId="0" xr:uid="{06FD5D6F-35F9-4FE0-AAB2-7C87113C2251}">
      <text>
        <r>
          <rPr>
            <b/>
            <sz val="9"/>
            <color indexed="81"/>
            <rFont val="Tahoma"/>
            <family val="2"/>
          </rPr>
          <t>Discovery Status</t>
        </r>
        <r>
          <rPr>
            <sz val="9"/>
            <color indexed="81"/>
            <rFont val="Tahoma"/>
            <family val="2"/>
          </rPr>
          <t xml:space="preserve">
</t>
        </r>
      </text>
    </comment>
    <comment ref="Z1" authorId="0" shapeId="0" xr:uid="{9B6B3AC9-339A-4DDA-BEA2-D8196C4754B2}">
      <text>
        <r>
          <rPr>
            <b/>
            <sz val="9"/>
            <color indexed="81"/>
            <rFont val="Tahoma"/>
            <family val="2"/>
          </rPr>
          <t>dr_protected</t>
        </r>
      </text>
    </comment>
    <comment ref="AA1" authorId="0" shapeId="0" xr:uid="{88524B11-9B04-4C91-A6FF-4BD74D3D050C}">
      <text>
        <r>
          <rPr>
            <b/>
            <sz val="9"/>
            <color indexed="81"/>
            <rFont val="Tahoma"/>
            <family val="2"/>
          </rPr>
          <t>dr_replica_ip</t>
        </r>
      </text>
    </comment>
    <comment ref="AB1" authorId="0" shapeId="0" xr:uid="{065AD001-B850-4974-962E-9E7C6D27EFB0}">
      <text>
        <r>
          <rPr>
            <b/>
            <sz val="9"/>
            <color indexed="81"/>
            <rFont val="Tahoma"/>
            <family val="2"/>
          </rPr>
          <t>dr_replication_method</t>
        </r>
      </text>
    </comment>
    <comment ref="AC1" authorId="0" shapeId="0" xr:uid="{AC9D6C82-84D6-44B9-B05D-8C067CA31B8A}">
      <text>
        <r>
          <rPr>
            <b/>
            <sz val="9"/>
            <color indexed="81"/>
            <rFont val="Tahoma"/>
            <family val="2"/>
          </rPr>
          <t>dr_tier</t>
        </r>
      </text>
    </comment>
    <comment ref="AD1" authorId="0" shapeId="0" xr:uid="{A44D915F-C208-42B9-9B8F-7DF8B2D34058}">
      <text>
        <r>
          <rPr>
            <b/>
            <sz val="9"/>
            <color indexed="81"/>
            <rFont val="Tahoma"/>
            <family val="2"/>
          </rPr>
          <t>DR Replication Status</t>
        </r>
      </text>
    </comment>
    <comment ref="AE1" authorId="0" shapeId="0" xr:uid="{29285004-3444-4120-99AD-E0B8AA151C9D}">
      <text>
        <r>
          <rPr>
            <b/>
            <sz val="9"/>
            <color indexed="81"/>
            <rFont val="Tahoma"/>
            <family val="2"/>
          </rPr>
          <t>DR_KSG</t>
        </r>
      </text>
    </comment>
    <comment ref="AF1" authorId="0" shapeId="0" xr:uid="{607A08D2-43DF-40A7-98CC-1BE0309AE8F6}">
      <text>
        <r>
          <rPr>
            <b/>
            <sz val="9"/>
            <color indexed="81"/>
            <rFont val="Tahoma"/>
            <family val="2"/>
          </rPr>
          <t>Target IP Address</t>
        </r>
      </text>
    </comment>
    <comment ref="AG1" authorId="0" shapeId="0" xr:uid="{21DF5906-9D79-4E9E-B1C3-8A797F571C70}">
      <text>
        <r>
          <rPr>
            <b/>
            <sz val="9"/>
            <color indexed="81"/>
            <rFont val="Tahoma"/>
            <family val="2"/>
          </rPr>
          <t>Target Subnet</t>
        </r>
      </text>
    </comment>
    <comment ref="AH1" authorId="0" shapeId="0" xr:uid="{1575CDAB-8FE7-4BE6-BB82-3FADC2461B7F}">
      <text>
        <r>
          <rPr>
            <b/>
            <sz val="9"/>
            <color indexed="81"/>
            <rFont val="Tahoma"/>
            <family val="2"/>
          </rPr>
          <t>Target Default Gateway</t>
        </r>
      </text>
    </comment>
    <comment ref="AI1" authorId="1" shapeId="0" xr:uid="{E2030CF9-939D-4ED9-B00E-4F77C006544E}">
      <text>
        <r>
          <rPr>
            <b/>
            <sz val="9"/>
            <color indexed="81"/>
            <rFont val="Tahoma"/>
            <family val="2"/>
          </rPr>
          <t>Processor - Core Count</t>
        </r>
        <r>
          <rPr>
            <sz val="9"/>
            <color indexed="81"/>
            <rFont val="Tahoma"/>
            <family val="2"/>
          </rPr>
          <t xml:space="preserve">
</t>
        </r>
      </text>
    </comment>
    <comment ref="AJ1" authorId="1" shapeId="0" xr:uid="{EA48B3CF-E084-4A03-B3EE-868B5F0E3DF4}">
      <text>
        <r>
          <rPr>
            <b/>
            <sz val="9"/>
            <color indexed="81"/>
            <rFont val="Tahoma"/>
            <family val="2"/>
          </rPr>
          <t>P2P-P2V Assessment Comment</t>
        </r>
      </text>
    </comment>
    <comment ref="AK1" authorId="1" shapeId="0" xr:uid="{3CB1BFAF-2D55-411A-97B2-AA2183947E6A}">
      <text>
        <r>
          <rPr>
            <b/>
            <sz val="9"/>
            <color indexed="81"/>
            <rFont val="Tahoma"/>
            <family val="2"/>
          </rPr>
          <t xml:space="preserve">Plan Status
</t>
        </r>
        <r>
          <rPr>
            <sz val="9"/>
            <color indexed="81"/>
            <rFont val="Tahoma"/>
            <family val="2"/>
          </rPr>
          <t xml:space="preserve">
</t>
        </r>
      </text>
    </comment>
    <comment ref="AL1" authorId="1" shapeId="0" xr:uid="{8824E214-7074-4182-935E-FE22CD5FC078}">
      <text>
        <r>
          <rPr>
            <b/>
            <sz val="9"/>
            <color indexed="81"/>
            <rFont val="Tahoma"/>
            <family val="2"/>
          </rPr>
          <t>CIStatus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A1" authorId="0" shapeId="0" xr:uid="{EF17271C-E571-465B-9F30-5C0E9DFB7F6E}">
      <text>
        <r>
          <rPr>
            <b/>
            <sz val="9"/>
            <color indexed="81"/>
            <rFont val="Tahoma"/>
            <family val="2"/>
          </rPr>
          <t>Id</t>
        </r>
        <r>
          <rPr>
            <sz val="9"/>
            <color indexed="81"/>
            <rFont val="Tahoma"/>
            <family val="2"/>
          </rPr>
          <t xml:space="preserve">
</t>
        </r>
      </text>
    </comment>
    <comment ref="B1" authorId="0" shapeId="0" xr:uid="{E77F319D-0B61-48DE-B62C-249409D92161}">
      <text>
        <r>
          <rPr>
            <b/>
            <sz val="9"/>
            <color indexed="81"/>
            <rFont val="Tahoma"/>
            <family val="2"/>
          </rPr>
          <t>Name</t>
        </r>
      </text>
    </comment>
    <comment ref="C1" authorId="0" shapeId="0" xr:uid="{D150A9E7-B332-4C99-A257-4F5B58EAD8DE}">
      <text>
        <r>
          <rPr>
            <b/>
            <sz val="9"/>
            <color indexed="81"/>
            <rFont val="Tahoma"/>
            <family val="2"/>
          </rPr>
          <t>Description</t>
        </r>
        <r>
          <rPr>
            <sz val="9"/>
            <color indexed="81"/>
            <rFont val="Tahoma"/>
            <family val="2"/>
          </rPr>
          <t xml:space="preserve">
</t>
        </r>
      </text>
    </comment>
    <comment ref="D1" authorId="0" shapeId="0" xr:uid="{30DA485F-7BAF-43DD-BE78-A36377B96B1E}">
      <text>
        <r>
          <rPr>
            <b/>
            <sz val="9"/>
            <color indexed="81"/>
            <rFont val="Tahoma"/>
            <family val="2"/>
          </rPr>
          <t>Root</t>
        </r>
      </text>
    </comment>
    <comment ref="E1" authorId="0" shapeId="0" xr:uid="{ACDE6FCD-CFC1-4692-8386-47C9B87868EF}">
      <text>
        <r>
          <rPr>
            <b/>
            <sz val="9"/>
            <color indexed="81"/>
            <rFont val="Tahoma"/>
            <family val="2"/>
          </rPr>
          <t>Bundle</t>
        </r>
      </text>
    </comment>
    <comment ref="F1" authorId="0" shapeId="0" xr:uid="{737F5863-8CAD-4CD5-8E0F-3711BD7AE993}">
      <text>
        <r>
          <rPr>
            <b/>
            <sz val="9"/>
            <color indexed="81"/>
            <rFont val="Tahoma"/>
            <family val="2"/>
          </rPr>
          <t>App Owner</t>
        </r>
      </text>
    </comment>
    <comment ref="G1" authorId="0" shapeId="0" xr:uid="{D285D04C-C944-4E41-9BF6-ACA6A7DF4697}">
      <text>
        <r>
          <rPr>
            <b/>
            <sz val="9"/>
            <color indexed="81"/>
            <rFont val="Tahoma"/>
            <family val="2"/>
          </rPr>
          <t>App Owners Email ID</t>
        </r>
      </text>
    </comment>
    <comment ref="H1" authorId="0" shapeId="0" xr:uid="{E374BB98-7B72-48B8-AE65-4C0907FDF74D}">
      <text>
        <r>
          <rPr>
            <b/>
            <sz val="9"/>
            <color indexed="81"/>
            <rFont val="Tahoma"/>
            <family val="2"/>
          </rPr>
          <t>Application Owners Email ID Text</t>
        </r>
        <r>
          <rPr>
            <sz val="9"/>
            <color indexed="81"/>
            <rFont val="Tahoma"/>
            <family val="2"/>
          </rPr>
          <t xml:space="preserve">
</t>
        </r>
      </text>
    </comment>
    <comment ref="I1" authorId="0" shapeId="0" xr:uid="{49DD5A48-C4F5-4AFC-9C0E-340C1CBF1E40}">
      <text>
        <r>
          <rPr>
            <b/>
            <sz val="9"/>
            <color indexed="81"/>
            <rFont val="Tahoma"/>
            <family val="2"/>
          </rPr>
          <t>IT Support Manager</t>
        </r>
      </text>
    </comment>
    <comment ref="J1" authorId="0" shapeId="0" xr:uid="{2A311BB9-6B9E-43F4-BCD1-3BBB1DF92400}">
      <text>
        <r>
          <rPr>
            <b/>
            <sz val="9"/>
            <color indexed="81"/>
            <rFont val="Tahoma"/>
            <family val="2"/>
          </rPr>
          <t>IT Support Manager Email</t>
        </r>
      </text>
    </comment>
    <comment ref="K1" authorId="0" shapeId="0" xr:uid="{845E4952-40B3-4B9E-A92F-AF1786288EA6}">
      <text>
        <r>
          <rPr>
            <b/>
            <sz val="9"/>
            <color indexed="81"/>
            <rFont val="Tahoma"/>
            <family val="2"/>
          </rPr>
          <t>SME Name Text</t>
        </r>
      </text>
    </comment>
    <comment ref="L1" authorId="0" shapeId="0" xr:uid="{4EA534AD-70BB-4080-BBCA-06C0A0D17DE4}">
      <text>
        <r>
          <rPr>
            <b/>
            <sz val="9"/>
            <color indexed="81"/>
            <rFont val="Tahoma"/>
            <family val="2"/>
          </rPr>
          <t>SME1</t>
        </r>
      </text>
    </comment>
    <comment ref="M1" authorId="0" shapeId="0" xr:uid="{44B1D91D-4101-4CE8-88A5-C37D4B9D7CE0}">
      <text>
        <r>
          <rPr>
            <b/>
            <sz val="9"/>
            <color indexed="81"/>
            <rFont val="Tahoma"/>
            <family val="2"/>
          </rPr>
          <t>SME1 Email-ID</t>
        </r>
      </text>
    </comment>
    <comment ref="N1" authorId="0" shapeId="0" xr:uid="{B9D7B997-FFE2-468C-B1DA-4B245F22ADFA}">
      <text>
        <r>
          <rPr>
            <b/>
            <sz val="9"/>
            <color indexed="81"/>
            <rFont val="Tahoma"/>
            <family val="2"/>
          </rPr>
          <t>SME2</t>
        </r>
      </text>
    </comment>
    <comment ref="O1" authorId="0" shapeId="0" xr:uid="{B3BFDBC2-DF14-4BA1-9AE8-08E9BD7A2C5F}">
      <text>
        <r>
          <rPr>
            <b/>
            <sz val="9"/>
            <color indexed="81"/>
            <rFont val="Tahoma"/>
            <family val="2"/>
          </rPr>
          <t>SME2 Email-ID</t>
        </r>
      </text>
    </comment>
    <comment ref="P1" authorId="0" shapeId="0" xr:uid="{879DB417-E4EF-4F1B-9862-47374CD5D97F}">
      <text>
        <r>
          <rPr>
            <b/>
            <sz val="9"/>
            <color indexed="81"/>
            <rFont val="Tahoma"/>
            <family val="2"/>
          </rPr>
          <t>Support Group DL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L1" authorId="0" shapeId="0" xr:uid="{AE1EE13B-8A74-4457-910E-8A64E16DDDF5}">
      <text>
        <r>
          <rPr>
            <sz val="9"/>
            <color indexed="81"/>
            <rFont val="Tahoma"/>
            <family val="2"/>
          </rPr>
          <t xml:space="preserve">Source Physical / VM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J1" authorId="0" shapeId="0" xr:uid="{37132016-A750-40B0-8E76-29F7AF14C43C}">
      <text>
        <r>
          <rPr>
            <sz val="9"/>
            <color indexed="81"/>
            <rFont val="Tahoma"/>
            <family val="2"/>
          </rPr>
          <t xml:space="preserve">Source Physical / VM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J1" authorId="0" shapeId="0" xr:uid="{117EE84F-6301-411A-AB91-B78194A8EAD6}">
      <text>
        <r>
          <rPr>
            <sz val="9"/>
            <color indexed="81"/>
            <rFont val="Tahoma"/>
            <family val="2"/>
          </rPr>
          <t xml:space="preserve">Source Physical / VM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<sst xmlns="http://schemas.openxmlformats.org/spreadsheetml/2006/main" count="2413" uniqueCount="819">
  <si>
    <t>V1.50</t>
  </si>
  <si>
    <t>Migration event information for:</t>
  </si>
  <si>
    <t>Bundle</t>
  </si>
  <si>
    <t>Project</t>
  </si>
  <si>
    <t>Richmond &amp; Harrisonburg</t>
  </si>
  <si>
    <t>Project ID</t>
  </si>
  <si>
    <t>Application View ID</t>
  </si>
  <si>
    <t>Devices View ID</t>
  </si>
  <si>
    <t>PMs Names</t>
  </si>
  <si>
    <t>PMs email</t>
  </si>
  <si>
    <t xml:space="preserve">NOTES: </t>
  </si>
  <si>
    <t>The macros cannot be executed if the file is opened in a browser</t>
  </si>
  <si>
    <t>The macros use the SharePoint/OneDrive File Explorer link, it should be properly configured</t>
  </si>
  <si>
    <t>The file must have in it's path the folder "09. ADAI Go-Live Cutover Runbooks"</t>
  </si>
  <si>
    <t>This is a template, to prevent unwanted modification, it is necessary to copy the file to another folder and rename it.</t>
  </si>
  <si>
    <t>Devices</t>
  </si>
  <si>
    <t>Operating Systems</t>
  </si>
  <si>
    <t>Database</t>
  </si>
  <si>
    <t>Supported Application</t>
  </si>
  <si>
    <t>AIX-LPAR</t>
  </si>
  <si>
    <t>Linux-VM-Power</t>
  </si>
  <si>
    <t>Server</t>
  </si>
  <si>
    <t>VM</t>
  </si>
  <si>
    <t>Oth-Dev</t>
  </si>
  <si>
    <t>AIX</t>
  </si>
  <si>
    <t>PwrLnx</t>
  </si>
  <si>
    <t>Linux</t>
  </si>
  <si>
    <t>MS Win</t>
  </si>
  <si>
    <t>OSCP</t>
  </si>
  <si>
    <t>RHEL</t>
  </si>
  <si>
    <t>Other-OS</t>
  </si>
  <si>
    <t>TOTAL-OS</t>
  </si>
  <si>
    <t>DB2</t>
  </si>
  <si>
    <t>MDB</t>
  </si>
  <si>
    <t>ORA</t>
  </si>
  <si>
    <t>SQL</t>
  </si>
  <si>
    <t>SYB</t>
  </si>
  <si>
    <t>UDB</t>
  </si>
  <si>
    <t>Other-DB</t>
  </si>
  <si>
    <t>TOTAL-DB</t>
  </si>
  <si>
    <t>No CS</t>
  </si>
  <si>
    <t>DMZ</t>
  </si>
  <si>
    <t>F5/LB</t>
  </si>
  <si>
    <t>Applications</t>
  </si>
  <si>
    <t>Power Linux</t>
  </si>
  <si>
    <t>Days requied to migrate Power Servers</t>
  </si>
  <si>
    <t>P2V</t>
  </si>
  <si>
    <t>Total Svrs</t>
  </si>
  <si>
    <t>CS Status</t>
  </si>
  <si>
    <t>Qty</t>
  </si>
  <si>
    <t>Pct</t>
  </si>
  <si>
    <t>Storage arrays</t>
  </si>
  <si>
    <t>P2P</t>
  </si>
  <si>
    <t>OOS</t>
  </si>
  <si>
    <t>Discovered</t>
  </si>
  <si>
    <t>Storage arrays size GB</t>
  </si>
  <si>
    <t>Pend.</t>
  </si>
  <si>
    <t>Inventoried</t>
  </si>
  <si>
    <t>Storage GB</t>
  </si>
  <si>
    <t>Scanned</t>
  </si>
  <si>
    <t>Total Storage GB</t>
  </si>
  <si>
    <t>Troubleshooting</t>
  </si>
  <si>
    <t>Decommissioned</t>
  </si>
  <si>
    <t>Manual Discovery</t>
  </si>
  <si>
    <t>Out_of_Scope</t>
  </si>
  <si>
    <t>Undiscovered</t>
  </si>
  <si>
    <t>Total</t>
  </si>
  <si>
    <t>No.</t>
  </si>
  <si>
    <t>AssetDependencyId</t>
  </si>
  <si>
    <t>Application</t>
  </si>
  <si>
    <t>App Bundle</t>
  </si>
  <si>
    <t>Server Bundle</t>
  </si>
  <si>
    <t>Hostname</t>
  </si>
  <si>
    <t>Scope</t>
  </si>
  <si>
    <t>Environment</t>
  </si>
  <si>
    <t>Alternate Name</t>
  </si>
  <si>
    <t>Device Type</t>
  </si>
  <si>
    <t>Svr Assess</t>
  </si>
  <si>
    <t>IP Address</t>
  </si>
  <si>
    <t>OS</t>
  </si>
  <si>
    <t>Server Role</t>
  </si>
  <si>
    <t>Source Location</t>
  </si>
  <si>
    <t>Target Location</t>
  </si>
  <si>
    <t>Target IP Address</t>
  </si>
  <si>
    <t>Target Subnet Mask</t>
  </si>
  <si>
    <t>Target Default Gateway</t>
  </si>
  <si>
    <t>DB</t>
  </si>
  <si>
    <t>CS</t>
  </si>
  <si>
    <t>LB</t>
  </si>
  <si>
    <t>Storage</t>
  </si>
  <si>
    <t>DR-Protected</t>
  </si>
  <si>
    <t>Status</t>
  </si>
  <si>
    <t>Comment</t>
  </si>
  <si>
    <t xml:space="preserve"> Event </t>
  </si>
  <si>
    <t>Cutover Date</t>
  </si>
  <si>
    <t>Scope
(Initial, New,
  Deleted)</t>
  </si>
  <si>
    <t>Application Name</t>
  </si>
  <si>
    <t>Application Owner</t>
  </si>
  <si>
    <t>IT Support Manager</t>
  </si>
  <si>
    <t>SME</t>
  </si>
  <si>
    <t>Support Group DL</t>
  </si>
  <si>
    <t>Source IP Address</t>
  </si>
  <si>
    <t>Type
App/DB</t>
  </si>
  <si>
    <t>Operating System</t>
  </si>
  <si>
    <t>DR Protection</t>
  </si>
  <si>
    <t>Target Data Center</t>
  </si>
  <si>
    <t xml:space="preserve">Target IPs </t>
  </si>
  <si>
    <t>Target Subnet</t>
  </si>
  <si>
    <t>Target Gateway</t>
  </si>
  <si>
    <t>Storage Space</t>
  </si>
  <si>
    <t>Comments</t>
  </si>
  <si>
    <t>common_id</t>
  </si>
  <si>
    <t>common_assetName</t>
  </si>
  <si>
    <t>common_moveBundle</t>
  </si>
  <si>
    <t>device_assetType</t>
  </si>
  <si>
    <t>common_environment</t>
  </si>
  <si>
    <t>device_os</t>
  </si>
  <si>
    <t>device_custom31</t>
  </si>
  <si>
    <t>device_manufacturer</t>
  </si>
  <si>
    <t>device_model</t>
  </si>
  <si>
    <t>device_ipAddress</t>
  </si>
  <si>
    <t>device_shortName</t>
  </si>
  <si>
    <t>device_custom21</t>
  </si>
  <si>
    <t>device_custom20</t>
  </si>
  <si>
    <t>device_custom26</t>
  </si>
  <si>
    <t>device_custom45</t>
  </si>
  <si>
    <t>device_custom34</t>
  </si>
  <si>
    <t>device_custom35</t>
  </si>
  <si>
    <t>device_custom2</t>
  </si>
  <si>
    <t>device_custom3</t>
  </si>
  <si>
    <t>device_custom64</t>
  </si>
  <si>
    <t>device_custom60</t>
  </si>
  <si>
    <t>device_custom55</t>
  </si>
  <si>
    <t>device_size</t>
  </si>
  <si>
    <t>device_custom57</t>
  </si>
  <si>
    <t>device_custom33</t>
  </si>
  <si>
    <t>device_custom27</t>
  </si>
  <si>
    <t>device_custom28</t>
  </si>
  <si>
    <t>device_custom29</t>
  </si>
  <si>
    <t>device_custom30</t>
  </si>
  <si>
    <t>device_custom58</t>
  </si>
  <si>
    <t>device_custom65</t>
  </si>
  <si>
    <t>device_custom17</t>
  </si>
  <si>
    <t>device_custom14</t>
  </si>
  <si>
    <t>device_custom12</t>
  </si>
  <si>
    <t>common_assetClass</t>
  </si>
  <si>
    <t>common_assetType</t>
  </si>
  <si>
    <t>common_commentCount</t>
  </si>
  <si>
    <t>common_taskCount</t>
  </si>
  <si>
    <t>device_custom51</t>
  </si>
  <si>
    <t>common_planStatus</t>
  </si>
  <si>
    <t>device_custom66</t>
  </si>
  <si>
    <t>common_description</t>
  </si>
  <si>
    <t>application_custom5</t>
  </si>
  <si>
    <t>application_appOwner</t>
  </si>
  <si>
    <t>application_custom10</t>
  </si>
  <si>
    <t>application_custom9</t>
  </si>
  <si>
    <t>application_custom45</t>
  </si>
  <si>
    <t>application_custom46</t>
  </si>
  <si>
    <t>application_custom6</t>
  </si>
  <si>
    <t>application_sme</t>
  </si>
  <si>
    <t>application_custom11</t>
  </si>
  <si>
    <t>application_sme2</t>
  </si>
  <si>
    <t>application_custom19</t>
  </si>
  <si>
    <t>application_custom23</t>
  </si>
  <si>
    <t>AssetId</t>
  </si>
  <si>
    <t>AssetName</t>
  </si>
  <si>
    <t>AssetType</t>
  </si>
  <si>
    <t>AssetBundle</t>
  </si>
  <si>
    <t>DependentId</t>
  </si>
  <si>
    <t>DependentName</t>
  </si>
  <si>
    <t>DependentType</t>
  </si>
  <si>
    <t>DependentBundle</t>
  </si>
  <si>
    <t>DataFlowFreq</t>
  </si>
  <si>
    <t>DataFlowDirection</t>
  </si>
  <si>
    <t>status</t>
  </si>
  <si>
    <t>Type</t>
  </si>
  <si>
    <t>Root</t>
  </si>
  <si>
    <t>App. Status</t>
  </si>
  <si>
    <t>Env</t>
  </si>
  <si>
    <t>Dev</t>
  </si>
  <si>
    <t>Src IP</t>
  </si>
  <si>
    <t>Group</t>
  </si>
  <si>
    <t>VIPs</t>
  </si>
  <si>
    <t>Column1</t>
  </si>
  <si>
    <t>Column2</t>
  </si>
  <si>
    <t>Servers</t>
  </si>
  <si>
    <t>Applications/CS-Stacks</t>
  </si>
  <si>
    <t>Ʃ Servers</t>
  </si>
  <si>
    <t>Grand Total</t>
  </si>
  <si>
    <t>Row Labels</t>
  </si>
  <si>
    <t>Introductory Message</t>
  </si>
  <si>
    <t>Macro will add</t>
  </si>
  <si>
    <t>ME number-Application-</t>
  </si>
  <si>
    <t>Subject</t>
  </si>
  <si>
    <t>Server migration scheduled for</t>
  </si>
  <si>
    <t>Body1</t>
  </si>
  <si>
    <t>Hello Team,  &lt;br&gt;  
We are contacting you on behalf of the Kyndryl squad assigned to assist in the migration to the Elevance Health's Private Hosting in a Kyndryl Managed Data Center.  &lt;br&gt;&lt;br&gt;
You have been identified as Application Owners and/or Subject Matter Experts (SMEs) for the application listed in the subject.  &lt;br&gt;</t>
  </si>
  <si>
    <t xml:space="preserve">App Owner : / 
IT Support Mgr: / 
SME1 : / 
SME2 : / </t>
  </si>
  <si>
    <t>Body2</t>
  </si>
  <si>
    <t>Kickoff (Sug. T-7)</t>
  </si>
  <si>
    <t>Body3</t>
  </si>
  <si>
    <t>Below you will find the list of servers associated with this application and environment that we being taking into consideration.&lt;br&gt;</t>
  </si>
  <si>
    <t>List of server for the application</t>
  </si>
  <si>
    <t>Signature</t>
  </si>
  <si>
    <t>Best Regards, &lt;br&gt;
Migration Squad&lt;br&gt;&lt;br&gt;</t>
  </si>
  <si>
    <t>PMs' names</t>
  </si>
  <si>
    <t>MENumber-Application-</t>
  </si>
  <si>
    <t xml:space="preserve">Migration AAQ, please fill in and return by </t>
  </si>
  <si>
    <t>AAQ Review</t>
  </si>
  <si>
    <t>Hello Team, &lt;br&gt;
As part of the activities needed to migrate servers to the Elevance Health's Private Hosting in a Kyndryl Managed Data Center, we have prepared the Application Assessment Questionnaire (AAQ) to better understand your environment, which is crucial for a smooth and quick cutover. &lt;br&gt;
In the AAQ file, in the tab “App Questionnaire – Anthem“,  you will find the questions we need you to answer in column "B", in column "C", the predefined answers are either: "Yes", "No", "N/A" or "Not sure".  If you are not sure about the answer, please try to contact someone from your Team to help, this is very important. On Column "D" you can elaborate more about your answer. Please check the notes on column "F", it can help to clarify any doubt. &lt;br&gt;
In the tab "Server Scope", it is the servers that are in scope, as well as any related VIPs, please let us know if something is missing or not right. &lt;br&gt;
Finally, the “Firewall” tab is where you will list the communication that are required for your application to work properly, so we can make sure we open the port in the target environment. &lt;br&gt;</t>
  </si>
  <si>
    <t>TM OS</t>
  </si>
  <si>
    <t>Machine Type</t>
  </si>
  <si>
    <t>Target Platform</t>
  </si>
  <si>
    <t>STAbbr</t>
  </si>
  <si>
    <t>State</t>
  </si>
  <si>
    <t>LocAbbr</t>
  </si>
  <si>
    <t>Location</t>
  </si>
  <si>
    <t>EnvAbbr</t>
  </si>
  <si>
    <t>PlatAbbr</t>
  </si>
  <si>
    <t>Platform</t>
  </si>
  <si>
    <t>TypAbbr</t>
  </si>
  <si>
    <t>Move ME</t>
  </si>
  <si>
    <t>Event Date</t>
  </si>
  <si>
    <t>Windows/Linux/AIX</t>
  </si>
  <si>
    <t>MO</t>
  </si>
  <si>
    <t>Missouri</t>
  </si>
  <si>
    <t>MOM9</t>
  </si>
  <si>
    <t>StLouis</t>
  </si>
  <si>
    <t>D</t>
  </si>
  <si>
    <t>A</t>
  </si>
  <si>
    <t>Appliance</t>
  </si>
  <si>
    <t>P</t>
  </si>
  <si>
    <t>Physical</t>
  </si>
  <si>
    <t>MEA001</t>
  </si>
  <si>
    <t>X</t>
  </si>
  <si>
    <t>VA</t>
  </si>
  <si>
    <t>Virginia</t>
  </si>
  <si>
    <t>VA10</t>
  </si>
  <si>
    <t>Richmond</t>
  </si>
  <si>
    <t>Prod</t>
  </si>
  <si>
    <t>E</t>
  </si>
  <si>
    <t>VMware ESX</t>
  </si>
  <si>
    <t>V</t>
  </si>
  <si>
    <t>Virtual</t>
  </si>
  <si>
    <t>Mdb</t>
  </si>
  <si>
    <t>Linux CentOS</t>
  </si>
  <si>
    <t>Equinix - Elk Grove</t>
  </si>
  <si>
    <t>CA</t>
  </si>
  <si>
    <t>California</t>
  </si>
  <si>
    <t>Virginia Beach</t>
  </si>
  <si>
    <t>T</t>
  </si>
  <si>
    <t>Test</t>
  </si>
  <si>
    <t>H</t>
  </si>
  <si>
    <t>HP</t>
  </si>
  <si>
    <t>Z</t>
  </si>
  <si>
    <t>Orc</t>
  </si>
  <si>
    <t>Linux Red Hat</t>
  </si>
  <si>
    <t>Mainframe LPAR</t>
  </si>
  <si>
    <t>IBM Cloud Bare Metal x86 - Ashburn</t>
  </si>
  <si>
    <t>VA33</t>
  </si>
  <si>
    <t>Harrisonburg</t>
  </si>
  <si>
    <t>N</t>
  </si>
  <si>
    <t>NPrd</t>
  </si>
  <si>
    <t>L</t>
  </si>
  <si>
    <t>Oth</t>
  </si>
  <si>
    <t>Microsoft Windows</t>
  </si>
  <si>
    <t>Cluster IP</t>
  </si>
  <si>
    <t>IBM Cloud Dedicated - Ashburn</t>
  </si>
  <si>
    <t>VAA</t>
  </si>
  <si>
    <t>SUSE</t>
  </si>
  <si>
    <t>Microsoft Windows Server</t>
  </si>
  <si>
    <t>IBM Cloud VCS - Ashburn</t>
  </si>
  <si>
    <t>S</t>
  </si>
  <si>
    <t>Solaris</t>
  </si>
  <si>
    <t>U</t>
  </si>
  <si>
    <t>Unix/AIX</t>
  </si>
  <si>
    <t>Red Hat Enterprise Linux</t>
  </si>
  <si>
    <t>W</t>
  </si>
  <si>
    <t>Windows</t>
  </si>
  <si>
    <t>Windows 2012 R2 Datacenter</t>
  </si>
  <si>
    <t>Exadata</t>
  </si>
  <si>
    <t>Windows 2012 R2 Standard</t>
  </si>
  <si>
    <t>zLinux (MF)</t>
  </si>
  <si>
    <t>Windows 2016 Datacenter</t>
  </si>
  <si>
    <t>Windows 2019 Datacenter</t>
  </si>
  <si>
    <t>Windows server</t>
  </si>
  <si>
    <t>Windows Server 2016</t>
  </si>
  <si>
    <t>Parameter</t>
  </si>
  <si>
    <t>Value</t>
  </si>
  <si>
    <t>Database File</t>
  </si>
  <si>
    <t>Once you set this for your system, you shouldn't have to change it.</t>
  </si>
  <si>
    <t>Channel path</t>
  </si>
  <si>
    <t>Arch File path</t>
  </si>
  <si>
    <t>F5Lookup path</t>
  </si>
  <si>
    <t>F5Lookup file</t>
  </si>
  <si>
    <t>#</t>
  </si>
  <si>
    <t>Event</t>
  </si>
  <si>
    <t>Migration date</t>
  </si>
  <si>
    <t>App</t>
  </si>
  <si>
    <t>App Owner</t>
  </si>
  <si>
    <t>Migration status</t>
  </si>
  <si>
    <t>Hand over Date/Sign off date</t>
  </si>
  <si>
    <t>Kyndryl PM</t>
  </si>
  <si>
    <t>Seq#</t>
  </si>
  <si>
    <t>Migration Status</t>
  </si>
  <si>
    <t>SourceHostname-old</t>
  </si>
  <si>
    <t>EH Data Center Location</t>
  </si>
  <si>
    <t>Type (App/DB)</t>
  </si>
  <si>
    <t>Physical Server Serial Number</t>
  </si>
  <si>
    <t>Cutover Change number</t>
  </si>
  <si>
    <t>Plan Status "Moved" in TM</t>
  </si>
  <si>
    <t xml:space="preserve">Migration Date:     </t>
  </si>
  <si>
    <t>[Sourcehostname]-cmold</t>
  </si>
  <si>
    <t>EH DataCenter Location</t>
  </si>
  <si>
    <t>Source Physical Server Serial Number</t>
  </si>
  <si>
    <t>VM Name in Vcenter</t>
  </si>
  <si>
    <t xml:space="preserve"> Vcenter Name</t>
  </si>
  <si>
    <t>Power Status of VM</t>
  </si>
  <si>
    <t>VM Cluster Name</t>
  </si>
  <si>
    <t>[Sourcehostname]-old</t>
  </si>
  <si>
    <t>Version</t>
  </si>
  <si>
    <t>Date</t>
  </si>
  <si>
    <t>Who</t>
  </si>
  <si>
    <t>What is new?</t>
  </si>
  <si>
    <t>V1.37</t>
  </si>
  <si>
    <t>Alonso Villalobos</t>
  </si>
  <si>
    <t>Sheet "TMWorkbook" updates the user name and email only if it has the default info
The Cutover date is extracted from the Milestone Tracker workbook
An issue where the workbook MEW focus was lost, and crashed sometimes when other workbooks were open was solved
Added a Change Log sheet</t>
  </si>
  <si>
    <t>V1.38</t>
  </si>
  <si>
    <t>"AppSum":  added new Discovery categories
"TM":  columns standardize
"Event Scope":  use the right ME assign to servers
"Dependencies": includes all servers that start with the ME Number, example MEA107 includes MEA107a
Dynamic PMs names and email table, new lines can be added or removed
Intro message wording modified as per original intent, not to combine with AAQ</t>
  </si>
  <si>
    <t>V1.39</t>
  </si>
  <si>
    <t xml:space="preserve"> -Updated the "GetLocalPath" function to work with new release of OneDrive
 -TM field labels were added to the columns of the "Applications" and "TM" sheets</t>
  </si>
  <si>
    <t>V1.40</t>
  </si>
  <si>
    <t xml:space="preserve"> -Added the post-migration sheets: "Summary Sheet-App Level","App-Server Sign-off Details", "Unique Server List " amd"Physical Servers" 
 -Blank spaces are removed from AAQ file names</t>
  </si>
  <si>
    <t>V1.41</t>
  </si>
  <si>
    <t xml:space="preserve"> -Removed from the "Dependencies" sheet, the entries with the "DependentType" "Databases" and leave only the entries with "AssetType" "Applications"</t>
  </si>
  <si>
    <t>V1.42</t>
  </si>
  <si>
    <t xml:space="preserve"> -The "Catastrophic Failure" error was resolved by removing the icons on the TM Loggin Form
-Added logos to the "Changelog" sheet</t>
  </si>
  <si>
    <t>V1.43</t>
  </si>
  <si>
    <r>
      <t xml:space="preserve"> -In the "IntroMsg" sheet, the Kickoff meeting date was, incorrectly calculated at T</t>
    </r>
    <r>
      <rPr>
        <b/>
        <sz val="12"/>
        <color theme="1"/>
        <rFont val="Calibri"/>
        <family val="2"/>
        <scheme val="minor"/>
      </rPr>
      <t>+</t>
    </r>
    <r>
      <rPr>
        <sz val="12"/>
        <color theme="1"/>
        <rFont val="Calibri"/>
        <family val="2"/>
        <scheme val="minor"/>
      </rPr>
      <t>6, instead of T</t>
    </r>
    <r>
      <rPr>
        <b/>
        <sz val="12"/>
        <color theme="1"/>
        <rFont val="Calibri"/>
        <family val="2"/>
        <scheme val="minor"/>
      </rPr>
      <t>-</t>
    </r>
    <r>
      <rPr>
        <sz val="12"/>
        <color theme="1"/>
        <rFont val="Calibri"/>
        <family val="2"/>
        <scheme val="minor"/>
      </rPr>
      <t>6.
 -Using F5LookUp-20240229.xlsm to lookup load balancers</t>
    </r>
  </si>
  <si>
    <t>V1.44</t>
  </si>
  <si>
    <t xml:space="preserve">  -Take the email address from the Excel License to use it as TM id
 -Warns about MEs with no cutover date in Milestone Tracker</t>
  </si>
  <si>
    <t>V1.45</t>
  </si>
  <si>
    <t xml:space="preserve"> -GetLocalPath function made by Guido Witt-Dörring,that was not working properly, it was replaced by the one made by Excel VBA Diary (@excelvba_diary)</t>
  </si>
  <si>
    <t>V1.46</t>
  </si>
  <si>
    <t xml:space="preserve"> -The server's supporting applications, in the "Affinities", now the are sorted and showing the number of servers for that app.
 -If the new Outlook App is installed, a warning will pop up since it is not possible to send messages, or extract the user information.</t>
  </si>
  <si>
    <t>V1.47</t>
  </si>
  <si>
    <t xml:space="preserve"> - If the file is not below the right folder, "09. ADAI Go-Live Cutover Runbooks", the user will be warned. 
 -Using the new Load Balancer repository that has reacently been release "F5LookUp-20240517.xlsm"</t>
  </si>
  <si>
    <t>V1.48</t>
  </si>
  <si>
    <t xml:space="preserve"> -add  Storage to the "Event Scope" tab</t>
  </si>
  <si>
    <t>V1.49</t>
  </si>
  <si>
    <t xml:space="preserve"> -Changing formula to suggest kickoff meeting on T-7
 -Improve "Affinities" by sorting the applications supported by each servers in descending order
 -Removing  Rob Borths rob.borths@elevancehealth.com and Lee Ann Mitchel lee.ann.mitchell@elevancehealth.com as recipients of any message.
 -Identify and fixed and issue with "Clear All Tables"</t>
  </si>
  <si>
    <t>TransitionManager Base URL:</t>
  </si>
  <si>
    <t>TransitionManager User Name:</t>
  </si>
  <si>
    <t>project</t>
  </si>
  <si>
    <t>project_id</t>
  </si>
  <si>
    <t>apps_all_columns</t>
  </si>
  <si>
    <t>devs_arch_workbook</t>
  </si>
  <si>
    <t>St. Louis</t>
  </si>
  <si>
    <t>Cerritos</t>
  </si>
  <si>
    <t xml:space="preserve"> -Added additional Discovery status options
 -Updated the GetLocalPath module to extract a UNC path given a URL</t>
  </si>
  <si>
    <t>common_tagAssets</t>
  </si>
  <si>
    <t>V1.51</t>
  </si>
  <si>
    <t>device_custom61</t>
  </si>
  <si>
    <t>device_custom24</t>
  </si>
  <si>
    <t>Red Hat Linux</t>
  </si>
  <si>
    <t>ACC6 Teradata - Ashburn</t>
  </si>
  <si>
    <t>Azure AVS - North Central</t>
  </si>
  <si>
    <t>SubArea</t>
  </si>
  <si>
    <t>Target</t>
  </si>
  <si>
    <t>Starts</t>
  </si>
  <si>
    <t>Discovery</t>
  </si>
  <si>
    <t>azkyn</t>
  </si>
  <si>
    <t>10.148</t>
  </si>
  <si>
    <t>Firewall Rules</t>
  </si>
  <si>
    <t>10.149</t>
  </si>
  <si>
    <t>AAQ</t>
  </si>
  <si>
    <t>10.99</t>
  </si>
  <si>
    <t>Replication</t>
  </si>
  <si>
    <t>10.22</t>
  </si>
  <si>
    <t>Access</t>
  </si>
  <si>
    <t>10.24</t>
  </si>
  <si>
    <t>Network</t>
  </si>
  <si>
    <t>10.80</t>
  </si>
  <si>
    <t>Load Balancers</t>
  </si>
  <si>
    <t>10.98</t>
  </si>
  <si>
    <t>DNS/IP Addrs.</t>
  </si>
  <si>
    <t>10.4</t>
  </si>
  <si>
    <t>Backup</t>
  </si>
  <si>
    <t>10.175</t>
  </si>
  <si>
    <t>DR</t>
  </si>
  <si>
    <t>10.174</t>
  </si>
  <si>
    <t>Migration tools</t>
  </si>
  <si>
    <t>ilelk</t>
  </si>
  <si>
    <t>10.146</t>
  </si>
  <si>
    <t>10.147</t>
  </si>
  <si>
    <t>10.156</t>
  </si>
  <si>
    <t>10.157</t>
  </si>
  <si>
    <t>10.246</t>
  </si>
  <si>
    <t>100.96</t>
  </si>
  <si>
    <t>vaash</t>
  </si>
  <si>
    <t>10.154</t>
  </si>
  <si>
    <t>10.145</t>
  </si>
  <si>
    <t>10.144</t>
  </si>
  <si>
    <t>10.155</t>
  </si>
  <si>
    <t>10.165</t>
  </si>
  <si>
    <t>10.158</t>
  </si>
  <si>
    <t>10.153</t>
  </si>
  <si>
    <t>10.74</t>
  </si>
  <si>
    <t>10.62</t>
  </si>
  <si>
    <t>10.6</t>
  </si>
  <si>
    <t xml:space="preserve"> -"TM"sheet, added new columns to be extracted from TM
 - "AppSum" sheet, added a warning about servers not supporting any appications, and list the servers
 -Load Balancer lookup file updated: F5LookUp-20241004.xlsm
 -Updated decoding tables</t>
  </si>
  <si>
    <t>V1.52</t>
  </si>
  <si>
    <t xml:space="preserve"> -Load Balancer lookup file updated: F5LookUp-20250201.xlsm
-TM-API patched to ensure all Dependencies are created</t>
  </si>
  <si>
    <t>device_custom43</t>
  </si>
  <si>
    <t>V1.53</t>
  </si>
  <si>
    <t>VA22</t>
  </si>
  <si>
    <t>Windows 2016 Standard</t>
  </si>
  <si>
    <t>Windows 2019 Standard</t>
  </si>
  <si>
    <t>Windows 2022 Datacenter</t>
  </si>
  <si>
    <t>Windows 2022 Standard</t>
  </si>
  <si>
    <t>Windows Server 2008 64-Bit</t>
  </si>
  <si>
    <t>Windows Server 2012 R2</t>
  </si>
  <si>
    <t>Windows Server 2019</t>
  </si>
  <si>
    <t>(blank)</t>
  </si>
  <si>
    <t xml:space="preserve"> -Load Balancer lookup file updated: F5LookUp-20250403.xlsm
 -Sheet "Dependencies", Application bundles are extracted from the TM Project export information
 -Sheet "Info", Virginia Beach Location typo was corrected, and added "IBM Cloud BMaaS - Elk Grove"  Target Platform
 - -"Load Event Data" initiates cleaning up the workbook, and executes the "Affinities" at the end</t>
  </si>
  <si>
    <t>Azure AVS - East1</t>
  </si>
  <si>
    <t>V1.54</t>
  </si>
  <si>
    <t>Source VCenter</t>
  </si>
  <si>
    <t>Source Physical Serial Number</t>
  </si>
  <si>
    <t>Migration Type (V2V, V2P,P2P)</t>
  </si>
  <si>
    <t>Target VCenter</t>
  </si>
  <si>
    <t>Target Physical Serial Number</t>
  </si>
  <si>
    <t>Check</t>
  </si>
  <si>
    <t xml:space="preserve">Kindly provide your confirmation for the items listed below, so we may proceed with Pre-Migration activities for the migration event starting today.  &lt;br&gt;  
1.   Confirm if you are the correct Application Owner/SME for the application.  &lt;br&gt;  
     (If you are not the right contact but you know the correct contact, please share it with us)  &lt;br&gt;  
2.   Confirm the list of servers in scope and review that the applications are associated correctly with the servers. &lt;br&gt;  
3.   Confirm the IP addresses and environment listed.  &lt;br&gt;  &lt;br&gt;  
4.   Confirm if there are Exadata, Oracle or DB2 Databases being used on these servers.  If so, please provide the DB instance names .  &lt;br&gt;  &lt;br&gt;  
Your confirmation/response is needed before our Kick-off, schedule for </t>
  </si>
  <si>
    <t>device_custom41</t>
  </si>
  <si>
    <t>common_custom22</t>
  </si>
  <si>
    <t xml:space="preserve"> -Tab "Event Scope", adjusted columns to match Runbook's "Event Scope"
 -Tab "IntroMsg", request DB information</t>
  </si>
  <si>
    <t>azkyn-nc-dreast</t>
  </si>
  <si>
    <t>Dell BMaaS - Ashburn</t>
  </si>
  <si>
    <t>Dell BMaaS - Elk Grove</t>
  </si>
  <si>
    <t>Equinix - Elk Grove DR</t>
  </si>
  <si>
    <t>V1.55</t>
  </si>
  <si>
    <t xml:space="preserve"> -Remove the not fully implemented code to synchronize with IP Assigner V3 file
 -Tab "config", updated load balancer lookup up file "F5LookUP-20251006"</t>
  </si>
  <si>
    <t>V1.56</t>
  </si>
  <si>
    <t xml:space="preserve"> -Tab "Physical Servers", the removal of "dummy" entry is now working properly
 -Tab "config", updated load balancer lookup up file "F5LookUP-20251101"</t>
  </si>
  <si>
    <t>V1.57</t>
  </si>
  <si>
    <t xml:space="preserve"> -Tab "ËVent Scope",  "Physical Servers" Target IP formula was missing
 -Clean up process missing entry in "Event Scope" 
 -Tab "Physical Servers", proper format was givent to target  IP address related fields</t>
  </si>
  <si>
    <t>V1.58</t>
  </si>
  <si>
    <t xml:space="preserve"> -Tab "Dependencies", solve the disapearing formula for column "AssetBundle"</t>
  </si>
  <si>
    <t>V1.59</t>
  </si>
  <si>
    <t>F5LookUp-20260401.xlsm</t>
  </si>
  <si>
    <t>MBMF5Lookup file</t>
  </si>
  <si>
    <t>MBMF5LookUp-20260325.xlsm</t>
  </si>
  <si>
    <t>Schaumburg</t>
  </si>
  <si>
    <t>IBM-Cloud Services US East</t>
  </si>
  <si>
    <t>CA47</t>
  </si>
  <si>
    <t>DC04</t>
  </si>
  <si>
    <t>Ashburn</t>
  </si>
  <si>
    <t>Site</t>
  </si>
  <si>
    <t>vaash-chi</t>
  </si>
  <si>
    <t>azkyn-east</t>
  </si>
  <si>
    <t>azkyn-nc</t>
  </si>
  <si>
    <t>vaash-bmaas</t>
  </si>
  <si>
    <t>ilelk-bmaas-dr</t>
  </si>
  <si>
    <t>ilelk-ch3</t>
  </si>
  <si>
    <t>ilelk-drwdc04</t>
  </si>
  <si>
    <t>vaash-vcs</t>
  </si>
  <si>
    <t>vaash-wdc04</t>
  </si>
  <si>
    <t>https://kyndryl-elevance.transitionmanager.net/tdstm/</t>
  </si>
  <si>
    <t xml:space="preserve"> -Tab "TransitionManager", new TM URL updated
 -Tab "Info", added code DC04 for Ashburn location</t>
  </si>
  <si>
    <t>MEA190</t>
  </si>
  <si>
    <t>Palaksha Talkerappa</t>
  </si>
  <si>
    <t>Andrew Pappas</t>
  </si>
  <si>
    <t>Palaksha.Talkerappa@kyndryl.com</t>
  </si>
  <si>
    <t>C:\Users\PalakshaTalkerappa\OneDrive - kyndryl\General - AD&amp;AI Migration Team -  Elevance Health\09. ADAI Go-Live Cutover Runbooks\MIGRATION EVENTS - HARRISONBURG &amp; RICHMOND\MEA000 Template 1\Scope\</t>
  </si>
  <si>
    <t>C:\Users\PalakshaTalkerappa\OneDrive - kyndryl\General - AD&amp;AI Migration Team -  Elevance Health\</t>
  </si>
  <si>
    <t>vaathmr672</t>
  </si>
  <si>
    <t>AppGroupA190</t>
  </si>
  <si>
    <t>AIX 7.2</t>
  </si>
  <si>
    <t>IBM</t>
  </si>
  <si>
    <t>Generic AIX-LPAR</t>
  </si>
  <si>
    <t>30.135.64.125</t>
  </si>
  <si>
    <t>VAATHMR672.WELLPOINT.COM</t>
  </si>
  <si>
    <t>No</t>
  </si>
  <si>
    <t>FrontEnd / Internal / Legacy / NonLoadBalancer</t>
  </si>
  <si>
    <t>WebSphere and MQ server</t>
  </si>
  <si>
    <t>Assigned</t>
  </si>
  <si>
    <t>Deployed - Functional</t>
  </si>
  <si>
    <t>[{"id":13794,"name":"Orphan","color":"Red","tagId":93,"description":"Orphan Servers need to find Applications","css":"tag-red"},{"id":91255,"name":"Planned","color":"White","tagId":145,"description":"","css":"tag-white"},{"id":90877,"name":"MEA190","color":"White","tagId":202,"description":"","css":"tag-white"}]</t>
  </si>
  <si>
    <t>Arekapudi, Archana</t>
  </si>
  <si>
    <t>Orphans</t>
  </si>
  <si>
    <t>DEVICE</t>
  </si>
  <si>
    <t>vaathmr435</t>
  </si>
  <si>
    <t>Development</t>
  </si>
  <si>
    <t>Generic</t>
  </si>
  <si>
    <t>30.135.64.238,30.135.64.40</t>
  </si>
  <si>
    <t>VAATHMR435.WELLPOINT.COM</t>
  </si>
  <si>
    <t>[{"id":17992,"name":"To be Decom","color":"Red","tagId":90,"description":"","css":"tag-red"},{"id":17517,"name":"SOA","color":"White","tagId":101,"description":"","css":"tag-white"},{"id":89891,"name":"Planned","color":"White","tagId":145,"description":"","css":"tag-white"},{"id":89893,"name":"MEA190","color":"White","tagId":202,"description":"","css":"tag-white"}]</t>
  </si>
  <si>
    <t>Singh, Balraj</t>
  </si>
  <si>
    <t>vaathmr433</t>
  </si>
  <si>
    <t>30.135.64.236</t>
  </si>
  <si>
    <t>VAATHMR433.WELLPOINT.COM</t>
  </si>
  <si>
    <t>[{"id":18144,"name":"To be Decom","color":"Red","tagId":90,"description":"","css":"tag-red"},{"id":18143,"name":"SOA","color":"White","tagId":101,"description":"","css":"tag-white"},{"id":90067,"name":"Planned","color":"White","tagId":145,"description":"","css":"tag-white"},{"id":90066,"name":"MEA190","color":"White","tagId":202,"description":"","css":"tag-white"}]</t>
  </si>
  <si>
    <t>PM_Retired</t>
  </si>
  <si>
    <t>vaathmr431</t>
  </si>
  <si>
    <t>AIX 7.2.0.0</t>
  </si>
  <si>
    <t>30.135.64.235</t>
  </si>
  <si>
    <t>VAATHMR431.WELLPOINT.COM</t>
  </si>
  <si>
    <t>MQ</t>
  </si>
  <si>
    <t>VA_RIC_NG02_PD07_D_XDR_SVC_C7</t>
  </si>
  <si>
    <t>NA</t>
  </si>
  <si>
    <t>[{"id":17829,"name":"To be Decom","color":"Red","tagId":90,"description":"","css":"tag-red"},{"id":15905,"name":"SOA","color":"White","tagId":101,"description":"","css":"tag-white"},{"id":89890,"name":"Planned","color":"White","tagId":145,"description":"","css":"tag-white"},{"id":89892,"name":"MEA190","color":"White","tagId":202,"description":"","css":"tag-white"}]</t>
  </si>
  <si>
    <t>vaathmr427</t>
  </si>
  <si>
    <t>30.135.64.230</t>
  </si>
  <si>
    <t>VAATHMR427.WELLPOINT.COM</t>
  </si>
  <si>
    <t>[{"id":18142,"name":"To be Decom","color":"Red","tagId":90,"description":"","css":"tag-red"},{"id":18141,"name":"SOA","color":"White","tagId":101,"description":"","css":"tag-white"},{"id":90065,"name":"Planned","color":"White","tagId":145,"description":"","css":"tag-white"},{"id":90064,"name":"MEA190","color":"White","tagId":202,"description":"","css":"tag-white"}]</t>
  </si>
  <si>
    <t>vaathmr423</t>
  </si>
  <si>
    <t>30.135.64.223,30.135.64.222,30.135.64.27</t>
  </si>
  <si>
    <t>VAATHMR423.WELLPOINT.COM</t>
  </si>
  <si>
    <t>AIX PowerHA</t>
  </si>
  <si>
    <t>[{"id":17542,"name":"To be Decom","color":"Red","tagId":90,"description":"","css":"tag-red"},{"id":90063,"name":"SOA","color":"White","tagId":101,"description":"","css":"tag-white"},{"id":90062,"name":"Planned","color":"White","tagId":145,"description":"","css":"tag-white"},{"id":90061,"name":"MEA190","color":"White","tagId":202,"description":"","css":"tag-white"}]</t>
  </si>
  <si>
    <t>vaathmr421</t>
  </si>
  <si>
    <t>30.135.64.220,30.135.64.221,30.135.64.26</t>
  </si>
  <si>
    <t>VAATHMR421.WELLPOINT.COM</t>
  </si>
  <si>
    <t>[{"id":17987,"name":"To be Decom","color":"Red","tagId":90,"description":"","css":"tag-red"},{"id":15907,"name":"SOA","color":"White","tagId":101,"description":"","css":"tag-white"},{"id":89887,"name":"Planned","color":"White","tagId":145,"description":"","css":"tag-white"},{"id":89888,"name":"MEA190","color":"White","tagId":202,"description":"","css":"tag-white"}]</t>
  </si>
  <si>
    <t>VA33TWPSQL303B</t>
  </si>
  <si>
    <t>Microsoft Windows Server 2016 Standard</t>
  </si>
  <si>
    <t>Dell Inc.</t>
  </si>
  <si>
    <t>PowerEdge R740</t>
  </si>
  <si>
    <t>30.118.196.106,30.118.196.107</t>
  </si>
  <si>
    <t>VA33TWPSQL303B.US.AD.WELLPOINT.COM</t>
  </si>
  <si>
    <t>Microsoft SQL Server</t>
  </si>
  <si>
    <t>Backend / Server / Database / MS_SQL</t>
  </si>
  <si>
    <t>Database - SQL</t>
  </si>
  <si>
    <t>P2P-IRF</t>
  </si>
  <si>
    <t>Sandbox . No migration needed, build and load SQL</t>
  </si>
  <si>
    <t>[{"id":91256,"name":"Planned","color":"White","tagId":145,"description":"","css":"tag-white"},{"id":91269,"name":"MEA190","color":"White","tagId":202,"description":"","css":"tag-white"},{"id":66256,"name":"Panther_Track","color":"White","tagId":218,"description":"","css":"tag-white"},{"id":86974,"name":"MEA195","color":"White","tagId":244,"description":"","css":"tag-white"}]</t>
  </si>
  <si>
    <t>Salazar, Erwin</t>
  </si>
  <si>
    <t>New Build on Cloud - OOS</t>
  </si>
  <si>
    <t>VA33TWPSQL303A</t>
  </si>
  <si>
    <t>30.118.196.105, 30.118.196.108</t>
  </si>
  <si>
    <t>VA33TWPSQL303A.US.AD.WELLPOINT.COM</t>
  </si>
  <si>
    <t>[{"id":91257,"name":"Planned","color":"White","tagId":145,"description":"","css":"tag-white"},{"id":91270,"name":"MEA190","color":"White","tagId":202,"description":"","css":"tag-white"},{"id":66255,"name":"Panther_Track","color":"White","tagId":218,"description":"","css":"tag-white"},{"id":86976,"name":"MEA195","color":"White","tagId":244,"description":"","css":"tag-white"}]</t>
  </si>
  <si>
    <t>VA33PWVAXY004</t>
  </si>
  <si>
    <t>Disaster Recovery</t>
  </si>
  <si>
    <t>WINDOWS 2019</t>
  </si>
  <si>
    <t>VMware, Inc.</t>
  </si>
  <si>
    <t>VMware Virtual Platform</t>
  </si>
  <si>
    <t>22.112.40.33</t>
  </si>
  <si>
    <t>VA33PWVAXY004.WEBAD.WELLPOINT.COM</t>
  </si>
  <si>
    <t>Yes</t>
  </si>
  <si>
    <t>Application/Utility</t>
  </si>
  <si>
    <t>Locked</t>
  </si>
  <si>
    <t>Build - In Progress Internal</t>
  </si>
  <si>
    <t>[{"id":70641,"name":"TBD_GBD","color":"White","tagId":44,"description":"","css":"tag-white"},{"id":91261,"name":"Planned","color":"White","tagId":145,"description":"","css":"tag-white"},{"id":86616,"name":"Operational Resiliency","color":"White","tagId":194,"description":"","css":"tag-white"},{"id":91206,"name":"MEA190","color":"White","tagId":202,"description":"","css":"tag-white"},{"id":86618,"name":"MEA185","color":"White","tagId":205,"description":"","css":"tag-white"},{"id":75478,"name":"GBD Confirmed","color":"White","tagId":221,"description":"","css":"tag-white"},{"id":77530,"name":"MEAGBD","color":"White","tagId":222,"description":"","css":"tag-white"},{"id":89442,"name":"EH approved reschedule","color":"Red","tagId":237,"description":"Migration Change request - Approved by EH mgmt","css":"tag-red"},{"id":89441,"name":"Tiger Approved Post 3/31","color":"White","tagId":247,"description":"","css":"tag-white"},{"id":90376,"name":"MEA197","color":"White","tagId":251,"description":"","css":"tag-white"},{"id":89479,"name":"Tiger Client Approved Exception - Axway","color":"White","tagId":256,"description":"","css":"tag-white"}]</t>
  </si>
  <si>
    <t>Colston, Jerrod</t>
  </si>
  <si>
    <t>VA33PWVAXY003</t>
  </si>
  <si>
    <t>22.112.40.30</t>
  </si>
  <si>
    <t>VA33PWVAXY003.WEBAD.WELLPOINT.COM</t>
  </si>
  <si>
    <t>[{"id":70640,"name":"TBD_GBD","color":"White","tagId":44,"description":"","css":"tag-white"},{"id":91260,"name":"Planned","color":"White","tagId":145,"description":"","css":"tag-white"},{"id":86617,"name":"Operational Resiliency","color":"White","tagId":194,"description":"","css":"tag-white"},{"id":91207,"name":"MEA190","color":"White","tagId":202,"description":"","css":"tag-white"},{"id":86619,"name":"MEA185","color":"White","tagId":205,"description":"","css":"tag-white"},{"id":75477,"name":"GBD Confirmed","color":"White","tagId":221,"description":"","css":"tag-white"},{"id":77529,"name":"MEAGBD","color":"White","tagId":222,"description":"","css":"tag-white"},{"id":89440,"name":"EH approved reschedule","color":"Red","tagId":237,"description":"Migration Change request - Approved by EH mgmt","css":"tag-red"},{"id":89439,"name":"Tiger Approved Post 3/31","color":"White","tagId":247,"description":"","css":"tag-white"},{"id":90375,"name":"MEA197","color":"White","tagId":251,"description":"","css":"tag-white"},{"id":89478,"name":"Tiger Client Approved Exception - Axway","color":"White","tagId":256,"description":"","css":"tag-white"}]</t>
  </si>
  <si>
    <t>VA33DWPSQL311B</t>
  </si>
  <si>
    <t>Microsoft Windows Server 2019 Standard</t>
  </si>
  <si>
    <t>30.118.198.21,30.118.198.23</t>
  </si>
  <si>
    <t>VA33DWPSQL311B.DEVAD.WELLPOINT.COM</t>
  </si>
  <si>
    <t>16 vCPU/64 GB</t>
  </si>
  <si>
    <t>[{"id":91259,"name":"Planned","color":"White","tagId":145,"description":"","css":"tag-white"},{"id":36163,"name":"MEA165","color":"White","tagId":162,"description":"","css":"tag-white"},{"id":91272,"name":"MEA190","color":"White","tagId":202,"description":"","css":"tag-white"},{"id":66249,"name":"Panther_Track","color":"White","tagId":218,"description":"","css":"tag-white"},{"id":86988,"name":"MEA195","color":"White","tagId":244,"description":"","css":"tag-white"}]</t>
  </si>
  <si>
    <t>Not to be Migrated - OOS</t>
  </si>
  <si>
    <t>VA33DWPSQL311A</t>
  </si>
  <si>
    <t>30.118.198.20</t>
  </si>
  <si>
    <t>VA33DWPSQL311A.DEVAD.WELLPOINT.COM</t>
  </si>
  <si>
    <t>[{"id":91258,"name":"Planned","color":"White","tagId":145,"description":"","css":"tag-white"},{"id":36162,"name":"MEA165","color":"White","tagId":162,"description":"","css":"tag-white"},{"id":91271,"name":"MEA190","color":"White","tagId":202,"description":"","css":"tag-white"},{"id":66248,"name":"Panther_Track","color":"White","tagId":218,"description":"","css":"tag-white"},{"id":86986,"name":"MEA195","color":"White","tagId":244,"description":"","css":"tag-white"}]</t>
  </si>
  <si>
    <t>va10tuvdb2020</t>
  </si>
  <si>
    <t>30.135.43.45</t>
  </si>
  <si>
    <t>VA10TUVDB2020.WELLPOINT.COM</t>
  </si>
  <si>
    <t>Database - DB2/UDB</t>
  </si>
  <si>
    <t>[{"id":970,"name":"TBD_Richmond","color":"White","tagId":40,"description":"","css":"tag-white"},{"id":19066,"name":"No ASSETS Attached","color":"Pink","tagId":89,"description":"","css":"tag-pink"},{"id":45096,"name":"Orphan","color":"Red","tagId":93,"description":"Orphan Servers need to find Applications","css":"tag-red"},{"id":91254,"name":"Planned","color":"White","tagId":145,"description":"","css":"tag-white"},{"id":90876,"name":"MEA190","color":"White","tagId":202,"description":"","css":"tag-white"}]</t>
  </si>
  <si>
    <t>Titzer, Christopher</t>
  </si>
  <si>
    <t>AppGroupA140</t>
  </si>
  <si>
    <t>va10n10181</t>
  </si>
  <si>
    <t>30.135.106.134</t>
  </si>
  <si>
    <t>VA10N10181.WELLPOINT.COM</t>
  </si>
  <si>
    <t>WebSphere</t>
  </si>
  <si>
    <t>[{"id":17983,"name":"To be Decom","color":"Red","tagId":90,"description":"","css":"tag-red"},{"id":15902,"name":"SOA","color":"White","tagId":101,"description":"","css":"tag-white"},{"id":90058,"name":"Planned","color":"White","tagId":145,"description":"","css":"tag-white"},{"id":90057,"name":"MEA190","color":"White","tagId":202,"description":"","css":"tag-white"}]</t>
  </si>
  <si>
    <t>va10n10180</t>
  </si>
  <si>
    <t>30.135.106.133</t>
  </si>
  <si>
    <t>VA10N10180.WELLPOINT.COM</t>
  </si>
  <si>
    <t>[{"id":17985,"name":"To be Decom","color":"Red","tagId":90,"description":"","css":"tag-red"},{"id":15904,"name":"SOA","color":"White","tagId":101,"description":"","css":"tag-white"},{"id":90060,"name":"Planned","color":"White","tagId":145,"description":"","css":"tag-white"},{"id":90059,"name":"MEA190","color":"White","tagId":202,"description":"","css":"tag-white"}]</t>
  </si>
  <si>
    <t>va10n10145</t>
  </si>
  <si>
    <t>30.135.106.114,30.135.106.115,30.135.106.117</t>
  </si>
  <si>
    <t>VA10N10145.WELLPOINT.COM</t>
  </si>
  <si>
    <t>[{"id":16350,"name":"To be Decom","color":"Red","tagId":90,"description":"","css":"tag-red"},{"id":90861,"name":"SOA","color":"White","tagId":101,"description":"","css":"tag-white"},{"id":90863,"name":"Planned","color":"White","tagId":145,"description":"","css":"tag-white"},{"id":90865,"name":"MEA190","color":"White","tagId":202,"description":"","css":"tag-white"}]</t>
  </si>
  <si>
    <t>va10n10144</t>
  </si>
  <si>
    <t>30.135.106.116,30.135.106.112,30.135.106.113</t>
  </si>
  <si>
    <t>VA10N10144.WELLPOINT.COM</t>
  </si>
  <si>
    <t>[{"id":16348,"name":"To be Decom","color":"Red","tagId":90,"description":"","css":"tag-red"},{"id":90862,"name":"SOA","color":"White","tagId":101,"description":"","css":"tag-white"},{"id":90864,"name":"Planned","color":"White","tagId":145,"description":"","css":"tag-white"},{"id":90866,"name":"MEA190","color":"White","tagId":202,"description":"","css":"tag-white"}]</t>
  </si>
  <si>
    <t>dc04tlpkaf450</t>
  </si>
  <si>
    <t>Lenovo</t>
  </si>
  <si>
    <t>Unknown</t>
  </si>
  <si>
    <t>10.152.28.142</t>
  </si>
  <si>
    <t>dc04tlpkaf450.wellpoint.com</t>
  </si>
  <si>
    <t>[{"id":57733,"name":"Planned","color":"White","tagId":145,"description":"","css":"tag-white"},{"id":57732,"name":"MEA170","color":"White","tagId":179,"description":"","css":"tag-white"},{"id":91300,"name":"MEA190","color":"White","tagId":202,"description":"","css":"tag-white"}]</t>
  </si>
  <si>
    <t>dc04tlpkaf449</t>
  </si>
  <si>
    <t>10.152.28.141</t>
  </si>
  <si>
    <t>dc04tlpkaf449.wellpoint.com</t>
  </si>
  <si>
    <t>[{"id":57731,"name":"Planned","color":"White","tagId":145,"description":"","css":"tag-white"},{"id":57730,"name":"MEA170","color":"White","tagId":179,"description":"","css":"tag-white"},{"id":91299,"name":"MEA190","color":"White","tagId":202,"description":"","css":"tag-white"}]</t>
  </si>
  <si>
    <t>dc04tlpkaf448</t>
  </si>
  <si>
    <t>10.152.28.140</t>
  </si>
  <si>
    <t>dc04tlpkaf448.wellpoint.com</t>
  </si>
  <si>
    <t>[{"id":57729,"name":"Planned","color":"White","tagId":145,"description":"","css":"tag-white"},{"id":57728,"name":"MEA170","color":"White","tagId":179,"description":"","css":"tag-white"},{"id":91298,"name":"MEA190","color":"White","tagId":202,"description":"","css":"tag-white"}]</t>
  </si>
  <si>
    <t>dc04tlpkaf447</t>
  </si>
  <si>
    <t>10.152.28.139</t>
  </si>
  <si>
    <t>dc04tlpkaf447.wellpoint.com</t>
  </si>
  <si>
    <t>[{"id":57727,"name":"Planned","color":"White","tagId":145,"description":"","css":"tag-white"},{"id":57726,"name":"MEA170","color":"White","tagId":179,"description":"","css":"tag-white"},{"id":91297,"name":"MEA190","color":"White","tagId":202,"description":"","css":"tag-white"}]</t>
  </si>
  <si>
    <t>dc04tlpkaf446</t>
  </si>
  <si>
    <t>10.152.28.138</t>
  </si>
  <si>
    <t>dc04tlpkaf446.wellpoint.com</t>
  </si>
  <si>
    <t>[{"id":57725,"name":"Planned","color":"White","tagId":145,"description":"","css":"tag-white"},{"id":57724,"name":"MEA170","color":"White","tagId":179,"description":"","css":"tag-white"},{"id":91296,"name":"MEA190","color":"White","tagId":202,"description":"","css":"tag-white"}]</t>
  </si>
  <si>
    <t>dc04tlpkaf438</t>
  </si>
  <si>
    <t>10.152.28.130</t>
  </si>
  <si>
    <t>dc04tlpkaf438.wellpoint.com</t>
  </si>
  <si>
    <t>[{"id":57723,"name":"Planned","color":"White","tagId":145,"description":"","css":"tag-white"},{"id":57722,"name":"MEA170","color":"White","tagId":179,"description":"","css":"tag-white"},{"id":91295,"name":"MEA190","color":"White","tagId":202,"description":"","css":"tag-white"}]</t>
  </si>
  <si>
    <t>dc04tlpkaf437</t>
  </si>
  <si>
    <t>10.152.28.129</t>
  </si>
  <si>
    <t>dc04tlpkaf437.wellpoint.com</t>
  </si>
  <si>
    <t>[{"id":57721,"name":"Planned","color":"White","tagId":145,"description":"","css":"tag-white"},{"id":57720,"name":"MEA170","color":"White","tagId":179,"description":"","css":"tag-white"},{"id":91294,"name":"MEA190","color":"White","tagId":202,"description":"","css":"tag-white"}]</t>
  </si>
  <si>
    <t>dc04tlpkaf434</t>
  </si>
  <si>
    <t>10.152.28.126</t>
  </si>
  <si>
    <t>dc04tlpkaf434.wellpoint.com</t>
  </si>
  <si>
    <t>[{"id":57719,"name":"Planned","color":"White","tagId":145,"description":"","css":"tag-white"},{"id":57718,"name":"MEA170","color":"White","tagId":179,"description":"","css":"tag-white"},{"id":91293,"name":"MEA190","color":"White","tagId":202,"description":"","css":"tag-white"}]</t>
  </si>
  <si>
    <t>dc04tlpkaf432</t>
  </si>
  <si>
    <t>10.152.28.124</t>
  </si>
  <si>
    <t>dc04tlpkaf432.wellpoint.com</t>
  </si>
  <si>
    <t>[{"id":57717,"name":"Planned","color":"White","tagId":145,"description":"","css":"tag-white"},{"id":57716,"name":"MEA170","color":"White","tagId":179,"description":"","css":"tag-white"},{"id":91292,"name":"MEA190","color":"White","tagId":202,"description":"","css":"tag-white"}]</t>
  </si>
  <si>
    <t>dc04tlpkaf428</t>
  </si>
  <si>
    <t>10.152.28.120</t>
  </si>
  <si>
    <t>dc04tlpkaf428.wellpoint.com</t>
  </si>
  <si>
    <t>[{"id":57715,"name":"Planned","color":"White","tagId":145,"description":"","css":"tag-white"},{"id":57714,"name":"MEA170","color":"White","tagId":179,"description":"","css":"tag-white"},{"id":91291,"name":"MEA190","color":"White","tagId":202,"description":"","css":"tag-white"}]</t>
  </si>
  <si>
    <t>dc04tlpkaf427</t>
  </si>
  <si>
    <t>10.152.28.119</t>
  </si>
  <si>
    <t>dc04tlpkaf427.wellpoint.com</t>
  </si>
  <si>
    <t>[{"id":57713,"name":"Planned","color":"White","tagId":145,"description":"","css":"tag-white"},{"id":57712,"name":"MEA170","color":"White","tagId":179,"description":"","css":"tag-white"},{"id":91290,"name":"MEA190","color":"White","tagId":202,"description":"","css":"tag-white"}]</t>
  </si>
  <si>
    <t>dc04tlpkaf426</t>
  </si>
  <si>
    <t>10.152.28.118</t>
  </si>
  <si>
    <t>dc04tlpkaf426.wellpoint.com</t>
  </si>
  <si>
    <t>[{"id":57711,"name":"Planned","color":"White","tagId":145,"description":"","css":"tag-white"},{"id":57710,"name":"MEA170","color":"White","tagId":179,"description":"","css":"tag-white"},{"id":91289,"name":"MEA190","color":"White","tagId":202,"description":"","css":"tag-white"}]</t>
  </si>
  <si>
    <t>dc04tlpkaf425</t>
  </si>
  <si>
    <t>10.152.28.117</t>
  </si>
  <si>
    <t>dc04tlpkaf425.wellpoint.com</t>
  </si>
  <si>
    <t>[{"id":57709,"name":"Planned","color":"White","tagId":145,"description":"","css":"tag-white"},{"id":57708,"name":"MEA170","color":"White","tagId":179,"description":"","css":"tag-white"},{"id":91288,"name":"MEA190","color":"White","tagId":202,"description":"","css":"tag-white"}]</t>
  </si>
  <si>
    <t>dc04tlpkaf424</t>
  </si>
  <si>
    <t>10.152.28.116</t>
  </si>
  <si>
    <t>dc04tlpkaf424.wellpoint.com</t>
  </si>
  <si>
    <t>[{"id":57707,"name":"Planned","color":"White","tagId":145,"description":"","css":"tag-white"},{"id":57706,"name":"MEA170","color":"White","tagId":179,"description":"","css":"tag-white"},{"id":91287,"name":"MEA190","color":"White","tagId":202,"description":"","css":"tag-white"}]</t>
  </si>
  <si>
    <t>dc04tlpkaf423</t>
  </si>
  <si>
    <t>10.152.28.115</t>
  </si>
  <si>
    <t>dc04tlpkaf423.wellpoint.com</t>
  </si>
  <si>
    <t>[{"id":57705,"name":"Planned","color":"White","tagId":145,"description":"","css":"tag-white"},{"id":57704,"name":"MEA170","color":"White","tagId":179,"description":"","css":"tag-white"},{"id":91286,"name":"MEA190","color":"White","tagId":202,"description":"","css":"tag-white"}]</t>
  </si>
  <si>
    <t>dc04tlpkaf421</t>
  </si>
  <si>
    <t>10.152.28.22</t>
  </si>
  <si>
    <t>dc04tlpkaf421.wellpoint.com</t>
  </si>
  <si>
    <t>[{"id":57703,"name":"Planned","color":"White","tagId":145,"description":"","css":"tag-white"},{"id":57702,"name":"MEA170","color":"White","tagId":179,"description":"","css":"tag-white"},{"id":91285,"name":"MEA190","color":"White","tagId":202,"description":"","css":"tag-white"}]</t>
  </si>
  <si>
    <t>dc04tlpkaf419</t>
  </si>
  <si>
    <t>10.152.28.20</t>
  </si>
  <si>
    <t>dc04tlpkaf419.wellpoint.com</t>
  </si>
  <si>
    <t>[{"id":57701,"name":"Planned","color":"White","tagId":145,"description":"","css":"tag-white"},{"id":57700,"name":"MEA170","color":"White","tagId":179,"description":"","css":"tag-white"},{"id":91284,"name":"MEA190","color":"White","tagId":202,"description":"","css":"tag-white"}]</t>
  </si>
  <si>
    <t>dc04tlpkaf417</t>
  </si>
  <si>
    <t>10.152.28.18</t>
  </si>
  <si>
    <t>dc04tlpkaf417.wellpoint.com</t>
  </si>
  <si>
    <t>[{"id":57699,"name":"Planned","color":"White","tagId":145,"description":"","css":"tag-white"},{"id":57698,"name":"MEA170","color":"White","tagId":179,"description":"","css":"tag-white"},{"id":91283,"name":"MEA190","color":"White","tagId":202,"description":"","css":"tag-white"}]</t>
  </si>
  <si>
    <t>dc04tlpkaf410</t>
  </si>
  <si>
    <t>10.152.28.108</t>
  </si>
  <si>
    <t>dc04tlpkaf410.wellpoint.com</t>
  </si>
  <si>
    <t>[{"id":57697,"name":"Planned","color":"White","tagId":145,"description":"","css":"tag-white"},{"id":57696,"name":"MEA170","color":"White","tagId":179,"description":"","css":"tag-white"},{"id":91282,"name":"MEA190","color":"White","tagId":202,"description":"","css":"tag-white"}]</t>
  </si>
  <si>
    <t>dc04tlpkaf409</t>
  </si>
  <si>
    <t>10.152.28.107</t>
  </si>
  <si>
    <t>dc04tlpkaf409.wellpoint.com</t>
  </si>
  <si>
    <t>[{"id":57695,"name":"Planned","color":"White","tagId":145,"description":"","css":"tag-white"},{"id":57694,"name":"MEA170","color":"White","tagId":179,"description":"","css":"tag-white"},{"id":91281,"name":"MEA190","color":"White","tagId":202,"description":"","css":"tag-white"}]</t>
  </si>
  <si>
    <t>dc04tlpkaf408</t>
  </si>
  <si>
    <t>10.152.28.106</t>
  </si>
  <si>
    <t>dc04tlpkaf408.wellpoint.com</t>
  </si>
  <si>
    <t>[{"id":57693,"name":"Planned","color":"White","tagId":145,"description":"","css":"tag-white"},{"id":57692,"name":"MEA170","color":"White","tagId":179,"description":"","css":"tag-white"},{"id":91280,"name":"MEA190","color":"White","tagId":202,"description":"","css":"tag-white"}]</t>
  </si>
  <si>
    <t>dc04tlpkaf407</t>
  </si>
  <si>
    <t>10.152.28.105</t>
  </si>
  <si>
    <t>dc04tlpkaf407.wellpoint.com</t>
  </si>
  <si>
    <t>[{"id":57691,"name":"Planned","color":"White","tagId":145,"description":"","css":"tag-white"},{"id":57690,"name":"MEA170","color":"White","tagId":179,"description":"","css":"tag-white"},{"id":91279,"name":"MEA190","color":"White","tagId":202,"description":"","css":"tag-white"}]</t>
  </si>
  <si>
    <t>dc04tlpkaf406</t>
  </si>
  <si>
    <t>10.152.28.104</t>
  </si>
  <si>
    <t>dc04tlpkaf406.wellpoint.com</t>
  </si>
  <si>
    <t>[{"id":57689,"name":"Planned","color":"White","tagId":145,"description":"","css":"tag-white"},{"id":57688,"name":"MEA170","color":"White","tagId":179,"description":"","css":"tag-white"},{"id":91278,"name":"MEA190","color":"White","tagId":202,"description":"","css":"tag-white"}]</t>
  </si>
  <si>
    <t>dc04tlpkaf405</t>
  </si>
  <si>
    <t>10.152.28.103</t>
  </si>
  <si>
    <t>dc04tlpkaf405.wellpoint.com</t>
  </si>
  <si>
    <t>[{"id":57687,"name":"Planned","color":"White","tagId":145,"description":"","css":"tag-white"},{"id":57686,"name":"MEA170","color":"White","tagId":179,"description":"","css":"tag-white"},{"id":91277,"name":"MEA190","color":"White","tagId":202,"description":"","css":"tag-white"}]</t>
  </si>
  <si>
    <t>dc04tlpkaf404</t>
  </si>
  <si>
    <t>10.152.28.102</t>
  </si>
  <si>
    <t>dc04tlpkaf404.wellpoint.com</t>
  </si>
  <si>
    <t>[{"id":57685,"name":"Planned","color":"White","tagId":145,"description":"","css":"tag-white"},{"id":57684,"name":"MEA170","color":"White","tagId":179,"description":"","css":"tag-white"},{"id":91276,"name":"MEA190","color":"White","tagId":202,"description":"","css":"tag-white"}]</t>
  </si>
  <si>
    <t>dc04tlpkaf402</t>
  </si>
  <si>
    <t>10.152.28.100</t>
  </si>
  <si>
    <t>dc04tlpkaf402.wellpoint.com</t>
  </si>
  <si>
    <t>[{"id":57683,"name":"Planned","color":"White","tagId":145,"description":"","css":"tag-white"},{"id":57682,"name":"MEA170","color":"White","tagId":179,"description":"","css":"tag-white"},{"id":91275,"name":"MEA190","color":"White","tagId":202,"description":"","css":"tag-white"}]</t>
  </si>
  <si>
    <t>dc04tlpkaf401</t>
  </si>
  <si>
    <t>10.152.28.99</t>
  </si>
  <si>
    <t>dc04tlpkaf401.wellpoint.com</t>
  </si>
  <si>
    <t>[{"id":57681,"name":"Planned","color":"White","tagId":145,"description":"","css":"tag-white"},{"id":57680,"name":"MEA170","color":"White","tagId":179,"description":"","css":"tag-white"},{"id":91274,"name":"MEA190","color":"White","tagId":202,"description":"","css":"tag-white"}]</t>
  </si>
  <si>
    <t>dc04tlpkaf400</t>
  </si>
  <si>
    <t>10.152.28.98</t>
  </si>
  <si>
    <t>dc04tlpkaf400.wellpoint.com</t>
  </si>
  <si>
    <t>[{"id":57679,"name":"Planned","color":"White","tagId":145,"description":"","css":"tag-white"},{"id":57678,"name":"MEA170","color":"White","tagId":179,"description":"","css":"tag-white"},{"id":91273,"name":"MEA190","color":"White","tagId":202,"description":"","css":"tag-white"}]</t>
  </si>
  <si>
    <t>SQL Server System Database-Test</t>
  </si>
  <si>
    <t>Erwin Salazar</t>
  </si>
  <si>
    <t>Erwin.Salazar@kyndryl.com</t>
  </si>
  <si>
    <t>Rosenthal, Evan</t>
  </si>
  <si>
    <t>Evan Rosenthal</t>
  </si>
  <si>
    <t>Evan.Rosenthal@kyndryl.com</t>
  </si>
  <si>
    <t>Boyd Nichols</t>
  </si>
  <si>
    <t>boyd.nichols.jr@kyndryl.com</t>
  </si>
  <si>
    <t>DL-WDBS-SQL-DBA@anthem.com</t>
  </si>
  <si>
    <t>APPLICATION</t>
  </si>
  <si>
    <t>SQL Server System Database-Dev</t>
  </si>
  <si>
    <t>SOA/API/DATAPOWER - Enterprise Services-Dev</t>
  </si>
  <si>
    <t>Srini Amathi</t>
  </si>
  <si>
    <t>srini.amathi@elevancehealth.com</t>
  </si>
  <si>
    <t>balraj.singh@elevancehealth.com</t>
  </si>
  <si>
    <t>Chennakesavan, Anand</t>
  </si>
  <si>
    <t>Anand Chennakesavan</t>
  </si>
  <si>
    <t>Anand.Chennakesavan@carelon.com</t>
  </si>
  <si>
    <t>dl-IASMonitoring@anthem.com; dl-advancedsoamonitoring@anthem.com; dl-soa-changemanagement@anthem.com</t>
  </si>
  <si>
    <t>Kafka-Test</t>
  </si>
  <si>
    <t>Srihari Koduri</t>
  </si>
  <si>
    <t>srihari.koduri@elevancehealth.com</t>
  </si>
  <si>
    <t>Tripathi, Raghav</t>
  </si>
  <si>
    <t>sanjay.vishwakarma@elevancehealth.com</t>
  </si>
  <si>
    <t>Koduri, Srihari</t>
  </si>
  <si>
    <t>Venkat Garikapati</t>
  </si>
  <si>
    <t>venkateswara.garikapati@elevancehealth.com</t>
  </si>
  <si>
    <t>dl-kafka-support@anthem.com</t>
  </si>
  <si>
    <t>Unassigned</t>
  </si>
  <si>
    <t>Physical Devices</t>
  </si>
  <si>
    <t>Archived</t>
  </si>
  <si>
    <t>App Runs On</t>
  </si>
  <si>
    <t>Virtual Devices</t>
  </si>
  <si>
    <t>Validated</t>
  </si>
  <si>
    <t>SOA - Enterprise 27X HIPAA Application-Dev</t>
  </si>
  <si>
    <t>SOA Atomic Services-Dev</t>
  </si>
  <si>
    <t>SOA/API - Enterprise Services-Dev</t>
  </si>
  <si>
    <t>eHub - Enterprise Master Person Index (EMPI)-Dev</t>
  </si>
  <si>
    <t>Axway (GBD)-DR</t>
  </si>
  <si>
    <t>Legacy Provider Finder-Test</t>
  </si>
  <si>
    <t>Provider Care Management Solutions-Test</t>
  </si>
  <si>
    <t>VA-RICHMOND 2103 STAPLES MILL RD</t>
  </si>
  <si>
    <t>VA-HARRISONBURG 1175 N MAIN ST</t>
  </si>
  <si>
    <t>J1013YWD</t>
  </si>
  <si>
    <t>J1013Y6V</t>
  </si>
  <si>
    <t>J101TZP5</t>
  </si>
  <si>
    <t>J101VB42</t>
  </si>
  <si>
    <t>J101VB44</t>
  </si>
  <si>
    <t>J101VB4T</t>
  </si>
  <si>
    <t>J101VB4R</t>
  </si>
  <si>
    <t>J102262D</t>
  </si>
  <si>
    <t>J1013Y95</t>
  </si>
  <si>
    <t>J1013YVZ</t>
  </si>
  <si>
    <t>J101VGG5</t>
  </si>
  <si>
    <t>J10224GB</t>
  </si>
  <si>
    <t>J101VGFH</t>
  </si>
  <si>
    <t>J10224HM</t>
  </si>
  <si>
    <t>J10224G9</t>
  </si>
  <si>
    <t>J101VGG7</t>
  </si>
  <si>
    <t>J10224H0</t>
  </si>
  <si>
    <t>J10224GH</t>
  </si>
  <si>
    <t>J10224H4</t>
  </si>
  <si>
    <t>J101WTLM</t>
  </si>
  <si>
    <t>J101WTLR</t>
  </si>
  <si>
    <t>J101VGG4</t>
  </si>
  <si>
    <t>J101VGFL</t>
  </si>
  <si>
    <t>J101VGFT</t>
  </si>
  <si>
    <t>J101VGG1</t>
  </si>
  <si>
    <t>J101VGFY</t>
  </si>
  <si>
    <t>J101WTM2</t>
  </si>
  <si>
    <t>J101WTLA</t>
  </si>
  <si>
    <t>0278B475X_16</t>
  </si>
  <si>
    <t>0278B2EDX_55</t>
  </si>
  <si>
    <t>0278DA55X_5</t>
  </si>
  <si>
    <t>0278DA55X_28</t>
  </si>
  <si>
    <t>0278DE69X_46</t>
  </si>
  <si>
    <t>7V958B3</t>
  </si>
  <si>
    <t>7V988B3</t>
  </si>
  <si>
    <t/>
  </si>
  <si>
    <t>HNTWCS2</t>
  </si>
  <si>
    <t>HNT1DS2</t>
  </si>
  <si>
    <t>0278FD337_49</t>
  </si>
  <si>
    <t>06785B4D0_58</t>
  </si>
  <si>
    <t>0221AB22W_22</t>
  </si>
  <si>
    <t>06784C400_44</t>
  </si>
  <si>
    <t>0221AB22W_63</t>
  </si>
  <si>
    <t>06784C400_61</t>
  </si>
  <si>
    <t>0278D2B9X_14</t>
  </si>
  <si>
    <t>AppGroupA170</t>
  </si>
  <si>
    <t>AppGroupA195B</t>
  </si>
  <si>
    <t>AppGroupA107</t>
  </si>
  <si>
    <t>AppGroupA197</t>
  </si>
  <si>
    <t>Orphan</t>
  </si>
  <si>
    <t>AppGroupA175</t>
  </si>
  <si>
    <t>C:\Users\PalakshaTalkerappa\OneDrive - kyndryl\General - AD&amp;AI Migration Team -  Elevance Health\20. ADAI Architect Team Folder\Anthem Environment Info\LB\</t>
  </si>
  <si>
    <t>perf-provider.soacoe.wellpoint.com_https,perf-provider.soacoe.wellpoint.com_https</t>
  </si>
  <si>
    <t>ccc6.hb.anthem.com-443-dmz-llb,fxdr.amerigroup.com-8443-dmz-llb,ccc.hb.anthem.com-443-dmz-llb,fxdr.amerigroup.com-8443-dmz-llb,ftp2dr.amerigroup.com-8443-dmz-llb,fxdr.amerigroup.com-22-dmz-llb,ftp2dr.amerigroup.com-8443-dmz-llb,fxdr.amerigroup.com-22-dmz-llb</t>
  </si>
  <si>
    <t>fxdr.amerigroup.com-8443-dmz-llb,fxdr.amerigroup.com-8443-dmz-llb,ftp2dr.amerigroup.com-8443-dmz-llb,fxdr.amerigroup.com-22-dmz-llb,fxdr.amerigroup.com-22-dmz-llb,ftp2dr.amerigroup.com-8443-dmz-llb</t>
  </si>
  <si>
    <t>028-Kafka-Test</t>
  </si>
  <si>
    <t>004-SOA/API - Enterprise Services-Dev</t>
  </si>
  <si>
    <t>002-Axway (GBD)-DR</t>
  </si>
  <si>
    <t>002-SOA Atomic Services-Dev</t>
  </si>
  <si>
    <t>002-SOA/API/DATAPOWER - Enterprise Services-Dev</t>
  </si>
  <si>
    <t>002-SQL Server System Database-Dev</t>
  </si>
  <si>
    <t>002-SQL Server System Database-Test</t>
  </si>
  <si>
    <t>001-eHub - Enterprise Master Person Index (EMPI)-Dev</t>
  </si>
  <si>
    <t>001-Legacy Provider Finder-Test</t>
  </si>
  <si>
    <t>001-Provider Care Management Solutions-Test</t>
  </si>
  <si>
    <t>001-SOA - Enterprise 27X HIPAA Application-Dev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</si>
</sst>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409]ddd\,\ mmm\ dd\,\ yyyy"/>
    <numFmt numFmtId="166" formatCode="ddd\ mmm/dd/yyyy"/>
    <numFmt numFmtId="168" formatCode="d\-mmm\-yy"/>
  </numFmts>
  <fonts count="6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i/>
      <sz val="12"/>
      <color rgb="FFC00000"/>
      <name val="Calibri"/>
      <family val="2"/>
      <scheme val="minor"/>
    </font>
    <font>
      <u/>
      <sz val="12"/>
      <color theme="10"/>
      <name val="Calibri"/>
      <family val="2"/>
      <scheme val="minor"/>
    </font>
    <font>
      <sz val="8"/>
      <name val="Calibri"/>
      <family val="2"/>
      <scheme val="minor"/>
    </font>
    <font>
      <sz val="12"/>
      <color theme="1"/>
      <name val="Calibri"/>
      <family val="2"/>
      <scheme val="minor"/>
    </font>
    <font>
      <b/>
      <sz val="11"/>
      <color theme="1"/>
      <name val="Calibri"/>
      <family val="2"/>
      <scheme val="minor"/>
    </font>
    <font>
      <sz val="10"/>
      <name val="Verdana"/>
      <family val="2"/>
    </font>
    <font>
      <b/>
      <sz val="10"/>
      <name val="Calibri"/>
      <family val="2"/>
      <scheme val="minor"/>
    </font>
    <font>
      <sz val="10"/>
      <color theme="1"/>
      <name val="Calibri"/>
      <family val="2"/>
      <scheme val="minor"/>
    </font>
    <font>
      <sz val="10"/>
      <name val="Calibri"/>
      <family val="2"/>
      <scheme val="minor"/>
    </font>
    <font>
      <sz val="10"/>
      <color rgb="FFFF0066"/>
      <name val="Calibri"/>
      <family val="2"/>
      <scheme val="minor"/>
    </font>
    <font>
      <sz val="10"/>
      <color rgb="FF800000"/>
      <name val="Calibri"/>
      <family val="2"/>
      <scheme val="minor"/>
    </font>
    <font>
      <b/>
      <sz val="10"/>
      <color rgb="FF800000"/>
      <name val="Calibri"/>
      <family val="2"/>
      <scheme val="minor"/>
    </font>
    <font>
      <sz val="10"/>
      <color theme="0"/>
      <name val="Verdana"/>
      <family val="2"/>
    </font>
    <font>
      <sz val="10"/>
      <color rgb="FF7030A0"/>
      <name val="Calibri"/>
      <family val="2"/>
      <scheme val="minor"/>
    </font>
    <font>
      <sz val="11"/>
      <color rgb="FF3F3F76"/>
      <name val="Calibri"/>
      <family val="2"/>
      <scheme val="minor"/>
    </font>
    <font>
      <b/>
      <sz val="11"/>
      <color rgb="FF3F3F3F"/>
      <name val="Calibri"/>
      <family val="2"/>
      <scheme val="minor"/>
    </font>
    <font>
      <u/>
      <sz val="11"/>
      <color theme="10"/>
      <name val="Calibri"/>
      <family val="2"/>
      <scheme val="minor"/>
    </font>
    <font>
      <b/>
      <sz val="9"/>
      <color rgb="FFFFFFFF"/>
      <name val="Calibri"/>
      <family val="2"/>
      <scheme val="minor"/>
    </font>
    <font>
      <b/>
      <sz val="10"/>
      <color rgb="FFFFFFFF"/>
      <name val="Calibri"/>
      <family val="2"/>
      <scheme val="minor"/>
    </font>
    <font>
      <sz val="9"/>
      <color theme="1"/>
      <name val="Calibri"/>
      <family val="2"/>
      <scheme val="minor"/>
    </font>
    <font>
      <b/>
      <sz val="11"/>
      <color theme="0"/>
      <name val="Calibri"/>
      <family val="2"/>
      <scheme val="minor"/>
    </font>
    <font>
      <b/>
      <sz val="10"/>
      <color rgb="FF7030A0"/>
      <name val="Calibri"/>
      <family val="2"/>
      <scheme val="minor"/>
    </font>
    <font>
      <b/>
      <sz val="10"/>
      <color rgb="FFFF0066"/>
      <name val="Calibri"/>
      <family val="2"/>
      <scheme val="minor"/>
    </font>
    <font>
      <sz val="9"/>
      <name val="Calibri"/>
      <family val="2"/>
      <scheme val="minor"/>
    </font>
    <font>
      <sz val="12"/>
      <color rgb="FF000000"/>
      <name val="Calibri"/>
      <family val="2"/>
      <scheme val="minor"/>
    </font>
    <font>
      <u/>
      <sz val="11"/>
      <color rgb="FF0563C1"/>
      <name val="Calibri"/>
      <family val="2"/>
      <charset val="1"/>
    </font>
    <font>
      <sz val="11"/>
      <color rgb="FF000000"/>
      <name val="Calibri"/>
      <family val="2"/>
      <charset val="1"/>
    </font>
    <font>
      <sz val="10"/>
      <name val="Arial"/>
      <family val="2"/>
    </font>
    <font>
      <b/>
      <sz val="11"/>
      <color theme="0"/>
      <name val="Calibri"/>
      <family val="2"/>
    </font>
    <font>
      <b/>
      <sz val="11"/>
      <name val="Calibri"/>
      <family val="2"/>
    </font>
    <font>
      <sz val="10"/>
      <name val="Calibri"/>
      <family val="2"/>
    </font>
    <font>
      <sz val="12"/>
      <color rgb="FFFF0000"/>
      <name val="Calibri"/>
      <family val="2"/>
      <scheme val="minor"/>
    </font>
    <font>
      <b/>
      <sz val="12"/>
      <name val="Calibri"/>
      <family val="2"/>
      <scheme val="minor"/>
    </font>
    <font>
      <sz val="12"/>
      <color theme="9" tint="-0.499984740745262"/>
      <name val="Calibri"/>
      <family val="2"/>
      <scheme val="minor"/>
    </font>
    <font>
      <b/>
      <sz val="9"/>
      <color indexed="81"/>
      <name val="Tahoma"/>
      <family val="2"/>
    </font>
    <font>
      <sz val="9"/>
      <color indexed="81"/>
      <name val="Tahoma"/>
      <family val="2"/>
    </font>
    <font>
      <sz val="10"/>
      <color theme="9" tint="-0.499984740745262"/>
      <name val="Verdana"/>
      <family val="2"/>
    </font>
    <font>
      <b/>
      <sz val="10"/>
      <color rgb="FF1F497D"/>
      <name val="Calibri"/>
      <family val="2"/>
    </font>
    <font>
      <b/>
      <sz val="10"/>
      <color theme="1"/>
      <name val="Calibri"/>
      <family val="2"/>
      <scheme val="minor"/>
    </font>
    <font>
      <sz val="10"/>
      <color rgb="FF000000"/>
      <name val="Calibri"/>
      <family val="2"/>
      <scheme val="minor"/>
    </font>
    <font>
      <sz val="12"/>
      <color rgb="FF305496"/>
      <name val="Calibri"/>
      <family val="2"/>
      <scheme val="minor"/>
    </font>
    <font>
      <b/>
      <sz val="10"/>
      <color theme="4" tint="-0.499984740745262"/>
      <name val="Calibri"/>
      <family val="2"/>
    </font>
    <font>
      <sz val="10"/>
      <color theme="1"/>
      <name val="Calibri"/>
      <family val="2"/>
    </font>
    <font>
      <b/>
      <sz val="12"/>
      <color rgb="FF000000"/>
      <name val="Calibri"/>
      <family val="2"/>
    </font>
    <font>
      <sz val="11"/>
      <color rgb="FF000000"/>
      <name val="Calibri"/>
      <family val="2"/>
    </font>
    <font>
      <sz val="12"/>
      <color rgb="FF000000"/>
      <name val="Calibri"/>
      <family val="2"/>
    </font>
    <font>
      <b/>
      <sz val="11"/>
      <color rgb="FF000000"/>
      <name val="Calibri"/>
      <family val="2"/>
    </font>
    <font>
      <b/>
      <sz val="12"/>
      <color rgb="FFFF0000"/>
      <name val="Calibri"/>
      <family val="2"/>
      <scheme val="minor"/>
    </font>
  </fonts>
  <fills count="40">
    <fill>
      <patternFill patternType="none"/>
    </fill>
    <fill>
      <patternFill patternType="gray125"/>
    </fill>
    <fill>
      <patternFill patternType="solid">
        <fgColor theme="4"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indexed="22"/>
        <bgColor indexed="64"/>
      </patternFill>
    </fill>
    <fill>
      <patternFill patternType="solid">
        <fgColor rgb="FFFFCC99"/>
      </patternFill>
    </fill>
    <fill>
      <patternFill patternType="solid">
        <fgColor rgb="FFF2F2F2"/>
      </patternFill>
    </fill>
    <fill>
      <patternFill patternType="solid">
        <fgColor rgb="FFFF0000"/>
        <bgColor indexed="64"/>
      </patternFill>
    </fill>
    <fill>
      <patternFill patternType="solid">
        <fgColor theme="9"/>
        <bgColor indexed="64"/>
      </patternFill>
    </fill>
    <fill>
      <patternFill patternType="solid">
        <fgColor theme="4" tint="0.39997558519241921"/>
        <bgColor indexed="64"/>
      </patternFill>
    </fill>
    <fill>
      <patternFill patternType="solid">
        <fgColor theme="9" tint="0.59999389629810485"/>
        <bgColor indexed="64"/>
      </patternFill>
    </fill>
    <fill>
      <patternFill patternType="gray125">
        <bgColor theme="9" tint="0.79995117038483843"/>
      </patternFill>
    </fill>
    <fill>
      <patternFill patternType="gray125">
        <bgColor theme="3" tint="0.79998168889431442"/>
      </patternFill>
    </fill>
    <fill>
      <patternFill patternType="gray125">
        <bgColor theme="0" tint="-0.14999847407452621"/>
      </patternFill>
    </fill>
    <fill>
      <patternFill patternType="gray125">
        <bgColor theme="9" tint="0.79998168889431442"/>
      </patternFill>
    </fill>
    <fill>
      <patternFill patternType="gray125">
        <bgColor theme="2" tint="-9.9978637043366805E-2"/>
      </patternFill>
    </fill>
    <fill>
      <patternFill patternType="solid">
        <fgColor rgb="FFD0CECE"/>
        <bgColor rgb="FF000000"/>
      </patternFill>
    </fill>
    <fill>
      <patternFill patternType="solid">
        <fgColor rgb="FFFF452D"/>
        <bgColor indexed="64"/>
      </patternFill>
    </fill>
    <fill>
      <patternFill patternType="solid">
        <fgColor theme="9"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B4C6E7"/>
        <bgColor indexed="64"/>
      </patternFill>
    </fill>
    <fill>
      <patternFill patternType="solid">
        <fgColor rgb="FFD9E1F2"/>
        <bgColor rgb="FFD9E1F2"/>
      </patternFill>
    </fill>
    <fill>
      <patternFill patternType="solid">
        <fgColor theme="3" tint="0.39997558519241921"/>
        <bgColor indexed="64"/>
      </patternFill>
    </fill>
    <fill>
      <patternFill patternType="solid">
        <fgColor rgb="FFD1D8E1"/>
        <bgColor indexed="64"/>
      </patternFill>
    </fill>
    <fill>
      <patternFill patternType="solid">
        <fgColor theme="2" tint="-0.249977111117893"/>
        <bgColor indexed="64"/>
      </patternFill>
    </fill>
    <fill>
      <patternFill patternType="solid">
        <fgColor indexed="11"/>
        <bgColor indexed="64"/>
      </patternFill>
    </fill>
    <fill>
      <patternFill patternType="solid">
        <fgColor theme="2" tint="-9.9978637043366805E-2"/>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ck">
        <color rgb="FFA2B8E1"/>
      </bottom>
      <diagonal/>
    </border>
  </borders>
  <cellStyleXfs count="29">
    <xf numFmtId="0" fontId="0" fillId="0" borderId="0"/>
    <xf numFmtId="0" fontId="13" fillId="0" borderId="0" applyNumberFormat="0" applyFill="0" applyBorder="0" applyAlignment="0" applyProtection="0"/>
    <xf numFmtId="0" fontId="15" fillId="0" borderId="0"/>
    <xf numFmtId="0" fontId="10" fillId="0" borderId="0"/>
    <xf numFmtId="0" fontId="17" fillId="0" borderId="0"/>
    <xf numFmtId="0" fontId="17" fillId="0" borderId="0"/>
    <xf numFmtId="0" fontId="9" fillId="0" borderId="0"/>
    <xf numFmtId="0" fontId="26" fillId="11" borderId="8" applyNumberFormat="0" applyAlignment="0" applyProtection="0"/>
    <xf numFmtId="0" fontId="27" fillId="12" borderId="9" applyNumberFormat="0" applyAlignment="0" applyProtection="0"/>
    <xf numFmtId="0" fontId="8" fillId="0" borderId="0"/>
    <xf numFmtId="0" fontId="28" fillId="0" borderId="0" applyNumberFormat="0" applyFill="0" applyBorder="0" applyAlignment="0" applyProtection="0"/>
    <xf numFmtId="0" fontId="7" fillId="0" borderId="0"/>
    <xf numFmtId="0" fontId="6" fillId="0" borderId="0"/>
    <xf numFmtId="0" fontId="5" fillId="0" borderId="0"/>
    <xf numFmtId="0" fontId="4" fillId="0" borderId="0"/>
    <xf numFmtId="9" fontId="15" fillId="0" borderId="0" applyFont="0" applyFill="0" applyBorder="0" applyAlignment="0" applyProtection="0"/>
    <xf numFmtId="0" fontId="37" fillId="0" borderId="0" applyBorder="0" applyProtection="0"/>
    <xf numFmtId="0" fontId="38" fillId="0" borderId="0"/>
    <xf numFmtId="0" fontId="3" fillId="0" borderId="0"/>
    <xf numFmtId="0" fontId="3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cellStyleXfs>
  <cellXfs count="240">
    <xf numFmtId="0" fontId="0" fillId="0" borderId="0" xfId="0"/>
    <xf numFmtId="0" fontId="11" fillId="0" borderId="0" xfId="0" applyFont="1"/>
    <xf numFmtId="0" fontId="12" fillId="0" borderId="0" xfId="0" applyFont="1"/>
    <xf numFmtId="1" fontId="0" fillId="0" borderId="0" xfId="0" applyNumberFormat="1"/>
    <xf numFmtId="0" fontId="0" fillId="0" borderId="0" xfId="0" applyAlignment="1">
      <alignment wrapText="1"/>
    </xf>
    <xf numFmtId="0" fontId="15" fillId="0" borderId="0" xfId="2"/>
    <xf numFmtId="0" fontId="11" fillId="2" borderId="0" xfId="2" applyFont="1" applyFill="1"/>
    <xf numFmtId="0" fontId="11" fillId="3" borderId="0" xfId="2" applyFont="1" applyFill="1"/>
    <xf numFmtId="0" fontId="15" fillId="4" borderId="0" xfId="2" applyFill="1"/>
    <xf numFmtId="0" fontId="19" fillId="0" borderId="5" xfId="0" applyFont="1" applyBorder="1" applyAlignment="1">
      <alignment horizontal="center"/>
    </xf>
    <xf numFmtId="0" fontId="19" fillId="0" borderId="6" xfId="0" applyFont="1" applyBorder="1"/>
    <xf numFmtId="0" fontId="18" fillId="9" borderId="4" xfId="0" applyFont="1" applyFill="1" applyBorder="1" applyAlignment="1">
      <alignment horizontal="center" vertical="center"/>
    </xf>
    <xf numFmtId="0" fontId="20" fillId="6" borderId="7" xfId="0" applyFont="1" applyFill="1" applyBorder="1" applyAlignment="1">
      <alignment horizontal="left" vertical="center"/>
    </xf>
    <xf numFmtId="0" fontId="21" fillId="6" borderId="7" xfId="0" applyFont="1" applyFill="1" applyBorder="1" applyAlignment="1">
      <alignment horizontal="left" vertical="center"/>
    </xf>
    <xf numFmtId="0" fontId="18" fillId="6" borderId="7" xfId="0" applyFont="1" applyFill="1" applyBorder="1" applyAlignment="1">
      <alignment horizontal="left" vertical="center"/>
    </xf>
    <xf numFmtId="0" fontId="22" fillId="7" borderId="7" xfId="0" applyFont="1" applyFill="1" applyBorder="1" applyAlignment="1">
      <alignment horizontal="left" vertical="center"/>
    </xf>
    <xf numFmtId="0" fontId="23" fillId="7" borderId="7" xfId="0" applyFont="1" applyFill="1" applyBorder="1" applyAlignment="1">
      <alignment horizontal="left" vertical="center"/>
    </xf>
    <xf numFmtId="0" fontId="18" fillId="9" borderId="7" xfId="0" applyFont="1" applyFill="1" applyBorder="1" applyAlignment="1">
      <alignment horizontal="left" vertical="center"/>
    </xf>
    <xf numFmtId="0" fontId="17" fillId="10" borderId="0" xfId="4" applyFill="1"/>
    <xf numFmtId="0" fontId="17" fillId="0" borderId="0" xfId="4"/>
    <xf numFmtId="1" fontId="17" fillId="0" borderId="0" xfId="4" applyNumberFormat="1"/>
    <xf numFmtId="0" fontId="17" fillId="0" borderId="0" xfId="4" applyAlignment="1">
      <alignment wrapText="1"/>
    </xf>
    <xf numFmtId="0" fontId="23" fillId="8" borderId="7" xfId="0" applyFont="1" applyFill="1" applyBorder="1" applyAlignment="1">
      <alignment horizontal="left" vertical="center"/>
    </xf>
    <xf numFmtId="0" fontId="18" fillId="9" borderId="4" xfId="0" applyFont="1" applyFill="1" applyBorder="1" applyAlignment="1">
      <alignment horizontal="left" vertical="center"/>
    </xf>
    <xf numFmtId="0" fontId="19" fillId="0" borderId="0" xfId="0" applyFont="1" applyAlignment="1">
      <alignment horizontal="left"/>
    </xf>
    <xf numFmtId="0" fontId="24" fillId="0" borderId="0" xfId="4" applyFont="1" applyAlignment="1">
      <alignment vertical="top"/>
    </xf>
    <xf numFmtId="0" fontId="0" fillId="0" borderId="0" xfId="0" applyAlignment="1">
      <alignment horizontal="left"/>
    </xf>
    <xf numFmtId="0" fontId="25" fillId="6" borderId="7" xfId="0" applyFont="1" applyFill="1" applyBorder="1" applyAlignment="1">
      <alignment horizontal="left" vertical="center"/>
    </xf>
    <xf numFmtId="0" fontId="16" fillId="0" borderId="0" xfId="9" applyFont="1" applyAlignment="1">
      <alignment vertical="center"/>
    </xf>
    <xf numFmtId="0" fontId="8" fillId="0" borderId="0" xfId="9" applyAlignment="1">
      <alignment vertical="center"/>
    </xf>
    <xf numFmtId="0" fontId="27" fillId="12" borderId="9" xfId="8"/>
    <xf numFmtId="0" fontId="26" fillId="11" borderId="8" xfId="7"/>
    <xf numFmtId="0" fontId="0" fillId="0" borderId="0" xfId="0" applyAlignment="1">
      <alignment horizontal="right"/>
    </xf>
    <xf numFmtId="0" fontId="19" fillId="0" borderId="0" xfId="0" applyFont="1"/>
    <xf numFmtId="0" fontId="0" fillId="0" borderId="0" xfId="0" pivotButton="1"/>
    <xf numFmtId="0" fontId="0" fillId="0" borderId="0" xfId="0" applyAlignment="1">
      <alignment horizontal="left" indent="1"/>
    </xf>
    <xf numFmtId="0" fontId="31" fillId="0" borderId="0" xfId="13" applyFont="1" applyAlignment="1">
      <alignment horizontal="center"/>
    </xf>
    <xf numFmtId="0" fontId="19" fillId="0" borderId="0" xfId="13" applyFont="1" applyAlignment="1">
      <alignment horizontal="center"/>
    </xf>
    <xf numFmtId="0" fontId="31" fillId="0" borderId="0" xfId="13" applyFont="1" applyAlignment="1">
      <alignment horizontal="center" vertical="center"/>
    </xf>
    <xf numFmtId="0" fontId="31" fillId="0" borderId="0" xfId="13" applyFont="1"/>
    <xf numFmtId="0" fontId="0" fillId="0" borderId="0" xfId="0" applyAlignment="1">
      <alignment vertical="top"/>
    </xf>
    <xf numFmtId="0" fontId="0" fillId="0" borderId="0" xfId="0" applyAlignment="1" applyProtection="1">
      <alignment wrapText="1"/>
      <protection locked="0"/>
    </xf>
    <xf numFmtId="0" fontId="0" fillId="2" borderId="14" xfId="0" applyFill="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0" fillId="0" borderId="13" xfId="0" applyBorder="1" applyAlignment="1">
      <alignment vertical="top" wrapText="1"/>
    </xf>
    <xf numFmtId="0" fontId="0" fillId="5" borderId="14" xfId="0" applyFill="1" applyBorder="1" applyAlignment="1">
      <alignment vertical="top"/>
    </xf>
    <xf numFmtId="0" fontId="0" fillId="5" borderId="12" xfId="0" applyFill="1" applyBorder="1" applyAlignment="1">
      <alignment vertical="top"/>
    </xf>
    <xf numFmtId="164" fontId="0" fillId="0" borderId="15" xfId="0" applyNumberFormat="1" applyBorder="1" applyAlignment="1">
      <alignment horizontal="left" vertical="top"/>
    </xf>
    <xf numFmtId="0" fontId="0" fillId="2" borderId="16" xfId="0" applyFill="1" applyBorder="1" applyAlignment="1">
      <alignment vertical="top"/>
    </xf>
    <xf numFmtId="0" fontId="0" fillId="0" borderId="17" xfId="0" applyBorder="1" applyAlignment="1">
      <alignment vertical="top"/>
    </xf>
    <xf numFmtId="0" fontId="0" fillId="17" borderId="14" xfId="0" applyFill="1" applyBorder="1" applyAlignment="1">
      <alignment vertical="top"/>
    </xf>
    <xf numFmtId="0" fontId="0" fillId="18" borderId="14" xfId="0" applyFill="1" applyBorder="1" applyAlignment="1">
      <alignment vertical="top"/>
    </xf>
    <xf numFmtId="0" fontId="0" fillId="19" borderId="15" xfId="0" applyFill="1" applyBorder="1" applyAlignment="1">
      <alignment vertical="top" wrapText="1"/>
    </xf>
    <xf numFmtId="0" fontId="0" fillId="20" borderId="14" xfId="0" applyFill="1" applyBorder="1" applyAlignment="1">
      <alignment vertical="top"/>
    </xf>
    <xf numFmtId="0" fontId="0" fillId="21" borderId="15" xfId="0" applyFill="1" applyBorder="1" applyAlignment="1">
      <alignment vertical="top"/>
    </xf>
    <xf numFmtId="0" fontId="0" fillId="21" borderId="15" xfId="0" applyFill="1" applyBorder="1" applyAlignment="1">
      <alignment vertical="top" wrapText="1"/>
    </xf>
    <xf numFmtId="0" fontId="29" fillId="13" borderId="7" xfId="13" applyFont="1" applyFill="1" applyBorder="1" applyAlignment="1">
      <alignment vertical="center" wrapText="1"/>
    </xf>
    <xf numFmtId="0" fontId="30" fillId="13" borderId="7" xfId="13" applyFont="1" applyFill="1" applyBorder="1" applyAlignment="1">
      <alignment vertical="center" wrapText="1"/>
    </xf>
    <xf numFmtId="0" fontId="29" fillId="13" borderId="7" xfId="13" applyFont="1" applyFill="1" applyBorder="1" applyAlignment="1">
      <alignment horizontal="center" vertical="center" wrapText="1"/>
    </xf>
    <xf numFmtId="0" fontId="29" fillId="14" borderId="7" xfId="13" applyFont="1" applyFill="1" applyBorder="1" applyAlignment="1">
      <alignment vertical="center" wrapText="1"/>
    </xf>
    <xf numFmtId="0" fontId="31" fillId="0" borderId="0" xfId="13" applyFont="1" applyAlignment="1">
      <alignment wrapText="1"/>
    </xf>
    <xf numFmtId="0" fontId="13" fillId="0" borderId="0" xfId="1" applyAlignment="1">
      <alignment vertical="center"/>
    </xf>
    <xf numFmtId="0" fontId="19" fillId="0" borderId="0" xfId="0" applyFont="1" applyAlignment="1">
      <alignment horizontal="center" vertical="center"/>
    </xf>
    <xf numFmtId="0" fontId="36" fillId="22" borderId="0" xfId="0" applyFont="1" applyFill="1" applyAlignment="1">
      <alignment horizontal="left" vertical="top"/>
    </xf>
    <xf numFmtId="0" fontId="36" fillId="0" borderId="0" xfId="0" applyFont="1" applyAlignment="1" applyProtection="1">
      <alignment wrapText="1"/>
      <protection locked="0"/>
    </xf>
    <xf numFmtId="0" fontId="36" fillId="22" borderId="0" xfId="0" applyFont="1" applyFill="1" applyAlignment="1" applyProtection="1">
      <alignment wrapText="1"/>
      <protection locked="0"/>
    </xf>
    <xf numFmtId="9" fontId="19" fillId="0" borderId="0" xfId="15" applyFont="1" applyAlignment="1">
      <alignment horizontal="center" vertical="center"/>
    </xf>
    <xf numFmtId="9" fontId="19" fillId="0" borderId="0" xfId="15" applyFont="1"/>
    <xf numFmtId="9" fontId="19" fillId="0" borderId="0" xfId="0" applyNumberFormat="1" applyFont="1"/>
    <xf numFmtId="0" fontId="0" fillId="0" borderId="0" xfId="0" applyAlignment="1">
      <alignment horizontal="left" indent="2"/>
    </xf>
    <xf numFmtId="0" fontId="0" fillId="0" borderId="0" xfId="0" applyAlignment="1">
      <alignment horizontal="left" indent="3"/>
    </xf>
    <xf numFmtId="0" fontId="19" fillId="0" borderId="0" xfId="0" applyFont="1" applyAlignment="1">
      <alignment horizontal="right"/>
    </xf>
    <xf numFmtId="3" fontId="19" fillId="0" borderId="0" xfId="0" applyNumberFormat="1" applyFont="1" applyAlignment="1">
      <alignment horizontal="left"/>
    </xf>
    <xf numFmtId="0" fontId="18" fillId="9" borderId="3" xfId="0" applyFont="1" applyFill="1" applyBorder="1" applyAlignment="1">
      <alignment horizontal="center" vertical="center" wrapText="1"/>
    </xf>
    <xf numFmtId="0" fontId="18" fillId="9" borderId="7" xfId="0" applyFont="1" applyFill="1" applyBorder="1" applyAlignment="1">
      <alignment horizontal="center" vertical="center" wrapText="1"/>
    </xf>
    <xf numFmtId="0" fontId="18" fillId="6" borderId="7" xfId="0" applyFont="1" applyFill="1" applyBorder="1" applyAlignment="1">
      <alignment horizontal="center" vertical="center" wrapText="1"/>
    </xf>
    <xf numFmtId="0" fontId="33" fillId="6" borderId="7" xfId="0" applyFont="1" applyFill="1" applyBorder="1" applyAlignment="1">
      <alignment horizontal="center" vertical="center" wrapText="1"/>
    </xf>
    <xf numFmtId="0" fontId="34" fillId="6" borderId="7" xfId="0" applyFont="1" applyFill="1" applyBorder="1" applyAlignment="1">
      <alignment horizontal="center" vertical="center" wrapText="1"/>
    </xf>
    <xf numFmtId="0" fontId="23" fillId="7" borderId="7" xfId="0" applyFont="1" applyFill="1" applyBorder="1" applyAlignment="1">
      <alignment horizontal="center" vertical="center" wrapText="1"/>
    </xf>
    <xf numFmtId="0" fontId="32" fillId="5" borderId="7" xfId="0" applyFont="1" applyFill="1" applyBorder="1" applyAlignment="1">
      <alignment horizontal="center" vertical="center" wrapText="1"/>
    </xf>
    <xf numFmtId="0" fontId="23" fillId="8" borderId="4" xfId="0" applyFont="1" applyFill="1" applyBorder="1" applyAlignment="1">
      <alignment horizontal="center" vertical="center" wrapText="1"/>
    </xf>
    <xf numFmtId="0" fontId="18" fillId="0" borderId="20" xfId="0" applyFont="1" applyBorder="1" applyAlignment="1">
      <alignment horizontal="center" vertical="center" wrapText="1"/>
    </xf>
    <xf numFmtId="0" fontId="18" fillId="0" borderId="21" xfId="0" applyFont="1" applyBorder="1" applyAlignment="1">
      <alignment horizontal="center" vertical="center"/>
    </xf>
    <xf numFmtId="0" fontId="19" fillId="0" borderId="21" xfId="0" applyFont="1" applyBorder="1" applyAlignment="1">
      <alignment horizontal="center" vertical="center"/>
    </xf>
    <xf numFmtId="0" fontId="20" fillId="0" borderId="21" xfId="0" applyFont="1" applyBorder="1" applyAlignment="1">
      <alignment horizontal="center" vertical="center"/>
    </xf>
    <xf numFmtId="0" fontId="21" fillId="0" borderId="21" xfId="0" applyFont="1" applyBorder="1" applyAlignment="1">
      <alignment horizontal="center" vertical="center"/>
    </xf>
    <xf numFmtId="0" fontId="22" fillId="0" borderId="21" xfId="0" applyFont="1" applyBorder="1" applyAlignment="1">
      <alignment horizontal="center" vertic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38" fillId="0" borderId="0" xfId="17" applyAlignment="1">
      <alignment horizontal="center" vertical="center"/>
    </xf>
    <xf numFmtId="0" fontId="38" fillId="0" borderId="0" xfId="17"/>
    <xf numFmtId="0" fontId="38" fillId="0" borderId="0" xfId="17" applyAlignment="1">
      <alignment wrapText="1"/>
    </xf>
    <xf numFmtId="14" fontId="40" fillId="23" borderId="0" xfId="19" applyNumberFormat="1" applyFont="1" applyFill="1" applyAlignment="1">
      <alignment horizontal="center" vertical="center" wrapText="1"/>
    </xf>
    <xf numFmtId="14" fontId="41" fillId="8" borderId="0" xfId="19" applyNumberFormat="1" applyFont="1" applyFill="1" applyAlignment="1">
      <alignment horizontal="center" vertical="center" wrapText="1"/>
    </xf>
    <xf numFmtId="0" fontId="30" fillId="13" borderId="0" xfId="13" applyFont="1" applyFill="1" applyAlignment="1">
      <alignment vertical="center" wrapText="1"/>
    </xf>
    <xf numFmtId="0" fontId="11" fillId="0" borderId="0" xfId="2" applyFont="1"/>
    <xf numFmtId="14" fontId="15" fillId="0" borderId="0" xfId="2" applyNumberFormat="1"/>
    <xf numFmtId="0" fontId="43" fillId="0" borderId="0" xfId="0" applyFont="1"/>
    <xf numFmtId="0" fontId="0" fillId="24" borderId="0" xfId="0" applyFill="1" applyAlignment="1">
      <alignment horizontal="center" vertical="center"/>
    </xf>
    <xf numFmtId="14" fontId="40" fillId="23" borderId="1" xfId="19" applyNumberFormat="1" applyFont="1" applyFill="1" applyBorder="1" applyAlignment="1">
      <alignment horizontal="center" vertical="center" wrapText="1"/>
    </xf>
    <xf numFmtId="0" fontId="0" fillId="0" borderId="0" xfId="0" applyAlignment="1">
      <alignment horizontal="left" vertical="top"/>
    </xf>
    <xf numFmtId="0" fontId="0" fillId="0" borderId="0" xfId="0" applyAlignment="1">
      <alignment horizontal="left" vertical="top" wrapText="1"/>
    </xf>
    <xf numFmtId="165" fontId="44" fillId="0" borderId="1" xfId="0" applyNumberFormat="1" applyFont="1" applyBorder="1" applyAlignment="1">
      <alignment horizontal="left" vertical="top"/>
    </xf>
    <xf numFmtId="0" fontId="11" fillId="0" borderId="0" xfId="0" applyFont="1" applyAlignment="1">
      <alignment horizontal="left" vertical="top"/>
    </xf>
    <xf numFmtId="0" fontId="45" fillId="0" borderId="0" xfId="0" applyFont="1"/>
    <xf numFmtId="0" fontId="17" fillId="0" borderId="0" xfId="4" applyAlignment="1">
      <alignment vertical="top"/>
    </xf>
    <xf numFmtId="164" fontId="0" fillId="0" borderId="15" xfId="0" applyNumberFormat="1" applyBorder="1" applyAlignment="1">
      <alignment horizontal="left" vertical="top" wrapText="1"/>
    </xf>
    <xf numFmtId="0" fontId="24" fillId="0" borderId="0" xfId="4" applyFont="1" applyAlignment="1">
      <alignment vertical="top" wrapText="1"/>
    </xf>
    <xf numFmtId="0" fontId="48" fillId="0" borderId="0" xfId="4" applyFont="1" applyAlignment="1">
      <alignment vertical="top"/>
    </xf>
    <xf numFmtId="0" fontId="13" fillId="0" borderId="0" xfId="1"/>
    <xf numFmtId="0" fontId="1" fillId="0" borderId="0" xfId="27" applyAlignment="1">
      <alignment wrapText="1"/>
    </xf>
    <xf numFmtId="0" fontId="1" fillId="0" borderId="0" xfId="27"/>
    <xf numFmtId="164" fontId="1" fillId="0" borderId="0" xfId="27" applyNumberFormat="1"/>
    <xf numFmtId="0" fontId="1" fillId="0" borderId="0" xfId="27" applyAlignment="1">
      <alignment vertical="top"/>
    </xf>
    <xf numFmtId="0" fontId="1" fillId="0" borderId="0" xfId="27" applyAlignment="1">
      <alignment horizontal="center" vertical="top"/>
    </xf>
    <xf numFmtId="0" fontId="1" fillId="0" borderId="0" xfId="28"/>
    <xf numFmtId="0" fontId="1" fillId="0" borderId="0" xfId="27" applyAlignment="1">
      <alignment horizontal="center" vertical="center"/>
    </xf>
    <xf numFmtId="0" fontId="1" fillId="0" borderId="0" xfId="27" applyAlignment="1">
      <alignment horizontal="left" vertical="top"/>
    </xf>
    <xf numFmtId="0" fontId="1" fillId="0" borderId="0" xfId="27" applyAlignment="1">
      <alignment vertical="center" wrapText="1"/>
    </xf>
    <xf numFmtId="0" fontId="52" fillId="28" borderId="0" xfId="0" applyFont="1" applyFill="1"/>
    <xf numFmtId="0" fontId="52" fillId="0" borderId="0" xfId="0" applyFont="1"/>
    <xf numFmtId="0" fontId="1" fillId="5" borderId="1" xfId="0" applyFont="1" applyFill="1" applyBorder="1"/>
    <xf numFmtId="0" fontId="20" fillId="0" borderId="0" xfId="17" applyFont="1" applyAlignment="1">
      <alignment horizontal="left" vertical="center"/>
    </xf>
    <xf numFmtId="0" fontId="20" fillId="0" borderId="0" xfId="17" applyFont="1" applyAlignment="1">
      <alignment vertical="center"/>
    </xf>
    <xf numFmtId="0" fontId="19" fillId="0" borderId="0" xfId="27" applyFont="1" applyAlignment="1">
      <alignment horizontal="center" vertical="center"/>
    </xf>
    <xf numFmtId="164" fontId="19" fillId="0" borderId="0" xfId="27" applyNumberFormat="1" applyFont="1" applyAlignment="1">
      <alignment horizontal="center" vertical="center"/>
    </xf>
    <xf numFmtId="0" fontId="19" fillId="0" borderId="0" xfId="27" applyFont="1"/>
    <xf numFmtId="0" fontId="51" fillId="0" borderId="0" xfId="27" applyFont="1" applyAlignment="1">
      <alignment horizontal="left"/>
    </xf>
    <xf numFmtId="0" fontId="19" fillId="0" borderId="0" xfId="27" applyFont="1" applyAlignment="1">
      <alignment horizontal="left" vertical="top"/>
    </xf>
    <xf numFmtId="0" fontId="19" fillId="0" borderId="0" xfId="27" applyFont="1" applyAlignment="1">
      <alignment horizontal="center"/>
    </xf>
    <xf numFmtId="0" fontId="49" fillId="9" borderId="0" xfId="27" applyFont="1" applyFill="1" applyAlignment="1">
      <alignment horizontal="center" vertical="center" wrapText="1"/>
    </xf>
    <xf numFmtId="164" fontId="53" fillId="9" borderId="0" xfId="27" applyNumberFormat="1" applyFont="1" applyFill="1" applyAlignment="1">
      <alignment horizontal="center" vertical="center" wrapText="1"/>
    </xf>
    <xf numFmtId="164" fontId="49" fillId="27" borderId="0" xfId="27" applyNumberFormat="1" applyFont="1" applyFill="1" applyAlignment="1">
      <alignment horizontal="center" vertical="center" wrapText="1"/>
    </xf>
    <xf numFmtId="164" fontId="49" fillId="9" borderId="0" xfId="27" applyNumberFormat="1" applyFont="1" applyFill="1" applyAlignment="1">
      <alignment horizontal="center" vertical="center" wrapText="1"/>
    </xf>
    <xf numFmtId="164" fontId="19" fillId="0" borderId="0" xfId="27" applyNumberFormat="1" applyFont="1" applyAlignment="1">
      <alignment horizontal="left" vertical="top"/>
    </xf>
    <xf numFmtId="0" fontId="42" fillId="0" borderId="0" xfId="4" applyFont="1" applyAlignment="1">
      <alignment horizontal="left" vertical="top"/>
    </xf>
    <xf numFmtId="0" fontId="19" fillId="0" borderId="0" xfId="27" applyFont="1" applyAlignment="1">
      <alignment horizontal="center" vertical="top"/>
    </xf>
    <xf numFmtId="0" fontId="19" fillId="0" borderId="0" xfId="27" applyFont="1" applyAlignment="1">
      <alignment horizontal="left" vertical="top" wrapText="1"/>
    </xf>
    <xf numFmtId="14" fontId="18" fillId="25" borderId="0" xfId="19" applyNumberFormat="1" applyFont="1" applyFill="1" applyAlignment="1">
      <alignment horizontal="center" vertical="center" wrapText="1"/>
    </xf>
    <xf numFmtId="164" fontId="50" fillId="25" borderId="0" xfId="19" applyNumberFormat="1" applyFont="1" applyFill="1" applyAlignment="1">
      <alignment horizontal="center" vertical="center" wrapText="1"/>
    </xf>
    <xf numFmtId="14" fontId="18" fillId="29" borderId="0" xfId="19" applyNumberFormat="1" applyFont="1" applyFill="1" applyAlignment="1">
      <alignment horizontal="center" vertical="center" wrapText="1"/>
    </xf>
    <xf numFmtId="14" fontId="18" fillId="26" borderId="0" xfId="19" applyNumberFormat="1" applyFont="1" applyFill="1" applyAlignment="1">
      <alignment horizontal="center" vertical="center" wrapText="1"/>
    </xf>
    <xf numFmtId="0" fontId="30" fillId="13" borderId="0" xfId="13" applyFont="1" applyFill="1" applyAlignment="1">
      <alignment horizontal="center" vertical="center" wrapText="1"/>
    </xf>
    <xf numFmtId="0" fontId="19" fillId="0" borderId="0" xfId="27" applyFont="1" applyAlignment="1">
      <alignment vertical="top"/>
    </xf>
    <xf numFmtId="164" fontId="19" fillId="0" borderId="0" xfId="27" applyNumberFormat="1" applyFont="1" applyAlignment="1">
      <alignment horizontal="center" vertical="top"/>
    </xf>
    <xf numFmtId="14" fontId="18" fillId="29" borderId="0" xfId="19" applyNumberFormat="1" applyFont="1" applyFill="1" applyAlignment="1">
      <alignment horizontal="center" wrapText="1"/>
    </xf>
    <xf numFmtId="164" fontId="18" fillId="29" borderId="0" xfId="19" applyNumberFormat="1" applyFont="1" applyFill="1" applyAlignment="1">
      <alignment horizontal="center" wrapText="1"/>
    </xf>
    <xf numFmtId="1" fontId="18" fillId="29" borderId="0" xfId="19" applyNumberFormat="1" applyFont="1" applyFill="1" applyAlignment="1">
      <alignment horizontal="left" wrapText="1"/>
    </xf>
    <xf numFmtId="14" fontId="18" fillId="29" borderId="0" xfId="19" applyNumberFormat="1" applyFont="1" applyFill="1" applyAlignment="1">
      <alignment wrapText="1"/>
    </xf>
    <xf numFmtId="14" fontId="18" fillId="29" borderId="0" xfId="19" applyNumberFormat="1" applyFont="1" applyFill="1" applyAlignment="1">
      <alignment horizontal="left" wrapText="1"/>
    </xf>
    <xf numFmtId="14" fontId="18" fillId="26" borderId="0" xfId="19" applyNumberFormat="1" applyFont="1" applyFill="1" applyAlignment="1">
      <alignment wrapText="1"/>
    </xf>
    <xf numFmtId="0" fontId="19" fillId="0" borderId="0" xfId="28" applyFont="1" applyAlignment="1">
      <alignment horizontal="center" wrapText="1"/>
    </xf>
    <xf numFmtId="14" fontId="42" fillId="30" borderId="0" xfId="19" applyNumberFormat="1" applyFont="1" applyFill="1" applyAlignment="1">
      <alignment horizontal="center" vertical="top" wrapText="1"/>
    </xf>
    <xf numFmtId="1" fontId="42" fillId="30" borderId="0" xfId="19" applyNumberFormat="1" applyFont="1" applyFill="1" applyAlignment="1">
      <alignment horizontal="left" vertical="top" wrapText="1"/>
    </xf>
    <xf numFmtId="14" fontId="42" fillId="30" borderId="0" xfId="19" applyNumberFormat="1" applyFont="1" applyFill="1" applyAlignment="1">
      <alignment horizontal="left" vertical="top" wrapText="1"/>
    </xf>
    <xf numFmtId="14" fontId="42" fillId="30" borderId="0" xfId="19" applyNumberFormat="1" applyFont="1" applyFill="1" applyAlignment="1">
      <alignment vertical="top" wrapText="1"/>
    </xf>
    <xf numFmtId="14" fontId="42" fillId="26" borderId="0" xfId="19" applyNumberFormat="1" applyFont="1" applyFill="1" applyAlignment="1">
      <alignment vertical="top" wrapText="1"/>
    </xf>
    <xf numFmtId="14" fontId="42" fillId="26" borderId="0" xfId="19" applyNumberFormat="1" applyFont="1" applyFill="1" applyAlignment="1">
      <alignment horizontal="left" vertical="top" wrapText="1"/>
    </xf>
    <xf numFmtId="0" fontId="0" fillId="31" borderId="0" xfId="0" applyFill="1"/>
    <xf numFmtId="0" fontId="45" fillId="0" borderId="0" xfId="0" applyFont="1" applyAlignment="1">
      <alignment vertical="top"/>
    </xf>
    <xf numFmtId="14" fontId="41" fillId="8" borderId="6" xfId="19" applyNumberFormat="1" applyFont="1" applyFill="1" applyBorder="1" applyAlignment="1">
      <alignment horizontal="center" vertical="center" wrapText="1"/>
    </xf>
    <xf numFmtId="0" fontId="59" fillId="0" borderId="0" xfId="0" applyFont="1"/>
    <xf numFmtId="0" fontId="26" fillId="0" borderId="8" xfId="7" applyFill="1"/>
    <xf numFmtId="0" fontId="0" fillId="32" borderId="0" xfId="0" applyFill="1"/>
    <xf numFmtId="0" fontId="54" fillId="0" borderId="0" xfId="27" applyFont="1" applyAlignment="1">
      <alignment horizontal="left" vertical="top"/>
    </xf>
    <xf numFmtId="164" fontId="42" fillId="30" borderId="0" xfId="19" applyNumberFormat="1" applyFont="1" applyFill="1" applyAlignment="1">
      <alignment horizontal="center" vertical="center"/>
    </xf>
    <xf numFmtId="0" fontId="42" fillId="30" borderId="0" xfId="19" applyFont="1" applyFill="1" applyAlignment="1">
      <alignment vertical="top" wrapText="1"/>
    </xf>
    <xf numFmtId="166" fontId="0" fillId="0" borderId="0" xfId="0" applyNumberFormat="1"/>
    <xf numFmtId="0" fontId="0" fillId="33" borderId="0" xfId="0" applyFill="1" applyAlignment="1">
      <alignment horizontal="left" vertical="top"/>
    </xf>
    <xf numFmtId="0" fontId="0" fillId="0" borderId="0" xfId="0" applyAlignment="1" applyProtection="1">
      <alignment horizontal="left" vertical="top" wrapText="1"/>
      <protection locked="0"/>
    </xf>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19" fillId="0" borderId="4" xfId="0" applyFont="1" applyBorder="1" applyAlignment="1">
      <alignment horizontal="center"/>
    </xf>
    <xf numFmtId="0" fontId="19" fillId="0" borderId="2" xfId="0" applyFont="1" applyBorder="1" applyAlignment="1">
      <alignment horizontal="center"/>
    </xf>
    <xf numFmtId="0" fontId="19" fillId="0" borderId="3" xfId="0" applyFont="1" applyBorder="1" applyAlignment="1">
      <alignment horizontal="center"/>
    </xf>
    <xf numFmtId="0" fontId="0" fillId="15" borderId="18" xfId="0" applyFill="1" applyBorder="1" applyAlignment="1">
      <alignment horizontal="center" vertical="top"/>
    </xf>
    <xf numFmtId="0" fontId="0" fillId="15" borderId="19" xfId="0" applyFill="1" applyBorder="1" applyAlignment="1">
      <alignment horizontal="center" vertical="top"/>
    </xf>
    <xf numFmtId="0" fontId="0" fillId="16" borderId="10" xfId="0" applyFill="1" applyBorder="1" applyAlignment="1">
      <alignment horizontal="center" vertical="top"/>
    </xf>
    <xf numFmtId="0" fontId="0" fillId="16" borderId="11" xfId="0" applyFill="1" applyBorder="1" applyAlignment="1">
      <alignment horizontal="center" vertical="top"/>
    </xf>
    <xf numFmtId="0" fontId="0" fillId="0" borderId="0" xfId="0" applyNumberFormat="1"/>
    <xf numFmtId="1" fontId="0" fillId="0" borderId="0" xfId="0" applyNumberFormat="1" applyFill="1" applyAlignment="1">
      <alignment vertical="top"/>
    </xf>
    <xf numFmtId="0" fontId="0" fillId="0" borderId="0" xfId="0" applyFill="1" applyAlignment="1">
      <alignment vertical="top"/>
    </xf>
    <xf numFmtId="0" fontId="0" fillId="0" borderId="0" xfId="0" applyFill="1" applyAlignment="1">
      <alignment vertical="top" wrapText="1"/>
    </xf>
    <xf numFmtId="0" fontId="43" fillId="0" borderId="0" xfId="0" applyFont="1" applyFill="1" applyAlignment="1">
      <alignment vertical="top"/>
    </xf>
    <xf numFmtId="0" fontId="0" fillId="0" borderId="0" xfId="0" applyNumberFormat="1" applyFill="1" applyAlignment="1">
      <alignment vertical="top"/>
    </xf>
    <xf numFmtId="0" fontId="45" fillId="0" borderId="0" xfId="0" applyFont="1" applyFill="1" applyAlignment="1">
      <alignment vertical="top"/>
    </xf>
    <xf numFmtId="0" fontId="17" fillId="0" borderId="0" xfId="4" applyFill="1" applyAlignment="1">
      <alignment vertical="top"/>
    </xf>
    <xf numFmtId="0" fontId="31" fillId="0" borderId="0" xfId="4" applyFont="1" applyFill="1" applyAlignment="1">
      <alignment horizontal="left" vertical="top"/>
    </xf>
    <xf numFmtId="0" fontId="0" fillId="0" borderId="0" xfId="0" applyFill="1" applyAlignment="1">
      <alignment horizontal="left" vertical="top"/>
    </xf>
    <xf numFmtId="0" fontId="0" fillId="0" borderId="0" xfId="0" applyNumberFormat="1" applyFill="1" applyAlignment="1">
      <alignment horizontal="left" vertical="top"/>
    </xf>
    <xf numFmtId="0" fontId="19" fillId="0" borderId="0" xfId="28" applyFont="1" applyFill="1" applyAlignment="1">
      <alignment horizontal="center" wrapText="1"/>
    </xf>
    <xf numFmtId="0" fontId="19" fillId="0" borderId="0" xfId="27" applyNumberFormat="1" applyFont="1" applyAlignment="1">
      <alignment horizontal="center" vertical="center"/>
    </xf>
    <xf numFmtId="0" fontId="20" fillId="0" borderId="0" xfId="17" applyFont="1" applyFill="1" applyAlignment="1">
      <alignment horizontal="left" vertical="center"/>
    </xf>
    <xf numFmtId="0" fontId="20" fillId="0" borderId="0" xfId="17" applyFont="1" applyFill="1" applyAlignment="1">
      <alignment vertical="center"/>
    </xf>
    <xf numFmtId="0" fontId="20" fillId="0" borderId="0" xfId="17" applyNumberFormat="1" applyFont="1" applyFill="1" applyAlignment="1">
      <alignment vertical="center"/>
    </xf>
    <xf numFmtId="0" fontId="19" fillId="0" borderId="0" xfId="27" applyNumberFormat="1" applyFont="1" applyAlignment="1">
      <alignment horizontal="left" vertical="top"/>
    </xf>
    <xf numFmtId="0" fontId="54" fillId="0" borderId="0" xfId="28" applyFont="1"/>
    <xf numFmtId="164" fontId="54" fillId="0" borderId="0" xfId="28" applyNumberFormat="1" applyFont="1" applyAlignment="1">
      <alignment horizontal="center" vertical="center"/>
    </xf>
    <xf numFmtId="0" fontId="54" fillId="0" borderId="0" xfId="28" applyNumberFormat="1" applyFont="1"/>
    <xf numFmtId="0" fontId="54" fillId="0" borderId="0" xfId="27" applyFont="1" applyFill="1" applyAlignment="1">
      <alignment horizontal="left" vertical="top"/>
    </xf>
    <xf numFmtId="0" fontId="31" fillId="0" borderId="0" xfId="2" applyFont="1" applyFill="1" applyAlignment="1">
      <alignment horizontal="center" vertical="center"/>
    </xf>
    <xf numFmtId="0" fontId="31" fillId="0" borderId="0" xfId="2" applyNumberFormat="1" applyFont="1" applyFill="1" applyAlignment="1">
      <alignment horizontal="center" vertical="center"/>
    </xf>
    <xf numFmtId="0" fontId="19" fillId="5" borderId="0" xfId="2" applyNumberFormat="1" applyFont="1" applyFill="1" applyAlignment="1">
      <alignment horizontal="left" vertical="top"/>
    </xf>
    <xf numFmtId="0" fontId="31" fillId="0" borderId="0" xfId="2" applyFont="1" applyFill="1" applyAlignment="1">
      <alignment horizontal="center" vertical="top"/>
    </xf>
    <xf numFmtId="0" fontId="31" fillId="0" borderId="0" xfId="13" applyFont="1" applyFill="1" applyAlignment="1">
      <alignment horizontal="center" vertical="center"/>
    </xf>
    <xf numFmtId="0" fontId="31" fillId="0" borderId="0" xfId="13" applyNumberFormat="1" applyFont="1" applyFill="1" applyAlignment="1">
      <alignment horizontal="center" vertical="center"/>
    </xf>
    <xf numFmtId="0" fontId="35" fillId="0" borderId="0" xfId="13" applyNumberFormat="1" applyFont="1" applyFill="1" applyAlignment="1">
      <alignment horizontal="center" vertical="center"/>
    </xf>
    <xf numFmtId="3" fontId="31" fillId="0" borderId="0" xfId="13" applyNumberFormat="1" applyFont="1" applyFill="1" applyAlignment="1">
      <alignment horizontal="center" vertical="center"/>
    </xf>
    <xf numFmtId="0" fontId="19" fillId="0" borderId="0" xfId="27" applyNumberFormat="1" applyFont="1" applyAlignment="1">
      <alignment vertical="top"/>
    </xf>
    <xf numFmtId="0" fontId="20" fillId="0" borderId="0" xfId="2" applyFont="1" applyFill="1" applyAlignment="1">
      <alignment horizontal="center" vertical="center"/>
    </xf>
    <xf numFmtId="0" fontId="0" fillId="0" borderId="0" xfId="0" applyFill="1"/>
    <xf numFmtId="0" fontId="42" fillId="0" borderId="0" xfId="4" applyFont="1" applyFill="1" applyAlignment="1">
      <alignment horizontal="left" vertical="top"/>
    </xf>
    <xf numFmtId="0" fontId="20" fillId="0" borderId="0" xfId="17" applyNumberFormat="1" applyFont="1" applyFill="1" applyAlignment="1">
      <alignment horizontal="center" vertical="center"/>
    </xf>
    <xf numFmtId="165" fontId="20" fillId="0" borderId="0" xfId="17" applyNumberFormat="1" applyFont="1" applyFill="1" applyAlignment="1">
      <alignment horizontal="center" vertical="center"/>
    </xf>
    <xf numFmtId="168" fontId="20" fillId="0" borderId="0" xfId="17" applyNumberFormat="1" applyFont="1" applyFill="1" applyAlignment="1">
      <alignment horizontal="center" vertical="center"/>
    </xf>
    <xf numFmtId="0" fontId="20" fillId="0" borderId="0" xfId="17" applyNumberFormat="1" applyFont="1" applyFill="1" applyAlignment="1">
      <alignment horizontal="left" vertical="center"/>
    </xf>
    <xf numFmtId="0" fontId="19" fillId="0" borderId="0" xfId="17" applyFont="1" applyFill="1"/>
    <xf numFmtId="0" fontId="31" fillId="0" borderId="23" xfId="2" applyNumberFormat="1" applyFont="1" applyFill="1" applyBorder="1" applyAlignment="1">
      <alignment horizontal="left" vertical="top"/>
    </xf>
    <xf numFmtId="0" fontId="42" fillId="0" borderId="0" xfId="17" applyNumberFormat="1" applyFont="1" applyFill="1" applyAlignment="1">
      <alignment horizontal="center" vertical="center"/>
    </xf>
    <xf numFmtId="3" fontId="19" fillId="0" borderId="0" xfId="17" applyNumberFormat="1" applyFont="1" applyFill="1" applyAlignment="1">
      <alignment vertical="center"/>
    </xf>
    <xf numFmtId="0" fontId="42" fillId="0" borderId="0" xfId="17" applyFont="1" applyFill="1"/>
    <xf numFmtId="0" fontId="42" fillId="0" borderId="0" xfId="2" applyFont="1" applyFill="1" applyAlignment="1">
      <alignment horizontal="center" vertical="center"/>
    </xf>
    <xf numFmtId="0" fontId="18" fillId="0" borderId="0" xfId="0" applyFont="1" applyFill="1" applyAlignment="1">
      <alignment horizontal="center" vertical="center" wrapText="1"/>
    </xf>
    <xf numFmtId="0" fontId="18" fillId="0" borderId="0" xfId="0" applyNumberFormat="1" applyFont="1" applyFill="1" applyAlignment="1">
      <alignment horizontal="center" vertical="center"/>
    </xf>
    <xf numFmtId="0" fontId="19" fillId="0" borderId="0" xfId="0" applyNumberFormat="1" applyFont="1" applyFill="1" applyAlignment="1">
      <alignment horizontal="center" vertical="center"/>
    </xf>
    <xf numFmtId="0" fontId="19" fillId="0" borderId="5" xfId="0" applyNumberFormat="1" applyFont="1" applyFill="1" applyBorder="1" applyAlignment="1">
      <alignment horizontal="center" vertical="center"/>
    </xf>
    <xf numFmtId="0" fontId="20" fillId="0" borderId="0" xfId="0" applyNumberFormat="1" applyFont="1" applyFill="1" applyAlignment="1">
      <alignment horizontal="center" vertical="center"/>
    </xf>
    <xf numFmtId="0" fontId="21" fillId="0" borderId="0" xfId="0" applyNumberFormat="1" applyFont="1" applyFill="1" applyAlignment="1">
      <alignment horizontal="center" vertical="center"/>
    </xf>
    <xf numFmtId="0" fontId="20" fillId="0" borderId="5" xfId="0" applyNumberFormat="1" applyFont="1" applyFill="1" applyBorder="1" applyAlignment="1">
      <alignment horizontal="center" vertical="center"/>
    </xf>
    <xf numFmtId="0" fontId="22" fillId="0" borderId="0" xfId="0" applyNumberFormat="1" applyFont="1" applyFill="1" applyAlignment="1">
      <alignment horizontal="center" vertical="center"/>
    </xf>
    <xf numFmtId="0" fontId="23" fillId="0" borderId="0" xfId="0" applyNumberFormat="1" applyFont="1" applyFill="1" applyAlignment="1">
      <alignment horizontal="center" vertical="center"/>
    </xf>
    <xf numFmtId="0" fontId="23" fillId="0" borderId="5" xfId="0" applyNumberFormat="1" applyFont="1" applyFill="1" applyBorder="1" applyAlignment="1">
      <alignment horizontal="center" vertical="center"/>
    </xf>
    <xf numFmtId="0" fontId="19" fillId="0" borderId="6" xfId="0" applyNumberFormat="1" applyFont="1" applyFill="1" applyBorder="1" applyAlignment="1">
      <alignment horizontal="center" vertical="center"/>
    </xf>
    <xf numFmtId="0" fontId="18" fillId="0" borderId="6" xfId="0" applyNumberFormat="1" applyFont="1" applyFill="1" applyBorder="1" applyAlignment="1">
      <alignment horizontal="center" vertical="center"/>
    </xf>
    <xf numFmtId="0" fontId="23" fillId="0" borderId="6" xfId="0" applyNumberFormat="1" applyFont="1" applyFill="1" applyBorder="1" applyAlignment="1">
      <alignment horizontal="center" vertical="center"/>
    </xf>
  </cellXfs>
  <cellStyles count="29">
    <cellStyle name="Hyperlink" xfId="1" builtinId="8"/>
    <cellStyle name="Hyperlink 2" xfId="10" xr:uid="{FA396BCE-C56D-468B-A862-5CAAA1695E02}"/>
    <cellStyle name="Hyperlink 3" xfId="16" xr:uid="{71D24E73-388C-4797-89C6-DE3B27C4EBD8}"/>
    <cellStyle name="Input" xfId="7" builtinId="20"/>
    <cellStyle name="Normal" xfId="0" builtinId="0"/>
    <cellStyle name="Normal 149" xfId="18" xr:uid="{620494B0-2145-4FD2-AE38-8CF57878E112}"/>
    <cellStyle name="Normal 149 2" xfId="28" xr:uid="{C19E63D1-11ED-4E31-A0FD-7F8B71A463F6}"/>
    <cellStyle name="Normal 2" xfId="2" xr:uid="{09B605D8-2901-468B-B3E0-9BBEF57192DE}"/>
    <cellStyle name="Normal 2 2" xfId="3" xr:uid="{FAFD5303-BEDA-463F-8755-ACDD076FEAD7}"/>
    <cellStyle name="Normal 2 2 2" xfId="25" xr:uid="{9832F0AF-781F-4C80-87B0-1D5F508D9993}"/>
    <cellStyle name="Normal 2 2 3" xfId="26" xr:uid="{F4E0769A-DA8D-480E-BFB4-81D137892480}"/>
    <cellStyle name="Normal 2 2 4" xfId="20" xr:uid="{8650CB60-2528-4C79-85F1-93DC6642255A}"/>
    <cellStyle name="Normal 2 3" xfId="13" xr:uid="{A400567C-3854-45D8-99A1-4954EA4060F3}"/>
    <cellStyle name="Normal 3" xfId="6" xr:uid="{9E81B7C8-4C23-4221-B378-16834779E358}"/>
    <cellStyle name="Normal 3 2" xfId="14" xr:uid="{7F56FFD1-6917-4B2B-9D92-DD6969E1DD86}"/>
    <cellStyle name="Normal 3 3" xfId="21" xr:uid="{27242F04-522E-4C97-BEEC-2B0A9BF6F85F}"/>
    <cellStyle name="Normal 4" xfId="9" xr:uid="{DE8F346D-56FA-4E58-98C6-F899F953A3C7}"/>
    <cellStyle name="Normal 4 2" xfId="22" xr:uid="{CA0EA4A5-22BA-4C5B-AD93-E2341612494E}"/>
    <cellStyle name="Normal 5" xfId="11" xr:uid="{C2F319A9-34E7-4A66-96BB-77F9A5761429}"/>
    <cellStyle name="Normal 5 2" xfId="23" xr:uid="{71BB2617-89D9-489F-8880-5E2545A1EE42}"/>
    <cellStyle name="Normal 56" xfId="5" xr:uid="{3177C9E7-F4BF-469D-913E-552AC7800410}"/>
    <cellStyle name="Normal 57" xfId="4" xr:uid="{302DFB14-5850-4ADC-A06C-AFC8B1608ED7}"/>
    <cellStyle name="Normal 6" xfId="12" xr:uid="{6231654C-5D0B-4A27-B576-18539B642F27}"/>
    <cellStyle name="Normal 6 2" xfId="24" xr:uid="{74F5499D-C564-4703-AD85-7C0D3D524C5F}"/>
    <cellStyle name="Normal 7" xfId="17" xr:uid="{4CAE392F-EF2E-4CDB-9906-FCFB0DFD0A25}"/>
    <cellStyle name="Normal 8" xfId="27" xr:uid="{ECC7AE81-F44C-428D-89E4-9865B35EC00F}"/>
    <cellStyle name="Normal_WPInitialQuestionnaire.ppt" xfId="19" xr:uid="{C312E511-53D5-4D20-921E-4B9AD2F763DD}"/>
    <cellStyle name="Output" xfId="8" builtinId="21"/>
    <cellStyle name="Percent" xfId="15" builtinId="5"/>
  </cellStyles>
  <dxfs count="510">
    <dxf>
      <font>
        <b/>
        <i val="0"/>
        <color rgb="FF7030A0"/>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color rgb="FFA50021"/>
      </font>
      <fill>
        <patternFill>
          <bgColor rgb="FFFFC7CE"/>
        </patternFill>
      </fill>
    </dxf>
    <dxf>
      <font>
        <b/>
        <i val="0"/>
        <color theme="9" tint="-0.499984740745262"/>
      </font>
    </dxf>
    <dxf>
      <font>
        <b val="0"/>
        <i val="0"/>
        <color theme="9" tint="-0.499984740745262"/>
      </font>
    </dxf>
    <dxf>
      <font>
        <b val="0"/>
        <i val="0"/>
        <color theme="9" tint="-0.24994659260841701"/>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b/>
        <i val="0"/>
        <color theme="9" tint="-0.499984740745262"/>
      </font>
    </dxf>
    <dxf>
      <font>
        <b val="0"/>
        <i val="0"/>
        <color theme="9" tint="-0.499984740745262"/>
      </font>
    </dxf>
    <dxf>
      <font>
        <b val="0"/>
        <i val="0"/>
        <color theme="9" tint="-0.24994659260841701"/>
      </font>
    </dxf>
    <dxf>
      <font>
        <b val="0"/>
        <i val="0"/>
        <color rgb="FF7030A0"/>
      </font>
    </dxf>
    <dxf>
      <font>
        <b val="0"/>
        <i val="0"/>
        <color rgb="FF7030A0"/>
      </font>
    </dxf>
    <dxf>
      <font>
        <b val="0"/>
        <i val="0"/>
        <color rgb="FFC00000"/>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color rgb="FFA50021"/>
      </font>
      <fill>
        <patternFill>
          <bgColor rgb="FFFFC7CE"/>
        </patternFill>
      </fill>
    </dxf>
    <dxf>
      <font>
        <color rgb="FF9C5700"/>
      </font>
      <fill>
        <patternFill>
          <bgColor rgb="FFFFEB9C"/>
        </patternFill>
      </fill>
    </dxf>
    <dxf>
      <font>
        <color rgb="FF9C5700"/>
      </font>
      <fill>
        <patternFill>
          <bgColor rgb="FFFFEB9C"/>
        </patternFill>
      </fill>
    </dxf>
    <dxf>
      <font>
        <color rgb="FF800000"/>
      </font>
      <fill>
        <patternFill>
          <bgColor rgb="FFFFC7CC"/>
        </patternFill>
      </fill>
    </dxf>
    <dxf>
      <font>
        <color rgb="FFA50021"/>
      </font>
      <fill>
        <patternFill>
          <bgColor rgb="FFFFC7CE"/>
        </patternFill>
      </fill>
    </dxf>
    <dxf>
      <font>
        <color rgb="FFA50021"/>
      </font>
      <fill>
        <patternFill>
          <bgColor rgb="FFCCCCFF"/>
        </patternFill>
      </fill>
    </dxf>
    <dxf>
      <font>
        <color rgb="FF9C5700"/>
      </font>
      <fill>
        <patternFill>
          <bgColor rgb="FFFFEB9C"/>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val="0"/>
        <i val="0"/>
        <color theme="8" tint="-0.24994659260841701"/>
      </font>
    </dxf>
    <dxf>
      <font>
        <b/>
        <i val="0"/>
        <color theme="4" tint="-0.499984740745262"/>
      </font>
    </dxf>
    <dxf>
      <font>
        <b val="0"/>
        <i val="0"/>
        <color theme="4" tint="-0.499984740745262"/>
      </font>
    </dxf>
    <dxf>
      <font>
        <color rgb="FFA50021"/>
      </font>
      <fill>
        <patternFill>
          <bgColor rgb="FFFFC7CE"/>
        </patternFill>
      </fill>
    </dxf>
    <dxf>
      <font>
        <color rgb="FFFFFF00"/>
      </font>
      <fill>
        <patternFill>
          <bgColor rgb="FFC00000"/>
        </patternFill>
      </fill>
    </dxf>
    <dxf>
      <font>
        <b val="0"/>
        <i val="0"/>
        <color rgb="FFA50021"/>
      </font>
      <fill>
        <patternFill>
          <bgColor theme="0" tint="-4.9989318521683403E-2"/>
        </patternFill>
      </fill>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color rgb="FFFF0000"/>
      </font>
    </dxf>
    <dxf>
      <font>
        <color rgb="FFC65911"/>
      </font>
    </dxf>
    <dxf>
      <font>
        <color rgb="FF006699"/>
      </font>
    </dxf>
    <dxf>
      <font>
        <color rgb="FF9933FF"/>
      </font>
    </dxf>
    <dxf>
      <font>
        <color rgb="FFA50021"/>
      </font>
      <fill>
        <patternFill>
          <bgColor rgb="FFFFC7CE"/>
        </patternFill>
      </fill>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color rgb="FF632523"/>
      </font>
    </dxf>
    <dxf>
      <font>
        <color rgb="FF215967"/>
      </font>
    </dxf>
    <dxf>
      <font>
        <color rgb="FF974706"/>
      </font>
    </dxf>
    <dxf>
      <font>
        <color rgb="FF4F6228"/>
      </font>
    </dxf>
    <dxf>
      <font>
        <color rgb="FF9C5700"/>
      </font>
      <fill>
        <patternFill>
          <bgColor rgb="FFFFEB9C"/>
        </patternFill>
      </fill>
    </dxf>
    <dxf>
      <font>
        <color rgb="FF800000"/>
      </font>
      <fill>
        <patternFill>
          <bgColor theme="5" tint="0.39994506668294322"/>
        </patternFill>
      </fill>
    </dxf>
    <dxf>
      <font>
        <b val="0"/>
        <i val="0"/>
        <color theme="4" tint="-0.499984740745262"/>
      </font>
    </dxf>
    <dxf>
      <font>
        <b/>
        <i val="0"/>
        <color theme="4" tint="-0.499984740745262"/>
      </font>
    </dxf>
    <dxf>
      <font>
        <b val="0"/>
        <i val="0"/>
        <strike val="0"/>
        <color rgb="FFC00000"/>
      </font>
      <fill>
        <patternFill>
          <bgColor theme="8" tint="0.59996337778862885"/>
        </patternFill>
      </fill>
    </dxf>
    <dxf>
      <font>
        <color rgb="FFA50021"/>
      </font>
      <fill>
        <patternFill>
          <bgColor rgb="FFFFC7CE"/>
        </patternFill>
      </fill>
    </dxf>
    <dxf>
      <font>
        <b/>
        <i val="0"/>
        <color rgb="FF008080"/>
      </font>
      <fill>
        <patternFill>
          <bgColor rgb="FFFFCCFF"/>
        </patternFill>
      </fill>
    </dxf>
    <dxf>
      <font>
        <b val="0"/>
        <i val="0"/>
        <color rgb="FFA50021"/>
      </font>
      <fill>
        <patternFill>
          <bgColor theme="0" tint="-4.9989318521683403E-2"/>
        </patternFill>
      </fill>
    </dxf>
    <dxf>
      <font>
        <color rgb="FF632523"/>
      </font>
    </dxf>
    <dxf>
      <font>
        <color rgb="FF215967"/>
      </font>
    </dxf>
    <dxf>
      <font>
        <color rgb="FF974706"/>
      </font>
    </dxf>
    <dxf>
      <font>
        <color rgb="FF4F6228"/>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color rgb="FFA50021"/>
      </font>
      <fill>
        <patternFill>
          <bgColor rgb="FFCCCCFF"/>
        </patternFill>
      </fill>
    </dxf>
    <dxf>
      <font>
        <color rgb="FFA50021"/>
      </font>
      <fill>
        <patternFill>
          <bgColor rgb="FFFFC7CE"/>
        </patternFill>
      </fill>
    </dxf>
    <dxf>
      <font>
        <color rgb="FFC00000"/>
      </font>
    </dxf>
    <dxf>
      <font>
        <b/>
        <i val="0"/>
        <color rgb="FF215967"/>
      </font>
      <fill>
        <patternFill>
          <bgColor rgb="FFFFCCFF"/>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215967"/>
      </font>
      <fill>
        <patternFill>
          <bgColor rgb="FFFFCCFF"/>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auto="1"/>
      </font>
      <fill>
        <patternFill>
          <bgColor rgb="FFF4B084"/>
        </patternFill>
      </fill>
    </dxf>
    <dxf>
      <fill>
        <patternFill patternType="none">
          <fgColor indexed="64"/>
          <bgColor indexed="65"/>
        </patternFill>
      </fill>
    </dxf>
    <dxf>
      <numFmt numFmtId="0" formatCode="General"/>
    </dxf>
    <dxf>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alignment horizontal="left" vertical="top" textRotation="0" wrapText="1" indent="0" justifyLastLine="0" shrinkToFit="0" readingOrder="0"/>
    </dxf>
    <dxf>
      <alignment horizontal="left" vertical="top" textRotation="0" indent="0" justifyLastLine="0" shrinkToFit="0" readingOrder="0"/>
      <border outline="0">
        <left style="thin">
          <color indexed="64"/>
        </left>
      </border>
    </dxf>
    <dxf>
      <font>
        <b/>
        <strike val="0"/>
        <outline val="0"/>
        <shadow val="0"/>
        <u val="none"/>
        <vertAlign val="baseline"/>
        <sz val="12"/>
        <color auto="1"/>
        <name val="Calibri"/>
        <family val="2"/>
        <scheme val="minor"/>
      </font>
      <numFmt numFmtId="165" formatCode="[$-409]ddd\,\ mmm\ dd\,\ yyyy"/>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alignment horizontal="left" vertical="top" textRotation="0" indent="0" justifyLastLine="0" shrinkToFit="0" readingOrder="0"/>
      <border outline="0">
        <right style="thin">
          <color indexed="64"/>
        </right>
      </border>
    </dxf>
    <dxf>
      <alignment horizontal="left" vertical="top" textRotation="0" indent="0" justifyLastLine="0" shrinkToFit="0" readingOrder="0"/>
    </dxf>
    <dxf>
      <alignment horizontal="general" vertical="bottom" textRotation="0" wrapText="1" indent="0" justifyLastLine="0" shrinkToFit="0" readingOrder="0"/>
      <protection locked="0" hidden="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alignment horizontal="left" vertical="top"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strike val="0"/>
        <outline val="0"/>
        <shadow val="0"/>
        <u val="none"/>
        <vertAlign val="baseline"/>
        <sz val="10"/>
        <color auto="1"/>
        <name val="Calibri"/>
        <family val="2"/>
        <scheme val="minor"/>
      </font>
      <alignment horizontal="left" vertical="center"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numFmt numFmtId="0" formatCode="General"/>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numFmt numFmtId="164" formatCode="[$-F800]dddd\,\ mmmm\ dd\,\ yyyy"/>
      <alignment horizontal="center" vertical="center"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strike val="0"/>
        <outline val="0"/>
        <shadow val="0"/>
        <u val="none"/>
        <vertAlign val="baseline"/>
        <sz val="10"/>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4" formatCode="[$-F800]dddd\,\ mmmm\ dd\,\ yyyy"/>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auto="1"/>
        <name val="Calibri"/>
        <family val="2"/>
        <scheme val="minor"/>
      </font>
      <numFmt numFmtId="167" formatCode="m/d/yyyy"/>
      <fill>
        <patternFill patternType="solid">
          <fgColor indexed="64"/>
          <bgColor theme="3" tint="0.59999389629810485"/>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Calibri"/>
        <family val="2"/>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strike val="0"/>
        <outline val="0"/>
        <shadow val="0"/>
        <u val="none"/>
        <vertAlign val="baseline"/>
        <sz val="10"/>
        <color auto="1"/>
        <name val="Calibri"/>
        <family val="2"/>
        <scheme val="minor"/>
      </font>
      <alignment horizontal="general" vertical="center" textRotation="0" wrapText="0" indent="0" justifyLastLine="0" shrinkToFit="0" readingOrder="0"/>
    </dxf>
    <dxf>
      <font>
        <strike val="0"/>
        <outline val="0"/>
        <shadow val="0"/>
        <u val="none"/>
        <vertAlign val="baseline"/>
        <sz val="10"/>
        <color auto="1"/>
        <name val="Calibri"/>
        <family val="2"/>
        <scheme val="minor"/>
      </font>
      <alignment horizontal="left"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164" formatCode="[$-F800]dddd\,\ mmmm\ dd\,\ yyyy"/>
      <alignment horizontal="center" vertical="top" textRotation="0" wrapText="0" indent="0" justifyLastLine="0" shrinkToFit="0" readingOrder="0"/>
    </dxf>
    <dxf>
      <font>
        <strike val="0"/>
        <outline val="0"/>
        <shadow val="0"/>
        <u val="none"/>
        <vertAlign val="baseline"/>
        <sz val="10"/>
        <name val="Calibri"/>
        <family val="2"/>
      </font>
      <alignment horizontal="center"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b/>
        <i val="0"/>
        <strike val="0"/>
        <condense val="0"/>
        <extend val="0"/>
        <outline val="0"/>
        <shadow val="0"/>
        <u val="none"/>
        <vertAlign val="baseline"/>
        <sz val="10"/>
        <color auto="1"/>
        <name val="Calibri"/>
        <family val="2"/>
        <scheme val="minor"/>
      </font>
      <numFmt numFmtId="167" formatCode="m/d/yyyy"/>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theme="1" tint="0.24994659260841701"/>
        </left>
        <right style="thin">
          <color theme="1" tint="0.24994659260841701"/>
        </right>
        <top/>
        <bottom/>
      </border>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wrapText="1" indent="0" justifyLastLine="0" shrinkToFit="0" readingOrder="0"/>
    </dxf>
    <dxf>
      <font>
        <strike val="0"/>
        <outline val="0"/>
        <shadow val="0"/>
        <u val="none"/>
        <vertAlign val="baseline"/>
        <sz val="10"/>
        <name val="Calibri"/>
        <family val="2"/>
      </font>
      <numFmt numFmtId="164" formatCode="[$-F800]dddd\,\ mmmm\ dd\,\ yyyy"/>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center" vertical="top" textRotation="0" wrapText="0" indent="0" justifyLastLine="0" shrinkToFit="0" readingOrder="0"/>
    </dxf>
    <dxf>
      <font>
        <strike val="0"/>
        <outline val="0"/>
        <shadow val="0"/>
        <u val="none"/>
        <vertAlign val="baseline"/>
        <sz val="10"/>
        <color auto="1"/>
        <name val="Calibri"/>
        <family val="2"/>
        <scheme val="none"/>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name val="Calibri"/>
        <family val="2"/>
      </font>
      <numFmt numFmtId="164" formatCode="[$-F800]dddd\,\ mmmm\ dd\,\ yyyy"/>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b/>
        <i val="0"/>
        <strike val="0"/>
        <condense val="0"/>
        <extend val="0"/>
        <outline val="0"/>
        <shadow val="0"/>
        <u val="none"/>
        <vertAlign val="baseline"/>
        <sz val="10"/>
        <color rgb="FF1F497D"/>
        <name val="Calibri"/>
        <family val="2"/>
        <scheme val="none"/>
      </font>
      <fill>
        <patternFill patternType="solid">
          <fgColor indexed="64"/>
          <bgColor theme="4"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numFmt numFmtId="167" formatCode="m/d/yyyy"/>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9"/>
        <color theme="1"/>
        <name val="Calibri"/>
        <family val="2"/>
        <scheme val="minor"/>
      </font>
      <fill>
        <patternFill patternType="none">
          <fgColor indexed="64"/>
          <bgColor auto="1"/>
        </patternFill>
      </fill>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strike val="0"/>
        <outline val="0"/>
        <shadow val="0"/>
        <u val="none"/>
        <vertAlign val="baseline"/>
        <sz val="10"/>
        <color theme="0"/>
        <name val="Verdana"/>
        <family val="2"/>
        <scheme val="none"/>
      </font>
      <fill>
        <patternFill patternType="none">
          <fgColor indexed="64"/>
          <bgColor auto="1"/>
        </patternFill>
      </fill>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auto="1"/>
        <name val="Calibri"/>
        <family val="2"/>
      </font>
      <fill>
        <patternFill patternType="none">
          <fgColor indexed="64"/>
          <bgColor auto="1"/>
        </patternFill>
      </fill>
    </dxf>
    <dxf>
      <font>
        <strike val="0"/>
        <outline val="0"/>
        <shadow val="0"/>
        <u val="none"/>
        <vertAlign val="baseline"/>
        <sz val="10"/>
        <color theme="1"/>
        <name val="Calibri"/>
        <family val="2"/>
        <scheme val="minor"/>
      </font>
      <numFmt numFmtId="3" formatCode="#,##0"/>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right/>
        <top/>
        <bottom style="thick">
          <color rgb="FFA2B8E1"/>
        </bottom>
      </border>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fill>
        <patternFill patternType="none">
          <fgColor indexed="64"/>
          <bgColor auto="1"/>
        </patternFill>
      </fill>
    </dxf>
    <dxf>
      <font>
        <b val="0"/>
        <i val="0"/>
        <strike val="0"/>
        <condense val="0"/>
        <extend val="0"/>
        <outline val="0"/>
        <shadow val="0"/>
        <u val="none"/>
        <vertAlign val="baseline"/>
        <sz val="9"/>
        <color auto="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8" formatCode="d\-mmm\-yy"/>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5" formatCode="[$-409]ddd\,\ mmm\ dd\,\ 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dxf>
    <dxf>
      <font>
        <b/>
        <i val="0"/>
        <strike val="0"/>
        <condense val="0"/>
        <extend val="0"/>
        <outline val="0"/>
        <shadow val="0"/>
        <u val="none"/>
        <vertAlign val="baseline"/>
        <sz val="11"/>
        <color auto="1"/>
        <name val="Calibri"/>
        <family val="2"/>
        <scheme val="none"/>
      </font>
      <numFmt numFmtId="167" formatCode="m/d/yyyy"/>
      <fill>
        <patternFill patternType="solid">
          <fgColor indexed="64"/>
          <bgColor theme="5"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9"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9"/>
        <color rgb="FFFFFFFF"/>
        <name val="Calibri"/>
        <family val="2"/>
        <scheme val="minor"/>
      </font>
      <fill>
        <patternFill patternType="solid">
          <fgColor indexed="64"/>
          <bgColor rgb="FFFF0000"/>
        </patternFill>
      </fill>
      <alignment horizontal="general" vertical="center" textRotation="0" wrapText="1" indent="0" justifyLastLine="0" shrinkToFit="0" readingOrder="0"/>
      <border diagonalUp="0" diagonalDown="0">
        <left style="thin">
          <color auto="1"/>
        </left>
        <right style="thin">
          <color auto="1"/>
        </right>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FF0066"/>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FF0066"/>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thin">
          <color indexed="64"/>
        </right>
        <top style="medium">
          <color indexed="64"/>
        </top>
        <bottom style="medium">
          <color indexed="64"/>
        </bottom>
      </border>
    </dxf>
    <dxf>
      <border outline="0">
        <bottom style="thin">
          <color indexed="64"/>
        </bottom>
      </border>
    </dxf>
    <dxf>
      <font>
        <b val="0"/>
        <i val="0"/>
        <strike val="0"/>
        <condense val="0"/>
        <extend val="0"/>
        <outline val="0"/>
        <shadow val="0"/>
        <u val="none"/>
        <vertAlign val="baseline"/>
        <sz val="10"/>
        <color theme="1"/>
        <name val="Calibri"/>
        <family val="2"/>
        <scheme val="minor"/>
      </font>
      <numFmt numFmtId="13" formatCode="0%"/>
    </dxf>
    <dxf>
      <font>
        <b val="0"/>
        <i val="0"/>
        <strike val="0"/>
        <condense val="0"/>
        <extend val="0"/>
        <outline val="0"/>
        <shadow val="0"/>
        <u val="none"/>
        <vertAlign val="baseline"/>
        <sz val="10"/>
        <color theme="1"/>
        <name val="Calibri"/>
        <family val="2"/>
        <scheme val="minor"/>
      </font>
      <numFmt numFmtId="13" formatCode="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val="0"/>
        <strike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66"/>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font>
        <strike val="0"/>
        <outline val="0"/>
        <shadow val="0"/>
        <u val="none"/>
        <vertAlign val="baseline"/>
        <sz val="10"/>
        <name val="Calibri"/>
        <family val="2"/>
        <scheme val="minor"/>
      </font>
      <fill>
        <patternFill patternType="none">
          <fgColor indexed="64"/>
          <bgColor auto="1"/>
        </patternFill>
      </fill>
    </dxf>
    <dxf>
      <border outline="0">
        <bottom style="thin">
          <color indexed="64"/>
        </bottom>
      </border>
    </dxf>
    <dxf>
      <font>
        <strike val="0"/>
        <outline val="0"/>
        <shadow val="0"/>
        <u val="none"/>
        <vertAlign val="baseline"/>
        <sz val="10"/>
        <name val="Calibri"/>
        <family val="2"/>
        <scheme val="minor"/>
      </font>
    </dxf>
  </dxfs>
  <tableStyles count="0" defaultTableStyle="TableStyleMedium2" defaultPivotStyle="PivotStyleLight16"/>
  <colors>
    <mruColors>
      <color rgb="FF8EA9DB"/>
      <color rgb="FFD9E1F2"/>
      <color rgb="FFC6E0B4"/>
      <color rgb="FFCCFF99"/>
      <color rgb="FFFFCCFF"/>
      <color rgb="FFD1D8E1"/>
      <color rgb="FF8497B0"/>
      <color rgb="FFACB9CA"/>
      <color rgb="FFB4C6E7"/>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1714500</xdr:colOff>
          <xdr:row>0</xdr:row>
          <xdr:rowOff>336550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0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ea typeface="Calibri"/>
                  <a:cs typeface="Calibri"/>
                </a:rPr>
                <a:t>Load Event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0</xdr:row>
          <xdr:rowOff>31750</xdr:rowOff>
        </xdr:from>
        <xdr:to>
          <xdr:col>2</xdr:col>
          <xdr:colOff>1898650</xdr:colOff>
          <xdr:row>0</xdr:row>
          <xdr:rowOff>336550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0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ea typeface="Calibri"/>
                  <a:cs typeface="Calibri"/>
                </a:rPr>
                <a:t>Clear Tables</a:t>
              </a:r>
            </a:p>
          </xdr:txBody>
        </xdr:sp>
        <xdr:clientData fPrintsWithSheet="0"/>
      </xdr:twoCellAnchor>
    </mc:Choice>
    <mc:Fallback/>
  </mc:AlternateContent>
  <xdr:twoCellAnchor editAs="oneCell">
    <xdr:from>
      <xdr:col>0</xdr:col>
      <xdr:colOff>114300</xdr:colOff>
      <xdr:row>0</xdr:row>
      <xdr:rowOff>76200</xdr:rowOff>
    </xdr:from>
    <xdr:to>
      <xdr:col>0</xdr:col>
      <xdr:colOff>800100</xdr:colOff>
      <xdr:row>0</xdr:row>
      <xdr:rowOff>361950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685800" cy="285750"/>
        </a:xfrm>
        <a:prstGeom prst="rect">
          <a:avLst/>
        </a:prstGeom>
      </xdr:spPr>
    </xdr:pic>
    <xdr:clientData/>
  </xdr:twoCellAnchor>
  <xdr:twoCellAnchor editAs="oneCell">
    <xdr:from>
      <xdr:col>4</xdr:col>
      <xdr:colOff>95250</xdr:colOff>
      <xdr:row>0</xdr:row>
      <xdr:rowOff>85725</xdr:rowOff>
    </xdr:from>
    <xdr:to>
      <xdr:col>5</xdr:col>
      <xdr:colOff>167157</xdr:colOff>
      <xdr:row>0</xdr:row>
      <xdr:rowOff>322649</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81800" y="85725"/>
          <a:ext cx="748182" cy="2369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2393950</xdr:colOff>
          <xdr:row>1</xdr:row>
          <xdr:rowOff>31750</xdr:rowOff>
        </xdr:from>
        <xdr:to>
          <xdr:col>1</xdr:col>
          <xdr:colOff>2927350</xdr:colOff>
          <xdr:row>1</xdr:row>
          <xdr:rowOff>165100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AAQ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2393950</xdr:colOff>
          <xdr:row>13</xdr:row>
          <xdr:rowOff>31750</xdr:rowOff>
        </xdr:from>
        <xdr:to>
          <xdr:col>1</xdr:col>
          <xdr:colOff>2927350</xdr:colOff>
          <xdr:row>13</xdr:row>
          <xdr:rowOff>165100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AAQ</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1955800</xdr:colOff>
          <xdr:row>0</xdr:row>
          <xdr:rowOff>25400</xdr:rowOff>
        </xdr:from>
        <xdr:to>
          <xdr:col>1</xdr:col>
          <xdr:colOff>2882900</xdr:colOff>
          <xdr:row>0</xdr:row>
          <xdr:rowOff>190500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500-000001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Snd Intro Msg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1422400</xdr:colOff>
          <xdr:row>0</xdr:row>
          <xdr:rowOff>31750</xdr:rowOff>
        </xdr:from>
        <xdr:to>
          <xdr:col>2</xdr:col>
          <xdr:colOff>3130550</xdr:colOff>
          <xdr:row>0</xdr:row>
          <xdr:rowOff>203200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600-000001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AAQ-All Apps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0</xdr:row>
          <xdr:rowOff>63500</xdr:rowOff>
        </xdr:from>
        <xdr:to>
          <xdr:col>0</xdr:col>
          <xdr:colOff>1098550</xdr:colOff>
          <xdr:row>0</xdr:row>
          <xdr:rowOff>228600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700-0000014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Affinities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31750</xdr:rowOff>
        </xdr:from>
        <xdr:to>
          <xdr:col>0</xdr:col>
          <xdr:colOff>1022350</xdr:colOff>
          <xdr:row>2</xdr:row>
          <xdr:rowOff>6350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A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Test Intro Msg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31750</xdr:rowOff>
        </xdr:from>
        <xdr:to>
          <xdr:col>0</xdr:col>
          <xdr:colOff>1022350</xdr:colOff>
          <xdr:row>2</xdr:row>
          <xdr:rowOff>6350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B00-0000012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Test AAQ Msg</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1</xdr:row>
          <xdr:rowOff>12700</xdr:rowOff>
        </xdr:from>
        <xdr:to>
          <xdr:col>2</xdr:col>
          <xdr:colOff>1555750</xdr:colOff>
          <xdr:row>1</xdr:row>
          <xdr:rowOff>190500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1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101600</xdr:colOff>
      <xdr:row>0</xdr:row>
      <xdr:rowOff>38100</xdr:rowOff>
    </xdr:from>
    <xdr:to>
      <xdr:col>1</xdr:col>
      <xdr:colOff>787400</xdr:colOff>
      <xdr:row>1</xdr:row>
      <xdr:rowOff>133350</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6450" y="38100"/>
          <a:ext cx="685800" cy="285750"/>
        </a:xfrm>
        <a:prstGeom prst="rect">
          <a:avLst/>
        </a:prstGeom>
      </xdr:spPr>
    </xdr:pic>
    <xdr:clientData/>
  </xdr:twoCellAnchor>
  <xdr:twoCellAnchor editAs="oneCell">
    <xdr:from>
      <xdr:col>3</xdr:col>
      <xdr:colOff>6934200</xdr:colOff>
      <xdr:row>0</xdr:row>
      <xdr:rowOff>25400</xdr:rowOff>
    </xdr:from>
    <xdr:to>
      <xdr:col>3</xdr:col>
      <xdr:colOff>7679207</xdr:colOff>
      <xdr:row>1</xdr:row>
      <xdr:rowOff>71824</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00" y="25400"/>
          <a:ext cx="745007" cy="2369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MEATST/Architecture/EH-MEAxxx-MEW-Template-V0.151.xlsm" TargetMode="External"/><Relationship Id="rId1" Type="http://schemas.openxmlformats.org/officeDocument/2006/relationships/externalLinkPath" Target="/sites/AnthemMigrationTeam/Shared%20Documents/General/09.%20ADAI%20Go-Live%20Cutover%20Runbooks/MIGRATION%20EVENTS%20-%20HARRISONBURG%20&amp;%20RICHMOND/MEATST/Architecture/EH-MEAxxx-MEW-Template-V0.1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MWorkbook"/>
      <sheetName val="AppSum"/>
      <sheetName val="App to Servers"/>
      <sheetName val="LBSum"/>
      <sheetName val="BrokenF5s"/>
      <sheetName val="Arch Chklst"/>
      <sheetName val="IP Assigner"/>
      <sheetName val="Dependencies"/>
      <sheetName val="Affinities"/>
      <sheetName val="DR"/>
      <sheetName val="LBSum2"/>
      <sheetName val="LBRaw"/>
      <sheetName val="Server to LB"/>
      <sheetName val="TM"/>
      <sheetName val="DNSLookUp"/>
      <sheetName val="Applications"/>
      <sheetName val="Servers to App"/>
      <sheetName val="StgArray"/>
      <sheetName val="CS-Stacks"/>
      <sheetName val="AppSupStaff"/>
      <sheetName val="Clusters"/>
      <sheetName val="config"/>
      <sheetName val="syncconfig"/>
      <sheetName val="Info"/>
      <sheetName val="AppCodes"/>
      <sheetName val="Segmentation Map"/>
      <sheetName val="Zone Lookup"/>
      <sheetName val="TransitionManager"/>
      <sheetName val="WorkbookLists"/>
      <sheetName val="Target F5 Devices"/>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laksha Talkerappa" refreshedDate="46154.821275000002" createdVersion="7" refreshedVersion="8" minRefreshableVersion="3" recordCount="46" xr:uid="{A0D8C00D-36FA-4F79-A092-ADEA8D706560}">
  <cacheSource type="worksheet">
    <worksheetSource name="tblDependencies"/>
  </cacheSource>
  <cacheFields count="26">
    <cacheField name="AssetDependencyId" numFmtId="0">
      <sharedItems containsSemiMixedTypes="0" containsString="0" containsNumber="1" containsInteger="1" minValue="568402" maxValue="672376"/>
    </cacheField>
    <cacheField name="AssetId" numFmtId="0">
      <sharedItems containsSemiMixedTypes="0" containsString="0" containsNumber="1" containsInteger="1" minValue="316519" maxValue="361626"/>
    </cacheField>
    <cacheField name="AssetName" numFmtId="0">
      <sharedItems containsBlank="1" count="1183">
        <s v="Kafka-Test"/>
        <s v="SOA/API/DATAPOWER - Enterprise Services-Dev"/>
        <s v="SOA/API - Enterprise Services-Dev"/>
        <s v="Provider Care Management Solutions-Test"/>
        <s v="SQL Server System Database-Dev"/>
        <s v="Axway (GBD)-DR"/>
        <s v="SQL Server System Database-Test"/>
        <s v="SOA Atomic Services-Dev"/>
        <s v="eHub - Enterprise Master Person Index (EMPI)-Dev"/>
        <s v="SOA - Enterprise 27X HIPAA Application-Dev"/>
        <s v="Legacy Provider Finder-Test"/>
        <m u="1"/>
        <s v="IBM Security Key Lifecycle Manager(SKLM)-Prod" u="1"/>
        <s v="Business Objects Business Intelligence CII-Prod" u="1"/>
        <s v="APIGEE Microservices-Prod" u="1"/>
        <s v="APIGEE-Enterprise-OnPrem-Prod" u="1"/>
        <s v="SOA/API - Enterprise Services-Prod" u="1"/>
        <s v="SOA Kafka-Prod" u="1"/>
        <s v="Web-Based Coaching Tool-Prod" u="1"/>
        <s v="Tivoli ITM Monitoring-DR" u="1"/>
        <s v="Automation and Analytics-Prod" u="1"/>
        <s v="10Xengineering NLP (On Prem)-Prod" u="1"/>
        <s v="Anthem Oracle Exadata Cloud Database-Prod" u="1"/>
        <s v="AOC Oracle Id Provisioning tool-Prod" u="1"/>
        <s v="835 Governance Framework-Prod" u="1"/>
        <s v="CDA Cloverleaf Integration Engine-Prod" u="1"/>
        <s v="SQL Server System Database-Prod" u="1"/>
        <s v="LITES Consumer Driven Health Plan System-Prod" u="1"/>
        <s v="Tableau-Prod" u="1"/>
        <s v="SOA-API - Enterprise Services-Prod" u="1"/>
        <s v="SOA/API - Enterprise Services-DR" u="1"/>
        <s v="SOA/API/DATAPOWER - Enterprise Services-DR" u="1"/>
        <s v="Microsoft System Center Configuration Manager-Prod" u="1"/>
        <s v="SOA/API - Enterprise Service Bus - GBD-DR" u="1"/>
        <s v="Strategic Provider Cache (SPC)-Dev" u="1"/>
        <s v="Strategic Provider Cache (SPC)-Prod" u="1"/>
        <s v="Strategic Provider Cache (SPC)-Test" u="1"/>
        <s v="Sybase System Database-Test" u="1"/>
        <s v="SailPoint IIQCE-Test" u="1"/>
        <s v="Member Web Payment-Test" u="1"/>
        <s v="MongoDB System Database-Dev" u="1"/>
        <s v="Enterprise CognitiveAI-Dev" u="1"/>
        <s v="DDS DENTAL SYSTEMS-Dev" u="1"/>
        <s v="Citrix XenApp (CSBD)-Dev" u="1"/>
        <s v="Program Integrity Data Insights-Dev" u="1"/>
        <s v="OnePoint Siebel CRM-Test" u="1"/>
        <s v="EDM V3.0 - Analytic Shared Data Services-Test" u="1"/>
        <s v="Member Web Payment-Dev" u="1"/>
        <s v="OpenText Exstream-Dev" u="1"/>
        <s v="xPression-Dev" u="1"/>
        <s v="Venafi-Dev" u="1"/>
        <s v="Patient Quick View(CM)-DR" u="1"/>
        <s v="Specialty Enrollment System - AWS-Test" u="1"/>
        <s v="NextGen Pega Grievance &amp; Appeals (GBD/FEP/Commercial)-Test" u="1"/>
        <s v="Provider Chat-UAT" u="1"/>
        <s v="Anthem Single Provider Experience Network-Test" u="1"/>
        <s v="EDM V3.0 - Analytic Shared Data Services-Dev" u="1"/>
        <s v="CareMore - Single Sign On (SSO) (CM)-DR" u="1"/>
        <s v="Single Sign On (CM)-DR" u="1"/>
        <s v="Healthy Returns System-Prod" u="1"/>
        <s v="HRS AccessHMC-Prod" u="1"/>
        <s v="Ping Identity-DR" u="1"/>
        <s v="Provider Portal (CM)-DR" u="1"/>
        <s v="Epic (PC)-DR" u="1"/>
        <s v="EPIC(CM)-DR" u="1"/>
        <s v="Epic (PC)-Prod" u="1"/>
        <s v="EPIC(CM)-Prod" u="1"/>
        <s v="Lyric -  ClaimsXten v6.0 (CSBD)-DR" u="1"/>
        <s v="EPIC Health Enterprise-DR" u="1"/>
        <s v="Serv-U Gateway Serv-U MFT server (SolarWinds)(SHP)-DR" u="1"/>
        <s v="Globalscape (CM)-Prod" u="1"/>
        <s v="SOA/API - Enterprise Services-Test" u="1"/>
        <s v="SOA Kafka-Test" u="1"/>
        <s v="Provider Chat-SIT" u="1"/>
        <s v="Anthem Single Provider Experience Network-Dev" u="1"/>
        <s v="SYMPHONY-Test" u="1"/>
        <s v="Strategic Provider System (SPS)-Test" u="1"/>
        <s v="Risk Reimbursement PEGA-Test" u="1"/>
        <s v="FORD Eligibility Reconciliation Utility-Dev" u="1"/>
        <s v="SPIRE-Ford-MEU-Dev" u="1"/>
        <s v="WMDS/MaxMC Client Server/Database-Prod" u="1"/>
        <s v="Legacy Utilization Management Inquiry Services-Prod" u="1"/>
        <s v="Utilization Management Inquiry Services-Prod" u="1"/>
        <s v="ACMP Batch-Prod" u="1"/>
        <s v="Anthem Care Management Platform-Prod" u="1"/>
        <s v="CA Application Performance Management (APM)-Prod" u="1"/>
        <s v="OpenText Exstream-Prod" u="1"/>
        <s v="ClaimsRepository (IRx)-Prod" u="1"/>
        <s v="Utilization Management Decision Engine-Prod" u="1"/>
        <s v="Performance Guarantee Management System (IRx)-Prod" u="1"/>
        <s v="Care Management Gateway DB-Prod" u="1"/>
        <s v="WellPoint Decision Support System-Prod" u="1"/>
        <s v="Preauthorization Look Up Tool Online (Internal UI and database)-Prod" u="1"/>
        <s v="UMDE Web-Prod" u="1"/>
        <s v="Interactive Care Reviewer-Prod" u="1"/>
        <s v="Adobe Campaign-Prod" u="1"/>
        <s v="AVATAR-DR" u="1"/>
        <s v="Preauthorization Look Up Tool Online (Web UI and web services)-Prod" u="1"/>
        <s v="Authorization Standard Rules Optimizer (ASTRO)-Prod" u="1"/>
        <s v="Enterprise Auth API-Prod" u="1"/>
        <s v="ACMP UMOPS-Prod" u="1"/>
        <s v="ACMP COMMON JAR-Prod" u="1"/>
        <s v="Axway (GBD)-Prod" u="1"/>
        <s v="CCTR Web Services (GBD)-Prod" u="1"/>
        <s v="Claim Status Claim Appeals and Claim Disputes (GBD)-Prod" u="1"/>
        <s v="GBD Service Oriented Architecture Center of Excellence-Prod" u="1"/>
        <s v="Member 360 and Patient 360-Prod" u="1"/>
        <s v="CareEvolution BEACON-Prod" u="1"/>
        <s v="Galileo-Prod" u="1"/>
        <s v="Hiebus-Prod" u="1"/>
        <s v="Member 360 and Patient 360-Test" u="1"/>
        <s v="FileNet Image Services - Central Repository-Prod" u="1"/>
        <s v="Content Import: FileNet COLD-Prod" u="1"/>
        <s v="BPM Framework-Prod" u="1"/>
        <s v="Filenet Image Services-Prod" u="1"/>
        <s v="FileNet Enterprise Content Management-Prod" u="1"/>
        <s v="Content Import: High Performance Image Import-Prod" u="1"/>
        <s v="Content Services: FileNet FEP Web Service (DOCWS)-Prod" u="1"/>
        <s v="Reconciliation and Balancing-Prod" u="1"/>
        <s v="FileNet Batch: WellPoint Enrollment Application Processor-Prod" u="1"/>
        <s v="FileNet Post Index-Prod" u="1"/>
        <s v="Datacap-Prod" u="1"/>
        <s v="FileNet Image Services - West Repository-Prod" u="1"/>
        <s v="FileNet Image Services - FNDocs Repository-Prod" u="1"/>
        <s v="820 Splitter - Exchange-Prod" u="1"/>
        <s v="ITS Intraplan - Finance-Prod" u="1"/>
        <s v="MLR Rebates-Prod" u="1"/>
        <s v="PeopleSoft - CPM-Prod" u="1"/>
        <s v="Peoplesoft Financials-Prod" u="1"/>
        <s v="PeopleSoft - AM-Prod" u="1"/>
        <s v="PeopleSoft - AP-Prod" u="1"/>
        <s v="PeopleSoft - GL-Prod" u="1"/>
        <s v="Quest STAT-Prod" u="1"/>
        <s v="PeopleSoft - PO-Prod" u="1"/>
        <s v="Healthcore Standard Operating Procedures &amp; Policies (HC)-Dev" u="1"/>
        <s v="TRAQ Value Tracker-Dev" u="1"/>
        <s v="HealthCore Automated Data Development Plan Tool (HC)-Dev" u="1"/>
        <s v="HealthCore Automated Data Extraction and Profiling Tool (HC)-Dev" u="1"/>
        <s v="RapidCAPTURE-Dev" u="1"/>
        <s v="Strategic Provider System (SPS)-Dev" u="1"/>
        <s v="ACMS UM Intake-Dev" u="1"/>
        <s v="ServiceNow Agent Client Collector MID Servers" u="1"/>
        <s v="AVATAR-Test" u="1"/>
        <s v="ACMS UM Intake-Test" u="1"/>
        <s v="eHub - Enterprise Information Hub-Test" u="1"/>
        <s v="ServiceNow Event Management MID Servers-Test" u="1"/>
        <s v="Venafi-Test" u="1"/>
        <s v="Siebel OBIEE-Dev" u="1"/>
        <s v="IIS WebApplications Farm-Dev" u="1"/>
        <s v="The BOSS Portal (GBD)-Dev" u="1"/>
        <s v="Unprocessed Rebill Report (GBD)-Dev" u="1"/>
        <s v="Siebel OBIEE-Test" u="1"/>
        <s v="Anthem Reimagine On-Premise DR-Test" u="1"/>
        <s v="System Center Configuration Manager (CM)-Test" u="1"/>
        <s v="SQL Sentry Power Suite-Test" u="1"/>
        <s v="Transition Adapter-Test" u="1"/>
        <s v="WGS Billing-Dev" u="1"/>
        <s v="Tidal (GBD)-Test" u="1"/>
        <s v="Prism Provider (GBD)-Test" u="1"/>
        <s v="Tidal -GBD-QA" u="1"/>
        <s v="Enterprise Data Hub (CM)-Prod" u="1"/>
        <s v="CareMore - Enterprise Data Hub (EDH)(CM)-Prod" u="1"/>
        <s v="EDW(CM)-Prod" u="1"/>
        <s v="ICEDQ (CM)-Prod" u="1"/>
        <s v="INFORMATICA IICS (CM)-Prod" u="1"/>
        <s v="Care Utilization Platform-CUP(CM)-Prod" u="1"/>
        <s v="SQL Server System Database (CareMore) (CM)-Prod" u="1"/>
        <s v="CUE Correspondence Generation(CM)-Prod" u="1"/>
        <s v="CareMore Enterprise Content Management - FileNet(CM)-Prod" u="1"/>
        <s v="Patient Quick View(CM)-Prod" u="1"/>
        <s v="Provider Tracking(CM)-Prod" u="1"/>
        <s v="Capitation Deduction(CM)-Prod" u="1"/>
        <s v="CareMore Operational Data Store (CODS)(CM)-Prod" u="1"/>
        <s v="CMHCC(CM)-Prod" u="1"/>
        <s v="Encounter Data Processing System(CM)-Prod" u="1"/>
        <s v="Member Search(CM)-Prod" u="1"/>
        <s v="RAPS(CM)-Prod" u="1"/>
        <s v="Specialist Capitation(CM)-Prod" u="1"/>
        <s v="FACETS(CM)-Prod" u="1"/>
        <s v="CareMore Data Utility Platform (CM)-Prod" u="1"/>
        <s v="Navigator Outreach(CM)-Prod" u="1"/>
        <s v="MDX(CM)-Prod" u="1"/>
        <s v="EdiFecs(CM)-Prod" u="1"/>
        <s v="WSO2(CM)-Prod" u="1"/>
        <s v="NEXTGEN WEST(CM)-Prod" u="1"/>
        <s v="Reporting Data Platform - RDP(CM)-Prod" u="1"/>
        <s v="Clinical Analytics &amp; Reporting-CARS(CM)-Prod" u="1"/>
        <s v="NEXTGEN AGP(CM)-Prod" u="1"/>
        <s v="NEXTGEN EAST(CM)-Prod" u="1"/>
        <s v="CareMore.com(CM)-Prod" u="1"/>
        <s v="CMGI.com(CM)-Prod" u="1"/>
        <s v="Encore(CM)-Prod" u="1"/>
        <s v="GlobalScape(CM)-Prod" u="1"/>
        <s v="Tricerat Simplify Printing(CM)-Prod" u="1"/>
        <s v="FileTracker(CM)-Prod" u="1"/>
        <s v="FileRouterUI(CM)-Prod" u="1"/>
        <s v="ClaimsDashboard(CM)-Prod" u="1"/>
        <s v="Senior Variable Database (SVDB)(CM)-Prod" u="1"/>
        <s v="Provider Outreach Directory Solution (CM)-Prod" u="1"/>
        <s v="PaymentSolution(CM)-Prod" u="1"/>
        <s v="SBI(CM)-Prod" u="1"/>
        <s v="Aspire ODS (Operational Data Store)-Prod" u="1"/>
        <s v="Optum(CM)-Prod" u="1"/>
        <s v="Facets BusinessConfig(CM)-Prod" u="1"/>
        <s v="Patient App-CareMore Anytime(CM)-Prod" u="1"/>
        <s v="Provider Portal(CM)-Prod" u="1"/>
        <s v="Facets Security Management Tool-SMT(CM)-Prod" u="1"/>
        <s v="Citrix XenApp (CM)-Prod" u="1"/>
        <s v="caremore-providerportal-ui-Prod" u="1"/>
        <s v="caremore-portal-patient-Prod" u="1"/>
        <s v="GlobalScape(CM)-UAT" u="1"/>
        <s v="Facets Configuration Migration Utility-Prod" u="1"/>
        <s v="CA TDM (CM)-Prod" u="1"/>
        <s v="TriZetto HIPPA Gateway(CM)-Prod" u="1"/>
        <s v="Patient Experience DB(CM)-Prod" u="1"/>
        <s v="Tidal(CM)-Prod" u="1"/>
        <s v="HealthLink Anita - Claims Processing-Prod" u="1"/>
        <s v="HealthLink Anita - Customer Service-Prod" u="1"/>
        <s v="HealthLink Anita - Eligibility-Prod" u="1"/>
        <s v="Healthlink Anita - PRC (Program Revision Control)-Prod" u="1"/>
        <s v="HealthLink Anita - Provider Database-Prod" u="1"/>
        <s v="HealthLink Anita-Prod" u="1"/>
        <s v="HealthLink IIS - Intranet Site-Prod" u="1"/>
        <s v="HealthLink Anita - Pinnacle Work Flow-Prod" u="1"/>
        <s v="HealthLink Data Warehouse (DW)-Prod" u="1"/>
        <s v="HealthLink EC Gateway-Prod" u="1"/>
        <s v="HealthLink IIS - www.allianceepo.com-Prod" u="1"/>
        <s v="HealthLink IIS - www.allianceepo.com-Test" u="1"/>
        <s v="HealthLink IIS-Prod" u="1"/>
        <s v="SQL Server System Database (HealthLink)-Prod" u="1"/>
        <s v="HealthLink Portals - ProviderInfoSource-Dev" u="1"/>
        <s v="HealthLink Portals - ProviderInfoSource-Prod" u="1"/>
        <s v="HealthLink Portals - ProviderInfoSource-Test" u="1"/>
        <s v="HealthLink Anita - Pinnacle Work Flow-Test" u="1"/>
        <s v="HealthLink IIS - www.anthemwc.com-Prod" u="1"/>
        <s v="HealthLink IIS - www.healthlink.com-Prod" u="1"/>
        <s v="HealthLink IIS - www.healthlinkeap.com-Prod" u="1"/>
        <s v="CCP-Genesys-Administration-Dev" u="1"/>
        <s v="CCP-Genesys-Administration-Prod" u="1"/>
        <s v="CCP-Genesys-Administration-Test" u="1"/>
        <s v="Enterprise EDI Clearinghouse-Dev" u="1"/>
        <s v="Avaya Communication Manager (GBD)-Dev" u="1"/>
        <s v="Pharmacy Home System (IRx)-Dev" u="1"/>
        <s v="MEA112 No Application Information" u="1"/>
        <s v="Pharmacy Home System (IRx)-Prod" u="1"/>
        <s v="Pharmacy Home System (IRx)-Test" u="1"/>
        <s v="Healthy Innovations Platform Landing Zone-Dev" u="1"/>
        <s v="10Xengineering NLP (On Prem)-Dev" u="1"/>
        <s v="Alarm Services - Employer-Dev" u="1"/>
        <s v="PCA DevOps-Dev" u="1"/>
        <s v="Architecture eXplorer-Prod" u="1"/>
        <s v="Blue View Vision Loader-Dev" u="1"/>
        <s v="OPTUM Price Normalizer-Dev" u="1"/>
        <s v="Initial Payment Portal-Test" u="1"/>
        <s v="Carelon-HRS 2.0-Test" u="1"/>
        <s v="Healthy Returns System-Test" u="1"/>
        <s v="NurseLine Application-Test" u="1"/>
        <s v="Comix-Prod" u="1"/>
        <s v="Enterprise Health Products-Test" u="1"/>
        <s v="SPIDER-Perf2" u="1"/>
        <s v="RxTicket -IRx-Test" u="1"/>
        <s v="IAM Webservices-Prod" u="1"/>
        <s v="GBD Pharmacy Prior Authorization Review Tool -PAR  -IRx-Test" u="1"/>
        <s v="DDS External Portals - Provider Portal Multibrand-Dev" u="1"/>
        <s v="WellPoint Services Layer-Test" u="1"/>
        <s v="SSB Data Warehouse-Dev" u="1"/>
        <s v="Informatica WCC-Dev" u="1"/>
        <s v="Contract Management Application-Prod" u="1"/>
        <s v="Cisco Application Centric Infrastructure-Prod" u="1"/>
        <s v="CA Grid-Tools-Test" u="1"/>
        <s v="Client Reporting Solution Strategy-Test" u="1"/>
        <s v="ERISA 5500 Reporting-Dev" u="1"/>
        <s v="Specialty Batch Process-Prod" u="1"/>
        <s v="Enterprise Reimbursement Library-Prod" u="1"/>
        <s v="EDWard - Master Consumer ID-Dev" u="1"/>
        <s v="searchMemberESI - EIS -IRx-Dev" u="1"/>
        <s v="CVS Service Delivery-IngenioRx -IRx-Dev" u="1"/>
        <s v="Facets Integrated NetworX - Central Facets-Perf" u="1"/>
        <s v="Document Posting Site-Dev" u="1"/>
        <s v="Peoplesoft Financials-Test" u="1"/>
        <s v="WellPoint Services Layer-Dev" u="1"/>
        <s v="Claims Acquisition - GBD-Test" u="1"/>
        <s v="BMS Rate Data Services - RDS-Test" u="1"/>
        <s v="NPI Enterprise Business Services-Prod" u="1"/>
        <s v="Enterprise Health Product Services-Test" u="1"/>
        <s v="HealthLink DW -DRug Claims Data Mart-Test" u="1"/>
        <s v="INF-Citrix XenApp -CM-DR" u="1"/>
        <s v="Internet Provider Finder-Prod" u="1"/>
        <s v="BMS Rate Data Services -RDS-Perf" u="1"/>
        <s v="OBIS-Test" u="1"/>
        <s v="Specialty Acumen WebSite-Prod" u="1"/>
        <s v="COSMO-Test" u="1"/>
        <s v="LD ONLINE UW-Prod" u="1"/>
        <s v="WellPoint Product Database Individual-Small Group-Prod" u="1"/>
        <s v="ePact-Test" u="1"/>
        <s v="Enterprise Reporting Segmentation Utility - ERSU-Test" u="1"/>
        <s v="WMDS-MaxMC Client Server-Database-Prod" u="1"/>
        <s v="DELTA-Prod" u="1"/>
        <s v="Comix-Test" u="1"/>
        <s v="SouthEast Drug Rebate-Dev" u="1"/>
        <s v="WCS - WWC EPS Batch2-Prod" u="1"/>
        <s v="360 Product Selection Tool-Prod" u="1"/>
        <s v="Middletier Individual Enrollment System -IES-Test" u="1"/>
        <s v="Provider Data Format - PDF -Prod" u="1"/>
        <s v="CRE-RHI DataExchanges-Test" u="1"/>
        <s v="IOS Product Integration-Prod" u="1"/>
        <s v="Oracle Revenue Management Billing-Test" u="1"/>
        <s v="EPDS SSB-Test" u="1"/>
        <s v="RHI Claims Explorer-Prod" u="1"/>
        <s v="Informatica DQ Services-Test" u="1"/>
        <s v="INFORMATICA POWERCENTER-Prod" u="1"/>
        <s v="Division of Financial Responsibilities -DOFR-Dev" u="1"/>
        <s v="NPI Multiple NPI Lookup Service-Prod" u="1"/>
        <s v="Sapience-Prod" u="1"/>
        <s v="WSL-MemberInquiry-Prod" u="1"/>
        <s v="Benefit Builder -IRx-Dev" u="1"/>
        <s v="SPIDER - Group Configurator - LITE-Prod" u="1"/>
        <s v="Medicare Part C Mandate Reporting-Test" u="1"/>
        <s v="Employer Access - GA-Test" u="1"/>
        <s v="Central Facets-Prod" u="1"/>
        <s v="Case Administration Tracking-Prod" u="1"/>
        <s v="IBM Initiate Inspector-Prod" u="1"/>
        <s v="NE Care Management Data Archive-Prod" u="1"/>
        <s v="IOS-Siebel-CRM-Prod" u="1"/>
        <s v="BSP - Benefit Selection Platform-Dev" u="1"/>
        <s v="Internet Provider Finder-Test" u="1"/>
        <s v="Consumer Driven Health Middle Tier - Integrated Accumulations -IRx-Test" u="1"/>
        <s v="DDS Oracle Financials-Dev7" u="1"/>
        <s v="Benefit Builder ACES Import -IRx-Test" u="1"/>
        <s v="Payment Hub-Prod" u="1"/>
        <s v="Enterprise Content Management-Test" u="1"/>
        <s v="INF-ActiveDirectory - AD.Wellpoint.com-Prod" u="1"/>
        <s v="Enterprise Provider Pricing System-Dev" u="1"/>
        <s v="Facets Client Server App - Central Facets-Prod" u="1"/>
        <s v="CLAIMS_INVENTORY (GBD)-Dev" u="1"/>
        <s v="Provider Operational Data Store-Perf" u="1"/>
        <s v="DDS Dental System (DDS) - Group Sales Management-Dev" u="1"/>
        <s v="Product Admin Tool-Perf" u="1"/>
        <s v="CLAIMS_INVENTORY - GBD-Test" u="1"/>
        <s v="Pharmacy Clinical Operations (IRx)-Dev" u="1"/>
        <s v="SPIDER-Prod" u="1"/>
        <s v="NASCO Medical Management Programs Repository-Prod" u="1"/>
        <s v="HRA Vendor Feeds-Prod" u="1"/>
        <s v="INF-Microsoft System Center Configuration Manager-Prod" u="1"/>
        <s v="Enterprise Alpha Prefix Router for IAS-Prod" u="1"/>
        <s v="Specialty Product Integrated Relationship Engine-Test" u="1"/>
        <s v="Producer Tool Box 2.0-Perf" u="1"/>
        <s v="LGCRS - Data Mart-Dev" u="1"/>
        <s v="Automation and Analytics-Dev" u="1"/>
        <s v="CVS Service Delivery-IngenioRx -IRx-Test" u="1"/>
        <s v="Integrated Rate Management System-Prod" u="1"/>
        <s v="Content Management Pharmacy-Test" u="1"/>
        <s v="820 Splitter - Exchange-Dev" u="1"/>
        <s v="PPMS - Product package management system-Test" u="1"/>
        <s v="Quest STAT-Dev" u="1"/>
        <s v="PeopleSoft - AM-Test" u="1"/>
        <s v="Rx PA SQL Database (IRx)-Prod" u="1"/>
        <s v="IOS Shop &amp; Quote-Prod" u="1"/>
        <s v="Advanced Life and Income Claim System-Prod" u="1"/>
        <s v="PALLM Individual L&amp;D-Test" u="1"/>
        <s v="Anthem PeopleSoft GL Translator-Prod" u="1"/>
        <s v="DEVELOP MODULAR PRODUCT CAPABILITIES FROM PRESALE THROUGH ACCOUNT INSTALLATION-Prod" u="1"/>
        <s v="CRE-RHI DataExchanges-Prod" u="1"/>
        <s v="Provider Finder Services Layer-Dev" u="1"/>
        <s v="SPIDER - Users Management Module-Test" u="1"/>
        <s v="DDS Internal Websites and App Links - DPS Customs Apps Proxy-Dev" u="1"/>
        <s v="Point of Care-Prod" u="1"/>
        <s v="System for Continuous Operational Results Excellence-Perf" u="1"/>
        <s v="835 Governance Framework-Test" u="1"/>
        <s v="DDS External Online Store and Billing Renewal Tools - Billing and Renewal Tools-Dev" u="1"/>
        <s v="Datanet 3-Dev" u="1"/>
        <s v="Rational - BuildForge-Test" u="1"/>
        <s v="Facilitated Enrollment Electronic Application (GBD)-Test" u="1"/>
        <s v="searchMemberESI - EIS -IRx-Test" u="1"/>
        <s v="Compass -GBD-Test" u="1"/>
        <s v="CPL Repository-Prod" u="1"/>
        <s v="National Dental Grid-Dev7" u="1"/>
        <s v="Request_DX-Test" u="1"/>
        <s v="PeopleSoft - AP-Test" u="1"/>
        <s v="Provider Finder-Prod" u="1"/>
        <s v="Informatica Staging-Prod" u="1"/>
        <s v="Enterprise Data Store-Test" u="1"/>
        <s v="WCS Electronic Pricing System-Test" u="1"/>
        <s v="Corporate Individual Rights System -CIRS-Prod" u="1"/>
        <s v="WGS Claims-Dev" u="1"/>
        <s v="DDS Dental System (DDS) - Adjudication-Dev7" u="1"/>
        <s v="Letter Generator System-Perf" u="1"/>
        <s v="Provider Onboarding-Prod" u="1"/>
        <s v="DDS External Online Store and Billing Renewal Tools - Online Store DII-Dev" u="1"/>
        <s v="Diamond950 Claims Archive-Test" u="1"/>
        <s v="Financial Drug Claim System -IRx-Dev" u="1"/>
        <s v="Payment Hub-Dev" u="1"/>
        <s v="SSB Data Warehouse-Test" u="1"/>
        <s v="PeopleSoft - AR-Test" u="1"/>
        <s v="SPIDER Batch Interface Program-Prod" u="1"/>
        <s v="Desktop Automated Reimage System-Prod" u="1"/>
        <s v="SailPoint IIQ PE-Test" u="1"/>
        <s v="NE HRA Vendor Feeds-Dev" u="1"/>
        <s v="Appdev Intake Automation-Prod" u="1"/>
        <s v="Facets Price N Ship-Prod" u="1"/>
        <s v="BMS WellQuote-Perf" u="1"/>
        <s v="L &amp; D Operational Data Store-Dev" u="1"/>
        <s v="PeopleSafe -IRx-Test" u="1"/>
        <s v="Clinical Interventions Opt-Out Maintenance -IRx-Test" u="1"/>
        <s v="WGS Capitation-Test" u="1"/>
        <s v="Small Group Quoting-Prod" u="1"/>
        <s v="Senior Risk Adjustment-Test" u="1"/>
        <s v="MicroFocus ZFE-Prod" u="1"/>
        <s v="Data Transfer -MHA-Prod" u="1"/>
        <s v="NPI Batch Engine-Prod" u="1"/>
        <s v="Mobile INTACT-Prod" u="1"/>
        <s v="Provider Operational Data Store-Prod" u="1"/>
        <s v="PPMS - Product package management system-Prod" u="1"/>
        <s v="Cognitive Platform -On Prem-Prod" u="1"/>
        <s v="Program Integrity Workflow -GBD-Dev" u="1"/>
        <s v="Data Loading (PSG)-Test" u="1"/>
        <s v="Groupers-Prod" u="1"/>
        <s v="Content Management Pharmacy-Dev" u="1"/>
        <s v="InterAct-Test" u="1"/>
        <s v="Enterprise Reporting Segmentation Utility -ERSU-Test" u="1"/>
        <s v="COE Facilities-Test" u="1"/>
        <s v="HMC BI IM Reporting-Prod" u="1"/>
        <s v="Non-Associate Identity Management-Test" u="1"/>
        <s v="PeopleSoft - CPM-Dev" u="1"/>
        <s v="Healthy Innovations On Prem-Prod" u="1"/>
        <s v="Common File Format Inbound-Prod" u="1"/>
        <s v="Clinical Hub - Provider &amp; Clinical Data Analytics -Legacy LPR-Prod" u="1"/>
        <s v="theSource -IRx-Test" u="1"/>
        <s v="Rating/Underwriting Gateway (RTUW-GW)-Test" u="1"/>
        <s v="CDPS GA SHBP-Test" u="1"/>
        <s v="Rational - BuildForge-Prod" u="1"/>
        <s v="DocGen-Test" u="1"/>
        <s v="DDS Oracle Financials-Dev" u="1"/>
        <s v="EPIC Health Enterprise-Prod" u="1"/>
        <s v="ServiceNow Lookup Portal-Prod" u="1"/>
        <s v="Enterprise Data Store-Prod" u="1"/>
        <s v="CareNex Archival-Test" u="1"/>
        <s v="STARS BI-Test" u="1"/>
        <s v="Product Admin Tool-Prod" u="1"/>
        <s v="HUMAN ORGAN TRANSPLANT-Test" u="1"/>
        <s v="Benefit Builder -IRx-Test" u="1"/>
        <s v="CSSD - Service Development Center-Dev" u="1"/>
        <s v="RHI Clinical Tools-Prod" u="1"/>
        <s v="COSMO-Perf" u="1"/>
        <s v="ITS Intraplan - Finance-Dev" u="1"/>
        <s v="820 Splitter - Exchange-Test" u="1"/>
        <s v="Comix-Perf" u="1"/>
        <s v="Payment Innovations-Test" u="1"/>
        <s v="Enterprise EOB HUB-Prod" u="1"/>
        <s v="FACETS_CITRIXservers-Prod" u="1"/>
        <s v="Enterprise Common Services-Test" u="1"/>
        <s v="ProWatch-Prod" u="1"/>
        <s v="SBP_AlicsToMainframe-Prod" u="1"/>
        <s v="Benefit Builder - General -IRx-Dev" u="1"/>
        <s v="Informatica PRV-Dev" u="1"/>
        <s v="RHI Rules Engine-Prod" u="1"/>
        <s v="GP00-Provider GUI-Test" u="1"/>
        <s v="Healthwise Coach-Prod" u="1"/>
        <s v="DDS Dental System (DDS) - Finance-Dev" u="1"/>
        <s v="Product Development Tool-Prod" u="1"/>
        <s v="Financial Claims System-Prod" u="1"/>
        <s v="Financial Income System-Prod" u="1"/>
        <s v="Visual CACTUS-Prod" u="1"/>
        <s v="NextGen Pega Grievance &amp; Appeals -GBD-FEP-Commercial-Prod" u="1"/>
        <s v="MProducer-UAT" u="1"/>
        <s v="ITS Intraplan - Finance-Test" u="1"/>
        <s v="Large Group Rating System-Prod" u="1"/>
        <s v="eWPD-WPD Data Warehouse-Prod" u="1"/>
        <s v="Provider Finder Services Layer-Test" u="1"/>
        <s v="Discrepancy (X) Insights and remediation for Provider Data Space-Prod" u="1"/>
        <s v="Employer Reimagine-Test" u="1"/>
        <s v="Financial Integrated Rating System Tool-Prod" u="1"/>
        <s v="INF-ControlM-Prod" u="1"/>
        <s v="Interactive Care Reviewer-Test" u="1"/>
        <s v="Infogix Assure-Test" u="1"/>
        <s v="SOA-API - Enterprise Services-Test" u="1"/>
        <s v="NurseLine Application-Dev" u="1"/>
        <s v="INF-Citrix XenApp -GBD-Prod" u="1"/>
        <s v="Vendor Invoicing Exchange-Dev" u="1"/>
        <s v="Sanctioned Provider System-Prod" u="1"/>
        <s v="SOA Atomic Services-Test" u="1"/>
        <s v="RightFax Database-Prod" u="1"/>
        <s v="Pega - Claim Repair-Dev" u="1"/>
        <s v="Individual Online Store Exchange-IOS-UAT" u="1"/>
        <s v="PeopleSoft - Billing-Prod" u="1"/>
        <s v="LITES Consumer Driven Health Plan System-Perf" u="1"/>
        <s v="Online Group Billing-Test" u="1"/>
        <s v="Publishing-Prod" u="1"/>
        <s v="GBD Pega Claims Repair-Dev" u="1"/>
        <s v="CompassI-Prod" u="1"/>
        <s v="theSource -IRx-Dev" u="1"/>
        <s v="Transition and Renewal Letters-Dev" u="1"/>
        <s v="TriMed PowerBuilder Online-Prod" u="1"/>
        <s v="Infogix-Test" u="1"/>
        <s v="Anthem Blue Squared-Dev" u="1"/>
        <s v="Enterprise Disbursements-Prod" u="1"/>
        <s v="Document Posting Site-Test" u="1"/>
        <s v="HMC BIM Operations Portal -Ops Portal-Dev" u="1"/>
        <s v="xPression Admin-Prod" u="1"/>
        <s v="DDS Dental System (DDS) - Billing-Dev" u="1"/>
        <s v="Rule Maintenance Application-Prod" u="1"/>
        <s v="Enterprise Provider Pricing System-Test" u="1"/>
        <s v="Client Online Services -IRx-Test" u="1"/>
        <s v="Pharm Tool (IRx)-Dev" u="1"/>
        <s v="ClaimsRepository -IRx-Test" u="1"/>
        <s v="Benefit Plan Interface -BPI-Prod" u="1"/>
        <s v="HMC Extracts-Test" u="1"/>
        <s v="PharmacyInquiryESI (IRx)-Test" u="1"/>
        <s v="INF-CA Application Performance Management -APM-Dev7" u="1"/>
        <s v="DDS Dental System (DDS) - Payments-Dev" u="1"/>
        <s v="RHI Replatform Intake DX-Dev" u="1"/>
        <s v="EPDS v2.0-Prod" u="1"/>
        <s v="Specialty OnLine Experience-Dearborn-Prod" u="1"/>
        <s v="Manual Underwriting System for Individual-Test" u="1"/>
        <s v="xPression Web Services-Prod" u="1"/>
        <s v="Hiebus-Test" u="1"/>
        <s v="Enterprise EDI Portal-Test" u="1"/>
        <s v="ALICS Online-Prod" u="1"/>
        <s v="SPIDER - Benefit Query Application-Prod" u="1"/>
        <s v="Contract Information Comparison And Disparity Analysis-Prod" u="1"/>
        <s v="CarePlanner Archival-Prod" u="1"/>
        <s v="IAM Security Webservice-Prod" u="1"/>
        <s v="JASK-Prod" u="1"/>
        <s v="Meridian Connect-Test" u="1"/>
        <s v="DDS External Online Store and Billing Renewal Tools-Dev7" u="1"/>
        <s v="HMC BIM Operations Portal -Ops Portal-Prod" u="1"/>
        <s v="Kafka-Prod" u="1"/>
        <s v="CareAdvance Enterprise -GBD-Test" u="1"/>
        <s v="Informatica WCC-Test" u="1"/>
        <s v="Enterprise EDI Portal-UAT" u="1"/>
        <s v="Software Self Service-Prod" u="1"/>
        <s v="CORPORATE FTP SERVER-Prod" u="1"/>
        <s v="G&amp;A Smart Intake-Prod" u="1"/>
        <s v="BMS WellQuote-Test" u="1"/>
        <s v="IOS User Profile-Prod" u="1"/>
        <s v="DualsMemberView-CM-Dev" u="1"/>
        <s v="Common Output System-Test" u="1"/>
        <s v="Cortex XSOAR-Prod" u="1"/>
        <s v="Benefit Summary - Central-Test" u="1"/>
        <s v="Medicare Part C Mandate Reporting-Dev" u="1"/>
        <s v="Northeast Operational Data Store-Test" u="1"/>
        <s v="RHI Reporting-Prod" u="1"/>
        <s v="Product Admin Tool-SIT" u="1"/>
        <s v="SPIDER - Plan Configurator-Prod" u="1"/>
        <s v="Data Table Update System-Prod" u="1"/>
        <s v="COMPASS-Test" u="1"/>
        <s v="Request_DX-Dev" u="1"/>
        <s v="General Request-Prod" u="1"/>
        <s v="Check Inquiry-Dev" u="1"/>
        <s v="Enterprise Grievances and Appeals system-Dev" u="1"/>
        <s v="DDS Dental System (DDS)-Dev" u="1"/>
        <s v="eCertificates - VA-Test" u="1"/>
        <s v="Anthem Database Support-Dev" u="1"/>
        <s v="CSO - Service Development Center-Test" u="1"/>
        <s v="DDS Web Site and Apps-Dev7" u="1"/>
        <s v="SPIRE-Claims-Prod" u="1"/>
        <s v="SPIDER Reporting System-Test" u="1"/>
        <s v="TM01 TriMed Inquiry-Prod" u="1"/>
        <s v="DocGen Adapter-Test" u="1"/>
        <s v="Master Data Engine Callout-Prod" u="1"/>
        <s v="HealthLink DW -DRug Claims Reporting Portal-Test" u="1"/>
        <s v="Claims Remittance Interest System-Test" u="1"/>
        <s v="eHub - Enterprise Master Person Index (EMPI)-Test" u="1"/>
        <s v="EDWard - Master Consumer ID-Test" u="1"/>
        <s v="Data Transfer (PSG)-Test" u="1"/>
        <s v="BMS Web Small Group Renewal System-Test" u="1"/>
        <s v="DocGen-Prod" u="1"/>
        <s v="Campaign Engine - Member Communication-Prod" u="1"/>
        <s v="Medicare Supplement Explanation of Claims Paid - VA Only-Test" u="1"/>
        <s v="Enterprise Health Product Services-Prod" u="1"/>
        <s v="WGS Claims Archive Inquiry-Test" u="1"/>
        <s v="ECPPS business services-Test" u="1"/>
        <s v="Care Enhance Review Manager Enterprise-Prod" u="1"/>
        <s v="Document Posting Site-Prod" u="1"/>
        <s v="Pharm Tool (IRx)-Test" u="1"/>
        <s v="System for Continuous Operational Results Excellence-Test" u="1"/>
        <s v="Claims Automated Processing Engine (CAPE)-Dev" u="1"/>
        <s v="IBM Notes\Lotus Notes Environment-Prod" u="1"/>
        <s v="DualsMemberView-CM-Test" u="1"/>
        <s v="Health and Wellness Sales Tool-Test" u="1"/>
        <s v="IT Demand Management Analytics Engine-Dev" u="1"/>
        <s v="Product Admin Tool-UAT" u="1"/>
        <s v="MIM 2016 - Hosted Exchange-Prod" u="1"/>
        <s v="LGCRS - Monthly Extracts &amp; Loads-Test" u="1"/>
        <s v="HRS AHR Phase 2 - OBI-Prod" u="1"/>
        <s v="NPI Crosswalk Service-Prod" u="1"/>
        <s v="RxClaim -IRx-Dev" u="1"/>
        <s v="Enterprise EDI Portal-Prod" u="1"/>
        <s v="MLR Rebates-Test" u="1"/>
        <s v="SOA - Enterprise 27X HIPAA Application-Prod" u="1"/>
        <s v="Benefit Builder Data Change Initiative -IRx-Dev" u="1"/>
        <s v="Jira -JiraBiz-Prod" u="1"/>
        <s v="DDS Dental System (DDS) - Actuarial-Dev" u="1"/>
        <s v="BPM Framework: Configuration Console-Prod" u="1"/>
        <s v="MyDataPoint (LGCRS)-Test" u="1"/>
        <s v="Palo Alto EDL Web Host-Prod" u="1"/>
        <s v="EAPR Testing Tool-Prod" u="1"/>
        <s v="Benchmark Insights Model-Test" u="1"/>
        <s v="Specialty Product Integrated Relationship Engine-Prod" u="1"/>
        <s v="RxClaim -IRx-Test" u="1"/>
        <s v="Anthem Reimagine -RCP-Prod" u="1"/>
        <s v="DDS Dental System (DDS)-Dev7" u="1"/>
        <s v="xPression Revise-Prod" u="1"/>
        <s v="WGS Billing-Test" u="1"/>
        <s v="Enterprise Desktop Application Database-Prod" u="1"/>
        <s v="Anthem Blue Squared-UAT" u="1"/>
        <s v="Enterprise CognitiveAI-Prod" u="1"/>
        <s v="Corporate Individual Rights System -CIRS-Dev" u="1"/>
        <s v="Enterprise Product Document Generator - BCC-Prod" u="1"/>
        <s v="WBI-BI Datamart-Test" u="1"/>
        <s v="Enterprise Rate Engine - ERE-Test" u="1"/>
        <s v="SPIDER Contract Configuration System-Prod" u="1"/>
        <s v="DDS External Websites - Website DeCare-Dev" u="1"/>
        <s v="Vendor Load Management -GBD-Dev" u="1"/>
        <s v="Producer Tool Box 2.0 - On-prem-Prod" u="1"/>
        <s v="WGS GUI Mixer-Prod" u="1"/>
        <s v="MCheck-Prod" u="1"/>
        <s v="BMC Configuration Automation for Networks-Prod" u="1"/>
        <s v="NPI Online Access-Prod" u="1"/>
        <s v="CCP-Genesys-WFM-Framework-Prod" u="1"/>
        <s v="HIPAA Code Sets-Prod" u="1"/>
        <s v="EIS - Utilization Domain-Prod" u="1"/>
        <s v="Pharmacy Home System -IRx-Test" u="1"/>
        <s v="HRS Admin Tool-Prod" u="1"/>
        <s v="HRS Incentives-Prod" u="1"/>
        <s v="Cancer Care Quality Program Reporting system-Test" u="1"/>
        <s v="JIRA -GBD-Test" u="1"/>
        <s v="Individual Online Store Exchange-IOS-Prod" u="1"/>
        <s v="INF-Citrix XenApp -CSBD-DR" u="1"/>
        <s v="Revenue Management and Billing-Dev" u="1"/>
        <s v="VBrick REV-Dev" u="1"/>
        <s v="Initiate Master Data Service-Prod" u="1"/>
        <s v="IRMS - Rate and Factor Maintenance-Prod" u="1"/>
        <s v="INF-ActiveDirectory - AD.Wellpoint.com-Test" u="1"/>
        <s v="ESI Rebate Reporting -IRx-Dev" u="1"/>
        <s v="ExacqVision VMS-Prod" u="1"/>
        <s v="eSD Express-Scripts-ESI -IRx-Test" u="1"/>
        <s v="WebSphere Application Server(CM)-Dev" u="1"/>
        <s v="MLR Rebates-Dev" u="1"/>
        <s v="Request_DX-Prod" u="1"/>
        <s v="NPI Register Provider Service-Prod" u="1"/>
        <s v="WellPoint Group System 2.0-Test" u="1"/>
        <s v="Azure AD Connect-Dev" u="1"/>
        <s v="VS-Telephony_IVR-Prod" u="1"/>
        <s v="WCS Electronic Pricing System-Prod" u="1"/>
        <s v="COMPREHENSIVE HEALTH INSURANCE PROCESSING SYSTEM-Dev" u="1"/>
        <s v="OLS Plan Match-Prod" u="1"/>
        <s v="CPS_PENDS_Incentives-Prod" u="1"/>
        <s v="eHub - Enterprise Master Person Index -EMPI-Prod" u="1"/>
        <s v="ENBAPP Dashboard-Test" u="1"/>
        <s v="DDS External Websites - Website DeCare Dental Ireland-Dev" u="1"/>
        <s v="DDS External Portals - Member Portal Multibrand-Dev" u="1"/>
        <s v="Online Store (OLS)-UAT" u="1"/>
        <s v="Enterprise Clinical Informatics Solution Reporting Application -CIP CIS-Test" u="1"/>
        <s v="Compensation Incentive System-Test" u="1"/>
        <s v="Facets Database - Central Facets-Prod" u="1"/>
        <s v="CareNex Archival-Prod" u="1"/>
        <s v="Benefit Builder - General -IRx-Test" u="1"/>
        <s v="Plan Management Tool-Prod" u="1"/>
        <s v="IOS-eBroker-Integration-Prod" u="1"/>
        <s v="ALICS Reimagine-Prod" u="1"/>
        <s v="PAHub -Agadia -IRx-Test" u="1"/>
        <s v="NPI Delete by System Signature Service-Prod" u="1"/>
        <s v="IRS Reporting-Test" u="1"/>
        <s v="Advanced Life and Income Claim System-Test" u="1"/>
        <s v="DDS Dental System (DDS) - Enrollment-Dev" u="1"/>
        <s v="Product HIOS Translation System-Prod" u="1"/>
        <s v="COMPREHENSIVE HEALTH INSURANCE PROCESSING SYSTEM-Test" u="1"/>
        <s v="WSL - EOB Management-Prod" u="1"/>
        <s v="Central Facets Upgrade Tool-Prod" u="1"/>
        <s v="OpenConnect-Prod" u="1"/>
        <s v="Wellpoint Medical Decision Support-maxMC-Prod" u="1"/>
        <s v="ENTERPRISE ACCUMULATOR HUB-Prod" u="1"/>
        <s v="Ingenio Financial System Standalone -IFSS -IRx-Prod" u="1"/>
        <s v="Enterprise Health Risk Assessment-Prod" u="1"/>
        <s v="Imanami GroupID-Prod" u="1"/>
        <s v="DDS External Portals - Member Portal BCBS FEP Paperless EOBs-Dev" u="1"/>
        <s v="MAXPRO-Prod" u="1"/>
        <s v="Anthem Care Management Platform-Test" u="1"/>
        <s v="PeopleSoft - AR-Prod" u="1"/>
        <s v="ERISA 5500 Reporting-Test" u="1"/>
        <s v="Product Profitability Reporting Teradata-Test" u="1"/>
        <s v="Automation and Analytics-Test" u="1"/>
        <s v="HMC HRS Letters Interaction-Prod" u="1"/>
        <s v="Anthem Life Renewal System-Prod" u="1"/>
        <s v="Provider Finder Services Layer-Prod" u="1"/>
        <s v="Informatica DX-Dev" u="1"/>
        <s v="Bamboo -GBD-Test" u="1"/>
        <s v="Enterprise Wellpoint Product Database-Prod" u="1"/>
        <s v="eHub - Enterprise Master Person Index -EMPI-Test" u="1"/>
        <s v="OnePoint Siebel CRM-Dev" u="1"/>
        <s v="DDS Oracle Financials - Accounts Payable-Dev" u="1"/>
        <s v="xPression Batch-Prod" u="1"/>
        <s v="Member Notification of Provider Termination-Prod" u="1"/>
        <s v="TriMed-Prod" u="1"/>
        <s v="Guarantee Reconciliation Reporting and Payment System (IRx)-Test" u="1"/>
        <s v="BMSOutput-Test" u="1"/>
        <s v="LO Central-Automation-Prod" u="1"/>
        <s v="GBD Sydney Community Public Portal-Prod" u="1"/>
        <s v="Tidal Enterprise Scheduler-HMC - TES-Prod" u="1"/>
        <s v="eHub - Enterprise Master Person Index (EMPI)-Prod" u="1"/>
        <s v="MongoDB database program-Test" u="1"/>
        <s v="Claim Creation Tool - IRx-Test" u="1"/>
        <s v="CIRT - Claims Intake Repair Tool -GBD-Dev" u="1"/>
        <s v="DBG Portal-Prod" u="1"/>
        <s v="Claims Remittance Interest System-Dev" u="1"/>
        <s v="Facets -GBD-Dev" u="1"/>
        <s v="Central Facets-Perf" u="1"/>
        <s v="Pharmacy Clinical Operations (IRx)-Test" u="1"/>
        <s v="Enterprise Group Dataset (EGD)-Dev" u="1"/>
        <s v="Siebel CRM-Dev" u="1"/>
        <s v="RMB Reporting-Dev" u="1"/>
        <s v="Prowatch Communications Server-Prod" u="1"/>
        <s v="Pega - Claim Repair-Prod" u="1"/>
        <s v="Infogix Insight-Test" u="1"/>
        <s v="DDS External Portals-Dev" u="1"/>
        <s v="Enterprise EDI Transaction Insight-Prod" u="1"/>
        <s v="SIMON -Service Information Management Online-Dev" u="1"/>
        <s v="WMDS Reporting Ad-hoc Database-Test" u="1"/>
        <s v="NextGen Pega Grievance &amp; Appeals (GBD/FEP/Commercial)-Prod" u="1"/>
        <s v="Pharmacy Informatica Processes (IRx)-Test" u="1"/>
        <s v="Enterprise Provider Database Solution-Test" u="1"/>
        <s v="Flexera-Prod" u="1"/>
        <s v="Data Exchange-Dev" u="1"/>
        <s v="WPS Reporting and Analytics-Test" u="1"/>
        <s v="Medicare Supplement Explanation of Claims Paid - VA Only-Dev" u="1"/>
        <s v="Enterprise EDI Clearinghouse-Prod" u="1"/>
        <s v="Operational Data Warehouse -GBD-Dev" u="1"/>
        <s v="837 Inquiry-Prod" u="1"/>
        <s v="SPIDER Product Modeling Workbench-Test" u="1"/>
        <s v="HMC Health Risk Assessment-Prod" u="1"/>
        <s v="Change Healthcare ClaimsXten v6.0 -CSBD-Prod" u="1"/>
        <s v="Enterprise Pricing Engine-Test" u="1"/>
        <s v="SPIDER - Benefit Query Service-Test" u="1"/>
        <s v="SOA-API - Enterprise Service Bus - GBD-Test" u="1"/>
        <s v="Macros - ACES-Prod" u="1"/>
        <s v="WCS - WWC EPS Batch1-Prod" u="1"/>
        <s v="St.Louis-WebSphere-Test" u="1"/>
        <s v="Provider Finder-Dev" u="1"/>
        <s v="Member Notification of Provider Termination-Test" u="1"/>
        <s v="Middletier Individual Web Service -IWS-Test" u="1"/>
        <s v="Operational Data Warehouse -GBD-Test" u="1"/>
        <s v="EBS - ESI Backend -IRx-Test" u="1"/>
        <s v="NurseLine Application-Prod" u="1"/>
        <s v="Spider-Dev" u="1"/>
        <s v="Informatica PRV-Test" u="1"/>
        <s v="GBD Enrollment Extracts-Test" u="1"/>
        <s v="Individual Quality Assurance Audit Application-Prod" u="1"/>
        <s v="Enterprise Product Systems-Test" u="1"/>
        <s v="DDS External Portals - Secure Dentist Search-Dev" u="1"/>
        <s v="Revenue Management and Billing-Test" u="1"/>
        <s v="Member ID Generator-Prod" u="1"/>
        <s v="Anthem HEDIS and Provider Analytics-Dev" u="1"/>
        <s v="Product Profitability Reporting Teradata-Prod" u="1"/>
        <s v="Online Store (OLS)-Prod" u="1"/>
        <s v="Reject Correction and Recycle System-Dev" u="1"/>
        <s v="Healthy Innovations Platform LTSS Admin Console-Prod" u="1"/>
        <s v="Varonis Data Advantage-Prod" u="1"/>
        <s v="Enterprise Pricing Engine -Test" u="1"/>
        <s v="Infogix ACR-Dev" u="1"/>
        <s v="IOS Enrollment-Prod" u="1"/>
        <s v="WSL - Claim Portal Management-Prod" u="1"/>
        <s v="National IT -Qcare Provider Lookup-Prod" u="1"/>
        <s v="WCS - WWC EPS Batch2-Test" u="1"/>
        <s v="WellPoint Corporate Internal SharePoint 2013-Test" u="1"/>
        <s v="Product Admin Tool-Test" u="1"/>
        <s v="Guarantee Reconciliation Reporting and Payment System (IRx)-Prod" u="1"/>
        <s v="EOC Upload-Prod" u="1"/>
        <s v="NE Employer-Prod" u="1"/>
        <s v="Internet Provider Finder-Dev" u="1"/>
        <s v="Core MAGI-Prod" u="1"/>
        <s v="SailPoint IIQ-Test" u="1"/>
        <s v="INFORMATICA POWERCENTER-Dev" u="1"/>
        <s v="Quality In-Sights Hospital Incentive Program-Test" u="1"/>
        <s v="Enterprise Lineage Intelligence-Prod" u="1"/>
        <s v="DDS National Dental Grid (GRID)-Dev" u="1"/>
        <s v="TriMed Admin Application-Prod" u="1"/>
        <s v="NPI Delete Service-Prod" u="1"/>
        <s v="NPI Lookup Service-Prod" u="1"/>
        <s v="NPI Search Service-Prod" u="1"/>
        <s v="NPI Update Service-Prod" u="1"/>
        <s v="Common File Format Inbound-Test" u="1"/>
        <s v="qTest-Prod" u="1"/>
        <s v="Care Management Gateway-Test" u="1"/>
        <s v="Enterprise Modeler-Prod" u="1"/>
        <s v="Ping Identity B-Prod" u="1"/>
        <s v="NPI Pre-Register Service-Prod" u="1"/>
        <s v="Intelligent Claims Platform -GBD-Test" u="1"/>
        <s v="PI Communication Controller-Dev" u="1"/>
        <s v="Infogix Assure-Prod" u="1"/>
        <s v="Anthem Life Production Repository-Test" u="1"/>
        <s v="Enterprise Middleware - Composite 275 Services-Prod" u="1"/>
        <s v="GBD Enrollment Extracts-Dev" u="1"/>
        <s v="INF-Bitbucket-Prod" u="1"/>
        <s v="CHIPS Supporting Systems-Prod" u="1"/>
        <s v="HRS AccessHMC-Test" u="1"/>
        <s v="DDS Oracle Financials - General Ledger-Dev" u="1"/>
        <s v="Pega Onboarding-Test" u="1"/>
        <s v="eQuote - Central Small Group-Test" u="1"/>
        <s v="DDS Internal Websites and App Links - Horizon Custom App Link-Dev" u="1"/>
        <s v="Clinical APIs-Prod" u="1"/>
        <s v="Microsoft System Center Operations Manager for SCCM-Prod" u="1"/>
        <s v="Letter Generator System-Test" u="1"/>
        <s v="Facets -GBD-Test" u="1"/>
        <s v="Meridian Resource Website-Test" u="1"/>
        <s v="Diamond-Prod" u="1"/>
        <s v="UiPath-Prod" u="1"/>
        <s v="eVIS-Dev" u="1"/>
        <s v="DDS External Portals - Agent Portal Multibrand-Dev" u="1"/>
        <s v="SQL Server System Database (RHI)-Prod" u="1"/>
        <s v="Enterprise Health Products-Prod" u="1"/>
        <s v="DDS External Websites - Dentist Searches-Dev" u="1"/>
        <s v="Plan-it -test" u="1"/>
        <s v="PeopleSoft - CPM-Test" u="1"/>
        <s v="IRMS - Enrollment and Billing Get Rates-Prod" u="1"/>
        <s v="HRS PENDS-Prod" u="1"/>
        <s v="Access Express(CM)-Test" u="1"/>
        <s v="HealthLink Data Warehouse -DW-Test" u="1"/>
        <s v="Service ID Portal-Test" u="1"/>
        <s v="NPI Database-Prod" u="1"/>
        <s v="PAHub -Agadia -IRx-Dev" u="1"/>
        <s v="Anthem East Data Warehouse-Test" u="1"/>
        <s v="State Sponsored Business IT-Prod" u="1"/>
        <s v="WellPoint Product Database Large Group-Prod" u="1"/>
        <s v="Pharmacy Rebate Files -GBD -IRx-Dev" u="1"/>
        <s v="EPDS R6-Test" u="1"/>
        <s v="WebSphere Application Server-CM-Test" u="1"/>
        <s v="Healthy Returns System-Dev" u="1"/>
        <s v="Transition and Renewal Letters-Prod" u="1"/>
        <s v="Client Care Access -IRx-Test" u="1"/>
        <s v="DIS OpsHub-Dev" u="1"/>
        <s v="Common Output System-Dev" u="1"/>
        <s v="PPR -Product Profitability Reporting-Test" u="1"/>
        <s v="Ebusiness National Pre-enrollment-Test" u="1"/>
        <s v="WSL - Claims Domain-Prod" u="1"/>
        <s v="Cisco Spark-Dev" u="1"/>
        <s v="Initiate Master Data Service-Dev" u="1"/>
        <s v="Enterprise Rate Engine -ERE-Test" u="1"/>
        <s v="Pharmacy Rebate Files -GBD -IRx-Test" u="1"/>
        <s v="CMA Mass Update Tool-Prod" u="1"/>
        <s v="WSL - EOB Inquiry-Prod" u="1"/>
        <s v="Anthem PeopleSoft GL Translator-Dev" u="1"/>
        <s v="WebSphere-Test" u="1"/>
        <s v="Sanctioned Provider System-Test" u="1"/>
        <s v="Healthy Innovations Platform LTSS Admin Console-Test" u="1"/>
        <s v="Bamboo Agent-Test" u="1"/>
        <s v="Check Inquiry-Test" u="1"/>
        <s v="Subro Navigator-Dev" u="1"/>
        <s v="CompassI-Test" u="1"/>
        <s v="Business Objects Business Intelligence 4.1 CII-Prod" u="1"/>
        <s v="SPIDER Reporting System-Prod" u="1"/>
        <s v="MYANTHEMCHOICES APPOINTMENT SYSTEM-Prod" u="1"/>
        <s v="DDS Mobile Apps-Dev7" u="1"/>
        <s v="1099 Healthcare-Test" u="1"/>
        <s v="Master Data Engine Callout-Dev" u="1"/>
        <s v="Enterprise Lineage Intelligence, Discrepancy (X) Insights and remediation for Provider Data Space" u="1"/>
        <s v="UID Inquiry-Prod" u="1"/>
        <s v="System Center Operation Manager for SCCM-Prod" u="1"/>
        <s v="DocGen Adapter-Prod" u="1"/>
        <s v="Infogix ACR-Test" u="1"/>
        <s v="Enterprise Submission Tool-Test" u="1"/>
        <s v="Enterprise Blue Exchange-Prod" u="1"/>
        <s v="eshare (Knowledge Library)-Prod" u="1"/>
        <s v="HIX BI IM Risk Management Data Store-Test" u="1"/>
        <s v="DDS Dental System (DDS) - Job Scheduling Java Beans-Dev" u="1"/>
        <s v="BMS Web Small Group Renewal System-Prod" u="1"/>
        <s v="eHub - Enterprise Master Person Index -EMPI-Perf" u="1"/>
        <s v="Anthem Health Rewards Tax Reporting-Prod" u="1"/>
        <s v="PSD Rule Engine-Prod" u="1"/>
        <s v="ESI Rebate Reporting Application - BOXI (IRx)-Dev" u="1"/>
        <s v="Healthy Innovations Platform CM-DM-Test" u="1"/>
        <s v="IOS Multilingual-Prod" u="1"/>
        <s v="Digital Thread-Dev" u="1"/>
        <s v="DBG-HRS2.0-Test" u="1"/>
        <s v="EPDS v2.0 User Interface-Prod" u="1"/>
        <s v="Reject Correction and Recycle System-Test" u="1"/>
        <s v="ENBAPP Dashboard-Prod" u="1"/>
        <s v="DART Scripting Server-Prod" u="1"/>
        <s v="Corporate Marketing Database Reporting-Prod" u="1"/>
        <s v="Starfish Resource Manager-Test" u="1"/>
        <s v="URS-GetMemberEligibilityDetails-Prod" u="1"/>
        <s v="SFA Integration-Prod" u="1"/>
        <s v="STARS BI-Dev" u="1"/>
        <s v="Express Scripts Landing Zone -ESI -IRx-Test" u="1"/>
        <s v="Sales Extract-Prod" u="1"/>
        <s v="INF-Citrix XenApp -CSBD-Prod" u="1"/>
        <s v="Business Objects Business Intelligence Blue-Prod" u="1"/>
        <s v="IOS Customer Service-Prod" u="1"/>
        <s v="Strategic Provider Cache -SPC-Test" u="1"/>
        <s v="ACMP Reporting-Test" u="1"/>
        <s v="Specialty Batch Process-Test" u="1"/>
        <s v="Specialty Online Experience - Enrollment &amp; Billing-Prod" u="1"/>
        <s v="Loki-Prod" u="1"/>
        <s v="eHub - Consumer Hub -CHUB-Prod" u="1"/>
        <s v="NPI Crosswalk Export File Service-Prod" u="1"/>
        <s v="NPI Register Relationship Service-Prod" u="1"/>
        <s v="Life &amp; Disability Compass-Prod" u="1"/>
        <s v="Benefit Builder Data Change Initiative -IRx-Test" u="1"/>
        <s v="Contract Product System -CPS-Prod" u="1"/>
        <s v="Digital Provider Lifecycle Management-Test" u="1"/>
        <s v="PeopleSoft - AR-Dev" u="1"/>
        <s v="CHIPS Claims-Dev" u="1"/>
        <s v="SPIDER - Plan Configurator-Test" u="1"/>
        <s v="APIGEE-Microservices-Dev" u="1"/>
        <s v="Clinical Data Aquisition - Clinical Data Integration -CDI-CDA-Test" u="1"/>
        <s v="Enterprise Customer Exception Management-Prod" u="1"/>
        <s v="RHI RxEOB-Dev" u="1"/>
        <s v="Enterprise Blue Exchange-Test" u="1"/>
        <s v="Enterprise Rate Engine -ERE-Perf" u="1"/>
        <s v="MEMBER WEB PAYMENT-Prod" u="1"/>
        <s v="Endevor-Prod" u="1"/>
        <s v="GenPact Titanium-Test" u="1"/>
        <s v="Southeast Electronic Funds Transfer-Dev" u="1"/>
        <s v="PeopleSafe -IRx-Dev" u="1"/>
        <s v="Digital.ai Deploy-Test" u="1"/>
        <s v="Stars Informant -Cotiviti-Prod" u="1"/>
        <s v="Master Data Engine Callout-Test" u="1"/>
        <s v="LITES Accumulators-Test" u="1"/>
        <s v="Enterprise Group Dataset 2.0 -EGD 2.0 -EDWard Redirect-Dev" u="1"/>
        <s v="SPIDER - Group Configurator - LITE-Test" u="1"/>
        <s v="INF-Microsoft System Center Configuration Manager-Dev" u="1"/>
        <s v="LGCRS - Data Mart-Test" u="1"/>
        <s v="BMS Web Small Group Renewal System-Perf" u="1"/>
        <s v="Member Take on-Prod" u="1"/>
        <s v="SPIDER Contract Configuration System-Dev" u="1"/>
        <s v="Office of Foreign Asset Control -Bridger Insight XG-Prod" u="1"/>
        <s v="Claims Intake and Workflow-Dev" u="1"/>
        <s v="INFORMATICA POWERCENTER-Test" u="1"/>
        <s v="CSSD - Service Development Center-Test" u="1"/>
        <s v="HRS Group Finder Tool-Prod" u="1"/>
        <s v="IBM Dynamic Automation-Prod" u="1"/>
        <s v="OLS REFRESH-Test" u="1"/>
        <s v="DDS External Portals-Dev7" u="1"/>
        <s v="DDS External Websites - Website Securian-Dev" u="1"/>
        <s v="RHI Electronic Messaging Interface-Prod" u="1"/>
        <s v="Enterprise Clinical Informatics Solution Reporting Application -CIP CIS-Dev" u="1"/>
        <s v="DDS National Dental Grid (GRID) - Fee Request Processing-Dev" u="1"/>
        <s v="Online Group Billing-Prod" u="1"/>
        <s v="Senior Broker Oversight-Test" u="1"/>
        <s v="SouthEast Drug Rebate-Test" u="1"/>
        <s v="PS HCM-Test" u="1"/>
        <s v="Integrated Enterprise Enrollment Engine - Prod" u="1"/>
        <s v="SOA-API - Enterprise Services-Dev" u="1"/>
        <s v="COMPREHENSIVE HEALTH INSURANCE PROCESSING SYSTEM-Prod" u="1"/>
        <s v="Reference Based Benefits Application-Prod" u="1"/>
        <s v="RHI RxEOB-Prod" u="1"/>
        <s v="SPIDER - Benefit Query Service-Prod" u="1"/>
        <s v="HealthLink Data Warehouse -DW-Dev" u="1"/>
        <s v="Payment Innovations-Dev" u="1"/>
        <s v="Data Transfer (PQP)-Prod" u="1"/>
        <s v="Multiple Adjudication Resolution System - VA-Prod" u="1"/>
        <s v="General Request-Dev" u="1"/>
        <s v="WGS Operational Reporting-Test" u="1"/>
        <s v="eHub - Enterprise Master Person Index -EMPI-Dev" u="1"/>
        <s v="eshare CMS (Knowledge Library)-Prod" u="1"/>
        <s v="WSL - Claim Hipaa Inquiry-Prod" u="1"/>
        <s v="EPDS v2.0-Perf" u="1"/>
        <s v="DDS Mobile Apps - BCBS FEP-Dev" u="1"/>
        <s v="Financial Integrated Rating System Tool-Test" u="1"/>
        <s v="GP00-Provider GUI-Prod" u="1"/>
        <s v="Rx Data Central -IRx-Dev" u="1"/>
        <s v="Desktop Software Repackaging-Prod" u="1"/>
        <s v="Enterprise Broker Portal-Prod" u="1"/>
        <s v="Shell Contract Creation-Prod" u="1"/>
        <s v="Financial Drug Rebate System -IRx-Test" u="1"/>
        <s v="ESI Rebate Reporting Application - BOXI (IRx)-Test" u="1"/>
        <s v="ISG Product Profile Tool-Prod" u="1"/>
        <s v="LD ONLINE UW-Test" u="1"/>
        <s v="INF-ServiceNow Discovery and Service Mapping-Test" u="1"/>
        <s v="eSD Express-Scripts-ESI -IRx-Dev" u="1"/>
        <s v="ENTERPRISE ACCUMULATOR HUB-Dev" u="1"/>
        <s v="CA Secure-Prod" u="1"/>
        <s v="Client Online Services -IRx-Dev" u="1"/>
        <s v="EIS - LetterGen Domain-Prod" u="1"/>
        <s v="RHI Replatform Intake DX-Test" u="1"/>
        <s v="Facets Integrated NetworX - Central Facets-Prod" u="1"/>
        <s v="Claim Creation Tool (IRx)-Test" u="1"/>
        <s v="Change Healthcare ClaimsXten v6.0 (CSBD)-Prod" u="1"/>
        <s v="Program Integrity Concept Management-Dev" u="1"/>
        <s v="WellPoint Product Database Individual-Small Group-Test" u="1"/>
        <s v="WellPoint Product Database Individual/Small Group-Test" u="1"/>
        <s v="DDS Internal Websites and App Links-Dev7" u="1"/>
        <s v="IBM Initiate Inspector-Perf" u="1"/>
        <s v="Division of Financial Responsibilities (DOFR)-Prod" u="1"/>
        <s v="DDS External Portals - Member Portal BCBS FEP Live Person Chat-Dev" u="1"/>
        <s v="PeopleSoft - Billing-Dev" u="1"/>
        <s v="Intuitive Claims Processing Tool -GBD-Dev" u="1"/>
        <s v="TSRM Event Management-Prod" u="1"/>
        <s v="Claims Intake and Workflow-Test" u="1"/>
        <s v="Provider Finder-Test" u="1"/>
        <s v="IOS Presentation Service-Prod" u="1"/>
        <s v="CareAdvance Enterprise -GBD-Dev" u="1"/>
        <s v="FACETS MED-D-Prod" u="1"/>
        <s v="DDS Dental System (DDS) - Adjudication-Dev" u="1"/>
        <s v="Collateral Update Engine-Prod" u="1"/>
        <s v="NASCO-Prod" u="1"/>
        <s v="GBD Pega Claims Repair-Test" u="1"/>
        <s v="xPression Template-Prod" u="1"/>
        <s v="PRODUCER TOOL BOX 2.0-Prod" u="1"/>
        <s v="Enterprise Product Document Generator-Prod" u="1"/>
        <s v="Express Scripts Landing Zone -ESI -IRx-Dev" u="1"/>
        <s v="IOS Batch-Prod" u="1"/>
        <s v="Anthem Claims Recovery-Dev" u="1"/>
        <s v="Plan Management Tool-Dev" u="1"/>
        <s v="BMS Nemo-Test" u="1"/>
        <s v="Rx PA SQL Database -IRx-Prod" u="1"/>
        <s v="HRS Dialer-Prod" u="1"/>
        <s v="Facets Client Server App - Central Facets-Perf" u="1"/>
        <s v="Master Data Engine Callout-Perf" u="1"/>
        <s v="Salesforce.com - National and Large Group 2.0-Prod" u="1"/>
        <s v="WPS Reporting and Analytics-Dev" u="1"/>
        <s v="FACETS - Ancillary COB -GBD-Test" u="1"/>
        <s v="DDS External Websites-Dev7" u="1"/>
        <s v="Large Group Client Reporting System-Test" u="1"/>
        <s v="Healthy Returns System-SIT" u="1"/>
        <s v="GBD West Region Data Analytics : WRGBDDA- A SQL Server Database-Dev" u="1"/>
        <s v="WGS Pricing-Test" u="1"/>
        <s v="WGS Batch Enrollment - EET-Prod" u="1"/>
        <s v="DDS Oracle Financials - Accounts Receivable-Dev" u="1"/>
        <s v="GenPact Titanium-Dev" u="1"/>
        <s v="HRS GIDO Membership Load Batch Process-Prod" u="1"/>
        <s v="Clinical Hub - Provider &amp; Clinical Data Analytics - Legacy LPR-Prod" u="1"/>
        <s v="Galileo Performance Monitor-Prod" u="1"/>
        <s v="IOS Analytics-Prod" u="1"/>
        <s v="IRMS - Integrated Rate Project-Prod" u="1"/>
        <s v="DDS National Dental Grid (GRID)-Dev7" u="1"/>
        <s v="WCC-MDM-Prod" u="1"/>
        <s v="McKesson ClaimsXten Rules Engine-Prod" u="1"/>
        <s v="Infogix Insight-Prod" u="1"/>
        <s v="Proofpoint Enterprise Protection-Prod" u="1"/>
        <s v="Informatica EHUB-Prod" u="1"/>
        <s v="DEVELOP MODULAR PRODUCT CAPABILITIES FROM PRESALE THROUGH ACCOUNT INSTALLATION-Dev" u="1"/>
        <s v="SMART-Prod" u="1"/>
        <s v="CRE-RHI DataExchanges-Dev" u="1"/>
        <s v="National IT : -CSS NASCO Interface - Customer Service-Prod" u="1"/>
        <s v="Starfish Resource Manager-Prod" u="1"/>
        <s v="validateServiceArea-Prod" u="1"/>
        <s v="Enterprise Middleware (Composite 275 Services)-Prod" u="1"/>
        <s v="Enterprise Middleware (Composite 276 Services)-Prod" u="1"/>
        <s v="Enterprise Middleware (Composite 278 Services)-Prod" u="1"/>
        <s v="SPIDER Contract Configuration System-Perf2" u="1"/>
        <s v="ENTERPRISE ACCUMULATOR HUB-Test" u="1"/>
        <s v="RHI RxEOB-Test" u="1"/>
        <s v="Facets Batch - Central Facets-Prod" u="1"/>
        <s v="Clinical APIs - On Prem-Prod" u="1"/>
        <s v="MProducer-Prod" u="1"/>
        <s v="Enrollment Production and Inventory-Dev" u="1"/>
        <s v="Enterprise Common Services-Prod" u="1"/>
        <s v="Enterprise Provider Intake Credentialing System-Prod" u="1"/>
        <s v="Informatica BI-Dev" u="1"/>
        <s v="Collateral Update Engine-Test" u="1"/>
        <s v="Enrollment Web Services -EWS-Test" u="1"/>
        <s v="Postfix-Prod" u="1"/>
        <s v="FileNet Enterprise Content Management2-Prod" u="1"/>
        <s v="DDS Dental System (DDS) - Group Information Management-Dev" u="1"/>
        <s v="DDS Mobile Apps-Dev" u="1"/>
        <s v="Enterprise Middleware -Composite 27x Services-Prod" u="1"/>
        <s v="Rate Maintenance Facility-Test" u="1"/>
        <s v="Lighthouse Analytics-Prod" u="1"/>
        <s v="SPIDER Contract Configuration System-Test" u="1"/>
        <s v="Financial Drug Rebate System -IRx-Dev" u="1"/>
        <s v="Anthem Life Renewal System-Test" u="1"/>
        <s v="INF-SQL Server Support Systems-Test" u="1"/>
        <s v="DDS External Online Store and Billing Renewal Tools-Dev" u="1"/>
        <s v="Financial Integrated Rating System Tool-Perf" u="1"/>
        <s v="St.Louis-Ping Identity D-Prod" u="1"/>
        <s v="DDS External Portals - Group Benefits Administrator Portal Multibrand-Dev" u="1"/>
        <s v="Pega BPM Central Enrollment and System-Test" u="1"/>
        <s v="Wellpoint Group System -WGS Membership-Dev" u="1"/>
        <s v="SIMON -Service Information Management Online-Prod" u="1"/>
        <s v="Mobile INTACT-UAT" u="1"/>
        <s v="Client Care Access -IRx-Dev" u="1"/>
        <s v="Pharmacy Home System -IRx-Dev" u="1"/>
        <s v="Individual Online Store Exchange-IOS-Test" u="1"/>
        <s v="Rational - License Server-Prod" u="1"/>
        <s v="Payment Innovations-Prod" u="1"/>
        <s v="SPIDER - Users Management Module-Prod" u="1"/>
        <s v="DBG-HRS2.0-Dev" u="1"/>
        <s v="Enterprise Clinical Informatics Solution-Websphere -CIP CIS-Prod" u="1"/>
        <s v="Client Information Insights-Test" u="1"/>
        <s v="DDS Internal Websites and App Links - SecAdmin-Dev" u="1"/>
        <s v="xPression-Prod" u="1"/>
        <s v="Initiate Master Data Service-Perf" u="1"/>
        <s v="Healthy Innovations Platform LTSS-Test" u="1"/>
        <s v="Healthy Returns System-QA" u="1"/>
        <s v="Plan-it-Test" u="1"/>
        <s v="Online Store (OLS)-Test" u="1"/>
        <s v="HIX Revenue Optimization-Test" u="1"/>
        <s v="Consolidated Billing Platform-Prod" u="1"/>
        <s v="Online Pharmacy Resource for Anthem -IRx-Test" u="1"/>
        <s v="Change My Coverage-Prod" u="1"/>
        <s v="Employer Reimagine-Prod" u="1"/>
        <s v="DDS Dental System (DDS) - Customer Relationship Management-Dev" u="1"/>
        <s v="Citrix XenApp - CSBD-Prod" u="1"/>
        <s v="Vendor Load Management -GBD-Test" u="1"/>
        <s v="Infogix ACR-Prod" u="1"/>
        <s v="LGCRS - Monthly Extracts &amp; Loads-Dev" u="1"/>
        <s v="Anthem Life Production Repository-Prod" u="1"/>
        <s v="DDS External Portals - Provider Portal Horizon-Dev" u="1"/>
        <s v="Care Gap Repository-Prod" u="1"/>
        <s v="Technology Operations Healthcheck Dashboard-Dev" u="1"/>
        <s v="Letter Generator System-Prod" u="1"/>
        <s v="GP00-Provider GUI-Perf" u="1"/>
        <s v="WSL - Claim Portal Inquiry-Prod" u="1"/>
        <s v="RHI IVR-Prod" u="1"/>
        <s v="EPDS v2.0 User Interface-Perf" u="1"/>
        <s v="DDS External Websites-Dev" u="1"/>
        <s v="DDS Internal Websites and App Links-Dev" u="1"/>
        <s v="SPIDER Automation Engine-Prod" u="1"/>
        <s v="INF-Venafi-Dev-Dev" u="1"/>
        <s v="DDS Internal Websites and App Links - My Workbase-Dev" u="1"/>
        <s v="IOS Content-Prod" u="1"/>
        <s v="L &amp; D Operational Data Store-Prod" u="1"/>
        <s v="WGS Capitation-Perf" u="1"/>
        <s v="Provider Operational Data Store-Test" u="1"/>
        <s v="LeGS - Careplanner-Prod" u="1"/>
        <s v="HMC Data Sourcing Hub -DSH-Prod" u="1"/>
        <s v="IngenioRx Operational Reporting Repository (IRx)-Test" u="1"/>
        <s v="Subro Navigator-Test" u="1"/>
        <s v="HRS Therapeutic Alerts - Health Alerts-Prod" u="1"/>
        <s v="CHIPS Claims-Test" u="1"/>
        <s v="Rx Data Central -IRx-Test" u="1"/>
        <s v="eWPD-WPD Data Warehouse-Test" u="1"/>
        <s v="Micro Focus Application Performance Management-Prod" u="1"/>
        <s v="xPression Dashboard-Prod" u="1"/>
        <s v="Informatica EDL-Dev" u="1"/>
        <s v="Data Loading -MHA-Test" u="1"/>
        <s v="MProducer-Test" u="1"/>
        <s v="IOS Shop &amp; Quote-UAT" u="1"/>
        <s v="Universal File Transformer-Prod" u="1"/>
        <s v="SPIDER-Test" u="1"/>
        <s v="DDS Dental System (DDS) - Claims-Dev" u="1"/>
        <s v="WMDS-maxMC Interface Engine-Prod" u="1"/>
        <s v="IOS Rating Integration-Prod" u="1"/>
        <s v="PPR - Product Profitability Reporting-Prod" u="1"/>
        <s v="Facets Online - Central Facets-Prod" u="1"/>
        <s v="CPS Common Components-Prod" u="1"/>
        <s v="DDS External Websites - Website BCBS FEP-Dev" u="1"/>
        <s v="Auto-BAGing Engine-Dev" u="1"/>
        <s v="SBP Book Of Business-Prod" u="1"/>
        <s v="BMS Rate Data Services -RDS-Test" u="1"/>
        <s v="PARES-Prod" u="1"/>
        <s v="Medisys-Test" u="1"/>
        <s v="ESI Rebate Reporting -IRx-Test" u="1"/>
        <s v="IC Notes-Test" u="1"/>
        <s v="OLS REFRESH-UAT" u="1"/>
        <s v="LITES Rx Integration-Test" u="1"/>
        <s v="Enterprise Provider Performance Data Mart -PPDM-Dev" u="1"/>
        <s v="LobbyWorks-Prod" u="1"/>
        <s v="WellPoint Services Layer-Prod" u="1"/>
        <s v="Southeast Electronic Funds Transfer-Test" u="1"/>
        <s v="Oracle Support-Prod" u="1"/>
        <s v="Market Size and Share-Test" u="1"/>
        <s v="ESI Rebate Reporting Application - Websphere (IRx)-Test" u="1"/>
        <s v="Cognitive Claims - AI-Dev" u="1"/>
        <s v="Facets Hyperion Reporting-Prod" u="1"/>
        <s v="Financial Drug Claim System -IRx-Test" u="1"/>
        <s v="SPIDER Automation Engine-Test" u="1"/>
        <s v="Hitachi Password Manager-Prod" u="1"/>
        <s v="WellPoint Product Database Large Group-Test" u="1"/>
        <s v="TriMed Letter Application-Prod" u="1"/>
        <s v="RightFax-Prod" u="1"/>
        <s v="Strategic Provider System -SPS-Test" u="1"/>
        <s v="EDWard - Master Consumer ID-Prod" u="1"/>
        <s v="Anthem Complete View -ACV-Dev" u="1"/>
        <s v="CCQM Delegation Oversight Database-Test" u="1"/>
        <s v="National IT : NASCO - Backend Interface - Enrollment-Prod" u="1"/>
        <s v="GSPI On-Prem-Test" u="1"/>
        <s v="Large Group Client Reporting System-Dev" u="1"/>
        <s v="Plan Management Tool-Test" u="1"/>
        <s v="DBG-HRS2.0-Prod" u="1"/>
        <s v="Publishing-Test" u="1"/>
        <s v="OLS REFRESH-Prod" u="1"/>
        <s v="Anthem Sales Compensation System-Test" u="1"/>
        <s v="Cribl Stream-Prod" u="1"/>
        <s v="SPIDER - Benefit Query Application-Test" u="1"/>
        <s v="EBS - ESI Backend -IRx-Dev" u="1"/>
        <s v="Employer Reimagine-UAT" u="1"/>
        <s v="Wellpoint Medical Decision Support-maxMC-DR" u="1"/>
        <s v="TriMed Operations-Prod" u="1"/>
        <s v="QLIK-Dev" u="1"/>
        <s v="Enterprise Product Services-SPIDER Load Services-Prod" u="1"/>
        <s v="eHub - Enterprise Master Person Index -EMPI-SIT" u="1"/>
      </sharedItems>
    </cacheField>
    <cacheField name="AssetType" numFmtId="0">
      <sharedItems/>
    </cacheField>
    <cacheField name="AssetBundle" numFmtId="0">
      <sharedItems/>
    </cacheField>
    <cacheField name="DependentId" numFmtId="0">
      <sharedItems containsSemiMixedTypes="0" containsString="0" containsNumber="1" containsInteger="1" minValue="191458" maxValue="335802"/>
    </cacheField>
    <cacheField name="DependentName" numFmtId="0">
      <sharedItems containsBlank="1" count="3273">
        <s v="dc04tlpkaf400"/>
        <s v="dc04tlpkaf401"/>
        <s v="dc04tlpkaf402"/>
        <s v="dc04tlpkaf404"/>
        <s v="dc04tlpkaf405"/>
        <s v="dc04tlpkaf406"/>
        <s v="dc04tlpkaf407"/>
        <s v="dc04tlpkaf408"/>
        <s v="dc04tlpkaf409"/>
        <s v="dc04tlpkaf410"/>
        <s v="dc04tlpkaf417"/>
        <s v="dc04tlpkaf419"/>
        <s v="dc04tlpkaf421"/>
        <s v="dc04tlpkaf423"/>
        <s v="dc04tlpkaf424"/>
        <s v="dc04tlpkaf425"/>
        <s v="dc04tlpkaf426"/>
        <s v="dc04tlpkaf427"/>
        <s v="dc04tlpkaf428"/>
        <s v="dc04tlpkaf432"/>
        <s v="dc04tlpkaf434"/>
        <s v="dc04tlpkaf437"/>
        <s v="dc04tlpkaf438"/>
        <s v="dc04tlpkaf446"/>
        <s v="dc04tlpkaf447"/>
        <s v="dc04tlpkaf448"/>
        <s v="dc04tlpkaf449"/>
        <s v="dc04tlpkaf450"/>
        <s v="va10n10144"/>
        <s v="va10n10145"/>
        <s v="va10n10180"/>
        <s v="va10n10181"/>
        <s v="va10tuvdb2020"/>
        <s v="VA33DWPSQL311A"/>
        <s v="VA33DWPSQL311B"/>
        <s v="VA33PWVAXY003"/>
        <s v="VA33PWVAXY004"/>
        <s v="VA33TWPSQL303A"/>
        <s v="VA33TWPSQL303B"/>
        <s v="vaathmr421"/>
        <s v="vaathmr423"/>
        <s v="vaathmr427"/>
        <s v="vaathmr431"/>
        <s v="vaathmr433"/>
        <s v="vaathmr435"/>
        <s v="vaathmr672"/>
        <m u="1"/>
        <s v="dc04plpisk401" u="1"/>
        <s v="dc04plpisk402" u="1"/>
        <s v="DC04PWPCII400" u="1"/>
        <s v="DC04PWPCII401" u="1"/>
        <s v="DC04PWPCII402" u="1"/>
        <s v="DC04PWPCII403" u="1"/>
        <s v="DC04PWPCII404" u="1"/>
        <s v="va10plpdkr002" u="1"/>
        <s v="va10plpdkr406" u="1"/>
        <s v="va10plpdkr407" u="1"/>
        <s v="va10plpdkr408" u="1"/>
        <s v="va10plpdkr409" u="1"/>
        <s v="va10plpdkr410" u="1"/>
        <s v="va10plpsoa001" u="1"/>
        <s v="va10plpsoa002" u="1"/>
        <s v="VA33PLVMON002" u="1"/>
        <s v="va33plvtem019" u="1"/>
        <s v="va33plvtem020" u="1"/>
        <s v="VA33PLVTEM021" u="1"/>
        <s v="dc04plpisk414" u="1"/>
        <s v="dc04plpisk415" u="1"/>
        <s v="dc04plpwgs400" u="1"/>
        <s v="DC04PWPSQL301A" u="1"/>
        <s v="DC04PWPSQL301B" u="1"/>
        <s v="DC04PWPSQL302A" u="1"/>
        <s v="DC04PWPSQL302B" u="1"/>
        <s v="DC04PWPSQL303A" u="1"/>
        <s v="DC04PWPSQL303B" u="1"/>
        <s v="DC04PWPTAB400" u="1"/>
        <s v="DC04PWPTAB403" u="1"/>
        <s v="va10plpdkr001" u="1"/>
        <s v="va10plpdkr003" u="1"/>
        <s v="va10plpsoa005" u="1"/>
        <s v="va10plpsoa006" u="1"/>
        <s v="va10plpsoa010" u="1"/>
        <s v="va33puvtem001" u="1"/>
        <s v="va33puvtem002" u="1"/>
        <s v="va33puvwam001" u="1"/>
        <s v="va33puvwam002" u="1"/>
        <s v="va33puvwam003" u="1"/>
        <s v="va33puvwam004" u="1"/>
        <s v="VA33PUVWBS334" u="1"/>
        <s v="VA33PPWFC021C" u="1"/>
        <s v="VA33PWPMSC400" u="1"/>
        <s v="VA33PWPSQL308A" u="1"/>
        <s v="VA33PWPSQL308B" u="1"/>
        <s v="VA33PLPMDB001" u="1"/>
        <s v="va33plpmdb002" u="1"/>
        <s v="VA33PUVWBS010" u="1"/>
        <s v="VA33PUVWBS011" u="1"/>
        <s v="VA33PUVWBS012" u="1"/>
        <s v="VA33PUVWBS013" u="1"/>
        <s v="VA33PUVWBS014" u="1"/>
        <s v="VA33PUVWBS015" u="1"/>
        <s v="VA33PUVWBS016" u="1"/>
        <s v="VA33PUVWBS017" u="1"/>
        <s v="dc04tlpwpg400" u="1"/>
        <s v="dc04tlpwpg401" u="1"/>
        <s v="va10n10058" u="1"/>
        <s v="va10tlpiiq300" u="1"/>
        <s v="va10tlpiiq301" u="1"/>
        <s v="va10tlvwbs491" u="1"/>
        <s v="va33dlvmdb322" u="1"/>
        <s v="va33dlvmdb338" u="1"/>
        <s v="va33dpvmdb311" u="1"/>
        <s v="VA33DWVCTX001" u="1"/>
        <s v="VA33DWVCTX612" u="1"/>
        <s v="VA33DWVCTX613" u="1"/>
        <s v="VA33DWVPYT300" u="1"/>
        <s v="VA33TWPCRM404" u="1"/>
        <s v="VA33TWPCRM405" u="1"/>
        <s v="VA33TWPCRM414" u="1"/>
        <s v="VA33TWPCRM415" u="1"/>
        <s v="VA33TWPCRM416" u="1"/>
        <s v="VA33TWPCRM417" u="1"/>
        <s v="VA33TWPCRM419" u="1"/>
        <s v="VA33TWPCRM422" u="1"/>
        <s v="VA33TWPSAS001" u="1"/>
        <s v="vaathmr803" u="1"/>
        <s v="VA10N40253" u="1"/>
        <s v="va10tlvihs406" u="1"/>
        <s v="va10tlvihs407" u="1"/>
        <s v="va10tlvihs419" u="1"/>
        <s v="va10tlvihs420" u="1"/>
        <s v="va10tlvihs421" u="1"/>
        <s v="va10tlvihs422" u="1"/>
        <s v="va10tlvmdb346" u="1"/>
        <s v="va10tlvmdb347" u="1"/>
        <s v="va10tlvmdb348" u="1"/>
        <s v="va10tlvmdb349" u="1"/>
        <s v="va10tlvmdb350" u="1"/>
        <s v="va10tlvmdb470" u="1"/>
        <s v="va10tlvmdb471" u="1"/>
        <s v="va10tlvmdb472" u="1"/>
        <s v="va10tlvwbs505" u="1"/>
        <s v="va10tlvwbs506" u="1"/>
        <s v="va10tlvwbs510" u="1"/>
        <s v="va10tlvwbs511" u="1"/>
        <s v="va10tlvwbs512" u="1"/>
        <s v="va10tlvwbs513" u="1"/>
        <s v="va33dwviss343" u="1"/>
        <s v="DRCA47PWVEAA003" u="1"/>
        <s v="DRCA47PWVEAA004" u="1"/>
        <s v="VA10N50775" u="1"/>
        <s v="VA10PTWFC001A" u="1"/>
        <s v="VA10PTWFC001B" u="1"/>
        <s v="va10tlvmdb386" u="1"/>
        <s v="va10tlvmdb387" u="1"/>
        <s v="va10tlvmdb388" u="1"/>
        <s v="VA10TWVPEG401" u="1"/>
        <s v="VA10TWVSQL459" u="1"/>
        <s v="VA10TWVSQL460" u="1"/>
        <s v="va33dlvpeg328" u="1"/>
        <s v="VA33DWPSAS001" u="1"/>
        <s v="VA33DWPSQL001" u="1"/>
        <s v="VA33DWPSQL002" u="1"/>
        <s v="VA33PLVCSO001" u="1"/>
        <s v="VA33PLVCSO002" u="1"/>
        <s v="va33plvezz308" u="1"/>
        <s v="va33plvezz309" u="1"/>
        <s v="va33plvezz310" u="1"/>
        <s v="va33plvezz311" u="1"/>
        <s v="va33plvezz314" u="1"/>
        <s v="va33plvezz315" u="1"/>
        <s v="va33plvsmd322" u="1"/>
        <s v="va33plvsmd323" u="1"/>
        <s v="va33plvsmd324" u="1"/>
        <s v="va33plvsmd325" u="1"/>
        <s v="VA33PWVCUP001" u="1"/>
        <s v="VA33PWVCUP002" u="1"/>
        <s v="VA33PWVCUP003" u="1"/>
        <s v="VA33PWVCUP004" u="1"/>
        <s v="VA33PWVCUP005" u="1"/>
        <s v="VA33PWVCUP006" u="1"/>
        <s v="VA33PWVEAA006" u="1"/>
        <s v="VA33PWVEAA007" u="1"/>
        <s v="VA33PWVEAA008" u="1"/>
        <s v="VA33PWVEAA009" u="1"/>
        <s v="VA33PWVEAA012" u="1"/>
        <s v="VA33PWVEAA013" u="1"/>
        <s v="VA33PWVEAA014" u="1"/>
        <s v="VA33PWVEAA015" u="1"/>
        <s v="VA33PWVEAA016" u="1"/>
        <s v="VA33PWVEAA017" u="1"/>
        <s v="VA33PWVEAA303" u="1"/>
        <s v="VA33PWVEAA304" u="1"/>
        <s v="VA33PWVEPI307" u="1"/>
        <s v="VA33PWVEPI308" u="1"/>
        <s v="VA33PWVEPI309" u="1"/>
        <s v="VA33PWVEPI310" u="1"/>
        <s v="VA33PWVFTP300" u="1"/>
        <s v="VA33PWVGSS004" u="1"/>
        <s v="VA33PWVGSS005" u="1"/>
        <s v="VA33PWVGSS006" u="1"/>
        <s v="VA33PWVGSS007" u="1"/>
        <s v="va33tlpsoa001" u="1"/>
        <s v="va33tlpsoa002" u="1"/>
        <s v="va33tlpsoa003" u="1"/>
        <s v="va33tlpsoa005" u="1"/>
        <s v="va33tlpsoa006" u="1"/>
        <s v="va33tlpsoa007" u="1"/>
        <s v="va33tlpsoa009" u="1"/>
        <s v="va33tlpsoa015" u="1"/>
        <s v="va33tlpsoa016" u="1"/>
        <s v="va33tlpsoa017" u="1"/>
        <s v="va33tlpsoa018" u="1"/>
        <s v="va33tlpsoa019" u="1"/>
        <s v="va33tlpsoa301" u="1"/>
        <s v="va33tlvmdb437" u="1"/>
        <s v="va33tlvmdb474" u="1"/>
        <s v="va33tlvmdb476" u="1"/>
        <s v="va33tlvmdb478" u="1"/>
        <s v="VA33TLVMDB496" u="1"/>
        <s v="VA33TLVMDB497" u="1"/>
        <s v="va33tlvpeg353" u="1"/>
        <s v="va33tlvpeg354" u="1"/>
        <s v="va33tlvpeg356" u="1"/>
        <s v="VA33TLVPEG442" u="1"/>
        <s v="VA33TLVPEG453" u="1"/>
        <s v="VA33TLVPEG454" u="1"/>
        <s v="VA33TLVPEG455" u="1"/>
        <s v="VA33TLVPEG456" u="1"/>
        <s v="VA33TLVPEG457" u="1"/>
        <s v="va33tlvwbs577" u="1"/>
        <s v="va33tlvwbs579" u="1"/>
        <s v="VA33TWVPEG405" u="1"/>
        <s v="VA33TWVPEG408" u="1"/>
        <s v="VA33TWVPEG410" u="1"/>
        <s v="VA33TWVPEG411" u="1"/>
        <s v="VA33TWVPEG413" u="1"/>
        <s v="VA33TWVPEG523" u="1"/>
        <s v="VA33TWVSQL514" u="1"/>
        <s v="VA33TWVSQL516" u="1"/>
        <s v="VA33TWVSQL517" u="1"/>
        <s v="VA33TWVSQL524" u="1"/>
        <s v="VA33VDWFC006A" u="1"/>
        <s v="VA33VDWFC006B" u="1"/>
        <s v="va10p10075a" u="1"/>
        <s v="va10p10075b" u="1"/>
        <s v="va10plvacm300" u="1"/>
        <s v="va10plvapm306" u="1"/>
        <s v="va10plvapm307" u="1"/>
        <s v="va10plvapm319" u="1"/>
        <s v="va10plvapm320" u="1"/>
        <s v="va10plvbam328" u="1"/>
        <s v="va10plvbam329" u="1"/>
        <s v="va10plvbam330" u="1"/>
        <s v="VA10PLVBAM331" u="1"/>
        <s v="va10plvbam332" u="1"/>
        <s v="va10plvetm301" u="1"/>
        <s v="va10plvetm302" u="1"/>
        <s v="va10plvetm303" u="1"/>
        <s v="va10plvmdb306" u="1"/>
        <s v="va10plvmdb307" u="1"/>
        <s v="va10plvmdb309" u="1"/>
        <s v="va10plvmdb365" u="1"/>
        <s v="va10plvmdb366" u="1"/>
        <s v="va10plvmdb367" u="1"/>
        <s v="va10plvmdb380" u="1"/>
        <s v="va10plvmdb381" u="1"/>
        <s v="va10plvmdb382" u="1"/>
        <s v="va10plvmdb419" u="1"/>
        <s v="va10plvmdb420" u="1"/>
        <s v="va10plvmdb421" u="1"/>
        <s v="VA10PLVMDB592" u="1"/>
        <s v="VA10PLVMQS341" u="1"/>
        <s v="VA10PLVMQS342" u="1"/>
        <s v="VA10PLVMQS343" u="1"/>
        <s v="VA10PLVMQS344" u="1"/>
        <s v="va10plvnim319" u="1"/>
        <s v="va10plvnim320" u="1"/>
        <s v="va10plvwbs363" u="1"/>
        <s v="va10plvwbs368" u="1"/>
        <s v="va10plvwbs379" u="1"/>
        <s v="va10plvwbs380" u="1"/>
        <s v="va10plvwbs381" u="1"/>
        <s v="va10plvwbs382" u="1"/>
        <s v="va10plvwbs416" u="1"/>
        <s v="va10ppvmdb001" u="1"/>
        <s v="va10ppvmdb002" u="1"/>
        <s v="va10ppvmdb003" u="1"/>
        <s v="va10ppvmdb300" u="1"/>
        <s v="va10ppvmdb301" u="1"/>
        <s v="va10ppvmdb302" u="1"/>
        <s v="va10ppvmdb306" u="1"/>
        <s v="va10ppvmdb307" u="1"/>
        <s v="va10ppvmdb308" u="1"/>
        <s v="VA10PPVMDB309" u="1"/>
        <s v="VA10PPVMDB310" u="1"/>
        <s v="VA10PPVMDB311" u="1"/>
        <s v="VA10PPWFC016A" u="1"/>
        <s v="VA10PPWFC016B" u="1"/>
        <s v="VA10PUVDB2310" u="1"/>
        <s v="VA10PUVDB2311" u="1"/>
        <s v="VA10PWPSQL074" u="1"/>
        <s v="VA10PWVACE300" u="1"/>
        <s v="VA10PWVACE301" u="1"/>
        <s v="VA10PWVISS661" u="1"/>
        <s v="VA10PWVISS662" u="1"/>
        <s v="VA10PWVISS839" u="1"/>
        <s v="va33puvwbs302" u="1"/>
        <s v="va33puvwbs303" u="1"/>
        <s v="va33puvwbs304" u="1"/>
        <s v="va33puvwbs305" u="1"/>
        <s v="va10plvihs346" u="1"/>
        <s v="va10plvihs347" u="1"/>
        <s v="va10plvihs348" u="1"/>
        <s v="va10plvihs349" u="1"/>
        <s v="va10plvihs350" u="1"/>
        <s v="va10plvihs351" u="1"/>
        <s v="VA10PLVWBS354" u="1"/>
        <s v="va10plvwbs377" u="1"/>
        <s v="va10plvwbs394" u="1"/>
        <s v="va10plvwbs520" u="1"/>
        <s v="va10plvwbs521" u="1"/>
        <s v="va10plvwbs522" u="1"/>
        <s v="VA10PUVDB2003A" u="1"/>
        <s v="VA10PUVDB2003B" u="1"/>
        <s v="VA10PUVDB2303" u="1"/>
        <s v="VA10PUVDB2304" u="1"/>
        <s v="VA10PUVDB2312" u="1"/>
        <s v="VA10PUVDB2313" u="1"/>
        <s v="VA22PLPAXY412" u="1"/>
        <s v="VA22PLPAXY413" u="1"/>
        <s v="VA22PLPAXY414" u="1"/>
        <s v="VA22PLPAXY415" u="1"/>
        <s v="VA22PLPORC405" u="1"/>
        <s v="VA22PLPORC406" u="1"/>
        <s v="va22puvwbs001" u="1"/>
        <s v="va22puvwbs002" u="1"/>
        <s v="va22puvwbs003" u="1"/>
        <s v="va22puvwbs004" u="1"/>
        <s v="va22puvwbs005" u="1"/>
        <s v="va22puvwbs006" u="1"/>
        <s v="VA22PUVWBS300" u="1"/>
        <s v="VA22PUVWBS301" u="1"/>
        <s v="VA22PWPAXY400" u="1"/>
        <s v="VA22PWPAXY401" u="1"/>
        <s v="VA22PWPCEV300A" u="1"/>
        <s v="VA22PWPCEV300B" u="1"/>
        <s v="VA22PWPCEV301A" u="1"/>
        <s v="VA22PWPCEV301B" u="1"/>
        <s v="VA22PWPSQL335A" u="1"/>
        <s v="VA22PWPSQL335B" u="1"/>
        <s v="VA22PWPSQL336A" u="1"/>
        <s v="VA22PWPSQL336B" u="1"/>
        <s v="VA22PWPSQL337A" u="1"/>
        <s v="VA22PWPSQL337B" u="1"/>
        <s v="VA22PWVAXY302" u="1"/>
        <s v="VA22PWVAXY303" u="1"/>
        <s v="va22pwvcev304" u="1"/>
        <s v="va22pwviss346" u="1"/>
        <s v="va22pwviss347" u="1"/>
        <s v="va22pwviss348" u="1"/>
        <s v="va22pwviss349" u="1"/>
        <s v="va22pwviss350" u="1"/>
        <s v="va22pwviss351" u="1"/>
        <s v="VA22TWPCEV001A" u="1"/>
        <s v="VA22TWPCEV001B" u="1"/>
        <s v="VA22TWPSQL302A" u="1"/>
        <s v="VA22TWPSQL302B" u="1"/>
        <s v="va10puvfns001a" u="1"/>
        <s v="va10puvfns001b" u="1"/>
        <s v="va10puvfns003" u="1"/>
        <s v="va10puvorc007" u="1"/>
        <s v="va10puvwbs121" u="1"/>
        <s v="va10puvwbs122" u="1"/>
        <s v="va10puvwbs125" u="1"/>
        <s v="va10puvwbs126" u="1"/>
        <s v="va10puvwbs127" u="1"/>
        <s v="va10puvwbs128" u="1"/>
        <s v="va10puvwbs129" u="1"/>
        <s v="va10puvwbs130" u="1"/>
        <s v="va10puvwbs131" u="1"/>
        <s v="va10puvwbs132" u="1"/>
        <s v="va10puvwbs133" u="1"/>
        <s v="va10puvwbs134" u="1"/>
        <s v="va10puvwbs135" u="1"/>
        <s v="va10puvwbs136" u="1"/>
        <s v="VA10PWVAPP341" u="1"/>
        <s v="VA10PWVAPP342" u="1"/>
        <s v="VA10PWVFNO302" u="1"/>
        <s v="VA10PWVFNO303" u="1"/>
        <s v="VA10PWVIDC317" u="1"/>
        <s v="VA10PWVIDC318" u="1"/>
        <s v="VA10PWVIDC319" u="1"/>
        <s v="VA10PWVIDC320" u="1"/>
        <s v="VA10PWVIDC321" u="1"/>
        <s v="VA10PWVIDC322" u="1"/>
        <s v="VA10PWVIDC323" u="1"/>
        <s v="VA10PWVIDC324" u="1"/>
        <s v="VA10PWVIDC325" u="1"/>
        <s v="VA10PWVIDC326" u="1"/>
        <s v="VA10PWVIDC327" u="1"/>
        <s v="VA10PWVIDC328" u="1"/>
        <s v="VA10PWVIDC329" u="1"/>
        <s v="VA10PWVIDC330" u="1"/>
        <s v="VA10PWVIDC331" u="1"/>
        <s v="VA10PWVIDC332" u="1"/>
        <s v="VA10PWVIDC333" u="1"/>
        <s v="VA10PWVIDC334" u="1"/>
        <s v="VA10PWVIDC335" u="1"/>
        <s v="VA10PWVIDC336" u="1"/>
        <s v="VA10PWVIDC337" u="1"/>
        <s v="VA10PWVIDC338" u="1"/>
        <s v="VA10PWVIDC339" u="1"/>
        <s v="VA10PWVIDC340" u="1"/>
        <s v="VA10PWVIDC341" u="1"/>
        <s v="VA10PWVIDC343" u="1"/>
        <s v="VA10PWVIDC346" u="1"/>
        <s v="VA10PWVIDC347" u="1"/>
        <s v="VA10PWVIDC348" u="1"/>
        <s v="VA10PWVIDC349" u="1"/>
        <s v="VA10PWVIDC350" u="1"/>
        <s v="VA10PWVIDC351" u="1"/>
        <s v="VA10PWVIDC352" u="1"/>
        <s v="VA10PWVIDC354" u="1"/>
        <s v="VA10PWVIDC355" u="1"/>
        <s v="VA10PWVIDC356" u="1"/>
        <s v="VA10PWVIDC357" u="1"/>
        <s v="VA10PWVIDC358" u="1"/>
        <s v="VA10PWVIDC359" u="1"/>
        <s v="VA10PWVIDC360" u="1"/>
        <s v="VA10PWVIDC361" u="1"/>
        <s v="VA10PWVIDC362" u="1"/>
        <s v="VA10PWVIDC363" u="1"/>
        <s v="VA10PWVIDC364" u="1"/>
        <s v="VA10PWVIDC365" u="1"/>
        <s v="VA10PWVIDC366" u="1"/>
        <s v="VA10PWVIDC367" u="1"/>
        <s v="VA10PWVIDC368" u="1"/>
        <s v="VA10PWVIDC369" u="1"/>
        <s v="VA10PWVIDC370" u="1"/>
        <s v="VA10PWVIDC371" u="1"/>
        <s v="VA10PWVIDC372" u="1"/>
        <s v="VA10PWVIDC373" u="1"/>
        <s v="VA10PWVIDC374" u="1"/>
        <s v="VA10PWVIDC375" u="1"/>
        <s v="VA10PWVIDC376" u="1"/>
        <s v="VA10PWVIDC377" u="1"/>
        <s v="VA10PWVIDC378" u="1"/>
        <s v="VA10PWVIDC379" u="1"/>
        <s v="VA10PWVIDC380" u="1"/>
        <s v="VA10PWVIDC381" u="1"/>
        <s v="VA10PWVIDC382" u="1"/>
        <s v="VA10PWVIDC383" u="1"/>
        <s v="VA10PWVSAW312" u="1"/>
        <s v="VA10PWVSAW313" u="1"/>
        <s v="VA10PWVSAW322" u="1"/>
        <s v="VA10PWVSAW323" u="1"/>
        <s v="VA10PWVSAW324" u="1"/>
        <s v="VA10PWVSAW325" u="1"/>
        <s v="VA10PWVSAW326" u="1"/>
        <s v="VA10PWVSAW327" u="1"/>
        <s v="VA33PWVSAW306" u="1"/>
        <s v="vaathmr463" u="1"/>
        <s v="vaathmr464" u="1"/>
        <s v="vaathmr466" u="1"/>
        <s v="VA10PUVFPM001" u="1"/>
        <s v="VA10PUVFPM002" u="1"/>
        <s v="VA10PWVPPS300" u="1"/>
        <s v="VAATHMR018" u="1"/>
        <s v="VAATHMR019" u="1"/>
        <s v="VAATHMR740" u="1"/>
        <s v="VAATHMR741" u="1"/>
        <s v="VAATHMR742" u="1"/>
        <s v="VAATHMR743" u="1"/>
        <s v="VAATHMR744" u="1"/>
        <s v="VAATHMR745" u="1"/>
        <s v="VAATHMR746" u="1"/>
        <s v="HCIAPPDEV06" u="1"/>
        <s v="HCIAPPDEV07" u="1"/>
        <s v="va10dlvorc309" u="1"/>
        <s v="va10dlvpeg303" u="1"/>
        <s v="VA10DLVPEG305" u="1"/>
        <s v="VA10DLVPEG306" u="1"/>
        <s v="VA10DLVPEG307" u="1"/>
        <s v="VA10DLVPEG308" u="1"/>
        <s v="VA10DWVSMS302" u="1"/>
        <s v="va10n10131" u="1"/>
        <s v="va10n10132" u="1"/>
        <s v="va10tlvmdb374" u="1"/>
        <s v="va10tlvmdb390" u="1"/>
        <s v="VA10TLVPEG422" u="1"/>
        <s v="VA10TLVPEG423" u="1"/>
        <s v="va10tpvmdb001" u="1"/>
        <s v="va10tpvmdb002" u="1"/>
        <s v="va10tuvwbs122" u="1"/>
        <s v="va10tuvwbs123" u="1"/>
        <s v="VA10TWVSMS306" u="1"/>
        <s v="VA10TWVSQL452" u="1"/>
        <s v="va33dlpoas002" u="1"/>
        <s v="va33dlvpeg354" u="1"/>
        <s v="va33dlvpeg355" u="1"/>
        <s v="va33dlvpeg356" u="1"/>
        <s v="va33dlvpeg357" u="1"/>
        <s v="va33dlvpeg358" u="1"/>
        <s v="va33dlvpeg359" u="1"/>
        <s v="va33dlvpeg360" u="1"/>
        <s v="va33dlvpeg361" u="1"/>
        <s v="va33dlvpeg362" u="1"/>
        <s v="va33dlvpeg363" u="1"/>
        <s v="va33dlvpeg364" u="1"/>
        <s v="va33dlvpeg365" u="1"/>
        <s v="va33dlvpeg366" u="1"/>
        <s v="va33dlvpeg368" u="1"/>
        <s v="va33dlvpeg369" u="1"/>
        <s v="VA33DWVISS451" u="1"/>
        <s v="VA33DWVOGG300" u="1"/>
        <s v="va33tlpoas002" u="1"/>
        <s v="va33tlvmdb001" u="1"/>
        <s v="VA33TLVMDB427" u="1"/>
        <s v="va33tlvpeg400" u="1"/>
        <s v="VA33TLVPEG416" u="1"/>
        <s v="VA33TLVPEG486" u="1"/>
        <s v="va33tlvsoa329" u="1"/>
        <s v="va33tlvsoa331" u="1"/>
        <s v="va33tpvmdb005" u="1"/>
        <s v="va33tpvmdb006" u="1"/>
        <s v="VA33TWPSCC300" u="1"/>
        <s v="VA33TWVSQL413" u="1"/>
        <s v="VA33TWVSQL451" u="1"/>
        <s v="VA33TWVTCM300" u="1"/>
        <s v="VA33TWVTCM301" u="1"/>
        <s v="VA33TWVTES314" u="1"/>
        <s v="VA33VDWFC003A" u="1"/>
        <s v="VA33VDWFC003B" u="1"/>
        <s v="va10tlvezz372" u="1"/>
        <s v="va10tlvezz374" u="1"/>
        <s v="CA47PLVEDH001" u="1"/>
        <s v="CA47PLVEDH003" u="1"/>
        <s v="CA47PLVEDH004" u="1"/>
        <s v="CA47PLVEDW300" u="1"/>
        <s v="CA47PLVEDW301" u="1"/>
        <s v="CA47PLVICE300" u="1"/>
        <s v="CA47PLVICE301" u="1"/>
        <s v="ca47plvifm300" u="1"/>
        <s v="ca47plvifm301" u="1"/>
        <s v="CA47PLVIHS001" u="1"/>
        <s v="CA47PLVIHS002" u="1"/>
        <s v="CA47PLVIHS003" u="1"/>
        <s v="CA47PLVIHS004" u="1"/>
        <s v="CA47PPWFC001A" u="1"/>
        <s v="CA47PPWFC001B" u="1"/>
        <s v="CA47PPWFC004A" u="1"/>
        <s v="CA47PPWFC004B" u="1"/>
        <s v="CA47PPWFC005A" u="1"/>
        <s v="CA47PPWFC005B" u="1"/>
        <s v="CA47PPWFC008A" u="1"/>
        <s v="CA47PPWFC008B" u="1"/>
        <s v="CA47PPWFC010A" u="1"/>
        <s v="CA47PPWFC010B" u="1"/>
        <s v="CA47PPWFC013A" u="1"/>
        <s v="CA47PPWFC013B" u="1"/>
        <s v="CA47PPWFC016A" u="1"/>
        <s v="CA47PPWFC016B" u="1"/>
        <s v="CA47PVWFC008A" u="1"/>
        <s v="CA47PVWFC008B" u="1"/>
        <s v="CA47PVWFC018A" u="1"/>
        <s v="CA47PVWFC018B" u="1"/>
        <s v="CA47PVWFC019A" u="1"/>
        <s v="CA47PVWFC019B" u="1"/>
        <s v="CA47PVWFC020A" u="1"/>
        <s v="CA47PWPBAS400" u="1"/>
        <s v="CA47PWPSQL011A" u="1"/>
        <s v="CA47PWPSQL011B" u="1"/>
        <s v="CA47PWPSQL012A" u="1"/>
        <s v="CA47PWPSQL012B" u="1"/>
        <s v="CA47PWPSQL014A" u="1"/>
        <s v="CA47PWPSQL014B" u="1"/>
        <s v="CA47PWPSQL015" u="1"/>
        <s v="CA47PWPSQL017" u="1"/>
        <s v="CA47PWPSQL019A" u="1"/>
        <s v="CA47PWPSQL019B" u="1"/>
        <s v="CA47PWPSQL024" u="1"/>
        <s v="CA47PWPSQL300A" u="1"/>
        <s v="CA47PWPSQL300B" u="1"/>
        <s v="CA47PWPSQL301A" u="1"/>
        <s v="CA47PWPSQL301B" u="1"/>
        <s v="CA47PWPSQL302A" u="1"/>
        <s v="CA47PWPSQL302B" u="1"/>
        <s v="CA47PWPSQL303A" u="1"/>
        <s v="CA47PWPSQL303B" u="1"/>
        <s v="CA47PWPSQL304A" u="1"/>
        <s v="CA47PWPSQL304B" u="1"/>
        <s v="CA47PWPSQL305A" u="1"/>
        <s v="CA47PWPSQL305B" u="1"/>
        <s v="CA47PWPSQL306A" u="1"/>
        <s v="CA47PWPSQL306B" u="1"/>
        <s v="CA47PWPSQL400" u="1"/>
        <s v="CA47PWVAPP302" u="1"/>
        <s v="CA47PWVAPP314" u="1"/>
        <s v="CA47PWVAPP325" u="1"/>
        <s v="CA47PWVAPP326" u="1"/>
        <s v="CA47PWVAPP327" u="1"/>
        <s v="CA47PWVAPP328" u="1"/>
        <s v="CA47PWVAPP329" u="1"/>
        <s v="CA47PWVAPP330" u="1"/>
        <s v="CA47PWVAPP331" u="1"/>
        <s v="CA47PWVAPP332" u="1"/>
        <s v="CA47PWVAPP333" u="1"/>
        <s v="CA47PWVAPP334" u="1"/>
        <s v="CA47PWVCCF301" u="1"/>
        <s v="CA47PWVCCF309" u="1"/>
        <s v="CA47PWVCCF310" u="1"/>
        <s v="CA47PWVCCF311" u="1"/>
        <s v="CA47PWVCCF312" u="1"/>
        <s v="CA47PWVCCF313" u="1"/>
        <s v="CA47PWVCCF314" u="1"/>
        <s v="CA47PWVCCF315" u="1"/>
        <s v="CA47PWVCGN001" u="1"/>
        <s v="CA47PWVCGN002" u="1"/>
        <s v="CA47PWVCGN003" u="1"/>
        <s v="CA47PWVCGN004" u="1"/>
        <s v="CA47PWVCGN005" u="1"/>
        <s v="CA47PWVCGN300" u="1"/>
        <s v="CA47PWVCGN301" u="1"/>
        <s v="CA47PWVCSS001" u="1"/>
        <s v="CA47PWVCSS002" u="1"/>
        <s v="CA47PWVCSS300" u="1"/>
        <s v="CA47PWVCSS301" u="1"/>
        <s v="CA47PWVCSS302" u="1"/>
        <s v="CA47PWVCSS303" u="1"/>
        <s v="CA47PWVCTX016" u="1"/>
        <s v="CA47PWVCTX302" u="1"/>
        <s v="CA47PWVCTX303" u="1"/>
        <s v="CA47PWVCTX321" u="1"/>
        <s v="CA47PWVCTX322" u="1"/>
        <s v="CA47PWVCTX323" u="1"/>
        <s v="CA47PWVCTX368" u="1"/>
        <s v="CA47PWVCTX369" u="1"/>
        <s v="CA47PWVCTX370" u="1"/>
        <s v="ca47pwvcup001" u="1"/>
        <s v="CA47PWVCUP002" u="1"/>
        <s v="CA47PWVCUP003" u="1"/>
        <s v="CA47PWVCUP006" u="1"/>
        <s v="CA47PWVCUP007" u="1"/>
        <s v="CA47PWVCUP010" u="1"/>
        <s v="CA47PWVCUP011" u="1"/>
        <s v="CA47PWVCUP012" u="1"/>
        <s v="CA47PWVCUP013" u="1"/>
        <s v="ca47pwvcup016" u="1"/>
        <s v="ca47pwvcup017" u="1"/>
        <s v="CA47PWVCUP018" u="1"/>
        <s v="CA47PWVCUP019" u="1"/>
        <s v="CA47PWVCUP020" u="1"/>
        <s v="CA47PWVCUP021" u="1"/>
        <s v="CA47PWVCUP300" u="1"/>
        <s v="CA47PWVCUP303" u="1"/>
        <s v="CA47PWVCUP304" u="1"/>
        <s v="CA47PWVCUP305" u="1"/>
        <s v="CA47PWVCUP306" u="1"/>
        <s v="CA47PWVCUP307" u="1"/>
        <s v="CA47PWVECM301" u="1"/>
        <s v="CA47PWVECM302" u="1"/>
        <s v="CA47PWVECM303" u="1"/>
        <s v="CA47PWVECM304" u="1"/>
        <s v="ca47pwvedh300" u="1"/>
        <s v="ca47pwvedh301" u="1"/>
        <s v="CA47PWVGSF001" u="1"/>
        <s v="CA47PWVGSF002" u="1"/>
        <s v="CA47PWVGSF003" u="1"/>
        <s v="CA47PWVGSF004" u="1"/>
        <s v="CA47PWVGSS300" u="1"/>
        <s v="CA47PWVGSS301" u="1"/>
        <s v="CA47PWVGSS302" u="1"/>
        <s v="CA47PWVGSS303" u="1"/>
        <s v="CA47PWVISS030" u="1"/>
        <s v="CA47PWVISS031" u="1"/>
        <s v="ca47pwviss332" u="1"/>
        <s v="CA47PWVISS333" u="1"/>
        <s v="CA47PWVISS334" u="1"/>
        <s v="CA47PWVISS343" u="1"/>
        <s v="CA47PWVISS344" u="1"/>
        <s v="CA47PWVISS345" u="1"/>
        <s v="CA47PWVISS348" u="1"/>
        <s v="CA47PWVISS357" u="1"/>
        <s v="CA47PWVISS358" u="1"/>
        <s v="CA47PWVISS359" u="1"/>
        <s v="CA47PWVISS372" u="1"/>
        <s v="CA47PWVISS373" u="1"/>
        <s v="CA47PWVISS374" u="1"/>
        <s v="CA47PWVISS381" u="1"/>
        <s v="CA47PWVISS382" u="1"/>
        <s v="CA47PWVISS385" u="1"/>
        <s v="CA47PWVISS386" u="1"/>
        <s v="CA47PWVISS389" u="1"/>
        <s v="CA47PWVISS390" u="1"/>
        <s v="CA47PWVISS395" u="1"/>
        <s v="CA47PWVNG1002" u="1"/>
        <s v="CA47PWVNG1003" u="1"/>
        <s v="CA47PWVNG1301" u="1"/>
        <s v="CA47PWVNG1306" u="1"/>
        <s v="CA47PWVNG1313" u="1"/>
        <s v="CA47PWVNGA300" u="1"/>
        <s v="CA47PWVNGA301" u="1"/>
        <s v="CA47PWVNGA302" u="1"/>
        <s v="CA47PWVNGA303" u="1"/>
        <s v="CA47PWVNGA304" u="1"/>
        <s v="CA47PWVNGA305" u="1"/>
        <s v="CA47PWVNGA306" u="1"/>
        <s v="CA47PWVNGE300" u="1"/>
        <s v="CA47PWVNGE301" u="1"/>
        <s v="CA47PWVNGE302" u="1"/>
        <s v="CA47PWVNGE303" u="1"/>
        <s v="CA47PWVNGE304" u="1"/>
        <s v="CA47PWVNGE305" u="1"/>
        <s v="CA47PWVNGE306" u="1"/>
        <s v="CA47PWVNGE307" u="1"/>
        <s v="CA47PWVNGE308" u="1"/>
        <s v="CA47PWVNGW300" u="1"/>
        <s v="CA47PWVNGW301" u="1"/>
        <s v="CA47PWVNGW302" u="1"/>
        <s v="CA47PWVNGW303" u="1"/>
        <s v="CA47PWVNGW304" u="1"/>
        <s v="CA47PWVNGW305" u="1"/>
        <s v="CA47PWVNGW306" u="1"/>
        <s v="CA47PWVNGW308" u="1"/>
        <s v="CA47PWVNGW309" u="1"/>
        <s v="CA47PWVNGW310" u="1"/>
        <s v="CA47PWVPRN300" u="1"/>
        <s v="CA47PWVPRN301" u="1"/>
        <s v="CA47PWVSOA300" u="1"/>
        <s v="CA47PWVSOA301" u="1"/>
        <s v="CA47PWVSQL010" u="1"/>
        <s v="CA47PWVSQL017" u="1"/>
        <s v="CA47PWVSQL300" u="1"/>
        <s v="CA47PWVSQL301" u="1"/>
        <s v="ca47pwvsql304" u="1"/>
        <s v="CA47PWVSQL308" u="1"/>
        <s v="CA47PWVSQL316" u="1"/>
        <s v="CA47PWVSQL317" u="1"/>
        <s v="CA47PWVSQL318" u="1"/>
        <s v="CA47PWVSQL319" u="1"/>
        <s v="CA47PWVSQL320" u="1"/>
        <s v="CA47PWVSQL321" u="1"/>
        <s v="CA47PWVSQL325" u="1"/>
        <s v="CA47PWVSQL326" u="1"/>
        <s v="CA47PWVSQL329" u="1"/>
        <s v="CA47PWVSQL334" u="1"/>
        <s v="CA47PWVSQL335" u="1"/>
        <s v="CA47PWVSQL336" u="1"/>
        <s v="CA47PWVSQL339" u="1"/>
        <s v="CA47PWVSQL340" u="1"/>
        <s v="CA47PWVSQL347" u="1"/>
        <s v="CA47PWVWBS001" u="1"/>
        <s v="CA47PWVWBS002" u="1"/>
        <s v="CA47PWVWBS003" u="1"/>
        <s v="CA47PWVWBS004" u="1"/>
        <s v="CA47PWVWBS300" u="1"/>
        <s v="CA47PWVWBS301" u="1"/>
        <s v="CA47PWVWBS302" u="1"/>
        <s v="CA47PWVWBS303" u="1"/>
        <s v="CA47PWVWBS304" u="1"/>
        <s v="CA47PWVWBS305" u="1"/>
        <s v="CA47PWVWBS309" u="1"/>
        <s v="DBTDLV51" u="1"/>
        <s v="TDLMSTV51" u="1"/>
        <s v="TDLWFEV51" u="1"/>
        <s v="hlinks80" u="1"/>
        <s v="M600ANA001" u="1"/>
        <s v="MOM92PWVBAS002" u="1"/>
        <s v="MOM92PWVFLE001" u="1"/>
        <s v="MOM92PWVIIS002" u="1"/>
        <s v="MOM92PWVPNC056" u="1"/>
        <s v="MOM92PWVSQL001" u="1"/>
        <s v="MOM92PWVSQL011" u="1"/>
        <s v="MOM92PWVSQL035" u="1"/>
        <s v="MOM92PWVSQL046" u="1"/>
        <s v="MOM92PWVSQL122" u="1"/>
        <s v="mom9plvezz308" u="1"/>
        <s v="mom9plvezz309" u="1"/>
        <s v="MOM9PLVWBS338" u="1"/>
        <s v="MOM9PLVWBS339" u="1"/>
        <s v="mom9pwvbas300" u="1"/>
        <s v="MOM9PWVCTX325" u="1"/>
        <s v="MOM9PWVCTX326" u="1"/>
        <s v="MOM9PWVCTX328" u="1"/>
        <s v="MOM9PWVEAA343" u="1"/>
        <s v="MOM9PWVECG300" u="1"/>
        <s v="MOM9PWVISS427" u="1"/>
        <s v="MOM9PWVNFS300" u="1"/>
        <s v="va10dlvmdb317" u="1"/>
        <s v="va10dlvmdb318" u="1"/>
        <s v="va10dlvorc300" u="1"/>
        <s v="va10dlvorc301" u="1"/>
        <s v="va10dupwbs002" u="1"/>
        <s v="va10duvwbs007" u="1"/>
        <s v="va10duvwbs008" u="1"/>
        <s v="va10duvwbs012" u="1"/>
        <s v="va10duvwbs027" u="1"/>
        <s v="va10duvwbs039" u="1"/>
        <s v="va10duvwbs040" u="1"/>
        <s v="VA10DWVELK300" u="1"/>
        <s v="VA10DWVISS341" u="1"/>
        <s v="VA10DWVPEG304" u="1"/>
        <s v="VA10DWVPEG307" u="1"/>
        <s v="VA10DWVPEG308" u="1"/>
        <s v="VA10DWVSQL108" u="1"/>
        <s v="VA10DWVSQL367" u="1"/>
        <s v="VA10DWVSQL431" u="1"/>
        <s v="VA10DWVSQL441" u="1"/>
        <s v="VA10DWVSQL442" u="1"/>
        <s v="va10n10182" u="1"/>
        <s v="va10N40091" u="1"/>
        <s v="va10n40401" u="1"/>
        <s v="va10n40498" u="1"/>
        <s v="va10tlvwbs607" u="1"/>
        <s v="va10tlvwbs608" u="1"/>
        <s v="va10tlvwbs609" u="1"/>
        <s v="va10tlvwbs610" u="1"/>
        <s v="VA10TWVWMC300" u="1"/>
        <s v="va33dlpmdb002" u="1"/>
        <s v="va33dlvihs368" u="1"/>
        <s v="va33dlvihs379" u="1"/>
        <s v="va33dlvihs380" u="1"/>
        <s v="va33dlvihs381" u="1"/>
        <s v="va33dlvmdb330" u="1"/>
        <s v="va33dlvmdb333" u="1"/>
        <s v="va33dlvmdb344" u="1"/>
        <s v="va33dlvmdb350" u="1"/>
        <s v="va33dlvmdb352" u="1"/>
        <s v="VA33DLVPEG341" u="1"/>
        <s v="va33dlvsoa300" u="1"/>
        <s v="va33dlvsoa301" u="1"/>
        <s v="va33dlvsoa302" u="1"/>
        <s v="va33duvwbs339" u="1"/>
        <s v="va33duvwbs352" u="1"/>
        <s v="VA33DWVFLE300" u="1"/>
        <s v="VA33DWVFLE301" u="1"/>
        <s v="VA33DWVFSA300" u="1"/>
        <s v="VA33DWVFSA301" u="1"/>
        <s v="VA33DWVFSA302" u="1"/>
        <s v="va33dwviss345" u="1"/>
        <s v="VA33DWVISS447" u="1"/>
        <s v="VA33DWVISS570" u="1"/>
        <s v="VA33DWVPEG337" u="1"/>
        <s v="VA33DWVPEG338" u="1"/>
        <s v="VA33DWVPEG339" u="1"/>
        <s v="VA33DWVSIS304" u="1"/>
        <s v="VA33DWVSOA300" u="1"/>
        <s v="VA33DWVSQL314" u="1"/>
        <s v="VA33DWVSQL376" u="1"/>
        <s v="VA33DWVSQL390" u="1"/>
        <s v="VA33DWVSQL401" u="1"/>
        <s v="VA33DWVSQL408" u="1"/>
        <s v="VA33DWVSQL409" u="1"/>
        <s v="VA33DWVSQL446" u="1"/>
        <s v="VA33DWVSQL454" u="1"/>
        <s v="VA33DWVSQL456" u="1"/>
        <s v="VA33DWVSQL459" u="1"/>
        <s v="VA33DWVSQL460" u="1"/>
        <s v="va33tlpoas001" u="1"/>
        <s v="va33tlpoas003" u="1"/>
        <s v="va33tlpoas004" u="1"/>
        <s v="VA33TWVISS733" u="1"/>
        <s v="VA33TWVSQL505" u="1"/>
        <s v="VA33TWVSQL506" u="1"/>
        <s v="VAATHMR252" u="1"/>
        <s v="vaathmr430" u="1"/>
        <s v="vaathmr608" u="1"/>
        <s v="va10tlvihs402" u="1"/>
        <s v="va10tlvihs432" u="1"/>
        <s v="va10tlvihs442" u="1"/>
        <s v="va10tlvihs443" u="1"/>
        <s v="va10tuvwbs307" u="1"/>
        <s v="va10tuvwbs308" u="1"/>
        <s v="va10tuvwbs314" u="1"/>
        <s v="VA10TUVWBS315" u="1"/>
        <s v="VA33DX50VM01CLU04" u="1"/>
        <s v="VA10PLVNGX301" u="1"/>
        <s v="VA10PWVSQL561" u="1"/>
        <s v="VA10PWVCTX1435" u="1"/>
        <s v="VA10TWVISS595" u="1"/>
        <s v="VA10PWVISS732" u="1"/>
        <s v="VA10PWVISS824" u="1"/>
        <s v="VA10TWVHRS309" u="1"/>
        <s v="VA33PLPSPL403" u="1"/>
        <s v="va10tlvihs491" u="1"/>
        <s v="VA10TLVWBS332" u="1"/>
        <s v="VA10TLVWBS424" u="1"/>
        <s v="VA33DX50VM02CLU03" u="1"/>
        <s v="va10n40188" u="1"/>
        <s v="VA10PWVISS924" u="1"/>
        <s v="vaathmr892" u="1"/>
        <s v="va10plvwbs525" u="1"/>
        <s v="VA10PWPCII301" u="1"/>
        <s v="VA10TLVWBS340" u="1"/>
        <s v="VA33DX50VM03CLU02" u="1"/>
        <s v="VA33DLVAPS326" u="1"/>
        <s v="VA33TWVSQL319" u="1"/>
        <s v="VA10PWVISS888" u="1"/>
        <s v="VA10PWVISS840" u="1"/>
        <s v="va10n40152" u="1"/>
        <s v="VA10DLVAGS300" u="1"/>
        <s v="VA10TLVWBS532" u="1"/>
        <s v="VA10TLVWBS716" u="1"/>
        <s v="VA10PWVISS1068" u="1"/>
        <s v="VA33DX50VM04CLU01" u="1"/>
        <s v="va10n40232" u="1"/>
        <s v="VA10PLVPOS318" u="1"/>
        <s v="va10plvepi302" u="1"/>
        <s v="va10plvjre319" u="1"/>
        <s v="VA10PLVMQS336" u="1"/>
        <s v="va10tlvwbs496" u="1"/>
        <s v="VA10TLVWBS588" u="1"/>
        <s v="VA10TLVWBS540" u="1"/>
        <s v="VA10PWVISS1056" u="1"/>
        <s v="mom9plvsmd301" u="1"/>
        <s v="VA10PLVPOS326" u="1"/>
        <s v="VA10PWPTAB302" u="1"/>
        <s v="va10plpgrp401" u="1"/>
        <s v="va10plvdkr308" u="1"/>
        <s v="VA10PWVTDL303" u="1"/>
        <s v="VA10PWVNTS311" u="1"/>
        <s v="VA10TLVWBS596" u="1"/>
        <s v="VA10TLVWBS688" u="1"/>
        <s v="VA10PWVACE305" u="1"/>
        <s v="VA10PWVPEG393" u="1"/>
        <s v="VA33TLVSPS304" u="1"/>
        <s v="VA10PWVISS1044" u="1"/>
        <s v="va33tlvbam335" u="1"/>
        <s v="va33tlvihs310" u="1"/>
        <s v="VA10PWPTAB310" u="1"/>
        <s v="VA33PWVCTX338" u="1"/>
        <s v="VA33TWVSQL527" u="1"/>
        <s v="VA10PWVCTX1286" u="1"/>
        <s v="va10tlvwbs696" u="1"/>
        <s v="VA33TUVWBS348" u="1"/>
        <s v="va33tlvihs502" u="1"/>
        <s v="VA33TUVINF305" u="1"/>
        <s v="VA33TWPPEG303" u="1"/>
        <s v="VA10PLVPOS342" u="1"/>
        <s v="va10pupwbs003" u="1"/>
        <s v="va33dwviss342" u="1"/>
        <s v="VA33TWVISS614" u="1"/>
        <s v="va10n40243" u="1"/>
        <s v="VA33TWVCEV304" u="1"/>
        <s v="va33tlvnim335" u="1"/>
        <s v="VA10PWVISS1204" u="1"/>
        <s v="va33tlvihs510" u="1"/>
        <s v="va10n40507" u="1"/>
        <s v="VA10TZVPEG129" u="1"/>
        <s v="VA33TWVSIS301" u="1"/>
        <s v="VA33TUVWBS364" u="1"/>
        <s v="VA10PWVEAA301" u="1"/>
        <s v="va33tlvorc311" u="1"/>
        <s v="VA33TWVSTA307" u="1"/>
        <s v="VA10PLVMDB554" u="1"/>
        <s v="VA10PWVISS025" u="1"/>
        <s v="va10tlvpeg335" u="1"/>
        <s v="VA33TWVCTX361" u="1"/>
        <s v="VA10PWVCTX1434" u="1"/>
        <s v="va10tuvfct003" u="1"/>
        <s v="VA10PLPKAF403" u="1"/>
        <s v="va10tlpkaf402" u="1"/>
        <s v="va33dlvorc323" u="1"/>
        <s v="BDPR2R5W13PR" u="1"/>
        <s v="va10duvwbs006" u="1"/>
        <s v="VA10TUVINF007" u="1"/>
        <s v="VA33TWVISS730" u="1"/>
        <s v="va10plvsec324" u="1"/>
        <s v="VA10N40082" u="1"/>
        <s v="va33tlvihs582" u="1"/>
        <s v="va10plpspl477" u="1"/>
        <s v="VA33TWVAPP371" u="1"/>
        <s v="VA10PUVWBS059" u="1"/>
        <s v="VA10TUVWBS058" u="1"/>
        <s v="VA10DUVWBS014" u="1"/>
        <s v="VA10PLVIHS305" u="1"/>
        <s v="va10plvezz302" u="1"/>
        <s v="VA10PLVSEC332" u="1"/>
        <s v="VA10PWVBOO301" u="1"/>
        <s v="VA10N40242" u="1"/>
        <s v="VA10PLVKAF303" u="1"/>
        <s v="va10tlvkaf302" u="1"/>
        <s v="va10tuvwam001" u="1"/>
        <s v="va33tlvihs590" u="1"/>
        <s v="VA10TWVISS508" u="1"/>
        <s v="VA10PWVISS1159" u="1"/>
        <s v="WMDS-MaxMC Client Server-Database-Prod" u="1"/>
        <s v="va10n40506" u="1"/>
        <s v="VA10PLVEZZ358" u="1"/>
        <s v="VA10PWVEPI328" u="1"/>
        <s v="va10plvezz310" u="1"/>
        <s v="va33tlvjre309" u="1"/>
        <s v="VA33TLVMQS326" u="1"/>
        <s v="VA10PWVAPP102" u="1"/>
        <s v="VA10PWVEAA473" u="1"/>
        <s v="VA10PWVSQL346" u="1"/>
        <s v="va33dlvwbs399" u="1"/>
        <s v="VA10PLVKAF311" u="1"/>
        <s v="va10tlvkaf310" u="1"/>
        <s v="VA10PWVISS333" u="1"/>
        <s v="va10puvmqs006" u="1"/>
        <s v="VA10PWVISS1055" u="1"/>
        <s v="va10puvwbs075" u="1"/>
        <s v="VA10TUVWBS166" u="1"/>
        <s v="va10p40199" u="1"/>
        <s v="VA10PLVEZZ410" u="1"/>
        <s v="VA10PWVSQL446" u="1"/>
        <s v="VA10TWVSQL445" u="1"/>
        <s v="VA10DWVSQL401" u="1"/>
        <s v="VA10PWVISS341" u="1"/>
        <s v="VA10PWVISS617" u="1"/>
        <s v="VA10PWVSAW309" u="1"/>
        <s v="VA10TWVISS524" u="1"/>
        <s v="ATCK-VP100" u="1"/>
        <s v="VA10P50975" u="1"/>
        <s v="VA10PUVWBS311" u="1"/>
        <s v="VA10TLVIHS468" u="1"/>
        <s v="VA33TWVBAM313" u="1"/>
        <s v="va10n40185" u="1"/>
        <s v="va10plvihs421" u="1"/>
        <s v="VA10PWVSQL454" u="1"/>
        <s v="VA10TWVAPP301" u="1"/>
        <s v="VA33PWVOME001" u="1"/>
        <s v="VA10PWVCTX1285" u="1"/>
        <s v="va10tlpsoa402" u="1"/>
        <s v="VA10PWVISS625" u="1"/>
        <s v="VA10PWVISS1215" u="1"/>
        <s v="va10puvwbs091" u="1"/>
        <s v="VA10PLVWBS318" u="1"/>
        <s v="VA10TLVIHS476" u="1"/>
        <s v="VA10TLVWBS409" u="1"/>
        <s v="va10tlpsoa410" u="1"/>
        <s v="va33tuvmqm002" u="1"/>
        <s v="VA33TWVCAE302" u="1"/>
        <s v="va33tlvmdb444" u="1"/>
        <s v="VA10PWVISS1203" u="1"/>
        <s v="VA10VPWFC010A" u="1"/>
        <s v="VA10PLVNGX302" u="1"/>
        <s v="VA10PWVSQL470" u="1"/>
        <s v="VA10TWVISS596" u="1"/>
        <s v="VA33PLPSPL404" u="1"/>
        <s v="va10tlvihs492" u="1"/>
        <s v="va10plvapi307" u="1"/>
        <s v="VA10PWVCTX1433" u="1"/>
        <s v="VA10P50986" u="1"/>
        <s v="VA10PWVISS925" u="1"/>
        <s v="VA33DLVPOC324" u="1"/>
        <s v="VA10PWPCII302" u="1"/>
        <s v="VA33DLVAPS327" u="1"/>
        <s v="Document Retrieval System-Prod" u="1"/>
        <s v="VA10PWVISS889" u="1"/>
        <s v="VA33DWVEAA311" u="1"/>
        <s v="VA10PWVISS841" u="1"/>
        <s v="VA10TLVWBS533" u="1"/>
        <s v="VA10TLVWBS717" u="1"/>
        <s v="VA10PLVPOS319" u="1"/>
        <s v="VA10PWVISS897" u="1"/>
        <s v="VA33TWVISS407" u="1"/>
        <s v="VA10TLVWBS589" u="1"/>
        <s v="VA10TLVWBS541" u="1"/>
        <s v="VA10PWVISS1158" u="1"/>
        <s v="mom9plvsmd302" u="1"/>
        <s v="VA10PLVPOS327" u="1"/>
        <s v="VA10PWPTAB303" u="1"/>
        <s v="va10plpgrp402" u="1"/>
        <s v="va10plvdkr309" u="1"/>
        <s v="VA10PWVNTS312" u="1"/>
        <s v="VA10TLVWBS597" u="1"/>
        <s v="VA10TLVWBS689" u="1"/>
        <s v="va10tlvwbs641" u="1"/>
        <s v="VA10PWVISS1054" u="1"/>
        <s v="va33tlvihs311" u="1"/>
        <s v="mom9plvsmd310" u="1"/>
        <s v="VA33DWVCRM300" u="1"/>
        <s v="VA10P50985" u="1"/>
        <s v="va10tlvjre335" u="1"/>
        <s v="va10tlvwbs697" u="1"/>
        <s v="VA33TUVWBS349" u="1"/>
        <s v="BlueX (NASCO HIPAA 27X)-Prod" u="1"/>
        <s v="VA33TUVWBS301" u="1"/>
        <s v="VA10PWVISS1042" u="1"/>
        <s v="VA10PWVISS1134" u="1"/>
        <s v="VA33TUVINF306" u="1"/>
        <s v="VA33TWPPEG304" u="1"/>
        <s v="VA33TWVISS615" u="1"/>
        <s v="VA33TWVISS707" u="1"/>
        <s v="VA10PWVCTX1284" u="1"/>
        <s v="VA33TWVCEV305" u="1"/>
        <s v="va33tlvnim336" u="1"/>
        <s v="VA10PWVISS1214" u="1"/>
        <s v="va10n40435" u="1"/>
        <s v="VA33TWVISS715" u="1"/>
        <s v="VA33TWVSIS302" u="1"/>
        <s v="VA33TWPSQL300D" u="1"/>
        <s v="va33dlvorc316" u="1"/>
        <s v="va33tlvorc312" u="1"/>
        <s v="VA33TWVSTA308" u="1"/>
        <s v="VA10PWVISS1202" u="1"/>
        <s v="VA10PLVMDB555" u="1"/>
        <s v="va10tlvpeg336" u="1"/>
        <s v="VA33TWVAPP400" u="1"/>
        <s v="va10tuvfct004" u="1"/>
        <s v="VA33DLVAWS316" u="1"/>
        <s v="VA10PLPKAF404" u="1"/>
        <s v="va10tlpkaf403" u="1"/>
        <s v="va33tlvihs575" u="1"/>
        <s v="VA10PLVMDB563" u="1"/>
        <s v="VA10TUVINF008" u="1"/>
        <s v="VA10PWVCTX1432" u="1"/>
        <s v="va33tlvihs583" u="1"/>
        <s v="va10plpspl478" u="1"/>
        <s v="VA33TWVAPP372" u="1"/>
        <s v="VA10PWVISS1089" u="1"/>
        <s v="va10plvezz303" u="1"/>
        <s v="VA10PWVBOO302" u="1"/>
        <s v="VA10PWVSQL339" u="1"/>
        <s v="VA10PLVKAF304" u="1"/>
        <s v="va10tlvkaf303" u="1"/>
        <s v="va10tuvwam002" u="1"/>
        <s v="va33tlvihs591" u="1"/>
        <s v="VA33TLVWBS524" u="1"/>
        <s v="VA10TWVISS509" u="1"/>
        <s v="VA10TLVPEG360" u="1"/>
        <s v="VA33TWVAPP380" u="1"/>
        <s v="VA10DZVPEG210" u="1"/>
        <s v="VA10PLVEZZ359" u="1"/>
        <s v="VA10PWVEPI329" u="1"/>
        <s v="VA10PWVAPP103" u="1"/>
        <s v="VA10PWVEAA382" u="1"/>
        <s v="VA10PWVEAA474" u="1"/>
        <s v="VA10TWVSQL438" u="1"/>
        <s v="va10tlvkaf311" u="1"/>
        <s v="va10puvmqs007" u="1"/>
        <s v="VA10PWVISS1065" u="1"/>
        <s v="VA10PWVISS1157" u="1"/>
        <s v="va10plvspl330" u="1"/>
        <s v="VA10PUVWBS076" u="1"/>
        <s v="va33tlvmqs335" u="1"/>
        <s v="VA10PWVSQL447" u="1"/>
        <s v="VA10PWVSQL539" u="1"/>
        <s v="VA10TWVRBF305" u="1"/>
        <s v="VA33TLVWBS540" u="1"/>
        <s v="VA10PWVISS618" u="1"/>
        <s v="VA10TWVISS341" u="1"/>
        <s v="VA10TWVISS525" u="1"/>
        <s v="VA10PWVISS1053" u="1"/>
        <s v="VA10TLVIHS469" u="1"/>
        <s v="VA33TWVBAM314" u="1"/>
        <s v="va10plvihs422" u="1"/>
        <s v="VA10PWVAPP303" u="1"/>
        <s v="va10tlpsoa403" u="1"/>
        <s v="VA10PWVISS350" u="1"/>
        <s v="VA10PWVISS626" u="1"/>
        <s v="VA10PWVISS1041" u="1"/>
        <s v="va10puvwbs092" u="1"/>
        <s v="VA10PWPNTS013" u="1"/>
        <s v="VA10PUVWBS320" u="1"/>
        <s v="VA10TLVIHS477" u="1"/>
        <s v="VA33DWPCRM001" u="1"/>
        <s v="VA10PWVSQL463" u="1"/>
        <s v="va10tlpsoa411" u="1"/>
        <s v="VA33TWVCAE303" u="1"/>
        <s v="VA10PWVISS542" u="1"/>
        <s v="VA10PWVSIS313" u="1"/>
        <s v="VA33TLVMDB353" u="1"/>
        <s v="VA33DWVRMB301" u="1"/>
        <s v="VA10PWVISS1213" u="1"/>
        <s v="va10plvihs486" u="1"/>
        <s v="va10plvihs578" u="1"/>
        <s v="VA33DX50VM01CLU05" u="1"/>
        <s v="VA10VPWFC010B" u="1"/>
        <s v="VA10PLVNGX303" u="1"/>
        <s v="VA10PWVISS598" u="1"/>
        <s v="VA10TWVISS597" u="1"/>
        <s v="VA10PWVISS642" u="1"/>
        <s v="VA33TWPSQL300C" u="1"/>
        <s v="VA10PWVISS1201" u="1"/>
        <s v="VA33PLPSPL405" u="1"/>
        <s v="va10tlvihs493" u="1"/>
        <s v="VA33DX50VM02CLU04" u="1"/>
        <s v="VA10DWVPEG318" u="1"/>
        <s v="VA10PWVISS650" u="1"/>
        <s v="VA10PWVISS926" u="1"/>
        <s v="va33dlvpoc325" u="1"/>
        <s v="VA10PWPCII303" u="1"/>
        <s v="VA33DX50VM03CLU03" u="1"/>
        <s v="va10dlvwbs354" u="1"/>
        <s v="VA10TLVWBS534" u="1"/>
        <s v="VA10TLVWBS718" u="1"/>
        <s v="VA10PWVISS1088" u="1"/>
        <s v="VA33DX50VM04CLU02" u="1"/>
        <s v="VA10PZVADM001" u="1"/>
        <s v="VA10PWVPEG387" u="1"/>
        <s v="VA10TLVWBS542" u="1"/>
        <s v="va33tuvwbs010" u="1"/>
        <s v="mom9plvsmd303" u="1"/>
        <s v="VA10PLVPOS328" u="1"/>
        <s v="VA10PWPTAB304" u="1"/>
        <s v="va10plpgrp403" u="1"/>
        <s v="VA10PWVISS950" u="1"/>
        <s v="VA10TLVWBS598" u="1"/>
        <s v="VA10DLVWBS370" u="1"/>
        <s v="VA10PWVPEG395" u="1"/>
        <s v="VA10TLVWBS550" u="1"/>
        <s v="VA10PWVISS1064" u="1"/>
        <s v="VA10PWVISS1156" u="1"/>
        <s v="mom9plvsmd311" u="1"/>
        <s v="VA10PLVMDB300" u="1"/>
        <s v="VA33DWVCRM301" u="1"/>
        <s v="VA33TWVCLM300" u="1"/>
        <s v="va10tlvjre336" u="1"/>
        <s v="va10tlvwbs698" u="1"/>
        <s v="va33dlvwbl319" u="1"/>
        <s v="va33tlvnim329" u="1"/>
        <s v="VA33TUVWBS302" u="1"/>
        <s v="va33tlvihs320" u="1"/>
        <s v="va10plvmdb400" u="1"/>
        <s v="va33dwviss344" u="1"/>
        <s v="VA33TWVISS708" u="1"/>
        <s v="va10n40191" u="1"/>
        <s v="VA10PWVEAA067" u="1"/>
        <s v="VA10TWPSQL055" u="1"/>
        <s v="va33tlvnim337" u="1"/>
        <s v="va33tuvwbs310" u="1"/>
        <s v="va10plvbbt301" u="1"/>
        <s v="va10plvrcs300" u="1"/>
        <s v="VA10PWVISS1212" u="1"/>
        <s v="VA10PLVMDB556" u="1"/>
        <s v="va10tlvpeg337" u="1"/>
        <s v="VA33TWVAPP401" u="1"/>
        <s v="VA10PWVSQL048" u="1"/>
        <s v="VA33DLVAWS317" u="1"/>
        <s v="va10tlpkaf404" u="1"/>
        <s v="VA10PWVISS1200" u="1"/>
        <s v="VA10PLVMDB472" u="1"/>
        <s v="VA10PLVMDB564" u="1"/>
        <s v="BDPR2R4KF5" u="1"/>
        <s v="va10duvorc004" u="1"/>
        <s v="va10plvdkr350" u="1"/>
        <s v="Desktop Automated Reimage System-Prod" u="1"/>
        <s v="VA10PWVSQL148" u="1"/>
        <s v="VA10PWPSQL400" u="1"/>
        <s v="va33tlvihs584" u="1"/>
        <s v="va10plpspl479" u="1"/>
        <s v="VA33TWVAPP373" u="1"/>
        <s v="VA10PWVISS1099" u="1"/>
        <s v="va10tuvwbs012" u="1"/>
        <s v="VA10PLVIHS307" u="1"/>
        <s v="va10plvezz304" u="1"/>
        <s v="VA10PWVBOO303" u="1"/>
        <s v="VA10PWPAPP304" u="1"/>
        <s v="VA33TWVICR300" u="1"/>
        <s v="VA10PLVKAF305" u="1"/>
        <s v="va10tlvkaf304" u="1"/>
        <s v="VA10TLVPEG361" u="1"/>
        <s v="VA10TWVEMS301" u="1"/>
        <s v="VA33TWVAPP381" u="1"/>
        <s v="VA10PWVISS1087" u="1"/>
        <s v="VA10DZVPEG211" u="1"/>
        <s v="VA10PWVAPP104" u="1"/>
        <s v="VA10TWVSQL071" u="1"/>
        <s v="VA33TLVWBS397" u="1"/>
        <s v="va10tlvkaf312" u="1"/>
        <s v="VA10TPVMDB300" u="1"/>
        <s v="VA33TLVAPP308" u="1"/>
        <s v="VAATHMR005" u="1"/>
        <s v="VA10PLVEZZ320" u="1"/>
        <s v="va10plvezz412" u="1"/>
        <s v="VA10TWVRBF306" u="1"/>
        <s v="VA33TLVWBS541" u="1"/>
        <s v="VA10PWVISS619" u="1"/>
        <s v="VA10TWVISS342" u="1"/>
        <s v="VA10TWVISS526" u="1"/>
        <s v="VA33TWPWBL401" u="1"/>
        <s v="VA10PWVISS1155" u="1"/>
        <s v="VA10TUVWBS312" u="1"/>
        <s v="VA33TWVBAM315" u="1"/>
        <s v="VA10PWVSQL456" u="1"/>
        <s v="va10tlpsoa404" u="1"/>
        <s v="VA10DWVISS354" u="1"/>
        <s v="VA10PWVISS351" u="1"/>
        <s v="VA10PWVISS627" u="1"/>
        <s v="VA10PWVSIS306" u="1"/>
        <s v="VA10TWVISS534" u="1"/>
        <s v="VA33TLVMDB438" u="1"/>
        <s v="va10duvfpm001" u="1"/>
        <s v="va10puvwbs093" u="1"/>
        <s v="MicroFocus ZFE-Prod" u="1"/>
        <s v="va10plpmdb001" u="1"/>
        <s v="VA10DWVAPP315" u="1"/>
        <s v="VA10PWVSQL464" u="1"/>
        <s v="va33tuvmqm004" u="1"/>
        <s v="VA10PWVISS635" u="1"/>
        <s v="VA33TLVMDB354" u="1"/>
        <s v="VA33TLVMDB446" u="1"/>
        <s v="SYSC-VP100" u="1"/>
        <s v="VA33DWVRMB302" u="1"/>
        <s v="va10plvihs487" u="1"/>
        <s v="VA10PLVIHS579" u="1"/>
        <s v="VA10PLVORC324" u="1"/>
        <s v="va10plvngx304" u="1"/>
        <s v="va33tlvmqs360" u="1"/>
        <s v="VA10PWVSQL472" u="1"/>
        <s v="VA10PWVCTX1281" u="1"/>
        <s v="BDPR2R9KF4" u="1"/>
        <s v="VA10TWVISS598" u="1"/>
        <s v="VA10PWVISS643" u="1"/>
        <s v="VA10PWVISS735" u="1"/>
        <s v="VA10PWVISS1211" u="1"/>
        <s v="VA33PLPSPL406" u="1"/>
        <s v="VA10VPWFC011A" u="1"/>
        <s v="va33tlvjre399" u="1"/>
        <s v="VAATHMR004" u="1"/>
        <s v="VA10DWVSQL391" u="1"/>
        <s v="VA10PWVSQL480" u="1"/>
        <s v="VA10PWVISS927" u="1"/>
        <s v="VA10PWVPRA300" u="1"/>
        <s v="DWDEVCOP1" u="1"/>
        <s v="VA10DLVWBS347" u="1"/>
        <s v="VA10PWPCII304" u="1"/>
        <s v="VA10PLVCRB320" u="1"/>
        <s v="VA10PWVISS935" u="1"/>
        <s v="VA15PWPMSC001" u="1"/>
        <s v="va10dlvwbs355" u="1"/>
        <s v="VA10TLVWBS719" u="1"/>
        <s v="VA10PWVISS1098" u="1"/>
        <s v="VA10PWVEPS301" u="1"/>
        <s v="VA10PWVISS899" u="1"/>
        <s v="VA10PWVSEC312" u="1"/>
        <s v="VA10PWVMAR300" u="1"/>
        <s v="VA10PWVNTS306" u="1"/>
        <s v="VA10TLVWBS543" u="1"/>
        <s v="VA10VPWFC009A" u="1"/>
        <s v="VA10PWVISS1086" u="1"/>
        <s v="VA10PWVISS1178" u="1"/>
        <s v="BDPR2R8KF3" u="1"/>
        <s v="VA10PLVPOS329" u="1"/>
        <s v="va10plvsmd315" u="1"/>
        <s v="VA10PWVISS951" u="1"/>
        <s v="VA10PWVNTS314" u="1"/>
        <s v="VA10TLVWBS599" u="1"/>
        <s v="VA33DUVRMB310" u="1"/>
        <s v="VA10DLVWBS371" u="1"/>
        <s v="VA10PWVACE308" u="1"/>
        <s v="VA10TLVWBS551" u="1"/>
        <s v="va33dlvpin300" u="1"/>
        <s v="va33tlvbam338" u="1"/>
        <s v="mom9plvsmd312" u="1"/>
        <s v="VA10PLVMDB301" u="1"/>
        <s v="VA10DWVPAR300" u="1"/>
        <s v="VA33DWVISS337" u="1"/>
        <s v="va10tlvjre337" u="1"/>
        <s v="va10tlvwbs699" u="1"/>
        <s v="VA33TUVWBS303" u="1"/>
        <s v="VA10PWVISS1154" u="1"/>
        <s v="va33tlvihs321" u="1"/>
        <s v="va10plvmdb401" u="1"/>
        <s v="VA33DWVSQL402" u="1"/>
        <s v="va10dlvjre301" u="1"/>
        <s v="VA10PWVEAA068" u="1"/>
        <s v="VA10TWPSQL056" u="1"/>
        <s v="va10plvbbt302" u="1"/>
        <s v="va33dlvbam310" u="1"/>
        <s v="VA33TWVSQL362" u="1"/>
        <s v="VA33DWVISS445" u="1"/>
        <s v="VA33TWVISS717" u="1"/>
        <s v="BDPR2R7KF2" u="1"/>
        <s v="SYSD-VP100" u="1"/>
        <s v="va10plpocc400" u="1"/>
        <s v="VA10PLVSAW310" u="1"/>
        <s v="VA10PLVBBT310" u="1"/>
        <s v="VA33TWVAPP402" u="1"/>
        <s v="VA33TWVISS725" u="1"/>
        <s v="va10plvlha300" u="1"/>
        <s v="VA10PWVISS1210" u="1"/>
        <s v="VA10PLVMDB473" u="1"/>
        <s v="VA10PLVMDB565" u="1"/>
        <s v="VA33DWVSQL382" u="1"/>
        <s v="VA33TWVAPP410" u="1"/>
        <s v="va10duvpar300" u="1"/>
        <s v="va10plvdkr351" u="1"/>
        <s v="VA10TUVIHS300" u="1"/>
        <s v="VA10PLVOCC300" u="1"/>
        <s v="VA10TWPSQL400" u="1"/>
        <s v="va33tlvihs585" u="1"/>
        <s v="va10plvmdb481" u="1"/>
        <s v="VA33TWVAPP374" u="1"/>
        <s v="va10tuvrmb300" u="1"/>
        <s v="va10tuvwbs013" u="1"/>
        <s v="va10plvezz305" u="1"/>
        <s v="VA10PWVBOO304" u="1"/>
        <s v="VA10PLVKAF306" u="1"/>
        <s v="va10tlvkaf305" u="1"/>
        <s v="MOM9PUVWBS011" u="1"/>
        <s v="VA10TLVPEG362" u="1"/>
        <s v="VA33TWVAPP382" u="1"/>
        <s v="BDPR2R6KF1" u="1"/>
        <s v="RHI Clinical Tools-Prod" u="1"/>
        <s v="VA33TWVAPP390" u="1"/>
        <s v="VA10PWVISS1085" u="1"/>
        <s v="VA10TUVWBS169" u="1"/>
        <s v="va10puvwbs030" u="1"/>
        <s v="VA10TPVMDB301" u="1"/>
        <s v="VA10PLVIHS416" u="1"/>
        <s v="va10tlvezz368" u="1"/>
        <s v="VA10PLVBAM301" u="1"/>
        <s v="VA10PLVEZZ321" u="1"/>
        <s v="va10plvezz413" u="1"/>
        <s v="VA10TWVRBF307" u="1"/>
        <s v="VA33TLVWBS542" u="1"/>
        <s v="VA10TWVISS343" u="1"/>
        <s v="VA10TWVISS527" u="1"/>
        <s v="VA33TWVPEG430" u="1"/>
        <s v="VAATHMR013" u="1"/>
        <s v="va10duviih001" u="1"/>
        <s v="VA10PWVISS1165" u="1"/>
        <s v="va10plvorc309" u="1"/>
        <s v="VA10TUVWBS313" u="1"/>
        <s v="VA10PWVCXT300" u="1"/>
        <s v="va10tlpsoa405" u="1"/>
        <s v="VA10PWVISS352" u="1"/>
        <s v="VA10PWVISS628" u="1"/>
        <s v="VA10PWVSIS307" u="1"/>
        <s v="VA10TWVISS535" u="1"/>
        <s v="VA33TLVMDB439" u="1"/>
        <s v="va10puvwbs094" u="1"/>
        <s v="va10tuvwbs321" u="1"/>
        <s v="va10plpmdb002" u="1"/>
        <s v="VA33TLVMQS353" u="1"/>
        <s v="VA10PWVISS636" u="1"/>
        <s v="VA33TLVMDB355" u="1"/>
        <s v="VA33TLVMDB447" u="1"/>
        <s v="va33dlvmdb311" u="1"/>
        <s v="va10plvngx305" u="1"/>
        <s v="va33tlvmqs361" u="1"/>
        <s v="VA10DLPEDN400" u="1"/>
        <s v="VA10DWVSQL384" u="1"/>
        <s v="VA10DWVADX300" u="1"/>
        <s v="VA10TWVISS599" u="1"/>
        <s v="va10duvwmh001" u="1"/>
        <s v="VA10PWVISS828" u="1"/>
        <s v="VA33DX50DBADM01" u="1"/>
        <s v="VA10PWPSQL312B" u="1"/>
        <s v="VA33DX50VM02CLU05" u="1"/>
        <s v="VA10DWVSQL392" u="1"/>
        <s v="VA33TLVMDB463" u="1"/>
        <s v="VA10PWPCII305" u="1"/>
        <s v="VA33DX50VM03CLU04" u="1"/>
        <s v="VA10PLVCRB321" u="1"/>
        <s v="VA10DLVEDN300" u="1"/>
        <s v="VA10PWVSQL581" u="1"/>
        <s v="VA33DX50DBADM02" u="1"/>
        <s v="va10tlvwbs628" u="1"/>
        <s v="VA33DX50VM04CLU03" u="1"/>
        <s v="VA33TWVBSS301" u="1"/>
        <s v="VA10PWVSEC313" u="1"/>
        <s v="VA10PZVADM003" u="1"/>
        <s v="VA10TUVDB2300" u="1"/>
        <s v="VA10PWVNTS307" u="1"/>
        <s v="VA10PWVHPW300" u="1"/>
        <s v="VA10TLVWBS544" u="1"/>
        <s v="VA10VPWFC009B" u="1"/>
        <s v="va10plvsmd316" u="1"/>
        <s v="VA33DX50DBADM03" u="1"/>
        <s v="VA10P10019" u="1"/>
        <s v="VA10PWVNTS315" u="1"/>
        <s v="va10dlvwbs372" u="1"/>
        <s v="VA10TLVWBS552" u="1"/>
        <s v="VA10PWVISS1084" u="1"/>
        <s v="VA33TLVATC312" u="1"/>
        <s v="VA10PLVMDB302" u="1"/>
        <s v="VA10N10109" u="1"/>
        <s v="VA33TWVSQL347" u="1"/>
        <s v="va33tlvkaf312" u="1"/>
        <s v="va10tlvjre338" u="1"/>
        <s v="VA10TLVWBS560" u="1"/>
        <s v="VA33TUVWBS304" u="1"/>
        <s v="VA10PWVISS1164" u="1"/>
        <s v="BDPR2R9OGG1V" u="1"/>
        <s v="VA10PLVMDB310" u="1"/>
        <s v="va10plvmdb402" u="1"/>
        <s v="VA33DX50DBADM04" u="1"/>
        <s v="VA10DLVJRE302" u="1"/>
        <s v="VA10PWVEAA069" u="1"/>
        <s v="VA33TLVBAM355" u="1"/>
        <s v="va10puvdb2004b" u="1"/>
        <s v="VA10PLVJRE355" u="1"/>
        <s v="va10plpocc401" u="1"/>
        <s v="va33tlvorc315" u="1"/>
        <s v="VA10PLVBBT311" u="1"/>
        <s v="VA10TUVDB2011B" u="1"/>
        <s v="VA33TWVAPP403" u="1"/>
        <s v="VA33TWVISS726" u="1"/>
        <s v="VA10PWVCTX1290" u="1"/>
        <s v="va10plvlha301" u="1"/>
        <s v="VA10PLVMDB474" u="1"/>
        <s v="VA10PLVMDB566" u="1"/>
        <s v="VA10PWPSQL312A" u="1"/>
        <s v="VA33TWVAPP367" u="1"/>
        <s v="VA33TWVAPP411" u="1"/>
        <s v="va10n10108" u="1"/>
        <s v="va10duvpar301" u="1"/>
        <s v="va10plvdkr352" u="1"/>
        <s v="va10plvexc001" u="1"/>
        <s v="VA10PLVOCC301" u="1"/>
        <s v="va33tlvihs586" u="1"/>
        <s v="va10plvmdb482" u="1"/>
        <s v="VA33TWVAPP375" u="1"/>
        <s v="va10tuvrmb301" u="1"/>
        <s v="va10plvdkr360" u="1"/>
        <s v="VA10PUVWBS107" u="1"/>
        <s v="va10tuvwbs014" u="1"/>
        <s v="VA10PWVBOO305" u="1"/>
        <s v="VA10PLVKAF307" u="1"/>
        <s v="va10tlvkaf306" u="1"/>
        <s v="VA10PWVISS329" u="1"/>
        <s v="VA10TLVPEG363" u="1"/>
        <s v="VA33TWVAPP383" u="1"/>
        <s v="VA10PWVISS1199" u="1"/>
        <s v="VA10DZVPEG213" u="1"/>
        <s v="va10plvezz406" u="1"/>
        <s v="VA10PWVEAA385" u="1"/>
        <s v="va10plvmdb590" u="1"/>
        <s v="VA10PWVGID300" u="1"/>
        <s v="VA33TLPMDB400" u="1"/>
        <s v="VA33TWVAPP391" u="1"/>
        <s v="VA10TPVMDB302" u="1"/>
        <s v="VA10PLVIHS417" u="1"/>
        <s v="va10tlvezz369" u="1"/>
        <s v="vaathmr229" u="1"/>
        <s v="VA10PLVEZZ322" u="1"/>
        <s v="VA10PWVAPP022" u="1"/>
        <s v="VA10PWVSQL358" u="1"/>
        <s v="VA10DWVSQL405" u="1"/>
        <s v="VA10TWVRBF308" u="1"/>
        <s v="va33tlvwbs543" u="1"/>
        <s v="VA10TWVISS344" u="1"/>
        <s v="VA33TWVPEG431" u="1"/>
        <s v="va10tlvihs424" u="1"/>
        <s v="va10tlvols300" u="1"/>
        <s v="VAATHMR021" u="1"/>
        <s v="VA10PWVEPI300" u="1"/>
        <s v="VA33TLVMED300" u="1"/>
        <s v="VA10PWVCXT301" u="1"/>
        <s v="VA10PWVSQL410" u="1"/>
        <s v="va10tlpsoa406" u="1"/>
        <s v="VA10PWVISS353" u="1"/>
        <s v="VA10PWVISS629" u="1"/>
        <s v="VA10PWVISS1163" u="1"/>
        <s v="va10puvwbs095" u="1"/>
        <s v="va10tuvwbs322" u="1"/>
        <s v="va33tlvjre337" u="1"/>
        <s v="va33dlvmqs310" u="1"/>
        <s v="VA10PWVCTX1109" u="1"/>
        <s v="VA33TLVMDB448" u="1"/>
        <s v="va33tlvmdb400" u="1"/>
        <s v="va10puvdb2004a" u="1"/>
        <s v="va10tlvihs440" u="1"/>
        <s v="VA10DLPEDN401" u="1"/>
        <s v="VA10DWVSQL385" u="1"/>
        <s v="va33plvsaw302" u="1"/>
        <s v="VA10PWVSQL610" u="1"/>
        <s v="va10duvwmh002" u="1"/>
        <s v="VA10PWVISS553" u="1"/>
        <s v="VA10PWVISS645" u="1"/>
        <s v="VA10PWVISS737" u="1"/>
        <s v="VA10PWVISS829" u="1"/>
        <s v="VA10PWPSQL313B" u="1"/>
        <s v="VA10TUVDB2011A" u="1"/>
        <s v="va10plvihs497" u="1"/>
        <s v="va10p30119" u="1"/>
        <s v="vaathmr228" u="1"/>
        <s v="VA33TLVMDB464" u="1"/>
        <s v="VA10TLVWBS529" u="1"/>
        <s v="va10n10106" u="1"/>
        <s v="VA10PLVCRB322" u="1"/>
        <s v="vaathmr020" u="1"/>
        <s v="VA10DAVCOA001" u="1"/>
        <s v="va10tlvwbs629" u="1"/>
        <s v="VA33TUVWBS005" u="1"/>
        <s v="VA33TUVIHS300" u="1"/>
        <s v="VA10PLVCRB330" u="1"/>
        <s v="VA10PWVSQL590" u="1"/>
        <s v="VA10TUVDB2301" u="1"/>
        <s v="VA10PWVNTS308" u="1"/>
        <s v="VA33TUVRMB300" u="1"/>
        <s v="VA10PLVWBS362" u="1"/>
        <s v="VA10PWVHPW301" u="1"/>
        <s v="VA10TLVWBS545" u="1"/>
        <s v="VA33TUVWBS013" u="1"/>
        <s v="VA10PWVISS1198" u="1"/>
        <s v="va10dlvwbs373" u="1"/>
        <s v="VA10TLVWBS553" u="1"/>
        <s v="VA33TLVATC313" u="1"/>
        <s v="vaathmr227" u="1"/>
        <s v="vaathmr319" u="1"/>
        <s v="VA10TLVWBS561" u="1"/>
        <s v="VA33TUVWBS305" u="1"/>
        <s v="VA10PWVISS1082" u="1"/>
        <s v="VA10PLVMDB311" u="1"/>
        <s v="va10plvmdb403" u="1"/>
        <s v="va33plvezz321" u="1"/>
        <s v="va33tlvbam300" u="1"/>
        <s v="VA33DWVISS347" u="1"/>
        <s v="va10dlvjre303" u="1"/>
        <s v="VA10PLVJRE300" u="1"/>
        <s v="VA10PWPSQL011" u="1"/>
        <s v="VA10PLVMDB503" u="1"/>
        <s v="va10plvjre356" u="1"/>
        <s v="VA10PWVCTX1108" u="1"/>
        <s v="va10plpocc402" u="1"/>
        <s v="va10plvwbs670" u="1"/>
        <s v="va33tlvorc316" u="1"/>
        <s v="VA10PLVBBT312" u="1"/>
        <s v="va33tlvnim300" u="1"/>
        <s v="VA33TWVAPP404" u="1"/>
        <s v="VA33TWVISS543" u="1"/>
        <s v="VA33TWVISS727" u="1"/>
        <s v="va10plpocc410" u="1"/>
        <s v="va10p10038" u="1"/>
        <s v="VA10DWPSQL030" u="1"/>
        <s v="VAATHMR054" u="1"/>
        <s v="va10plvmdb383" u="1"/>
        <s v="va10plvmdb475" u="1"/>
        <s v="VA10PLVMDB567" u="1"/>
        <s v="VA10PWPSQL313A" u="1"/>
        <s v="VA33TWVAPP368" u="1"/>
        <s v="VA33TWVAPP412" u="1"/>
        <s v="VAATHMR226" u="1"/>
        <s v="VAATHMR318" u="1"/>
        <s v="va10plvexc002" u="1"/>
        <s v="VA10PLVOCC302" u="1"/>
        <s v="VA33TWPSQL403B" u="1"/>
        <s v="va33tlvihs587" u="1"/>
        <s v="va10plvmdb483" u="1"/>
        <s v="VA10TWVISS045" u="1"/>
        <s v="VA33VPWFC011B" u="1"/>
        <s v="VA10TLVPEG356" u="1"/>
        <s v="VA33TWVAPP376" u="1"/>
        <s v="va10tuvrmb302" u="1"/>
        <s v="VA10PWVBOO306" u="1"/>
        <s v="VA10PLVKAF308" u="1"/>
        <s v="va10tlvkaf307" u="1"/>
        <s v="VA10TLVPEG364" u="1"/>
        <s v="VA33TWVAPP384" u="1"/>
        <s v="VA33DWVSQL492" u="1"/>
        <s v="VA10DZVPEG214" u="1"/>
        <s v="va10tuvwbs023" u="1"/>
        <s v="va10plvezz407" u="1"/>
        <s v="VA10PWVEAA386" u="1"/>
        <s v="VA10PWVGID301" u="1"/>
        <s v="VA10PWVISS338" u="1"/>
        <s v="va33dlvwbs400" u="1"/>
        <s v="VA33DWVPEG336" u="1"/>
        <s v="VA33TLPMDB401" u="1"/>
        <s v="VA33TWVAPP392" u="1"/>
        <s v="VA10PWVISS1197" u="1"/>
        <s v="VA10PUVWBS032" u="1"/>
        <s v="VA10TPVMDB303" u="1"/>
        <s v="va10p10049" u="1"/>
        <s v="va10plvexc302" u="1"/>
        <s v="VA10DWVSQL406" u="1"/>
        <s v="VA10PWVSQL311" u="1"/>
        <s v="va33tlvwbs544" u="1"/>
        <s v="va10p10037" u="1"/>
        <s v="VA10TWVISS345" u="1"/>
        <s v="VA33TWVPEG432" u="1"/>
        <s v="va10p10209" u="1"/>
        <s v="va10tlvihs425" u="1"/>
        <s v="va10tlvols301" u="1"/>
        <s v="VAATHMR225" u="1"/>
        <s v="vaathmr409" u="1"/>
        <s v="VA10PWVEPI301" u="1"/>
        <s v="VA10TWVSQL410" u="1"/>
        <s v="VA33TLVWBS552" u="1"/>
        <s v="VA10PWVCTX1039" u="1"/>
        <s v="VA10DWVISS357" u="1"/>
        <s v="VA10PWVISS354" u="1"/>
        <s v="va33tlvmdb301" u="1"/>
        <s v="VA10PWVISS1081" u="1"/>
        <s v="va10puvwbs096" u="1"/>
        <s v="VA10PUVWBS140" u="1"/>
        <s v="va10tuvwbs323" u="1"/>
        <s v="va33tlvjre338" u="1"/>
        <s v="VA10PWVSQL467" u="1"/>
        <s v="VA33TWPSQL001" u="1"/>
        <s v="va33dlvmdb313" u="1"/>
        <s v="va33tlvmdb401" u="1"/>
        <s v="VA10PWVISS1161" u="1"/>
        <s v="va10tlvihs441" u="1"/>
        <s v="va10tlvnim310" u="1"/>
        <s v="VA10PWVSQL567" u="1"/>
        <s v="VA10PWVCTX1107" u="1"/>
        <s v="va10duvwmh003" u="1"/>
        <s v="VA10PWVISS646" u="1"/>
        <s v="VA33DLVDLX300" u="1"/>
        <s v="va10p30059" u="1"/>
        <s v="VA10PLVDFR300" u="1"/>
        <s v="SYSJ-VP102" u="1"/>
        <s v="va10plvihs498" u="1"/>
        <s v="va10tlvihs497" u="1"/>
        <s v="SYSI-VP100" u="1"/>
        <s v="va10p10048" u="1"/>
        <s v="VA10DUVINF300" u="1"/>
        <s v="VAATHMR248" u="1"/>
        <s v="va10plvctm309" u="1"/>
        <s v="VA10PWVSQL483" u="1"/>
        <s v="VA10PWVISS562" u="1"/>
        <s v="VA10PWVISS838" u="1"/>
        <s v="VA33TLVMDB465" u="1"/>
        <s v="VA33DX50VM03CLU05" u="1"/>
        <s v="va10n10126" u="1"/>
        <s v="va10p10208" u="1"/>
        <s v="VA10PLVCRB323" u="1"/>
        <s v="VA33TWPSQL403A" u="1"/>
        <s v="VA33TLVPEG347" u="1"/>
        <s v="VA10DAVCOA002" u="1"/>
        <s v="va10dlvwbs358" u="1"/>
        <s v="VA10TLVCIW300" u="1"/>
        <s v="VA33TPVMDB002" u="1"/>
        <s v="VA33DX50VM04CLU04" u="1"/>
        <s v="va33duvihs305" u="1"/>
        <s v="VA33TUVIHS301" u="1"/>
        <s v="VA10PLVCRB331" u="1"/>
        <s v="va33tlvbam001" u="1"/>
        <s v="VA10PWVSQL591" u="1"/>
        <s v="va10plvbas305" u="1"/>
        <s v="VA10TUVDB2302" u="1"/>
        <s v="VA10PWVNTS309" u="1"/>
        <s v="VA33TUVRMB301" u="1"/>
        <s v="VA10TLVWBS546" u="1"/>
        <s v="VA33TUVWBS014" u="1"/>
        <s v="VA33TLVATC306" u="1"/>
        <s v="VA10PWPTAB308" u="1"/>
        <s v="va10p10059" u="1"/>
        <s v="va10p30058" u="1"/>
        <s v="VA33DUVRMB313" u="1"/>
        <s v="vaathmr075" u="1"/>
        <s v="va10dlvwbs374" u="1"/>
        <s v="VA10TLVWBS370" u="1"/>
        <s v="VA10TLVWBS554" u="1"/>
        <s v="VA33TLVATC314" u="1"/>
        <s v="VA10PWVPAR300" u="1"/>
        <s v="DWNZPROD1" u="1"/>
        <s v="VA10PWVISS870" u="1"/>
        <s v="VA10TLVWBS562" u="1"/>
        <s v="VA33TPVMDB302" u="1"/>
        <s v="VA33TUVWBS306" u="1"/>
        <s v="VA10PLVMDB312" u="1"/>
        <s v="va10plvmdb404" u="1"/>
        <s v="va10tlvmdb311" u="1"/>
        <s v="va33tlvbam301" u="1"/>
        <s v="va10p10207" u="1"/>
        <s v="VA10PLVPOS300" u="1"/>
        <s v="VA33TWVSQL401" u="1"/>
        <s v="VA33TWVISS344" u="1"/>
        <s v="VA10N10021" u="1"/>
        <s v="VA10PLVJRE301" u="1"/>
        <s v="va10tlvjre300" u="1"/>
        <s v="VA10TLVWBS570" u="1"/>
        <s v="VA33TPVMDB310" u="1"/>
        <s v="vaathmr1191" u="1"/>
        <s v="VA10PLVMDB504" u="1"/>
        <s v="va33tlvxld303" u="1"/>
        <s v="va10plvjre357" u="1"/>
        <s v="va10plpocc403" u="1"/>
        <s v="va33tlvorc317" u="1"/>
        <s v="VA10PWVISS1160" u="1"/>
        <s v="VA10PLVBBT313" u="1"/>
        <s v="VA10TUVDB2013B" u="1"/>
        <s v="VA33TWVAPP405" u="1"/>
        <s v="BDPR2R11OGG2V" u="1"/>
        <s v="VA33TWVISS360" u="1"/>
        <s v="VA33TWVISS544" u="1"/>
        <s v="VA33TWVISS728" u="1"/>
        <s v="va10plpocc411" u="1"/>
        <s v="va10p10058" u="1"/>
        <s v="va10p30057" u="1"/>
        <s v="VAATHMR074" u="1"/>
        <s v="va10plvmdb384" u="1"/>
        <s v="va10plvmdb476" u="1"/>
        <s v="VA10PLVMDB568" u="1"/>
        <s v="VA33TWVAPP369" u="1"/>
        <s v="VA33TWVAPP413" u="1"/>
        <s v="va10p30045" u="1"/>
        <s v="va10plvdkr354" u="1"/>
        <s v="VA10PLVOCC303" u="1"/>
        <s v="va10n10044" u="1"/>
        <s v="VA10PWPSQL312" u="1"/>
        <s v="va33tlvihs588" u="1"/>
        <s v="VAATHMR1194" u="1"/>
        <s v="VA10TLVPEG357" u="1"/>
        <s v="VA33TWVAPP377" u="1"/>
        <s v="va10tuvrmb303" u="1"/>
        <s v="va10p10114" u="1"/>
        <s v="va10tuvwbs016" u="1"/>
        <s v="VAATHMR406" u="1"/>
        <s v="VA33DWVISS472" u="1"/>
        <s v="VA10DUPINF001" u="1"/>
        <s v="VA10PWVBOO307" u="1"/>
        <s v="VA10PLVKAF309" u="1"/>
        <s v="va10tlvkaf308" u="1"/>
        <s v="VA10TLVPEG365" u="1"/>
        <s v="VA33TLVINF302" u="1"/>
        <s v="VA33TWVAPP385" u="1"/>
        <s v="VA33DWVSQL493" u="1"/>
        <s v="va10tuvwbs024" u="1"/>
        <s v="VA10PWVAPP108" u="1"/>
        <s v="VAATHMR1196" u="1"/>
        <s v="VA10PWVISS339" u="1"/>
        <s v="va33dlvwbs401" u="1"/>
        <s v="VAATHMR189" u="1"/>
        <s v="VA33TLPMDB402" u="1"/>
        <s v="VA33TWVAPP393" u="1"/>
        <s v="VA10TPVMDB304" u="1"/>
        <s v="VA10P10069" u="1"/>
        <s v="va10plvexc303" u="1"/>
        <s v="VA33DWVISS580" u="1"/>
        <s v="va33tlvwbs545" u="1"/>
        <s v="va10n10159" u="1"/>
        <s v="va10p30056" u="1"/>
        <s v="VA10TWVISS346" u="1"/>
        <s v="VA33TWVPEG433" u="1"/>
        <s v="VAATHMR073" u="1"/>
        <s v="va10puviih001" u="1"/>
        <s v="DWNZPROD2" u="1"/>
        <s v="va10p30044" u="1"/>
        <s v="va10tlvihs426" u="1"/>
        <s v="VA10PWVEPI302" u="1"/>
        <s v="VA10PWVETI300" u="1"/>
        <s v="va10tlpsoa408" u="1"/>
        <s v="VA10TWVSQL411" u="1"/>
        <s v="VA33TLVWBS553" u="1"/>
        <s v="va10n10043" u="1"/>
        <s v="VA10PWVBNA304" u="1"/>
        <s v="va33tlvmdb302" u="1"/>
        <s v="VA10PWVISS1183" u="1"/>
        <s v="va10puvwbs097" u="1"/>
        <s v="va10tuvfpm001" u="1"/>
        <s v="VA10PUVWBS141" u="1"/>
        <s v="va10tuvwbs324" u="1"/>
        <s v="VA10PWVEPI310" u="1"/>
        <s v="vaathmr1050" u="1"/>
        <s v="VA10TWVAPP315" u="1"/>
        <s v="va33dlvwbs381" u="1"/>
        <s v="VA10PWVISS639" u="1"/>
        <s v="VA33DLVTCT320" u="1"/>
        <s v="va33tlvmdb402" u="1"/>
        <s v="va10dlvsps300" u="1"/>
        <s v="VA10PLPWBS400" u="1"/>
        <s v="va10tlvnim311" u="1"/>
        <s v="VA33TUVIHS002" u="1"/>
        <s v="vaathmr1051" u="1"/>
        <s v="VAATHMR1292" u="1"/>
        <s v="VA10PWVSQL568" u="1"/>
        <s v="VA10PWVCTX1117" u="1"/>
        <s v="va10duvwmh004" u="1"/>
        <s v="VA33DLVDLX301" u="1"/>
        <s v="VA10PLVDFR301" u="1"/>
        <s v="VA10PWPSQL315B" u="1"/>
        <s v="VA10TUVDB2013A" u="1"/>
        <s v="va10tlvihs498" u="1"/>
        <s v="va33tuvihs010" u="1"/>
        <s v="VA10P10068" u="1"/>
        <s v="VA10DUVINF301" u="1"/>
        <s v="VA10PLVCRB316" u="1"/>
        <s v="vaathmr1052" u="1"/>
        <s v="VA10PWVAPP332" u="1"/>
        <s v="VA10PWVCTX1105" u="1"/>
        <s v="VA10PWVISS563" u="1"/>
        <s v="VA33TLVMDB466" u="1"/>
        <s v="vaathmr072" u="1"/>
        <s v="VA10P10044" u="1"/>
        <s v="VA10P10228" u="1"/>
        <s v="va10p30043" u="1"/>
        <s v="VA10PLVCRB324" u="1"/>
        <s v="VAATHMR1053" u="1"/>
        <s v="VA33TLVPEG348" u="1"/>
        <s v="va10dlvwbs359" u="1"/>
        <s v="VA10TLVCIW301" u="1"/>
        <s v="VA10TLVWBS539" u="1"/>
        <s v="VA33TPVMDB003" u="1"/>
        <s v="VA10VPWFC013A" u="1"/>
        <s v="VA33TUVIHS302" u="1"/>
        <s v="va33tlvbam002" u="1"/>
        <s v="vaathmr1054" u="1"/>
        <s v="VA10N10202" u="1"/>
        <s v="VA10TUVDB2303" u="1"/>
        <s v="VA33TUVRMB302" u="1"/>
        <s v="VA10TLVWBS547" u="1"/>
        <s v="DWBDTEST1R1KF1" u="1"/>
        <s v="VA10PWPTAB309" u="1"/>
        <s v="va33tlvbam010" u="1"/>
        <s v="vaathmr1055" u="1"/>
        <s v="DWTEST2COP1" u="1"/>
        <s v="VA10PWVISS955" u="1"/>
        <s v="VA33DUVRMB314" u="1"/>
        <s v="va10plvwbs464" u="1"/>
        <s v="VA10TLVWBS555" u="1"/>
        <s v="VA33TLVATC315" u="1"/>
        <s v="va33tlvihs317" u="1"/>
        <s v="VA10P10067" u="1"/>
        <s v="vaathmr1056" u="1"/>
        <s v="VA10PWVPAR301" u="1"/>
        <s v="VA10PWVISS871" u="1"/>
        <s v="VA10N10157" u="1"/>
        <s v="va10plpocc020" u="1"/>
        <s v="va10plvmqs311" u="1"/>
        <s v="va10plvwbs564" u="1"/>
        <s v="VA10TLVWBS563" u="1"/>
        <s v="VA33TPVMDB303" u="1"/>
        <s v="va33tlvihs509" u="1"/>
        <s v="va10tlvmdb312" u="1"/>
        <s v="va33tlvbam302" u="1"/>
        <s v="VA10P10043" u="1"/>
        <s v="va10p10227" u="1"/>
        <s v="VAATHMR1057" u="1"/>
        <s v="VA10PLVPOS301" u="1"/>
        <s v="VA33TWVSQL402" u="1"/>
        <s v="VAATHMR1270" u="1"/>
        <s v="VA33TWVISS345" u="1"/>
        <s v="va10n10041" u="1"/>
        <s v="VA10PLVJRE302" u="1"/>
        <s v="va10tlvjre301" u="1"/>
        <s v="VA10TLVWBS571" u="1"/>
        <s v="va33tpvmdb311" u="1"/>
        <s v="VA10PWVISS1090" u="1"/>
        <s v="VA10PUVDB2007B" u="1"/>
        <s v="va10tuvdb2006b" u="1"/>
        <s v="VA10PLVMDB505" u="1"/>
        <s v="va33dlvbam314" u="1"/>
        <s v="VAATHMR1058" u="1"/>
        <s v="vaathmr311" u="1"/>
        <s v="va10plvjre358" u="1"/>
        <s v="VA10N10201" u="1"/>
        <s v="va10plpocc404" u="1"/>
        <s v="VA10PLVJRE310" u="1"/>
        <s v="VA10PLVBBT314" u="1"/>
        <s v="va33tlvnim302" u="1"/>
        <s v="va10puvdb2015b" u="1"/>
        <s v="VA33TWVAPP406" u="1"/>
        <s v="va10p30089" u="1"/>
        <s v="VA33DWVSQL330" u="1"/>
        <s v="VA33TWVSQL510" u="1"/>
        <s v="VA33TWVISS545" u="1"/>
        <s v="VA33TWVISS729" u="1"/>
        <s v="VA10PWVCTX1116" u="1"/>
        <s v="va10plvwbs680" u="1"/>
        <s v="va10plvmdb385" u="1"/>
        <s v="va10plvmdb477" u="1"/>
        <s v="VA10PWPSQL315A" u="1"/>
        <s v="VA33TWVAPP414" u="1"/>
        <s v="va10p10066" u="1"/>
        <s v="va10p10158" u="1"/>
        <s v="va10plvdkr355" u="1"/>
        <s v="VA10PUVORC006" u="1"/>
        <s v="VA10PLVOCC304" u="1"/>
        <s v="VA10N10156" u="1"/>
        <s v="VA10P70419" u="1"/>
        <s v="va33tlvihs589" u="1"/>
        <s v="va10plveen300" u="1"/>
        <s v="VA10TLVPEG358" u="1"/>
        <s v="VA33TWVAPP378" u="1"/>
        <s v="va10tuvrmb304" u="1"/>
        <s v="VAATHMR1047" u="1"/>
        <s v="va10tuvwbs017" u="1"/>
        <s v="VA10DUPINF002" u="1"/>
        <s v="va10plvezz309" u="1"/>
        <s v="OpenConnect-Prod" u="1"/>
        <s v="va10tlvkaf309" u="1"/>
        <s v="VA10TLVPEG366" u="1"/>
        <s v="VA33TLVINF303" u="1"/>
        <s v="VA33TWVAPP386" u="1"/>
        <s v="VA10P10110" u="1"/>
        <s v="vaathmr1048" u="1"/>
        <s v="VA10TZVPEG120" u="1"/>
        <s v="vaathmr310" u="1"/>
        <s v="VA10TLVIHS319" u="1"/>
        <s v="VA10PLVEZZ317" u="1"/>
        <s v="VA10PLVEZZ409" u="1"/>
        <s v="va10plvlrd300" u="1"/>
        <s v="VA33TLVWBS538" u="1"/>
        <s v="VA10PLVMDB593" u="1"/>
        <s v="VA10PWVGID303" u="1"/>
        <s v="va33dlvwbs402" u="1"/>
        <s v="Imanami GroupID-Prod" u="1"/>
        <s v="VA33TLPMDB403" u="1"/>
        <s v="VA33TWVAPP394" u="1"/>
        <s v="vaathmr1049" u="1"/>
        <s v="va10puvwbs034" u="1"/>
        <s v="VA10TPVMDB305" u="1"/>
        <s v="va10p30088" u="1"/>
        <s v="VA33DWVISS581" u="1"/>
        <s v="VA10DWVSQL408" u="1"/>
        <s v="va10p10169" u="1"/>
        <s v="VA33DWVPOC332" u="1"/>
        <s v="VA33TWVPEG434" u="1"/>
        <s v="va10tuviih001" u="1"/>
        <s v="va10duvwbs045" u="1"/>
        <s v="va10p10065" u="1"/>
        <s v="va10p10157" u="1"/>
        <s v="va10p30156" u="1"/>
        <s v="va10tlvihs427" u="1"/>
        <s v="VA10PWVEPI303" u="1"/>
        <s v="VA10PWVETI301" u="1"/>
        <s v="VA10PWVSQL413" u="1"/>
        <s v="VA10TWVSQL412" u="1"/>
        <s v="VA33TLVWBS370" u="1"/>
        <s v="VA10N10155" u="1"/>
        <s v="VA10P70418" u="1"/>
        <s v="va33tlvmdb303" u="1"/>
        <s v="va10puvwbs098" u="1"/>
        <s v="va10tuvfpm002" u="1"/>
        <s v="va10puvwbs050" u="1"/>
        <s v="VA10PUVWBS142" u="1"/>
        <s v="va10tuvwbs325" u="1"/>
        <s v="va10n10143" u="1"/>
        <s v="VA10P10041" u="1"/>
        <s v="VA10PLVIHS344" u="1"/>
        <s v="VA10PLVWBS001" u="1"/>
        <s v="VA10PWVEPI311" u="1"/>
        <s v="VA10PWVSQL469" u="1"/>
        <s v="va33dlvwbs382" u="1"/>
        <s v="VA33DWVPEG362" u="1"/>
        <s v="VA10PWVISS500" u="1"/>
        <s v="va33tlvmdb403" u="1"/>
        <s v="VA10PUVDB2007A" u="1"/>
        <s v="va10tuvdb2006a" u="1"/>
        <s v="va10n10211" u="1"/>
        <s v="va10dlvsps301" u="1"/>
        <s v="VA10PLPWBS401" u="1"/>
        <s v="va10tlpwbs400" u="1"/>
        <s v="va10tlvnim312" u="1"/>
        <s v="VA33TUVIHS003" u="1"/>
        <s v="VA10PLVCDC300" u="1"/>
        <s v="VA10PWVSQL569" u="1"/>
        <s v="VA10PWVSQL613" u="1"/>
        <s v="va33dlvwbs390" u="1"/>
        <s v="VA33TLVWBS570" u="1"/>
        <s v="va10duvwmh005" u="1"/>
        <s v="VA10PWVISS556" u="1"/>
        <s v="va10tuvwmh001" u="1"/>
        <s v="VA10PLVDFR302" u="1"/>
        <s v="va10puvdb2015a" u="1"/>
        <s v="va10tlvihs499" u="1"/>
        <s v="va10plvnim321" u="1"/>
        <s v="va10tlvnim320" u="1"/>
        <s v="VA33DWVBAM300" u="1"/>
        <s v="va33tuvihs011" u="1"/>
        <s v="va10p10088" u="1"/>
        <s v="va10p30087" u="1"/>
        <s v="VA10DUVINF302" u="1"/>
        <s v="VA10PLVCRB317" u="1"/>
        <s v="VA10PWVAPP333" u="1"/>
        <s v="va33plvcac300" u="1"/>
        <s v="VA10PWVCTX1115" u="1"/>
        <s v="VA10PLVDFR310" u="1"/>
        <s v="va10p10064" u="1"/>
        <s v="VA10P10156" u="1"/>
        <s v="va10p30155" u="1"/>
        <s v="VAATHMR1267" u="1"/>
        <s v="VA10PLVCRB325" u="1"/>
        <s v="vaathmr172" u="1"/>
        <s v="VA33TWVSQL003" u="1"/>
        <s v="VA10P70417" u="1"/>
        <s v="VA33TPVMDB004" u="1"/>
        <s v="VA33TUVWBS008" u="1"/>
        <s v="VA33DX50VM04CLU05" u="1"/>
        <s v="VA33TUVIHS303" u="1"/>
        <s v="VA10N50232" u="1"/>
        <s v="VA10P10132" u="1"/>
        <s v="va10p10224" u="1"/>
        <s v="VA10P51142" u="1"/>
        <s v="va33tlvbam003" u="1"/>
        <s v="VA10PWVSQL593" u="1"/>
        <s v="VA33TUVRMB303" u="1"/>
        <s v="VA10TLVWBS548" u="1"/>
        <s v="va10tlvwbs500" u="1"/>
        <s v="va10n10210" u="1"/>
        <s v="mom9plvsmd309" u="1"/>
        <s v="va33tlvbam011" u="1"/>
        <s v="VA10PWVISS864" u="1"/>
        <s v="VA10PWVISS956" u="1"/>
        <s v="VA10TUVDB2312" u="1"/>
        <s v="VA33DUVRMB315" u="1"/>
        <s v="va10plvwbs465" u="1"/>
        <s v="VA10TLVWBS556" u="1"/>
        <s v="VA10TLVWBS600" u="1"/>
        <s v="VA33TLVATC316" u="1"/>
        <s v="va33tlvihs318" u="1"/>
        <s v="va10p10087" u="1"/>
        <s v="va10p30086" u="1"/>
        <s v="VA10TWVPAR301" u="1"/>
        <s v="VA10PWVISS872" u="1"/>
        <s v="va10plpocc021" u="1"/>
        <s v="va10plvwbs565" u="1"/>
        <s v="VA10TLVWBS564" u="1"/>
        <s v="VA33TPVMDB304" u="1"/>
        <s v="va10tlvwbs700" u="1"/>
        <s v="va10tlvmdb313" u="1"/>
        <s v="va33tlvbam303" u="1"/>
        <s v="VA10P10063" u="1"/>
        <s v="va10p10155" u="1"/>
        <s v="VA10PLVPOS302" u="1"/>
        <s v="vaathmr171" u="1"/>
        <s v="VA10TZVAPP001" u="1"/>
        <s v="VA10PLVJRE303" u="1"/>
        <s v="VA10TLVWBS572" u="1"/>
        <s v="va33tpvmdb312" u="1"/>
        <s v="va10plvbbt307" u="1"/>
        <s v="VA10PUVDB2008B" u="1"/>
        <s v="VA10TLVMDB505" u="1"/>
        <s v="va33dlvbam315" u="1"/>
        <s v="VA10P10131" u="1"/>
        <s v="va10p10223" u="1"/>
        <s v="VA10P51141" u="1"/>
        <s v="VA10P70404" u="1"/>
        <s v="VA33TWVSQL367" u="1"/>
        <s v="VA10TUVIHS013" u="1"/>
        <s v="VA33TWVISS354" u="1"/>
        <s v="va10plvjre359" u="1"/>
        <s v="va10plpocc405" u="1"/>
        <s v="VA10PLVJRE311" u="1"/>
        <s v="VA10TLVWBS580" u="1"/>
        <s v="va33tlvihs434" u="1"/>
        <s v="va10plvmdb330" u="1"/>
        <s v="VA33TWVAPP407" u="1"/>
        <s v="va10plvjre367" u="1"/>
        <s v="va10plvwbs681" u="1"/>
        <s v="VA10PWVMIM300" u="1"/>
        <s v="va33dlvsps300" u="1"/>
        <s v="VA33TWVAPP415" u="1"/>
        <s v="va10p30085" u="1"/>
        <s v="va10plvdkr356" u="1"/>
        <s v="vaathmr194" u="1"/>
        <s v="VA10PWVCTX1114" u="1"/>
        <s v="VA10PLVOCC305" u="1"/>
        <s v="VA10P10166" u="1"/>
        <s v="va33tlvihs498" u="1"/>
        <s v="va33tuvwbs340" u="1"/>
        <s v="vaathmr1112" u="1"/>
        <s v="VA10PLVEEN301" u="1"/>
        <s v="va33tlvihs450" u="1"/>
        <s v="VA10TLVPEG359" u="1"/>
        <s v="VA33TWVAPP379" u="1"/>
        <s v="va10tuvrmb305" u="1"/>
        <s v="VA10P10062" u="1"/>
        <s v="va10p30061" u="1"/>
        <s v="VA10DZVPEG209" u="1"/>
        <s v="va10tuvwbs018" u="1"/>
        <s v="VA10PLVJRE383" u="1"/>
        <s v="VA10TLVPEG367" u="1"/>
        <s v="VA33TLVINF304" u="1"/>
        <s v="VA33TWVAPP387" u="1"/>
        <s v="va10plvspl329" u="1"/>
        <s v="va10p10222" u="1"/>
        <s v="VA10P51140" u="1"/>
        <s v="VA10TZVPEG121" u="1"/>
        <s v="VA10PLVEZZ318" u="1"/>
        <s v="va10p10210" u="1"/>
        <s v="VA10DWVSQL309" u="1"/>
        <s v="VA33TLVWBS539" u="1"/>
        <s v="vaathmr410" u="1"/>
        <s v="VA10PLVMDB594" u="1"/>
        <s v="VA10TLPMSP010" u="1"/>
        <s v="VA33TWVAPP395" u="1"/>
        <s v="va10puvwbs035" u="1"/>
        <s v="VA33DWVISS582" u="1"/>
        <s v="VA10PUVWBS319" u="1"/>
        <s v="VA10P10177" u="1"/>
        <s v="va10p30084" u="1"/>
        <s v="va10tlvihs428" u="1"/>
        <s v="VAATHMR193" u="1"/>
        <s v="VAATHMR285" u="1"/>
        <s v="va10plvezz334" u="1"/>
        <s v="VA10PWVEPI304" u="1"/>
        <s v="VA10TWVSQL413" u="1"/>
        <s v="VA33TLVWBS371" u="1"/>
        <s v="VA10P10165" u="1"/>
        <s v="VA10DWVISS312" u="1"/>
        <s v="VA10PWVISS401" u="1"/>
        <s v="va10tuvfpm003" u="1"/>
        <s v="va10puvwbs051" u="1"/>
        <s v="VA10PUVWBS143" u="1"/>
        <s v="VA10TUVWBS050" u="1"/>
        <s v="va10tuvwbs326" u="1"/>
        <s v="va10p10061" u="1"/>
        <s v="va10p30060" u="1"/>
        <s v="VA10PLVIHS345" u="1"/>
        <s v="va10plvwbs002" u="1"/>
        <s v="VA10PWVEPI312" u="1"/>
        <s v="VA10PWVSQL422" u="1"/>
        <s v="VA10PWVSQL514" u="1"/>
        <s v="va33dlvwbs383" u="1"/>
        <s v="VA10P70414" u="1"/>
        <s v="VA10PUVDB2008A" u="1"/>
        <s v="VA10PUVWBS151" u="1"/>
        <s v="va10p10221" u="1"/>
        <s v="VA10P70402" u="1"/>
        <s v="va10tlpwbs401" u="1"/>
        <s v="va10tlvnim313" u="1"/>
        <s v="VA33TUVIHS004" u="1"/>
        <s v="VA10PWVEPI320" u="1"/>
        <s v="VA10PWVSQL386" u="1"/>
        <s v="VA10PWVSQL478" u="1"/>
        <s v="va33dlvwbs391" u="1"/>
        <s v="VA33TLVWBS571" u="1"/>
        <s v="va10duvwmh006" u="1"/>
        <s v="VA10PWVISS557" u="1"/>
        <s v="VA10PWVISS649" u="1"/>
        <s v="va10tuvwmh002" u="1"/>
        <s v="VA10TWVISS600" u="1"/>
        <s v="VA10PLVDFR303" u="1"/>
        <s v="VA10TWPSQL040B" u="1"/>
        <s v="va10plvnim322" u="1"/>
        <s v="va33tuvihs012" u="1"/>
        <s v="VA10PLVCRB318" u="1"/>
        <s v="VA10DWVSQL397" u="1"/>
        <s v="VA10PWVSQL530" u="1"/>
        <s v="VA10PLVDFR311" u="1"/>
        <s v="VA10P10176" u="1"/>
        <s v="va10p30083" u="1"/>
        <s v="VA10PLVCRB326" u="1"/>
        <s v="vaathmr284" u="1"/>
        <s v="va10tuvbas300" u="1"/>
        <s v="VA33DWVEAA319" u="1"/>
        <s v="VA10PWVCTX1113" u="1"/>
        <s v="va10p10072" u="1"/>
        <s v="VA10P10164" u="1"/>
        <s v="va33dlvmdb340" u="1"/>
        <s v="VA10TLVWBS357" u="1"/>
        <s v="VA10PLVWBS310" u="1"/>
        <s v="VA33TUVIHS304" u="1"/>
        <s v="va10n10162" u="1"/>
        <s v="va10p10060" u="1"/>
        <s v="va33tlvbam004" u="1"/>
        <s v="VA10PWVISS949" u="1"/>
        <s v="va10n10242" u="1"/>
        <s v="VA10TUVDB2305" u="1"/>
        <s v="VA33TUVRMB304" u="1"/>
        <s v="VA10DLVWBS369" u="1"/>
        <s v="VA10TLVWBS549" u="1"/>
        <s v="VA33TUVWBS017" u="1"/>
        <s v="VA10VPWFC014A" u="1"/>
        <s v="VA10P51230" u="1"/>
        <s v="VA33TLVBAM012" u="1"/>
        <s v="va33tlvpeg410" u="1"/>
        <s v="va10plvwbs466" u="1"/>
        <s v="VA10PWVHRS303" u="1"/>
        <s v="VA10TLVWBS557" u="1"/>
        <s v="VA10TWVHRS302" u="1"/>
        <s v="VA10TLVWBS601" u="1"/>
        <s v="VA33TLVATC317" u="1"/>
        <s v="VA10PWVISS873" u="1"/>
        <s v="va10plvwbs566" u="1"/>
        <s v="VA10TLVWBS565" u="1"/>
        <s v="VA10TWVHRS310" u="1"/>
        <s v="VA33TPVMDB305" u="1"/>
        <s v="va33tuvwbs309" u="1"/>
        <s v="va10tlvwbs701" u="1"/>
        <s v="VA10P10175" u="1"/>
        <s v="VA10PLVPOS303" u="1"/>
        <s v="vaathmr283" u="1"/>
        <s v="VA10TZVAPP002" u="1"/>
        <s v="va10p10071" u="1"/>
        <s v="VA10P10255" u="1"/>
        <s v="va10plpwgs300" u="1"/>
        <s v="VA10PLVJRE304" u="1"/>
        <s v="VA10TLVWBS573" u="1"/>
        <s v="va33tpvmdb313" u="1"/>
        <s v="va10plvbbt308" u="1"/>
        <s v="va10tlvmdb414" u="1"/>
        <s v="va10n10161" u="1"/>
        <s v="VA10PLVPOS311" u="1"/>
        <s v="VA10TUVIHS014" u="1"/>
        <s v="VA33TWVISS539" u="1"/>
        <s v="VA33TWVPRM307" u="1"/>
        <s v="VA33TLVPEG390" u="1"/>
        <s v="va10n10241" u="1"/>
        <s v="va10plpocc406" u="1"/>
        <s v="VA10PLVJRE312" u="1"/>
        <s v="VA10PLVWBS674" u="1"/>
        <s v="va10plvmdb331" u="1"/>
        <s v="VA33TWVAPP408" u="1"/>
        <s v="va10plvdkr349" u="1"/>
        <s v="VA33DWVSQL516" u="1"/>
        <s v="va10plvjre368" u="1"/>
        <s v="VA10PLVJRE320" u="1"/>
        <s v="va10plvwbs682" u="1"/>
        <s v="VA10TLVWBS681" u="1"/>
        <s v="va33dlvsps301" u="1"/>
        <s v="VA10TWPSQL040A" u="1"/>
        <s v="VA33TWVAPP416" u="1"/>
        <s v="VAATHMR1205" u="1"/>
        <s v="VA10PWVIVR300" u="1"/>
        <s v="va10tuvihs306" u="1"/>
        <s v="VA10PWVCTX1124" u="1"/>
        <s v="va33tlvihs499" u="1"/>
        <s v="VA33TUVWBS341" u="1"/>
        <s v="VA10PLVEEN302" u="1"/>
        <s v="va33tlvihs451" u="1"/>
        <s v="va10tuvrmb306" u="1"/>
        <s v="VA10N10092" u="1"/>
        <s v="VA10P10174" u="1"/>
        <s v="va10puvorc016" u="1"/>
        <s v="va10tuvwbs019" u="1"/>
        <s v="VA33PWVSAW300" u="1"/>
        <s v="VA10PWVCTX1112" u="1"/>
        <s v="VA10N10172" u="1"/>
        <s v="VA10P10070" u="1"/>
        <s v="VA10P10254" u="1"/>
        <s v="va10p30345" u="1"/>
        <s v="VA10TLVPEG368" u="1"/>
        <s v="VA33DUVINF310" u="1"/>
        <s v="VA33TWVAPP388" u="1"/>
        <s v="va10n10160" u="1"/>
        <s v="VAATHMR1207" u="1"/>
        <s v="VA10PUVWBS028" u="1"/>
        <s v="VA10TUVWBS027" u="1"/>
        <s v="VA10TZVPEG122" u="1"/>
        <s v="CHIPS Supporting Systems-Prod" u="1"/>
        <s v="VA10P70411" u="1"/>
        <s v="VA33TLVWBS356" u="1"/>
        <s v="VA10PLVMDB595" u="1"/>
        <s v="VA10PWVGID305" u="1"/>
        <s v="VA33TWVPEG428" u="1"/>
        <s v="VA10PWVISS110" u="1"/>
        <s v="VA33TWVAPP396" u="1"/>
        <s v="va10puvwbs036" u="1"/>
        <s v="VA10TZVPEG130" u="1"/>
        <s v="VA33DWVISS583" u="1"/>
        <s v="VA33PWVHPW304" u="1"/>
        <s v="va33dlvwbs412" u="1"/>
        <s v="VA33DWVPOC334" u="1"/>
        <s v="va10tlvihs429" u="1"/>
        <s v="VA10PX0205" u="1"/>
        <s v="VA10DUVINF004" u="1"/>
        <s v="va10plvezz335" u="1"/>
        <s v="VA10PWVEPI305" u="1"/>
        <s v="VA33DLVMQS307" u="1"/>
        <s v="VA33TLVESC306" u="1"/>
        <s v="VA10TWVSQL414" u="1"/>
        <s v="va10p30184" u="1"/>
        <s v="VA10PX0101" u="1"/>
        <s v="VA10DWVISS313" u="1"/>
        <s v="VA10PWVISS402" u="1"/>
        <s v="VA33TLVMDB305" u="1"/>
        <s v="VA10PWVISS1009" u="1"/>
        <s v="va10puvwbs052" u="1"/>
        <s v="VA10PUVWBS144" u="1"/>
        <s v="VA10TUVWBS051" u="1"/>
        <s v="va10tuvwbs327" u="1"/>
        <s v="va10n10183" u="1"/>
        <s v="VA10P10173" u="1"/>
        <s v="va10tlvnim306" u="1"/>
        <s v="VAATHMR373" u="1"/>
        <s v="VA10PWVEPI313" u="1"/>
        <s v="va33dlvwbs384" u="1"/>
        <s v="va10p30344" u="1"/>
        <s v="vaathmr637" u="1"/>
        <s v="VA10PUVWBS060" u="1"/>
        <s v="VA10PUVWBS152" u="1"/>
        <s v="va10tlvnim314" u="1"/>
        <s v="VA33TUVIHS005" u="1"/>
        <s v="VA10PLVEZZ351" u="1"/>
        <s v="VA10PWVEPI321" u="1"/>
        <s v="va33dlvwbs392" u="1"/>
        <s v="VA33TLVWBS572" u="1"/>
        <s v="va10tuvwmh003" u="1"/>
        <s v="VA10PLVDFR304" u="1"/>
        <s v="va33tuvihs013" u="1"/>
        <s v="VA10PLVCRB319" u="1"/>
        <s v="VA10TUVINF300" u="1"/>
        <s v="VA10PWVAPP335" u="1"/>
        <s v="VA10PWVSQL623" u="1"/>
        <s v="VA10PWPLHA400" u="1"/>
        <s v="VA10PLVDFR312" u="1"/>
        <s v="va10plvihs554" u="1"/>
        <s v="VA10PLVCRB327" u="1"/>
        <s v="VA10PWVCTX1123" u="1"/>
        <s v="va10p10184" u="1"/>
        <s v="va10p30183" u="1"/>
        <s v="VA10PUVDB2023" u="1"/>
        <s v="VA10PWVSAW310" u="1"/>
        <s v="VA10PLVWBS311" u="1"/>
        <s v="VA33TUVIHS305" u="1"/>
        <s v="VA10P10172" u="1"/>
        <s v="va33tlvbam005" u="1"/>
        <s v="VA10PWVDAR300" u="1"/>
        <s v="VA10PWVCTX1111" u="1"/>
        <s v="VA33TWVIQP300" u="1"/>
        <s v="va10p30343" u="1"/>
        <s v="VA33DUVRMB309" u="1"/>
        <s v="VA33TUVRMB305" u="1"/>
        <s v="VA10TLVIAS001" u="1"/>
        <s v="VA10TLVWBS366" u="1"/>
        <s v="VA33DX50VM01CLU01" u="1"/>
        <s v="VA10P70513" u="1"/>
        <s v="VA10PWVISS590" u="1"/>
        <s v="VA10PWVISS866" u="1"/>
        <s v="VA10PWVOCC300" u="1"/>
        <s v="VA10TUVDB2314" u="1"/>
        <s v="va10pupsyb001" u="1"/>
        <s v="va33dlvofa314" u="1"/>
        <s v="va10plvwbs467" u="1"/>
        <s v="VA10TLVWBS558" u="1"/>
        <s v="VA10TWVHRS303" u="1"/>
        <s v="BDDVTS2KFCN7V" u="1"/>
        <s v="va10plvwbs511" u="1"/>
        <s v="VA10TLVWBS602" u="1"/>
        <s v="VA10TLVMDB307" u="1"/>
        <s v="VA10TWVPAR303" u="1"/>
        <s v="VA10PWVISS874" u="1"/>
        <s v="va10plvwbs567" u="1"/>
        <s v="VA10TLVWBS566" u="1"/>
        <s v="VA33TPVMDB306" u="1"/>
        <s v="va10tlvwbs702" u="1"/>
        <s v="VA10PLVPOS304" u="1"/>
        <s v="VA10PUVIHS008" u="1"/>
        <s v="VA10TZVAPP003" u="1"/>
        <s v="va10p10183" u="1"/>
        <s v="va10p30090" u="1"/>
        <s v="va10p30182" u="1"/>
        <s v="va10plpwgs301" u="1"/>
        <s v="VA10PLVJRE305" u="1"/>
        <s v="va10plvmqs322" u="1"/>
        <s v="va10plvsaw309" u="1"/>
        <s v="VA10PWVRDP300" u="1"/>
        <s v="vaathmr475" u="1"/>
        <s v="va10plvwbs483" u="1"/>
        <s v="va10tlvrrx001" u="1"/>
        <s v="VA10TLVWBS574" u="1"/>
        <s v="va33tpvmdb314" u="1"/>
        <s v="va10plvbbt309" u="1"/>
        <s v="VA10TLVWBS710" u="1"/>
        <s v="VA10PWVISS1008" u="1"/>
        <s v="va10tlvmdb415" u="1"/>
        <s v="VA10PLVPOS312" u="1"/>
        <s v="VA33DWVSQL417" u="1"/>
        <s v="VA33DWVSQL509" u="1"/>
        <s v="VA33TWVSQL321" u="1"/>
        <s v="va10tlvapp301" u="1"/>
        <s v="VA33TLVPEG391" u="1"/>
        <s v="va10p30342" u="1"/>
        <s v="va10plpocc407" u="1"/>
        <s v="VA10PLVJRE313" u="1"/>
        <s v="va10tlvjre312" u="1"/>
        <s v="VA10PLVWBS675" u="1"/>
        <s v="VA33TLVWBS001" u="1"/>
        <s v="VA10PLVPOS320" u="1"/>
        <s v="VA33TWVAPP409" u="1"/>
        <s v="VA10P10139A" u="1"/>
        <s v="VA10PLVJRE321" u="1"/>
        <s v="va10plvwbs683" u="1"/>
        <s v="VA10TLVWBS590" u="1"/>
        <s v="VA10TLVWBS682" u="1"/>
        <s v="va10plvmdb524" u="1"/>
        <s v="VA33TWVSQL385" u="1"/>
        <s v="VA10P10139B" u="1"/>
        <s v="va10puvorc009" u="1"/>
        <s v="va10tuvorc008" u="1"/>
        <s v="VA33TWVSQL521" u="1"/>
        <s v="VA10PLVDKR310" u="1"/>
        <s v="va10tuvihs307" u="1"/>
        <s v="VA10TLVWBS690" u="1"/>
        <s v="va33tuvwbs342" u="1"/>
        <s v="va33tlvihs452" u="1"/>
        <s v="VA10PAPSOA006B" u="1"/>
        <s v="VA33TWVSQL485" u="1"/>
        <s v="va10puvorc017" u="1"/>
        <s v="VA10TZVPEG115" u="1"/>
        <s v="AccumConnect-Prod" u="1"/>
        <s v="VA10TUPINF001" u="1"/>
        <s v="VA10PWVCTX1122" u="1"/>
        <s v="va10p10182" u="1"/>
        <s v="va10p30181" u="1"/>
        <s v="va33tuvwbs350" u="1"/>
        <s v="va10plvmdb588" u="1"/>
        <s v="VA33DUVINF311" u="1"/>
        <s v="VA33TWVAPP389" u="1"/>
        <s v="VA33DWVGRD011" u="1"/>
        <s v="va10p10170" u="1"/>
        <s v="VA10PUVWBS029" u="1"/>
        <s v="VA10TUVWBS028" u="1"/>
        <s v="VA10TZVPEG123" u="1"/>
        <s v="VA10PWVCTX1110" u="1"/>
        <s v="va10p30341" u="1"/>
        <s v="VA33TLVWBS357" u="1"/>
        <s v="va33dlvwbs313" u="1"/>
        <s v="VA33TWVPEG429" u="1"/>
        <s v="BDPR2KFCN10V" u="1"/>
        <s v="VA10PWVISS111" u="1"/>
        <s v="VA33TWVAPP397" u="1"/>
        <s v="VA10DWVWBS300" u="1"/>
        <s v="VA10TZVPEG131" u="1"/>
        <s v="VA33TUVDB2305" u="1"/>
        <s v="VA10PWVSQL408" u="1"/>
        <s v="VA10TWVSQL407" u="1"/>
        <s v="VA33PWVHPW305" u="1"/>
        <s v="va33dlvwbs413" u="1"/>
        <s v="VA10TWVISS302" u="1"/>
        <s v="VA33TWVISS680" u="1"/>
        <s v="VA10DUVINF005" u="1"/>
        <s v="VA10PWVEPI306" u="1"/>
        <s v="VA10PWVAPP036" u="1"/>
        <s v="VA33TLVESC307" u="1"/>
        <s v="VA10TWVSQL323" u="1"/>
        <s v="VA10PUVWBS145" u="1"/>
        <s v="va10tlvnim307" u="1"/>
        <s v="vaathmr393" u="1"/>
        <s v="VA10PWVEPI314" u="1"/>
        <s v="VA10DWVSQL335" u="1"/>
        <s v="VA10PWVSQL424" u="1"/>
        <s v="va33dlvwbs385" u="1"/>
        <s v="va10p30180" u="1"/>
        <s v="VAATHMR381" u="1"/>
        <s v="VA10PWVISS1007" u="1"/>
        <s v="VA10PUVWBS061" u="1"/>
        <s v="va10tlvnim315" u="1"/>
        <s v="va10tlvsps300" u="1"/>
        <s v="VA10PWVEPI322" u="1"/>
        <s v="VA10PWVSQL388" u="1"/>
        <s v="va33tlvjre303" u="1"/>
        <s v="va33dlvwbs393" u="1"/>
        <s v="va33tlvwbs573" u="1"/>
        <s v="va10tuvwmh004" u="1"/>
        <s v="VA10TWVISS510" u="1"/>
        <s v="va10pupfct001b" u="1"/>
        <s v="VA10PLVDFR305" u="1"/>
        <s v="VA10PWPSQL043B" u="1"/>
        <s v="VA33TUVIHS014" u="1"/>
        <s v="VA10PLVEZZ360" u="1"/>
        <s v="VA10DWVSQL399" u="1"/>
        <s v="VA10PWVSQL532" u="1"/>
        <s v="VA33PWPSQL023" u="1"/>
        <s v="va33tlvwbs581" u="1"/>
        <s v="VA10PWVISS567" u="1"/>
        <s v="va10puvdb2016" u="1"/>
        <s v="VA10PWPLHA401" u="1"/>
        <s v="va33dlvxap312" u="1"/>
        <s v="DWBDTS1R5OG1V" u="1"/>
        <s v="VA10PLVDFR313" u="1"/>
        <s v="va10plvihs371" u="1"/>
        <s v="va10plvihs555" u="1"/>
        <s v="va10tlvihs462" u="1"/>
        <s v="VA10PLVCRB328" u="1"/>
        <s v="VA10PWVSQL540" u="1"/>
        <s v="VA10PWVISS483" u="1"/>
        <s v="VA10PWVISS667" u="1"/>
        <s v="VA10TLVIHS470" u="1"/>
        <s v="va33tuvihs306" u="1"/>
        <s v="va33tlvbam006" u="1"/>
        <s v="VA33TLVRRX300" u="1"/>
        <s v="VA10PWVCTX1121" u="1"/>
        <s v="VA33TWVIQP301" u="1"/>
        <s v="VAATHMR380" u="1"/>
        <s v="VA10TLVIAS002" u="1"/>
        <s v="VA10TLVWBS367" u="1"/>
        <s v="VA33TUVWBS019" u="1"/>
        <s v="VA10PLVWBS320" u="1"/>
        <s v="VA10P51362" u="1"/>
        <s v="VA10PWVISS591" u="1"/>
        <s v="VA10TUVDB2315" u="1"/>
        <s v="VA10TLVWBS375" u="1"/>
        <s v="VA10TLVWBS559" u="1"/>
        <s v="VA10TWVHRS304" u="1"/>
        <s v="va10plvwbs512" u="1"/>
        <s v="VA10TLVWBS603" u="1"/>
        <s v="va33tlvezz318" u="1"/>
        <s v="VA10N10054A" u="1"/>
        <s v="VA10PWVISS875" u="1"/>
        <s v="va10plvwbs568" u="1"/>
        <s v="VA10TLVWBS567" u="1"/>
        <s v="VA33TPVMDB307" u="1"/>
        <s v="va10tlvwbs703" u="1"/>
        <s v="VA10N10054B" u="1"/>
        <s v="VA10PLVPOS305" u="1"/>
        <s v="VA33DWVSQL318" u="1"/>
        <s v="VA10PUVIHS009" u="1"/>
        <s v="VA10TZVAPP004" u="1"/>
        <s v="va10plpwgs302" u="1"/>
        <s v="VA10PLVJRE306" u="1"/>
        <s v="va10plvwbs484" u="1"/>
        <s v="va10tlvwbs391" u="1"/>
        <s v="VA10TLVWBS575" u="1"/>
        <s v="va33tuvwbs319" u="1"/>
        <s v="VA10TLVWBS711" u="1"/>
        <s v="VA10PWVISS1018" u="1"/>
        <s v="va10tlvmdb416" u="1"/>
        <s v="VA10PLVPOS313" u="1"/>
        <s v="vaathmr575" u="1"/>
        <s v="VA10PLVAPP075" u="1"/>
        <s v="VA33TLVPEG392" u="1"/>
        <s v="va10plpocc408" u="1"/>
        <s v="VA10PLVJRE314" u="1"/>
        <s v="va10plvmqs331" u="1"/>
        <s v="va10tlvjre313" u="1"/>
        <s v="VA10PLVWBS676" u="1"/>
        <s v="VA33TLVWBS002" u="1"/>
        <s v="VA10PLVPOS321" u="1"/>
        <s v="va10plvapp311" u="1"/>
        <s v="VA10PLVJRE322" u="1"/>
        <s v="va10plvwbs684" u="1"/>
        <s v="VA10TLVWBS591" u="1"/>
        <s v="VA10TLVWBS683" u="1"/>
        <s v="VA10TWPSQL308" u="1"/>
        <s v="va33tuvwbs335" u="1"/>
        <s v="va10pupfct001a" u="1"/>
        <s v="va33dlvsps303" u="1"/>
        <s v="VA10PWPSQL043A" u="1"/>
        <s v="va10plvmdb525" u="1"/>
        <s v="VA33TWVSQL522" u="1"/>
        <s v="va10plvdkr311" u="1"/>
        <s v="VA33TWVISS649" u="1"/>
        <s v="VA10PWVEAA052" u="1"/>
        <s v="VA10TLVWBS691" u="1"/>
        <s v="va33tuvwbs343" u="1"/>
        <s v="va10plvmdb397" u="1"/>
        <s v="va10plvmdb441" u="1"/>
        <s v="VA10P10111A" u="1"/>
        <s v="VA10TZVPEG116" u="1"/>
        <s v="va33dlvwbl320" u="1"/>
        <s v="va10plvmdb589" u="1"/>
        <s v="va33tlvnim330" u="1"/>
        <s v="VA33DWVGRD012" u="1"/>
        <s v="VA33TWVSQL494" u="1"/>
        <s v="VA10P10111B" u="1"/>
        <s v="VA10TZVPEG124" u="1"/>
        <s v="VA33DWVISS577" u="1"/>
        <s v="VA10PWVCTX1120" u="1"/>
        <s v="VA33TLVWBS358" u="1"/>
        <s v="va33dlvwbs314" u="1"/>
        <s v="va33dlvwbs406" u="1"/>
        <s v="va10tlpmsp013" u="1"/>
        <s v="VA33TWVAPP398" u="1"/>
        <s v="va10plvsec311" u="1"/>
        <s v="VA10PWVSQL409" u="1"/>
        <s v="VA10TWVSQL408" u="1"/>
        <s v="VA33PWVHPW306" u="1"/>
        <s v="va33tlvwbs366" u="1"/>
        <s v="va33dlvwbs414" u="1"/>
        <s v="VA10TWVISS303" u="1"/>
        <s v="VA33TWVISS681" u="1"/>
        <s v="VA10DUVINF006" u="1"/>
        <s v="VA10PWVEPI307" u="1"/>
        <s v="VA10TLVBAM316" u="1"/>
        <s v="VA33TLVESC308" u="1"/>
        <s v="VA10PUVWBS146" u="1"/>
        <s v="VA10TUVWBS053" u="1"/>
        <s v="va10plvihs300" u="1"/>
        <s v="VA10PWVEPI315" u="1"/>
        <s v="VA10PWVSQL517" u="1"/>
        <s v="va33dlvwbs386" u="1"/>
        <s v="va10plpspl480" u="1"/>
        <s v="VA10PWVISS1017" u="1"/>
        <s v="VA10TUVWBS061" u="1"/>
        <s v="va10tlvnim316" u="1"/>
        <s v="va10tlvsps301" u="1"/>
        <s v="VA10PWVEPI323" u="1"/>
        <s v="va10tlvezz352" u="1"/>
        <s v="va33tlvjre304" u="1"/>
        <s v="va33dlvwbs394" u="1"/>
        <s v="VA33TLVWBS574" u="1"/>
        <s v="VA33TWVPEG370" u="1"/>
        <s v="VA10DWVISS331" u="1"/>
        <s v="VA10TWVISS511" u="1"/>
        <s v="VA33TLVMDB415" u="1"/>
        <s v="va10pupfct002b" u="1"/>
        <s v="VA10PLVDFR306" u="1"/>
        <s v="VA10N50725" u="1"/>
        <s v="VA10TLVIHS363" u="1"/>
        <s v="va10tlvnim324" u="1"/>
        <s v="VA33TUVIHS015" u="1"/>
        <s v="VA10PLVEZZ361" u="1"/>
        <s v="VA10TWVSQL396" u="1"/>
        <s v="VA33PWPSQL024" u="1"/>
        <s v="VA10PWVISS568" u="1"/>
        <s v="VA10PWPSAS411" u="1"/>
        <s v="va33dlvxap313" u="1"/>
        <s v="VA10PLVDFR314" u="1"/>
        <s v="va10tlvihs463" u="1"/>
        <s v="VA10PLVCRB329" u="1"/>
        <s v="VA10PWVISS484" u="1"/>
        <s v="VA10PWVISS668" u="1"/>
        <s v="va10p10121a" u="1"/>
        <s v="VA10PWVISS620" u="1"/>
        <s v="va10plvihs380" u="1"/>
        <s v="va10plvihs472" u="1"/>
        <s v="VA10TLVIHS471" u="1"/>
        <s v="va33tuvihs307" u="1"/>
        <s v="va33tlvbam007" u="1"/>
        <s v="VA10PWVSQL597" u="1"/>
        <s v="va33tlveen302" u="1"/>
        <s v="va10p10121b" u="1"/>
        <s v="VA10TUVDB2308" u="1"/>
        <s v="VA10TLVWBS368" u="1"/>
        <s v="VA10PLVIHS572" u="1"/>
        <s v="VA10PLVWBS321" u="1"/>
        <s v="va10tlvwbs504" u="1"/>
        <s v="VA33DX50VM01CLU02" u="1"/>
        <s v="VA10PWVISS592" u="1"/>
        <s v="VA10PWVISS868" u="1"/>
        <s v="VA10TUVEPS009" u="1"/>
        <s v="VAATHMR652" u="1"/>
        <s v="va10plpocc017" u="1"/>
        <s v="va33tlvpeg413" u="1"/>
        <s v="va10plvwbs513" u="1"/>
        <s v="VA10TLVWBS420" u="1"/>
        <s v="VA10TLVWBS604" u="1"/>
        <s v="VA33DX50VM02CLU01" u="1"/>
        <s v="VAATHMR732" u="1"/>
        <s v="VAATHMR824" u="1"/>
        <s v="va10plvehb300" u="1"/>
        <s v="VA10DWVADS307" u="1"/>
        <s v="va10tlvmqs315" u="1"/>
        <s v="va10plvwbs569" u="1"/>
        <s v="VA10TLVWBS568" u="1"/>
        <s v="VA33TPVMDB308" u="1"/>
        <s v="BDDVTS2KFCN8V" u="1"/>
        <s v="va10tlvwbs704" u="1"/>
        <s v="VA10PLVPOS306" u="1"/>
        <s v="va10plpwgs303" u="1"/>
        <s v="VA10PLVJRE307" u="1"/>
        <s v="va10tlvmqs323" u="1"/>
        <s v="va10plvwbs669" u="1"/>
        <s v="VA10TLVWBS576" u="1"/>
        <s v="VA10TLVWBS712" u="1"/>
        <s v="va10plvmdb326" u="1"/>
        <s v="VA10PLVPOS314" u="1"/>
        <s v="BDPR2KFCN9V" u="1"/>
        <s v="VA10PLVAPP076" u="1"/>
        <s v="VA33DWVSQL419" u="1"/>
        <s v="va10dlvapp307" u="1"/>
        <s v="VA33TLVPEG393" u="1"/>
        <s v="va10tuvsyb002" u="1"/>
        <s v="VA10PLVWBS677" u="1"/>
        <s v="VA10TLVWBS720" u="1"/>
        <s v="va10plvmdb334" u="1"/>
        <s v="va33dlvihs302" u="1"/>
        <s v="VA10PLVPOS322" u="1"/>
        <s v="va10plvjre323" u="1"/>
        <s v="va10n40119" u="1"/>
        <s v="va10plvwbs685" u="1"/>
        <s v="VA10TLVWBS592" u="1"/>
        <s v="VA10TLVWBS684" u="1"/>
        <s v="VA10TWPSQL309" u="1"/>
        <s v="va33tuvwbs336" u="1"/>
        <s v="va10pupfct002a" u="1"/>
        <s v="VA33TLVSPS300" u="1"/>
        <s v="va10plvmdb526" u="1"/>
        <s v="va33dlvihs402" u="1"/>
        <s v="VA10PLVPOS330" u="1"/>
        <s v="VA10PAVPEP001" u="1"/>
        <s v="VA10PLVDKR312" u="1"/>
        <s v="VA10PWVIVR303" u="1"/>
        <s v="VA10TLVWBS692" u="1"/>
        <s v="VA33TUVWBS344" u="1"/>
        <s v="va10plvmdb398" u="1"/>
        <s v="va10plvmdb442" u="1"/>
        <s v="VA33DWPPEG303" u="1"/>
        <s v="VA10TZVPEG117" u="1"/>
        <s v="VA33PWVSAW303" u="1"/>
        <s v="va33dlvwbl321" u="1"/>
        <s v="va33tlvihs462" u="1"/>
        <s v="va33tlvnim331" u="1"/>
        <s v="VA33TLVINF308" u="1"/>
        <s v="VA33DWVCTX537" u="1"/>
        <s v="VA10TZVPEG125" u="1"/>
        <s v="BDPR2KFCN8V" u="1"/>
        <s v="VA33DWVISS486" u="1"/>
        <s v="VA33DWVISS578" u="1"/>
        <s v="VA33TWVISS574" u="1"/>
        <s v="VA10PWVFCT300" u="1"/>
        <s v="VA10PWPAPP046" u="1"/>
        <s v="VA33TLVWBS359" u="1"/>
        <s v="VAATHMR674" u="1"/>
        <s v="va33dlvorc311" u="1"/>
        <s v="va33dlvwbs407" u="1"/>
        <s v="VA33TLVIHS470" u="1"/>
        <s v="VA33TWVSTA303" u="1"/>
        <s v="va10tlpmsp014" u="1"/>
        <s v="VA33TWVAPP399" u="1"/>
        <s v="va10tlvpeg331" u="1"/>
        <s v="va10plvsec312" u="1"/>
        <s v="VA33PUVMQS300" u="1"/>
        <s v="VA10N50734" u="1"/>
        <s v="VA10TWVSQL409" u="1"/>
        <s v="va33tlvwbs367" u="1"/>
        <s v="VA10N40118" u="1"/>
        <s v="VA10P10074A" u="1"/>
        <s v="VA10N10164A" u="1"/>
        <s v="VA33TWVISS682" u="1"/>
        <s v="VA10DUVINF007" u="1"/>
        <s v="VA10PLVEZZ338" u="1"/>
        <s v="VA10PWVEPI308" u="1"/>
        <s v="VA10TLVBAM317" u="1"/>
        <s v="VA10PWVSQL326" u="1"/>
        <s v="VA10P10074B" u="1"/>
        <s v="VA10DWVISS316" u="1"/>
        <s v="VA10DWVCOS300" u="1"/>
        <s v="VA10PWVISS1039" u="1"/>
        <s v="VA10PUVWBS147" u="1"/>
        <s v="VA10TUVWBS054" u="1"/>
        <s v="VA10N10164B" u="1"/>
        <s v="va10tlvnim309" u="1"/>
        <s v="VA10PWVEPI316" u="1"/>
        <s v="va10tlvezz345" u="1"/>
        <s v="va33dlvwbs387" u="1"/>
        <s v="VA33TLVWBS475" u="1"/>
        <s v="va33tlvwbs567" u="1"/>
        <s v="va10plpspl481" u="1"/>
        <s v="VA10TUVWBS062" u="1"/>
        <s v="va10tlvnim317" u="1"/>
        <s v="va10tlvsps302" u="1"/>
        <s v="BDPR2KFCN7V" u="1"/>
        <s v="VA10PWVEPI324" u="1"/>
        <s v="va33tlvjre305" u="1"/>
        <s v="VA33TLVWBS575" u="1"/>
        <s v="VA33TWVPEG371" u="1"/>
        <s v="VA10PWVISS605" u="1"/>
        <s v="VA10TWVISS512" u="1"/>
        <s v="VA33TLVMDB416" u="1"/>
        <s v="VA10PLVDFR307" u="1"/>
        <s v="va10puvwbs071" u="1"/>
        <s v="va10duvwbs302" u="1"/>
        <s v="va10tlvihs456" u="1"/>
        <s v="va10tlvnim325" u="1"/>
        <s v="VA33TUVIHS016" u="1"/>
        <s v="VA10PLVEZZ362" u="1"/>
        <s v="VA10TLVIHS500" u="1"/>
        <s v="VA10TUVINF303" u="1"/>
        <s v="VA10TWVSQL397" u="1"/>
        <s v="VA10TWVSQL441" u="1"/>
        <s v="va33tlvwbs583" u="1"/>
        <s v="VA10P50907" u="1"/>
        <s v="VA10TWVRBF300" u="1"/>
        <s v="VA10N40117" u="1"/>
        <s v="VA10PWPSAS412" u="1"/>
        <s v="VA10PWVISS613" u="1"/>
        <s v="VA10PWVSAW305" u="1"/>
        <s v="VA10PLVDFR315" u="1"/>
        <s v="VA10PAPSOA009C" u="1"/>
        <s v="VA10TUVWBS170" u="1"/>
        <s v="va10dlvorc305" u="1"/>
        <s v="va10tlvihs464" u="1"/>
        <s v="VA10PWVISS669" u="1"/>
        <s v="VA10PUVRBF001" u="1"/>
        <s v="VA10PWVISS621" u="1"/>
        <s v="va10plvihs381" u="1"/>
        <s v="va10plvihs473" u="1"/>
        <s v="VA10TLVIHS472" u="1"/>
        <s v="va33tuvihs308" u="1"/>
        <s v="va33tlvbam008" u="1"/>
        <s v="VA10PWVISS585" u="1"/>
        <s v="VA10TWVISS492" u="1"/>
        <s v="VA10PWVISS905" u="1"/>
        <s v="VA33TLVMDB440" u="1"/>
        <s v="VA10TLVWBS369" u="1"/>
        <s v="VA10PLVIHS573" u="1"/>
        <s v="VA10PLVWBS322" u="1"/>
        <s v="va10dlvngx301" u="1"/>
        <s v="va10dlvsoa302" u="1"/>
        <s v="VA10PWVISS593" u="1"/>
        <s v="VA10PWVISS869" u="1"/>
        <s v="va33tlvpeg414" u="1"/>
        <s v="VA10TWVHRS306" u="1"/>
        <s v="VA33PLPSPL400" u="1"/>
        <s v="VA33TWPCEV001" u="1"/>
        <s v="va10plvwbs514" u="1"/>
        <s v="VA10TLVWBS421" u="1"/>
        <s v="VA10TLVWBS605" u="1"/>
        <s v="VA10P10084A" u="1"/>
        <s v="va10plvehb301" u="1"/>
        <s v="va10n40116" u="1"/>
        <s v="va10tlvmqs316" u="1"/>
        <s v="VA10TLVWBS477" u="1"/>
        <s v="VA10TLVWBS569" u="1"/>
        <s v="va33tpvmdb309" u="1"/>
        <s v="va10tlvwbs705" u="1"/>
        <s v="va10tlvmdb318" u="1"/>
        <s v="VAATHMR820" u="1"/>
        <s v="VA10P10084B" u="1"/>
        <s v="VA10PLVPOS307" u="1"/>
        <s v="VA10TZVAPP006" u="1"/>
        <s v="va10plpwgs304" u="1"/>
        <s v="PRODUCER TOOL BOX 2.0-Prod" u="1"/>
        <s v="VA10TLVWBS577" u="1"/>
        <s v="IOS Batch-Prod" u="1"/>
        <s v="VA10TLVWBS713" u="1"/>
        <s v="VA10PWVISS1038" u="1"/>
        <s v="va10plvmdb327" u="1"/>
        <s v="VA10PWVBIM300" u="1"/>
        <s v="VA10PWVISS985" u="1"/>
        <s v="VA33TLVPEG394" u="1"/>
        <s v="VA10PLVJRE316" u="1"/>
        <s v="VA10PLVWBS678" u="1"/>
        <s v="VA10TLVWBS585" u="1"/>
        <s v="VA10TLVWBS721" u="1"/>
        <s v="VA33TLVWBS004" u="1"/>
        <s v="va10plvmdb335" u="1"/>
        <s v="va33plvihs300" u="1"/>
        <s v="VA10PLVPOS323" u="1"/>
        <s v="va10plvjre324" u="1"/>
        <s v="VA10PWVTDL300" u="1"/>
        <s v="VA10TLVWBS593" u="1"/>
        <s v="VA10TLVWBS685" u="1"/>
        <s v="va33tuvwbs337" u="1"/>
        <s v="VA33TLVSPS301" u="1"/>
        <s v="VA10P51561" u="1"/>
        <s v="VA10PLVPOS331" u="1"/>
        <s v="VA10N40115" u="1"/>
        <s v="VA10TLVWBS693" u="1"/>
        <s v="VA33TUVWBS345" u="1"/>
        <s v="va10plvmdb399" u="1"/>
        <s v="va10plvmdb443" u="1"/>
        <s v="VA33DWPPEG304" u="1"/>
        <s v="VA33TWPPEG300" u="1"/>
        <s v="VA10TZVPEG118" u="1"/>
        <s v="VA33TWVISS611" u="1"/>
        <s v="VA10PWVEAA062" u="1"/>
        <s v="VA10PWVEAA338" u="1"/>
        <s v="va33tlvihs463" u="1"/>
        <s v="va33tlvnim332" u="1"/>
        <s v="VA33TLVINF309" u="1"/>
        <s v="VA33DWVCTX538" u="1"/>
        <s v="VA10TZVPEG126" u="1"/>
        <s v="VA33DWVSQL452" u="1"/>
        <s v="VA33DWVISS579" u="1"/>
        <s v="VA33TWVISS575" u="1"/>
        <s v="VA10PWVFCT301" u="1"/>
        <s v="VA33TUVWBS361" u="1"/>
        <s v="VA33TWVSTA304" u="1"/>
        <s v="VA10PWVFLE009" u="1"/>
        <s v="va10tlvpeg332" u="1"/>
        <s v="VA33TUVDB2308" u="1"/>
        <s v="VA33PUVMQS301" u="1"/>
        <s v="VA33DLPOAS001" u="1"/>
        <s v="va33tlvwbs368" u="1"/>
        <s v="VAATHMR670" u="1"/>
        <s v="VA10PLPKAF400" u="1"/>
        <s v="VA10P51560" u="1"/>
        <s v="VA33TWVISS683" u="1"/>
        <s v="VA10PLVEZZ339" u="1"/>
        <s v="VA10PWVEPI309" u="1"/>
        <s v="va10tlvezz338" u="1"/>
        <s v="va10n40114" u="1"/>
        <s v="VA10DWVCOS301" u="1"/>
        <s v="va10plpspl474" u="1"/>
        <s v="VA10PUVWBS148" u="1"/>
        <s v="VA10PWVEPI317" u="1"/>
        <s v="VA10TUVINF012" u="1"/>
        <s v="VA10PWVSQL519" u="1"/>
        <s v="va33dlvwbs388" u="1"/>
        <s v="VA33TLVWBS476" u="1"/>
        <s v="VA33TLVWBS568" u="1"/>
        <s v="va10duvwam002" u="1"/>
        <s v="VA10PLVKAF300" u="1"/>
        <s v="VA10DLVGSM300" u="1"/>
        <s v="VA10TWVISS505" u="1"/>
        <s v="va10plpspl482" u="1"/>
        <s v="VA10TUVWBS063" u="1"/>
        <s v="va10tlvnim318" u="1"/>
        <s v="va10tlvsps303" u="1"/>
        <s v="VA10PWVEPI325" u="1"/>
        <s v="va33tlvjre306" u="1"/>
        <s v="va33dlvwbs396" u="1"/>
        <s v="VA33TLVWBS576" u="1"/>
        <s v="VA33TWVPEG372" u="1"/>
        <s v="VA33TLVMDB417" u="1"/>
        <s v="VA10PLVDFR308" u="1"/>
        <s v="VA10PWVISS1209" u="1"/>
        <s v="va10puvwbs072" u="1"/>
        <s v="va10duvwbs303" u="1"/>
        <s v="VA10PUVWBS300" u="1"/>
        <s v="va10tlvihs457" u="1"/>
        <s v="va10tlvnim326" u="1"/>
        <s v="VA33TUVIHS017" u="1"/>
        <s v="va10n40057" u="1"/>
        <s v="VA10PLVEZZ363" u="1"/>
        <s v="VA10TLVIHS501" u="1"/>
        <s v="VA10TUVINF304" u="1"/>
        <s v="VA10PWVSQL535" u="1"/>
        <s v="VA10TWVRBF301" u="1"/>
        <s v="VA10PWPSAS413" u="1"/>
        <s v="VA10PWVISS614" u="1"/>
        <s v="VA10PWVISS1013" u="1"/>
        <s v="VA10PUVWBS080" u="1"/>
        <s v="VA10TUVWBS171" u="1"/>
        <s v="VA33TWVFSA302" u="1"/>
        <s v="VA10N50741" u="1"/>
        <s v="VA10PLVIHS374" u="1"/>
        <s v="VA10PLVWBS307" u="1"/>
        <s v="va10tlvihs465" u="1"/>
        <s v="VA33DWVBAM314" u="1"/>
        <s v="VA10DLVGNC300" u="1"/>
        <s v="VA10PWVAPP071" u="1"/>
        <s v="VA10PUVRBF002" u="1"/>
        <s v="VA10PWVISS622" u="1"/>
        <s v="VA10PWVSAS305" u="1"/>
        <s v="VA10PLVIHS382" u="1"/>
        <s v="VA10TLVIHS473" u="1"/>
        <s v="va33tlvbam009" u="1"/>
        <s v="VA10PWVISS586" u="1"/>
        <s v="VA33DWVCAE303" u="1"/>
        <s v="VA10PWVISS630" u="1"/>
        <s v="VA33DX50VM01CLU03" u="1"/>
        <s v="VAATHMR888" u="1"/>
        <s v="va10dlvngx302" u="1"/>
        <s v="va10dlvsoa303" u="1"/>
        <s v="VA10PWVISS594" u="1"/>
        <s v="VA10TWVHRS307" u="1"/>
        <s v="VA33PLPSPL401" u="1"/>
        <s v="va10dlvwbs334" u="1"/>
        <s v="VA10TLVWBS422" u="1"/>
        <s v="VA10TLVWBS606" u="1"/>
        <s v="VA33DX50VM02CLU02" u="1"/>
        <s v="va10plvehb302" u="1"/>
        <s v="VA10PWVISS830" u="1"/>
        <s v="VA10PWVISS922" u="1"/>
        <s v="VA10TLVWBS478" u="1"/>
        <s v="VA33DX50VM03CLU01" u="1"/>
        <s v="VA33DLVAPS324" u="1"/>
        <s v="VA10N40216" u="1"/>
        <s v="VA10PLVPOS308" u="1"/>
        <s v="VA10PLPWGS305" u="1"/>
        <s v="VA10TLVWBS578" u="1"/>
        <s v="BDDVTS2KFCN9V" u="1"/>
        <s v="VA10TLVWBS530" u="1"/>
        <s v="VA10TLVWBS714" u="1"/>
        <s v="va10plvmdb328" u="1"/>
        <s v="va10plvepi300" u="1"/>
        <s v="VA10PWVISS986" u="1"/>
        <s v="VA33TLVPEG395" u="1"/>
        <s v="VA10PLVJRE317" u="1"/>
        <s v="VA10PLVWBS679" u="1"/>
        <s v="VA10TLVWBS586" u="1"/>
        <s v="va10tlvwbs630" u="1"/>
        <s v="VA33TLVWBS005" u="1"/>
        <s v="va10plvmdb336" u="1"/>
        <s v="va33plvihs301" u="1"/>
        <s v="VA10PLVPOS324" u="1"/>
        <s v="VAATHMR887" u="1"/>
        <s v="VA10P70856" u="1"/>
        <s v="va10plvjre325" u="1"/>
        <s v="VA10PWVTDL301" u="1"/>
        <s v="VA10TLVWBS594" u="1"/>
        <s v="VA10TLVWBS686" u="1"/>
        <s v="va33tuvwbs338" u="1"/>
        <s v="VA10PWVPEG391" u="1"/>
        <s v="VA33TLVSPS302" u="1"/>
        <s v="VA10PWVISS1208" u="1"/>
        <s v="VA33TLVBAM333" u="1"/>
        <s v="VA10PWPTAB400" u="1"/>
        <s v="va10n40239" u="1"/>
        <s v="va10p40229" u="1"/>
        <s v="VA33TWVSQL525" u="1"/>
        <s v="VA10PWVIVR305" u="1"/>
        <s v="va10tupfct001" u="1"/>
        <s v="va10p40033" u="1"/>
        <s v="VA10TLVWBS694" u="1"/>
        <s v="VA33TUVWBS346" u="1"/>
        <s v="VA10PWVISS1104" u="1"/>
        <s v="VA33DWPPEG305" u="1"/>
        <s v="va33tlvihs500" u="1"/>
        <s v="VA33TWPPEG301" u="1"/>
        <s v="VA10P10171A" u="1"/>
        <s v="VA10TZVPEG119" u="1"/>
        <s v="VA33TWVISS612" u="1"/>
        <s v="VA10PWVEAA063" u="1"/>
        <s v="VA10PWVEAA339" u="1"/>
        <s v="VA33TWVCEV302" u="1"/>
        <s v="VA10DWVCIA300" u="1"/>
        <s v="va33tlvnim333" u="1"/>
        <s v="VA10TLPMSP008" u="1"/>
        <s v="VA10P10171B" u="1"/>
        <s v="VA10TZVPEG127" u="1"/>
        <s v="va33dlvwbs317" u="1"/>
        <s v="va33tlvihs472" u="1"/>
        <s v="VA33TWVSTA305" u="1"/>
        <s v="va10tlvpeg333" u="1"/>
        <s v="va10plvezz056" u="1"/>
        <s v="VA33TUVDB2309" u="1"/>
        <s v="VA10P70855" u="1"/>
        <s v="va33tlvwbs369" u="1"/>
        <s v="VA10PLPKAF401" u="1"/>
        <s v="va10tlpkaf400" u="1"/>
        <s v="VA10TUVWBS048" u="1"/>
        <s v="VA33TWVISS684" u="1"/>
        <s v="va10tlvezz339" u="1"/>
        <s v="va10plvsec322" u="1"/>
        <s v="VA33FX0702" u="1"/>
        <s v="va10plpspl475" u="1"/>
        <s v="VA10PUVWBS057" u="1"/>
        <s v="va10plvezz300" u="1"/>
        <s v="va33dlvwbs389" u="1"/>
        <s v="VA33TLVWBS569" u="1"/>
        <s v="VA10PLVKAF301" u="1"/>
        <s v="VA10TWVISS506" u="1"/>
        <s v="va10plpspl483" u="1"/>
        <s v="VA10TUVWBS064" u="1"/>
        <s v="va10duvwbs020" u="1"/>
        <s v="va10tlvnim319" u="1"/>
        <s v="VA10PWVEPI326" u="1"/>
        <s v="VA10PWVSQL528" u="1"/>
        <s v="va33dlvwbs397" u="1"/>
        <s v="VA10PWVCTX1289" u="1"/>
        <s v="VA33TWVPEG373" u="1"/>
        <s v="VA33TLVMDB418" u="1"/>
        <s v="VA10PLVDFR309" u="1"/>
        <s v="va10puvwbs073" u="1"/>
        <s v="VA10DWVVCD001" u="1"/>
        <s v="VA10PUVWBS301" u="1"/>
        <s v="va10tlvihs458" u="1"/>
        <s v="va33tlvapp304" u="1"/>
        <s v="vaathmr885" u="1"/>
        <s v="va10tlvihs502" u="1"/>
        <s v="va10tuvinf305" u="1"/>
        <s v="VA10PWVSQL536" u="1"/>
        <s v="VA10PWVRBF303" u="1"/>
        <s v="VA10TWVRBF302" u="1"/>
        <s v="VA10PWPSAS414" u="1"/>
        <s v="VA10PWVISS615" u="1"/>
        <s v="VA10TWVISS522" u="1"/>
        <s v="VA10PWVISS1207" u="1"/>
        <s v="va10plvihs375" u="1"/>
        <s v="VA10PLVWBS308" u="1"/>
        <s v="va10tlvihs466" u="1"/>
        <s v="VA33DWVBAM315" u="1"/>
        <s v="va10p40227" u="1"/>
        <s v="VA10DLVIHS330" u="1"/>
        <s v="VA10PWVAPP072" u="1"/>
        <s v="VA10TWVSQL451" u="1"/>
        <s v="va10tlpsoa400" u="1"/>
        <s v="VA10PWVISS623" u="1"/>
        <s v="VA10TUVDB2027" u="1"/>
        <s v="VA10PWVISS1011" u="1"/>
        <s v="VA10PWVISS1103" u="1"/>
        <s v="VA10PWPNTS010" u="1"/>
        <s v="VA10TLVIHS474" u="1"/>
        <s v="va10n40121" u="1"/>
        <s v="va33tlveps001" u="1"/>
        <s v="VA33DWVCAE304" u="1"/>
        <s v="VA10PWVSIS310" u="1"/>
        <s v="va33tlvpeg408" u="1"/>
        <s v="va10plvorc320" u="1"/>
        <s v="VA10PLVWBS324" u="1"/>
        <s v="VA10PLVNGX300" u="1"/>
        <s v="VA10PWVSQL560" u="1"/>
        <s v="va33tlvrxt300" u="1"/>
        <s v="VA10PWVISS595" u="1"/>
        <s v="VA10TWVHRS308" u="1"/>
        <s v="VA33PLPSPL402" u="1"/>
        <s v="va10dlvwbs335" u="1"/>
        <s v="va10tlvihs490" u="1"/>
        <s v="VA10TLVWBS423" u="1"/>
        <s v="Macros - NASCO-Prod" u="1"/>
        <s v="VA10PWVISS831" u="1"/>
        <s v="VA10PWVISS923" u="1"/>
        <s v="VA10TLVWBS479" u="1"/>
        <s v="VA10PWPCII300" u="1"/>
        <s v="VA10VPWFC007A" u="1"/>
        <s v="VA33DLVAPS325" u="1"/>
        <s v="va10p40226" u="1"/>
        <s v="va10plpwgs306" u="1"/>
        <s v="va33dlvpeg344" u="1"/>
        <s v="VA10TLVWBS579" u="1"/>
        <s v="VA10TLVWBS531" u="1"/>
        <s v="VA10TLVWBS715" u="1"/>
        <s v="va10plvmdb329" u="1"/>
        <s v="VA10N40120" u="1"/>
        <s v="VA10PLVPOS317" u="1"/>
        <s v="va10plvepi301" u="1"/>
        <s v="VA10PWVISS987" u="1"/>
        <s v="VA10PLVJRE318" u="1"/>
        <s v="VA10PLVMQS335" u="1"/>
        <s v="VA10TLVWBS587" u="1"/>
        <s v="va10tlvwbs631" u="1"/>
        <s v="VA10PWVISS1046" u="1"/>
        <s v="mom9plvsmd300" u="1"/>
        <s v="VA10PLVPOS325" u="1"/>
        <s v="va10plpgrp400" u="1"/>
        <s v="VA33TWVISS505" u="1"/>
        <s v="VA10PWVCTX1288" u="1"/>
        <s v="VA10PWVTDL302" u="1"/>
        <s v="VA10PWVNTS310" u="1"/>
        <s v="VA10TLVWBS595" u="1"/>
        <s v="VA10TLVWBS687" u="1"/>
        <s v="VA33TUVWBS339" u="1"/>
        <s v="VA10PWVACE304" u="1"/>
        <s v="va33tlvihs449" u="1"/>
        <s v="VA33TLVSPS303" u="1"/>
        <s v="va33tlvbam334" u="1"/>
        <s v="VA10PWPTAB401" u="1"/>
        <s v="VA33TWVSQL526" u="1"/>
        <s v="VA33DWVISS333" u="1"/>
        <s v="va10tupfct002" u="1"/>
        <s v="va10n40155" u="1"/>
        <s v="va10tlvwbs695" u="1"/>
        <s v="va33tuvwbs347" u="1"/>
        <s v="VA10PWVISS1206" u="1"/>
        <s v="va33tlvihs501" u="1"/>
        <s v="VA33TWPPEG302" u="1"/>
        <s v="VA10PLVPOS341" u="1"/>
        <s v="VA33TWVISS613" u="1"/>
        <s v="VA33TWVCEV303" u="1"/>
        <s v="va33tlvnim334" u="1"/>
        <s v="VA10TZVPEG128" u="1"/>
        <s v="VA33TWVSQL450" u="1"/>
        <s v="va33tuvwbs363" u="1"/>
        <s v="VA10PWVEAA300" u="1"/>
        <s v="VA33TWVSTA306" u="1"/>
        <s v="VA33DLPOAS003" u="1"/>
        <s v="vaathmr894" u="1"/>
        <s v="VA10PLPKAF402" u="1"/>
        <s v="va10tlpkaf401" u="1"/>
        <s v="va33dlvorc322" u="1"/>
        <s v="VA10TUVWBS049" u="1"/>
        <s v="VA33TWVISS685" u="1"/>
        <s v="va10plvsec323" u="1"/>
        <s v="va10n40154" u="1"/>
        <s v="VA33DLVORC330" u="1"/>
        <s v="va10plpspl476" u="1"/>
        <s v="VA33TWVAPP370" u="1"/>
        <s v="VA10PUVWBS058" u="1"/>
        <s v="VA10PWVEPI319" u="1"/>
        <s v="va10plvezz301" u="1"/>
        <s v="VA10PLVSEC331" u="1"/>
        <s v="VA10PWVBOO300" u="1"/>
        <s v="VA10PLVKAF302" u="1"/>
        <s v="VA10TWVISS323" u="1"/>
        <s v="VA10TWVISS507" u="1"/>
        <s v="VA10PWVISS1057" u="1"/>
        <s v="va10p40200" u="1"/>
        <s v="VA10PWVEPI327" u="1"/>
        <s v="VA10DWVCRM300" u="1"/>
        <s v="va33tlvjre308" u="1"/>
        <s v="VA10PWVAPP101" u="1"/>
        <s v="va33dlvwbs398" u="1"/>
        <s v="VA33TLVWBS578" u="1"/>
        <s v="VA10PLVKAF310" u="1"/>
        <s v="VA33TWVPEG374" u="1"/>
        <s v="VA33TLVMDB419" u="1"/>
        <s v="VA10PWVISS1045" u="1"/>
        <s v="va10puvwbs074" u="1"/>
        <s v="VA10TUVWBS165" u="1"/>
        <s v="VA10N40189" u="1"/>
        <s v="va10plvtwt002" u="1"/>
        <s v="va10tlvihs503" u="1"/>
        <s v="va10tuvinf306" u="1"/>
        <s v="VA10PWVCTX1287" u="1"/>
        <s v="VA10PWVRBF304" u="1"/>
        <s v="VA10TWVRBF303" u="1"/>
        <s v="vaathmr893" u="1"/>
        <s v="VA10PWVISS340" u="1"/>
        <s v="VA10PWVISS524" u="1"/>
        <s v="VA10TWVISS523" u="1"/>
        <s v="VA10PLVWBS309" u="1"/>
        <s v="VA10PUVWBS310" u="1"/>
        <s v="va10tlvihs467" u="1"/>
        <s v="VA10PWVAPP301" u="1"/>
        <s v="va10tlpsoa401" u="1"/>
        <s v="va10n40153" u="1"/>
        <s v="VA10PWVISS624" u="1"/>
        <s v="va33dlvmdb347" u="1"/>
        <s v="VA10PWVISS1205" u="1"/>
        <s v="va10puvwbs090" u="1"/>
        <s v="VA10PWPNTS011" u="1"/>
        <s v="VA10TLVIHS475" u="1"/>
        <s v="VA33TLVEPS002" u="1"/>
        <s v="VA33DWVCAE305" u="1"/>
        <s v="va33tuvmqm001" u="1"/>
        <s v="VA33TWVCAE301" u="1"/>
      </sharedItems>
    </cacheField>
    <cacheField name="DependentType" numFmtId="0">
      <sharedItems/>
    </cacheField>
    <cacheField name="DependentBundle" numFmtId="0">
      <sharedItems/>
    </cacheField>
    <cacheField name="DataFlowFreq" numFmtId="0">
      <sharedItems/>
    </cacheField>
    <cacheField name="DataFlowDirection" numFmtId="0">
      <sharedItems/>
    </cacheField>
    <cacheField name="status" numFmtId="0">
      <sharedItems/>
    </cacheField>
    <cacheField name="Type" numFmtId="0">
      <sharedItems/>
    </cacheField>
    <cacheField name="Root" numFmtId="0">
      <sharedItems/>
    </cacheField>
    <cacheField name="OS" numFmtId="0">
      <sharedItems/>
    </cacheField>
    <cacheField name="App. Status" numFmtId="0">
      <sharedItems containsSemiMixedTypes="0" containsString="0" containsNumber="1" containsInteger="1" minValue="1" maxValue="1"/>
    </cacheField>
    <cacheField name="Env" numFmtId="0">
      <sharedItems/>
    </cacheField>
    <cacheField name="Dev" numFmtId="0">
      <sharedItems/>
    </cacheField>
    <cacheField name="DB" numFmtId="0">
      <sharedItems/>
    </cacheField>
    <cacheField name="F5/LB" numFmtId="0">
      <sharedItems/>
    </cacheField>
    <cacheField name="Src IP" numFmtId="0">
      <sharedItems/>
    </cacheField>
    <cacheField name="Group" numFmtId="0">
      <sharedItems containsNonDate="0" containsString="0" containsBlank="1"/>
    </cacheField>
    <cacheField name="Scope" numFmtId="0">
      <sharedItems containsNonDate="0" containsString="0" containsBlank="1"/>
    </cacheField>
    <cacheField name="VIPs" numFmtId="0">
      <sharedItems longText="1"/>
    </cacheField>
    <cacheField name="Column1" numFmtId="0">
      <sharedItems containsNonDate="0" containsString="0" containsBlank="1"/>
    </cacheField>
    <cacheField name="Column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laksha Talkerappa" refreshedDate="46154.821275462964" createdVersion="8" refreshedVersion="8" minRefreshableVersion="3" recordCount="4" xr:uid="{0CC68FC5-B417-456C-85A2-45A74CD93C6E}">
  <cacheSource type="worksheet">
    <worksheetSource name="tblApplications"/>
  </cacheSource>
  <cacheFields count="21">
    <cacheField name="common_id" numFmtId="0">
      <sharedItems containsSemiMixedTypes="0" containsString="0" containsNumber="1" containsInteger="1" minValue="316570" maxValue="334538"/>
    </cacheField>
    <cacheField name="common_assetName" numFmtId="0">
      <sharedItems containsBlank="1" count="505">
        <s v="SQL Server System Database-Test"/>
        <s v="SQL Server System Database-Dev"/>
        <s v="SOA/API/DATAPOWER - Enterprise Services-Dev"/>
        <s v="Kafka-Test"/>
        <m u="1"/>
        <s v="Web-Based Coaching Tool-Prod" u="1"/>
        <s v="Tableau-Prod" u="1"/>
        <s v="SQL Server System Database-Prod" u="1"/>
        <s v="SOA Kafka-Prod" u="1"/>
        <s v="LITES Consumer Driven Health Plan System-Prod" u="1"/>
        <s v="IBM Security Key Lifecycle Manager(SKLM)-Prod" u="1"/>
        <s v="Business Objects Business Intelligence CII-Prod" u="1"/>
        <s v="APIGEE-Enterprise-OnPrem-Prod" u="1"/>
        <s v="APIGEE Microservices-Prod" u="1"/>
        <s v="AOC Oracle Id Provisioning tool-Prod" u="1"/>
        <s v="Anthem Oracle Exadata Cloud Database-Prod" u="1"/>
        <s v="10Xengineering NLP (On Prem)-Prod" u="1"/>
        <s v="Tivoli ITM Monitoring-Prod" u="1"/>
        <s v="Tivoli ITM Monitoring-DR" u="1"/>
        <s v="Tivoli Enterprise Portal Server-Prod" u="1"/>
        <s v="SOA-API - Enterprise Services-Prod" u="1"/>
        <s v="CDA Cloverleaf Integration Engine-Prod" u="1"/>
        <s v="Automation and Analytics-Prod" u="1"/>
        <s v="835 Governance Framework-Prod" u="1"/>
        <s v="SOA/API/DATAPOWER - Enterprise Services-DR" u="1"/>
        <s v="Microsoft System Center Configuration Manager-Prod" u="1"/>
        <s v="SOA/API - Enterprise Service Bus - GBD-DR" u="1"/>
        <s v="Member 360 and Patient 360-DR" u="1"/>
        <s v="Hiebus-DR" u="1"/>
        <s v="Galileo-DR" u="1"/>
        <s v="CareEvolution BEACON-DR" u="1"/>
        <s v="CareAdvance Enterprise (GBD)-DR" u="1"/>
        <s v="Adobe Campaign-DR" u="1"/>
        <s v="Sybase System Database-Test" u="1"/>
        <s v="Strategic Provider Cache (SPC)-Test" u="1"/>
        <s v="Strategic Provider Cache (SPC)-Dev" u="1"/>
        <s v="SailPoint IIQCE-Test" u="1"/>
        <s v="Program Integrity Data Insights-Dev" u="1"/>
        <s v="OnePoint Siebel CRM-Test" u="1"/>
        <s v="MongoDB System Database-Dev" u="1"/>
        <s v="Member Web Payment-Test" u="1"/>
        <s v="Member Web Payment-Dev" u="1"/>
        <s v="Enterprise CognitiveAI-Dev" u="1"/>
        <s v="EDM V3.0 - Analytic Shared Data Services-Test" u="1"/>
        <s v="DDS DENTAL SYSTEMS-Dev" u="1"/>
        <s v="Citrix XenApp (CSBD)-Dev" u="1"/>
        <s v="xPression-Dev" u="1"/>
        <s v="Venafi-Dev" u="1"/>
        <s v="SYMPHONY-Test" u="1"/>
        <s v="Strategic Provider System (SPS)-Test" u="1"/>
        <s v="Specialty Enrollment System - AWS-Test" u="1"/>
        <s v="SOA/API - Enterprise Services-Test" u="1"/>
        <s v="SOA Kafka-Test" u="1"/>
        <s v="Single Sign On (CM)-DR" u="1"/>
        <s v="ServiceNow Discovery and Service Mapping-Prod" u="1"/>
        <s v="ServiceNow Discovery and Service Mapping-Dev" u="1"/>
        <s v="Serv-U Gateway Serv-U MFT server (SolarWinds)(SHP)-DR" u="1"/>
        <s v="Risk Reimbursement PEGA-Test" u="1"/>
        <s v="Provider Portal (CM)-DR" u="1"/>
        <s v="Provider Chat-UAT" u="1"/>
        <s v="Provider Chat-SIT" u="1"/>
        <s v="Ping Identity-DR" u="1"/>
        <s v="Patient Quick View(CM)-DR" u="1"/>
        <s v="NextGen Pega Grievance &amp; Appeals (GBD/FEP/Commercial)-Test" u="1"/>
        <s v="Lyric -  ClaimsXten v6.0 (CSBD)-DR" u="1"/>
        <s v="Globalscape (CM)-Prod" u="1"/>
        <s v="EPIC(CM)-Prod" u="1"/>
        <s v="EPIC(CM)-DR" u="1"/>
        <s v="EPIC Health Enterprise-DR" u="1"/>
        <s v="Epic (PC)-Prod" u="1"/>
        <s v="Epic (PC)-DR" u="1"/>
        <s v="EDM V3.0 - Analytic Shared Data Services-Dev" u="1"/>
        <s v="CareMore - Single Sign On (SSO) (CM)-DR" u="1"/>
        <s v="Anthem Single Provider Experience Network-Test" u="1"/>
        <s v="Anthem Single Provider Experience Network-Dev" u="1"/>
        <s v="WMDS/MaxMC Client Server/Database-Prod" u="1"/>
        <s v="WellPoint Decision Support System-Prod" u="1"/>
        <s v="Utilization Management Inquiry Services-Prod" u="1"/>
        <s v="Utilization Management Decision Engine-Prod" u="1"/>
        <s v="UMDE Web-Prod" u="1"/>
        <s v="Preauthorization Look Up Tool Online (Internal UI and database)-Prod" u="1"/>
        <s v="Performance Guarantee Management System (IRx)-Prod" u="1"/>
        <s v="OpenText Exstream-Prod" u="1"/>
        <s v="Legacy Utilization Management Inquiry Services-Prod" u="1"/>
        <s v="Interactive Care Reviewer-Prod" u="1"/>
        <s v="Enterprise EDI Gateway-Prod" u="1"/>
        <s v="Enterprise Auth API-Prod" u="1"/>
        <s v="ClaimsRepository (IRx)-Prod" u="1"/>
        <s v="Care Management Gateway DB-Prod" u="1"/>
        <s v="CA Application Performance Management (APM)-Prod" u="1"/>
        <s v="AVATAR-DR" u="1"/>
        <s v="Authorization Standard Rules Optimizer (ASTRO)-Prod" u="1"/>
        <s v="Anthem Care Management Platform-Prod" u="1"/>
        <s v="Adobe Campaign-Prod" u="1"/>
        <s v="ACMP UMOPS-Prod" u="1"/>
        <s v="ACMP COMMON JAR-Prod" u="1"/>
        <s v="ACMP Batch-Prod" u="1"/>
        <s v="Member 360 and Patient 360-Prod" u="1"/>
        <s v="Hiebus-Prod" u="1"/>
        <s v="GBD Service Oriented Architecture Center of Excellence-Prod" u="1"/>
        <s v="Galileo-Prod" u="1"/>
        <s v="Claim Status Claim Appeals and Claim Disputes (GBD)-Prod" u="1"/>
        <s v="CCTR Web Services (GBD)-Prod" u="1"/>
        <s v="CareEvolution BEACON-Prod" u="1"/>
        <s v="FileNet Post Index-Prod" u="1"/>
        <s v="Filenet Image Services-Prod" u="1"/>
        <s v="FileNet Image Services - West Repository-Prod" u="1"/>
        <s v="FileNet Image Services - FNDocs Repository-Prod" u="1"/>
        <s v="FileNet Image Services - Central Repository-Prod" u="1"/>
        <s v="FileNet Batch: WellPoint Enrollment Application Processor-Test" u="1"/>
        <s v="EDI Claim Viewer API-Test" u="1"/>
        <s v="EDI Claim Viewer API-Prod" u="1"/>
        <s v="Datacap-Prod" u="1"/>
        <s v="Content Services: FileNet FEP Web Service (DOCWS)-Prod" u="1"/>
        <s v="Content Import: High Performance Image Import-Prod" u="1"/>
        <s v="Content Import: FileNet COLD-Prod" u="1"/>
        <s v="Concord Folder Fax-Prod" u="1"/>
        <s v="Quest STAT-Prod" u="1"/>
        <s v="PeopleSoft - CPM-Prod" u="1"/>
        <s v="MLR Rebates-Prod" u="1"/>
        <s v="ITS Intraplan - Finance-Prod" u="1"/>
        <s v="820 Splitter - Exchange-Prod" u="1"/>
        <s v="WGS Billing-Dev" u="1"/>
        <s v="Venafi-Test" u="1"/>
        <s v="Unprocessed Rebill Report (GBD)-Dev" u="1"/>
        <s v="TRAQ Value Tracker-Dev" u="1"/>
        <s v="Transition Adapter-Test" u="1"/>
        <s v="Tidal -GBD-QA" u="1"/>
        <s v="Tidal (GBD)-Test" u="1"/>
        <s v="Strategic Provider System (SPS)-Dev" u="1"/>
        <s v="SQL Sentry Power Suite-Test" u="1"/>
        <s v="ServiceNow Agent Client Collector MID Servers" u="1"/>
        <s v="RapidCAPTURE-Dev" u="1"/>
        <s v="IIS WebApplications Farm-Dev" u="1"/>
        <s v="Healthcore Standard Operating Procedures &amp; Policies (HC)-Dev" u="1"/>
        <s v="HealthCore Automated Data Extraction and Profiling Tool (HC)-Dev" u="1"/>
        <s v="HealthCore Automated Data Development Plan Tool (HC)-Dev" u="1"/>
        <s v="eHub - Enterprise Information Hub-Test" u="1"/>
        <s v="AVATAR-Test" u="1"/>
        <s v="Anthem Reimagine On-Premise DR-Test" u="1"/>
        <s v="ACMS UM Intake-Test" u="1"/>
        <s v="WSO2(CM)-Prod" u="1"/>
        <s v="TriZetto HIPPA Gateway(CM)-Prod" u="1"/>
        <s v="Tricerat Simplify Printing(CM)-Prod" u="1"/>
        <s v="Togetherness(CM)-Prod" u="1"/>
        <s v="Tidal(CM)-Prod" u="1"/>
        <s v="Specialist Capitation(CM)-Prod" u="1"/>
        <s v="Senior Variable Database (SVDB)(CM)-Prod" u="1"/>
        <s v="SBI(CM)-Prod" u="1"/>
        <s v="Reporting Data Platform - RDP(CM)-Prod" u="1"/>
        <s v="RAPS(CM)-Prod" u="1"/>
        <s v="Provider Portal(CM)-Prod" u="1"/>
        <s v="Provider Outreach Directory Solution (CM)-Prod" u="1"/>
        <s v="Provider Interaction(CM)-Prod" u="1"/>
        <s v="PaymentSolution(CM)-Prod" u="1"/>
        <s v="Patient App-CareMore Anytime(CM)-Prod" u="1"/>
        <s v="Optum(CM)-Prod" u="1"/>
        <s v="NEXTGEN WEST(CM)-Prod" u="1"/>
        <s v="NEXTGEN EAST(CM)-Prod" u="1"/>
        <s v="NEXTGEN AGP(CM)-Prod" u="1"/>
        <s v="Navigator Outreach(CM)-Prod" u="1"/>
        <s v="Member Search(CM)-Prod" u="1"/>
        <s v="MDX(CM)-Prod" u="1"/>
        <s v="INFORMATICA IICS (CM)-Prod" u="1"/>
        <s v="INFORMATICA IICS (CM)" u="1"/>
        <s v="ICEDQ (CM)-Prod" u="1"/>
        <s v="GlobalScape(CM)-UAT" u="1"/>
        <s v="GlobalScape(CM)-Prod" u="1"/>
        <s v="FileTracker(CM)-Prod" u="1"/>
        <s v="FileRouterUI(CM)-Prod" u="1"/>
        <s v="FACETS(CM)-Prod" u="1"/>
        <s v="Facets Security Management Tool-SMT(CM)-Prod" u="1"/>
        <s v="Facets Configuration Migration Utility-Prod" u="1"/>
        <s v="Facets BusinessConfig(CM)-Prod" u="1"/>
        <s v="Enterprise Data Hub (CM)-Prod" u="1"/>
        <s v="Encounter Data Processing System(CM)-Prod" u="1"/>
        <s v="EDW(CM)-Prod" u="1"/>
        <s v="EdiFecs(CM)-Prod" u="1"/>
        <s v="CUE Correspondence Generation(CM)-Prod" u="1"/>
        <s v="Clinical Analytics &amp; Reporting-CARS(CM)-Prod" u="1"/>
        <s v="ClaimsDashboard(CM)-Prod" u="1"/>
        <s v="CareMore Operational Data Store (CODS)(CM)-Prod" u="1"/>
        <s v="CareMore Enterprise Content Management - FileNet(CM)-Prod" u="1"/>
        <s v="CareMore - Enterprise Data Hub (EDH)(CM)-Prod" u="1"/>
        <s v="Carelon Jira-Prod" u="1"/>
        <s v="Carelon Confluence-Prod" u="1"/>
        <s v="Carelon Confluence" u="1"/>
        <s v="Care Utilization Platform-CUP(CM)-Prod" u="1"/>
        <s v="Aspire ODS (Operational Data Store)-Prod" u="1"/>
        <s v="St.Louis-HealthLink Anita-Dev" u="1"/>
        <s v="HealthLink Portals - ProviderInfoSource-Prod" u="1"/>
        <s v="Healthlink PeopleSoft Financials - Billing - AR-Prod" u="1"/>
        <s v="Healthlink PeopleSoft Financials - AP-Prod" u="1"/>
        <s v="HealthLink IIS-Prod" u="1"/>
        <s v="HealthLink IIS - www.healthlinkeap.com-Prod" u="1"/>
        <s v="HealthLink IIS - www.healthlink.com-Prod" u="1"/>
        <s v="HealthLink IIS - www.anthemwc.com-Prod" u="1"/>
        <s v="HealthLink IIS - www.allianceepo.com-Prod" u="1"/>
        <s v="HealthLink IIS - Intranet Site-Prod" u="1"/>
        <s v="HealthLink EC Gateway-Prod" u="1"/>
        <s v="HealthLink Data Warehouse (DW)-Prod" u="1"/>
        <s v="HealthLink Anita-Prod" u="1"/>
        <s v="HealthLink Anita - Provider Database-Prod" u="1"/>
        <s v="Healthlink Anita - PRC (Program Revision Control)-Prod" u="1"/>
        <s v="HealthLink Anita - Pinnacle Work Flow-Prod" u="1"/>
        <s v="HealthLink Anita - Eligibility-Prod" u="1"/>
        <s v="HealthLink Anita - Customer Service-Prod" u="1"/>
        <s v="HealthLink Anita - Claims Processing-Prod" u="1"/>
        <s v="SOA/API - Enterprise Services-Dev" u="1"/>
        <s v="SOA Atomic Services-Dev" u="1"/>
        <s v="Siebel OBIEE-Test" u="1"/>
        <s v="Siebel CRM-Test" u="1"/>
        <s v="Pharmacy Home System (IRx)-Dev" u="1"/>
        <s v="PCA DevOps-Dev" u="1"/>
        <s v="OPTUM Price Normalizer-Dev" u="1"/>
        <s v="MEA112 No Application Information" u="1"/>
        <s v="Healthy Innovations Platform Landing Zone-Dev" u="1"/>
        <s v="Enterprise EDI Clearinghouse-Dev" u="1"/>
        <s v="CCP-Genesys-Administration-Test" u="1"/>
        <s v="CCP-Genesys-Administration-Prod" u="1"/>
        <s v="CCP-Genesys-Administration-Dev" u="1"/>
        <s v="Blue View Vision Loader-Dev" u="1"/>
        <s v="Avaya Communication Manager (GBD)-Dev" u="1"/>
        <s v="Architecture eXplorer-Prod" u="1"/>
        <s v="Alarm Services - Employer-Dev" u="1"/>
        <s v="10Xengineering NLP (On Prem)-Dev" u="1"/>
        <s v="Initial Payment Portal-Test" u="1"/>
        <s v="Enterprise EDI Gateway-Test" u="1"/>
        <s v="PCP Member Reassignment UI-Test" u="1"/>
        <s v="NurseLine Application-Test" u="1"/>
        <s v="Medicaid Member Self Service (Root App)-Test" u="1"/>
        <s v="Healthy Innovations Platform LTSS-Dev" u="1"/>
        <s v="Healthy Innovations Platform LTSS Admin Console-Dev" u="1"/>
        <s v="GBD EFT MN oFeed-Test" u="1"/>
        <s v="SSB Data Warehouse-Test" u="1"/>
        <s v="DDS Dental System (DDS)-Dev7" u="1"/>
        <s v="Enterprise Wellpoint Product Database-Prod" u="1"/>
        <s v="Corporate Individual Rights System -CIRS-Dev" u="1"/>
        <s v="DDS External Online Store and Billing Renewal Tools-Dev7" u="1"/>
        <s v="LD ONLINE UW-Prod" u="1"/>
        <s v="Infogix Assure-Test" u="1"/>
        <s v="Oracle Support-Prod" u="1"/>
        <s v="DDS Oracle Financials-Dev7" u="1"/>
        <s v="Revenue Management and Billing-Test" u="1"/>
        <s v="FileNet Batch: APCD Extract and FTP Delivery-Prod" u="1"/>
        <s v="Guarantee Reconciliation Reporting and Payment System (IRx)-Test" u="1"/>
        <s v="Anthem Care Management Platform-Test" u="1"/>
        <s v="Infogix-Test" u="1"/>
        <s v="DIS OpsHub-Dev" u="1"/>
        <s v="Online Store (OLS)-UAT" u="1"/>
        <s v="IOS Product Integration-Prod" u="1"/>
        <s v="GP00-Provider GUI-Perf" u="1"/>
        <s v="Varonis Data Advantage-Prod" u="1"/>
        <s v="Medicaid Member Self Service -Strategic-Root App-Test" u="1"/>
        <s v="Strategic Provider System -SPS-Test" u="1"/>
        <s v="Enterprise EDI Transaction Insight-Prod" u="1"/>
        <s v="SPIDER - Benefit Query Application-Prod" u="1"/>
        <s v="RHI Claims Explorer-Prod" u="1"/>
        <s v="SPIDER Reporting System-Prod" u="1"/>
        <s v="Healthy Innovations On Prem-Test" u="1"/>
        <s v="RightFax FaxUtil and Print-to-Fax Clients-Prod" u="1"/>
        <s v="Facets Integrated NetworX - Central Facets-Perf" u="1"/>
        <s v="Sapience-Test" u="1"/>
        <s v="SBP_AlicsToMainframe-Prod" u="1"/>
        <s v="CT Legacy Data Warehouse-Prod" u="1"/>
        <s v="Enterprise Product Document Generator - BCC-Prod" u="1"/>
        <s v="PeopleSoft - AR-Prod" u="1"/>
        <s v="CareNex Archival-Prod" u="1"/>
        <s v="Avaya Message Mirror-Dev" u="1"/>
        <s v="Enterprise Provider Pricing System-Dev" u="1"/>
        <s v="DELTA-Prod" u="1"/>
        <s v="Revenue Management and Billing-Dev" u="1"/>
        <s v="RightFax Remote DocTransport Servers-Prod" u="1"/>
        <s v="Corporate Individual Rights System -CIRS-Prod" u="1"/>
        <s v="IOS Batch-Prod" u="1"/>
        <s v="CoMPli Loader-Prod" u="1"/>
        <s v="ALICS Reimagine-Prod" u="1"/>
        <s v="RightFax Database-Prod" u="1"/>
        <s v="Document Posting Site-Prod" u="1"/>
        <s v="GBD PFS Shared Services-Test" u="1"/>
        <s v="eshare CMS (Knowledge Library)-Prod" u="1"/>
        <s v="Healthy Returns System-Dev" u="1"/>
        <s v="GBD ART iFeed-Test" u="1"/>
        <s v="GBD PDO oFeed-Test" u="1"/>
        <s v="SPIDER - Benefit Query Service-Prod" u="1"/>
        <s v="Business Objects Reports: RightFax VA-Prod" u="1"/>
        <s v="ProWatch-Prod" u="1"/>
        <s v="Digital.ai Deploy-Test" u="1"/>
        <s v="Online Pharmacy Resource for Anthem -IRx-Test" u="1"/>
        <s v="CoMPli Auditor-Prod" u="1"/>
        <s v="IOS-Siebel-CRM-Prod" u="1"/>
        <s v="RHI Clinical Tools-Prod" u="1"/>
        <s v="PALLM Individual L&amp;D-Prod" u="1"/>
        <s v="EDWard - Master Consumer ID-Prod" u="1"/>
        <s v="FileNet - Batches West Repository-Prod" u="1"/>
        <s v="Division of Financial Responsibilities (DOFR)-Prod" u="1"/>
        <s v="DocGen Adapter-Prod" u="1"/>
        <s v="SPIDER Contract Configuration System-Prod" u="1"/>
        <s v="Enterprise EDI Clearinghouse-Prod" u="1"/>
        <s v="DocGen-Prod" u="1"/>
        <s v="IOS Content-Prod" u="1"/>
        <s v="ME &amp; CT Firm Tracking Dbs-Prod" u="1"/>
        <s v="HRS AccessHMC-Test" u="1"/>
        <s v="Enterprise EDI Portal-UAT" u="1"/>
        <s v="eBus Provider DocService-Prod" u="1"/>
        <s v="CPS Common Components-Prod" u="1"/>
        <s v="GBD - Iris letter Hub-Test" u="1"/>
        <s v="DDS National Dental Grid (GRID)-Dev7" u="1"/>
        <s v="PPMS - Product package management system-Prod" u="1"/>
        <s v="IOS User Profile-Prod" u="1"/>
        <s v="Provider Onboarding-Prod" u="1"/>
        <s v="Specialty Batch Process-Prod" u="1"/>
        <s v="ISG Product Profile Tool-Prod" u="1"/>
        <s v="MCheck-Prod" u="1"/>
        <s v="Sales Extract-Prod" u="1"/>
        <s v="G&amp;A Smart Intake-Prod" u="1"/>
        <s v="IOS Rating Integration-Prod" u="1"/>
        <s v="Guarantee Reconciliation Reporting and Payment System (IRx)-Prod" u="1"/>
        <s v="DualsCoC-CM-Dev" u="1"/>
        <s v="Digital.ai Deploy-Prod" u="1"/>
        <s v="Digital Thread-Dev" u="1"/>
        <s v="DDS Web Site and Apps-Dev7" u="1"/>
        <s v="Enterprise EDI Portal-Test" u="1"/>
        <s v="EPIC Health Enterprise-Prod" u="1"/>
        <s v="Specialty Acumen WebSite-Prod" u="1"/>
        <s v="CoMPli document viewing services-Prod" u="1"/>
        <s v="Healthy Innovations Platform CM-DM-Dev" u="1"/>
        <s v="Web Interface for Content Management-Prod" u="1"/>
        <s v="NextGen Pega Grievance &amp; Appeals -GBD-FEP-Commercial-Dev" u="1"/>
        <s v="ITS Intraplan - Finance-Dev" u="1"/>
        <s v="Data Table Update System-Prod" u="1"/>
        <s v="Kofax Capture -GBD-Prod" u="1"/>
        <s v="Benefit Plan Interface -BPI-Prod" u="1"/>
        <s v="Packaged Automated Life/Liability Management-Prod" u="1"/>
        <s v="qTest-Prod" u="1"/>
        <s v="DDS External Portals-Dev7" u="1"/>
        <s v="Operational Data Warehouse -GBD-Test" u="1"/>
        <s v="Flexera-Prod" u="1"/>
        <s v="Product Development Tool-Prod" u="1"/>
        <s v="Rational - License Server-Prod" u="1"/>
        <s v="Enterprise Provider Pricing System-Test" u="1"/>
        <s v="NextGen Pega Grievance &amp; Appeals -GBD-FEP-Commercial-Prod" u="1"/>
        <s v="CompassI-Prod" u="1"/>
        <s v="WGS Claims-Dev" u="1"/>
        <s v="ACMS UM Intake-Dev" u="1"/>
        <s v="Enterprise DocViewer-Prod" u="1"/>
        <s v="INF-CA Application Performance Management -APM-Dev7" u="1"/>
        <s v="MProducer-UAT" u="1"/>
        <s v="EPSDT Datamart -GBD-Test" u="1"/>
        <s v="CarePlanner Archival-Prod" u="1"/>
        <s v="RightFax WebClient Access-Prod" u="1"/>
        <s v="SPIDER - Plan Configurator-Prod" u="1"/>
        <s v="Confidentiality Agreement Database-Prod" u="1"/>
        <s v="Individual Online Store Admin and Reporting Tool-Prod" u="1"/>
        <s v="GBD Service Oriented Architecture Center of Excellence-Test" u="1"/>
        <s v="DEVELOP MODULAR PRODUCT CAPABILITIES FROM PRESALE THROUGH ACCOUNT INSTALLATION-Prod" u="1"/>
        <s v="OLS Plan Match-Prod" u="1"/>
        <s v="Universal File Transformer-Prod" u="1"/>
        <s v="Change Healthcare ClaimsXten v6.0 -CSBD-Prod" u="1"/>
        <s v="Hiebus-Test" u="1"/>
        <s v="SPIRE-Claims-Prod" u="1"/>
        <s v="ITS Intraplan - Finance-Test" u="1"/>
        <s v="Change Healthcare ClaimsXten v6.0 (CSBD)-Prod" u="1"/>
        <s v="MAXPRO-Prod" u="1"/>
        <s v="ALICS Online-Prod" u="1"/>
        <s v="Healthwise Coach-Prod" u="1"/>
        <s v="Operations Support Services - OSS-Dev" u="1"/>
        <s v="Enterprise Grievances and Appeals system-Dev" u="1"/>
        <s v="Specialty Product Integrated Relationship Engine-Prod" u="1"/>
        <s v="Access Express(CM)-Dev" u="1"/>
        <s v="Tidal Enterprise Scheduler-HMC (TES)-Prod" u="1"/>
        <s v="Software Self Service-Prod" u="1"/>
        <s v="Business Objects Reports: RightFax MO-Prod" u="1"/>
        <s v="Infogix Insight-Test" u="1"/>
        <s v="Palo Alto EDL Web Host-Prod" u="1"/>
        <s v="CoMPli document creation services-Prod" u="1"/>
        <s v="Cognitive Claims - AI-Dev" u="1"/>
        <s v="Facets Client Server App - Central Facets-Perf" u="1"/>
        <s v="Mobile INTACT-Prod" u="1"/>
        <s v="MemberPro SQL -GBD-Test" u="1"/>
        <s v="SMART-Prod" u="1"/>
        <s v="Agent Tool Kit-Dev" u="1"/>
        <s v="Northeast Operational Data Store-Prod" u="1"/>
        <s v="DDS Internal Websites and App Links-Dev7" u="1"/>
        <s v="IOS Customer Service-Prod" u="1"/>
        <s v="Discrepancy (X) Insights and remediation for Provider Data Space-Prod" u="1"/>
        <s v="OLS REFRESH-UAT" u="1"/>
        <s v="Enterprise Pricing Engine -Test" u="1"/>
        <s v="PI Communication Controller-Dev" u="1"/>
        <s v="Analytic Shared Data Services-Test" u="1"/>
        <s v="SIMON -Service Information Management Online-Dev" u="1"/>
        <s v="CoMPli Manager-Prod" u="1"/>
        <s v="DDS External Websites-Dev7" u="1"/>
        <s v="eQuote - Central Small Group-Test" u="1"/>
        <s v="Anthem Life Production Repository-Prod" u="1"/>
        <s v="Performance Guarantee Management System -Irx-Dev" u="1"/>
        <s v="InterAct-Test" u="1"/>
        <s v="L &amp; D Operational Data Store-Prod" u="1"/>
        <s v="Prowatch Communications Server-Prod" u="1"/>
        <s v="Producer Tool Box 2.0 - On-prem-Prod" u="1"/>
        <s v="Component Manager &amp; Publisher-Prod" u="1"/>
        <s v="Operational Reporting Mapping Filter-Prod" u="1"/>
        <s v="Technology Operations Healthcheck Dashboard-Dev" u="1"/>
        <s v="eHub - Enterprise Master Person Index (EMPI)-Prod" u="1"/>
        <s v="Enterprise Blue Exchange-Prod" u="1"/>
        <s v="HMC Data Sourcing Hub -DSH-Prod" u="1"/>
        <s v="Cisco Application Centric Infrastructure-Prod" u="1"/>
        <s v="FEP - FEHBP HMO-POS Member Enrollment Reporting-Prod" u="1"/>
        <s v="UiPath-Prod" u="1"/>
        <s v="INF-Venafi-Dev-Dev" u="1"/>
        <s v="HMC BI IM Reporting-Prod" u="1"/>
        <s v="Member 360 and Patient 360-Test" u="1"/>
        <s v="Healthy Innovations Platform LTSS-Test" u="1"/>
        <s v="MYANTHEMCHOICES APPOINTMENT SYSTEM-Prod" u="1"/>
        <s v="WGS - RPC Backend Routines-Gateway-Test" u="1"/>
        <s v="OBIS Projects-Dev" u="1"/>
        <s v="IOS Multilingual-Prod" u="1"/>
        <s v="PeopleSoft - Billing-Prod" u="1"/>
        <s v="IOS Presentation Service-Prod" u="1"/>
        <s v="ServiceNow Lookup Portal-Prod" u="1"/>
        <s v="National Dental Grid-Dev7" u="1"/>
        <s v="SPIDER Automation Engine-Prod" u="1"/>
        <s v="RightFax Application Servers-Prod" u="1"/>
        <s v="Specialty OnLine Experience-Dearborn-Prod" u="1"/>
        <s v="ISG Enrollment and Billing - CO 820 Reporting-Prod" u="1"/>
        <s v="PeopleSoft - Billing-Dev" u="1"/>
        <s v="RFCode - Centerscape - Prod" u="1"/>
        <s v="Vendor Load Management -GBD-Test" u="1"/>
        <s v="IngenioRx Operational Reporting Repository (IRx)-Test" u="1"/>
        <s v="Guru-Prod" u="1"/>
        <s v="SPIDER-Prod" u="1"/>
        <s v="CURS - Cost and Utilization Reporting System-Prod" u="1"/>
        <s v="Publishing-Prod" u="1"/>
        <s v="Program Integrity Concept Management-Dev" u="1"/>
        <s v="BMC Configuration Automation for Networks-Prod" u="1"/>
        <s v="Mobile INTACT-UAT" u="1"/>
        <s v="Visual CACTUS-Prod" u="1"/>
        <s v="IOS-eBroker-Integration-Prod" u="1"/>
        <s v="Benchmark Insights Model-Test" u="1"/>
        <s v="Rx PA SQL Database (IRx)-Prod" u="1"/>
        <s v="MProducer-Prod" u="1"/>
        <s v="LD ONLINE UW-Test" u="1"/>
        <s v="GP00-Provider GUI-Test" u="1"/>
        <s v="360 Product Selection Tool-Prod" u="1"/>
        <s v="eshare (Knowledge Library)-Prod" u="1"/>
        <s v="PPR -Product Profitability Reporting-Prod" u="1"/>
        <s v="eVIS-Dev" u="1"/>
        <s v="RightFax-Prod" u="1"/>
        <s v="CoMPli Publisher-Prod" u="1"/>
        <s v="Vendor Invoicing Exchange-Dev" u="1"/>
        <s v="Broker Portal Integration-Prod" u="1"/>
        <s v="CompassI-Test" u="1"/>
        <s v="IOS Shop &amp; Quote-Prod" u="1"/>
        <s v="ePremium Analysis System -GBD-Test" u="1"/>
        <s v="Specialty Online Experience - Enrollment &amp; Billing-Prod" u="1"/>
        <s v="Change My Coverage-Prod" u="1"/>
        <s v="HMC SAS Scheduling-Prod" u="1"/>
        <s v="RightFax WebClient Access-Test" u="1"/>
        <s v="RightFax Web Access-Prod" u="1"/>
        <s v="Sydney Care Central-Test" u="1"/>
        <s v="CoMPli Product Database-Prod" u="1"/>
        <s v="OBIS-Test" u="1"/>
        <s v="DDS Mobile Apps-Dev7" u="1"/>
        <s v="Citrix XenApp - CSBD-Prod" u="1"/>
        <s v="Lighthouse Analytics-Prod" u="1"/>
        <s v="Desktop Software Repackaging-Prod" u="1"/>
        <s v="Broker Bonus Reporting-Prod" u="1"/>
        <s v="Healthy Innovations Platform LTSS Admin Console-Test" u="1"/>
        <s v="Plan Management Tool-Prod" u="1"/>
        <s v="Enterprise Lineage Intelligence, Discrepancy (X) Insights and remediation for Provider Data Space" u="1"/>
        <s v="OnDemand-Prod" u="1"/>
        <s v="RHI Reporting-Prod" u="1"/>
        <s v="DualsMemberView-CM-Dev" u="1"/>
        <s v="Healthy Returns System-SIT" u="1"/>
        <s v="Shell Contract Creation-Prod" u="1"/>
        <s v="DDS Dental System (DDS) - Adjudication-Dev7" u="1"/>
        <s v="Enterprise Middleware - Composite 275 Services-Prod" u="1"/>
        <s v="Enterprise Provider Intake Credentialing System-Prod" u="1"/>
        <s v="Clinical Hub - Provider &amp; Clinical Data Analytics -Legacy LPR-Prod" u="1"/>
        <s v="Quest STAT-Dev" u="1"/>
        <s v="IOS Analytics-Prod" u="1"/>
        <s v="SFA Integration-Prod" u="1"/>
        <s v="Claims Payment Report-Prod" u="1"/>
        <s v="CA Grid-Tools-Test" u="1"/>
        <s v="IOS Shop &amp; Quote-UAT" u="1"/>
        <s v="Small Group Quoting-Prod" u="1"/>
        <s v="Rational - BuildForge-Prod" u="1"/>
        <s v="Life &amp; Disability Compass-Prod" u="1"/>
        <s v="Anthem PeopleSoft GL Translator-Prod" u="1"/>
        <s v="Enterprise Product Document Generator-Prod" u="1"/>
        <s v="SBP Book Of Business-Prod" u="1"/>
        <s v="Enterprise Lineage Intelligence-Prod" u="1"/>
        <s v="HMC BIM Operations Portal -Ops Portal-Prod" u="1"/>
        <s v="NETWORKING_NETWORK SERVICES - DATA CENTER-Prod" u="1"/>
        <s v="IOS Enrollment-Prod" u="1"/>
        <s v="Producer Tool Box 2.0-Perf" u="1"/>
        <s v="Clinical Hub - Provider &amp; Clinical Data Analytics - Legacy LPR-Prod" u="1"/>
        <s v="Member Take on-Prod" u="1"/>
        <s v="Benefit Builder -IRx-Dev" u="1"/>
        <s v="Enterprise Data Store-Prod" u="1"/>
        <s v="Entitlement Manager LCM - Test" u="1"/>
        <s v="ISG Enrollment and Billing - B Roster Reporting-Prod" u="1"/>
        <s v="Central Facets-Perf" u="1"/>
        <s v="RHI Rules Engine-Prod" u="1"/>
        <s v="Rx PA SQL Database -IRx-Prod" u="1"/>
      </sharedItems>
    </cacheField>
    <cacheField name="common_description" numFmtId="0">
      <sharedItems containsNonDate="0" containsString="0" containsBlank="1"/>
    </cacheField>
    <cacheField name="application_custom5" numFmtId="0">
      <sharedItems containsNonDate="0" containsString="0" containsBlank="1"/>
    </cacheField>
    <cacheField name="common_moveBundle" numFmtId="0">
      <sharedItems/>
    </cacheField>
    <cacheField name="application_appOwner" numFmtId="0">
      <sharedItems/>
    </cacheField>
    <cacheField name="application_custom10" numFmtId="0">
      <sharedItems/>
    </cacheField>
    <cacheField name="application_custom9" numFmtId="0">
      <sharedItems containsNonDate="0" containsString="0" containsBlank="1"/>
    </cacheField>
    <cacheField name="application_custom45" numFmtId="0">
      <sharedItems containsBlank="1" count="141">
        <s v="Salazar, Erwin"/>
        <s v="Singh, Balraj"/>
        <s v="Tripathi, Raghav"/>
        <m u="1"/>
        <s v="Torio, Edmund" u="1"/>
        <s v="Buente, Wesley" u="1"/>
        <s v="Jain, Shatayu" u="1"/>
        <s v="Conklin, Gary" u="1"/>
        <s v="Young, Robert" u="1"/>
        <s v="Mathias, Gordon" u="1"/>
        <s v="Singh, Vinay" u="1"/>
        <s v="Modaresi, Ray" u="1"/>
        <s v="Prabhakaran, Shankar" u="1"/>
        <s v="Natarajan, Sivaprakash" u="1"/>
        <s v="LAVALLEE, STEVEN" u="1"/>
        <s v="Ackerley, Marc" u="1"/>
        <s v="PRATHAPA, JAYA" u="1"/>
        <s v="Ponugupati, Pattabhi R." u="1"/>
        <s v="Hopkins, Frank" u="1"/>
        <s v="Patel, Rushi" u="1"/>
        <s v="Kannath, Anish" u="1"/>
        <s v="Andharmule, Alankar" u="1"/>
        <s v="Silveira, Debbie A." u="1"/>
        <s v="Marudhachalam, Vetrivel" u="1"/>
        <s v="Velapakam, Venkat K" u="1"/>
        <s v="AKUNURI, SWAROOPA" u="1"/>
        <s v="Varghese, Sanu Mary" u="1"/>
        <s v="Savago, Tracy" u="1"/>
        <s v="Eberhard, Tom" u="1"/>
        <s v="O'Brien, Dustin" u="1"/>
        <s v="Samuel Rajendran, Paul" u="1"/>
        <s v="Balakrishnan, Yogesh" u="1"/>
        <s v="Sheafer, Jim" u="1"/>
        <s v="Herndon, Michaeljon" u="1"/>
        <s v="Dejesus, Joseph" u="1"/>
        <s v="Jaime, Grace" u="1"/>
        <s v="Durham, Clayborn" u="1"/>
        <s v="Amarnath, Vijay" u="1"/>
        <s v="Roberts, Keith" u="1"/>
        <s v="NA" u="1"/>
        <s v="Williams, Shana" u="1"/>
        <s v="Vishwakarma, Sanjay" u="1"/>
        <s v="Iyer, Ravi" u="1"/>
        <s v="Gandhi, Umesh" u="1"/>
        <s v="Sunkara, Kiran" u="1"/>
        <s v="Sunke, Deepak" u="1"/>
        <s v="Loganathan, Suresh" u="1"/>
        <s v="Lewis, Tim" u="1"/>
        <s v="Narayanan, Ashok" u="1"/>
        <s v="Maust, Reuben" u="1"/>
        <s v="Jayapaul, David" u="1"/>
        <s v="Hetrick, Chris" u="1"/>
        <s v="Shaik Mohammad, Khaja Peer" u="1"/>
        <s v="Trice, Vivian B." u="1"/>
        <s v="Roth, David" u="1"/>
        <s v="Centerbar, Adam" u="1"/>
        <s v="Mcgarrett, Brendan W." u="1"/>
        <s v="Richmond, Jason" u="1"/>
        <s v="Bhogra, Anubhav" u="1"/>
        <s v="Pitchumani, GK" u="1"/>
        <s v="Tahvili, James" u="1"/>
        <s v="Saller, Tiffany" u="1"/>
        <s v="Faxio, Philip" u="1"/>
        <s v="PK, Aneesh" u="1"/>
        <s v="Hollis, Karrie" u="1"/>
        <s v="Mohammed, Riyazuddin" u="1"/>
        <s v="Edwards, John" u="1"/>
        <s v="Srirama, Padmanabaiah" u="1"/>
        <s v="Rajamanickam, Madhu" u="1"/>
        <s v="Argel, Roland" u="1"/>
        <s v="Shoemaker, George" u="1"/>
        <s v="Folks, Edward" u="1"/>
        <s v="Siegel, Steven G." u="1"/>
        <s v="Sparks, Joel" u="1"/>
        <s v="Killada, Srinivasa" u="1"/>
        <s v="Murugan, Swarna Kohila" u="1"/>
        <s v="Devathu, Badri" u="1"/>
        <s v="Richmond (ATL SECURITY), Jason" u="1"/>
        <s v="Lacy, George G." u="1"/>
        <s v="NEBERGALL, MARK" u="1"/>
        <s v="Wagstaff, Dean A." u="1"/>
        <s v="LaFornara, Lisa A." u="1"/>
        <s v="Brummer, Heather W." u="1"/>
        <s v="Vultaggio, Stephen M." u="1"/>
        <s v="Marks, Shawn" u="1"/>
        <s v="Stanley, Vibin" u="1"/>
        <s v="Bettigiri, Prasad A." u="1"/>
        <s v="Sahukari, Sunil" u="1"/>
        <s v="Crane, Andrew" u="1"/>
        <s v="McGarvey, Pam" u="1"/>
        <s v="Frayne, Christopher" u="1"/>
        <s v="Kidwell, Alison" u="1"/>
        <s v="Chouhan, Rahul" u="1"/>
        <s v="Gudla, Reddi T." u="1"/>
        <s v="Jacobs, Lissette" u="1"/>
        <s v="Kaslewicz, Fredric" u="1"/>
        <s v="Fischer, Jeff" u="1"/>
        <s v="Underwood, Eric" u="1"/>
        <s v="Jagodzinski, Anthony" u="1"/>
        <s v="Gupta, Sharat" u="1"/>
        <s v="Williams, Obie" u="1"/>
        <s v="Eason, David" u="1"/>
        <s v="Gibbs, Darren" u="1"/>
        <s v="Karki, Upendra" u="1"/>
        <s v="Koul, Pankaj" u="1"/>
        <s v="Hibner, Brian" u="1"/>
        <s v="Rajaraman, Karthik" u="1"/>
        <s v="Batchu, Satish" u="1"/>
        <s v="Riemenschneider, Bill" u="1"/>
        <s v="Eigner, Scott D." u="1"/>
        <s v="Kaeser, Mrinal" u="1"/>
        <s v="Rittenhouse, Dirk" u="1"/>
        <s v="Muoio, Trish" u="1"/>
        <s v="White, Derek D." u="1"/>
        <s v="Seth Halstead" u="1"/>
        <s v="Harianto, Widya" u="1"/>
        <s v="PANARIELLO, BRIAN" u="1"/>
        <s v="Aguru, Niranjan" u="1"/>
        <s v="Sebastian, Nice" u="1"/>
        <s v="Chinthakuntla, Raj" u="1"/>
        <s v="Iyer, Shankar" u="1"/>
        <s v="Irmen, Richard" u="1"/>
        <s v="Nolen, Charles" u="1"/>
        <s v="Veeradharan, Sathya" u="1"/>
        <s v="Sarvadevabatla, Chandu" u="1"/>
        <s v="Marin, Denise" u="1"/>
        <s v="Wade, Abigail R" u="1"/>
        <s v="Davis, Bob" u="1"/>
        <s v="Johnson, Lisa" u="1"/>
        <s v="Hess, Linda N." u="1"/>
        <s v="Wright (HR), Rochelle" u="1"/>
        <s v="Huskisson, Jim" u="1"/>
        <s v="Blaisdell, Peter" u="1"/>
        <s v="Loadwick, Robert M." u="1"/>
        <s v="Khan, Samrah" u="1"/>
        <s v="Bowker, Greer" u="1"/>
        <s v="Halstead, Seth" u="1"/>
        <s v="Dondla, Chandrakanth" u="1"/>
        <s v="Prickett, Jerry" u="1"/>
        <s v="Shaik, Madina Sharieff" u="1"/>
        <s v="Stewart, Stephanie Shouse" u="1"/>
      </sharedItems>
    </cacheField>
    <cacheField name="application_custom46" numFmtId="0">
      <sharedItems/>
    </cacheField>
    <cacheField name="application_custom6" numFmtId="0">
      <sharedItems/>
    </cacheField>
    <cacheField name="application_sme" numFmtId="0">
      <sharedItems containsBlank="1" count="245">
        <s v="Evan Rosenthal"/>
        <s v="Anand Chennakesavan"/>
        <s v="Venkat Garikapati"/>
        <m u="1"/>
        <s v="Adrian Esguerra" u="1"/>
        <s v="Spencer Stefansic" u="1"/>
        <s v="Ashwin Kollambalath" u="1"/>
        <s v="Nagendra Bonam" u="1"/>
        <s v="James Montgomery" u="1"/>
        <s v="Farid Vastani" u="1"/>
        <s v="Vinoth Jayabalan" u="1"/>
        <s v="TJ Challstrom" u="1"/>
        <s v="Iftequar Mohammed" u="1"/>
        <s v="Renuka Kasilal" u="1"/>
        <s v="Anoop Kumar" u="1"/>
        <s v="Subhash Battepati" u="1"/>
        <s v="Arslan Khan" u="1"/>
        <s v="Todd Smith" u="1"/>
        <s v="Firdosh Parishwad" u="1"/>
        <s v="Brad Zabilla" u="1"/>
        <s v="Srini Amathi" u="1"/>
        <s v="Nithin Narayan" u="1"/>
        <s v="Gopakumar Vasudevan Nair" u="1"/>
        <s v="Kiran M Patil" u="1"/>
        <s v="Glynn Ashdown" u="1"/>
        <s v="Naga Sirivella" u="1"/>
        <s v="Sreenivasulu Reddy Peram" u="1"/>
        <s v="Paulson Jeyasekaran" u="1"/>
        <s v="Chai Pingali" u="1"/>
        <s v="Lonny Curtis" u="1"/>
        <s v="Miguel Lopez" u="1"/>
        <s v="Nishanth Dinakaran" u="1"/>
        <s v="Jaishankar Inukonda" u="1"/>
        <s v="Naresh Antham" u="1"/>
        <s v="Xiaochun Ding" u="1"/>
        <s v="Mohan Raj Rajendran" u="1"/>
        <s v="Sherman Becraft" u="1"/>
        <s v="Raghu Vegesna" u="1"/>
        <s v="Sreedevi Ande" u="1"/>
        <s v="Timothy Devaughn" u="1"/>
        <s v="Karthik Manohar" u="1"/>
        <s v="Tim Cramer" u="1"/>
        <s v="Yosmel E Sanchez" u="1"/>
        <s v="Gurunath Nitturu" u="1"/>
        <s v="Nischal Vasanth Shetty" u="1"/>
        <s v="Kabilan Subramaniam" u="1"/>
        <s v="Gayathri G" u="1"/>
        <s v="Cameron Eckman" u="1"/>
        <s v="Prem Nath Selvin" u="1"/>
        <s v="Dhanya Krishnadas" u="1"/>
        <s v="Rick Cowan" u="1"/>
        <s v="NA" u="1"/>
        <s v="Umesh Paduvagere Chikkehucha" u="1"/>
        <s v="Ramakrishna Korada" u="1"/>
        <s v="Sandeep K Perala" u="1"/>
        <s v="Anees Kottiliyil" u="1"/>
        <s v="Vinod Raja" u="1"/>
        <s v="Donapati Kantha Reddy" u="1"/>
        <s v="Manikandan Rajendran" u="1"/>
        <s v="Mohammad Asif Basha Jamaluddingari" u="1"/>
        <s v="Andrew Hughes" u="1"/>
        <s v="Vasantkumar Krishnamurthy" u="1"/>
        <s v="Jeff Rauh" u="1"/>
        <s v="Patsy Henson" u="1"/>
        <s v="Kevin Ickes" u="1"/>
        <s v="Jie Zou" u="1"/>
        <s v="Douglas Mansmann" u="1"/>
        <s v="Charlie Brooks" u="1"/>
        <s v="Ananda Murugan Nagarajan" u="1"/>
        <s v="Narasimha Vuntla" u="1"/>
        <s v="Suresh Loganathan" u="1"/>
        <s v="Prakash Raya" u="1"/>
        <s v="Ruchir Bal" u="1"/>
        <s v="Anil Pachipala" u="1"/>
        <s v="Priyadarshini R" u="1"/>
        <s v="Subham Dasgupta" u="1"/>
        <s v="Varun Vasudevan" u="1"/>
        <s v="Ajith Valsan" u="1"/>
        <s v="Abakar Abdoul Hady" u="1"/>
        <s v="Rohan Gupta" u="1"/>
        <s v="Neville Smith" u="1"/>
        <s v="Boyd Nichols" u="1"/>
        <s v="Vadim Gutkin" u="1"/>
        <s v="Vipul Govil" u="1"/>
        <s v="Brian J King" u="1"/>
        <s v="Anita Narayanaswamy" u="1"/>
        <s v="Karunakar (Reddy K) Reddy" u="1"/>
        <s v="Badri Devathu" u="1"/>
        <s v="Suresh Kumar Dhakshnamoorthy" u="1"/>
        <s v="Rahul Chouhan" u="1"/>
        <s v="Jerome Anthony" u="1"/>
        <s v="Sinoj E Palani Chettiyar" u="1"/>
        <s v="Praveen Kumar Bhojan" u="1"/>
        <s v="Sumant Garikaparthi" u="1"/>
        <s v="ArunKumar Bagathur Kaniappan" u="1"/>
        <s v="SudhirKumar Shankar" u="1"/>
        <s v="Sindhu Chitneni" u="1"/>
        <s v="Matthew Burstein" u="1"/>
        <s v="Christopher Hurd" u="1"/>
        <s v="Rammohan Raju" u="1"/>
        <s v="Nithiyanandam Kanniappan" u="1"/>
        <s v="Scott Kim" u="1"/>
        <s v="Bala Murugan Marimuthu" u="1"/>
        <s v="Chandra Konduru" u="1"/>
        <s v="Vinoth Kaladeepan" u="1"/>
        <s v="Danh Nguyen" u="1"/>
        <s v="Rajasekaran Natarajan" u="1"/>
        <s v="Luis Tellado" u="1"/>
        <s v="Elayaraja Sattara Vasudevan" u="1"/>
        <s v="Christopher Locker" u="1"/>
        <s v="Rhonda Stapleton" u="1"/>
        <s v="Maheswaran Kalaiselvan" u="1"/>
        <s v="Dawn Eschenbrenner" u="1"/>
        <s v="Chaitanya Duddukuru" u="1"/>
        <s v="Larry E. Friedlander" u="1"/>
        <s v="Phoebe Sousa" u="1"/>
        <s v="Usman Ghani" u="1"/>
        <s v="Shafiulla khan Mohammed" u="1"/>
        <s v="Gopal V Rao" u="1"/>
        <s v="Rod Schreiber" u="1"/>
        <s v="Baswanth Vaddavalli" u="1"/>
        <s v="Sandeep Eti" u="1"/>
        <s v="Robert Ela" u="1"/>
        <s v="George Shoemaker" u="1"/>
        <s v="Michael A. Dozier" u="1"/>
        <s v="PETER VARANI" u="1"/>
        <s v="Alagar Vijayarajan" u="1"/>
        <s v="Vishwajith Koneti" u="1"/>
        <s v="Vikramjit Singh" u="1"/>
        <s v="Gary Kolnicki" u="1"/>
        <s v="Frank Shaw" u="1"/>
        <s v="Garison Spaeth" u="1"/>
        <s v="Balaji Ranganathan" u="1"/>
        <s v="Karthick Prabhu Giridharaprabhu" u="1"/>
        <s v="Todd Rostorfer" u="1"/>
        <s v="Michelle D. Dorroh" u="1"/>
        <s v="Sukash Koley" u="1"/>
        <s v="Manish Pandit" u="1"/>
        <s v="Somnath Banerjee" u="1"/>
        <s v="Javed Raja" u="1"/>
        <s v="Oktay Gedik" u="1"/>
        <s v="Netisha Wilson" u="1"/>
        <s v="Lakshmi Sindu Yanamadala" u="1"/>
        <s v="Renju Das" u="1"/>
        <s v="Jason P. McNulty" u="1"/>
        <s v="Pavan Kumar Kannaiahgari" u="1"/>
        <s v="Raghav Tripathi" u="1"/>
        <s v="SCOTT M MCKINLEY" u="1"/>
        <s v="Lemoine Vilceus" u="1"/>
        <s v="Matthew Decotis" u="1"/>
        <s v="Adam Sebastian" u="1"/>
        <s v="Gayathri Raveendran Nair" u="1"/>
        <s v="Veerakarthi Selva Pandiyan" u="1"/>
        <s v="Raghavendra Rao" u="1"/>
        <s v="Adam Kennedy" u="1"/>
        <s v="Sivamurugan Sekar" u="1"/>
        <s v="Yoganathan Palanisamy" u="1"/>
        <s v="John Paverd" u="1"/>
        <s v="Widya Harianto" u="1"/>
        <s v="Tamilmaran Durairaj" u="1"/>
        <s v="Karthick Subramaniam" u="1"/>
        <s v="Sathishkumar Radhakrishnan" u="1"/>
        <s v="Patty Goy" u="1"/>
        <s v="Yaswanth Gundam" u="1"/>
        <s v="Christopher Mason" u="1"/>
        <s v="Sheela Karthikeyan" u="1"/>
        <s v="Harisha Kommajesula" u="1"/>
        <s v="Dan Kovalcik" u="1"/>
        <s v="Sailaja Battula" u="1"/>
        <s v="Rajneesh Jain" u="1"/>
        <s v="Sonny Rosemond" u="1"/>
        <s v="Vipul Parashar" u="1"/>
        <s v="Jaimini Bhatt" u="1"/>
        <s v="Thomas Morris" u="1"/>
        <s v="Cindi Williams" u="1"/>
        <s v="Mridula Bhasin" u="1"/>
        <s v="Edward Zawoysky" u="1"/>
        <s v="Laxmikant Shenoy" u="1"/>
        <s v="Marcus Benn" u="1"/>
        <s v="Prapithu Gopi" u="1"/>
        <s v="Prajeesh Premraj" u="1"/>
        <s v="Timothy Southerland" u="1"/>
        <s v="Dan Sirucek" u="1"/>
        <s v="JILL M FILUTA" u="1"/>
        <s v="Raghavendra Suresh" u="1"/>
        <s v="Jake Guinn" u="1"/>
        <s v="Anoop Philip" u="1"/>
        <s v="Tory Liesenfelt" u="1"/>
        <s v="William Stewart" u="1"/>
        <s v="Vivek Vardhan Kunta" u="1"/>
        <s v="Meenakshi Chandrasekaran" u="1"/>
        <s v="Scott Smith" u="1"/>
        <s v="Kenneth J. Cowden" u="1"/>
        <s v="Appalaswamy Gondesi" u="1"/>
        <s v="Sanjay S Yadav" u="1"/>
        <s v="Sriram Ravisankar" u="1"/>
        <s v="Suresh Narasimhan" u="1"/>
        <s v="Renjith Mattappallil" u="1"/>
        <s v="Barrett Hycner" u="1"/>
        <s v="Kirankumar Kolisetti" u="1"/>
        <s v="Anurag Gaur" u="1"/>
        <s v="Naisy Thomas" u="1"/>
        <s v="Sandi Schiess" u="1"/>
        <s v="Seth Halstead" u="1"/>
        <s v="Brantly Perry" u="1"/>
        <s v="Manoj Varrier" u="1"/>
        <s v="Sri Laxmi Valli Mantravadi" u="1"/>
        <s v="Balaji Sekar" u="1"/>
        <s v="Shankar Iyer" u="1"/>
        <s v="Linu Varghese" u="1"/>
        <s v="Dharshan S" u="1"/>
        <s v="Chad Zima" u="1"/>
        <s v="Balaji Ramesh" u="1"/>
        <s v="Sudheer Bachina" u="1"/>
        <s v="Rajesh Ramachandran" u="1"/>
        <s v="Aleh H. Bul" u="1"/>
        <s v="Maneeswaran Sivandurai" u="1"/>
        <s v="Saikumar K" u="1"/>
        <s v="Jennifer Martin" u="1"/>
        <s v="Steven Renigar" u="1"/>
        <s v="Paradesh Kumar Rapet" u="1"/>
        <s v="Gomathi Bakthavachalam" u="1"/>
        <s v="Michael Davidson" u="1"/>
        <s v="Santhosh Mereddy" u="1"/>
        <s v="Lisa A. LaFornara" u="1"/>
        <s v="Ommerson Constant" u="1"/>
        <s v="Premanand Natarajan" u="1"/>
        <s v="Brian Byrne" u="1"/>
        <s v="Kris Simmons" u="1"/>
        <s v="Yogesh Balakrishnan" u="1"/>
        <s v="Niranjan Konda" u="1"/>
        <s v="Mohan Nandimandalam" u="1"/>
        <s v="K.u Sanju Kumar" u="1"/>
        <s v="Uday Kumar Veeranala" u="1"/>
        <s v="Clyde Ross" u="1"/>
        <s v="Kris Kelley" u="1"/>
        <s v="Raghavendar Bojja" u="1"/>
        <s v="Daniel Strykiewicz" u="1"/>
        <s v="Guy Binns" u="1"/>
        <s v="Himanshu Kaushik" u="1"/>
        <s v="Nagendra Babu Ravilla" u="1"/>
        <s v="Thirumal Ranganathan" u="1"/>
        <s v="Ram Shankar Nagarajan" u="1"/>
        <s v="Robert Ashcraft" u="1"/>
        <s v="Rahul Rathi" u="1"/>
      </sharedItems>
    </cacheField>
    <cacheField name="application_custom11" numFmtId="0">
      <sharedItems/>
    </cacheField>
    <cacheField name="application_sme2" numFmtId="0">
      <sharedItems containsBlank="1" count="198">
        <s v="Boyd Nichols"/>
        <m/>
        <s v="DAVID A ESTEP" u="1"/>
        <s v="Venkatesh Balasubramanian" u="1"/>
        <s v="Azheruddin Mohd Ahmed" u="1"/>
        <s v="Firdosh Parishwad" u="1"/>
        <s v="Brad Zabilla" u="1"/>
        <s v="Varma Datla" u="1"/>
        <s v="David Dennis" u="1"/>
        <s v="Gopakumar Vasudevan Nair" u="1"/>
        <s v="Kamal Raghavan" u="1"/>
        <s v="Sreenivasulu Reddy Peram" u="1"/>
        <s v="Bala Chaitanya Chaturvedula" u="1"/>
        <s v="Sai Vinnakota" u="1"/>
        <s v="Retesh Velapakam" u="1"/>
        <s v="Afrin A Alam" u="1"/>
        <s v="Sherman Becraft" u="1"/>
        <s v="NA" u="1"/>
        <s v="RENJU DAS" u="1"/>
        <s v="Kavita Beazley" u="1"/>
        <s v="Cameron Eckman" u="1"/>
        <s v="Jean Knowles" u="1"/>
        <s v="Nicholas Boka" u="1"/>
        <s v="Dhana Vignesh Kumar Athithan" u="1"/>
        <s v="Dinesh Jagarlamudi" u="1"/>
        <s v="Ranjith Wilson" u="1"/>
        <s v="David Barton" u="1"/>
        <s v="Prakash Balakrishnan" u="1"/>
        <s v="Anjali Takpire" u="1"/>
        <s v="Chander S Chaudhary" u="1"/>
        <s v="Vasantkumar Krishnamurthy" u="1"/>
        <s v="James Pachan" u="1"/>
        <s v="Srinivasa Damacherla" u="1"/>
        <s v="Charlie Brooks" u="1"/>
        <s v="Piotr Luczycki" u="1"/>
        <s v="Indra Narayan" u="1"/>
        <s v="Prakash Raya" u="1"/>
        <s v="Meesala Dileep Kumar" u="1"/>
        <s v="Anmol Sharma" u="1"/>
        <s v="Nitika Agarwal" u="1"/>
        <s v="Terry Robertson" u="1"/>
        <s v="Deanna Sapp" u="1"/>
        <s v="Daryl Sorenson" u="1"/>
        <s v="Sanu Mary Varghese" u="1"/>
        <s v="Anthony Francisco" u="1"/>
        <s v="Abakar Abdoul Hady" u="1"/>
        <s v="Chandu Sarvadevabatla" u="1"/>
        <s v="Manohar Viswanathan" u="1"/>
        <s v="Bob Butkus" u="1"/>
        <s v="Chandra Konduru" u="1"/>
        <s v="Chacko Alex" u="1"/>
        <s v="Eduardo Arango" u="1"/>
        <s v="Nithiyanandam Kanniappan" u="1"/>
        <s v="Rajasekaran Natarajan" u="1"/>
        <s v="Nandakumar Natarajan" u="1"/>
        <s v="Nischal Vasanth Shetty" u="1"/>
        <s v="Rahul Chouhan" u="1"/>
        <s v="Tiffany Saller" u="1"/>
        <s v="Lori Schweitzer" u="1"/>
        <s v="ArunKumar Bagathur Kaniappan" u="1"/>
        <s v="Vinoth Kaladeepan" u="1"/>
        <s v="Kandukuri Gayasuddin Shaik" u="1"/>
        <s v="SudhirKumar Shankar" u="1"/>
        <s v="Charles George" u="1"/>
        <s v="Vijayalaxmi Sadarahalli" u="1"/>
        <s v="Jitesh Singh Chouhan" u="1"/>
        <s v="Kishorekumar M" u="1"/>
        <s v="Phoebe Sousa" u="1"/>
        <s v="Mayank Khatri" u="1"/>
        <s v="Rhonda Stapleton" u="1"/>
        <s v="Leslie Rutyna" u="1"/>
        <s v="Evan Rosenthal" u="1"/>
        <s v="Shirley Crump" u="1"/>
        <s v="Srini Amathi" u="1"/>
        <s v="Raghvendra Shukla" u="1"/>
        <s v="Shafiulla khan Mohammed" u="1"/>
        <s v="Abhay Chaurasia" u="1"/>
        <s v="Vijay Anand Muthukumaran" u="1"/>
        <s v="Vamsi Tirumalareddy" u="1"/>
        <s v="Sandeep Eti" u="1"/>
        <s v="Laxmikant Shenoy" u="1"/>
        <s v="Sam Le" u="1"/>
        <s v="Sriram Thorali Govardhan" u="1"/>
        <s v="SHERRI FLEENER" u="1"/>
        <s v="Ravindran Dharmalingam" u="1"/>
        <s v="Pawan Jaiswal" u="1"/>
        <s v="Darrell E. Robinson" u="1"/>
        <s v="Ponniah Ramakrishnan" u="1"/>
        <s v="Baswanth Vaddavalli" u="1"/>
        <s v="Gary Kolnicki" u="1"/>
        <s v="Manish Dhingra" u="1"/>
        <s v="Joe A Alcantara" u="1"/>
        <s v="Shashidhar Reddy Iyyapareddy" u="1"/>
        <s v="Ketan Choksi" u="1"/>
        <s v="Anand Govindarajan" u="1"/>
        <s v="Rajesh Subramanian" u="1"/>
        <s v="Siva Nageswara Rao Konda" u="1"/>
        <s v="Rohin Joy" u="1"/>
        <s v="Sukash Koley" u="1"/>
        <s v="Stuart Farber" u="1"/>
        <s v="Somnath Banerjee" u="1"/>
        <s v="Srinivas Karthala" u="1"/>
        <s v="Sriram T.G" u="1"/>
        <s v="Jason Chriss" u="1"/>
        <s v="Dayakar R. Malgireddy" u="1"/>
        <s v="Daniel Smith" u="1"/>
        <s v="Balakrishna Kilari" u="1"/>
        <s v="Rajasekhar Kanamarlapudi" u="1"/>
        <s v="Bashkor BB Biswas" u="1"/>
        <s v="Steven G. Breitenstein" u="1"/>
        <s v="Veerakarthi Selva Pandiyan" u="1"/>
        <s v="Omkar Adepu" u="1"/>
        <s v="Anand Seshaiyer" u="1"/>
        <s v="Saravana Kumar" u="1"/>
        <s v="Sudhir Srivastava" u="1"/>
        <s v="John Paverd" u="1"/>
        <s v="Miguel Lopez" u="1"/>
        <s v="Sayan Goswami" u="1"/>
        <s v="Karthik Kumar Nagarajan" u="1"/>
        <s v="Girish Mohan" u="1"/>
        <s v="Jaishankar Inukonda" u="1"/>
        <s v="Scott Honn" u="1"/>
        <s v="Adam Centerbar" u="1"/>
        <s v="Maruthi Prasad" u="1"/>
        <s v="Yaswanth Gundam" u="1"/>
        <s v="Seshadri Ramaswamy" u="1"/>
        <s v="Sheela Karthikeyan" u="1"/>
        <s v="Paul Haze" u="1"/>
        <s v="Dan Kovalcik" u="1"/>
        <s v="Sara Berhane" u="1"/>
        <s v="Jennifer Heller" u="1"/>
        <s v="Sailaja Battula" u="1"/>
        <s v="Venkata Teja Nallapaneni" u="1"/>
        <s v="Rajneesh Jain" u="1"/>
        <s v="Chuck Broussard" u="1"/>
        <s v="Jaimini Bhatt" u="1"/>
        <s v="Michelle Fadel" u="1"/>
        <s v="Sherri L. Frye" u="1"/>
        <s v="Billy Landers" u="1"/>
        <s v="Min Wang" u="1"/>
        <s v="Mark Nebergall" u="1"/>
        <s v="James Strange" u="1"/>
        <s v="Muralimanohar Krishnareddy" u="1"/>
        <s v="Frank Hopkins" u="1"/>
        <s v="Charlie Trotter" u="1"/>
        <s v="Raghavendra Suresh" u="1"/>
        <s v="Shambhu Gouda" u="1"/>
        <s v="Catherine Jean Frohman" u="1"/>
        <s v="Meenakshi Chandrasekaran" u="1"/>
        <s v="Santhosh P" u="1"/>
        <s v="Jacqueline Hang VO" u="1"/>
        <s v="Kishan Kumar" u="1"/>
        <s v="Jayakeerthana D" u="1"/>
        <s v="Anees Kottiliyil" u="1"/>
        <s v="Sinoj E Palani Chettiyar" u="1"/>
        <s v="Suresh Narasimhan" u="1"/>
        <s v="Ramakrishna Korada" u="1"/>
        <s v="Rajesh Kiran Korrapati" u="1"/>
        <s v="Priyatama Sisodiya" u="1"/>
        <s v="Ramachandran Ananthapadmanabhan" u="1"/>
        <s v="Manoj Varrier" u="1"/>
        <s v="Kavya Nakka" u="1"/>
        <s v="Stephanie M. Sadler" u="1"/>
        <s v="Tom Healy" u="1"/>
        <s v="Ger Morrison" u="1"/>
        <s v="Marat Goykhman" u="1"/>
        <s v="Timothy Devaughn" u="1"/>
        <s v="Anjaneyulu Kokkiligadda" u="1"/>
        <s v="Linu Varghese" u="1"/>
        <s v="Ben Cassel" u="1"/>
        <s v="Thomas Tyler" u="1"/>
        <s v="Cristopher R Ingalls" u="1"/>
        <s v="Suresh Reddy" u="1"/>
        <s v="Pavithra Raja" u="1"/>
        <s v="Maureen Bergin" u="1"/>
        <s v="Christopher Deiser" u="1"/>
        <s v="Meenakshi Senthilkumar" u="1"/>
        <s v="Sujeeth Narayan" u="1"/>
        <s v="Siddharthan Subramanian" u="1"/>
        <s v="Robert Spradlin" u="1"/>
        <s v="Varun Vasudevan" u="1"/>
        <s v="K.u Sanju Kumar" u="1"/>
        <s v="Tarena E. McCall" u="1"/>
        <s v="Jayanth Chandran" u="1"/>
        <s v="Brian Brown" u="1"/>
        <s v="Sue Ristucci" u="1"/>
        <s v="Vamshi Siddoju" u="1"/>
        <s v="Raghavendar Bojja" u="1"/>
        <s v="Gangadhar Bidurakantha" u="1"/>
        <s v="Guy Binns" u="1"/>
        <s v="Brian Hibner" u="1"/>
        <s v="Null" u="1"/>
        <s v="Meeran Moideen" u="1"/>
        <s v="Scott W. Secondino" u="1"/>
        <s v="Thirumal Ranganathan" u="1"/>
        <s v="Yuvarajan Nithiyanandam" u="1"/>
        <s v="Rahul Rathi" u="1"/>
        <s v="John Saunders" u="1"/>
      </sharedItems>
    </cacheField>
    <cacheField name="application_custom19" numFmtId="0">
      <sharedItems/>
    </cacheField>
    <cacheField name="application_custom23" numFmtId="0">
      <sharedItems/>
    </cacheField>
    <cacheField name="common_assetClass" numFmtId="0">
      <sharedItems/>
    </cacheField>
    <cacheField name="common_assetType" numFmtId="0">
      <sharedItems containsNonDate="0" containsString="0" containsBlank="1"/>
    </cacheField>
    <cacheField name="common_commentCount" numFmtId="0">
      <sharedItems containsNonDate="0" containsString="0" containsBlank="1"/>
    </cacheField>
    <cacheField name="common_taskCount" numFmtId="0">
      <sharedItems containsNonDate="0" containsString="0" containsBlank="1"/>
    </cacheField>
    <cacheField name="common_planStatu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n v="672040"/>
    <n v="321048"/>
    <x v="0"/>
    <s v="Applications"/>
    <s v="AppGroupA190"/>
    <n v="335763"/>
    <x v="0"/>
    <s v="Physical Devices"/>
    <s v="AppGroupA190"/>
    <s v="Unknown"/>
    <s v="Unknown"/>
    <s v="Unknown"/>
    <s v="App Runs On"/>
    <s v="028-Kafka-Test"/>
    <s v="Red Hat Enterprise Linux"/>
    <n v="1"/>
    <s v="Test"/>
    <s v="Server"/>
    <s v=""/>
    <s v="No"/>
    <s v="10.152.28.98"/>
    <m/>
    <m/>
    <s v=""/>
    <m/>
    <m/>
  </r>
  <r>
    <n v="672039"/>
    <n v="321048"/>
    <x v="0"/>
    <s v="Applications"/>
    <s v="AppGroupA190"/>
    <n v="335764"/>
    <x v="1"/>
    <s v="Physical Devices"/>
    <s v="AppGroupA190"/>
    <s v="Unknown"/>
    <s v="Unknown"/>
    <s v="Unknown"/>
    <s v="App Runs On"/>
    <s v="028-Kafka-Test"/>
    <s v="Red Hat Enterprise Linux"/>
    <n v="1"/>
    <s v="Test"/>
    <s v="Server"/>
    <s v=""/>
    <s v="No"/>
    <s v="10.152.28.99"/>
    <m/>
    <m/>
    <s v=""/>
    <m/>
    <m/>
  </r>
  <r>
    <n v="672038"/>
    <n v="321048"/>
    <x v="0"/>
    <s v="Applications"/>
    <s v="AppGroupA190"/>
    <n v="335765"/>
    <x v="2"/>
    <s v="Physical Devices"/>
    <s v="AppGroupA190"/>
    <s v="Unknown"/>
    <s v="Unknown"/>
    <s v="Unknown"/>
    <s v="App Runs On"/>
    <s v="028-Kafka-Test"/>
    <s v="Red Hat Enterprise Linux"/>
    <n v="1"/>
    <s v="Test"/>
    <s v="Server"/>
    <s v=""/>
    <s v="No"/>
    <s v="10.152.28.100"/>
    <m/>
    <m/>
    <s v=""/>
    <m/>
    <m/>
  </r>
  <r>
    <n v="672037"/>
    <n v="321048"/>
    <x v="0"/>
    <s v="Applications"/>
    <s v="AppGroupA190"/>
    <n v="335766"/>
    <x v="3"/>
    <s v="Physical Devices"/>
    <s v="AppGroupA190"/>
    <s v="Unknown"/>
    <s v="Unknown"/>
    <s v="Unknown"/>
    <s v="App Runs On"/>
    <s v="028-Kafka-Test"/>
    <s v="Red Hat Enterprise Linux"/>
    <n v="1"/>
    <s v="Test"/>
    <s v="Server"/>
    <s v=""/>
    <s v="No"/>
    <s v="10.152.28.102"/>
    <m/>
    <m/>
    <s v=""/>
    <m/>
    <m/>
  </r>
  <r>
    <n v="672036"/>
    <n v="321048"/>
    <x v="0"/>
    <s v="Applications"/>
    <s v="AppGroupA190"/>
    <n v="335767"/>
    <x v="4"/>
    <s v="Physical Devices"/>
    <s v="AppGroupA190"/>
    <s v="Unknown"/>
    <s v="Unknown"/>
    <s v="Unknown"/>
    <s v="App Runs On"/>
    <s v="028-Kafka-Test"/>
    <s v="Red Hat Enterprise Linux"/>
    <n v="1"/>
    <s v="Test"/>
    <s v="Server"/>
    <s v=""/>
    <s v="No"/>
    <s v="10.152.28.103"/>
    <m/>
    <m/>
    <s v=""/>
    <m/>
    <m/>
  </r>
  <r>
    <n v="672035"/>
    <n v="321048"/>
    <x v="0"/>
    <s v="Applications"/>
    <s v="AppGroupA190"/>
    <n v="335768"/>
    <x v="5"/>
    <s v="Physical Devices"/>
    <s v="AppGroupA190"/>
    <s v="Unknown"/>
    <s v="Unknown"/>
    <s v="Unknown"/>
    <s v="App Runs On"/>
    <s v="028-Kafka-Test"/>
    <s v="Red Hat Enterprise Linux"/>
    <n v="1"/>
    <s v="Test"/>
    <s v="Server"/>
    <s v=""/>
    <s v="No"/>
    <s v="10.152.28.104"/>
    <m/>
    <m/>
    <s v=""/>
    <m/>
    <m/>
  </r>
  <r>
    <n v="672034"/>
    <n v="321048"/>
    <x v="0"/>
    <s v="Applications"/>
    <s v="AppGroupA190"/>
    <n v="335769"/>
    <x v="6"/>
    <s v="Physical Devices"/>
    <s v="AppGroupA190"/>
    <s v="Unknown"/>
    <s v="Unknown"/>
    <s v="Unknown"/>
    <s v="App Runs On"/>
    <s v="028-Kafka-Test"/>
    <s v="Red Hat Enterprise Linux"/>
    <n v="1"/>
    <s v="Test"/>
    <s v="Server"/>
    <s v=""/>
    <s v="No"/>
    <s v="10.152.28.105"/>
    <m/>
    <m/>
    <s v=""/>
    <m/>
    <m/>
  </r>
  <r>
    <n v="672033"/>
    <n v="321048"/>
    <x v="0"/>
    <s v="Applications"/>
    <s v="AppGroupA190"/>
    <n v="335770"/>
    <x v="7"/>
    <s v="Physical Devices"/>
    <s v="AppGroupA190"/>
    <s v="Unknown"/>
    <s v="Unknown"/>
    <s v="Unknown"/>
    <s v="App Runs On"/>
    <s v="028-Kafka-Test"/>
    <s v="Red Hat Enterprise Linux"/>
    <n v="1"/>
    <s v="Test"/>
    <s v="Server"/>
    <s v=""/>
    <s v="No"/>
    <s v="10.152.28.106"/>
    <m/>
    <m/>
    <s v=""/>
    <m/>
    <m/>
  </r>
  <r>
    <n v="672032"/>
    <n v="321048"/>
    <x v="0"/>
    <s v="Applications"/>
    <s v="AppGroupA190"/>
    <n v="335771"/>
    <x v="8"/>
    <s v="Physical Devices"/>
    <s v="AppGroupA190"/>
    <s v="Unknown"/>
    <s v="Unknown"/>
    <s v="Unknown"/>
    <s v="App Runs On"/>
    <s v="028-Kafka-Test"/>
    <s v="Red Hat Enterprise Linux"/>
    <n v="1"/>
    <s v="Test"/>
    <s v="Server"/>
    <s v=""/>
    <s v="No"/>
    <s v="10.152.28.107"/>
    <m/>
    <m/>
    <s v=""/>
    <m/>
    <m/>
  </r>
  <r>
    <n v="672031"/>
    <n v="321048"/>
    <x v="0"/>
    <s v="Applications"/>
    <s v="AppGroupA190"/>
    <n v="335772"/>
    <x v="9"/>
    <s v="Physical Devices"/>
    <s v="AppGroupA190"/>
    <s v="Unknown"/>
    <s v="Unknown"/>
    <s v="Unknown"/>
    <s v="App Runs On"/>
    <s v="028-Kafka-Test"/>
    <s v="Red Hat Enterprise Linux"/>
    <n v="1"/>
    <s v="Test"/>
    <s v="Server"/>
    <s v=""/>
    <s v="No"/>
    <s v="10.152.28.108"/>
    <m/>
    <m/>
    <s v=""/>
    <m/>
    <m/>
  </r>
  <r>
    <n v="672030"/>
    <n v="321048"/>
    <x v="0"/>
    <s v="Applications"/>
    <s v="AppGroupA190"/>
    <n v="335773"/>
    <x v="10"/>
    <s v="Physical Devices"/>
    <s v="AppGroupA190"/>
    <s v="Unknown"/>
    <s v="Unknown"/>
    <s v="Unknown"/>
    <s v="App Runs On"/>
    <s v="028-Kafka-Test"/>
    <s v="Red Hat Enterprise Linux"/>
    <n v="1"/>
    <s v="Test"/>
    <s v="Server"/>
    <s v=""/>
    <s v="No"/>
    <s v="10.152.28.18"/>
    <m/>
    <m/>
    <s v=""/>
    <m/>
    <m/>
  </r>
  <r>
    <n v="672029"/>
    <n v="321048"/>
    <x v="0"/>
    <s v="Applications"/>
    <s v="AppGroupA190"/>
    <n v="335774"/>
    <x v="11"/>
    <s v="Physical Devices"/>
    <s v="AppGroupA190"/>
    <s v="Unknown"/>
    <s v="Unknown"/>
    <s v="Unknown"/>
    <s v="App Runs On"/>
    <s v="028-Kafka-Test"/>
    <s v="Red Hat Enterprise Linux"/>
    <n v="1"/>
    <s v="Test"/>
    <s v="Server"/>
    <s v=""/>
    <s v="No"/>
    <s v="10.152.28.20"/>
    <m/>
    <m/>
    <s v=""/>
    <m/>
    <m/>
  </r>
  <r>
    <n v="672028"/>
    <n v="321048"/>
    <x v="0"/>
    <s v="Applications"/>
    <s v="AppGroupA190"/>
    <n v="335775"/>
    <x v="12"/>
    <s v="Physical Devices"/>
    <s v="AppGroupA190"/>
    <s v="Unknown"/>
    <s v="Unknown"/>
    <s v="Unknown"/>
    <s v="App Runs On"/>
    <s v="028-Kafka-Test"/>
    <s v="Red Hat Enterprise Linux"/>
    <n v="1"/>
    <s v="Test"/>
    <s v="Server"/>
    <s v=""/>
    <s v="No"/>
    <s v="10.152.28.22"/>
    <m/>
    <m/>
    <s v=""/>
    <m/>
    <m/>
  </r>
  <r>
    <n v="672027"/>
    <n v="321048"/>
    <x v="0"/>
    <s v="Applications"/>
    <s v="AppGroupA190"/>
    <n v="335776"/>
    <x v="13"/>
    <s v="Physical Devices"/>
    <s v="AppGroupA190"/>
    <s v="Unknown"/>
    <s v="Unknown"/>
    <s v="Unknown"/>
    <s v="App Runs On"/>
    <s v="028-Kafka-Test"/>
    <s v="Red Hat Enterprise Linux"/>
    <n v="1"/>
    <s v="Test"/>
    <s v="Server"/>
    <s v=""/>
    <s v="No"/>
    <s v="10.152.28.115"/>
    <m/>
    <m/>
    <s v=""/>
    <m/>
    <m/>
  </r>
  <r>
    <n v="672026"/>
    <n v="321048"/>
    <x v="0"/>
    <s v="Applications"/>
    <s v="AppGroupA190"/>
    <n v="335777"/>
    <x v="14"/>
    <s v="Physical Devices"/>
    <s v="AppGroupA190"/>
    <s v="Unknown"/>
    <s v="Unknown"/>
    <s v="Unknown"/>
    <s v="App Runs On"/>
    <s v="028-Kafka-Test"/>
    <s v="Red Hat Enterprise Linux"/>
    <n v="1"/>
    <s v="Test"/>
    <s v="Server"/>
    <s v=""/>
    <s v="No"/>
    <s v="10.152.28.116"/>
    <m/>
    <m/>
    <s v=""/>
    <m/>
    <m/>
  </r>
  <r>
    <n v="672025"/>
    <n v="321048"/>
    <x v="0"/>
    <s v="Applications"/>
    <s v="AppGroupA190"/>
    <n v="335778"/>
    <x v="15"/>
    <s v="Physical Devices"/>
    <s v="AppGroupA190"/>
    <s v="Unknown"/>
    <s v="Unknown"/>
    <s v="Unknown"/>
    <s v="App Runs On"/>
    <s v="028-Kafka-Test"/>
    <s v="Red Hat Enterprise Linux"/>
    <n v="1"/>
    <s v="Test"/>
    <s v="Server"/>
    <s v=""/>
    <s v="No"/>
    <s v="10.152.28.117"/>
    <m/>
    <m/>
    <s v=""/>
    <m/>
    <m/>
  </r>
  <r>
    <n v="672024"/>
    <n v="321048"/>
    <x v="0"/>
    <s v="Applications"/>
    <s v="AppGroupA190"/>
    <n v="335779"/>
    <x v="16"/>
    <s v="Physical Devices"/>
    <s v="AppGroupA190"/>
    <s v="Unknown"/>
    <s v="Unknown"/>
    <s v="Unknown"/>
    <s v="App Runs On"/>
    <s v="028-Kafka-Test"/>
    <s v="Red Hat Enterprise Linux"/>
    <n v="1"/>
    <s v="Test"/>
    <s v="Server"/>
    <s v=""/>
    <s v="No"/>
    <s v="10.152.28.118"/>
    <m/>
    <m/>
    <s v=""/>
    <m/>
    <m/>
  </r>
  <r>
    <n v="672023"/>
    <n v="321048"/>
    <x v="0"/>
    <s v="Applications"/>
    <s v="AppGroupA190"/>
    <n v="335780"/>
    <x v="17"/>
    <s v="Physical Devices"/>
    <s v="AppGroupA190"/>
    <s v="Unknown"/>
    <s v="Unknown"/>
    <s v="Unknown"/>
    <s v="App Runs On"/>
    <s v="028-Kafka-Test"/>
    <s v="Red Hat Enterprise Linux"/>
    <n v="1"/>
    <s v="Test"/>
    <s v="Server"/>
    <s v=""/>
    <s v="No"/>
    <s v="10.152.28.119"/>
    <m/>
    <m/>
    <s v=""/>
    <m/>
    <m/>
  </r>
  <r>
    <n v="672022"/>
    <n v="321048"/>
    <x v="0"/>
    <s v="Applications"/>
    <s v="AppGroupA190"/>
    <n v="335781"/>
    <x v="18"/>
    <s v="Physical Devices"/>
    <s v="AppGroupA190"/>
    <s v="Unknown"/>
    <s v="Unknown"/>
    <s v="Unknown"/>
    <s v="App Runs On"/>
    <s v="028-Kafka-Test"/>
    <s v="Red Hat Enterprise Linux"/>
    <n v="1"/>
    <s v="Test"/>
    <s v="Server"/>
    <s v=""/>
    <s v="No"/>
    <s v="10.152.28.120"/>
    <m/>
    <m/>
    <s v=""/>
    <m/>
    <m/>
  </r>
  <r>
    <n v="672018"/>
    <n v="321048"/>
    <x v="0"/>
    <s v="Applications"/>
    <s v="AppGroupA190"/>
    <n v="335785"/>
    <x v="19"/>
    <s v="Physical Devices"/>
    <s v="AppGroupA190"/>
    <s v="Unknown"/>
    <s v="Unknown"/>
    <s v="Unknown"/>
    <s v="App Runs On"/>
    <s v="028-Kafka-Test"/>
    <s v="Red Hat Enterprise Linux"/>
    <n v="1"/>
    <s v="Test"/>
    <s v="Server"/>
    <s v=""/>
    <s v="No"/>
    <s v="10.152.28.124"/>
    <m/>
    <m/>
    <s v=""/>
    <m/>
    <m/>
  </r>
  <r>
    <n v="672017"/>
    <n v="321048"/>
    <x v="0"/>
    <s v="Applications"/>
    <s v="AppGroupA190"/>
    <n v="335786"/>
    <x v="20"/>
    <s v="Physical Devices"/>
    <s v="AppGroupA190"/>
    <s v="Unknown"/>
    <s v="Unknown"/>
    <s v="Unknown"/>
    <s v="App Runs On"/>
    <s v="028-Kafka-Test"/>
    <s v="Red Hat Enterprise Linux"/>
    <n v="1"/>
    <s v="Test"/>
    <s v="Server"/>
    <s v=""/>
    <s v="No"/>
    <s v="10.152.28.126"/>
    <m/>
    <m/>
    <s v=""/>
    <m/>
    <m/>
  </r>
  <r>
    <n v="672014"/>
    <n v="321048"/>
    <x v="0"/>
    <s v="Applications"/>
    <s v="AppGroupA190"/>
    <n v="335789"/>
    <x v="21"/>
    <s v="Physical Devices"/>
    <s v="AppGroupA190"/>
    <s v="Unknown"/>
    <s v="Unknown"/>
    <s v="Unknown"/>
    <s v="App Runs On"/>
    <s v="028-Kafka-Test"/>
    <s v="Red Hat Enterprise Linux"/>
    <n v="1"/>
    <s v="Test"/>
    <s v="Server"/>
    <s v=""/>
    <s v="No"/>
    <s v="10.152.28.129"/>
    <m/>
    <m/>
    <s v=""/>
    <m/>
    <m/>
  </r>
  <r>
    <n v="672013"/>
    <n v="321048"/>
    <x v="0"/>
    <s v="Applications"/>
    <s v="AppGroupA190"/>
    <n v="335790"/>
    <x v="22"/>
    <s v="Physical Devices"/>
    <s v="AppGroupA190"/>
    <s v="Unknown"/>
    <s v="Unknown"/>
    <s v="Unknown"/>
    <s v="App Runs On"/>
    <s v="028-Kafka-Test"/>
    <s v="Red Hat Enterprise Linux"/>
    <n v="1"/>
    <s v="Test"/>
    <s v="Server"/>
    <s v=""/>
    <s v="No"/>
    <s v="10.152.28.130"/>
    <m/>
    <m/>
    <s v=""/>
    <m/>
    <m/>
  </r>
  <r>
    <n v="672005"/>
    <n v="321048"/>
    <x v="0"/>
    <s v="Applications"/>
    <s v="AppGroupA190"/>
    <n v="335798"/>
    <x v="23"/>
    <s v="Physical Devices"/>
    <s v="AppGroupA190"/>
    <s v="Unknown"/>
    <s v="Unknown"/>
    <s v="Unknown"/>
    <s v="App Runs On"/>
    <s v="028-Kafka-Test"/>
    <s v="Red Hat Enterprise Linux"/>
    <n v="1"/>
    <s v="Test"/>
    <s v="Server"/>
    <s v=""/>
    <s v="No"/>
    <s v="10.152.28.138"/>
    <m/>
    <m/>
    <s v=""/>
    <m/>
    <m/>
  </r>
  <r>
    <n v="672004"/>
    <n v="321048"/>
    <x v="0"/>
    <s v="Applications"/>
    <s v="AppGroupA190"/>
    <n v="335799"/>
    <x v="24"/>
    <s v="Physical Devices"/>
    <s v="AppGroupA190"/>
    <s v="Unknown"/>
    <s v="Unknown"/>
    <s v="Unknown"/>
    <s v="App Runs On"/>
    <s v="028-Kafka-Test"/>
    <s v="Red Hat Enterprise Linux"/>
    <n v="1"/>
    <s v="Test"/>
    <s v="Server"/>
    <s v=""/>
    <s v="No"/>
    <s v="10.152.28.139"/>
    <m/>
    <m/>
    <s v=""/>
    <m/>
    <m/>
  </r>
  <r>
    <n v="672003"/>
    <n v="321048"/>
    <x v="0"/>
    <s v="Applications"/>
    <s v="AppGroupA190"/>
    <n v="335800"/>
    <x v="25"/>
    <s v="Physical Devices"/>
    <s v="AppGroupA190"/>
    <s v="Unknown"/>
    <s v="Unknown"/>
    <s v="Unknown"/>
    <s v="App Runs On"/>
    <s v="028-Kafka-Test"/>
    <s v="Red Hat Enterprise Linux"/>
    <n v="1"/>
    <s v="Test"/>
    <s v="Server"/>
    <s v=""/>
    <s v="No"/>
    <s v="10.152.28.140"/>
    <m/>
    <m/>
    <s v=""/>
    <m/>
    <m/>
  </r>
  <r>
    <n v="672002"/>
    <n v="321048"/>
    <x v="0"/>
    <s v="Applications"/>
    <s v="AppGroupA190"/>
    <n v="335801"/>
    <x v="26"/>
    <s v="Physical Devices"/>
    <s v="AppGroupA190"/>
    <s v="Unknown"/>
    <s v="Unknown"/>
    <s v="Unknown"/>
    <s v="App Runs On"/>
    <s v="028-Kafka-Test"/>
    <s v="Red Hat Enterprise Linux"/>
    <n v="1"/>
    <s v="Test"/>
    <s v="Server"/>
    <s v=""/>
    <s v="No"/>
    <s v="10.152.28.141"/>
    <m/>
    <m/>
    <s v=""/>
    <m/>
    <m/>
  </r>
  <r>
    <n v="672001"/>
    <n v="321048"/>
    <x v="0"/>
    <s v="Applications"/>
    <s v="AppGroupA190"/>
    <n v="335802"/>
    <x v="27"/>
    <s v="Physical Devices"/>
    <s v="AppGroupA190"/>
    <s v="Unknown"/>
    <s v="Unknown"/>
    <s v="Unknown"/>
    <s v="App Runs On"/>
    <s v="028-Kafka-Test"/>
    <s v="Red Hat Enterprise Linux"/>
    <n v="1"/>
    <s v="Test"/>
    <s v="Server"/>
    <s v=""/>
    <s v="No"/>
    <s v="10.152.28.142"/>
    <m/>
    <m/>
    <s v=""/>
    <m/>
    <m/>
  </r>
  <r>
    <n v="672376"/>
    <n v="334538"/>
    <x v="1"/>
    <s v="Applications"/>
    <s v="AppGroupA190"/>
    <n v="191458"/>
    <x v="28"/>
    <s v="Physical Devices"/>
    <s v="AppGroupA190"/>
    <s v="Unknown"/>
    <s v="Unknown"/>
    <s v="Validated"/>
    <s v="App Runs On"/>
    <s v="002-SOA/API/DATAPOWER - Enterprise Services-Dev"/>
    <s v="AIX"/>
    <n v="1"/>
    <s v="Development"/>
    <s v="AIX-LPAR"/>
    <s v=""/>
    <s v="No"/>
    <s v="30.135.106.116,30.135.106.112,30.135.106.113"/>
    <m/>
    <m/>
    <s v=""/>
    <m/>
    <m/>
  </r>
  <r>
    <n v="672375"/>
    <n v="334538"/>
    <x v="1"/>
    <s v="Applications"/>
    <s v="AppGroupA190"/>
    <n v="191485"/>
    <x v="29"/>
    <s v="Physical Devices"/>
    <s v="AppGroupA190"/>
    <s v="Unknown"/>
    <s v="Unknown"/>
    <s v="Validated"/>
    <s v="App Runs On"/>
    <s v="002-SOA/API/DATAPOWER - Enterprise Services-Dev"/>
    <s v="AIX"/>
    <n v="1"/>
    <s v="Development"/>
    <s v="AIX-LPAR"/>
    <s v=""/>
    <s v="No"/>
    <s v="30.135.106.114,30.135.106.115,30.135.106.117"/>
    <m/>
    <m/>
    <s v=""/>
    <m/>
    <m/>
  </r>
  <r>
    <n v="568514"/>
    <n v="316528"/>
    <x v="2"/>
    <s v="Applications"/>
    <s v="AppGroupA195B"/>
    <n v="191698"/>
    <x v="30"/>
    <s v="Physical Devices"/>
    <s v="AppGroupA190"/>
    <s v="Unknown"/>
    <s v="Unknown"/>
    <s v="Unknown"/>
    <s v="App Runs On"/>
    <s v="004-SOA/API - Enterprise Services-Dev"/>
    <s v="AIX"/>
    <n v="1"/>
    <s v="Development"/>
    <s v="AIX-LPAR"/>
    <s v=""/>
    <s v="Yes"/>
    <s v="30.135.106.133"/>
    <m/>
    <m/>
    <s v="perf-provider.soacoe.wellpoint.com_https,perf-provider.soacoe.wellpoint.com_https"/>
    <m/>
    <m/>
  </r>
  <r>
    <n v="568515"/>
    <n v="316528"/>
    <x v="2"/>
    <s v="Applications"/>
    <s v="AppGroupA195B"/>
    <n v="191491"/>
    <x v="31"/>
    <s v="Physical Devices"/>
    <s v="AppGroupA190"/>
    <s v="Unknown"/>
    <s v="Unknown"/>
    <s v="Unknown"/>
    <s v="App Runs On"/>
    <s v="004-SOA/API - Enterprise Services-Dev"/>
    <s v="AIX"/>
    <n v="1"/>
    <s v="Development"/>
    <s v="AIX-LPAR"/>
    <s v=""/>
    <s v="Yes"/>
    <s v="30.135.106.134"/>
    <m/>
    <m/>
    <s v="perf-provider.soacoe.wellpoint.com_https,perf-provider.soacoe.wellpoint.com_https"/>
    <m/>
    <m/>
  </r>
  <r>
    <n v="672277"/>
    <n v="361626"/>
    <x v="3"/>
    <s v="Applications"/>
    <s v="AppGroupA175"/>
    <n v="193202"/>
    <x v="32"/>
    <s v="Physical Devices"/>
    <s v="AppGroupA190"/>
    <s v="Unknown"/>
    <s v="Unknown"/>
    <s v="Unknown"/>
    <s v="App Runs On"/>
    <s v="001-Provider Care Management Solutions-Test"/>
    <s v="AIX"/>
    <n v="1"/>
    <s v="Test"/>
    <s v="AIX-LPAR"/>
    <s v="DB2"/>
    <s v="No"/>
    <s v="30.135.43.45"/>
    <m/>
    <m/>
    <s v=""/>
    <m/>
    <m/>
  </r>
  <r>
    <n v="581341"/>
    <n v="316570"/>
    <x v="4"/>
    <s v="Applications"/>
    <s v="AppGroupA190"/>
    <n v="231750"/>
    <x v="33"/>
    <s v="Physical Devices"/>
    <s v="AppGroupA190"/>
    <s v="Unknown"/>
    <s v="Unknown"/>
    <s v="Archived"/>
    <s v="App Runs On"/>
    <s v="002-SQL Server System Database-Dev"/>
    <s v="Microsoft Windows"/>
    <n v="1"/>
    <s v="Development"/>
    <s v="Server"/>
    <s v="SQL"/>
    <s v="No"/>
    <s v="30.118.198.20"/>
    <m/>
    <m/>
    <s v=""/>
    <m/>
    <m/>
  </r>
  <r>
    <n v="581342"/>
    <n v="316570"/>
    <x v="4"/>
    <s v="Applications"/>
    <s v="AppGroupA190"/>
    <n v="231751"/>
    <x v="34"/>
    <s v="Physical Devices"/>
    <s v="AppGroupA190"/>
    <s v="Unknown"/>
    <s v="Unknown"/>
    <s v="Archived"/>
    <s v="App Runs On"/>
    <s v="002-SQL Server System Database-Dev"/>
    <s v="Microsoft Windows"/>
    <n v="1"/>
    <s v="Development"/>
    <s v="Server"/>
    <s v="SQL"/>
    <s v="No"/>
    <s v="30.118.198.21,30.118.198.23"/>
    <m/>
    <m/>
    <s v=""/>
    <m/>
    <m/>
  </r>
  <r>
    <n v="605692"/>
    <n v="357359"/>
    <x v="5"/>
    <s v="Applications"/>
    <s v="AppGroupA197"/>
    <n v="321553"/>
    <x v="35"/>
    <s v="Virtual Devices"/>
    <s v="AppGroupA190"/>
    <s v="Unknown"/>
    <s v="Unknown"/>
    <s v="Unknown"/>
    <s v="App Runs On"/>
    <s v="002-Axway (GBD)-DR"/>
    <s v="Microsoft Windows"/>
    <n v="1"/>
    <s v="Disaster Recovery"/>
    <s v="VM"/>
    <s v=""/>
    <s v="No"/>
    <s v="22.112.40.30"/>
    <m/>
    <m/>
    <s v="ccc6.hb.anthem.com-443-dmz-llb,fxdr.amerigroup.com-8443-dmz-llb,ccc.hb.anthem.com-443-dmz-llb,fxdr.amerigroup.com-8443-dmz-llb,ftp2dr.amerigroup.com-8443-dmz-llb,fxdr.amerigroup.com-22-dmz-llb,ftp2dr.amerigroup.com-8443-dmz-llb,fxdr.amerigroup.com-22-dmz-llb"/>
    <m/>
    <m/>
  </r>
  <r>
    <n v="605693"/>
    <n v="357359"/>
    <x v="5"/>
    <s v="Applications"/>
    <s v="AppGroupA197"/>
    <n v="321554"/>
    <x v="36"/>
    <s v="Virtual Devices"/>
    <s v="AppGroupA190"/>
    <s v="Unknown"/>
    <s v="Unknown"/>
    <s v="Unknown"/>
    <s v="App Runs On"/>
    <s v="002-Axway (GBD)-DR"/>
    <s v="Microsoft Windows"/>
    <n v="1"/>
    <s v="Disaster Recovery"/>
    <s v="VM"/>
    <s v=""/>
    <s v="No"/>
    <s v="22.112.40.33"/>
    <m/>
    <m/>
    <s v="fxdr.amerigroup.com-8443-dmz-llb,fxdr.amerigroup.com-8443-dmz-llb,ftp2dr.amerigroup.com-8443-dmz-llb,fxdr.amerigroup.com-22-dmz-llb,fxdr.amerigroup.com-22-dmz-llb,ftp2dr.amerigroup.com-8443-dmz-llb"/>
    <m/>
    <m/>
  </r>
  <r>
    <n v="631245"/>
    <n v="316571"/>
    <x v="6"/>
    <s v="Applications"/>
    <s v="AppGroupA190"/>
    <n v="223360"/>
    <x v="37"/>
    <s v="Physical Devices"/>
    <s v="AppGroupA190"/>
    <s v="Unknown"/>
    <s v="Unknown"/>
    <s v="Validated"/>
    <s v="App Runs On"/>
    <s v="002-SQL Server System Database-Test"/>
    <s v="Microsoft Windows"/>
    <n v="1"/>
    <s v="Test"/>
    <s v="Server"/>
    <s v="SQL"/>
    <s v="No"/>
    <s v="30.118.196.105, 30.118.196.108"/>
    <m/>
    <m/>
    <s v=""/>
    <m/>
    <m/>
  </r>
  <r>
    <n v="670754"/>
    <n v="316571"/>
    <x v="6"/>
    <s v="Applications"/>
    <s v="AppGroupA190"/>
    <n v="220746"/>
    <x v="38"/>
    <s v="Physical Devices"/>
    <s v="AppGroupA190"/>
    <s v="Unknown"/>
    <s v="Unknown"/>
    <s v="Validated"/>
    <s v="App Runs On"/>
    <s v="002-SQL Server System Database-Test"/>
    <s v="Microsoft Windows"/>
    <n v="1"/>
    <s v="Test"/>
    <s v="Server"/>
    <s v="SQL"/>
    <s v="No"/>
    <s v="30.118.196.106,30.118.196.107"/>
    <m/>
    <m/>
    <s v=""/>
    <m/>
    <m/>
  </r>
  <r>
    <n v="568455"/>
    <n v="316522"/>
    <x v="7"/>
    <s v="Applications"/>
    <s v="AppGroupA170"/>
    <n v="193792"/>
    <x v="39"/>
    <s v="Physical Devices"/>
    <s v="AppGroupA190"/>
    <s v="Unknown"/>
    <s v="Unknown"/>
    <s v="Archived"/>
    <s v="App Runs On"/>
    <s v="002-SOA Atomic Services-Dev"/>
    <s v="AIX"/>
    <n v="1"/>
    <s v="Development"/>
    <s v="AIX-LPAR"/>
    <s v=""/>
    <s v="No"/>
    <s v="30.135.64.220,30.135.64.221,30.135.64.26"/>
    <m/>
    <m/>
    <s v=""/>
    <m/>
    <m/>
  </r>
  <r>
    <n v="577301"/>
    <n v="316950"/>
    <x v="8"/>
    <s v="Applications"/>
    <s v="AppGroupA107"/>
    <n v="193394"/>
    <x v="40"/>
    <s v="Physical Devices"/>
    <s v="AppGroupA190"/>
    <s v="Unknown"/>
    <s v="Unknown"/>
    <s v="Archived"/>
    <s v="App Runs On"/>
    <s v="001-eHub - Enterprise Master Person Index (EMPI)-Dev"/>
    <s v="AIX"/>
    <n v="1"/>
    <s v="Development"/>
    <s v="AIX-LPAR"/>
    <s v=""/>
    <s v="No"/>
    <s v="30.135.64.223,30.135.64.222,30.135.64.27"/>
    <m/>
    <m/>
    <s v=""/>
    <m/>
    <m/>
  </r>
  <r>
    <n v="569136"/>
    <n v="316528"/>
    <x v="2"/>
    <s v="Applications"/>
    <s v="AppGroupA195B"/>
    <n v="193396"/>
    <x v="41"/>
    <s v="Physical Devices"/>
    <s v="AppGroupA190"/>
    <s v="Unknown"/>
    <s v="Unknown"/>
    <s v="Unknown"/>
    <s v="App Runs On"/>
    <s v="004-SOA/API - Enterprise Services-Dev"/>
    <s v="AIX"/>
    <n v="1"/>
    <s v="Development"/>
    <s v="AIX-LPAR"/>
    <s v=""/>
    <s v="No"/>
    <s v="30.135.64.230"/>
    <m/>
    <m/>
    <s v=""/>
    <m/>
    <m/>
  </r>
  <r>
    <n v="568402"/>
    <n v="316519"/>
    <x v="9"/>
    <s v="Applications"/>
    <s v="AppGroupA170"/>
    <n v="193660"/>
    <x v="42"/>
    <s v="Physical Devices"/>
    <s v="AppGroupA190"/>
    <s v="Unknown"/>
    <s v="Unknown"/>
    <s v="Archived"/>
    <s v="App Runs On"/>
    <s v="001-SOA - Enterprise 27X HIPAA Application-Dev"/>
    <s v="AIX"/>
    <n v="1"/>
    <s v="Development"/>
    <s v="AIX-LPAR"/>
    <s v=""/>
    <s v="No"/>
    <s v="30.135.64.235"/>
    <m/>
    <m/>
    <s v=""/>
    <m/>
    <m/>
  </r>
  <r>
    <n v="569137"/>
    <n v="316528"/>
    <x v="2"/>
    <s v="Applications"/>
    <s v="AppGroupA195B"/>
    <n v="193397"/>
    <x v="43"/>
    <s v="Physical Devices"/>
    <s v="AppGroupA190"/>
    <s v="Unknown"/>
    <s v="Unknown"/>
    <s v="Unknown"/>
    <s v="App Runs On"/>
    <s v="004-SOA/API - Enterprise Services-Dev"/>
    <s v="AIX"/>
    <n v="1"/>
    <s v="Development"/>
    <s v="AIX-LPAR"/>
    <s v=""/>
    <s v="No"/>
    <s v="30.135.64.236"/>
    <m/>
    <m/>
    <s v=""/>
    <m/>
    <m/>
  </r>
  <r>
    <n v="568456"/>
    <n v="316522"/>
    <x v="7"/>
    <s v="Applications"/>
    <s v="AppGroupA170"/>
    <n v="193582"/>
    <x v="44"/>
    <s v="Physical Devices"/>
    <s v="AppGroupA190"/>
    <s v="Unknown"/>
    <s v="Unknown"/>
    <s v="Archived"/>
    <s v="App Runs On"/>
    <s v="002-SOA Atomic Services-Dev"/>
    <s v="AIX"/>
    <n v="1"/>
    <s v="Development"/>
    <s v="AIX-LPAR"/>
    <s v=""/>
    <s v="No"/>
    <s v="30.135.64.238,30.135.64.40"/>
    <m/>
    <m/>
    <s v=""/>
    <m/>
    <m/>
  </r>
  <r>
    <n v="672249"/>
    <n v="356455"/>
    <x v="10"/>
    <s v="Applications"/>
    <s v="Orphan"/>
    <n v="193663"/>
    <x v="45"/>
    <s v="Physical Devices"/>
    <s v="AppGroupA190"/>
    <s v="Unknown"/>
    <s v="Unknown"/>
    <s v="Unknown"/>
    <s v="App Runs On"/>
    <s v="001-Legacy Provider Finder-Test"/>
    <s v="AIX"/>
    <n v="1"/>
    <s v="Test"/>
    <s v="AIX-LPAR"/>
    <s v="DB2"/>
    <s v="No"/>
    <s v="30.135.64.125"/>
    <m/>
    <m/>
    <s v=""/>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316571"/>
    <x v="0"/>
    <m/>
    <m/>
    <s v="AppGroupA190"/>
    <s v="Erwin Salazar"/>
    <s v="Erwin.Salazar@kyndryl.com"/>
    <m/>
    <x v="0"/>
    <s v="Erwin.Salazar@kyndryl.com"/>
    <s v="Rosenthal, Evan"/>
    <x v="0"/>
    <s v="Evan.Rosenthal@kyndryl.com"/>
    <x v="0"/>
    <s v="boyd.nichols.jr@kyndryl.com"/>
    <s v="DL-WDBS-SQL-DBA@anthem.com"/>
    <s v="APPLICATION"/>
    <m/>
    <m/>
    <m/>
    <s v="Assigned"/>
  </r>
  <r>
    <n v="316570"/>
    <x v="1"/>
    <m/>
    <m/>
    <s v="AppGroupA190"/>
    <s v="Erwin Salazar"/>
    <s v="Erwin.Salazar@kyndryl.com"/>
    <m/>
    <x v="0"/>
    <s v="Erwin.Salazar@kyndryl.com"/>
    <s v="Rosenthal, Evan"/>
    <x v="0"/>
    <s v="Evan.Rosenthal@kyndryl.com"/>
    <x v="0"/>
    <s v="boyd.nichols.jr@kyndryl.com"/>
    <s v="DL-WDBS-SQL-DBA@anthem.com"/>
    <s v="APPLICATION"/>
    <m/>
    <m/>
    <m/>
    <s v="Assigned"/>
  </r>
  <r>
    <n v="334538"/>
    <x v="2"/>
    <m/>
    <m/>
    <s v="AppGroupA190"/>
    <s v="Srini Amathi"/>
    <s v="srini.amathi@elevancehealth.com"/>
    <m/>
    <x v="1"/>
    <s v="balraj.singh@elevancehealth.com"/>
    <s v="Chennakesavan, Anand"/>
    <x v="1"/>
    <s v="Anand.Chennakesavan@carelon.com"/>
    <x v="1"/>
    <s v="NA"/>
    <s v="dl-IASMonitoring@anthem.com; dl-advancedsoamonitoring@anthem.com; dl-soa-changemanagement@anthem.com"/>
    <s v="APPLICATION"/>
    <m/>
    <m/>
    <m/>
    <s v="Assigned"/>
  </r>
  <r>
    <n v="321048"/>
    <x v="3"/>
    <m/>
    <m/>
    <s v="AppGroupA190"/>
    <s v="Srihari Koduri"/>
    <s v="srihari.koduri@elevancehealth.com"/>
    <m/>
    <x v="2"/>
    <s v="sanjay.vishwakarma@elevancehealth.com"/>
    <s v="Koduri, Srihari"/>
    <x v="2"/>
    <s v="venkateswara.garikapati@elevancehealth.com"/>
    <x v="1"/>
    <s v="NA"/>
    <s v="dl-kafka-support@anthem.com"/>
    <s v="APPLICATION"/>
    <m/>
    <m/>
    <m/>
    <s v="Unassign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2F962F-6DF9-42CD-BA50-2BF4A59D879D}" name="PivotTable1" cacheId="1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Applications/CS-Stacks">
  <location ref="A3:B61" firstHeaderRow="1" firstDataRow="1" firstDataCol="1"/>
  <pivotFields count="26">
    <pivotField showAll="0"/>
    <pivotField showAll="0"/>
    <pivotField axis="axisRow" showAll="0">
      <items count="1184">
        <item m="1" x="728"/>
        <item m="1" x="320"/>
        <item m="1" x="1165"/>
        <item m="1" x="794"/>
        <item m="1" x="835"/>
        <item m="1" x="943"/>
        <item m="1" x="704"/>
        <item m="1" x="1182"/>
        <item m="1" x="962"/>
        <item m="1" x="460"/>
        <item m="1" x="620"/>
        <item m="1" x="675"/>
        <item m="1" x="627"/>
        <item m="1" x="350"/>
        <item m="1" x="1001"/>
        <item m="1" x="814"/>
        <item m="1" x="1024"/>
        <item m="1" x="632"/>
        <item m="1" x="466"/>
        <item m="1" x="1101"/>
        <item m="1" x="751"/>
        <item m="1" x="909"/>
        <item m="1" x="582"/>
        <item m="1" x="950"/>
        <item m="1" x="851"/>
        <item m="1" x="329"/>
        <item m="1" x="366"/>
        <item m="1" x="1052"/>
        <item m="1" x="998"/>
        <item m="1" x="1175"/>
        <item m="1" x="733"/>
        <item m="1" x="919"/>
        <item m="1" x="902"/>
        <item m="1" x="364"/>
        <item m="1" x="729"/>
        <item m="1" x="1130"/>
        <item m="1" x="26"/>
        <item m="1" x="737"/>
        <item m="1" x="557"/>
        <item m="1" x="776"/>
        <item m="1" x="1160"/>
        <item m="1" x="1179"/>
        <item m="1" x="492"/>
        <item m="1" x="694"/>
        <item m="1" x="856"/>
        <item m="1" x="296"/>
        <item m="1" x="1132"/>
        <item m="1" x="11"/>
        <item m="1" x="671"/>
        <item m="1" x="495"/>
        <item m="1" x="577"/>
        <item m="1" x="758"/>
        <item m="1" x="1177"/>
        <item m="1" x="284"/>
        <item m="1" x="1178"/>
        <item m="1" x="331"/>
        <item m="1" x="20"/>
        <item m="1" x="1099"/>
        <item m="1" x="531"/>
        <item m="1" x="878"/>
        <item m="1" x="537"/>
        <item m="1" x="362"/>
        <item m="1" x="877"/>
        <item m="1" x="949"/>
        <item m="1" x="395"/>
        <item m="1" x="805"/>
        <item m="1" x="793"/>
        <item m="1" x="522"/>
        <item m="1" x="697"/>
        <item m="1" x="735"/>
        <item m="1" x="407"/>
        <item m="1" x="341"/>
        <item m="1" x="995"/>
        <item m="1" x="762"/>
        <item m="1" x="1034"/>
        <item m="1" x="1166"/>
        <item m="1" x="670"/>
        <item m="1" x="1141"/>
        <item m="1" x="679"/>
        <item m="1" x="1029"/>
        <item m="1" x="308"/>
        <item m="1" x="442"/>
        <item m="1" x="934"/>
        <item m="1" x="1104"/>
        <item m="1" x="541"/>
        <item m="1" x="455"/>
        <item m="1" x="945"/>
        <item m="1" x="857"/>
        <item m="1" x="360"/>
        <item m="1" x="375"/>
        <item m="1" x="633"/>
        <item m="1" x="343"/>
        <item m="1" x="1142"/>
        <item m="1" x="1123"/>
        <item m="1" x="801"/>
        <item m="1" x="484"/>
        <item m="1" x="128"/>
        <item m="1" x="876"/>
        <item m="1" x="84"/>
        <item m="1" x="600"/>
        <item m="1" x="865"/>
        <item m="1" x="1088"/>
        <item m="1" x="635"/>
        <item m="1" x="722"/>
        <item m="1" x="930"/>
        <item m="1" x="591"/>
        <item m="1" x="1148"/>
        <item m="1" x="410"/>
        <item m="1" x="129"/>
        <item m="1" x="451"/>
        <item m="1" x="313"/>
        <item m="1" x="1035"/>
        <item m="1" x="1002"/>
        <item m="1" x="552"/>
        <item m="1" x="752"/>
        <item m="1" x="841"/>
        <item m="1" x="142"/>
        <item m="1" x="642"/>
        <item m="1" x="845"/>
        <item m="1" x="1004"/>
        <item m="1" x="288"/>
        <item m="1" x="1140"/>
        <item m="1" x="565"/>
        <item m="1" x="783"/>
        <item m="1" x="527"/>
        <item m="1" x="846"/>
        <item m="1" x="576"/>
        <item m="1" x="334"/>
        <item m="1" x="904"/>
        <item m="1" x="1154"/>
        <item m="1" x="298"/>
        <item m="1" x="781"/>
        <item m="1" x="545"/>
        <item m="1" x="291"/>
        <item m="1" x="1077"/>
        <item m="1" x="830"/>
        <item m="1" x="311"/>
        <item m="1" x="431"/>
        <item m="1" x="953"/>
        <item m="1" x="689"/>
        <item m="1" x="470"/>
        <item m="1" x="1046"/>
        <item m="1" x="907"/>
        <item m="1" x="732"/>
        <item m="1" x="837"/>
        <item m="1" x="1105"/>
        <item m="1" x="956"/>
        <item m="1" x="1122"/>
        <item m="1" x="1064"/>
        <item m="1" x="958"/>
        <item m="1" x="488"/>
        <item m="1" x="1015"/>
        <item m="1" x="951"/>
        <item m="1" x="1167"/>
        <item m="1" x="827"/>
        <item m="1" x="1084"/>
        <item m="1" x="1014"/>
        <item m="1" x="255"/>
        <item m="1" x="497"/>
        <item m="1" x="506"/>
        <item m="1" x="795"/>
        <item m="1" x="982"/>
        <item m="1" x="1109"/>
        <item m="1" x="454"/>
        <item m="1" x="528"/>
        <item m="1" x="836"/>
        <item m="1" x="1082"/>
        <item m="1" x="325"/>
        <item m="1" x="580"/>
        <item x="0"/>
        <item m="1" x="401"/>
        <item m="1" x="802"/>
        <item m="1" x="513"/>
        <item m="1" x="854"/>
        <item m="1" x="1008"/>
        <item m="1" x="916"/>
        <item m="1" x="302"/>
        <item m="1" x="740"/>
        <item m="1" x="701"/>
        <item m="1" x="422"/>
        <item m="1" x="306"/>
        <item m="1" x="391"/>
        <item m="1" x="797"/>
        <item m="1" x="355"/>
        <item m="1" x="378"/>
        <item m="1" x="900"/>
        <item m="1" x="393"/>
        <item m="1" x="542"/>
        <item m="1" x="468"/>
        <item m="1" x="989"/>
        <item m="1" x="335"/>
        <item m="1" x="1114"/>
        <item m="1" x="1171"/>
        <item m="1" x="1180"/>
        <item m="1" x="1057"/>
        <item m="1" x="396"/>
        <item m="1" x="771"/>
        <item m="1" x="818"/>
        <item m="1" x="890"/>
        <item m="1" x="1100"/>
        <item m="1" x="630"/>
        <item m="1" x="637"/>
        <item m="1" x="641"/>
        <item m="1" x="1016"/>
        <item m="1" x="286"/>
        <item m="1" x="628"/>
        <item m="1" x="971"/>
        <item m="1" x="839"/>
        <item m="1" x="425"/>
        <item m="1" x="519"/>
        <item m="1" x="267"/>
        <item m="1" x="898"/>
        <item m="1" x="647"/>
        <item m="1" x="1174"/>
        <item m="1" x="1170"/>
        <item m="1" x="858"/>
        <item m="1" x="566"/>
        <item m="1" x="893"/>
        <item m="1" x="973"/>
        <item m="1" x="344"/>
        <item m="1" x="861"/>
        <item m="1" x="905"/>
        <item m="1" x="435"/>
        <item m="1" x="448"/>
        <item m="1" x="569"/>
        <item m="1" x="810"/>
        <item m="1" x="1037"/>
        <item m="1" x="1038"/>
        <item m="1" x="1039"/>
        <item m="1" x="1056"/>
        <item m="1" x="688"/>
        <item m="1" x="767"/>
        <item m="1" x="874"/>
        <item m="1" x="511"/>
        <item m="1" x="467"/>
        <item m="1" x="1043"/>
        <item m="1" x="698"/>
        <item m="1" x="59"/>
        <item m="1" x="730"/>
        <item m="1" x="683"/>
        <item m="1" x="60"/>
        <item m="1" x="623"/>
        <item m="1" x="584"/>
        <item m="1" x="1006"/>
        <item m="1" x="1020"/>
        <item m="1" x="929"/>
        <item m="1" x="624"/>
        <item m="1" x="815"/>
        <item m="1" x="1119"/>
        <item m="1" x="321"/>
        <item m="1" x="380"/>
        <item m="1" x="266"/>
        <item m="1" x="673"/>
        <item m="1" x="631"/>
        <item m="1" x="941"/>
        <item m="1" x="526"/>
        <item m="1" x="892"/>
        <item m="1" x="1152"/>
        <item m="1" x="559"/>
        <item m="1" x="409"/>
        <item m="1" x="894"/>
        <item m="1" x="585"/>
        <item m="1" x="819"/>
        <item m="1" x="662"/>
        <item m="1" x="777"/>
        <item m="1" x="283"/>
        <item m="1" x="778"/>
        <item m="1" x="312"/>
        <item m="1" x="618"/>
        <item m="1" x="786"/>
        <item m="1" x="640"/>
        <item m="1" x="895"/>
        <item m="1" x="779"/>
        <item m="1" x="780"/>
        <item m="1" x="743"/>
        <item m="1" x="412"/>
        <item m="1" x="666"/>
        <item m="1" x="303"/>
        <item m="1" x="411"/>
        <item m="1" x="868"/>
        <item m="1" x="500"/>
        <item m="1" x="963"/>
        <item m="1" x="589"/>
        <item m="1" x="518"/>
        <item m="1" x="946"/>
        <item m="1" x="316"/>
        <item m="1" x="1076"/>
        <item m="1" x="611"/>
        <item m="1" x="1065"/>
        <item m="1" x="915"/>
        <item m="1" x="822"/>
        <item m="1" x="880"/>
        <item m="1" x="1036"/>
        <item m="1" x="293"/>
        <item m="1" x="1149"/>
        <item m="1" x="955"/>
        <item m="1" x="1103"/>
        <item m="1" x="761"/>
        <item m="1" x="834"/>
        <item m="1" x="840"/>
        <item m="1" x="668"/>
        <item m="1" x="314"/>
        <item m="1" x="593"/>
        <item m="1" x="1091"/>
        <item m="1" x="672"/>
        <item m="1" x="1047"/>
        <item m="1" x="1053"/>
        <item m="1" x="1030"/>
        <item m="1" x="772"/>
        <item m="1" x="310"/>
        <item m="1" x="768"/>
        <item m="1" x="639"/>
        <item m="1" x="28"/>
        <item m="1" x="678"/>
        <item m="1" x="538"/>
        <item m="1" x="848"/>
        <item m="1" x="529"/>
        <item m="1" x="258"/>
        <item m="1" x="798"/>
        <item m="1" x="523"/>
        <item m="1" x="804"/>
        <item m="1" x="594"/>
        <item m="1" x="690"/>
        <item m="1" x="486"/>
        <item m="1" x="773"/>
        <item m="1" x="147"/>
        <item m="1" x="1162"/>
        <item m="1" x="826"/>
        <item m="1" x="889"/>
        <item m="1" x="348"/>
        <item m="1" x="899"/>
        <item m="1" x="833"/>
        <item m="1" x="318"/>
        <item m="1" x="1051"/>
        <item m="1" x="516"/>
        <item m="1" x="473"/>
        <item m="1" x="1013"/>
        <item m="1" x="937"/>
        <item m="1" x="710"/>
        <item m="1" x="879"/>
        <item m="1" x="888"/>
        <item m="1" x="842"/>
        <item m="1" x="979"/>
        <item m="1" x="718"/>
        <item m="1" x="95"/>
        <item m="1" x="398"/>
        <item m="1" x="886"/>
        <item m="1" x="567"/>
        <item m="1" x="107"/>
        <item m="1" x="281"/>
        <item m="1" x="338"/>
        <item m="1" x="1044"/>
        <item m="1" x="800"/>
        <item m="1" x="994"/>
        <item m="1" x="770"/>
        <item m="1" x="866"/>
        <item m="1" x="648"/>
        <item m="1" x="1078"/>
        <item m="1" x="674"/>
        <item m="1" x="273"/>
        <item m="1" x="1022"/>
        <item m="1" x="996"/>
        <item m="1" x="109"/>
        <item m="1" x="309"/>
        <item m="1" x="745"/>
        <item m="1" x="787"/>
        <item m="1" x="1115"/>
        <item m="1" x="106"/>
        <item m="1" x="693"/>
        <item m="1" x="925"/>
        <item m="1" x="1075"/>
        <item m="1" x="1069"/>
        <item m="1" x="987"/>
        <item m="1" x="806"/>
        <item m="1" x="643"/>
        <item m="1" x="1026"/>
        <item m="1" x="615"/>
        <item m="1" x="849"/>
        <item m="1" x="784"/>
        <item m="1" x="521"/>
        <item m="1" x="261"/>
        <item m="1" x="747"/>
        <item m="1" x="472"/>
        <item m="1" x="968"/>
        <item m="1" x="753"/>
        <item m="1" x="430"/>
        <item m="1" x="400"/>
        <item m="1" x="443"/>
        <item m="1" x="908"/>
        <item m="1" x="372"/>
        <item m="1" x="386"/>
        <item m="1" x="367"/>
        <item m="1" x="1113"/>
        <item m="1" x="922"/>
        <item m="1" x="446"/>
        <item m="1" x="1164"/>
        <item m="1" x="453"/>
        <item m="1" x="590"/>
        <item m="1" x="315"/>
        <item m="1" x="901"/>
        <item m="1" x="705"/>
        <item m="1" x="1071"/>
        <item m="1" x="972"/>
        <item m="1" x="831"/>
        <item m="1" x="645"/>
        <item m="1" x="417"/>
        <item m="1" x="1033"/>
        <item m="1" x="276"/>
        <item m="1" x="535"/>
        <item m="1" x="1176"/>
        <item m="1" x="970"/>
        <item m="1" x="935"/>
        <item m="1" x="709"/>
        <item m="1" x="918"/>
        <item m="1" x="271"/>
        <item m="1" x="969"/>
        <item m="1" x="869"/>
        <item m="1" x="634"/>
        <item m="1" x="1000"/>
        <item m="1" x="706"/>
        <item m="1" x="390"/>
        <item m="1" x="1060"/>
        <item m="1" x="792"/>
        <item m="1" x="1019"/>
        <item m="1" x="947"/>
        <item m="1" x="1168"/>
        <item m="1" x="347"/>
        <item m="1" x="1096"/>
        <item m="1" x="725"/>
        <item m="1" x="727"/>
        <item m="1" x="820"/>
        <item m="1" x="913"/>
        <item m="1" x="503"/>
        <item m="1" x="339"/>
        <item m="1" x="1072"/>
        <item m="1" x="824"/>
        <item m="1" x="755"/>
        <item m="1" x="546"/>
        <item m="1" x="510"/>
        <item m="1" x="906"/>
        <item m="1" x="960"/>
        <item m="1" x="586"/>
        <item m="1" x="275"/>
        <item m="1" x="299"/>
        <item m="1" x="912"/>
        <item m="1" x="265"/>
        <item m="1" x="882"/>
        <item m="1" x="847"/>
        <item m="1" x="490"/>
        <item m="1" x="613"/>
        <item m="1" x="1010"/>
        <item m="1" x="723"/>
        <item m="1" x="1049"/>
        <item m="1" x="686"/>
        <item m="1" x="1125"/>
        <item m="1" x="397"/>
        <item m="1" x="948"/>
        <item m="1" x="1147"/>
        <item m="1" x="539"/>
        <item m="1" x="370"/>
        <item m="1" x="682"/>
        <item m="1" x="685"/>
        <item m="1" x="379"/>
        <item m="1" x="991"/>
        <item m="1" x="269"/>
        <item m="1" x="270"/>
        <item m="1" x="494"/>
        <item m="1" x="1138"/>
        <item m="1" x="926"/>
        <item m="1" x="759"/>
        <item m="1" x="384"/>
        <item m="1" x="657"/>
        <item m="1" x="328"/>
        <item m="1" x="897"/>
        <item m="1" x="561"/>
        <item m="1" x="578"/>
        <item m="1" x="563"/>
        <item m="1" x="1143"/>
        <item m="1" x="1156"/>
        <item m="1" x="817"/>
        <item m="1" x="285"/>
        <item m="1" x="560"/>
        <item m="1" x="714"/>
        <item m="1" x="1042"/>
        <item m="1" x="437"/>
        <item m="1" x="1118"/>
        <item m="1" x="883"/>
        <item m="1" x="568"/>
        <item m="1" x="988"/>
        <item x="7"/>
        <item m="1" x="1068"/>
        <item m="1" x="156"/>
        <item m="1" x="921"/>
        <item m="1" x="790"/>
        <item m="1" x="667"/>
        <item m="1" x="450"/>
        <item m="1" x="603"/>
        <item m="1" x="903"/>
        <item m="1" x="859"/>
        <item m="1" x="493"/>
        <item m="1" x="1120"/>
        <item m="1" x="264"/>
        <item m="1" x="359"/>
        <item m="1" x="816"/>
        <item m="1" x="825"/>
        <item m="1" x="548"/>
        <item m="1" x="605"/>
        <item m="1" x="1087"/>
        <item m="1" x="474"/>
        <item m="1" x="480"/>
        <item m="1" x="928"/>
        <item m="1" x="829"/>
        <item m="1" x="965"/>
        <item m="1" x="583"/>
        <item m="1" x="708"/>
        <item m="1" x="1041"/>
        <item m="1" x="917"/>
        <item m="1" x="838"/>
        <item m="1" x="373"/>
        <item m="1" x="661"/>
        <item m="1" x="1146"/>
        <item m="1" x="599"/>
        <item m="1" x="724"/>
        <item m="1" x="326"/>
        <item m="1" x="636"/>
        <item m="1" x="402"/>
        <item m="1" x="349"/>
        <item m="1" x="911"/>
        <item m="1" x="574"/>
        <item m="1" x="939"/>
        <item m="1" x="351"/>
        <item m="1" x="720"/>
        <item m="1" x="502"/>
        <item m="1" x="875"/>
        <item m="1" x="974"/>
        <item m="1" x="1121"/>
        <item m="1" x="427"/>
        <item m="1" x="734"/>
        <item m="1" x="702"/>
        <item m="1" x="571"/>
        <item m="1" x="976"/>
        <item m="1" x="1050"/>
        <item m="1" x="681"/>
        <item m="1" x="1079"/>
        <item m="1" x="803"/>
        <item m="1" x="626"/>
        <item m="1" x="1150"/>
        <item m="1" x="952"/>
        <item m="1" x="687"/>
        <item m="1" x="964"/>
        <item m="1" x="746"/>
        <item m="1" x="927"/>
        <item m="1" x="739"/>
        <item m="1" x="832"/>
        <item m="1" x="330"/>
        <item m="1" x="262"/>
        <item m="1" x="540"/>
        <item m="1" x="622"/>
        <item m="1" x="609"/>
        <item m="1" x="304"/>
        <item m="1" x="742"/>
        <item m="1" x="653"/>
        <item m="1" x="419"/>
        <item m="1" x="1089"/>
        <item m="1" x="260"/>
        <item m="1" x="374"/>
        <item m="1" x="507"/>
        <item m="1" x="764"/>
        <item m="1" x="821"/>
        <item m="1" x="440"/>
        <item m="1" x="564"/>
        <item m="1" x="741"/>
        <item m="1" x="447"/>
        <item m="1" x="392"/>
        <item m="1" x="536"/>
        <item m="1" x="415"/>
        <item m="1" x="377"/>
        <item m="1" x="475"/>
        <item m="1" x="1094"/>
        <item m="1" x="504"/>
        <item m="1" x="680"/>
        <item m="1" x="317"/>
        <item m="1" x="406"/>
        <item m="1" x="485"/>
        <item m="1" x="1134"/>
        <item m="1" x="408"/>
        <item m="1" x="1126"/>
        <item m="1" x="429"/>
        <item m="1" x="294"/>
        <item m="1" x="721"/>
        <item m="1" x="769"/>
        <item m="1" x="738"/>
        <item m="1" x="863"/>
        <item m="1" x="553"/>
        <item m="1" x="940"/>
        <item m="1" x="307"/>
        <item m="1" x="324"/>
        <item m="1" x="942"/>
        <item m="1" x="441"/>
        <item m="1" x="280"/>
        <item m="1" x="363"/>
        <item m="1" x="986"/>
        <item m="1" x="703"/>
        <item m="1" x="414"/>
        <item m="1" x="482"/>
        <item m="1" x="551"/>
        <item m="1" x="654"/>
        <item m="1" x="403"/>
        <item m="1" x="1153"/>
        <item m="1" x="1011"/>
        <item m="1" x="1067"/>
        <item m="1" x="910"/>
        <item m="1" x="621"/>
        <item m="1" x="225"/>
        <item m="1" x="221"/>
        <item m="1" x="491"/>
        <item m="1" x="278"/>
        <item m="1" x="496"/>
        <item m="1" x="319"/>
        <item m="1" x="1155"/>
        <item m="1" x="992"/>
        <item m="1" x="461"/>
        <item m="1" x="713"/>
        <item m="1" x="1158"/>
        <item m="1" x="785"/>
        <item m="1" x="333"/>
        <item m="1" x="655"/>
        <item m="1" x="975"/>
        <item m="1" x="1135"/>
        <item m="1" x="959"/>
        <item m="1" x="449"/>
        <item m="1" x="885"/>
        <item m="1" x="477"/>
        <item m="1" x="669"/>
        <item m="1" x="1159"/>
        <item m="1" x="1031"/>
        <item m="1" x="924"/>
        <item m="1" x="1003"/>
        <item m="1" x="558"/>
        <item m="1" x="353"/>
        <item m="1" x="1157"/>
        <item m="1" x="1085"/>
        <item m="1" x="570"/>
        <item m="1" x="748"/>
        <item m="1" x="1169"/>
        <item m="1" x="625"/>
        <item m="1" x="920"/>
        <item m="1" x="579"/>
        <item m="1" x="980"/>
        <item m="1" x="399"/>
        <item m="1" x="763"/>
        <item m="1" x="812"/>
        <item m="1" x="1059"/>
        <item m="1" x="1040"/>
        <item m="1" x="259"/>
        <item m="1" x="575"/>
        <item m="1" x="1062"/>
        <item m="1" x="744"/>
        <item m="1" x="556"/>
        <item m="1" x="853"/>
        <item m="1" x="368"/>
        <item m="1" x="1061"/>
        <item m="1" x="1173"/>
        <item m="1" x="282"/>
        <item m="1" x="533"/>
        <item m="1" x="696"/>
        <item m="1" x="420"/>
        <item m="1" x="389"/>
        <item m="1" x="649"/>
        <item m="1" x="610"/>
        <item m="1" x="295"/>
        <item m="1" x="860"/>
        <item m="1" x="439"/>
        <item m="1" x="1144"/>
        <item m="1" x="663"/>
        <item m="1" x="289"/>
        <item m="1" x="428"/>
        <item m="1" x="843"/>
        <item m="1" x="938"/>
        <item m="1" x="382"/>
        <item m="1" x="404"/>
        <item m="1" x="587"/>
        <item m="1" x="596"/>
        <item m="1" x="614"/>
        <item m="1" x="405"/>
        <item m="1" x="498"/>
        <item m="1" x="692"/>
        <item m="1" x="1124"/>
        <item m="1" x="602"/>
        <item m="1" x="997"/>
        <item m="1" x="514"/>
        <item m="1" x="1081"/>
        <item m="1" x="481"/>
        <item m="1" x="1161"/>
        <item m="1" x="716"/>
        <item m="1" x="416"/>
        <item m="1" x="1058"/>
        <item m="1" x="1090"/>
        <item m="1" x="1023"/>
        <item m="1" x="1111"/>
        <item m="1" x="887"/>
        <item m="1" x="760"/>
        <item m="1" x="871"/>
        <item m="1" x="990"/>
        <item m="1" x="305"/>
        <item m="1" x="1133"/>
        <item m="1" x="357"/>
        <item m="1" x="534"/>
        <item m="1" x="659"/>
        <item m="1" x="323"/>
        <item m="1" x="881"/>
        <item m="1" x="1045"/>
        <item m="1" x="754"/>
        <item m="1" x="646"/>
        <item m="1" x="1172"/>
        <item m="1" x="438"/>
        <item m="1" x="424"/>
        <item m="1" x="257"/>
        <item m="1" x="1021"/>
        <item m="1" x="469"/>
        <item m="1" x="774"/>
        <item m="1" x="616"/>
        <item m="1" x="595"/>
        <item m="1" x="426"/>
        <item m="1" x="731"/>
        <item m="1" x="1027"/>
        <item m="1" x="287"/>
        <item m="1" x="884"/>
        <item m="1" x="1139"/>
        <item m="1" x="452"/>
        <item m="1" x="547"/>
        <item m="1" x="272"/>
        <item m="1" x="358"/>
        <item m="1" x="292"/>
        <item m="1" x="487"/>
        <item m="1" x="525"/>
        <item m="1" x="617"/>
        <item m="1" x="517"/>
        <item m="1" x="1093"/>
        <item m="1" x="684"/>
        <item m="1" x="544"/>
        <item m="1" x="660"/>
        <item m="1" x="891"/>
        <item m="1" x="512"/>
        <item m="1" x="598"/>
        <item m="1" x="1116"/>
        <item m="1" x="268"/>
        <item m="1" x="290"/>
        <item m="1" x="572"/>
        <item m="1" x="699"/>
        <item m="1" x="1097"/>
        <item m="1" x="961"/>
        <item m="1" x="604"/>
        <item m="1" x="791"/>
        <item m="1" x="1095"/>
        <item m="1" x="789"/>
        <item m="1" x="1028"/>
        <item m="1" x="1151"/>
        <item m="1" x="434"/>
        <item m="1" x="1032"/>
        <item m="1" x="530"/>
        <item m="1" x="462"/>
        <item m="1" x="619"/>
        <item m="1" x="1048"/>
        <item m="1" x="387"/>
        <item m="1" x="726"/>
        <item m="1" x="489"/>
        <item m="1" x="896"/>
        <item m="1" x="923"/>
        <item m="1" x="555"/>
        <item m="1" x="1112"/>
        <item m="1" x="707"/>
        <item m="1" x="807"/>
        <item m="1" x="985"/>
        <item m="1" x="478"/>
        <item m="1" x="1007"/>
        <item m="1" x="277"/>
        <item m="1" x="1102"/>
        <item m="1" x="456"/>
        <item m="1" x="607"/>
        <item m="1" x="354"/>
        <item m="1" x="573"/>
        <item m="1" x="999"/>
        <item m="1" x="944"/>
        <item m="1" x="1181"/>
        <item m="1" x="543"/>
        <item m="1" x="340"/>
        <item m="1" x="433"/>
        <item m="1" x="459"/>
        <item m="1" x="1108"/>
        <item m="1" x="823"/>
        <item m="1" x="361"/>
        <item m="1" x="413"/>
        <item m="1" x="606"/>
        <item m="1" x="1074"/>
        <item m="1" x="505"/>
        <item m="1" x="966"/>
        <item m="1" x="658"/>
        <item m="1" x="301"/>
        <item m="1" x="1009"/>
        <item m="1" x="1136"/>
        <item m="1" x="766"/>
        <item m="1" x="809"/>
        <item m="1" x="850"/>
        <item m="1" x="1017"/>
        <item m="1" x="608"/>
        <item m="1" x="471"/>
        <item m="1" x="479"/>
        <item m="1" x="394"/>
        <item m="1" x="828"/>
        <item m="1" x="736"/>
        <item m="1" x="300"/>
        <item m="1" x="644"/>
        <item m="1" x="515"/>
        <item m="1" x="1083"/>
        <item m="1" x="844"/>
        <item m="1" x="873"/>
        <item m="1" x="256"/>
        <item m="1" x="967"/>
        <item m="1" x="345"/>
        <item m="1" x="664"/>
        <item m="1" x="418"/>
        <item m="1" x="695"/>
        <item m="1" x="1117"/>
        <item m="1" x="870"/>
        <item m="1" x="110"/>
        <item m="1" x="352"/>
        <item m="1" x="444"/>
        <item m="1" x="638"/>
        <item m="1" x="423"/>
        <item m="1" x="445"/>
        <item m="1" x="465"/>
        <item m="1" x="588"/>
        <item m="1" x="813"/>
        <item m="1" x="279"/>
        <item m="1" x="872"/>
        <item m="1" x="717"/>
        <item m="1" x="476"/>
        <item m="1" x="332"/>
        <item m="1" x="501"/>
        <item m="1" x="464"/>
        <item m="1" x="931"/>
        <item m="1" x="1086"/>
        <item m="1" x="1070"/>
        <item m="1" x="1127"/>
        <item m="1" x="581"/>
        <item m="1" x="765"/>
        <item m="1" x="1073"/>
        <item m="1" x="1145"/>
        <item m="1" x="652"/>
        <item m="1" x="483"/>
        <item m="1" x="1128"/>
        <item m="1" x="337"/>
        <item m="1" x="371"/>
        <item m="1" x="346"/>
        <item m="1" x="914"/>
        <item m="1" x="421"/>
        <item m="1" x="756"/>
        <item m="1" x="719"/>
        <item m="1" x="532"/>
        <item m="1" x="463"/>
        <item m="1" x="712"/>
        <item m="1" x="383"/>
        <item m="1" x="457"/>
        <item m="1" x="297"/>
        <item m="1" x="1005"/>
        <item m="1" x="677"/>
        <item m="1" x="356"/>
        <item m="1" x="1163"/>
        <item m="1" x="700"/>
        <item m="1" x="983"/>
        <item m="1" x="867"/>
        <item m="1" x="342"/>
        <item m="1" x="977"/>
        <item m="1" x="562"/>
        <item m="1" x="381"/>
        <item m="1" x="811"/>
        <item m="1" x="1137"/>
        <item m="1" x="650"/>
        <item m="1" x="612"/>
        <item m="1" x="933"/>
        <item m="1" x="1106"/>
        <item m="1" x="1012"/>
        <item m="1" x="554"/>
        <item m="1" x="808"/>
        <item m="1" x="1066"/>
        <item m="1" x="984"/>
        <item m="1" x="676"/>
        <item m="1" x="651"/>
        <item m="1" x="1098"/>
        <item m="1" x="263"/>
        <item m="1" x="749"/>
        <item m="1" x="715"/>
        <item m="1" x="932"/>
        <item m="1" x="365"/>
        <item m="1" x="799"/>
        <item m="1" x="1110"/>
        <item m="1" x="1080"/>
        <item m="1" x="1107"/>
        <item m="1" x="981"/>
        <item m="1" x="691"/>
        <item m="1" x="1018"/>
        <item m="1" x="796"/>
        <item m="1" x="432"/>
        <item m="1" x="327"/>
        <item m="1" x="957"/>
        <item m="1" x="1055"/>
        <item m="1" x="852"/>
        <item m="1" x="508"/>
        <item m="1" x="592"/>
        <item m="1" x="993"/>
        <item m="1" x="385"/>
        <item m="1" x="499"/>
        <item m="1" x="1131"/>
        <item m="1" x="1092"/>
        <item m="1" x="665"/>
        <item m="1" x="458"/>
        <item m="1" x="1054"/>
        <item m="1" x="336"/>
        <item m="1" x="509"/>
        <item m="1" x="550"/>
        <item m="1" x="601"/>
        <item m="1" x="42"/>
        <item m="1" x="864"/>
        <item m="1" x="369"/>
        <item m="1" x="388"/>
        <item m="1" x="1063"/>
        <item m="1" x="524"/>
        <item m="1" x="936"/>
        <item m="1" x="775"/>
        <item m="1" x="1025"/>
        <item m="1" x="376"/>
        <item m="1" x="788"/>
        <item m="1" x="978"/>
        <item m="1" x="597"/>
        <item m="1" x="855"/>
        <item m="1" x="140"/>
        <item m="1" x="139"/>
        <item m="1" x="549"/>
        <item m="1" x="274"/>
        <item x="8"/>
        <item m="1" x="782"/>
        <item m="1" x="862"/>
        <item m="1" x="1129"/>
        <item m="1" x="954"/>
        <item m="1" x="757"/>
        <item m="1" x="656"/>
        <item m="1" x="436"/>
        <item m="1" x="520"/>
        <item m="1" x="322"/>
        <item m="1" x="629"/>
        <item m="1" x="711"/>
        <item m="1" x="750"/>
        <item m="1" x="216"/>
        <item m="1" x="217"/>
        <item m="1" x="218"/>
        <item m="1" x="219"/>
        <item m="1" x="220"/>
        <item m="1" x="222"/>
        <item m="1" x="223"/>
        <item m="1" x="224"/>
        <item m="1" x="226"/>
        <item m="1" x="227"/>
        <item m="1" x="228"/>
        <item m="1" x="229"/>
        <item m="1" x="230"/>
        <item m="1" x="231"/>
        <item m="1" x="232"/>
        <item m="1" x="233"/>
        <item m="1" x="234"/>
        <item m="1" x="235"/>
        <item m="1" x="236"/>
        <item m="1" x="254"/>
        <item m="1" x="49"/>
        <item m="1" x="39"/>
        <item m="1" x="253"/>
        <item m="1" x="50"/>
        <item m="1" x="40"/>
        <item x="2"/>
        <item m="1" x="237"/>
        <item m="1" x="238"/>
        <item m="1" x="239"/>
        <item m="1" x="240"/>
        <item m="1" x="241"/>
        <item m="1" x="242"/>
        <item m="1" x="243"/>
        <item m="1" x="244"/>
        <item m="1" x="245"/>
        <item m="1" x="56"/>
        <item m="1" x="246"/>
        <item x="4"/>
        <item m="1" x="71"/>
        <item m="1" x="247"/>
        <item m="1" x="248"/>
        <item m="1" x="249"/>
        <item m="1" x="250"/>
        <item m="1" x="251"/>
        <item m="1" x="252"/>
        <item m="1" x="151"/>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134"/>
        <item m="1" x="135"/>
        <item m="1" x="136"/>
        <item m="1" x="137"/>
        <item m="1" x="138"/>
        <item m="1" x="141"/>
        <item m="1" x="77"/>
        <item m="1" x="143"/>
        <item m="1" x="144"/>
        <item m="1" x="145"/>
        <item m="1" x="146"/>
        <item m="1" x="148"/>
        <item m="1" x="149"/>
        <item m="1" x="150"/>
        <item m="1" x="152"/>
        <item m="1" x="55"/>
        <item m="1" x="153"/>
        <item m="1" x="154"/>
        <item m="1" x="155"/>
        <item m="1" x="157"/>
        <item m="1" x="158"/>
        <item m="1" x="159"/>
        <item m="1" x="124"/>
        <item m="1" x="125"/>
        <item m="1" x="126"/>
        <item m="1" x="127"/>
        <item m="1" x="130"/>
        <item m="1" x="131"/>
        <item m="1" x="132"/>
        <item m="1" x="133"/>
        <item m="1" x="111"/>
        <item m="1" x="112"/>
        <item m="1" x="113"/>
        <item m="1" x="114"/>
        <item m="1" x="115"/>
        <item m="1" x="116"/>
        <item m="1" x="117"/>
        <item m="1" x="118"/>
        <item m="1" x="119"/>
        <item m="1" x="120"/>
        <item m="1" x="121"/>
        <item m="1" x="122"/>
        <item m="1" x="123"/>
        <item m="1" x="102"/>
        <item m="1" x="103"/>
        <item m="1" x="104"/>
        <item m="1" x="105"/>
        <item m="1" x="108"/>
        <item m="1" x="80"/>
        <item m="1" x="81"/>
        <item m="1" x="82"/>
        <item m="1" x="83"/>
        <item m="1" x="85"/>
        <item m="1" x="86"/>
        <item m="1" x="92"/>
        <item m="1" x="88"/>
        <item m="1" x="87"/>
        <item m="1" x="89"/>
        <item m="1" x="90"/>
        <item m="1" x="91"/>
        <item m="1" x="93"/>
        <item m="1" x="94"/>
        <item m="1" x="97"/>
        <item m="1" x="98"/>
        <item m="1" x="99"/>
        <item m="1" x="100"/>
        <item m="1" x="101"/>
        <item m="1" x="96"/>
        <item m="1" x="51"/>
        <item m="1" x="78"/>
        <item m="1" x="52"/>
        <item m="1" x="79"/>
        <item m="1" x="53"/>
        <item m="1" x="54"/>
        <item m="1" x="57"/>
        <item m="1" x="58"/>
        <item m="1" x="30"/>
        <item m="1" x="61"/>
        <item m="1" x="62"/>
        <item m="1" x="63"/>
        <item m="1" x="64"/>
        <item m="1" x="65"/>
        <item m="1" x="66"/>
        <item m="1" x="67"/>
        <item m="1" x="68"/>
        <item m="1" x="69"/>
        <item m="1" x="70"/>
        <item m="1" x="72"/>
        <item m="1" x="73"/>
        <item m="1" x="74"/>
        <item m="1" x="75"/>
        <item m="1" x="76"/>
        <item m="1" x="32"/>
        <item m="1" x="48"/>
        <item m="1" x="34"/>
        <item m="1" x="35"/>
        <item m="1" x="36"/>
        <item m="1" x="37"/>
        <item m="1" x="38"/>
        <item m="1" x="41"/>
        <item m="1" x="43"/>
        <item m="1" x="44"/>
        <item m="1" x="45"/>
        <item m="1" x="46"/>
        <item m="1" x="47"/>
        <item m="1" x="33"/>
        <item m="1" x="31"/>
        <item m="1" x="12"/>
        <item m="1" x="21"/>
        <item m="1" x="13"/>
        <item m="1" x="22"/>
        <item m="1" x="23"/>
        <item m="1" x="24"/>
        <item m="1" x="25"/>
        <item m="1" x="27"/>
        <item m="1" x="14"/>
        <item m="1" x="15"/>
        <item m="1" x="16"/>
        <item m="1" x="29"/>
        <item m="1" x="17"/>
        <item m="1" x="18"/>
        <item m="1" x="19"/>
        <item x="1"/>
        <item x="3"/>
        <item x="5"/>
        <item x="6"/>
        <item x="9"/>
        <item x="10"/>
        <item t="default"/>
      </items>
    </pivotField>
    <pivotField showAll="0"/>
    <pivotField showAll="0"/>
    <pivotField showAll="0"/>
    <pivotField axis="axisRow" showAll="0">
      <items count="3274">
        <item m="1" x="1394"/>
        <item m="1" x="2800"/>
        <item m="1" x="2947"/>
        <item m="1" x="2279"/>
        <item m="1" x="244"/>
        <item m="1" x="245"/>
        <item m="1" x="2091"/>
        <item m="1" x="2050"/>
        <item m="1" x="2072"/>
        <item m="1" x="1736"/>
        <item m="1" x="1697"/>
        <item m="1" x="919"/>
        <item m="1" x="1066"/>
        <item m="1" x="2463"/>
        <item m="1" x="2613"/>
        <item m="1" x="2754"/>
        <item m="1" x="1504"/>
        <item m="1" x="1631"/>
        <item m="1" x="1661"/>
        <item m="1" x="1817"/>
        <item m="1" x="989"/>
        <item m="1" x="1126"/>
        <item m="1" x="2019"/>
        <item m="1" x="2189"/>
        <item m="1" x="1404"/>
        <item m="1" x="1528"/>
        <item m="1" x="1020"/>
        <item m="1" x="1623"/>
        <item m="1" x="1780"/>
        <item m="1" x="2274"/>
        <item m="1" x="2438"/>
        <item m="1" x="2590"/>
        <item m="1" x="2729"/>
        <item m="1" x="2020"/>
        <item m="1" x="2232"/>
        <item m="1" x="1587"/>
        <item m="1" x="2248"/>
        <item m="1" x="2405"/>
        <item m="1" x="1909"/>
        <item m="1" x="2572"/>
        <item m="1" x="2716"/>
        <item m="1" x="2933"/>
        <item m="1" x="1134"/>
        <item m="1" x="1057"/>
        <item m="1" x="2130"/>
        <item m="1" x="2384"/>
        <item m="1" x="1007"/>
        <item m="1" x="2982"/>
        <item m="1" x="1512"/>
        <item m="1" x="1733"/>
        <item m="1" x="1138"/>
        <item m="1" x="1414"/>
        <item m="1" x="46"/>
        <item m="1" x="1149"/>
        <item m="1" x="2688"/>
        <item m="1" x="2850"/>
        <item m="1" x="1606"/>
        <item m="1" x="1758"/>
        <item m="1" x="1923"/>
        <item m="1" x="2107"/>
        <item m="1" x="2425"/>
        <item m="1" x="2582"/>
        <item m="1" x="2723"/>
        <item m="1" x="3169"/>
        <item m="1" x="2126"/>
        <item m="1" x="2283"/>
        <item m="1" x="1949"/>
        <item m="1" x="2618"/>
        <item m="1" x="2758"/>
        <item m="1" x="2914"/>
        <item m="1" x="2457"/>
        <item m="1" x="2611"/>
        <item m="1" x="2750"/>
        <item m="1" x="1038"/>
        <item m="1" x="1172"/>
        <item m="1" x="1754"/>
        <item m="1" x="1918"/>
        <item m="1" x="2104"/>
        <item m="1" x="2721"/>
        <item m="1" x="2883"/>
        <item m="1" x="3024"/>
        <item m="1" x="3171"/>
        <item m="1" x="907"/>
        <item m="1" x="1056"/>
        <item m="1" x="2450"/>
        <item m="1" x="3041"/>
        <item m="1" x="1063"/>
        <item m="1" x="1197"/>
        <item m="1" x="1337"/>
        <item m="1" x="3203"/>
        <item m="1" x="939"/>
        <item m="1" x="1370"/>
        <item m="1" x="2992"/>
        <item m="1" x="3126"/>
        <item m="1" x="3257"/>
        <item m="1" x="2385"/>
        <item m="1" x="1898"/>
        <item m="1" x="2086"/>
        <item m="1" x="2096"/>
        <item m="1" x="2255"/>
        <item m="1" x="2414"/>
        <item m="1" x="1948"/>
        <item m="1" x="2129"/>
        <item m="1" x="2289"/>
        <item m="1" x="2454"/>
        <item m="1" x="2603"/>
        <item m="1" x="2743"/>
        <item m="1" x="1984"/>
        <item m="1" x="2325"/>
        <item m="1" x="1205"/>
        <item m="1" x="1012"/>
        <item m="1" x="2790"/>
        <item m="1" x="2798"/>
        <item m="1" x="1795"/>
        <item m="1" x="1753"/>
        <item m="1" x="1713"/>
        <item m="1" x="1668"/>
        <item m="1" x="2160"/>
        <item m="1" x="2115"/>
        <item m="1" x="2188"/>
        <item m="1" x="2148"/>
        <item m="1" x="2060"/>
        <item m="1" x="2002"/>
        <item m="1" x="1015"/>
        <item m="1" x="2199"/>
        <item m="1" x="2117"/>
        <item m="1" x="2322"/>
        <item m="1" x="2195"/>
        <item m="1" x="2065"/>
        <item m="1" x="2010"/>
        <item m="1" x="1959"/>
        <item m="1" x="2398"/>
        <item m="1" x="3083"/>
        <item m="1" x="3043"/>
        <item m="1" x="1979"/>
        <item m="1" x="2159"/>
        <item m="1" x="1267"/>
        <item m="1" x="2532"/>
        <item m="1" x="2674"/>
        <item m="1" x="976"/>
        <item m="1" x="1248"/>
        <item m="1" x="2268"/>
        <item m="1" x="1937"/>
        <item m="1" x="2123"/>
        <item m="1" x="2281"/>
        <item m="1" x="2446"/>
        <item m="1" x="2595"/>
        <item m="1" x="2895"/>
        <item m="1" x="3034"/>
        <item m="1" x="3174"/>
        <item m="1" x="2288"/>
        <item m="1" x="2453"/>
        <item m="1" x="2602"/>
        <item m="1" x="2262"/>
        <item m="1" x="2418"/>
        <item m="1" x="2577"/>
        <item m="1" x="2600"/>
        <item m="1" x="2740"/>
        <item m="1" x="2902"/>
        <item m="1" x="3180"/>
        <item m="1" x="916"/>
        <item m="1" x="2752"/>
        <item m="1" x="2910"/>
        <item m="1" x="2190"/>
        <item m="1" x="892"/>
        <item m="1" x="2282"/>
        <item m="1" x="2448"/>
        <item m="1" x="2598"/>
        <item m="1" x="2736"/>
        <item m="1" x="2896"/>
        <item m="1" x="3035"/>
        <item m="1" x="3138"/>
        <item m="1" x="3267"/>
        <item m="1" x="1156"/>
        <item m="1" x="1532"/>
        <item m="1" x="2505"/>
        <item m="1" x="1524"/>
        <item m="1" x="1651"/>
        <item m="1" x="2181"/>
        <item m="1" x="2346"/>
        <item m="1" x="2537"/>
        <item m="1" x="2677"/>
        <item m="1" x="1330"/>
        <item m="1" x="1331"/>
        <item m="1" x="1459"/>
        <item m="1" x="1585"/>
        <item m="1" x="1729"/>
        <item m="1" x="3185"/>
        <item m="1" x="921"/>
        <item m="1" x="1067"/>
        <item m="1" x="1340"/>
        <item m="1" x="1466"/>
        <item m="1" x="3074"/>
        <item m="1" x="2165"/>
        <item m="1" x="2634"/>
        <item m="1" x="2781"/>
        <item m="1" x="3133"/>
        <item m="1" x="3261"/>
        <item m="1" x="1025"/>
        <item m="1" x="1151"/>
        <item m="1" x="1279"/>
        <item m="1" x="1420"/>
        <item m="1" x="1546"/>
        <item m="1" x="1831"/>
        <item m="1" x="1032"/>
        <item m="1" x="1161"/>
        <item m="1" x="3116"/>
        <item m="1" x="2724"/>
        <item m="1" x="2762"/>
        <item m="1" x="2496"/>
        <item m="1" x="1581"/>
        <item m="1" x="1723"/>
        <item m="1" x="1884"/>
        <item m="1" x="2069"/>
        <item m="1" x="2233"/>
        <item m="1" x="2386"/>
        <item m="1" x="1080"/>
        <item m="1" x="1215"/>
        <item m="1" x="1354"/>
        <item m="1" x="1477"/>
        <item m="1" x="1598"/>
        <item m="1" x="1748"/>
        <item m="1" x="1989"/>
        <item m="1" x="1894"/>
        <item m="1" x="2061"/>
        <item m="1" x="987"/>
        <item m="1" x="2205"/>
        <item m="1" x="1678"/>
        <item m="1" x="3156"/>
        <item m="1" x="1969"/>
        <item m="1" x="1505"/>
        <item m="1" x="1787"/>
        <item m="1" x="1488"/>
        <item m="1" x="1611"/>
        <item m="1" x="2122"/>
        <item m="1" x="2267"/>
        <item m="1" x="3164"/>
        <item m="1" x="1369"/>
        <item m="1" x="2280"/>
        <item m="1" x="2424"/>
        <item m="1" x="2722"/>
        <item m="1" x="2445"/>
        <item m="1" x="2422"/>
        <item m="1" x="1827"/>
        <item m="1" x="1778"/>
        <item m="1" x="1875"/>
        <item m="1" x="1821"/>
        <item m="1" x="2222"/>
        <item m="1" x="2171"/>
        <item m="1" x="2051"/>
        <item m="1" x="2312"/>
        <item m="1" x="2392"/>
        <item m="1" x="2487"/>
        <item m="1" x="2444"/>
        <item m="1" x="2359"/>
        <item m="1" x="2095"/>
        <item m="1" x="1907"/>
        <item m="1" x="2705"/>
        <item m="1" x="2854"/>
        <item m="1" x="3003"/>
        <item m="1" x="1139"/>
        <item m="1" x="1766"/>
        <item m="1" x="2133"/>
        <item m="1" x="2092"/>
        <item m="1" x="1992"/>
        <item m="1" x="1942"/>
        <item m="1" x="2581"/>
        <item m="1" x="3025"/>
        <item m="1" x="1957"/>
        <item m="1" x="1023"/>
        <item m="1" x="1785"/>
        <item m="1" x="2594"/>
        <item m="1" x="1632"/>
        <item m="1" x="1383"/>
        <item m="1" x="2401"/>
        <item m="1" x="2452"/>
        <item m="1" x="2459"/>
        <item m="1" x="2592"/>
        <item m="1" x="2731"/>
        <item m="1" x="1607"/>
        <item m="1" x="1251"/>
        <item m="1" x="2652"/>
        <item m="1" x="968"/>
        <item m="1" x="3219"/>
        <item m="1" x="3090"/>
        <item m="1" x="2006"/>
        <item m="1" x="1564"/>
        <item m="1" x="2513"/>
        <item m="1" x="1826"/>
        <item m="1" x="1545"/>
        <item m="1" x="1709"/>
        <item m="1" x="2073"/>
        <item m="1" x="2116"/>
        <item m="1" x="2157"/>
        <item m="1" x="1173"/>
        <item m="1" x="2389"/>
        <item m="1" x="1451"/>
        <item m="1" x="1225"/>
        <item m="1" x="2271"/>
        <item m="1" x="2110"/>
        <item m="1" x="1362"/>
        <item m="1" x="2434"/>
        <item m="1" x="1371"/>
        <item m="1" x="1490"/>
        <item m="1" x="1614"/>
        <item m="1" x="1769"/>
        <item m="1" x="1938"/>
        <item m="1" x="2636"/>
        <item m="1" x="2784"/>
        <item m="1" x="3118"/>
        <item m="1" x="3237"/>
        <item m="1" x="994"/>
        <item m="1" x="1128"/>
        <item m="1" x="1260"/>
        <item m="1" x="1808"/>
        <item m="1" x="1619"/>
        <item m="1" x="1776"/>
        <item m="1" x="2820"/>
        <item m="1" x="2025"/>
        <item m="1" x="2137"/>
        <item m="1" x="2601"/>
        <item m="1" x="2472"/>
        <item m="1" x="1079"/>
        <item m="1" x="1050"/>
        <item m="1" x="1936"/>
        <item m="1" x="2885"/>
        <item m="1" x="2378"/>
        <item m="1" x="2544"/>
        <item m="1" x="2725"/>
        <item m="1" x="1612"/>
        <item m="1" x="1743"/>
        <item m="1" x="1313"/>
        <item m="1" x="1266"/>
        <item m="1" x="2753"/>
        <item m="1" x="3243"/>
        <item m="1" x="2637"/>
        <item m="1" x="2497"/>
        <item m="1" x="927"/>
        <item m="1" x="1398"/>
        <item m="1" x="1744"/>
        <item m="1" x="2041"/>
        <item m="1" x="2209"/>
        <item m="1" x="1896"/>
        <item m="1" x="2083"/>
        <item m="1" x="1235"/>
        <item m="1" x="1376"/>
        <item m="1" x="1496"/>
        <item m="1" x="1326"/>
        <item m="1" x="1246"/>
        <item m="1" x="1423"/>
        <item m="1" x="1308"/>
        <item m="1" x="1037"/>
        <item m="1" x="1333"/>
        <item m="1" x="1171"/>
        <item m="1" x="1462"/>
        <item m="1" x="1323"/>
        <item m="1" x="1666"/>
        <item m="1" x="1822"/>
        <item m="1" x="1411"/>
        <item m="1" x="1537"/>
        <item m="1" x="1144"/>
        <item m="1" x="1272"/>
        <item m="1" x="1424"/>
        <item m="1" x="1284"/>
        <item m="1" x="1774"/>
        <item m="1" x="1945"/>
        <item m="1" x="1543"/>
        <item m="1" x="1176"/>
        <item m="1" x="1094"/>
        <item m="1" x="1617"/>
        <item m="1" x="1288"/>
        <item m="1" x="1240"/>
        <item m="1" x="2888"/>
        <item m="1" x="2886"/>
        <item m="1" x="1986"/>
        <item m="1" x="2321"/>
        <item m="1" x="2844"/>
        <item m="1" x="2770"/>
        <item m="1" x="1502"/>
        <item m="1" x="494"/>
        <item m="1" x="495"/>
        <item m="1" x="487"/>
        <item m="1" x="486"/>
        <item m="1" x="2714"/>
        <item m="1" x="1438"/>
        <item m="1" x="2246"/>
        <item m="1" x="1725"/>
        <item m="1" x="1885"/>
        <item m="1" x="2074"/>
        <item m="1" x="2236"/>
        <item m="1" x="2388"/>
        <item m="1" x="2552"/>
        <item m="1" x="2691"/>
        <item m="1" x="2853"/>
        <item m="1" x="3002"/>
        <item m="1" x="1893"/>
        <item m="1" x="2081"/>
        <item m="1" x="2796"/>
        <item m="1" x="2646"/>
        <item m="1" x="2049"/>
        <item m="1" x="2216"/>
        <item m="1" x="1863"/>
        <item m="1" x="2371"/>
        <item m="1" x="931"/>
        <item m="1" x="1364"/>
        <item m="1" x="2028"/>
        <item m="1" x="1929"/>
        <item m="1" x="2112"/>
        <item m="1" x="1219"/>
        <item m="1" x="2942"/>
        <item m="1" x="3218"/>
        <item m="1" x="2502"/>
        <item m="1" x="1086"/>
        <item m="1" x="958"/>
        <item m="1" x="3088"/>
        <item m="1" x="2643"/>
        <item m="1" x="2792"/>
        <item m="1" x="1034"/>
        <item m="1" x="3272"/>
        <item m="1" x="1162"/>
        <item m="1" x="1944"/>
        <item m="1" x="1373"/>
        <item m="1" x="1493"/>
        <item m="1" x="1618"/>
        <item m="1" x="1775"/>
        <item m="1" x="1946"/>
        <item m="1" x="967"/>
        <item m="1" x="880"/>
        <item m="1" x="1040"/>
        <item m="1" x="1174"/>
        <item m="1" x="1306"/>
        <item m="1" x="1439"/>
        <item m="1" x="2212"/>
        <item m="1" x="1715"/>
        <item m="1" x="1633"/>
        <item m="1" x="1302"/>
        <item m="1" x="1435"/>
        <item m="1" x="1806"/>
        <item m="1" x="1646"/>
        <item m="1" x="1047"/>
        <item m="1" x="1184"/>
        <item m="1" x="1365"/>
        <item m="1" x="1573"/>
        <item m="1" x="1871"/>
        <item m="1" x="1710"/>
        <item m="1" x="1446"/>
        <item m="1" x="3264"/>
        <item m="1" x="110"/>
        <item m="1" x="2230"/>
        <item m="1" x="2649"/>
        <item m="1" x="1274"/>
        <item m="1" x="3130"/>
        <item m="1" x="1662"/>
        <item m="1" x="1378"/>
        <item m="1" x="1798"/>
        <item m="1" x="2927"/>
        <item m="1" x="1553"/>
        <item m="1" x="2751"/>
        <item x="40"/>
        <item m="1" x="2901"/>
        <item m="1" x="3040"/>
        <item m="1" x="2331"/>
        <item m="1" x="1877"/>
        <item m="1" x="1965"/>
        <item m="1" x="2174"/>
        <item m="1" x="1256"/>
        <item m="1" x="2009"/>
        <item m="1" x="2791"/>
        <item m="1" x="2804"/>
        <item m="1" x="1569"/>
        <item m="1" x="1491"/>
        <item m="1" x="1861"/>
        <item m="1" x="1770"/>
        <item m="1" x="3135"/>
        <item m="1" x="2119"/>
        <item m="1" x="2275"/>
        <item m="1" x="3087"/>
        <item m="1" x="3217"/>
        <item m="1" x="2185"/>
        <item m="1" x="2351"/>
        <item m="1" x="2803"/>
        <item m="1" x="974"/>
        <item m="1" x="2656"/>
        <item m="1" x="1757"/>
        <item m="1" x="1958"/>
        <item m="1" x="1906"/>
        <item m="1" x="1820"/>
        <item m="1" x="2316"/>
        <item m="1" x="2273"/>
        <item m="1" x="2234"/>
        <item m="1" x="2309"/>
        <item m="1" x="2695"/>
        <item m="1" x="2084"/>
        <item m="1" x="2703"/>
        <item m="1" x="2373"/>
        <item m="1" x="2319"/>
        <item m="1" x="2484"/>
        <item m="1" x="2739"/>
        <item m="1" x="3165"/>
        <item m="1" x="3141"/>
        <item m="1" x="1595"/>
        <item m="1" x="2935"/>
        <item m="1" x="3082"/>
        <item m="1" x="3216"/>
        <item m="1" x="963"/>
        <item m="1" x="1442"/>
        <item m="1" x="1452"/>
        <item m="1" x="1464"/>
        <item m="1" x="1482"/>
        <item m="1" x="2397"/>
        <item m="1" x="2700"/>
        <item m="1" x="3006"/>
        <item m="1" x="876"/>
        <item m="1" x="1170"/>
        <item m="1" x="2710"/>
        <item m="1" x="3016"/>
        <item m="1" x="888"/>
        <item m="1" x="1180"/>
        <item m="1" x="1444"/>
        <item m="1" x="3021"/>
        <item m="1" x="895"/>
        <item m="1" x="1186"/>
        <item m="1" x="1448"/>
        <item m="1" x="1711"/>
        <item m="1" x="905"/>
        <item m="1" x="1191"/>
        <item m="1" x="1454"/>
        <item m="1" x="1721"/>
        <item m="1" x="2068"/>
        <item m="1" x="1996"/>
        <item m="1" x="2334"/>
        <item m="1" x="2180"/>
        <item m="1" x="2345"/>
        <item m="1" x="993"/>
        <item m="1" x="2218"/>
        <item m="1" x="2533"/>
        <item m="1" x="1009"/>
        <item m="1" x="1994"/>
        <item m="1" x="1437"/>
        <item m="1" x="2843"/>
        <item m="1" x="1534"/>
        <item m="1" x="1560"/>
        <item m="1" x="1314"/>
        <item m="1" x="1445"/>
        <item m="1" x="2257"/>
        <item m="1" x="1351"/>
        <item m="1" x="1361"/>
        <item m="1" x="1222"/>
        <item m="1" x="1418"/>
        <item m="1" x="1276"/>
        <item m="1" x="1529"/>
        <item m="1" x="1405"/>
        <item m="1" x="532"/>
        <item m="1" x="533"/>
        <item m="1" x="2314"/>
        <item m="1" x="2479"/>
        <item m="1" x="2951"/>
        <item m="1" x="966"/>
        <item m="1" x="1108"/>
        <item m="1" x="894"/>
        <item m="1" x="1891"/>
        <item m="1" x="2541"/>
        <item m="1" x="1515"/>
        <item m="1" x="982"/>
        <item m="1" x="1643"/>
        <item m="1" x="1118"/>
        <item m="1" x="1970"/>
        <item m="1" x="999"/>
        <item m="1" x="1132"/>
        <item m="1" x="1254"/>
        <item m="1" x="1393"/>
        <item m="1" x="1802"/>
        <item m="1" x="1263"/>
        <item m="1" x="2408"/>
        <item m="1" x="3027"/>
        <item m="1" x="2719"/>
        <item m="1" x="1233"/>
        <item m="1" x="3086"/>
        <item m="1" x="962"/>
        <item m="1" x="3215"/>
        <item m="1" x="1105"/>
        <item m="1" x="1474"/>
        <item m="1" x="1596"/>
        <item m="1" x="2704"/>
        <item m="1" x="1738"/>
        <item m="1" x="1509"/>
        <item m="1" x="2939"/>
        <item m="1" x="1433"/>
        <item m="1" x="2830"/>
        <item m="1" x="2980"/>
        <item m="1" x="1964"/>
        <item m="1" x="1388"/>
        <item m="1" x="1794"/>
        <item m="1" x="2146"/>
        <item m="1" x="1730"/>
        <item m="1" x="2394"/>
        <item m="1" x="1889"/>
        <item m="1" x="2240"/>
        <item m="1" x="1586"/>
        <item m="1" x="2076"/>
        <item m="1" x="1640"/>
        <item m="1" x="2302"/>
        <item m="1" x="969"/>
        <item m="1" x="2809"/>
        <item m="1" x="2954"/>
        <item m="1" x="2125"/>
        <item m="1" x="1380"/>
        <item m="1" x="1350"/>
        <item m="1" x="1382"/>
        <item m="1" x="2093"/>
        <item m="1" x="2412"/>
        <item m="1" x="911"/>
        <item m="1" x="2506"/>
        <item m="1" x="2341"/>
        <item m="1" x="2647"/>
        <item m="1" x="1262"/>
        <item m="1" x="1022"/>
        <item m="1" x="1290"/>
        <item m="1" x="1675"/>
        <item m="1" x="1833"/>
        <item m="1" x="2555"/>
        <item m="1" x="2391"/>
        <item m="1" x="107"/>
        <item m="1" x="106"/>
        <item m="1" x="2931"/>
        <item m="1" x="1358"/>
        <item m="1" x="3111"/>
        <item m="1" x="3013"/>
        <item m="1" x="3153"/>
        <item m="1" x="1999"/>
        <item m="1" x="2494"/>
        <item m="1" x="528"/>
        <item m="1" x="1231"/>
        <item m="1" x="1867"/>
        <item m="1" x="1853"/>
        <item m="1" x="973"/>
        <item m="1" x="1951"/>
        <item m="1" x="1860"/>
        <item m="1" x="2802"/>
        <item m="1" x="2949"/>
        <item m="1" x="1840"/>
        <item m="1" x="1568"/>
        <item m="1" x="2508"/>
        <item m="1" x="2184"/>
        <item m="1" x="1443"/>
        <item m="1" x="1682"/>
        <item m="1" x="2015"/>
        <item m="1" x="1626"/>
        <item m="1" x="2350"/>
        <item m="1" x="1498"/>
        <item m="1" x="1866"/>
        <item m="1" x="2053"/>
        <item m="1" x="2217"/>
        <item m="1" x="2372"/>
        <item m="1" x="1321"/>
        <item m="1" x="1449"/>
        <item m="1" x="1576"/>
        <item m="1" x="1714"/>
        <item m="1" x="1876"/>
        <item m="1" x="2062"/>
        <item m="1" x="2223"/>
        <item m="1" x="2379"/>
        <item m="1" x="2546"/>
        <item m="1" x="2682"/>
        <item m="1" x="1582"/>
        <item m="1" x="1724"/>
        <item m="1" x="1043"/>
        <item m="1" x="2022"/>
        <item m="1" x="1303"/>
        <item m="1" x="1039"/>
        <item m="1" x="1283"/>
        <item m="1" x="1685"/>
        <item m="1" x="2849"/>
        <item m="1" x="1570"/>
        <item m="1" x="1700"/>
        <item m="1" x="2974"/>
        <item m="1" x="3000"/>
        <item m="1" x="2687"/>
        <item m="1" x="3112"/>
        <item m="1" x="1289"/>
        <item m="1" x="1428"/>
        <item m="1" x="2249"/>
        <item m="1" x="3258"/>
        <item m="1" x="1016"/>
        <item m="1" x="1961"/>
        <item m="1" x="2142"/>
        <item m="1" x="2543"/>
        <item m="1" x="2713"/>
        <item m="1" x="2311"/>
        <item m="1" x="3042"/>
        <item m="1" x="1974"/>
        <item m="1" x="2266"/>
        <item m="1" x="3017"/>
        <item m="1" x="2873"/>
        <item m="1" x="3007"/>
        <item m="1" x="2058"/>
        <item m="1" x="2000"/>
        <item m="1" x="1953"/>
        <item m="1" x="1995"/>
        <item m="1" x="2482"/>
        <item m="1" x="3115"/>
        <item m="1" x="2872"/>
        <item m="1" x="2882"/>
        <item m="1" x="2468"/>
        <item m="1" x="2163"/>
        <item m="1" x="2510"/>
        <item m="1" x="1903"/>
        <item m="1" x="1843"/>
        <item m="1" x="2327"/>
        <item m="1" x="2492"/>
        <item m="1" x="2102"/>
        <item m="1" x="2147"/>
        <item m="1" x="1705"/>
        <item m="1" x="2173"/>
        <item m="1" x="1533"/>
        <item m="1" x="2192"/>
        <item m="1" x="2694"/>
        <item m="1" x="1001"/>
        <item m="1" x="2235"/>
        <item m="1" x="2685"/>
        <item m="1" x="2001"/>
        <item m="1" x="2059"/>
        <item m="1" x="2103"/>
        <item m="1" x="1954"/>
        <item m="1" x="2187"/>
        <item m="1" x="2460"/>
        <item m="1" x="2824"/>
        <item m="1" x="3244"/>
        <item m="1" x="3110"/>
        <item m="1" x="2972"/>
        <item m="1" x="1530"/>
        <item m="1" x="1339"/>
        <item m="1" x="2534"/>
        <item m="1" x="3075"/>
        <item m="1" x="2170"/>
        <item m="1" x="2987"/>
        <item m="1" x="1928"/>
        <item m="1" x="3224"/>
        <item m="1" x="3066"/>
        <item m="1" x="2518"/>
        <item m="1" x="2579"/>
        <item m="1" x="1465"/>
        <item m="1" x="2138"/>
        <item m="1" x="2229"/>
        <item m="1" x="2179"/>
        <item m="1" x="1137"/>
        <item m="1" x="2027"/>
        <item m="1" x="2419"/>
        <item m="1" x="3093"/>
        <item m="1" x="2361"/>
        <item m="1" x="2111"/>
        <item m="1" x="2196"/>
        <item m="1" x="2114"/>
        <item m="1" x="2071"/>
        <item m="1" x="1327"/>
        <item m="1" x="1812"/>
        <item m="1" x="940"/>
        <item m="1" x="1006"/>
        <item m="1" x="1980"/>
        <item m="1" x="2648"/>
        <item m="1" x="2197"/>
        <item m="1" x="2362"/>
        <item m="1" x="2141"/>
        <item m="1" x="2829"/>
        <item m="1" x="2979"/>
        <item m="1" x="169"/>
        <item m="1" x="170"/>
        <item m="1" x="2204"/>
        <item m="1" x="2535"/>
        <item m="1" x="2676"/>
        <item m="1" x="2793"/>
        <item m="1" x="2644"/>
        <item m="1" x="2082"/>
        <item m="1" x="2409"/>
        <item m="1" x="2869"/>
        <item m="1" x="2567"/>
        <item m="1" x="2707"/>
        <item m="1" x="1397"/>
        <item m="1" x="1367"/>
        <item m="1" x="964"/>
        <item m="1" x="1305"/>
        <item m="1" x="1772"/>
        <item m="1" x="1237"/>
        <item m="1" x="1336"/>
        <item m="1" x="1479"/>
        <item m="1" x="1104"/>
        <item m="1" x="3097"/>
        <item m="1" x="3229"/>
        <item m="1" x="1117"/>
        <item m="1" x="2940"/>
        <item m="1" x="961"/>
        <item m="1" x="1392"/>
        <item m="1" x="1514"/>
        <item m="1" x="3214"/>
        <item m="1" x="2957"/>
        <item m="1" x="1801"/>
        <item m="1" x="3240"/>
        <item m="1" x="981"/>
        <item m="1" x="1642"/>
        <item m="1" x="1253"/>
        <item m="1" x="998"/>
        <item m="1" x="3085"/>
        <item m="1" x="2730"/>
        <item m="1" x="2815"/>
        <item m="1" x="2491"/>
        <item m="1" x="2769"/>
        <item m="1" x="878"/>
        <item m="1" x="1854"/>
        <item m="1" x="2991"/>
        <item m="1" x="3125"/>
        <item m="1" x="2430"/>
        <item m="1" x="2583"/>
        <item m="1" x="1300"/>
        <item m="1" x="1003"/>
        <item m="1" x="1916"/>
        <item m="1" x="1874"/>
        <item m="1" x="2785"/>
        <item m="1" x="2936"/>
        <item m="1" x="1417"/>
        <item m="1" x="3145"/>
        <item m="1" x="3179"/>
        <item m="1" x="915"/>
        <item m="1" x="1062"/>
        <item m="1" x="1196"/>
        <item m="1" x="2080"/>
        <item m="1" x="1073"/>
        <item m="1" x="1207"/>
        <item m="1" x="1348"/>
        <item m="1" x="1797"/>
        <item m="1" x="1707"/>
        <item m="1" x="3131"/>
        <item m="1" x="2996"/>
        <item m="1" x="1315"/>
        <item m="1" x="1206"/>
        <item m="1" x="1275"/>
        <item m="1" x="1777"/>
        <item m="1" x="1735"/>
        <item m="1" x="2265"/>
        <item m="1" x="2228"/>
        <item m="1" x="2475"/>
        <item m="1" x="1557"/>
        <item m="1" x="1486"/>
        <item m="1" x="2421"/>
        <item m="1" x="2381"/>
        <item m="1" x="2014"/>
        <item m="1" x="2349"/>
        <item m="1" x="1133"/>
        <item m="1" x="2183"/>
        <item m="1" x="1511"/>
        <item m="1" x="2476"/>
        <item m="1" x="2423"/>
        <item m="1" x="2382"/>
        <item m="1" x="2343"/>
        <item m="1" x="2515"/>
        <item m="1" x="1990"/>
        <item m="1" x="2329"/>
        <item m="1" x="2167"/>
        <item m="1" x="930"/>
        <item m="1" x="3193"/>
        <item m="1" x="1064"/>
        <item m="1" x="1734"/>
        <item m="1" x="3053"/>
        <item m="1" x="1892"/>
        <item m="1" x="1198"/>
        <item m="1" x="917"/>
        <item m="1" x="2396"/>
        <item m="1" x="2696"/>
        <item m="1" x="2858"/>
        <item m="1" x="2870"/>
        <item m="1" x="3014"/>
        <item m="1" x="3155"/>
        <item m="1" x="2660"/>
        <item m="1" x="1740"/>
        <item m="1" x="1264"/>
        <item m="1" x="1815"/>
        <item m="1" x="1991"/>
        <item m="1" x="2807"/>
        <item m="1" x="2231"/>
        <item m="1" x="1458"/>
        <item m="1" x="1527"/>
        <item m="1" x="1659"/>
        <item m="1" x="887"/>
        <item m="1" x="1584"/>
        <item m="1" x="1728"/>
        <item m="1" x="1008"/>
        <item m="1" x="2564"/>
        <item m="1" x="2558"/>
        <item m="1" x="1031"/>
        <item m="1" x="2708"/>
        <item m="1" x="1403"/>
        <item m="1" x="1888"/>
        <item m="1" x="2563"/>
        <item m="1" x="2402"/>
        <item m="1" x="3132"/>
        <item m="1" x="1131"/>
        <item m="1" x="1384"/>
        <item m="1" x="2347"/>
        <item m="1" x="1294"/>
        <item m="1" x="1555"/>
        <item m="1" x="2098"/>
        <item m="1" x="2109"/>
        <item m="1" x="2270"/>
        <item m="1" x="3242"/>
        <item m="1" x="1295"/>
        <item m="1" x="1432"/>
        <item m="1" x="1165"/>
        <item m="1" x="2969"/>
        <item m="1" x="2066"/>
        <item m="1" x="1747"/>
        <item m="1" x="2574"/>
        <item m="1" x="1431"/>
        <item m="1" x="2822"/>
        <item m="1" x="3108"/>
        <item m="1" x="2416"/>
        <item m="1" x="2433"/>
        <item m="1" x="1720"/>
        <item m="1" x="1761"/>
        <item m="1" x="1926"/>
        <item m="1" x="2667"/>
        <item m="1" x="1882"/>
        <item m="1" x="1911"/>
        <item m="1" x="2258"/>
        <item m="1" x="2718"/>
        <item m="1" x="2878"/>
        <item m="1" x="2276"/>
        <item m="1" x="2458"/>
        <item m="1" x="1679"/>
        <item m="1" x="1252"/>
        <item m="1" x="2202"/>
        <item m="1" x="2067"/>
        <item m="1" x="2364"/>
        <item m="1" x="2034"/>
        <item m="1" x="1852"/>
        <item m="1" x="1886"/>
        <item m="1" x="2559"/>
        <item m="1" x="2828"/>
        <item m="1" x="2977"/>
        <item m="1" x="2243"/>
        <item m="1" x="2531"/>
        <item m="1" x="2673"/>
        <item m="1" x="2799"/>
        <item m="1" x="1280"/>
        <item m="1" x="3235"/>
        <item m="1" x="3212"/>
        <item m="1" x="498"/>
        <item m="1" x="2937"/>
        <item m="1" x="1074"/>
        <item m="1" x="1209"/>
        <item m="1" x="1159"/>
        <item m="1" x="2881"/>
        <item m="1" x="2712"/>
        <item m="1" x="3159"/>
        <item m="1" x="2876"/>
        <item m="1" x="3020"/>
        <item m="1" x="2520"/>
        <item m="1" x="2658"/>
        <item m="1" x="1579"/>
        <item m="1" x="1742"/>
        <item m="1" x="2894"/>
        <item m="1" x="2908"/>
        <item m="1" x="3191"/>
        <item m="1" x="2449"/>
        <item m="1" x="2599"/>
        <item m="1" x="2008"/>
        <item m="1" x="1982"/>
        <item m="1" x="2039"/>
        <item m="1" x="2818"/>
        <item m="1" x="230"/>
        <item m="1" x="3239"/>
        <item m="1" x="1470"/>
        <item m="1" x="3079"/>
        <item m="1" x="3052"/>
        <item m="1" x="2814"/>
        <item m="1" x="3037"/>
        <item m="1" x="2963"/>
        <item m="1" x="2955"/>
        <item m="1" x="2207"/>
        <item m="1" x="1277"/>
        <item m="1" x="3033"/>
        <item m="1" x="2899"/>
        <item m="1" x="2178"/>
        <item m="1" x="2663"/>
        <item m="1" x="1018"/>
        <item m="1" x="2089"/>
        <item m="1" x="3050"/>
        <item m="1" x="2734"/>
        <item m="1" x="926"/>
        <item m="1" x="2368"/>
        <item m="1" x="2749"/>
        <item m="1" x="3038"/>
        <item m="1" x="2323"/>
        <item m="1" x="1121"/>
        <item m="1" x="2488"/>
        <item m="1" x="2967"/>
        <item m="1" x="2278"/>
        <item m="1" x="2593"/>
        <item m="1" x="2631"/>
        <item m="1" x="2775"/>
        <item m="1" x="3096"/>
        <item m="1" x="231"/>
        <item m="1" x="1148"/>
        <item m="1" x="3177"/>
        <item m="1" x="1453"/>
        <item m="1" x="1097"/>
        <item m="1" x="2443"/>
        <item m="1" x="2253"/>
        <item m="1" x="1594"/>
        <item m="1" x="3211"/>
        <item m="1" x="2932"/>
        <item m="1" x="1900"/>
        <item m="1" x="954"/>
        <item m="1" x="2780"/>
        <item m="1" x="1844"/>
        <item m="1" x="2626"/>
        <item m="1" x="1536"/>
        <item m="1" x="1664"/>
        <item m="1" x="1819"/>
        <item m="1" x="2989"/>
        <item m="1" x="2277"/>
        <item m="1" x="1716"/>
        <item m="1" x="2162"/>
        <item m="1" x="1410"/>
        <item m="1" x="1878"/>
        <item m="1" x="1142"/>
        <item m="1" x="1270"/>
        <item m="1" x="2783"/>
        <item m="1" x="2934"/>
        <item m="1" x="3080"/>
        <item m="1" x="2435"/>
        <item m="1" x="1243"/>
        <item m="1" x="1385"/>
        <item m="1" x="1506"/>
        <item m="1" x="1634"/>
        <item m="1" x="1790"/>
        <item m="1" x="1960"/>
        <item m="1" x="984"/>
        <item m="1" x="1120"/>
        <item m="1" x="3144"/>
        <item m="1" x="2247"/>
        <item m="1" x="2706"/>
        <item m="1" x="2865"/>
        <item m="1" x="957"/>
        <item m="1" x="1100"/>
        <item m="1" x="1229"/>
        <item m="1" x="1638"/>
        <item m="1" x="1792"/>
        <item m="1" x="1962"/>
        <item m="1" x="2144"/>
        <item m="1" x="1123"/>
        <item m="1" x="1255"/>
        <item m="1" x="3269"/>
        <item m="1" x="2587"/>
        <item m="1" x="2727"/>
        <item m="1" x="2306"/>
        <item m="1" x="1395"/>
        <item m="1" x="1517"/>
        <item m="1" x="1644"/>
        <item m="1" x="1803"/>
        <item m="1" x="1971"/>
        <item m="1" x="2152"/>
        <item m="1" x="2313"/>
        <item m="1" x="2889"/>
        <item m="1" x="3029"/>
        <item m="1" x="3168"/>
        <item m="1" x="903"/>
        <item m="1" x="1055"/>
        <item m="1" x="1189"/>
        <item m="1" x="1696"/>
        <item m="1" x="1858"/>
        <item m="1" x="2767"/>
        <item m="1" x="2925"/>
        <item m="1" x="1325"/>
        <item m="1" x="2737"/>
        <item m="1" x="2898"/>
        <item m="1" x="2586"/>
        <item m="1" x="1756"/>
        <item m="1" x="1921"/>
        <item m="1" x="3271"/>
        <item m="1" x="2711"/>
        <item m="1" x="1242"/>
        <item m="1" x="1344"/>
        <item m="1" x="303"/>
        <item m="1" x="302"/>
        <item m="1" x="304"/>
        <item m="1" x="305"/>
        <item m="1" x="2952"/>
        <item m="1" x="3189"/>
        <item m="1" x="924"/>
        <item m="1" x="1099"/>
        <item m="1" x="2151"/>
        <item m="1" x="1228"/>
        <item m="1" x="955"/>
        <item m="1" x="1513"/>
        <item m="1" x="979"/>
        <item m="1" x="3228"/>
        <item m="1" x="1115"/>
        <item m="1" x="1250"/>
        <item m="1" x="1391"/>
        <item m="1" x="1641"/>
        <item m="1" x="1800"/>
        <item m="1" x="1130"/>
        <item m="1" x="995"/>
        <item m="1" x="1499"/>
        <item m="1" x="1627"/>
        <item m="1" x="1783"/>
        <item m="1" x="3223"/>
        <item m="1" x="972"/>
        <item m="1" x="1112"/>
        <item m="1" x="1245"/>
        <item m="1" x="1387"/>
        <item m="1" x="1508"/>
        <item m="1" x="1639"/>
        <item m="1" x="1793"/>
        <item m="1" x="1963"/>
        <item m="1" x="2145"/>
        <item m="1" x="1124"/>
        <item m="1" x="1257"/>
        <item m="1" x="1396"/>
        <item m="1" x="1518"/>
        <item m="1" x="1645"/>
        <item m="1" x="1805"/>
        <item m="1" x="1973"/>
        <item m="1" x="2154"/>
        <item m="1" x="2315"/>
        <item m="1" x="2480"/>
        <item m="1" x="1399"/>
        <item m="1" x="1526"/>
        <item m="1" x="1656"/>
        <item m="1" x="1814"/>
        <item m="1" x="1988"/>
        <item m="1" x="2166"/>
        <item m="1" x="2328"/>
        <item m="1" x="2493"/>
        <item m="1" x="2635"/>
        <item m="1" x="2782"/>
        <item m="1" x="1101"/>
        <item m="1" x="1230"/>
        <item m="1" x="1372"/>
        <item m="1" x="1492"/>
        <item m="1" x="1616"/>
        <item m="1" x="1771"/>
        <item m="1" x="1941"/>
        <item m="1" x="2127"/>
        <item m="1" x="2284"/>
        <item m="1" x="2451"/>
        <item m="1" x="1379"/>
        <item m="1" x="1500"/>
        <item m="1" x="1628"/>
        <item m="1" x="1784"/>
        <item m="1" x="1952"/>
        <item m="1" x="2132"/>
        <item m="1" x="2293"/>
        <item m="1" x="1210"/>
        <item m="1" x="1265"/>
        <item m="1" x="1285"/>
        <item m="1" x="2857"/>
        <item m="1" x="1425"/>
        <item m="1" x="2048"/>
        <item m="1" x="2772"/>
        <item m="1" x="2929"/>
        <item m="1" x="1755"/>
        <item m="1" x="1930"/>
        <item m="1" x="1608"/>
        <item m="1" x="1763"/>
        <item m="1" x="1107"/>
        <item m="1" x="1236"/>
        <item m="1" x="1377"/>
        <item m="1" x="2619"/>
        <item m="1" x="2915"/>
        <item m="1" x="2759"/>
        <item m="1" x="2701"/>
        <item m="1" x="2692"/>
        <item m="1" x="2797"/>
        <item m="1" x="2399"/>
        <item m="1" x="2863"/>
        <item m="1" x="3010"/>
        <item m="1" x="1421"/>
        <item m="1" x="2562"/>
        <item m="1" x="3150"/>
        <item m="1" x="1547"/>
        <item m="1" x="1726"/>
        <item m="1" x="3173"/>
        <item m="1" x="2588"/>
        <item m="1" x="2893"/>
        <item m="1" x="3032"/>
        <item m="1" x="2655"/>
        <item m="1" x="1768"/>
        <item m="1" x="1689"/>
        <item m="1" x="986"/>
        <item m="1" x="1135"/>
        <item m="1" x="1061"/>
        <item m="1" x="1335"/>
        <item m="1" x="1837"/>
        <item m="1" x="2774"/>
        <item m="1" x="2715"/>
        <item m="1" x="2875"/>
        <item m="1" x="2035"/>
        <item m="1" x="2294"/>
        <item m="1" x="1809"/>
        <item m="1" x="2317"/>
        <item m="1" x="1791"/>
        <item m="1" x="2018"/>
        <item m="1" x="1005"/>
        <item m="1" x="3233"/>
        <item m="1" x="3129"/>
        <item m="1" x="2627"/>
        <item m="1" x="2620"/>
        <item m="1" x="3055"/>
        <item m="1" x="3163"/>
        <item m="1" x="1981"/>
        <item m="1" x="1489"/>
        <item m="1" x="1613"/>
        <item m="1" x="2766"/>
        <item m="1" x="2924"/>
        <item m="1" x="1804"/>
        <item m="1" x="1972"/>
        <item m="1" x="2153"/>
        <item m="1" x="2831"/>
        <item m="1" x="2981"/>
        <item m="1" x="3117"/>
        <item m="1" x="3249"/>
        <item m="1" x="937"/>
        <item m="1" x="1083"/>
        <item m="1" x="2664"/>
        <item m="1" x="2819"/>
        <item m="1" x="2968"/>
        <item m="1" x="3107"/>
        <item m="1" x="3241"/>
        <item m="1" x="2356"/>
        <item m="1" x="2615"/>
        <item m="1" x="1360"/>
        <item m="1" x="1484"/>
        <item m="1" x="1706"/>
        <item m="1" x="1045"/>
        <item m="1" x="1075"/>
        <item m="1" x="1565"/>
        <item m="1" x="1175"/>
        <item m="1" x="1307"/>
        <item m="1" x="1695"/>
        <item m="1" x="2219"/>
        <item m="1" x="1291"/>
        <item m="1" x="1317"/>
        <item m="1" x="904"/>
        <item m="1" x="3062"/>
        <item m="1" x="3137"/>
        <item m="1" x="1692"/>
        <item m="1" x="2036"/>
        <item m="1" x="1855"/>
        <item m="1" x="2838"/>
        <item m="1" x="2984"/>
        <item m="1" x="3121"/>
        <item m="1" x="2678"/>
        <item m="1" x="2999"/>
        <item m="1" x="3247"/>
        <item m="1" x="1146"/>
        <item m="1" x="882"/>
        <item m="1" x="3178"/>
        <item m="1" x="1846"/>
        <item m="1" x="2517"/>
        <item m="1" x="1160"/>
        <item m="1" x="1583"/>
        <item m="1" x="2075"/>
        <item m="1" x="1082"/>
        <item m="1" x="1355"/>
        <item m="1" x="1021"/>
        <item m="1" x="3057"/>
        <item m="1" x="2295"/>
        <item m="1" x="2755"/>
        <item m="1" x="1902"/>
        <item m="1" x="1864"/>
        <item m="1" x="1816"/>
        <item m="1" x="2310"/>
        <item m="1" x="2285"/>
        <item m="1" x="1510"/>
        <item m="1" x="2134"/>
        <item m="1" x="1239"/>
        <item m="1" x="1381"/>
        <item m="1" x="1503"/>
        <item m="1" x="1786"/>
        <item m="1" x="1955"/>
        <item m="1" x="1349"/>
        <item m="1" x="1208"/>
        <item m="1" x="1471"/>
        <item m="1" x="1048"/>
        <item m="1" x="893"/>
        <item m="1" x="1185"/>
        <item m="1" x="1320"/>
        <item m="1" x="1447"/>
        <item m="1" x="3160"/>
        <item m="1" x="996"/>
        <item m="1" x="3252"/>
        <item m="1" x="2983"/>
        <item m="1" x="3120"/>
        <item m="1" x="1409"/>
        <item m="1" x="1269"/>
        <item m="1" x="1141"/>
        <item m="1" x="1590"/>
        <item m="1" x="1732"/>
        <item m="1" x="1318"/>
        <item m="1" x="1799"/>
        <item m="1" x="1967"/>
        <item m="1" x="2337"/>
        <item m="1" x="2503"/>
        <item m="1" x="1704"/>
        <item m="1" x="1865"/>
        <item m="1" x="2052"/>
        <item m="1" x="2990"/>
        <item m="1" x="2556"/>
        <item m="1" x="1580"/>
        <item m="1" x="1436"/>
        <item m="1" x="1559"/>
        <item m="1" x="1450"/>
        <item m="1" x="1319"/>
        <item m="1" x="2570"/>
        <item m="1" x="2576"/>
        <item m="1" x="2017"/>
        <item m="1" x="1487"/>
        <item m="1" x="1609"/>
        <item m="1" x="1765"/>
        <item m="1" x="1934"/>
        <item m="1" x="2121"/>
        <item m="1" x="1129"/>
        <item m="1" x="1522"/>
        <item m="1" x="1650"/>
        <item m="1" x="3245"/>
        <item m="1" x="1004"/>
        <item m="1" x="1401"/>
        <item m="1" x="2988"/>
        <item m="1" x="3004"/>
        <item m="1" x="3142"/>
        <item m="1" x="3270"/>
        <item m="1" x="2629"/>
        <item m="1" x="2771"/>
        <item m="1" x="2928"/>
        <item m="1" x="1818"/>
        <item m="1" x="1993"/>
        <item m="1" x="2168"/>
        <item m="1" x="2440"/>
        <item m="1" x="2286"/>
        <item m="1" x="3208"/>
        <item m="1" x="3056"/>
        <item m="1" x="1563"/>
        <item m="1" x="1440"/>
        <item m="1" x="2040"/>
        <item m="1" x="1694"/>
        <item m="1" x="1857"/>
        <item m="1" x="2208"/>
        <item m="1" x="3253"/>
        <item m="1" x="891"/>
        <item m="1" x="1296"/>
        <item m="1" x="3063"/>
        <item m="1" x="2760"/>
        <item m="1" x="2916"/>
        <item m="1" x="2149"/>
        <item m="1" x="1520"/>
        <item m="1" x="1259"/>
        <item m="1" x="1647"/>
        <item m="1" x="1125"/>
        <item m="1" x="1457"/>
        <item m="1" x="1192"/>
        <item m="1" x="1014"/>
        <item m="1" x="3101"/>
        <item m="1" x="2958"/>
        <item m="1" x="1359"/>
        <item m="1" x="1605"/>
        <item m="1" x="2665"/>
        <item m="1" x="1091"/>
        <item m="1" x="2578"/>
        <item m="1" x="2340"/>
        <item m="1" x="1895"/>
        <item m="1" x="2431"/>
        <item m="1" x="2553"/>
        <item m="1" x="1773"/>
        <item m="1" x="2441"/>
        <item m="1" x="3149"/>
        <item m="1" x="1485"/>
        <item m="1" x="1796"/>
        <item m="1" x="1998"/>
        <item m="1" x="2461"/>
        <item m="1" x="1179"/>
        <item m="1" x="1042"/>
        <item m="1" x="2536"/>
        <item m="1" x="1110"/>
        <item m="1" x="1429"/>
        <item m="1" x="2032"/>
        <item m="1" x="2200"/>
        <item m="1" x="2525"/>
        <item m="1" x="951"/>
        <item m="1" x="2442"/>
        <item m="1" x="1070"/>
        <item m="1" x="2516"/>
        <item m="1" x="2786"/>
        <item m="1" x="2907"/>
        <item m="1" x="2747"/>
        <item m="1" x="950"/>
        <item m="1" x="1093"/>
        <item m="1" x="1881"/>
        <item m="1" x="1461"/>
        <item m="1" x="2077"/>
        <item m="1" x="1468"/>
        <item m="1" x="2565"/>
        <item m="1" x="1476"/>
        <item m="1" x="3026"/>
        <item m="1" x="1341"/>
        <item m="1" x="2410"/>
        <item m="1" x="1589"/>
        <item m="1" x="1741"/>
        <item m="1" x="3036"/>
        <item m="1" x="1194"/>
        <item m="1" x="3166"/>
        <item m="1" x="2744"/>
        <item m="1" x="902"/>
        <item m="1" x="2726"/>
        <item m="1" x="2088"/>
        <item m="1" x="2406"/>
        <item m="1" x="2415"/>
        <item m="1" x="2432"/>
        <item m="1" x="1760"/>
        <item m="1" x="1017"/>
        <item m="1" x="2851"/>
        <item m="1" x="1188"/>
        <item m="1" x="1332"/>
        <item m="1" x="2250"/>
        <item m="1" x="1597"/>
        <item m="1" x="2585"/>
        <item m="1" x="2887"/>
        <item m="1" x="2124"/>
        <item m="1" x="2604"/>
        <item m="1" x="1201"/>
        <item m="1" x="2252"/>
        <item m="1" x="2709"/>
        <item m="1" x="2689"/>
        <item m="1" x="1880"/>
        <item m="1" x="2550"/>
        <item m="1" x="3001"/>
        <item m="1" x="1030"/>
        <item m="1" x="1059"/>
        <item m="1" x="2455"/>
        <item m="1" x="3015"/>
        <item m="1" x="1158"/>
        <item m="1" x="1719"/>
        <item m="1" x="1147"/>
        <item m="1" x="3268"/>
        <item m="1" x="913"/>
        <item m="1" x="1593"/>
        <item m="1" x="2717"/>
        <item m="1" x="2108"/>
        <item m="1" x="2897"/>
        <item m="1" x="3176"/>
        <item m="1" x="3046"/>
        <item m="1" x="2871"/>
        <item m="1" x="1574"/>
        <item m="1" x="3167"/>
        <item m="1" x="1899"/>
        <item m="1" x="1746"/>
        <item m="1" x="2905"/>
        <item m="1" x="2568"/>
        <item m="1" x="1054"/>
        <item m="1" x="1731"/>
        <item m="1" x="1890"/>
        <item m="1" x="1345"/>
        <item m="1" x="1910"/>
        <item m="1" x="2097"/>
        <item m="1" x="3028"/>
        <item m="1" x="2242"/>
        <item m="1" x="1204"/>
        <item m="1" x="1925"/>
        <item m="1" x="1068"/>
        <item m="1" x="1060"/>
        <item m="1" x="2573"/>
        <item m="1" x="2877"/>
        <item m="1" x="3186"/>
        <item m="1" x="3139"/>
        <item m="1" x="2087"/>
        <item m="1" x="2256"/>
        <item m="1" x="2269"/>
        <item m="1" x="912"/>
        <item m="1" x="922"/>
        <item m="1" x="2420"/>
        <item m="1" x="2884"/>
        <item m="1" x="2471"/>
        <item m="1" x="2621"/>
        <item m="1" x="1976"/>
        <item m="1" x="2768"/>
        <item m="1" x="3207"/>
        <item m="1" x="949"/>
        <item m="1" x="2918"/>
        <item m="1" x="3076"/>
        <item m="1" x="2495"/>
        <item m="1" x="2580"/>
        <item m="1" x="2761"/>
        <item m="1" x="3067"/>
        <item m="1" x="2628"/>
        <item m="1" x="2330"/>
        <item m="1" x="2926"/>
        <item m="1" x="2106"/>
        <item m="1" x="2264"/>
        <item m="1" x="2158"/>
        <item m="1" x="2485"/>
        <item m="1" x="3202"/>
        <item m="1" x="2917"/>
        <item m="1" x="3065"/>
        <item m="1" x="938"/>
        <item m="1" x="1084"/>
        <item m="1" x="2320"/>
        <item m="1" x="3195"/>
        <item m="1" x="1943"/>
        <item m="1" x="975"/>
        <item m="1" x="2956"/>
        <item m="1" x="1472"/>
        <item m="1" x="1677"/>
        <item m="1" x="2946"/>
        <item m="1" x="2911"/>
        <item m="1" x="2874"/>
        <item m="1" x="2837"/>
        <item m="1" x="3140"/>
        <item m="1" x="2789"/>
        <item m="1" x="889"/>
        <item m="1" x="3246"/>
        <item m="1" x="2742"/>
        <item m="1" x="3170"/>
        <item m="1" x="1220"/>
        <item m="1" x="943"/>
        <item m="1" x="3054"/>
        <item m="1" x="980"/>
        <item m="1" x="2995"/>
        <item m="1" x="1483"/>
        <item m="1" x="1739"/>
        <item m="1" x="1592"/>
        <item m="1" x="1467"/>
        <item m="1" x="1343"/>
        <item m="1" x="1202"/>
        <item m="1" x="2241"/>
        <item m="1" x="1779"/>
        <item m="1" x="983"/>
        <item m="1" x="1119"/>
        <item m="1" x="1368"/>
        <item m="1" x="1702"/>
        <item m="1" x="1699"/>
        <item m="1" x="1455"/>
        <item m="1" x="2879"/>
        <item m="1" x="2720"/>
        <item m="1" x="2575"/>
        <item m="1" x="2417"/>
        <item m="1" x="2260"/>
        <item m="1" x="2099"/>
        <item m="1" x="1353"/>
        <item m="1" x="1212"/>
        <item m="1" x="1077"/>
        <item m="1" x="934"/>
        <item m="1" x="3198"/>
        <item m="1" x="3060"/>
        <item m="1" x="2912"/>
        <item m="1" x="2756"/>
        <item m="1" x="2616"/>
        <item m="1" x="2465"/>
        <item m="1" x="1069"/>
        <item m="1" x="923"/>
        <item m="1" x="3187"/>
        <item m="1" x="3047"/>
        <item m="1" x="2906"/>
        <item m="1" x="2745"/>
        <item m="1" x="2605"/>
        <item m="1" x="2456"/>
        <item m="1" x="2290"/>
        <item m="1" x="2978"/>
        <item m="1" x="988"/>
        <item m="1" x="948"/>
        <item m="1" x="2735"/>
        <item m="1" x="1672"/>
        <item m="1" x="2607"/>
        <item m="1" x="1887"/>
        <item m="1" x="1935"/>
        <item m="1" x="2670"/>
        <item m="1" x="2812"/>
        <item m="1" x="2961"/>
        <item m="1" x="3100"/>
        <item m="1" x="1261"/>
        <item m="1" x="2557"/>
        <item m="1" x="2395"/>
        <item m="1" x="3048"/>
        <item m="1" x="1501"/>
        <item m="1" x="1712"/>
        <item m="1" x="2292"/>
        <item m="1" x="2214"/>
        <item m="1" x="1977"/>
        <item m="1" x="1933"/>
        <item m="1" x="2135"/>
        <item m="1" x="1762"/>
        <item m="1" x="2429"/>
        <item m="1" x="901"/>
        <item m="1" x="1717"/>
        <item m="1" x="1578"/>
        <item m="1" x="2842"/>
        <item m="1" x="1920"/>
        <item m="1" x="3023"/>
        <item m="1" x="2526"/>
        <item m="1" x="2042"/>
        <item m="1" x="2369"/>
        <item m="1" x="2211"/>
        <item m="1" x="3213"/>
        <item m="1" x="2303"/>
        <item m="1" x="2473"/>
        <item m="1" x="2239"/>
        <item m="1" x="1636"/>
        <item m="1" x="2855"/>
        <item m="1" x="960"/>
        <item m="1" x="1102"/>
        <item m="1" x="2150"/>
        <item m="1" x="1807"/>
        <item m="1" x="1648"/>
        <item m="1" x="1966"/>
        <item m="1" x="2764"/>
        <item m="1" x="2922"/>
        <item m="1" x="3061"/>
        <item m="1" x="1078"/>
        <item m="1" x="2140"/>
        <item m="1" x="2466"/>
        <item m="1" x="2477"/>
        <item m="1" x="2617"/>
        <item m="1" x="935"/>
        <item m="1" x="2299"/>
        <item m="1" x="2757"/>
        <item m="1" x="2913"/>
        <item m="1" x="3199"/>
        <item m="1" x="3188"/>
        <item m="1" x="2776"/>
        <item m="1" x="786"/>
        <item m="1" x="788"/>
        <item m="1" x="2161"/>
        <item m="1" x="900"/>
        <item m="1" x="3262"/>
        <item m="1" x="3220"/>
        <item m="1" x="3197"/>
        <item m="1" x="1665"/>
        <item m="1" x="1620"/>
        <item m="1" x="1703"/>
        <item m="1" x="1660"/>
        <item m="1" x="2561"/>
        <item m="1" x="3081"/>
        <item m="1" x="1268"/>
        <item m="1" x="1408"/>
        <item m="1" x="1338"/>
        <item m="1" x="1463"/>
        <item m="1" x="2608"/>
        <item m="1" x="2528"/>
        <item m="1" x="2748"/>
        <item m="1" x="2668"/>
        <item m="1" x="2403"/>
        <item m="1" x="1676"/>
        <item m="1" x="1869"/>
        <item m="1" x="1693"/>
        <item m="1" x="1610"/>
        <item m="1" x="1554"/>
        <item m="1" x="2486"/>
        <item m="1" x="2390"/>
        <item m="1" x="2308"/>
        <item m="1" x="2227"/>
        <item m="1" x="2136"/>
        <item m="1" x="2056"/>
        <item m="1" x="1947"/>
        <item m="1" x="1856"/>
        <item m="1" x="2630"/>
        <item m="1" x="2554"/>
        <item m="1" x="2474"/>
        <item m="1" x="2380"/>
        <item m="1" x="2297"/>
        <item m="1" x="2773"/>
        <item m="1" x="1334"/>
        <item m="1" x="1258"/>
        <item m="1" x="1190"/>
        <item m="1" x="1113"/>
        <item m="1" x="1927"/>
        <item m="1" x="899"/>
        <item m="1" x="1053"/>
        <item m="1" x="2702"/>
        <item m="1" x="2864"/>
        <item m="1" x="1745"/>
        <item m="1" x="1905"/>
        <item m="1" x="2094"/>
        <item m="1" x="2254"/>
        <item m="1" x="2413"/>
        <item m="1" x="2571"/>
        <item m="1" x="1328"/>
        <item m="1" x="2840"/>
        <item m="1" x="3148"/>
        <item m="1" x="2447"/>
        <item m="1" x="2597"/>
        <item m="1" x="1687"/>
        <item m="1" x="2777"/>
        <item m="1" x="2732"/>
        <item m="1" x="1602"/>
        <item m="1" x="1561"/>
        <item m="1" x="2307"/>
        <item m="1" x="2693"/>
        <item m="1" x="1901"/>
        <item m="1" x="2090"/>
        <item m="1" x="1216"/>
        <item m="1" x="1356"/>
        <item m="1" x="1552"/>
        <item m="1" x="2640"/>
        <item m="1" x="2788"/>
        <item m="1" x="2938"/>
        <item m="1" x="3084"/>
        <item m="1" x="2852"/>
        <item m="1" x="1195"/>
        <item m="1" x="2259"/>
        <item m="1" x="1224"/>
        <item m="1" x="1058"/>
        <item m="1" x="2064"/>
        <item m="1" x="897"/>
        <item m="1" x="1473"/>
        <item m="1" x="2118"/>
        <item m="1" x="1919"/>
        <item m="1" x="2105"/>
        <item m="1" x="2063"/>
        <item m="1" x="1572"/>
        <item m="1" x="2360"/>
        <item m="1" x="2079"/>
        <item m="1" x="2029"/>
        <item m="1" x="2238"/>
        <item m="1" x="3154"/>
        <item m="1" x="885"/>
        <item m="1" x="3248"/>
        <item m="1" x="1759"/>
        <item m="1" x="1924"/>
        <item m="1" x="1076"/>
        <item m="1" x="1211"/>
        <item m="1" x="1352"/>
        <item m="1" x="1475"/>
        <item m="1" x="2225"/>
        <item m="1" x="2296"/>
        <item m="1" x="2464"/>
        <item m="1" x="1247"/>
        <item m="1" x="1389"/>
        <item m="1" x="1427"/>
        <item m="1" x="1551"/>
        <item m="1" x="1683"/>
        <item m="1" x="1841"/>
        <item m="1" x="2016"/>
        <item m="1" x="2186"/>
        <item m="1" x="2352"/>
        <item m="1" x="1095"/>
        <item m="1" x="1722"/>
        <item m="1" x="3114"/>
        <item m="1" x="929"/>
        <item m="1" x="1072"/>
        <item m="1" x="970"/>
        <item m="1" x="1684"/>
        <item m="1" x="1312"/>
        <item m="1" x="1035"/>
        <item m="1" x="953"/>
        <item m="1" x="1096"/>
        <item m="1" x="1767"/>
        <item m="1" x="2551"/>
        <item m="1" x="2690"/>
        <item m="1" x="3209"/>
        <item m="1" x="2614"/>
        <item m="1" x="1975"/>
        <item m="1" x="2263"/>
        <item m="1" x="2224"/>
        <item m="1" x="2387"/>
        <item m="1" x="2354"/>
        <item m="1" x="2304"/>
        <item m="1" x="2261"/>
        <item m="1" x="2221"/>
        <item m="1" x="1571"/>
        <item m="1" x="3059"/>
        <item m="1" x="2245"/>
        <item m="1" x="2941"/>
        <item m="1" x="2909"/>
        <item m="1" x="3181"/>
        <item m="1" x="918"/>
        <item m="1" x="1065"/>
        <item m="1" x="1199"/>
        <item m="1" x="2948"/>
        <item m="1" x="3092"/>
        <item m="1" x="3222"/>
        <item m="1" x="971"/>
        <item m="1" x="1111"/>
        <item m="1" x="1244"/>
        <item m="1" x="2654"/>
        <item m="1" x="2811"/>
        <item m="1" x="2960"/>
        <item m="1" x="3099"/>
        <item m="1" x="3094"/>
        <item m="1" x="3226"/>
        <item m="1" x="977"/>
        <item m="1" x="1114"/>
        <item m="1" x="1249"/>
        <item m="1" x="1390"/>
        <item m="1" x="1968"/>
        <item m="1" x="991"/>
        <item m="1" x="1407"/>
        <item m="1" x="1531"/>
        <item m="1" x="2175"/>
        <item m="1" x="2338"/>
        <item m="1" x="2794"/>
        <item m="1" x="2943"/>
        <item m="1" x="2365"/>
        <item m="1" x="2650"/>
        <item m="1" x="1374"/>
        <item m="1" x="1495"/>
        <item m="1" x="1480"/>
        <item m="1" x="1600"/>
        <item m="1" x="1749"/>
        <item m="1" x="2728"/>
        <item m="1" x="2891"/>
        <item m="1" x="3030"/>
        <item m="1" x="1217"/>
        <item m="1" x="1357"/>
        <item m="1" x="1481"/>
        <item m="1" x="1601"/>
        <item m="1" x="1750"/>
        <item m="1" x="1983"/>
        <item m="1" x="2164"/>
        <item m="1" x="2324"/>
        <item m="1" x="1908"/>
        <item m="1" x="2426"/>
        <item m="1" x="2596"/>
        <item m="1" x="1301"/>
        <item m="1" x="1434"/>
        <item m="1" x="3227"/>
        <item m="1" x="978"/>
        <item m="1" x="2155"/>
        <item m="1" x="1136"/>
        <item m="1" x="1029"/>
        <item m="1" x="2560"/>
        <item m="1" x="2698"/>
        <item m="1" x="2860"/>
        <item m="1" x="3146"/>
        <item m="1" x="2044"/>
        <item m="1" x="1940"/>
        <item m="1" x="2538"/>
        <item m="1" x="2383"/>
        <item m="1" x="2305"/>
        <item m="1" x="2470"/>
        <item m="1" x="3266"/>
        <item m="1" x="1028"/>
        <item m="1" x="1155"/>
        <item m="1" x="1287"/>
        <item m="1" x="1426"/>
        <item m="1" x="1550"/>
        <item m="1" x="1681"/>
        <item m="1" x="1838"/>
        <item m="1" x="2012"/>
        <item m="1" x="2376"/>
        <item m="1" x="2539"/>
        <item m="1" x="2610"/>
        <item m="1" x="2530"/>
        <item m="1" x="3260"/>
        <item m="1" x="1150"/>
        <item m="1" x="2892"/>
        <item m="1" x="1835"/>
        <item m="1" x="1304"/>
        <item m="1" x="1087"/>
        <item m="1" x="1024"/>
        <item m="1" x="933"/>
        <item m="1" x="3250"/>
        <item m="1" x="3183"/>
        <item m="1" x="3106"/>
        <item m="1" x="1494"/>
        <item m="1" x="1419"/>
        <item m="1" x="2920"/>
        <item m="1" x="3069"/>
        <item m="1" x="1830"/>
        <item m="1" x="2005"/>
        <item m="1" x="956"/>
        <item m="1" x="2890"/>
        <item m="1" x="2801"/>
        <item m="1" x="1154"/>
        <item m="1" x="1081"/>
        <item m="1" x="1549"/>
        <item m="1" x="1478"/>
        <item m="1" x="1416"/>
        <item m="1" x="1516"/>
        <item m="1" x="1000"/>
        <item m="1" x="1652"/>
        <item m="1" x="1810"/>
        <item m="1" x="3254"/>
        <item m="1" x="1010"/>
        <item m="1" x="3255"/>
        <item m="1" x="2839"/>
        <item m="1" x="2985"/>
        <item m="1" x="3122"/>
        <item m="1" x="1011"/>
        <item m="1" x="1143"/>
        <item m="1" x="1271"/>
        <item m="1" x="2686"/>
        <item m="1" x="2848"/>
        <item m="1" x="2998"/>
        <item m="1" x="3134"/>
        <item m="1" x="3263"/>
        <item m="1" x="1026"/>
        <item m="1" x="1153"/>
        <item m="1" x="1282"/>
        <item m="1" x="1422"/>
        <item m="1" x="1548"/>
        <item m="1" x="3005"/>
        <item m="1" x="1293"/>
        <item m="1" x="1430"/>
        <item m="1" x="2210"/>
        <item m="1" x="1182"/>
        <item m="1" x="1441"/>
        <item m="1" x="1567"/>
        <item m="1" x="3018"/>
        <item m="1" x="3157"/>
        <item m="1" x="2400"/>
        <item m="1" x="2428"/>
        <item m="1" x="1116"/>
        <item m="1" x="2547"/>
        <item m="1" x="2037"/>
        <item m="1" x="2904"/>
        <item m="1" x="3045"/>
        <item m="1" x="3184"/>
        <item m="1" x="920"/>
        <item m="1" x="2344"/>
        <item m="1" x="2336"/>
        <item m="1" x="3091"/>
        <item m="1" x="2867"/>
        <item m="1" x="3012"/>
        <item m="1" x="3152"/>
        <item m="1" x="884"/>
        <item m="1" x="1041"/>
        <item m="1" x="1178"/>
        <item m="1" x="1310"/>
        <item m="1" x="2055"/>
        <item m="1" x="1541"/>
        <item m="1" x="1622"/>
        <item m="1" x="1824"/>
        <item m="1" x="1671"/>
        <item m="1" x="1629"/>
        <item m="1" x="1630"/>
        <item m="1" x="1922"/>
        <item m="1" x="1834"/>
        <item m="1" x="1788"/>
        <item m="1" x="1575"/>
        <item m="1" x="2353"/>
        <item m="1" x="3058"/>
        <item m="1" x="3196"/>
        <item m="1" x="2959"/>
        <item m="1" x="3098"/>
        <item m="1" x="3231"/>
        <item m="1" x="985"/>
        <item m="1" x="1122"/>
        <item m="1" x="2527"/>
        <item m="1" x="2666"/>
        <item m="1" x="2821"/>
        <item m="1" x="3123"/>
        <item m="1" x="3256"/>
        <item m="1" x="1013"/>
        <item m="1" x="1145"/>
        <item m="1" x="1273"/>
        <item m="1" x="1412"/>
        <item m="1" x="1604"/>
        <item m="1" x="1577"/>
        <item m="1" x="1872"/>
        <item m="1" x="1544"/>
        <item m="1" x="1657"/>
        <item m="1" x="1591"/>
        <item m="1" x="1519"/>
        <item m="1" x="1234"/>
        <item m="1" x="1177"/>
        <item m="1" x="1098"/>
        <item m="1" x="1036"/>
        <item m="1" x="946"/>
        <item m="1" x="3265"/>
        <item m="1" x="3200"/>
        <item m="1" x="3124"/>
        <item m="1" x="3051"/>
        <item m="1" x="2971"/>
        <item m="1" x="1375"/>
        <item m="1" x="1309"/>
        <item m="1" x="1915"/>
        <item m="1" x="1873"/>
        <item m="1" x="2198"/>
        <item m="1" x="2156"/>
        <item m="1" x="1727"/>
        <item m="1" x="2300"/>
        <item m="1" x="3031"/>
        <item m="1" x="3172"/>
        <item m="1" x="908"/>
        <item m="1" x="1521"/>
        <item m="1" x="1649"/>
        <item m="1" x="2697"/>
        <item m="1" x="2859"/>
        <item m="1" x="909"/>
        <item m="1" x="2741"/>
        <item m="1" x="2903"/>
        <item m="1" x="3044"/>
        <item m="1" x="2128"/>
        <item m="1" x="2287"/>
        <item m="1" x="2738"/>
        <item m="1" x="2900"/>
        <item m="1" x="3039"/>
        <item m="1" x="1624"/>
        <item m="1" x="1781"/>
        <item m="1" x="1950"/>
        <item m="1" x="1386"/>
        <item m="1" x="1507"/>
        <item m="1" x="1635"/>
        <item m="1" x="2478"/>
        <item m="1" x="2623"/>
        <item m="1" x="1523"/>
        <item m="1" x="1226"/>
        <item m="1" x="2427"/>
        <item m="1" x="2318"/>
        <item m="1" x="2483"/>
        <item m="1" x="1402"/>
        <item m="1" x="2169"/>
        <item m="1" x="1157"/>
        <item m="1" x="1109"/>
        <item m="1" x="1044"/>
        <item m="1" x="959"/>
        <item m="1" x="879"/>
        <item m="1" x="1542"/>
        <item m="1" x="1673"/>
        <item m="1" x="1829"/>
        <item m="1" x="2004"/>
        <item m="1" x="2176"/>
        <item m="1" x="2339"/>
        <item m="1" x="2504"/>
        <item m="1" x="2645"/>
        <item m="1" x="2795"/>
        <item m="1" x="2944"/>
        <item m="1" x="1842"/>
        <item m="1" x="2021"/>
        <item m="1" x="2191"/>
        <item m="1" x="2357"/>
        <item m="1" x="2511"/>
        <item m="1" x="2651"/>
        <item m="1" x="2806"/>
        <item m="1" x="2950"/>
        <item m="1" x="3225"/>
        <item m="1" x="2203"/>
        <item m="1" x="2366"/>
        <item m="1" x="2521"/>
        <item m="1" x="2659"/>
        <item m="1" x="2816"/>
        <item m="1" x="2964"/>
        <item m="1" x="3103"/>
        <item m="1" x="3234"/>
        <item m="1" x="990"/>
        <item m="1" x="1127"/>
        <item m="1" x="2930"/>
        <item m="1" x="2548"/>
        <item m="1" x="2683"/>
        <item m="1" x="2549"/>
        <item m="1" x="2684"/>
        <item m="1" x="2846"/>
        <item m="1" x="1566"/>
        <item m="1" x="898"/>
        <item m="1" x="1051"/>
        <item m="1" x="1164"/>
        <item m="1" x="1241"/>
        <item m="1" x="2193"/>
        <item m="1" x="1311"/>
        <item m="1" x="1883"/>
        <item m="1" x="2244"/>
        <item m="1" x="1033"/>
        <item m="1" x="1292"/>
        <item m="1" x="1637"/>
        <item m="1" x="1917"/>
        <item m="1" x="1932"/>
        <item m="1" x="2591"/>
        <item m="1" x="3072"/>
        <item m="1" x="1539"/>
        <item m="1" x="1669"/>
        <item m="1" x="1828"/>
        <item m="1" x="2003"/>
        <item m="1" x="2172"/>
        <item m="1" x="2335"/>
        <item m="1" x="869"/>
        <item m="1" x="1558"/>
        <item m="1" x="1690"/>
        <item m="1" x="2826"/>
        <item m="1" x="2975"/>
        <item m="1" x="3113"/>
        <item m="1" x="2545"/>
        <item m="1" x="2681"/>
        <item m="1" x="2845"/>
        <item m="1" x="2993"/>
        <item m="1" x="3127"/>
        <item m="1" x="3259"/>
        <item m="1" x="1701"/>
        <item m="1" x="1862"/>
        <item m="1" x="2045"/>
        <item m="1" x="1751"/>
        <item m="1" x="1913"/>
        <item m="1" x="2100"/>
        <item m="1" x="2355"/>
        <item m="1" x="2509"/>
        <item m="1" x="2805"/>
        <item m="1" x="1691"/>
        <item m="1" x="1851"/>
        <item m="1" x="2033"/>
        <item m="1" x="2201"/>
        <item m="1" x="2363"/>
        <item m="1" x="2519"/>
        <item m="1" x="2657"/>
        <item m="1" x="2813"/>
        <item m="1" x="2962"/>
        <item m="1" x="3102"/>
        <item m="1" x="2047"/>
        <item m="1" x="2672"/>
        <item m="1" x="2827"/>
        <item m="1" x="2976"/>
        <item m="1" x="872"/>
        <item m="1" x="874"/>
        <item m="1" x="2501"/>
        <item m="1" x="2642"/>
        <item m="1" x="3230"/>
        <item m="1" x="2833"/>
        <item m="1" x="1654"/>
        <item m="1" x="1525"/>
        <item m="1" x="1655"/>
        <item m="1" x="1813"/>
        <item m="1" x="1987"/>
        <item m="1" x="1603"/>
        <item m="1" x="1752"/>
        <item m="1" x="1914"/>
        <item m="1" x="2101"/>
        <item m="1" x="3192"/>
        <item m="1" x="928"/>
        <item m="1" x="1347"/>
        <item m="1" x="3190"/>
        <item m="1" x="2143"/>
        <item m="1" x="2301"/>
        <item m="1" x="2467"/>
        <item m="1" x="2139"/>
        <item m="1" x="2298"/>
        <item m="1" x="3064"/>
        <item m="1" x="3201"/>
        <item m="1" x="936"/>
        <item m="1" x="1912"/>
        <item m="1" x="947"/>
        <item m="1" x="1836"/>
        <item m="1" x="2011"/>
        <item m="1" x="1556"/>
        <item m="1" x="1688"/>
        <item m="1" x="1848"/>
        <item m="1" x="2026"/>
        <item m="1" x="1615"/>
        <item m="1" x="1939"/>
        <item m="1" x="1214"/>
        <item m="1" x="2624"/>
        <item m="1" x="2765"/>
        <item m="1" x="2923"/>
        <item m="1" x="3073"/>
        <item m="1" x="3206"/>
        <item m="1" x="945"/>
        <item m="1" x="1089"/>
        <item m="1" x="1223"/>
        <item m="1" x="2868"/>
        <item m="1" x="1686"/>
        <item m="1" x="3071"/>
        <item m="1" x="3205"/>
        <item m="1" x="944"/>
        <item m="1" x="1088"/>
        <item m="1" x="2120"/>
        <item m="1" x="3182"/>
        <item m="1" x="2919"/>
        <item m="1" x="3068"/>
        <item m="1" x="3204"/>
        <item m="1" x="942"/>
        <item m="1" x="1085"/>
        <item m="1" x="1092"/>
        <item m="1" x="2326"/>
        <item m="1" x="2490"/>
        <item m="1" x="1413"/>
        <item m="1" x="1538"/>
        <item m="1" x="1667"/>
        <item m="1" x="1823"/>
        <item m="1" x="1997"/>
        <item m="1" x="2462"/>
        <item m="1" x="2612"/>
        <item m="1" x="3194"/>
        <item m="1" x="932"/>
        <item m="1" x="1286"/>
        <item m="1" x="1839"/>
        <item m="1" x="2013"/>
        <item m="1" x="2182"/>
        <item m="1" x="2862"/>
        <item m="1" x="3009"/>
        <item m="1" x="1621"/>
        <item m="1" x="2512"/>
        <item m="1" x="1019"/>
        <item m="1" x="906"/>
        <item m="1" x="2070"/>
        <item m="1" x="2945"/>
        <item m="1" x="3089"/>
        <item m="1" x="1978"/>
        <item m="1" x="2671"/>
        <item m="1" x="2411"/>
        <item m="1" x="2880"/>
        <item m="1" x="2272"/>
        <item m="1" x="2437"/>
        <item m="1" x="2589"/>
        <item m="1" x="1540"/>
        <item m="1" x="1670"/>
        <item m="1" x="886"/>
        <item m="1" x="2584"/>
        <item m="1" x="2078"/>
        <item m="1" x="2699"/>
        <item m="1" x="2606"/>
        <item m="1" x="2746"/>
        <item m="1" x="2251"/>
        <item m="1" x="2407"/>
        <item m="1" x="2566"/>
        <item m="1" x="2866"/>
        <item m="1" x="3011"/>
        <item m="1" x="3151"/>
        <item m="1" x="883"/>
        <item m="1" x="2507"/>
        <item m="1" x="2675"/>
        <item m="1" x="2832"/>
        <item m="1" x="2498"/>
        <item m="1" x="2638"/>
        <item m="1" x="2787"/>
        <item m="1" x="1674"/>
        <item m="1" x="1832"/>
        <item m="1" x="2007"/>
        <item m="1" x="2177"/>
        <item m="1" x="2342"/>
        <item m="1" x="941"/>
        <item m="1" x="147"/>
        <item m="1" x="1218"/>
        <item m="1" x="2523"/>
        <item m="1" x="2661"/>
        <item m="1" x="2817"/>
        <item m="1" x="2965"/>
        <item m="1" x="3236"/>
        <item m="1" x="992"/>
        <item m="1" x="1764"/>
        <item m="1" x="2835"/>
        <item m="1" x="1406"/>
        <item m="1" x="1168"/>
        <item m="1" x="1298"/>
        <item m="1" x="2046"/>
        <item m="1" x="2215"/>
        <item m="1" x="2847"/>
        <item m="1" x="2997"/>
        <item m="1" x="1789"/>
        <item m="1" x="1221"/>
        <item m="1" x="3210"/>
        <item m="1" x="952"/>
        <item m="1" x="2921"/>
        <item m="1" x="3070"/>
        <item m="1" x="1183"/>
        <item m="1" x="1316"/>
        <item m="1" x="1904"/>
        <item m="1" x="1193"/>
        <item m="1" x="3049"/>
        <item m="1" x="925"/>
        <item m="1" x="1203"/>
        <item m="1" x="3119"/>
        <item m="1" x="3251"/>
        <item m="1" x="2375"/>
        <item m="1" x="1460"/>
        <item m="1" x="1588"/>
        <item m="1" x="1152"/>
        <item m="1" x="1281"/>
        <item m="1" x="1163"/>
        <item m="1" x="1708"/>
        <item m="1" x="1870"/>
        <item m="1" x="2237"/>
        <item m="1" x="1200"/>
        <item m="1" x="3143"/>
        <item m="1" x="1278"/>
        <item m="1" x="3104"/>
        <item m="1" x="1140"/>
        <item m="1" x="3161"/>
        <item m="1" x="2332"/>
        <item m="1" x="2499"/>
        <item m="1" x="2639"/>
        <item m="1" x="1850"/>
        <item m="1" x="2031"/>
        <item m="1" x="1698"/>
        <item m="1" x="1859"/>
        <item m="1" x="2043"/>
        <item m="1" x="2213"/>
        <item m="1" x="2370"/>
        <item m="1" x="2529"/>
        <item m="1" x="2669"/>
        <item m="1" x="2823"/>
        <item m="1" x="2970"/>
        <item m="1" x="3109"/>
        <item m="1" x="2057"/>
        <item m="1" x="2220"/>
        <item m="1" x="2377"/>
        <item m="1" x="2542"/>
        <item m="1" x="2680"/>
        <item m="1" x="2841"/>
        <item m="1" x="1169"/>
        <item m="1" x="1299"/>
        <item m="1" x="3175"/>
        <item m="1" x="910"/>
        <item m="1" x="1825"/>
        <item m="1" x="1956"/>
        <item m="1" x="1658"/>
        <item m="1" x="1227"/>
        <item m="1" x="1167"/>
        <item m="1" x="1090"/>
        <item m="1" x="1027"/>
        <item m="1" x="3022"/>
        <item m="1" x="3162"/>
        <item m="1" x="896"/>
        <item m="1" x="1049"/>
        <item m="1" x="1103"/>
        <item m="1" x="1232"/>
        <item m="1" x="2404"/>
        <item m="1" x="3221"/>
        <item m="1" x="1847"/>
        <item m="1" x="1213"/>
        <item m="1" x="2622"/>
        <item m="1" x="2763"/>
        <item m="1" x="2540"/>
        <item m="1" x="2679"/>
        <item m="1" x="1052"/>
        <item m="1" x="2226"/>
        <item m="1" x="2481"/>
        <item m="1" x="2625"/>
        <item m="1" x="1346"/>
        <item m="1" x="2569"/>
        <item m="1" x="1106"/>
        <item m="1" x="2810"/>
        <item m="1" x="2834"/>
        <item m="1" x="1366"/>
        <item m="1" x="2469"/>
        <item m="1" x="2861"/>
        <item m="1" x="3008"/>
        <item m="1" x="481"/>
        <item m="1" x="482"/>
        <item m="1" x="483"/>
        <item m="1" x="484"/>
        <item m="1" x="1849"/>
        <item m="1" x="2030"/>
        <item m="1" x="1187"/>
        <item m="1" x="1324"/>
        <item m="1" x="1718"/>
        <item m="1" x="1879"/>
        <item m="1" x="1181"/>
        <item m="1" x="1363"/>
        <item m="1" x="1931"/>
        <item m="1" x="2113"/>
        <item m="1" x="499"/>
        <item m="1" x="500"/>
        <item m="1" x="502"/>
        <item m="1" x="503"/>
        <item m="1" x="504"/>
        <item m="1" x="505"/>
        <item m="1" x="506"/>
        <item m="1" x="507"/>
        <item m="1" x="508"/>
        <item m="1" x="509"/>
        <item m="1" x="510"/>
        <item m="1" x="511"/>
        <item m="1" x="512"/>
        <item m="1" x="513"/>
        <item m="1" x="2131"/>
        <item m="1" x="2291"/>
        <item m="1" x="2609"/>
        <item m="1" x="2489"/>
        <item m="1" x="2632"/>
        <item m="1" x="3077"/>
        <item m="1" x="1845"/>
        <item m="1" x="2023"/>
        <item m="1" x="2194"/>
        <item m="1" x="2358"/>
        <item m="1" x="2514"/>
        <item m="1" x="2653"/>
        <item m="1" x="2808"/>
        <item m="1" x="2953"/>
        <item m="1" x="3095"/>
        <item m="1" x="2038"/>
        <item m="1" x="2206"/>
        <item m="1" x="2367"/>
        <item m="1" x="2966"/>
        <item m="1" x="3105"/>
        <item m="1" x="3238"/>
        <item m="1" x="997"/>
        <item m="1" x="1653"/>
        <item m="1" x="1811"/>
        <item m="1" x="1985"/>
        <item m="1" x="2633"/>
        <item m="1" x="2778"/>
        <item m="1" x="2333"/>
        <item m="1" x="2500"/>
        <item m="1" x="2641"/>
        <item m="1" x="2994"/>
        <item m="1" x="3128"/>
        <item m="1" x="515"/>
        <item m="1" x="2024"/>
        <item m="1" x="2439"/>
        <item m="1" x="2733"/>
        <item m="1" x="1415"/>
        <item m="1" x="1238"/>
        <item m="1" x="965"/>
        <item m="1" x="2825"/>
        <item m="1" x="2973"/>
        <item m="1" x="2836"/>
        <item m="1" x="1535"/>
        <item m="1" x="2524"/>
        <item m="1" x="2662"/>
        <item m="1" x="1497"/>
        <item m="1" x="1625"/>
        <item m="1" x="1782"/>
        <item m="1" x="3147"/>
        <item m="1" x="877"/>
        <item m="1" x="1868"/>
        <item m="1" x="2054"/>
        <item m="1" x="2374"/>
        <item m="1" x="2436"/>
        <item m="1" x="2348"/>
        <item m="1" x="3136"/>
        <item m="1" x="2986"/>
        <item m="1" x="1071"/>
        <item m="1" x="1002"/>
        <item m="1" x="914"/>
        <item m="1" x="3232"/>
        <item m="1" x="1680"/>
        <item m="1" x="1599"/>
        <item m="1" x="1469"/>
        <item m="1" x="1400"/>
        <item m="1" x="881"/>
        <item m="1" x="2856"/>
        <item m="1" x="3019"/>
        <item m="1" x="3158"/>
        <item m="1" x="890"/>
        <item m="1" x="1046"/>
        <item m="1" x="1322"/>
        <item m="1" x="1329"/>
        <item m="1" x="1456"/>
        <item m="1" x="1663"/>
        <item m="1" x="2522"/>
        <item m="1" x="1562"/>
        <item m="1" x="2393"/>
        <item m="1" x="1342"/>
        <item m="1" x="1737"/>
        <item m="1" x="1897"/>
        <item m="1" x="2085"/>
        <item m="1" x="1166"/>
        <item m="1" x="1297"/>
        <item m="1" x="2779"/>
        <item m="1" x="3078"/>
        <item m="1" x="766"/>
        <item m="1" x="767"/>
        <item m="1" x="768"/>
        <item m="1" x="769"/>
        <item m="1" x="770"/>
        <item m="1" x="771"/>
        <item m="1" x="772"/>
        <item m="1" x="773"/>
        <item m="1" x="774"/>
        <item m="1" x="775"/>
        <item m="1" x="776"/>
        <item m="1" x="777"/>
        <item m="1" x="778"/>
        <item m="1" x="779"/>
        <item m="1" x="780"/>
        <item m="1" x="781"/>
        <item m="1" x="782"/>
        <item m="1" x="783"/>
        <item m="1" x="784"/>
        <item m="1" x="785"/>
        <item m="1" x="787"/>
        <item m="1" x="868"/>
        <item m="1" x="870"/>
        <item m="1" x="871"/>
        <item m="1" x="873"/>
        <item m="1" x="87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516"/>
        <item m="1" x="860"/>
        <item m="1" x="861"/>
        <item m="1" x="862"/>
        <item m="1" x="863"/>
        <item m="1" x="864"/>
        <item m="1" x="865"/>
        <item x="41"/>
        <item m="1" x="866"/>
        <item x="43"/>
        <item x="44"/>
        <item m="1" x="867"/>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477"/>
        <item m="1" x="478"/>
        <item m="1" x="479"/>
        <item m="1" x="480"/>
        <item m="1" x="485"/>
        <item m="1" x="534"/>
        <item m="1" x="535"/>
        <item m="1" x="488"/>
        <item m="1" x="489"/>
        <item m="1" x="490"/>
        <item m="1" x="491"/>
        <item m="1" x="492"/>
        <item m="1" x="493"/>
        <item m="1" x="496"/>
        <item m="1" x="497"/>
        <item m="1" x="501"/>
        <item m="1" x="514"/>
        <item m="1" x="209"/>
        <item m="1" x="210"/>
        <item m="1" x="211"/>
        <item m="1" x="212"/>
        <item m="1" x="213"/>
        <item m="1" x="517"/>
        <item m="1" x="518"/>
        <item m="1" x="519"/>
        <item m="1" x="520"/>
        <item m="1" x="521"/>
        <item m="1" x="522"/>
        <item m="1" x="523"/>
        <item m="1" x="524"/>
        <item m="1" x="525"/>
        <item m="1" x="526"/>
        <item m="1" x="237"/>
        <item m="1" x="527"/>
        <item m="1" x="529"/>
        <item m="1" x="530"/>
        <item m="1" x="531"/>
        <item m="1" x="465"/>
        <item m="1" x="466"/>
        <item m="1" x="467"/>
        <item m="1" x="468"/>
        <item m="1" x="469"/>
        <item m="1" x="470"/>
        <item m="1" x="471"/>
        <item m="1" x="472"/>
        <item m="1" x="473"/>
        <item m="1" x="474"/>
        <item m="1" x="475"/>
        <item m="1" x="476"/>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246"/>
        <item m="1" x="247"/>
        <item m="1" x="248"/>
        <item m="1" x="249"/>
        <item m="1" x="250"/>
        <item m="1" x="251"/>
        <item m="1" x="252"/>
        <item m="1" x="253"/>
        <item m="1" x="254"/>
        <item m="1" x="255"/>
        <item m="1" x="256"/>
        <item m="1" x="257"/>
        <item m="1" x="258"/>
        <item m="1" x="311"/>
        <item m="1" x="312"/>
        <item m="1" x="313"/>
        <item m="1" x="314"/>
        <item m="1" x="315"/>
        <item m="1" x="316"/>
        <item m="1" x="259"/>
        <item m="1" x="260"/>
        <item m="1" x="261"/>
        <item m="1" x="262"/>
        <item m="1" x="263"/>
        <item m="1" x="264"/>
        <item m="1" x="265"/>
        <item m="1" x="266"/>
        <item m="1" x="267"/>
        <item m="1" x="268"/>
        <item m="1" x="269"/>
        <item m="1" x="270"/>
        <item m="1" x="271"/>
        <item m="1" x="272"/>
        <item m="1" x="273"/>
        <item m="1" x="274"/>
        <item m="1" x="275"/>
        <item m="1" x="276"/>
        <item m="1" x="277"/>
        <item m="1" x="317"/>
        <item m="1" x="278"/>
        <item m="1" x="279"/>
        <item m="1" x="318"/>
        <item m="1" x="280"/>
        <item m="1" x="281"/>
        <item m="1" x="282"/>
        <item m="1" x="283"/>
        <item m="1" x="319"/>
        <item m="1" x="284"/>
        <item m="1" x="320"/>
        <item m="1" x="321"/>
        <item m="1" x="322"/>
        <item m="1" x="285"/>
        <item m="1" x="286"/>
        <item m="1" x="287"/>
        <item m="1" x="288"/>
        <item m="1" x="289"/>
        <item m="1" x="290"/>
        <item m="1" x="291"/>
        <item m="1" x="292"/>
        <item m="1" x="293"/>
        <item m="1" x="294"/>
        <item m="1" x="295"/>
        <item m="1" x="296"/>
        <item m="1" x="297"/>
        <item m="1" x="298"/>
        <item m="1" x="323"/>
        <item m="1" x="324"/>
        <item m="1" x="325"/>
        <item m="1" x="326"/>
        <item m="1" x="299"/>
        <item m="1" x="300"/>
        <item m="1" x="327"/>
        <item m="1" x="328"/>
        <item m="1" x="301"/>
        <item m="1" x="306"/>
        <item m="1" x="307"/>
        <item m="1" x="308"/>
        <item m="1" x="309"/>
        <item m="1" x="310"/>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14"/>
        <item m="1" x="215"/>
        <item m="1" x="216"/>
        <item m="1" x="217"/>
        <item m="1" x="218"/>
        <item m="1" x="219"/>
        <item m="1" x="220"/>
        <item m="1" x="221"/>
        <item m="1" x="222"/>
        <item m="1" x="223"/>
        <item m="1" x="224"/>
        <item m="1" x="225"/>
        <item m="1" x="226"/>
        <item m="1" x="227"/>
        <item m="1" x="228"/>
        <item m="1" x="229"/>
        <item m="1" x="232"/>
        <item m="1" x="233"/>
        <item m="1" x="234"/>
        <item m="1" x="235"/>
        <item m="1" x="236"/>
        <item m="1" x="238"/>
        <item m="1" x="239"/>
        <item m="1" x="240"/>
        <item m="1" x="241"/>
        <item m="1" x="242"/>
        <item m="1" x="243"/>
        <item m="1" x="89"/>
        <item m="1" x="90"/>
        <item m="1" x="91"/>
        <item m="1" x="92"/>
        <item m="1" x="103"/>
        <item m="1" x="104"/>
        <item m="1" x="105"/>
        <item m="1" x="108"/>
        <item m="1" x="109"/>
        <item m="1" x="111"/>
        <item m="1" x="112"/>
        <item m="1" x="113"/>
        <item m="1" x="114"/>
        <item m="1" x="115"/>
        <item m="1" x="116"/>
        <item m="1" x="117"/>
        <item m="1" x="118"/>
        <item m="1" x="119"/>
        <item m="1" x="120"/>
        <item m="1" x="121"/>
        <item m="1" x="122"/>
        <item m="1" x="123"/>
        <item m="1" x="124"/>
        <item m="1" x="125"/>
        <item m="1" x="93"/>
        <item m="1" x="94"/>
        <item m="1" x="95"/>
        <item m="1" x="96"/>
        <item m="1" x="97"/>
        <item m="1" x="98"/>
        <item m="1" x="99"/>
        <item m="1" x="100"/>
        <item m="1" x="101"/>
        <item m="1" x="102"/>
        <item m="1" x="84"/>
        <item m="1" x="85"/>
        <item m="1" x="86"/>
        <item m="1" x="87"/>
        <item m="1" x="88"/>
        <item m="1" x="47"/>
        <item m="1" x="48"/>
        <item m="1" x="66"/>
        <item m="1" x="67"/>
        <item m="1" x="68"/>
        <item m="1" x="49"/>
        <item m="1" x="50"/>
        <item m="1" x="51"/>
        <item m="1" x="52"/>
        <item m="1" x="53"/>
        <item m="1" x="69"/>
        <item m="1" x="70"/>
        <item m="1" x="71"/>
        <item m="1" x="72"/>
        <item m="1" x="73"/>
        <item m="1" x="74"/>
        <item m="1" x="75"/>
        <item m="1" x="76"/>
        <item m="1" x="77"/>
        <item m="1" x="54"/>
        <item m="1" x="78"/>
        <item m="1" x="55"/>
        <item m="1" x="56"/>
        <item m="1" x="57"/>
        <item m="1" x="58"/>
        <item m="1" x="59"/>
        <item m="1" x="60"/>
        <item m="1" x="61"/>
        <item m="1" x="79"/>
        <item m="1" x="80"/>
        <item m="1" x="81"/>
        <item m="1" x="62"/>
        <item m="1" x="63"/>
        <item m="1" x="64"/>
        <item m="1" x="65"/>
        <item m="1" x="82"/>
        <item m="1" x="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2"/>
        <item x="45"/>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2">
    <field x="2"/>
    <field x="6"/>
  </rowFields>
  <rowItems count="58">
    <i>
      <x v="169"/>
    </i>
    <i r="1">
      <x v="3231"/>
    </i>
    <i r="1">
      <x v="3232"/>
    </i>
    <i r="1">
      <x v="3233"/>
    </i>
    <i r="1">
      <x v="3234"/>
    </i>
    <i r="1">
      <x v="3235"/>
    </i>
    <i r="1">
      <x v="3236"/>
    </i>
    <i r="1">
      <x v="3237"/>
    </i>
    <i r="1">
      <x v="3238"/>
    </i>
    <i r="1">
      <x v="3239"/>
    </i>
    <i r="1">
      <x v="3240"/>
    </i>
    <i r="1">
      <x v="3241"/>
    </i>
    <i r="1">
      <x v="3242"/>
    </i>
    <i r="1">
      <x v="3243"/>
    </i>
    <i r="1">
      <x v="3244"/>
    </i>
    <i r="1">
      <x v="3245"/>
    </i>
    <i r="1">
      <x v="3246"/>
    </i>
    <i r="1">
      <x v="3247"/>
    </i>
    <i r="1">
      <x v="3248"/>
    </i>
    <i r="1">
      <x v="3249"/>
    </i>
    <i r="1">
      <x v="3250"/>
    </i>
    <i r="1">
      <x v="3251"/>
    </i>
    <i r="1">
      <x v="3252"/>
    </i>
    <i r="1">
      <x v="3253"/>
    </i>
    <i r="1">
      <x v="3254"/>
    </i>
    <i r="1">
      <x v="3255"/>
    </i>
    <i r="1">
      <x v="3256"/>
    </i>
    <i r="1">
      <x v="3257"/>
    </i>
    <i r="1">
      <x v="3258"/>
    </i>
    <i>
      <x v="489"/>
    </i>
    <i r="1">
      <x v="2573"/>
    </i>
    <i r="1">
      <x v="3270"/>
    </i>
    <i>
      <x v="940"/>
    </i>
    <i r="1">
      <x v="458"/>
    </i>
    <i>
      <x v="978"/>
    </i>
    <i r="1">
      <x v="2570"/>
    </i>
    <i r="1">
      <x v="2572"/>
    </i>
    <i r="1">
      <x v="3261"/>
    </i>
    <i r="1">
      <x v="3262"/>
    </i>
    <i>
      <x v="990"/>
    </i>
    <i r="1">
      <x v="3264"/>
    </i>
    <i r="1">
      <x v="3265"/>
    </i>
    <i>
      <x v="1177"/>
    </i>
    <i r="1">
      <x v="3259"/>
    </i>
    <i r="1">
      <x v="3260"/>
    </i>
    <i>
      <x v="1178"/>
    </i>
    <i r="1">
      <x v="3263"/>
    </i>
    <i>
      <x v="1179"/>
    </i>
    <i r="1">
      <x v="3266"/>
    </i>
    <i r="1">
      <x v="3267"/>
    </i>
    <i>
      <x v="1180"/>
    </i>
    <i r="1">
      <x v="3268"/>
    </i>
    <i r="1">
      <x v="3269"/>
    </i>
    <i>
      <x v="1181"/>
    </i>
    <i r="1">
      <x v="3271"/>
    </i>
    <i>
      <x v="1182"/>
    </i>
    <i r="1">
      <x v="3272"/>
    </i>
    <i t="grand">
      <x/>
    </i>
  </rowItems>
  <colItems count="1">
    <i/>
  </colItems>
  <dataFields count="1">
    <dataField name="Ʃ Server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7B033A-FFD4-44C9-B67A-5731D519F6E4}" name="PivotTable2"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17" firstHeaderRow="1" firstDataRow="1" firstDataCol="1"/>
  <pivotFields count="21">
    <pivotField showAll="0"/>
    <pivotField axis="axisRow" showAll="0">
      <items count="506">
        <item m="1" x="4"/>
        <item m="1" x="259"/>
        <item m="1" x="262"/>
        <item m="1" x="251"/>
        <item m="1" x="366"/>
        <item m="1" x="498"/>
        <item m="1" x="388"/>
        <item m="1" x="414"/>
        <item m="1" x="453"/>
        <item m="1" x="268"/>
        <item m="1" x="459"/>
        <item m="1" x="457"/>
        <item x="0"/>
        <item m="1" x="369"/>
        <item m="1" x="442"/>
        <item x="1"/>
        <item m="1" x="246"/>
        <item m="1" x="326"/>
        <item m="1" x="467"/>
        <item m="1" x="395"/>
        <item m="1" x="232"/>
        <item m="1" x="318"/>
        <item m="1" x="254"/>
        <item m="1" x="412"/>
        <item m="1" x="354"/>
        <item m="1" x="261"/>
        <item m="1" x="377"/>
        <item m="1" x="502"/>
        <item m="1" x="449"/>
        <item m="1" x="479"/>
        <item m="1" x="425"/>
        <item m="1" x="328"/>
        <item m="1" x="231"/>
        <item m="1" x="446"/>
        <item m="1" x="472"/>
        <item m="1" x="237"/>
        <item m="1" x="487"/>
        <item m="1" x="241"/>
        <item m="1" x="454"/>
        <item m="1" x="276"/>
        <item m="1" x="463"/>
        <item m="1" x="491"/>
        <item m="1" x="385"/>
        <item m="1" x="496"/>
        <item m="1" x="399"/>
        <item m="1" x="310"/>
        <item m="1" x="477"/>
        <item m="1" x="380"/>
        <item m="1" x="419"/>
        <item m="1" x="476"/>
        <item m="1" x="423"/>
        <item m="1" x="493"/>
        <item m="1" x="374"/>
        <item m="1" x="426"/>
        <item m="1" x="353"/>
        <item m="1" x="445"/>
        <item m="1" x="313"/>
        <item m="1" x="370"/>
        <item m="1" x="333"/>
        <item m="1" x="401"/>
        <item m="1" x="450"/>
        <item m="1" x="350"/>
        <item m="1" x="482"/>
        <item m="1" x="485"/>
        <item m="1" x="360"/>
        <item m="1" x="371"/>
        <item m="1" x="481"/>
        <item m="1" x="263"/>
        <item m="1" x="314"/>
        <item m="1" x="497"/>
        <item m="1" x="464"/>
        <item m="1" x="290"/>
        <item m="1" x="437"/>
        <item m="1" x="309"/>
        <item m="1" x="452"/>
        <item m="1" x="316"/>
        <item m="1" x="250"/>
        <item m="1" x="418"/>
        <item m="1" x="416"/>
        <item m="1" x="494"/>
        <item m="1" x="384"/>
        <item m="1" x="300"/>
        <item m="1" x="274"/>
        <item m="1" x="480"/>
        <item m="1" x="407"/>
        <item m="1" x="465"/>
        <item m="1" x="330"/>
        <item m="1" x="455"/>
        <item m="1" x="394"/>
        <item m="1" x="490"/>
        <item m="1" x="382"/>
        <item m="1" x="406"/>
        <item m="1" x="364"/>
        <item m="1" x="413"/>
        <item m="1" x="358"/>
        <item m="1" x="436"/>
        <item m="1" x="311"/>
        <item m="1" x="324"/>
        <item m="1" x="432"/>
        <item m="1" x="292"/>
        <item m="1" x="440"/>
        <item m="1" x="378"/>
        <item m="1" x="331"/>
        <item m="1" x="405"/>
        <item m="1" x="492"/>
        <item m="1" x="294"/>
        <item m="1" x="255"/>
        <item m="1" x="298"/>
        <item m="1" x="342"/>
        <item m="1" x="478"/>
        <item m="1" x="458"/>
        <item m="1" x="272"/>
        <item m="1" x="260"/>
        <item m="1" x="277"/>
        <item m="1" x="422"/>
        <item m="1" x="447"/>
        <item m="1" x="356"/>
        <item m="1" x="301"/>
        <item m="1" x="397"/>
        <item m="1" x="456"/>
        <item m="1" x="244"/>
        <item m="1" x="431"/>
        <item m="1" x="264"/>
        <item m="1" x="285"/>
        <item m="1" x="372"/>
        <item m="1" x="466"/>
        <item m="1" x="434"/>
        <item m="1" x="297"/>
        <item m="1" x="323"/>
        <item m="1" x="338"/>
        <item m="1" x="319"/>
        <item m="1" x="355"/>
        <item m="1" x="317"/>
        <item m="1" x="503"/>
        <item m="1" x="471"/>
        <item m="1" x="305"/>
        <item m="1" x="284"/>
        <item m="1" x="312"/>
        <item m="1" x="236"/>
        <item m="1" x="265"/>
        <item m="1" x="404"/>
        <item m="1" x="278"/>
        <item m="1" x="299"/>
        <item m="1" x="258"/>
        <item m="1" x="351"/>
        <item m="1" x="256"/>
        <item m="1" x="430"/>
        <item m="1" x="474"/>
        <item m="1" x="468"/>
        <item m="1" x="489"/>
        <item m="1" x="296"/>
        <item m="1" x="400"/>
        <item m="1" x="448"/>
        <item m="1" x="460"/>
        <item m="1" x="391"/>
        <item m="1" x="275"/>
        <item m="1" x="325"/>
        <item m="1" x="375"/>
        <item m="1" x="289"/>
        <item m="1" x="332"/>
        <item m="1" x="443"/>
        <item m="1" x="408"/>
        <item m="1" x="421"/>
        <item m="1" x="291"/>
        <item m="1" x="308"/>
        <item m="1" x="23"/>
        <item m="1" x="279"/>
        <item m="1" x="306"/>
        <item m="1" x="396"/>
        <item m="1" x="428"/>
        <item m="1" x="245"/>
        <item m="1" x="288"/>
        <item m="1" x="441"/>
        <item m="1" x="229"/>
        <item m="1" x="411"/>
        <item m="1" x="253"/>
        <item m="1" x="359"/>
        <item m="1" x="361"/>
        <item m="1" x="240"/>
        <item m="1" x="247"/>
        <item m="1" x="461"/>
        <item m="1" x="373"/>
        <item m="1" x="343"/>
        <item m="1" x="415"/>
        <item m="1" x="329"/>
        <item m="1" x="483"/>
        <item m="1" x="249"/>
        <item m="1" x="435"/>
        <item m="1" x="484"/>
        <item m="1" x="386"/>
        <item m="1" x="347"/>
        <item m="1" x="387"/>
        <item m="1" x="495"/>
        <item m="1" x="500"/>
        <item m="1" x="303"/>
        <item m="1" x="322"/>
        <item m="1" x="281"/>
        <item m="1" x="376"/>
        <item m="1" x="379"/>
        <item m="1" x="248"/>
        <item m="1" x="409"/>
        <item m="1" x="234"/>
        <item m="1" x="451"/>
        <item m="1" x="302"/>
        <item m="1" x="138"/>
        <item m="1" x="336"/>
        <item m="1" x="282"/>
        <item m="1" x="348"/>
        <item m="1" x="340"/>
        <item m="1" x="390"/>
        <item m="1" x="269"/>
        <item m="1" x="320"/>
        <item m="1" x="381"/>
        <item m="1" x="473"/>
        <item m="1" x="389"/>
        <item m="1" x="427"/>
        <item x="3"/>
        <item m="1" x="283"/>
        <item m="1" x="233"/>
        <item m="1" x="393"/>
        <item m="1" x="287"/>
        <item m="1" x="402"/>
        <item m="1" x="368"/>
        <item m="1" x="486"/>
        <item m="1" x="304"/>
        <item m="1" x="327"/>
        <item m="1" x="504"/>
        <item m="1" x="257"/>
        <item m="1" x="286"/>
        <item m="1" x="398"/>
        <item m="1" x="417"/>
        <item m="1" x="266"/>
        <item m="1" x="470"/>
        <item m="1" x="341"/>
        <item m="1" x="363"/>
        <item m="1" x="239"/>
        <item m="1" x="424"/>
        <item m="1" x="501"/>
        <item m="1" x="410"/>
        <item m="1" x="365"/>
        <item m="1" x="315"/>
        <item m="1" x="337"/>
        <item m="1" x="345"/>
        <item m="1" x="270"/>
        <item m="1" x="273"/>
        <item m="1" x="488"/>
        <item m="1" x="439"/>
        <item m="1" x="429"/>
        <item m="1" x="352"/>
        <item m="1" x="499"/>
        <item m="1" x="403"/>
        <item m="1" x="293"/>
        <item m="1" x="295"/>
        <item m="1" x="362"/>
        <item m="1" x="420"/>
        <item m="1" x="346"/>
        <item m="1" x="321"/>
        <item m="1" x="242"/>
        <item m="1" x="307"/>
        <item m="1" x="462"/>
        <item m="1" x="383"/>
        <item m="1" x="392"/>
        <item m="1" x="335"/>
        <item m="1" x="238"/>
        <item m="1" x="235"/>
        <item m="1" x="475"/>
        <item m="1" x="433"/>
        <item m="1" x="438"/>
        <item m="1" x="469"/>
        <item m="1" x="367"/>
        <item m="1" x="344"/>
        <item m="1" x="252"/>
        <item m="1" x="357"/>
        <item m="1" x="243"/>
        <item m="1" x="271"/>
        <item m="1" x="339"/>
        <item m="1" x="334"/>
        <item m="1" x="280"/>
        <item m="1" x="444"/>
        <item m="1" x="349"/>
        <item m="1" x="267"/>
        <item m="1" x="189"/>
        <item m="1" x="190"/>
        <item m="1" x="191"/>
        <item m="1" x="192"/>
        <item m="1" x="193"/>
        <item m="1" x="194"/>
        <item m="1" x="195"/>
        <item m="1" x="196"/>
        <item m="1" x="197"/>
        <item m="1" x="198"/>
        <item m="1" x="199"/>
        <item m="1" x="200"/>
        <item m="1" x="201"/>
        <item m="1" x="202"/>
        <item m="1" x="203"/>
        <item m="1" x="204"/>
        <item m="1" x="205"/>
        <item m="1" x="206"/>
        <item m="1" x="207"/>
        <item m="1" x="228"/>
        <item m="1" x="230"/>
        <item m="1" x="46"/>
        <item m="1" x="47"/>
        <item m="1" x="40"/>
        <item m="1" x="226"/>
        <item m="1" x="227"/>
        <item m="1" x="51"/>
        <item m="1" x="208"/>
        <item m="1" x="209"/>
        <item m="1" x="210"/>
        <item m="1" x="211"/>
        <item m="1" x="212"/>
        <item m="1" x="213"/>
        <item m="1" x="214"/>
        <item m="1" x="39"/>
        <item m="1" x="215"/>
        <item m="1" x="216"/>
        <item m="1" x="217"/>
        <item m="1" x="71"/>
        <item m="1" x="218"/>
        <item m="1" x="219"/>
        <item m="1" x="220"/>
        <item m="1" x="221"/>
        <item m="1" x="222"/>
        <item m="1" x="223"/>
        <item m="1" x="224"/>
        <item m="1" x="225"/>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22"/>
        <item m="1" x="123"/>
        <item m="1" x="124"/>
        <item m="1" x="125"/>
        <item m="1" x="126"/>
        <item m="1" x="127"/>
        <item m="1" x="128"/>
        <item m="1" x="129"/>
        <item m="1" x="130"/>
        <item m="1" x="131"/>
        <item m="1" x="57"/>
        <item m="1" x="132"/>
        <item m="1" x="133"/>
        <item m="1" x="134"/>
        <item m="1" x="135"/>
        <item m="1" x="136"/>
        <item m="1" x="137"/>
        <item m="1" x="73"/>
        <item m="1" x="139"/>
        <item m="1" x="140"/>
        <item m="1" x="117"/>
        <item m="1" x="118"/>
        <item m="1" x="119"/>
        <item m="1" x="120"/>
        <item m="1" x="121"/>
        <item m="1" x="104"/>
        <item m="1" x="105"/>
        <item m="1" x="106"/>
        <item m="1" x="107"/>
        <item m="1" x="108"/>
        <item m="1" x="109"/>
        <item m="1" x="110"/>
        <item m="1" x="111"/>
        <item m="1" x="112"/>
        <item m="1" x="113"/>
        <item m="1" x="114"/>
        <item m="1" x="115"/>
        <item m="1" x="116"/>
        <item m="1" x="97"/>
        <item m="1" x="98"/>
        <item m="1" x="99"/>
        <item m="1" x="100"/>
        <item m="1" x="103"/>
        <item m="1" x="101"/>
        <item m="1" x="102"/>
        <item m="1" x="75"/>
        <item m="1" x="76"/>
        <item m="1" x="77"/>
        <item m="1" x="78"/>
        <item m="1" x="79"/>
        <item m="1" x="80"/>
        <item m="1" x="81"/>
        <item m="1" x="82"/>
        <item m="1" x="83"/>
        <item m="1" x="84"/>
        <item m="1" x="85"/>
        <item m="1" x="86"/>
        <item m="1" x="87"/>
        <item m="1" x="88"/>
        <item m="1" x="89"/>
        <item m="1" x="90"/>
        <item m="1" x="91"/>
        <item m="1" x="92"/>
        <item m="1" x="93"/>
        <item m="1" x="94"/>
        <item m="1" x="95"/>
        <item m="1" x="96"/>
        <item m="1" x="48"/>
        <item m="1" x="49"/>
        <item m="1" x="50"/>
        <item m="1" x="52"/>
        <item m="1" x="53"/>
        <item m="1" x="54"/>
        <item m="1" x="55"/>
        <item m="1" x="56"/>
        <item m="1" x="58"/>
        <item m="1" x="59"/>
        <item m="1" x="60"/>
        <item m="1" x="61"/>
        <item m="1" x="62"/>
        <item m="1" x="63"/>
        <item m="1" x="64"/>
        <item m="1" x="65"/>
        <item m="1" x="66"/>
        <item m="1" x="67"/>
        <item m="1" x="68"/>
        <item m="1" x="69"/>
        <item m="1" x="70"/>
        <item m="1" x="72"/>
        <item m="1" x="74"/>
        <item m="1" x="25"/>
        <item m="1" x="33"/>
        <item m="1" x="34"/>
        <item m="1" x="35"/>
        <item m="1" x="36"/>
        <item m="1" x="37"/>
        <item m="1" x="38"/>
        <item m="1" x="41"/>
        <item m="1" x="42"/>
        <item m="1" x="43"/>
        <item m="1" x="44"/>
        <item m="1" x="45"/>
        <item m="1" x="26"/>
        <item m="1" x="27"/>
        <item m="1" x="28"/>
        <item m="1" x="29"/>
        <item m="1" x="30"/>
        <item m="1" x="31"/>
        <item m="1" x="32"/>
        <item m="1" x="24"/>
        <item m="1" x="5"/>
        <item m="1" x="17"/>
        <item m="1" x="18"/>
        <item m="1" x="19"/>
        <item m="1" x="6"/>
        <item m="1" x="7"/>
        <item m="1" x="20"/>
        <item m="1" x="8"/>
        <item m="1" x="9"/>
        <item m="1" x="10"/>
        <item m="1" x="21"/>
        <item m="1" x="11"/>
        <item m="1" x="22"/>
        <item m="1" x="12"/>
        <item m="1" x="13"/>
        <item m="1" x="14"/>
        <item m="1" x="15"/>
        <item m="1" x="16"/>
        <item x="2"/>
        <item t="default"/>
      </items>
    </pivotField>
    <pivotField showAll="0"/>
    <pivotField showAll="0"/>
    <pivotField showAll="0"/>
    <pivotField showAll="0"/>
    <pivotField showAll="0"/>
    <pivotField showAll="0"/>
    <pivotField axis="axisRow" showAll="0">
      <items count="142">
        <item m="1" x="3"/>
        <item m="1" x="18"/>
        <item m="1" x="125"/>
        <item m="1" x="123"/>
        <item m="1" x="43"/>
        <item m="1" x="139"/>
        <item m="1" x="16"/>
        <item m="1" x="113"/>
        <item m="1" x="96"/>
        <item m="1" x="103"/>
        <item m="1" x="45"/>
        <item x="0"/>
        <item m="1" x="59"/>
        <item m="1" x="42"/>
        <item m="1" x="92"/>
        <item m="1" x="31"/>
        <item m="1" x="86"/>
        <item m="1" x="47"/>
        <item m="1" x="99"/>
        <item m="1" x="131"/>
        <item m="1" x="97"/>
        <item m="1" x="32"/>
        <item m="1" x="10"/>
        <item m="1" x="102"/>
        <item m="1" x="120"/>
        <item m="1" x="107"/>
        <item m="1" x="73"/>
        <item m="1" x="98"/>
        <item m="1" x="88"/>
        <item m="1" x="135"/>
        <item m="1" x="80"/>
        <item m="1" x="115"/>
        <item m="1" x="140"/>
        <item m="1" x="136"/>
        <item m="1" x="15"/>
        <item m="1" x="137"/>
        <item m="1" x="128"/>
        <item m="1" x="91"/>
        <item m="1" x="37"/>
        <item m="1" x="127"/>
        <item m="1" x="81"/>
        <item m="1" x="78"/>
        <item m="1" x="14"/>
        <item m="1" x="108"/>
        <item m="1" x="121"/>
        <item m="1" x="119"/>
        <item m="1" x="90"/>
        <item m="1" x="89"/>
        <item m="1" x="41"/>
        <item m="1" x="109"/>
        <item m="1" x="129"/>
        <item m="1" x="94"/>
        <item m="1" x="104"/>
        <item m="1" x="126"/>
        <item m="1" x="66"/>
        <item m="1" x="122"/>
        <item m="1" x="111"/>
        <item m="1" x="110"/>
        <item m="1" x="87"/>
        <item m="1" x="65"/>
        <item m="1" x="93"/>
        <item m="1" x="67"/>
        <item m="1" x="83"/>
        <item m="1" x="84"/>
        <item m="1" x="133"/>
        <item m="1" x="95"/>
        <item m="1" x="49"/>
        <item m="1" x="118"/>
        <item m="1" x="77"/>
        <item m="1" x="101"/>
        <item m="1" x="132"/>
        <item m="1" x="82"/>
        <item m="1" x="85"/>
        <item m="1" x="114"/>
        <item m="1" x="25"/>
        <item m="1" x="112"/>
        <item m="1" x="28"/>
        <item m="1" x="100"/>
        <item m="1" x="26"/>
        <item m="1" x="79"/>
        <item m="1" x="106"/>
        <item m="1" x="105"/>
        <item m="1" x="124"/>
        <item m="1" x="116"/>
        <item m="1" x="134"/>
        <item x="1"/>
        <item m="1" x="68"/>
        <item m="1" x="11"/>
        <item m="1" x="117"/>
        <item m="1" x="138"/>
        <item m="1" x="130"/>
        <item m="1" x="75"/>
        <item m="1" x="76"/>
        <item m="1" x="54"/>
        <item m="1" x="23"/>
        <item m="1" x="69"/>
        <item m="1" x="70"/>
        <item m="1" x="71"/>
        <item m="1" x="72"/>
        <item m="1" x="74"/>
        <item m="1" x="58"/>
        <item m="1" x="38"/>
        <item m="1" x="60"/>
        <item m="1" x="61"/>
        <item m="1" x="62"/>
        <item m="1" x="63"/>
        <item m="1" x="64"/>
        <item m="1" x="48"/>
        <item m="1" x="50"/>
        <item m="1" x="51"/>
        <item m="1" x="52"/>
        <item m="1" x="53"/>
        <item m="1" x="55"/>
        <item m="1" x="56"/>
        <item m="1" x="57"/>
        <item m="1" x="30"/>
        <item m="1" x="46"/>
        <item m="1" x="17"/>
        <item m="1" x="44"/>
        <item m="1" x="21"/>
        <item m="1" x="19"/>
        <item m="1" x="8"/>
        <item m="1" x="33"/>
        <item m="1" x="34"/>
        <item m="1" x="35"/>
        <item m="1" x="36"/>
        <item m="1" x="39"/>
        <item m="1" x="40"/>
        <item m="1" x="29"/>
        <item m="1" x="20"/>
        <item m="1" x="22"/>
        <item m="1" x="24"/>
        <item m="1" x="27"/>
        <item m="1" x="4"/>
        <item m="1" x="5"/>
        <item m="1" x="6"/>
        <item m="1" x="7"/>
        <item m="1" x="12"/>
        <item m="1" x="13"/>
        <item m="1" x="9"/>
        <item x="2"/>
        <item t="default"/>
      </items>
    </pivotField>
    <pivotField showAll="0"/>
    <pivotField showAll="0"/>
    <pivotField axis="axisRow" showAll="0">
      <items count="246">
        <item m="1" x="3"/>
        <item m="1" x="120"/>
        <item m="1" x="225"/>
        <item m="1" x="159"/>
        <item m="1" x="51"/>
        <item m="1" x="174"/>
        <item m="1" x="195"/>
        <item m="1" x="133"/>
        <item m="1" x="199"/>
        <item m="1" x="183"/>
        <item m="1" x="54"/>
        <item m="1" x="237"/>
        <item x="0"/>
        <item m="1" x="192"/>
        <item m="1" x="56"/>
        <item m="1" x="57"/>
        <item m="1" x="38"/>
        <item m="1" x="181"/>
        <item m="1" x="147"/>
        <item m="1" x="132"/>
        <item m="1" x="190"/>
        <item m="1" x="171"/>
        <item m="1" x="73"/>
        <item m="1" x="152"/>
        <item m="1" x="48"/>
        <item m="1" x="233"/>
        <item m="1" x="134"/>
        <item m="1" x="12"/>
        <item m="1" x="210"/>
        <item m="1" x="209"/>
        <item m="1" x="34"/>
        <item m="1" x="175"/>
        <item m="1" x="179"/>
        <item m="1" x="30"/>
        <item m="1" x="151"/>
        <item m="1" x="242"/>
        <item m="1" x="39"/>
        <item m="1" x="82"/>
        <item m="1" x="214"/>
        <item m="1" x="223"/>
        <item m="1" x="176"/>
        <item m="1" x="144"/>
        <item m="1" x="185"/>
        <item m="1" x="158"/>
        <item m="1" x="231"/>
        <item m="1" x="208"/>
        <item m="1" x="150"/>
        <item m="1" x="203"/>
        <item m="1" x="157"/>
        <item m="1" x="216"/>
        <item m="1" x="143"/>
        <item m="1" x="163"/>
        <item m="1" x="234"/>
        <item m="1" x="129"/>
        <item m="1" x="202"/>
        <item m="1" x="164"/>
        <item m="1" x="232"/>
        <item m="1" x="197"/>
        <item m="1" x="224"/>
        <item m="1" x="165"/>
        <item m="1" x="68"/>
        <item m="1" x="121"/>
        <item m="1" x="167"/>
        <item m="1" x="162"/>
        <item m="1" x="135"/>
        <item m="1" x="222"/>
        <item m="1" x="177"/>
        <item m="1" x="228"/>
        <item m="1" x="204"/>
        <item m="1" x="153"/>
        <item m="1" x="53"/>
        <item m="1" x="184"/>
        <item m="1" x="241"/>
        <item m="1" x="200"/>
        <item m="1" x="148"/>
        <item m="1" x="220"/>
        <item m="1" x="130"/>
        <item m="1" x="226"/>
        <item m="1" x="239"/>
        <item m="1" x="154"/>
        <item m="1" x="186"/>
        <item m="1" x="145"/>
        <item m="1" x="137"/>
        <item m="1" x="217"/>
        <item m="1" x="168"/>
        <item m="1" x="219"/>
        <item m="1" x="196"/>
        <item m="1" x="117"/>
        <item m="1" x="64"/>
        <item m="1" x="128"/>
        <item m="1" x="221"/>
        <item m="1" x="166"/>
        <item m="1" x="139"/>
        <item m="1" x="149"/>
        <item m="1" x="172"/>
        <item m="1" x="205"/>
        <item m="1" x="218"/>
        <item m="1" x="227"/>
        <item m="1" x="213"/>
        <item m="1" x="211"/>
        <item m="1" x="36"/>
        <item m="1" x="201"/>
        <item m="1" x="63"/>
        <item m="1" x="215"/>
        <item m="1" x="244"/>
        <item m="1" x="180"/>
        <item m="1" x="155"/>
        <item m="1" x="141"/>
        <item m="1" x="32"/>
        <item m="1" x="240"/>
        <item x="2"/>
        <item m="1" x="187"/>
        <item m="1" x="58"/>
        <item m="1" x="188"/>
        <item m="1" x="173"/>
        <item m="1" x="169"/>
        <item m="1" x="207"/>
        <item m="1" x="142"/>
        <item m="1" x="198"/>
        <item m="1" x="178"/>
        <item m="1" x="230"/>
        <item m="1" x="235"/>
        <item m="1" x="161"/>
        <item m="1" x="206"/>
        <item m="1" x="243"/>
        <item m="1" x="140"/>
        <item m="1" x="229"/>
        <item m="1" x="160"/>
        <item m="1" x="138"/>
        <item m="1" x="236"/>
        <item m="1" x="212"/>
        <item m="1" x="62"/>
        <item m="1" x="193"/>
        <item m="1" x="131"/>
        <item m="1" x="189"/>
        <item m="1" x="156"/>
        <item m="1" x="146"/>
        <item m="1" x="170"/>
        <item m="1" x="194"/>
        <item m="1" x="136"/>
        <item m="1" x="238"/>
        <item m="1" x="191"/>
        <item m="1" x="182"/>
        <item m="1" x="55"/>
        <item m="1" x="110"/>
        <item m="1" x="111"/>
        <item m="1" x="112"/>
        <item m="1" x="113"/>
        <item m="1" x="114"/>
        <item m="1" x="115"/>
        <item m="1" x="127"/>
        <item m="1" x="35"/>
        <item m="1" x="60"/>
        <item m="1" x="15"/>
        <item m="1" x="116"/>
        <item m="1" x="28"/>
        <item m="1" x="118"/>
        <item m="1" x="119"/>
        <item m="1" x="29"/>
        <item m="1" x="122"/>
        <item m="1" x="123"/>
        <item m="1" x="124"/>
        <item m="1" x="125"/>
        <item m="1" x="126"/>
        <item m="1" x="13"/>
        <item m="1" x="88"/>
        <item m="1" x="89"/>
        <item m="1" x="90"/>
        <item m="1" x="91"/>
        <item m="1" x="92"/>
        <item m="1" x="93"/>
        <item m="1" x="94"/>
        <item m="1" x="95"/>
        <item m="1" x="44"/>
        <item m="1" x="96"/>
        <item m="1" x="97"/>
        <item m="1" x="98"/>
        <item m="1" x="47"/>
        <item m="1" x="99"/>
        <item m="1" x="100"/>
        <item m="1" x="101"/>
        <item m="1" x="102"/>
        <item m="1" x="103"/>
        <item m="1" x="104"/>
        <item m="1" x="105"/>
        <item m="1" x="106"/>
        <item m="1" x="107"/>
        <item m="1" x="108"/>
        <item m="1" x="109"/>
        <item m="1" x="76"/>
        <item m="1" x="77"/>
        <item m="1" x="78"/>
        <item m="1" x="79"/>
        <item m="1" x="80"/>
        <item m="1" x="81"/>
        <item m="1" x="43"/>
        <item m="1" x="83"/>
        <item m="1" x="84"/>
        <item m="1" x="85"/>
        <item m="1" x="86"/>
        <item m="1" x="87"/>
        <item m="1" x="74"/>
        <item m="1" x="75"/>
        <item m="1" x="66"/>
        <item m="1" x="67"/>
        <item m="1" x="69"/>
        <item m="1" x="70"/>
        <item m="1" x="71"/>
        <item m="1" x="72"/>
        <item m="1" x="21"/>
        <item m="1" x="65"/>
        <item m="1" x="20"/>
        <item m="1" x="59"/>
        <item m="1" x="61"/>
        <item m="1" x="23"/>
        <item m="1" x="37"/>
        <item m="1" x="6"/>
        <item m="1" x="40"/>
        <item m="1" x="41"/>
        <item m="1" x="42"/>
        <item m="1" x="45"/>
        <item m="1" x="46"/>
        <item m="1" x="49"/>
        <item m="1" x="50"/>
        <item m="1" x="52"/>
        <item m="1" x="19"/>
        <item m="1" x="24"/>
        <item m="1" x="25"/>
        <item m="1" x="26"/>
        <item m="1" x="27"/>
        <item m="1" x="31"/>
        <item m="1" x="33"/>
        <item m="1" x="22"/>
        <item x="1"/>
        <item m="1" x="4"/>
        <item m="1" x="14"/>
        <item m="1" x="5"/>
        <item m="1" x="7"/>
        <item m="1" x="8"/>
        <item m="1" x="16"/>
        <item m="1" x="9"/>
        <item m="1" x="17"/>
        <item m="1" x="10"/>
        <item m="1" x="11"/>
        <item m="1" x="18"/>
        <item t="default"/>
      </items>
    </pivotField>
    <pivotField showAll="0"/>
    <pivotField axis="axisRow" showAll="0">
      <items count="199">
        <item x="1"/>
        <item m="1" x="17"/>
        <item m="1" x="130"/>
        <item m="1" x="167"/>
        <item m="1" x="180"/>
        <item m="1" x="131"/>
        <item m="1" x="117"/>
        <item m="1" x="36"/>
        <item x="0"/>
        <item m="1" x="50"/>
        <item m="1" x="127"/>
        <item m="1" x="154"/>
        <item m="1" x="85"/>
        <item m="1" x="93"/>
        <item m="1" x="183"/>
        <item m="1" x="176"/>
        <item m="1" x="148"/>
        <item m="1" x="149"/>
        <item m="1" x="41"/>
        <item m="1" x="38"/>
        <item m="1" x="123"/>
        <item m="1" x="104"/>
        <item m="1" x="191"/>
        <item m="1" x="71"/>
        <item m="1" x="88"/>
        <item m="1" x="87"/>
        <item m="1" x="170"/>
        <item m="1" x="141"/>
        <item m="1" x="109"/>
        <item m="1" x="103"/>
        <item m="1" x="166"/>
        <item m="1" x="122"/>
        <item m="1" x="73"/>
        <item m="1" x="89"/>
        <item m="1" x="197"/>
        <item m="1" x="172"/>
        <item m="1" x="179"/>
        <item m="1" x="18"/>
        <item m="1" x="169"/>
        <item m="1" x="102"/>
        <item m="1" x="119"/>
        <item m="1" x="151"/>
        <item m="1" x="13"/>
        <item m="1" x="192"/>
        <item m="1" x="128"/>
        <item m="1" x="124"/>
        <item m="1" x="168"/>
        <item m="1" x="106"/>
        <item m="1" x="116"/>
        <item m="1" x="132"/>
        <item m="1" x="121"/>
        <item m="1" x="195"/>
        <item m="1" x="97"/>
        <item m="1" x="115"/>
        <item m="1" x="126"/>
        <item m="1" x="96"/>
        <item m="1" x="79"/>
        <item m="1" x="90"/>
        <item m="1" x="162"/>
        <item m="1" x="185"/>
        <item m="1" x="120"/>
        <item m="1" x="101"/>
        <item m="1" x="173"/>
        <item m="1" x="156"/>
        <item m="1" x="145"/>
        <item m="1" x="194"/>
        <item m="1" x="75"/>
        <item m="1" x="165"/>
        <item m="1" x="105"/>
        <item m="1" x="177"/>
        <item m="1" x="186"/>
        <item m="1" x="112"/>
        <item m="1" x="111"/>
        <item m="1" x="118"/>
        <item m="1" x="113"/>
        <item m="1" x="152"/>
        <item m="1" x="161"/>
        <item m="1" x="144"/>
        <item m="1" x="146"/>
        <item m="1" x="91"/>
        <item m="1" x="155"/>
        <item m="1" x="129"/>
        <item m="1" x="8"/>
        <item m="1" x="147"/>
        <item m="1" x="133"/>
        <item m="1" x="142"/>
        <item m="1" x="158"/>
        <item m="1" x="125"/>
        <item m="1" x="135"/>
        <item m="1" x="160"/>
        <item m="1" x="188"/>
        <item m="1" x="171"/>
        <item m="1" x="150"/>
        <item m="1" x="143"/>
        <item m="1" x="175"/>
        <item m="1" x="193"/>
        <item m="1" x="108"/>
        <item m="1" x="137"/>
        <item m="1" x="159"/>
        <item m="1" x="95"/>
        <item m="1" x="80"/>
        <item m="1" x="182"/>
        <item m="1" x="196"/>
        <item m="1" x="174"/>
        <item m="1" x="114"/>
        <item m="1" x="139"/>
        <item m="1" x="184"/>
        <item m="1" x="189"/>
        <item m="1" x="178"/>
        <item m="1" x="92"/>
        <item m="1" x="140"/>
        <item m="1" x="190"/>
        <item m="1" x="110"/>
        <item m="1" x="100"/>
        <item m="1" x="187"/>
        <item m="1" x="181"/>
        <item m="1" x="163"/>
        <item m="1" x="138"/>
        <item m="1" x="164"/>
        <item m="1" x="157"/>
        <item m="1" x="153"/>
        <item m="1" x="136"/>
        <item m="1" x="99"/>
        <item m="1" x="98"/>
        <item m="1" x="107"/>
        <item m="1" x="134"/>
        <item m="1" x="94"/>
        <item m="1" x="63"/>
        <item m="1" x="64"/>
        <item m="1" x="65"/>
        <item m="1" x="66"/>
        <item m="1" x="67"/>
        <item m="1" x="68"/>
        <item m="1" x="69"/>
        <item m="1" x="70"/>
        <item m="1" x="84"/>
        <item m="1" x="86"/>
        <item m="1" x="16"/>
        <item m="1" x="82"/>
        <item m="1" x="83"/>
        <item m="1" x="72"/>
        <item m="1" x="12"/>
        <item m="1" x="74"/>
        <item m="1" x="76"/>
        <item m="1" x="77"/>
        <item m="1" x="78"/>
        <item m="1" x="81"/>
        <item m="1" x="49"/>
        <item m="1" x="51"/>
        <item m="1" x="52"/>
        <item m="1" x="53"/>
        <item m="1" x="54"/>
        <item m="1" x="55"/>
        <item m="1" x="56"/>
        <item m="1" x="57"/>
        <item m="1" x="58"/>
        <item m="1" x="59"/>
        <item m="1" x="60"/>
        <item m="1" x="61"/>
        <item m="1" x="62"/>
        <item m="1" x="43"/>
        <item m="1" x="44"/>
        <item m="1" x="45"/>
        <item m="1" x="46"/>
        <item m="1" x="31"/>
        <item m="1" x="47"/>
        <item m="1" x="48"/>
        <item m="1" x="39"/>
        <item m="1" x="40"/>
        <item m="1" x="42"/>
        <item m="1" x="33"/>
        <item m="1" x="34"/>
        <item m="1" x="35"/>
        <item m="1" x="37"/>
        <item m="1" x="32"/>
        <item m="1" x="23"/>
        <item m="1" x="24"/>
        <item m="1" x="25"/>
        <item m="1" x="26"/>
        <item m="1" x="27"/>
        <item m="1" x="28"/>
        <item m="1" x="29"/>
        <item m="1" x="30"/>
        <item m="1" x="19"/>
        <item m="1" x="20"/>
        <item m="1" x="21"/>
        <item m="1" x="22"/>
        <item m="1" x="6"/>
        <item m="1" x="10"/>
        <item m="1" x="11"/>
        <item m="1" x="14"/>
        <item m="1" x="15"/>
        <item m="1" x="7"/>
        <item m="1" x="9"/>
        <item m="1" x="3"/>
        <item m="1" x="2"/>
        <item m="1" x="4"/>
        <item m="1" x="5"/>
        <item t="default"/>
      </items>
    </pivotField>
    <pivotField showAll="0"/>
    <pivotField showAll="0"/>
    <pivotField showAll="0"/>
    <pivotField showAll="0"/>
    <pivotField showAll="0"/>
    <pivotField showAll="0"/>
    <pivotField showAll="0"/>
  </pivotFields>
  <rowFields count="4">
    <field x="8"/>
    <field x="11"/>
    <field x="13"/>
    <field x="1"/>
  </rowFields>
  <rowItems count="14">
    <i>
      <x v="11"/>
    </i>
    <i r="1">
      <x v="12"/>
    </i>
    <i r="2">
      <x v="8"/>
    </i>
    <i r="3">
      <x v="12"/>
    </i>
    <i r="3">
      <x v="15"/>
    </i>
    <i>
      <x v="85"/>
    </i>
    <i r="1">
      <x v="233"/>
    </i>
    <i r="2">
      <x/>
    </i>
    <i r="3">
      <x v="504"/>
    </i>
    <i>
      <x v="140"/>
    </i>
    <i r="1">
      <x v="110"/>
    </i>
    <i r="2">
      <x/>
    </i>
    <i r="3">
      <x v="21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81BBD4-2DB8-4A00-9D79-361277FAC6B6}" name="tblPMs" displayName="tblPMs" ref="A10:B12" totalsRowShown="0">
  <autoFilter ref="A10:B12" xr:uid="{8A81BBD4-2DB8-4A00-9D79-361277FAC6B6}"/>
  <tableColumns count="2">
    <tableColumn id="1" xr3:uid="{431DA58B-C3B4-4C2C-81C9-5D81E32E5296}" name="PMs Names"/>
    <tableColumn id="2" xr3:uid="{5CC241CE-9CDF-49C0-847C-540E7437074F}" name="PMs email" dataCellStyle="Hyperlink">
      <calculatedColumnFormula>LOWER(_xlfn.TEXTBEFORE(tblPMs[[#This Row],[PMs Names]], " ", 1) &amp; "." &amp; _xlfn.TEXTAFTER(tblPMs[[#This Row],[PMs Names]], " ", -1) &amp; "@kyndryl.com")</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C8B4EF-2A32-477C-8FC2-8A910EA7E0AA}" name="tblAppSum" displayName="tblAppSum" ref="A2:Y13" headerRowDxfId="509" dataDxfId="507" headerRowBorderDxfId="508" tableBorderDxfId="506">
  <autoFilter ref="A2:Y13" xr:uid="{434BD3CE-51D8-4DFD-B000-10B2A20414DB}"/>
  <sortState xmlns:xlrd2="http://schemas.microsoft.com/office/spreadsheetml/2017/richdata2" ref="A3:Y13">
    <sortCondition ref="A3:A13"/>
  </sortState>
  <tableColumns count="25">
    <tableColumn id="1" xr3:uid="{2EA93F78-A511-4636-B348-DA82FDA965B9}" name="Supported Application" totalsRowFunction="custom" dataDxfId="505" totalsRowDxfId="504">
      <totalsRowFormula>CONCATENATE("Total Apps: ",COUNTIFS(tblAppSum[TOTAL-OS],"&gt;0"))</totalsRowFormula>
    </tableColumn>
    <tableColumn id="2" xr3:uid="{E5379C42-0A6A-43F8-BC25-795F7FFE20BE}" name="AIX-LPAR" totalsRowFunction="sum" dataDxfId="503" totalsRowDxfId="502">
      <calculatedColumnFormula>_xlfn.LET(_xlpm.AppCount,COUNTIFS(tblPMView[Scope],"",tblPMView[Application],tblAppSum[[#This Row],[Supported Application]],tblPMView[Device Type],B$2),IF(_xlpm.AppCount=0,"",_xlpm.AppCount))</calculatedColumnFormula>
    </tableColumn>
    <tableColumn id="3" xr3:uid="{244C4C22-7CD7-431A-8539-3E6D8365ACDE}" name="Linux-VM-Power" totalsRowFunction="sum" dataDxfId="501" totalsRowDxfId="500">
      <calculatedColumnFormula>_xlfn.LET(_xlpm.AppCount,COUNTIFS(tblPMView[Scope],"",tblPMView[Application],tblAppSum[[#This Row],[Supported Application]],tblPMView[Device Type],C$2),IF(_xlpm.AppCount=0,"",_xlpm.AppCount))</calculatedColumnFormula>
    </tableColumn>
    <tableColumn id="26" xr3:uid="{722C7A8C-9B19-4D61-AF04-F955DF2F24E7}" name="Server" totalsRowFunction="sum" dataDxfId="499" totalsRowDxfId="498">
      <calculatedColumnFormula>_xlfn.LET(_xlpm.AppCount,COUNTIFS(tblPMView[Scope],"",tblPMView[Application],tblAppSum[[#This Row],[Supported Application]],tblPMView[Device Type],D$2),IF(_xlpm.AppCount=0,"",_xlpm.AppCount))</calculatedColumnFormula>
    </tableColumn>
    <tableColumn id="4" xr3:uid="{51FD6A50-749B-4F94-AB89-B4C23C18CBC8}" name="VM" totalsRowFunction="sum" dataDxfId="497" totalsRowDxfId="496">
      <calculatedColumnFormula>_xlfn.LET(_xlpm.AppCount,COUNTIFS(tblPMView[Scope],"",tblPMView[Application],tblAppSum[[#This Row],[Supported Application]],tblPMView[Device Type],E$2),IF(_xlpm.AppCount=0,"",_xlpm.AppCount))</calculatedColumnFormula>
    </tableColumn>
    <tableColumn id="28" xr3:uid="{5DCCA95C-927D-47F5-A949-641210AB3C9F}" name="Oth-Dev" totalsRowFunction="sum" dataDxfId="495" totalsRowDxfId="494">
      <calculatedColumnFormula>_xlfn.LET(_xlpm.AppCount,COUNTIFS(tblPMView[Scope],"",tblPMView[Application],tblAppSum[[#This Row],[Supported Application]])-SUM(tblAppSum[[#This Row],[AIX-LPAR]:[VM]]),IF(_xlpm.AppCount=0,"",_xlpm.AppCount))</calculatedColumnFormula>
    </tableColumn>
    <tableColumn id="5" xr3:uid="{B7D49367-2F27-49EE-905B-AD894728BF7C}" name="AIX" totalsRowFunction="sum" dataDxfId="493" totalsRowDxfId="492">
      <calculatedColumnFormula>_xlfn.LET(_xlpm.AppCount,COUNTIFS(tblPMView[Scope],"",tblPMView[Application],tblAppSum[[#This Row],[Supported Application]],tblPMView[OS],G$2),IF(_xlpm.AppCount=0,"",_xlpm.AppCount))</calculatedColumnFormula>
    </tableColumn>
    <tableColumn id="27" xr3:uid="{4C7932C0-CFA4-4DFD-A404-E342F01C99CD}" name="PwrLnx" totalsRowFunction="sum" dataDxfId="491" totalsRowDxfId="490">
      <calculatedColumnFormula>_xlfn.LET(_xlpm.AppCount,COUNTIFS(tblPMView[Scope],"",tblPMView[Application],tblAppSum[[#This Row],[Supported Application]],tblPMView[OS],H$2),IF(_xlpm.AppCount=0,"",_xlpm.AppCount))</calculatedColumnFormula>
    </tableColumn>
    <tableColumn id="6" xr3:uid="{3ED57DEF-D0C2-4088-BE3F-E0AB4A375B7B}" name="Linux" totalsRowFunction="sum" dataDxfId="489" totalsRowDxfId="488">
      <calculatedColumnFormula>_xlfn.LET(_xlpm.AppCount,COUNTIFS(tblPMView[Scope],"",tblPMView[Application],tblAppSum[[#This Row],[Supported Application]],tblPMView[OS],I$2),IF(_xlpm.AppCount=0,"",_xlpm.AppCount))</calculatedColumnFormula>
    </tableColumn>
    <tableColumn id="7" xr3:uid="{D8E696C6-9596-40B4-8EF0-F9960439D6AB}" name="MS Win" totalsRowFunction="sum" dataDxfId="487" totalsRowDxfId="486">
      <calculatedColumnFormula>_xlfn.LET(_xlpm.AppCount,COUNTIFS(tblPMView[Scope],"",tblPMView[Scope],"",tblPMView[Scope],"",tblPMView[Application],tblAppSum[[#This Row],[Supported Application]],tblPMView[OS],J$2),IF(_xlpm.AppCount=0,"",_xlpm.AppCount))</calculatedColumnFormula>
    </tableColumn>
    <tableColumn id="8" xr3:uid="{10B1B129-5175-458A-8D57-34A1A956228E}" name="OSCP" totalsRowFunction="sum" dataDxfId="485" totalsRowDxfId="484">
      <calculatedColumnFormula>_xlfn.LET(_xlpm.AppCount,COUNTIFS(tblPMView[Scope],"",tblPMView[Application],tblAppSum[[#This Row],[Supported Application]],tblPMView[OS],K$2),IF(_xlpm.AppCount=0,"",_xlpm.AppCount))</calculatedColumnFormula>
    </tableColumn>
    <tableColumn id="9" xr3:uid="{39AF1F48-12CA-407E-97EB-D07A12AFBF00}" name="RHEL" totalsRowFunction="sum" dataDxfId="483" totalsRowDxfId="482">
      <calculatedColumnFormula>_xlfn.LET(_xlpm.AppCount,COUNTIFS(tblPMView[Scope],"",tblPMView[Application],tblAppSum[[#This Row],[Supported Application]],tblPMView[OS],L$2),IF(_xlpm.AppCount=0,"",_xlpm.AppCount))</calculatedColumnFormula>
    </tableColumn>
    <tableColumn id="11" xr3:uid="{2DCF305A-03D5-4ADC-AFC2-6738A44A25CD}" name="Other-OS" totalsRowFunction="sum" dataDxfId="481" totalsRowDxfId="480">
      <calculatedColumnFormula>_xlfn.LET(_xlpm.AppCount,COUNTIFS(tblPMView[Scope],"",tblPMView[Application],tblAppSum[[#This Row],[Supported Application]])-SUM(tblAppSum[[#This Row],[AIX]:[RHEL]]),IF(_xlpm.AppCount=0,"",_xlpm.AppCount))</calculatedColumnFormula>
    </tableColumn>
    <tableColumn id="12" xr3:uid="{F26D91C3-67A9-4492-A4C8-36ACD683A326}" name="TOTAL-OS" totalsRowFunction="sum" dataDxfId="479" totalsRowDxfId="478">
      <calculatedColumnFormula>SUM(tblAppSum[[#This Row],[AIX]:[Other-OS]])</calculatedColumnFormula>
    </tableColumn>
    <tableColumn id="13" xr3:uid="{19B6189B-5A06-408A-8705-59876FDFEF8D}" name="DB2" totalsRowFunction="sum" dataDxfId="477" totalsRowDxfId="476">
      <calculatedColumnFormula>_xlfn.LET(_xlpm.AppCount,COUNTIFS(tblPMView[Scope],"",tblPMView[Application],tblAppSum[[#This Row],[Supported Application]],tblPMView[DB],O$2),IF(_xlpm.AppCount=0,"",_xlpm.AppCount))</calculatedColumnFormula>
    </tableColumn>
    <tableColumn id="14" xr3:uid="{AE54B614-56C6-4ECE-8287-F062EDD0648A}" name="MDB" totalsRowFunction="sum" dataDxfId="475" totalsRowDxfId="474">
      <calculatedColumnFormula>_xlfn.LET(_xlpm.AppCount,COUNTIFS(tblPMView[Scope],"",tblPMView[Application],tblAppSum[[#This Row],[Supported Application]],tblPMView[DB],P$2),IF(_xlpm.AppCount=0,"",_xlpm.AppCount))</calculatedColumnFormula>
    </tableColumn>
    <tableColumn id="15" xr3:uid="{D5C153F2-30BC-4F62-973C-2D4B8D05744F}" name="ORA" totalsRowFunction="sum" dataDxfId="473" totalsRowDxfId="472">
      <calculatedColumnFormula>_xlfn.LET(_xlpm.AppCount,COUNTIFS(tblPMView[Scope],"",tblPMView[Application],tblAppSum[[#This Row],[Supported Application]],tblPMView[DB],Q$2),IF(_xlpm.AppCount=0,"",_xlpm.AppCount))</calculatedColumnFormula>
    </tableColumn>
    <tableColumn id="16" xr3:uid="{C439E86C-C684-4453-A21E-0BA3D2131C39}" name="SQL" totalsRowFunction="sum" dataDxfId="471" totalsRowDxfId="470">
      <calculatedColumnFormula>_xlfn.LET(_xlpm.AppCount,COUNTIFS(tblPMView[Scope],"",tblPMView[Application],tblAppSum[[#This Row],[Supported Application]],tblPMView[DB],R$2),IF(_xlpm.AppCount=0,"",_xlpm.AppCount))</calculatedColumnFormula>
    </tableColumn>
    <tableColumn id="17" xr3:uid="{614E1E55-7FE5-4AAB-8FA4-AD4AEF557345}" name="SYB" totalsRowFunction="sum" dataDxfId="469" totalsRowDxfId="468">
      <calculatedColumnFormula>_xlfn.LET(_xlpm.AppCount,COUNTIFS(tblPMView[Scope],"",tblPMView[Application],tblAppSum[[#This Row],[Supported Application]],tblPMView[DB],S$2),IF(_xlpm.AppCount=0,"",_xlpm.AppCount))</calculatedColumnFormula>
    </tableColumn>
    <tableColumn id="18" xr3:uid="{DB4D736F-2FD3-4B70-8207-6C062221224A}" name="UDB" totalsRowFunction="sum" dataDxfId="467" totalsRowDxfId="466">
      <calculatedColumnFormula>_xlfn.LET(_xlpm.AppCount,COUNTIFS(tblPMView[Scope],"",tblPMView[Application],tblAppSum[[#This Row],[Supported Application]],tblPMView[DB],T$2),IF(_xlpm.AppCount=0,"",_xlpm.AppCount))</calculatedColumnFormula>
    </tableColumn>
    <tableColumn id="19" xr3:uid="{C21E9E23-8600-409E-A255-80CFC3C67DC8}" name="Other-DB" totalsRowFunction="sum" dataDxfId="465" totalsRowDxfId="464">
      <calculatedColumnFormula>IFERROR(_xlfn.LET(_xlpm.DBCount,COUNTIFS(tblPMView[Scope],"",tblPMView[Application],tblAppSum[[#This Row],[Supported Application]],tblPMView[DB],"&gt; "),IF(_xlpm.DBCount=0,"",_xlpm.DBCount))-SUM(tblAppSum[[#This Row],[DB2]:[UDB]]),"")</calculatedColumnFormula>
    </tableColumn>
    <tableColumn id="20" xr3:uid="{F54E2F5B-931E-4527-8524-18FA031CAA55}" name="TOTAL-DB" totalsRowFunction="sum" dataDxfId="463" totalsRowDxfId="462">
      <calculatedColumnFormula>SUM(tblAppSum[[#This Row],[DB2]:[Other-DB]])</calculatedColumnFormula>
    </tableColumn>
    <tableColumn id="21" xr3:uid="{ABED56BE-E9DF-4B49-B3D0-A27BB4CDC577}" name="No CS" totalsRowFunction="sum" dataDxfId="461" totalsRowDxfId="460">
      <calculatedColumnFormula>_xlfn.LET(_xlpm.CSCount,COUNTIFS(tblPMView[Scope],"",tblPMView[Application],tblAppSum[[#This Row],[Supported Application]],tblPMView[CS],"&lt;&gt;Yes"),IF(_xlpm.CSCount=0,"",_xlpm.CSCount))</calculatedColumnFormula>
    </tableColumn>
    <tableColumn id="22" xr3:uid="{25632BDA-A59D-4806-9F84-406AE861F239}" name="DMZ" totalsRowFunction="sum" dataDxfId="459" totalsRowDxfId="458">
      <calculatedColumnFormula>_xlfn.LET(_xlpm.DMZCount,COUNTIFS(tblPMView[Scope],"",tblPMView[Application],tblAppSum[[#This Row],[Supported Application]],tblPMView[DMZ],"Yes"),IF(_xlpm.DMZCount=0,"",_xlpm.DMZCount))</calculatedColumnFormula>
    </tableColumn>
    <tableColumn id="23" xr3:uid="{B29E7F5D-ECC8-428E-BC71-DE0A7524A17D}" name="F5/LB" totalsRowFunction="sum" dataDxfId="457" totalsRowDxfId="456">
      <calculatedColumnFormula>_xlfn.LET(_xlpm.F5Count,COUNTIFS(tblPMView[Scope],"",tblPMView[Application],tblAppSum[[#This Row],[Supported Application]],tblPMView[LB],"&lt;=Yes"),IF(_xlpm.F5Count=0,"",_xlpm.F5Count))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D688826-2582-43E4-8E6D-21D8628BDB7F}" name="tblCSDist" displayName="tblCSDist" ref="H17:J26" totalsRowCount="1" headerRowDxfId="455">
  <autoFilter ref="H17:J25" xr:uid="{1D688826-2582-43E4-8E6D-21D8628BDB7F}"/>
  <tableColumns count="3">
    <tableColumn id="1" xr3:uid="{8A72458B-C7B2-4467-BEC4-5D27F407A999}" name="CS Status" totalsRowLabel="Total" dataDxfId="454" totalsRowDxfId="453"/>
    <tableColumn id="2" xr3:uid="{63C27C42-EAF5-42E2-8F83-2F5FCDE3DAAE}" name="Qty" totalsRowFunction="sum" dataDxfId="452" totalsRowDxfId="451">
      <calculatedColumnFormula>COUNTIF(tblTM[device_custom33],tblCSDist[[#This Row],[CS Status]])</calculatedColumnFormula>
    </tableColumn>
    <tableColumn id="3" xr3:uid="{D59FD5DA-1079-4829-8166-E6B2FE2794A8}" name="Pct" totalsRowFunction="sum" dataDxfId="450" totalsRowDxfId="449" dataCellStyle="Percent">
      <calculatedColumnFormula>tblCSDist[[#This Row],[Qty]]/tblCSDist[[#Totals],[Qty]]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99FD67-A67E-4E1E-B27C-9ED61053133B}" name="tblAppSumTot" displayName="tblAppSumTot" ref="A14:Y15" headerRowBorderDxfId="448" tableBorderDxfId="447" totalsRowBorderDxfId="446">
  <autoFilter ref="A14:Y15" xr:uid="{4699FD67-A67E-4E1E-B27C-9ED61053133B}"/>
  <tableColumns count="25">
    <tableColumn id="1" xr3:uid="{757F376A-AAFC-40B0-A5AE-E3C329C3AC8C}" name="Applications" dataDxfId="445" totalsRowDxfId="444">
      <calculatedColumnFormula>ROWS(tblAppSum[Supported Application])</calculatedColumnFormula>
    </tableColumn>
    <tableColumn id="2" xr3:uid="{ADB6F868-555D-458C-83B4-185968F08002}" name="AIX-LPAR" dataDxfId="443" totalsRowDxfId="442">
      <calculatedColumnFormula>_xlfn.LET(_xlpm.AppCount,COUNTIFS(tblTM[device_assetType],B$2),IF(_xlpm.AppCount=0,"",_xlpm.AppCount))</calculatedColumnFormula>
    </tableColumn>
    <tableColumn id="3" xr3:uid="{F5DB0821-E142-415A-8697-AD4A9C310B8B}" name="Linux-VM-Power" dataDxfId="441" totalsRowDxfId="440">
      <calculatedColumnFormula>_xlfn.LET(_xlpm.AppCount,COUNTIFS(tblTM[device_assetType],C$2),IF(_xlpm.AppCount=0,"",_xlpm.AppCount))</calculatedColumnFormula>
    </tableColumn>
    <tableColumn id="4" xr3:uid="{5D7E1091-6040-4DEB-8FC7-84A1FC79B1E7}" name="Server" dataDxfId="439" totalsRowDxfId="438">
      <calculatedColumnFormula>_xlfn.LET(_xlpm.AppCount,COUNTIFS(tblTM[device_assetType],D$2),IF(_xlpm.AppCount=0,"",_xlpm.AppCount))</calculatedColumnFormula>
    </tableColumn>
    <tableColumn id="5" xr3:uid="{0ADACF78-AA96-496D-89C5-5F31ECA5201A}" name="VM" dataDxfId="437" totalsRowDxfId="436">
      <calculatedColumnFormula>_xlfn.LET(_xlpm.AppCount,COUNTIFS(tblTM[device_assetType],E$2),IF(_xlpm.AppCount=0,"",_xlpm.AppCount))</calculatedColumnFormula>
    </tableColumn>
    <tableColumn id="6" xr3:uid="{6A36A7D5-0B03-47C2-8AD2-84FD75776F43}" name="Oth-Dev" dataDxfId="435" totalsRowDxfId="434">
      <calculatedColumnFormula>_xlfn.LET(_xlpm.AppCount,ROWS(tblTM[common_assetName])-SUM(AppSum!$B15:$E15),IF(_xlpm.AppCount=0,"",_xlpm.AppCount))</calculatedColumnFormula>
    </tableColumn>
    <tableColumn id="7" xr3:uid="{0641FA0E-B5A3-47A7-80F9-E26AE2153A5E}" name="AIX" dataDxfId="433" totalsRowDxfId="432">
      <calculatedColumnFormula>_xlfn.LET(_xlpm.AppCount,COUNTIFS(tblTM[device_os],G$2),IF(_xlpm.AppCount=0,"",_xlpm.AppCount))</calculatedColumnFormula>
    </tableColumn>
    <tableColumn id="8" xr3:uid="{9B219688-0BB1-4155-80C4-2AD28825D062}" name="Power Linux" dataDxfId="431" totalsRowDxfId="430">
      <calculatedColumnFormula>_xlfn.LET(_xlpm.AppCount,COUNTIFS(tblTM[device_os],AppSum!$H$14),IF(_xlpm.AppCount=0,"",_xlpm.AppCount))</calculatedColumnFormula>
    </tableColumn>
    <tableColumn id="9" xr3:uid="{E3FEF97A-A56C-4D2D-B8DD-797BB79C7A15}" name="Linux" dataDxfId="429" totalsRowDxfId="428">
      <calculatedColumnFormula>_xlfn.LET(_xlpm.AppCount,COUNTIF(tblTM[device_os],"*Linux*")-COUNTIF(tblTM[device_os],"*Linux Red*")-(COUNTIFS(tblTM[device_custom31],"*Red*")+COUNTIFS(tblTM[device_custom31],"*OpenShift*")),IF(_xlpm.AppCount=0,"",_xlpm.AppCount))</calculatedColumnFormula>
    </tableColumn>
    <tableColumn id="10" xr3:uid="{4C5775B1-94AE-46DB-84F6-1C2FEF3F756B}" name="MS Win" dataDxfId="427" totalsRowDxfId="426">
      <calculatedColumnFormula>_xlfn.LET(_xlpm.AppCount,COUNTIFS(tblTM[device_os],"*Windows*"),IF(_xlpm.AppCount=0,"",_xlpm.AppCount))</calculatedColumnFormula>
    </tableColumn>
    <tableColumn id="11" xr3:uid="{2B2EAE81-4981-479A-9750-44485BD0F165}" name="OSCP" dataDxfId="425" totalsRowDxfId="424">
      <calculatedColumnFormula>_xlfn.LET(_xlpm.AppCount,COUNTIFS(tblTM[device_custom31],"OpenShift*"),IF(_xlpm.AppCount=0,"",_xlpm.AppCount))</calculatedColumnFormula>
    </tableColumn>
    <tableColumn id="12" xr3:uid="{D2FAD290-71F4-4628-861D-1FA3DD30CEE6}" name="RHEL" dataDxfId="423" totalsRowDxfId="422">
      <calculatedColumnFormula>_xlfn.LET(_xlpm.AppCount,COUNTIFS(tblTM[device_os],"*Red*")+COUNTIFS(tblTM[device_custom31],"*Red*"),IF(_xlpm.AppCount=0,"",_xlpm.AppCount))</calculatedColumnFormula>
    </tableColumn>
    <tableColumn id="13" xr3:uid="{4E602030-3AC5-4289-87DB-A77C972D2279}" name="Other-OS" dataDxfId="421" totalsRowDxfId="420">
      <calculatedColumnFormula>ROWS(tblTM[device_os])-SUM(AppSum!$G15:$L15)</calculatedColumnFormula>
    </tableColumn>
    <tableColumn id="14" xr3:uid="{91061EA7-A273-426E-8CBF-9AA1DDC8A479}" name="TOTAL-OS" dataDxfId="419" totalsRowDxfId="418">
      <calculatedColumnFormula>SUM(AppSum!$G15:$M15)</calculatedColumnFormula>
    </tableColumn>
    <tableColumn id="15" xr3:uid="{E5E821C0-C418-48DA-946A-A2681D3778FE}" name="DB2" dataDxfId="417" totalsRowDxfId="416">
      <calculatedColumnFormula>_xlfn.LET(_xlpm.AppCount,COUNTIFS(tblTM[device_custom20],O$2&amp;"*"),IF(_xlpm.AppCount=0,"",_xlpm.AppCount))</calculatedColumnFormula>
    </tableColumn>
    <tableColumn id="16" xr3:uid="{B9F52B90-FB43-4537-8BE4-9C22CD42E202}" name="MDB" dataDxfId="415" totalsRowDxfId="414">
      <calculatedColumnFormula>_xlfn.LET(_xlpm.AppCount,COUNTIFS(tblTM[device_custom20],P$2),IF(_xlpm.AppCount=0,"",_xlpm.AppCount))</calculatedColumnFormula>
    </tableColumn>
    <tableColumn id="17" xr3:uid="{102D4845-D654-45F3-AD6C-266A3BE645DD}" name="ORA" dataDxfId="413" totalsRowDxfId="412">
      <calculatedColumnFormula>_xlfn.LET(_xlpm.AppCount,COUNTIFS(tblTM[device_custom20],LEFT(Q$2,2)&amp;"*"),IF(_xlpm.AppCount=0,"",_xlpm.AppCount))</calculatedColumnFormula>
    </tableColumn>
    <tableColumn id="18" xr3:uid="{FB824FDB-BB38-45FD-8A15-3252B651D48F}" name="SQL" dataDxfId="411" totalsRowDxfId="410">
      <calculatedColumnFormula>_xlfn.LET(_xlpm.AppCount,COUNTIFS(tblTM[device_custom20],R$2),IF(_xlpm.AppCount=0,"",_xlpm.AppCount))</calculatedColumnFormula>
    </tableColumn>
    <tableColumn id="19" xr3:uid="{EA342C5E-5646-4649-BA43-8F5763377B13}" name="SYB" dataDxfId="409" totalsRowDxfId="408">
      <calculatedColumnFormula>_xlfn.LET(_xlpm.AppCount,COUNTIFS(tblTM[device_custom20],S$2),IF(_xlpm.AppCount=0,"",_xlpm.AppCount))</calculatedColumnFormula>
    </tableColumn>
    <tableColumn id="20" xr3:uid="{A0A18F4D-C8EA-4547-A624-F6A7729B7494}" name="UDB" dataDxfId="407" totalsRowDxfId="406">
      <calculatedColumnFormula>_xlfn.LET(_xlpm.AppCount,COUNTIFS(tblTM[device_custom20],T$2),IF(_xlpm.AppCount=0,"",_xlpm.AppCount))</calculatedColumnFormula>
    </tableColumn>
    <tableColumn id="21" xr3:uid="{D46CE27B-3D5B-453E-B24B-2087EB67E034}" name="Other-DB" dataDxfId="405" totalsRowDxfId="404">
      <calculatedColumnFormula>_xlfn.LET(_xlpm.AppCount,COUNTIFS(tblTM[device_custom20],"&lt;&gt;" &amp; "")-SUM(AppSum!$O15:$T15),IF(_xlpm.AppCount=0,"",_xlpm.AppCount))</calculatedColumnFormula>
    </tableColumn>
    <tableColumn id="22" xr3:uid="{AF87C917-74F2-47B6-A2D2-52DB37A18218}" name="TOTAL-DB" dataDxfId="403" totalsRowDxfId="402">
      <calculatedColumnFormula>SUM(AppSum!$O15:$U15)</calculatedColumnFormula>
    </tableColumn>
    <tableColumn id="23" xr3:uid="{1912BCEB-5300-427D-AC67-36F5A4B7CFBC}" name="No CS" dataDxfId="401" totalsRowDxfId="400">
      <calculatedColumnFormula>_xlfn.LET(_xlpm.AppCount,COUNTIFS(#REF!,"&lt;&gt;Yes"),IF(_xlpm.AppCount=0,"",_xlpm.AppCount))</calculatedColumnFormula>
    </tableColumn>
    <tableColumn id="24" xr3:uid="{C3D7BB17-8126-4ADA-827A-60986F0F2C96}" name="DMZ" dataDxfId="399" totalsRowDxfId="398">
      <calculatedColumnFormula>_xlfn.LET(_xlpm.AppCount,COUNTIFS(tblTM[device_custom26],"Yes"),IF(_xlpm.AppCount=0,"",_xlpm.AppCount))</calculatedColumnFormula>
    </tableColumn>
    <tableColumn id="25" xr3:uid="{0FBD9A03-81AC-4BB8-9832-74738393D5E2}" name="F5/LB" dataDxfId="397" totalsRowDxfId="396">
      <calculatedColumnFormula>_xlfn.LET(_xlpm.AppCount,COUNTIFS(tblTM[device_custom45],"Yes"),IF(_xlpm.AppCount=0,"",_xlpm.AppCount))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A02368-7B66-47B3-9E47-87563638E533}" name="tblPMView" displayName="tblPMView" ref="A1:AA47" totalsRowShown="0" headerRowDxfId="395" dataDxfId="393" headerRowBorderDxfId="394" tableBorderDxfId="392" headerRowCellStyle="Normal 2" dataCellStyle="Normal 2">
  <autoFilter ref="A1:AA47" xr:uid="{00000000-0001-0000-0000-000000000000}"/>
  <tableColumns count="27">
    <tableColumn id="1" xr3:uid="{AFD75F68-FD32-4BD0-993A-7A576F51659D}" name="No." dataDxfId="391" dataCellStyle="Normal 2"/>
    <tableColumn id="27" xr3:uid="{F6F0F9F7-5317-4F81-9AC1-F12FD53DAD35}" name="AssetDependencyId" dataDxfId="390" dataCellStyle="Normal 2"/>
    <tableColumn id="2" xr3:uid="{B5FB49B2-386B-40C1-BA3E-6E3CE9BE53AB}" name="Application" dataDxfId="389" dataCellStyle="Normal 2">
      <calculatedColumnFormula>_xlfn.XLOOKUP(tblPMView[[#This Row],[AssetDependencyId]],tblDependencies[AssetDependencyId],tblDependencies[AssetName],"",0,1)</calculatedColumnFormula>
    </tableColumn>
    <tableColumn id="9" xr3:uid="{3A7F8B93-D5F1-4475-90D6-2CDF5195586D}" name="App Bundle" dataDxfId="388" dataCellStyle="Normal 2">
      <calculatedColumnFormula>_xlfn.LET(_xlpm.mea,_xlfn.XLOOKUP(tblPMView[[#This Row],[AssetDependencyId]],tblDependencies[AssetDependencyId],tblDependencies[AssetBundle],"",0,1),IF(LEFT(LOWER(_xlpm.mea),8)="appgroup",CONCATENATE("MEA",MID(_xlpm.mea,10,LEN(_xlpm.mea)-7)),_xlpm.mea))</calculatedColumnFormula>
    </tableColumn>
    <tableColumn id="12" xr3:uid="{78179AF3-1752-455C-96F6-1A5CF5DDB4A9}" name="Server Bundle" dataDxfId="387" dataCellStyle="Normal 2">
      <calculatedColumnFormula>_xlfn.LET(_xlpm.mea,_xlfn.XLOOKUP(tblPMView[[#This Row],[AssetDependencyId]],tblDependencies[AssetDependencyId],tblDependencies[DependentBundle],"",0,1),IF(LEFT(LOWER(_xlpm.mea),8)="appgroup",CONCATENATE("MEA",MID(_xlpm.mea,10,LEN(_xlpm.mea)-7)),_xlpm.mea))</calculatedColumnFormula>
    </tableColumn>
    <tableColumn id="10" xr3:uid="{6C27D78C-7B3C-46A6-B209-C9AFDFCD849A}" name="Hostname" dataDxfId="386" dataCellStyle="Normal 2">
      <calculatedColumnFormula>_xlfn.XLOOKUP(tblPMView[[#This Row],[AssetDependencyId]],tblDependencies[AssetDependencyId],tblDependencies[DependentName],"",0,1)</calculatedColumnFormula>
    </tableColumn>
    <tableColumn id="4" xr3:uid="{AE4E2E91-0E42-44DB-8D31-1A021F1FB03D}" name="Scope" dataDxfId="385" dataCellStyle="Normal 2"/>
    <tableColumn id="11" xr3:uid="{496436D3-BBFB-4823-A858-6C2C0A41AD27}" name="Environment" dataDxfId="384" dataCellStyle="Normal 2">
      <calculatedColumnFormula>_xlfn.XLOOKUP(tblPMView[[#This Row],[Hostname]],tblTM[common_assetName],tblTM[common_environment],"",0,1)</calculatedColumnFormula>
    </tableColumn>
    <tableColumn id="13" xr3:uid="{AD0D769E-0523-4D42-AB8F-863749A2BB8F}" name="Alternate Name" dataDxfId="383" dataCellStyle="Normal 2">
      <calculatedColumnFormula>_xlfn.XLOOKUP(tblPMView[[#This Row],[Hostname]],tblTM[common_assetName],tblTM[device_shortName],"",0,1)</calculatedColumnFormula>
    </tableColumn>
    <tableColumn id="14" xr3:uid="{9F83418D-B06D-4B09-903C-42404241ABB0}" name="Device Type" dataDxfId="382" dataCellStyle="Normal 2">
      <calculatedColumnFormula>_xlfn.XLOOKUP(tblPMView[[#This Row],[Hostname]],tblTM[common_assetName],tblTM[device_assetType],"",0,1)</calculatedColumnFormula>
    </tableColumn>
    <tableColumn id="5" xr3:uid="{6C5CCEBD-726F-4F29-8ED5-BB65D65FA31E}" name="Svr Assess" dataDxfId="381" dataCellStyle="Normal 2">
      <calculatedColumnFormula>TEXT(_xlfn.XLOOKUP(tblPMView[[#This Row],[Hostname]],tblTM[common_assetName],tblTM[device_custom60],"",0,1),"")</calculatedColumnFormula>
    </tableColumn>
    <tableColumn id="15" xr3:uid="{DD4FDD8F-0F62-4BE4-85AF-F028A03C0802}" name="IP Address" dataDxfId="380" dataCellStyle="Normal 2">
      <calculatedColumnFormula>_xlfn.XLOOKUP(tblPMView[[#This Row],[Hostname]],tblTM[common_assetName],tblTM[device_ipAddress],"",0,1)</calculatedColumnFormula>
    </tableColumn>
    <tableColumn id="16" xr3:uid="{1B2FC901-8C81-4E29-90EA-DAA1ECD80405}" name="OS" dataDxfId="379" dataCellStyle="Normal 2">
      <calculatedColumnFormula>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22" xr3:uid="{F2693CA2-79CE-435F-836C-831BE3EF4951}" name="Server Role" dataDxfId="378" dataCellStyle="Normal 2">
      <calculatedColumnFormula>TEXT(_xlfn.XLOOKUP(tblPMView[[#This Row],[Hostname]],tblTM[common_assetName],tblTM[device_custom35],"-",0),"")</calculatedColumnFormula>
    </tableColumn>
    <tableColumn id="17" xr3:uid="{5688FE18-C54F-4562-91FC-494B12187F59}" name="Source Location" dataDxfId="377" dataCellStyle="Normal 2">
      <calculatedColumnFormula>_xlfn.XLOOKUP(LEFT(tblPMView[[#This Row],[Hostname]],4),tblLocationCodes[LocAbbr],tblLocationCodes[Location],"",0,1)</calculatedColumnFormula>
    </tableColumn>
    <tableColumn id="18" xr3:uid="{92F9E5CC-8AC0-4A3F-BA2F-601B71E7A0B0}" name="Target Location" dataDxfId="376" dataCellStyle="Normal 2">
      <calculatedColumnFormula>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calculatedColumnFormula>
    </tableColumn>
    <tableColumn id="21" xr3:uid="{E7B71DF7-E915-4B5E-A5B1-F98165983C85}" name="Target IP Address" dataDxfId="375" dataCellStyle="Normal 2">
      <calculatedColumnFormula>_xlfn.XLOOKUP(tblPMView[[#This Row],[Hostname]],tblTM[common_assetName],tblTM[device_custom17])</calculatedColumnFormula>
    </tableColumn>
    <tableColumn id="19" xr3:uid="{5F454100-BDB1-408F-86E0-1F45E9449445}" name="Target Subnet Mask" dataDxfId="374" dataCellStyle="Normal 2">
      <calculatedColumnFormula>_xlfn.XLOOKUP(tblPMView[[#This Row],[Hostname]],tblTM[common_assetName],tblTM[device_custom14])</calculatedColumnFormula>
    </tableColumn>
    <tableColumn id="20" xr3:uid="{BFB5CE8A-8244-4634-ADD1-A6B0AD8F45A4}" name="Target Default Gateway" dataDxfId="373" dataCellStyle="Normal 2">
      <calculatedColumnFormula>_xlfn.XLOOKUP(tblPMView[[#This Row],[Hostname]],tblTM[common_assetName],tblTM[device_custom12])</calculatedColumnFormula>
    </tableColumn>
    <tableColumn id="28" xr3:uid="{CF13C65E-99B5-4487-9310-AC7C5CDCC0B0}" name="DMZ" dataDxfId="372" dataCellStyle="Normal 2 3">
      <calculatedColumnFormula>_xlfn.XLOOKUP(tblPMView[[#This Row],[Hostname]],tblTM[common_assetName],tblTM[device_custom26],"",0,1)</calculatedColumnFormula>
    </tableColumn>
    <tableColumn id="29" xr3:uid="{FFB0363A-198B-472E-9412-597B3B2E77A7}" name="DB" dataDxfId="371" dataCellStyle="Normal 2 3">
      <calculatedColumnFormula>LEFT(TEXT(_xlfn.XLOOKUP(tblPMView[[#This Row],[Hostname]],tblTM[common_assetName],tblTM[device_custom20],"-",0),""),3)</calculatedColumnFormula>
    </tableColumn>
    <tableColumn id="30" xr3:uid="{6011E44A-FC86-4775-9FD4-0C5FCB40B0B6}" name="CS" dataDxfId="370" dataCellStyle="Normal 2 3">
      <calculatedColumnFormula>_xlfn.LET(_xlpm.CSInfo,_xlfn.XLOOKUP(tblPMView[[#This Row],[Hostname]],tblTM[common_assetName],tblTM[device_custom33],"-",0),IF(_xlpm.CSInfo="Discovered","Yes","No"))</calculatedColumnFormula>
    </tableColumn>
    <tableColumn id="31" xr3:uid="{CEA40DA9-44B7-41BA-A9D2-075BB31FA72A}" name="LB" dataDxfId="369" dataCellStyle="Normal 2 3">
      <calculatedColumnFormula>IF(LOWER(LEFT(_xlfn.XLOOKUP(tblPMView[[#This Row],[Hostname]],tblTM[common_assetName],tblTM[device_custom45],"",0,1),1))="y","Yes","No")</calculatedColumnFormula>
    </tableColumn>
    <tableColumn id="3" xr3:uid="{B75C06F6-1702-4B25-B040-CE0BD216D92D}" name="Storage" dataDxfId="368" dataCellStyle="Normal 2 3">
      <calculatedColumnFormula>_xlfn.XLOOKUP(tblPMView[[#This Row],[Hostname]],tblTM[common_assetName],tblTM[device_custom64],"",0)+_xlfn.XLOOKUP(tblPMView[[#This Row],[Hostname]],tblTM[common_assetName],tblTM[device_size],"",0)</calculatedColumnFormula>
    </tableColumn>
    <tableColumn id="24" xr3:uid="{78A95E26-E125-419A-9514-4EF8C0BB0B3E}" name="DR-Protected" dataDxfId="367" dataCellStyle="Normal 2">
      <calculatedColumnFormula>_xlfn.XLOOKUP(tblPMView[[#This Row],[Hostname]],tblTM[common_assetName],tblTM[device_custom29],"",0)</calculatedColumnFormula>
    </tableColumn>
    <tableColumn id="25" xr3:uid="{91674FED-9691-4039-AC2D-04D3670618C7}" name="Status" dataDxfId="366" dataCellStyle="Normal 2"/>
    <tableColumn id="26" xr3:uid="{7CA31048-3AAC-4A39-A414-1633B7635744}" name="Comment" dataDxfId="365" dataCellStyle="Normal 2"/>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03B5E5B-7FCB-4B66-8889-70A56BEEFACB}" name="tblEvntScope" displayName="tblEvntScope" ref="A1:AE47" totalsRowShown="0" headerRowDxfId="364" dataDxfId="363" headerRowCellStyle="Normal_WPInitialQuestionnaire.ppt" dataCellStyle="Normal 7">
  <autoFilter ref="A1:AE47" xr:uid="{FCCF4D05-9E9B-4417-B7E4-EC9E43675602}"/>
  <sortState xmlns:xlrd2="http://schemas.microsoft.com/office/spreadsheetml/2017/richdata2" ref="A2:AE47">
    <sortCondition ref="D2:D47"/>
    <sortCondition ref="I2:I47"/>
  </sortState>
  <tableColumns count="31">
    <tableColumn id="1" xr3:uid="{3B7C4587-8B12-4BA2-A2E9-F076BDBED70A}" name=" Event " dataDxfId="362" dataCellStyle="Normal 7">
      <calculatedColumnFormula>SUBSTITUTE(_xlfn.XLOOKUP(tblEvntScope[[#This Row],[AssetDependencyId]],tblDependencies[AssetDependencyId],tblDependencies[DependentBundle],"",0,1),"AppGroup","ME")</calculatedColumnFormula>
    </tableColumn>
    <tableColumn id="2" xr3:uid="{BE94CFF8-D056-4F3C-B2B5-AFFD0D843673}" name="Cutover Date" dataDxfId="361" dataCellStyle="Normal 7">
      <calculatedColumnFormula>TMWorkbook!$C$2</calculatedColumnFormula>
    </tableColumn>
    <tableColumn id="25" xr3:uid="{1447D716-034F-4188-A7B5-0627C16D7B5A}" name="Scope_x000a_(Initial, New,_x000a_  Deleted)" dataDxfId="360" dataCellStyle="Normal 7"/>
    <tableColumn id="3" xr3:uid="{976B5ACB-F1C0-447B-8AA7-211826A6F0BA}" name="Application Name" dataDxfId="359" dataCellStyle="Normal 7">
      <calculatedColumnFormula>_xlfn.XLOOKUP(tblEvntScope[[#This Row],[AssetDependencyId]],tblDependencies[AssetDependencyId],tblDependencies[AssetName],"",0,1)</calculatedColumnFormula>
    </tableColumn>
    <tableColumn id="4" xr3:uid="{F97B5B98-FB85-4196-A82B-5D9DC4F2F016}" name="Application Owner" dataDxfId="358" dataCellStyle="Normal 7">
      <calculatedColumnFormula>_xlfn.XLOOKUP(tblEvntScope[[#This Row],[Application Name]],tblApplications[common_assetName],tblApplications[application_appOwner],"",0,1)</calculatedColumnFormula>
    </tableColumn>
    <tableColumn id="5" xr3:uid="{EDB9C5FA-726F-4956-8E41-84E37405DED6}" name="IT Support Manager" dataDxfId="357" dataCellStyle="Normal 7">
      <calculatedColumnFormula>_xlfn.XLOOKUP(tblEvntScope[[#This Row],[Application Name]],tblApplications[common_assetName],tblApplications[application_custom6],"",0,1)</calculatedColumnFormula>
    </tableColumn>
    <tableColumn id="6" xr3:uid="{BAA8CCF9-0A25-4678-90EA-1AF2FF563B36}" name="SME" dataDxfId="356" dataCellStyle="Normal 7">
      <calculatedColumnFormula>_xlfn.XLOOKUP(tblEvntScope[[#This Row],[Application Name]],tblApplications[common_assetName],tblApplications[application_sme2],"",0,1)</calculatedColumnFormula>
    </tableColumn>
    <tableColumn id="7" xr3:uid="{5BB82709-E8BA-497E-8FCC-B67745D2F7FE}" name="Support Group DL" dataDxfId="355" dataCellStyle="Normal 7">
      <calculatedColumnFormula>LOWER(_xlfn.XLOOKUP(tblEvntScope[[#This Row],[Application Name]],tblApplications[common_assetName],tblApplications[application_custom23],"",0,1))</calculatedColumnFormula>
    </tableColumn>
    <tableColumn id="8" xr3:uid="{9B661132-DCBB-4B3D-9D5F-7FDBC6C679DF}" name="Hostname" dataDxfId="354" dataCellStyle="Normal 7">
      <calculatedColumnFormula>_xlfn.XLOOKUP(tblEvntScope[[#This Row],[AssetDependencyId]],tblDependencies[AssetDependencyId],tblDependencies[DependentName],"",0,1)</calculatedColumnFormula>
    </tableColumn>
    <tableColumn id="23" xr3:uid="{A129B6AA-F8DF-4288-A3FC-EF8E6E852547}" name="Scope" dataDxfId="353" dataCellStyle="Normal 7">
      <calculatedColumnFormula>TEXT(_xlfn.XLOOKUP(tblEvntScope[[#This Row],[Hostname]],tblPMView[Hostname],tblPMView[Scope],"",0,1),"")</calculatedColumnFormula>
    </tableColumn>
    <tableColumn id="9" xr3:uid="{93943BC2-1965-4F25-8F74-F4D34BC40689}" name="Source IP Address" dataDxfId="352" dataCellStyle="Normal 7">
      <calculatedColumnFormula>_xlfn.XLOOKUP(tblEvntScope[[#This Row],[Hostname]],tblTM[common_assetName],tblTM[device_ipAddress],"",0,1)</calculatedColumnFormula>
    </tableColumn>
    <tableColumn id="10" xr3:uid="{0EA0C01F-476D-461F-BF69-FEA7BBD821F3}" name="Source Location" dataDxfId="351" dataCellStyle="Normal 7">
      <calculatedColumnFormula>_xlfn.LET(_xlpm.loc,LEFT(tblEvntScope[[#This Row],[Hostname]],4),IF(LEFT(LOWER(_xlpm.loc),3)="vaa","Richmond",_xlfn.XLOOKUP(_xlpm.loc,tblLocationCodes[LocAbbr],tblLocationCodes[Location],"",0,1)))</calculatedColumnFormula>
    </tableColumn>
    <tableColumn id="29" xr3:uid="{C0F08F0D-8A83-4F6D-A5B8-CB6FB8CE436D}" name="Source VCenter" dataDxfId="350" dataCellStyle="Normal 7"/>
    <tableColumn id="28" xr3:uid="{E7E287C4-5D8A-4115-AAF1-00236D2CF528}" name="Source Physical Serial Number" dataDxfId="349" dataCellStyle="Normal 7"/>
    <tableColumn id="11" xr3:uid="{7D23F87B-661A-46B5-A607-B64521B55EE0}" name="Type_x000a_App/DB" dataDxfId="348" dataCellStyle="Normal 7">
      <calculatedColumnFormula>_xlfn.XLOOKUP(tblEvntScope[[#This Row],[Hostname]],tblTM[common_assetName],tblTM[device_custom35],"",0,1)</calculatedColumnFormula>
    </tableColumn>
    <tableColumn id="30" xr3:uid="{EDA2641F-D3A0-4321-AC5C-E4D0B015DA16}" name="Migration Type (V2V, V2P,P2P)" dataDxfId="347" dataCellStyle="Normal 7">
      <calculatedColumnFormula>IF(tblEvntScope[[#This Row],[Device Type]]="Server",_xlfn.XLOOKUP(tblEvntScope[[#This Row],[Hostname]],tblTM[common_assetName],tblTM[device_custom60],"",0,1),"")</calculatedColumnFormula>
    </tableColumn>
    <tableColumn id="12" xr3:uid="{ADDED583-8BEF-4729-B322-4CB6D0F3F452}" name="Environment" dataDxfId="346" dataCellStyle="Normal 7">
      <calculatedColumnFormula>_xlfn.XLOOKUP(tblEvntScope[[#This Row],[Hostname]],tblTM[common_assetName],tblTM[common_environment],"",0,1)</calculatedColumnFormula>
    </tableColumn>
    <tableColumn id="13" xr3:uid="{7DAFEF4B-B731-4065-BFAE-D17933E35F88}" name="Device Type" dataDxfId="345" dataCellStyle="Normal 7">
      <calculatedColumnFormula>_xlfn.XLOOKUP(tblEvntScope[[#This Row],[Hostname]],tblTM[common_assetName],tblTM[device_assetType],"",0,1)</calculatedColumnFormula>
    </tableColumn>
    <tableColumn id="14" xr3:uid="{60F42BE1-9B6F-409E-BA36-CD9A39ADA959}" name="Operating System" dataDxfId="344" dataCellStyle="Normal 7">
      <calculatedColumnFormula>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24" xr3:uid="{2FD706B2-1A80-4036-9425-7505F74B215A}" name="DMZ" dataDxfId="343" dataCellStyle="Normal 2 3">
      <calculatedColumnFormula>_xlfn.XLOOKUP(tblEvntScope[[#This Row],[Hostname]],tblTM[common_assetName],tblTM[device_custom26],"",0,1)</calculatedColumnFormula>
    </tableColumn>
    <tableColumn id="15" xr3:uid="{D3FFD503-5CDB-4E6F-A041-EEBE285CEC55}" name="DR Protection" dataDxfId="342" dataCellStyle="Normal 7">
      <calculatedColumnFormula>_xlfn.XLOOKUP(tblEvntScope[[#This Row],[Hostname]],tblTM[common_assetName],tblTM[device_custom29],"",0,1)</calculatedColumnFormula>
    </tableColumn>
    <tableColumn id="31" xr3:uid="{4A993FEE-A323-43AF-ABA6-C314691CCAD3}" name="Target VCenter" dataDxfId="341" dataCellStyle="Normal 7"/>
    <tableColumn id="32" xr3:uid="{F70C9AA7-E093-4597-873F-2B16067F85A8}" name="Target Physical Serial Number" dataDxfId="340" dataCellStyle="Normal 7"/>
    <tableColumn id="16" xr3:uid="{9D6E66C3-12CB-40CB-8861-3AE2A2AA5DCD}" name="Target Data Center" dataDxfId="339" dataCellStyle="Normal 2">
      <calculatedColumnFormula>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calculatedColumnFormula>
    </tableColumn>
    <tableColumn id="17" xr3:uid="{AD336B80-77E0-46FE-A5E1-24F79ED7E55A}" name="Target IPs " dataDxfId="338" dataCellStyle="Normal 7">
      <calculatedColumnFormula>_xlfn.XLOOKUP(tblEvntScope[[#This Row],[Hostname]],tblTM[common_assetName],tblTM[device_custom17],"",0,1)</calculatedColumnFormula>
    </tableColumn>
    <tableColumn id="18" xr3:uid="{7DF1F4C3-95CC-4893-8933-74C2357F9090}" name="Target Subnet" dataDxfId="337" dataCellStyle="Normal 7">
      <calculatedColumnFormula>IFERROR(IF(tblEvntScope[[#This Row],[Target IPs ]]="","",_xlfn.XLOOKUP(tblEvntScope[[#This Row],[Hostname]],tblTM[common_assetName],tblTM[device_custom14],"",0,1)),"")</calculatedColumnFormula>
    </tableColumn>
    <tableColumn id="19" xr3:uid="{EBD0D0C3-467A-4B12-92EE-CCBD27671F11}" name="Target Gateway" dataDxfId="336" dataCellStyle="Normal 7">
      <calculatedColumnFormula>IFERROR(IF(tblEvntScope[[#This Row],[Target IPs ]]="","",_xlfn.XLOOKUP(tblEvntScope[[#This Row],[Hostname]],tblTM[common_assetName],tblTM[device_custom12],"",0,1)),"")</calculatedColumnFormula>
    </tableColumn>
    <tableColumn id="20" xr3:uid="{E25DAC3D-9F5B-43F4-8E65-ED41AE881A81}" name="Storage Space" dataDxfId="335" dataCellStyle="Normal 7">
      <calculatedColumnFormula>IFERROR(_xlfn.XLOOKUP(tblEvntScope[[#This Row],[Hostname]],tblTM[common_assetName],tblTM[device_custom64],"",0)+_xlfn.XLOOKUP(tblEvntScope[[#This Row],[Hostname]],tblTM[common_assetName],tblTM[device_size],"",0),"")</calculatedColumnFormula>
    </tableColumn>
    <tableColumn id="21" xr3:uid="{0B3D9B12-E59D-4094-A757-D0FDC48CD7CC}" name="Comments" dataDxfId="334" dataCellStyle="Normal 7"/>
    <tableColumn id="22" xr3:uid="{C31F2E76-66EA-42F8-9862-551D7B4975AB}" name="AssetDependencyId" dataDxfId="333" dataCellStyle="Normal 2"/>
    <tableColumn id="26" xr3:uid="{DAE8E058-95EF-48FA-8248-0BAE2F246A4D}" name="Check" dataDxfId="332" dataCellStyle="Normal 7">
      <calculatedColumnFormula>CONCATENATE(tblEvntScope[[#This Row],[Application Name]],tblEvntScope[[#This Row],[Hostname]])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EA01E7-5D86-0C4D-8CE6-F74580AC3BE9}" name="tblTM" displayName="tblTM" ref="A1:AV47" totalsRowShown="0" headerRowDxfId="331" dataDxfId="330">
  <autoFilter ref="A1:AV47" xr:uid="{2DEA01E7-5D86-0C4D-8CE6-F74580AC3BE9}"/>
  <sortState xmlns:xlrd2="http://schemas.microsoft.com/office/spreadsheetml/2017/richdata2" ref="A2:AV47">
    <sortCondition ref="B2:B47"/>
  </sortState>
  <tableColumns count="48">
    <tableColumn id="1" xr3:uid="{562C197A-CD23-804B-A238-4007EE593940}" name="common_id" dataDxfId="329"/>
    <tableColumn id="2" xr3:uid="{BE0E1F27-C02B-6642-914B-E1041C1EE066}" name="common_assetName" dataDxfId="328"/>
    <tableColumn id="4" xr3:uid="{7E819DD6-C412-7549-A71A-CAC82CC56C2C}" name="common_moveBundle" dataDxfId="327"/>
    <tableColumn id="3" xr3:uid="{F8DFAE14-501B-9148-95BF-E4F2E25F29F0}" name="device_assetType" dataDxfId="326"/>
    <tableColumn id="5" xr3:uid="{413B2702-8A99-2D41-B729-2E795A850D32}" name="common_environment" dataDxfId="325"/>
    <tableColumn id="8" xr3:uid="{C6611224-0541-8741-B08D-B707CE6C0965}" name="device_os" dataDxfId="324"/>
    <tableColumn id="18" xr3:uid="{3BF2D598-2144-DC44-AD82-AAFFBDE069E0}" name="device_custom31" dataDxfId="323"/>
    <tableColumn id="9" xr3:uid="{C6212DD8-0146-FD4D-8E80-CC8A1CC89DCE}" name="device_manufacturer" dataDxfId="322"/>
    <tableColumn id="10" xr3:uid="{A4C6C40A-73EA-7D4D-AB35-4B5321974EAE}" name="device_model" dataDxfId="321"/>
    <tableColumn id="11" xr3:uid="{A559E846-804F-E244-8A15-4C1ED6A12C55}" name="device_ipAddress" dataDxfId="320"/>
    <tableColumn id="12" xr3:uid="{37E9DA4A-CD6D-C944-AFE3-25E4F8F9D6AB}" name="device_shortName" dataDxfId="319"/>
    <tableColumn id="14" xr3:uid="{B1EB096B-41DD-F647-839E-5D6B37DD198C}" name="device_custom21" dataDxfId="318"/>
    <tableColumn id="15" xr3:uid="{252A00DA-88B0-8E41-AB80-BA1617C446E2}" name="device_custom20" dataDxfId="317"/>
    <tableColumn id="16" xr3:uid="{D0D47578-8ABB-A944-B76C-7CE9F564F569}" name="device_custom26" dataDxfId="316"/>
    <tableColumn id="17" xr3:uid="{57B371C0-A848-2F4A-8C4D-1E87D1221A5B}" name="device_custom45" dataDxfId="315"/>
    <tableColumn id="19" xr3:uid="{9C91FD91-F682-5549-89FE-9196A9ACBCCE}" name="device_custom34" dataDxfId="314"/>
    <tableColumn id="20" xr3:uid="{84F57B34-7487-FA4F-83F4-83790CD2A3DC}" name="device_custom35" dataDxfId="313"/>
    <tableColumn id="6" xr3:uid="{D1286E99-101D-4FDC-904D-1D759520DD83}" name="device_custom2" dataDxfId="312"/>
    <tableColumn id="7" xr3:uid="{6240A7ED-BA8B-46F6-B0F3-2C0CDF78867C}" name="device_custom3" dataDxfId="311"/>
    <tableColumn id="21" xr3:uid="{E26E97EC-4829-4881-9BE1-E67BE9A9147B}" name="device_custom64" dataDxfId="310"/>
    <tableColumn id="26" xr3:uid="{6226329F-7E15-49F9-AFFE-20C7D03FEE41}" name="device_custom60" dataDxfId="309"/>
    <tableColumn id="27" xr3:uid="{4FF5A6C1-BAC8-4D5D-B24F-B8BAFE0529B6}" name="device_custom55" dataDxfId="308"/>
    <tableColumn id="28" xr3:uid="{5E0EC14A-C69C-4C92-89E4-532EF0601073}" name="device_size" dataDxfId="307"/>
    <tableColumn id="29" xr3:uid="{A37F5E03-C00B-4D01-B6EB-46CFC4547465}" name="device_custom57" dataDxfId="306"/>
    <tableColumn id="30" xr3:uid="{6B14D9F4-26B3-4E09-B387-1838C8ACCFF8}" name="device_custom33" dataDxfId="305"/>
    <tableColumn id="31" xr3:uid="{C2E47385-4FDC-4DBE-BE39-265D1CB6E489}" name="device_custom27" dataDxfId="304"/>
    <tableColumn id="32" xr3:uid="{760F7D3B-7032-40FF-BAEE-464A87BD61D8}" name="device_custom28" dataDxfId="303"/>
    <tableColumn id="33" xr3:uid="{5FF81F10-87AF-4271-802C-A1AD85A9B05A}" name="device_custom29" dataDxfId="302"/>
    <tableColumn id="34" xr3:uid="{8475D170-6B26-4EF3-A42B-DF3572D12880}" name="device_custom30" dataDxfId="301"/>
    <tableColumn id="35" xr3:uid="{5E8C24E3-611F-4F0B-8582-94E7848BED09}" name="device_custom58" dataDxfId="300"/>
    <tableColumn id="36" xr3:uid="{0907626A-EAAE-4BE0-8B6D-5716EF8D5A1B}" name="device_custom65" dataDxfId="299"/>
    <tableColumn id="22" xr3:uid="{BCC1873C-BBD9-42EA-A313-4DD1B6B5EBB5}" name="device_custom17" dataDxfId="298"/>
    <tableColumn id="23" xr3:uid="{DD64499F-3501-4231-B8C1-EE73808CC35B}" name="device_custom14" dataDxfId="297"/>
    <tableColumn id="24" xr3:uid="{11E509EF-C8E8-4049-9A90-2DA99515A365}" name="device_custom12" dataDxfId="296"/>
    <tableColumn id="25" xr3:uid="{BDC66286-4793-4CB0-BB01-B4851046F840}" name="device_custom51" dataDxfId="295"/>
    <tableColumn id="45" xr3:uid="{2F39F811-F906-4269-9A73-0112A80FC9CE}" name="device_custom61" dataDxfId="294"/>
    <tableColumn id="41" xr3:uid="{E7728D20-D8A3-4E5C-A0C7-0363942C245E}" name="common_planStatus" dataDxfId="293"/>
    <tableColumn id="42" xr3:uid="{371150BB-651F-46C2-B640-ECB94D65BBE2}" name="device_custom66" dataDxfId="292"/>
    <tableColumn id="44" xr3:uid="{9117B087-D4C3-4C3F-A7D4-0B290DCD7556}" name="common_tagAssets" dataDxfId="291"/>
    <tableColumn id="40" xr3:uid="{CE5B1F70-33FC-47E8-9ADF-EA924C747D98}" name="LB" dataDxfId="135"/>
    <tableColumn id="46" xr3:uid="{1E871AC0-91B4-4181-9FBB-02DC91F3C473}" name="device_custom24" dataDxfId="290"/>
    <tableColumn id="13" xr3:uid="{372096BC-1297-4277-9A5C-417B5953D066}" name="common_assetClass" dataDxfId="289"/>
    <tableColumn id="37" xr3:uid="{5E0AC8F8-274C-4A71-A045-1F1B555585F7}" name="common_assetType" dataDxfId="288"/>
    <tableColumn id="38" xr3:uid="{C52C0B80-B64E-46F2-94DA-05498A382A1D}" name="common_commentCount" dataDxfId="287"/>
    <tableColumn id="39" xr3:uid="{A278C8D5-3F32-43A9-9F51-4D1970E70624}" name="common_taskCount" dataDxfId="286"/>
    <tableColumn id="43" xr3:uid="{4C296F1C-B7B3-4763-9BCA-DFE89B336A9B}" name="device_custom43" dataDxfId="285"/>
    <tableColumn id="47" xr3:uid="{E3876E1D-7448-492A-8C83-CED1CE6FED28}" name="device_custom41" dataDxfId="284"/>
    <tableColumn id="48" xr3:uid="{2056C428-C609-42A6-A30B-ADBA3CE04916}" name="common_custom22" dataDxfId="283"/>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FD9E460-C6D3-49ED-AC3D-925241563CC6}" name="tblApplications" displayName="tblApplications" ref="A1:U5" totalsRowShown="0" headerRowDxfId="282" dataDxfId="281" dataCellStyle="Normal 57">
  <autoFilter ref="A1:U5" xr:uid="{7FD9E460-C6D3-49ED-AC3D-925241563CC6}"/>
  <sortState xmlns:xlrd2="http://schemas.microsoft.com/office/spreadsheetml/2017/richdata2" ref="A2:U5">
    <sortCondition ref="B2:B5"/>
  </sortState>
  <tableColumns count="21">
    <tableColumn id="315" xr3:uid="{CF088ABB-EAC7-4DB2-9F88-82DCD3A4F896}" name="common_id" dataDxfId="280" dataCellStyle="Normal 57"/>
    <tableColumn id="316" xr3:uid="{67C38C0F-7259-4E6F-8823-F42F7035133A}" name="common_assetName" dataDxfId="279" dataCellStyle="Normal 57"/>
    <tableColumn id="317" xr3:uid="{2F7C4AD7-8482-43E4-AD93-7C70786CC661}" name="common_description" dataDxfId="278" dataCellStyle="Normal 57"/>
    <tableColumn id="318" xr3:uid="{DA508718-81D8-4718-811F-F5113475F8D0}" name="application_custom5" dataDxfId="277" dataCellStyle="Normal 57"/>
    <tableColumn id="319" xr3:uid="{DEB55994-6B30-4644-9540-BE8B81B2517F}" name="common_moveBundle" dataDxfId="276" dataCellStyle="Normal 57"/>
    <tableColumn id="320" xr3:uid="{32A88B3B-3E81-4231-A74A-4E81EB6691F6}" name="application_appOwner" dataDxfId="275" dataCellStyle="Normal 57"/>
    <tableColumn id="321" xr3:uid="{509565FC-D715-4067-BCB8-42701C50E1D1}" name="application_custom10" dataDxfId="274" dataCellStyle="Normal 57"/>
    <tableColumn id="1" xr3:uid="{5AE9193C-9347-405F-949A-F6C6857F87BB}" name="application_custom9" dataDxfId="273" dataCellStyle="Normal 57"/>
    <tableColumn id="2" xr3:uid="{284BDB62-9E90-4BA6-8E00-E154D2B1CC1F}" name="application_custom45" dataDxfId="272" dataCellStyle="Normal 57"/>
    <tableColumn id="3" xr3:uid="{7B9FA24B-4159-480A-9D1D-7BB2F2805830}" name="application_custom46" dataDxfId="271" dataCellStyle="Normal 57"/>
    <tableColumn id="4" xr3:uid="{ED862A55-B754-4971-916F-969E04ED9086}" name="application_custom6" dataDxfId="270" dataCellStyle="Normal 57"/>
    <tableColumn id="5" xr3:uid="{60E47BCF-016A-4700-BAD2-88944DA47CF8}" name="application_sme" dataDxfId="269" dataCellStyle="Normal 57"/>
    <tableColumn id="6" xr3:uid="{C7B9A129-220A-4A09-B21D-6DA86332D399}" name="application_custom11" dataDxfId="268" dataCellStyle="Normal 57"/>
    <tableColumn id="7" xr3:uid="{CE40E800-5ACA-4E56-9F11-94EE7C27E30C}" name="application_sme2" dataDxfId="267" dataCellStyle="Normal 57"/>
    <tableColumn id="8" xr3:uid="{7169BDCD-E92D-4C68-A7D8-FD92F7A78A17}" name="application_custom19" dataDxfId="266" dataCellStyle="Normal 57"/>
    <tableColumn id="9" xr3:uid="{E515B275-79AF-40B4-9B67-FFBC74EA5B6E}" name="application_custom23" dataDxfId="265" dataCellStyle="Normal 57"/>
    <tableColumn id="10" xr3:uid="{66E3FD7A-7F59-4ACF-A409-1ACF00D6A8F3}" name="common_assetClass" dataDxfId="264" dataCellStyle="Normal 57"/>
    <tableColumn id="11" xr3:uid="{30DF459C-3BA3-4327-A726-936B6C9D0D77}" name="common_assetType" dataDxfId="263" dataCellStyle="Normal 57"/>
    <tableColumn id="12" xr3:uid="{308560D5-F201-4198-AAB2-65902DA571C1}" name="common_commentCount" dataDxfId="262" dataCellStyle="Normal 57"/>
    <tableColumn id="13" xr3:uid="{61C56809-6D44-4ED6-A8FE-2F301832D36B}" name="common_taskCount" dataDxfId="261" dataCellStyle="Normal 57"/>
    <tableColumn id="14" xr3:uid="{544ABEBE-2EFE-41B6-86FC-14AA574D0686}" name="common_planStatus" dataDxfId="260" dataCellStyle="Normal 57"/>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403FD-5323-4525-ADC8-9383572B6812}" name="tblDependencies" displayName="tblDependencies" ref="A1:Z47" totalsRowShown="0" dataDxfId="259">
  <autoFilter ref="A1:Z47" xr:uid="{A7D70CB8-CCC2-A64E-BC02-2CE44C122B8D}"/>
  <sortState xmlns:xlrd2="http://schemas.microsoft.com/office/spreadsheetml/2017/richdata2" ref="A2:Z47">
    <sortCondition ref="G2:G47"/>
    <sortCondition ref="N2:N47" customList="True,MaybeRoot,False"/>
    <sortCondition ref="C2:C47"/>
  </sortState>
  <tableColumns count="26">
    <tableColumn id="8" xr3:uid="{3A980AA7-363A-4AA4-88AD-9F25C637B724}" name="AssetDependencyId" dataDxfId="258"/>
    <tableColumn id="1" xr3:uid="{EFA2ECD8-838F-4490-9154-BE373611AB68}" name="AssetId" dataDxfId="257"/>
    <tableColumn id="2" xr3:uid="{C65B6930-960D-41A1-AD3A-EAE66B278758}" name="AssetName" dataDxfId="256"/>
    <tableColumn id="3" xr3:uid="{2647BCFF-0D0F-4883-A75F-705A79ABF71C}" name="AssetType" dataDxfId="255"/>
    <tableColumn id="4" xr3:uid="{E1F87F56-7ACC-40A5-AB58-B672D218B9C4}" name="AssetBundle" dataDxfId="254">
      <calculatedColumnFormula>_xlfn.XLOOKUP(tblDependencies[[#This Row],[AssetName]],tblApplications[common_assetName],tblApplications[common_moveBundle],"",0,1)</calculatedColumnFormula>
    </tableColumn>
    <tableColumn id="5" xr3:uid="{0F9768AB-1614-413E-9849-9A0E9D02CC99}" name="DependentId" dataDxfId="253"/>
    <tableColumn id="6" xr3:uid="{F422FA28-BD83-4D62-8140-FD9D1CC830DD}" name="DependentName" dataDxfId="252"/>
    <tableColumn id="7" xr3:uid="{4FA9862B-679C-416E-8A2B-A4E4DEEDD06D}" name="DependentType" dataDxfId="251"/>
    <tableColumn id="9" xr3:uid="{925146C1-B52F-4BCD-822D-A755CC6B9F0F}" name="DependentBundle" dataDxfId="250">
      <calculatedColumnFormula>_xlfn.XLOOKUP(tblDependencies[[#This Row],[DependentName]],tblTM[common_assetName],tblTM[common_moveBundle],"",0,1)</calculatedColumnFormula>
    </tableColumn>
    <tableColumn id="10" xr3:uid="{81B60EA4-C9EF-46C1-98FA-2D0EE6415AAA}" name="DataFlowFreq" dataDxfId="249"/>
    <tableColumn id="11" xr3:uid="{2AC629E7-03D9-4B6E-9657-E219E484958E}" name="DataFlowDirection" dataDxfId="248"/>
    <tableColumn id="12" xr3:uid="{A819261F-37A6-46FC-A5CD-ED7A852752C2}" name="status" dataDxfId="247"/>
    <tableColumn id="13" xr3:uid="{DF825DB9-3881-415C-88CE-F68EDD724BEE}" name="Type" dataDxfId="246"/>
    <tableColumn id="16" xr3:uid="{73AE9F19-6597-4A36-B13A-92D007FF1827}" name="Root" dataDxfId="245">
      <calculatedColumnFormula>CONCATENATE(TEXT(_xlfn.XLOOKUP(tblDependencies[[#This Row],[AssetName]],tblDepApp[Applications],tblDepApp[Servers],"",0),"000"),"-",tblDependencies[[#This Row],[AssetName]])</calculatedColumnFormula>
    </tableColumn>
    <tableColumn id="15" xr3:uid="{83B0E665-9BCD-4FF6-9997-4269E583B1FE}" name="OS" dataDxfId="244">
      <calculatedColumnFormula>TEXT(_xlfn.XLOOKUP(tblDependencies[[#This Row],[DependentName]],tblTM[common_assetName],tblTM[device_os],"r3m0v3m3",0,1),"")</calculatedColumnFormula>
    </tableColumn>
    <tableColumn id="14" xr3:uid="{4AF0681E-77FD-46E5-A78A-66150FB0CAD2}" name="App. Status" dataDxfId="243">
      <calculatedColumnFormula>1</calculatedColumnFormula>
    </tableColumn>
    <tableColumn id="17" xr3:uid="{48DC8FF4-0D7E-4D72-8952-FE70609B92B7}" name="Env" dataDxfId="242">
      <calculatedColumnFormula>_xlfn.XLOOKUP(tblDependencies[[#This Row],[DependentName]],tblTM[common_assetName],tblTM[common_environment],"",0,1)</calculatedColumnFormula>
    </tableColumn>
    <tableColumn id="18" xr3:uid="{48540005-DA83-4885-9D4D-9A917C089E0C}" name="Dev" dataDxfId="241">
      <calculatedColumnFormula>TEXT(_xlfn.XLOOKUP(tblDependencies[[#This Row],[DependentName]],tblTM[common_assetName],tblTM[device_assetType],"-",0),"")</calculatedColumnFormula>
    </tableColumn>
    <tableColumn id="19" xr3:uid="{D72B7536-CCD1-4760-B271-FDA4964F69F4}" name="DB" dataDxfId="240">
      <calculatedColumnFormula>LEFT(TEXT(_xlfn.XLOOKUP(tblDependencies[[#This Row],[DependentName]],tblTM[common_assetName],tblTM[device_custom20],"-",0),""),3)</calculatedColumnFormula>
    </tableColumn>
    <tableColumn id="20" xr3:uid="{1961A9DD-6D94-4E8C-B433-E5E70237E73B}" name="F5/LB" dataDxfId="239">
      <calculatedColumnFormula>IF(LOWER(LEFT(_xlfn.XLOOKUP(tblDependencies[[#This Row],[DependentName]],tblTM[common_assetName],tblTM[device_custom45],"",0,1),1))="y","Yes","No")</calculatedColumnFormula>
    </tableColumn>
    <tableColumn id="21" xr3:uid="{15C0A515-D88D-4E56-93DF-9A87A133EC24}" name="Src IP" dataDxfId="238">
      <calculatedColumnFormula>_xlfn.XLOOKUP(tblDependencies[[#This Row],[DependentName]],tblTM[common_assetName],tblTM[device_ipAddress],"",0,1)</calculatedColumnFormula>
    </tableColumn>
    <tableColumn id="22" xr3:uid="{CD0C539D-7980-4974-AB65-AAB99EB1A7BF}" name="Group" dataDxfId="237"/>
    <tableColumn id="23" xr3:uid="{70A76719-A2DE-4C8C-B133-FCA4CA53F572}" name="Scope" dataDxfId="236"/>
    <tableColumn id="24" xr3:uid="{0FC1AB5D-579A-43CC-946D-E43B6C8738DB}" name="VIPs" dataDxfId="235">
      <calculatedColumnFormula>_xlfn.XLOOKUP(tblDependencies[[#This Row],[DependentName]],tblTM[common_assetName],tblTM[LB],"",0,1)</calculatedColumnFormula>
    </tableColumn>
    <tableColumn id="25" xr3:uid="{823DF439-F20F-4389-B25E-276FF2F32BDC}" name="Column1" dataDxfId="234"/>
    <tableColumn id="26" xr3:uid="{B9C3C318-1AFD-4400-87E6-FC29D66DE61D}" name="Column2" dataDxfId="233"/>
  </tableColumns>
  <tableStyleInfo name="TableStyleMedium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188057C-2DBA-47FB-B611-85A9C32B57D7}" name="tblDepApp" displayName="tblDepApp" ref="C50:D61" totalsRowShown="0">
  <autoFilter ref="C50:D61" xr:uid="{D188057C-2DBA-47FB-B611-85A9C32B57D7}"/>
  <sortState xmlns:xlrd2="http://schemas.microsoft.com/office/spreadsheetml/2017/richdata2" ref="C51:D61">
    <sortCondition ref="C51:C61"/>
  </sortState>
  <tableColumns count="2">
    <tableColumn id="1" xr3:uid="{D7F29A3C-3D8E-4E70-B826-8115A4034C77}" name="Applications" dataDxfId="133"/>
    <tableColumn id="2" xr3:uid="{6F42F660-3617-4A81-8940-917062E87469}" name="Servers" dataDxfId="134">
      <calculatedColumnFormula>_xlfn.LET(_xlpm.AppCount,COUNTIFS(tblDependencies[Scope],"",tblDependencies[AssetName],tblDepApp[[#This Row],[Applications]]),IF(_xlpm.AppCount=0,"",_xlpm.AppCount))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B989393-0A0E-E94A-9D5A-0E6C42DFFCD1}" name="tblOSMachineType" displayName="tblOSMachineType" ref="A1:B24" totalsRowShown="0">
  <autoFilter ref="A1:B24" xr:uid="{1B989393-0A0E-E94A-9D5A-0E6C42DFFCD1}"/>
  <sortState xmlns:xlrd2="http://schemas.microsoft.com/office/spreadsheetml/2017/richdata2" ref="A2:B16">
    <sortCondition ref="A2:A16"/>
  </sortState>
  <tableColumns count="2">
    <tableColumn id="1" xr3:uid="{7986E65E-6432-414F-9B1F-1BEDC6059593}" name="TM OS"/>
    <tableColumn id="2" xr3:uid="{EE6AC785-68D6-374B-8A41-40C33ECC38A4}" name="Machine Type"/>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74921B-9400-D34B-B0DC-B110A6E80C73}" name="tblCurrentDeviceType" displayName="tblCurrentDeviceType" ref="D1:D6" totalsRowShown="0">
  <autoFilter ref="D1:D6" xr:uid="{DF74921B-9400-D34B-B0DC-B110A6E80C73}"/>
  <tableColumns count="1">
    <tableColumn id="1" xr3:uid="{65E67621-8EFD-004C-BA91-CD8829FE7B98}" name="Device Typ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4D78A4F-1B07-4BE3-8D17-7885F908BDC2}" name="tblStateCodes" displayName="tblStateCodes" ref="I1:J4" totalsRowShown="0">
  <autoFilter ref="I1:J4" xr:uid="{04D78A4F-1B07-4BE3-8D17-7885F908BDC2}"/>
  <tableColumns count="2">
    <tableColumn id="1" xr3:uid="{064D4A01-433B-4BAE-A2D0-64003F330A13}" name="STAbbr"/>
    <tableColumn id="2" xr3:uid="{ACBD4C66-735C-4E06-AD75-23BFDE4D5397}" name="Stat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E284B67-B72A-4DFB-A8F7-D48E28549B3C}" name="tblLocationCodes" displayName="tblLocationCodes" ref="L1:M8" totalsRowShown="0">
  <autoFilter ref="L1:M8" xr:uid="{AE284B67-B72A-4DFB-A8F7-D48E28549B3C}"/>
  <tableColumns count="2">
    <tableColumn id="1" xr3:uid="{9D1FF6A3-E164-4A77-B7BC-A87E6545E991}" name="LocAbbr"/>
    <tableColumn id="2" xr3:uid="{AB21B869-93E4-480A-BEF0-1C6F36E605D7}" name="Location"/>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272273-9E7F-4E36-9261-D1137D8E174E}" name="tblEnvironmentCodes" displayName="tblEnvironmentCodes" ref="O1:P5" totalsRowShown="0">
  <autoFilter ref="O1:P5" xr:uid="{EE272273-9E7F-4E36-9261-D1137D8E174E}"/>
  <tableColumns count="2">
    <tableColumn id="1" xr3:uid="{26196B4A-EAAF-4B24-B4D7-A88B8CEB311F}" name="EnvAbbr"/>
    <tableColumn id="2" xr3:uid="{36A0E0F7-1AE6-4670-9DD2-1BDFE64B5DD8}" name="Environmen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FE121A3-3C96-4643-A985-54044E039498}" name="tblPlatformCodes" displayName="tblPlatformCodes" ref="R1:S11" totalsRowShown="0">
  <autoFilter ref="R1:S11" xr:uid="{6FE121A3-3C96-4643-A985-54044E039498}"/>
  <tableColumns count="2">
    <tableColumn id="1" xr3:uid="{86E43E2A-E6F8-445A-BCA3-4B062128D531}" name="PlatAbbr"/>
    <tableColumn id="2" xr3:uid="{23604327-6341-4392-B67B-90349293A3A2}" name="Platform"/>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B40E4-067A-472C-B778-8BE159CC7B42}" name="tblTypeCodes" displayName="tblTypeCodes" ref="U1:V3" totalsRowShown="0">
  <autoFilter ref="U1:V3" xr:uid="{5B6B40E4-067A-472C-B778-8BE159CC7B42}"/>
  <tableColumns count="2">
    <tableColumn id="1" xr3:uid="{3743BD1E-6A22-445A-9C7C-75DE920A093D}" name="TypAbbr"/>
    <tableColumn id="2" xr3:uid="{41A2CFA2-FBE8-4C0F-96F1-34029139AE44}" name="Type"/>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E263C29-1777-4585-B3DA-6CABE1D82365}" name="tblMEDate" displayName="tblMEDate" ref="Z1:AA2" totalsRowShown="0" headerRowDxfId="232" dataDxfId="231" headerRowCellStyle="Normal 2">
  <autoFilter ref="Z1:AA2" xr:uid="{BE263C29-1777-4585-B3DA-6CABE1D82365}"/>
  <tableColumns count="2">
    <tableColumn id="1" xr3:uid="{352C8904-8510-4BE6-9A22-1619CA551CBE}" name="Move ME" dataDxfId="230" dataCellStyle="Normal 2"/>
    <tableColumn id="2" xr3:uid="{98C24F1E-5DDD-4CE5-BF22-FADAE0539767}" name="Event Date" dataDxfId="229" dataCellStyle="Normal 2"/>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73E0818-192D-4159-B008-5AC7F5E47AB8}" name="tblSubArea" displayName="tblSubArea" ref="AG1:AG12" totalsRowShown="0" headerRowDxfId="228" headerRowCellStyle="Normal 2">
  <autoFilter ref="AG1:AG12" xr:uid="{373E0818-192D-4159-B008-5AC7F5E47AB8}"/>
  <tableColumns count="1">
    <tableColumn id="1" xr3:uid="{3A8D586E-B787-4DA4-8132-7ECEE02DE93C}" name="SubArea"/>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B363E81-AE7D-4559-9181-42BE8F3ECABD}" name="tbltgt" displayName="tbltgt" ref="AH1:AI28" totalsRowShown="0">
  <autoFilter ref="AH1:AI28" xr:uid="{3B363E81-AE7D-4559-9181-42BE8F3ECABD}"/>
  <tableColumns count="2">
    <tableColumn id="1" xr3:uid="{47FC69FC-7581-4560-B533-CF6FB152E2D1}" name="Target"/>
    <tableColumn id="2" xr3:uid="{7BDD85A0-13E4-456D-B935-5A5DEFAD11E3}" name="Starts"/>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0DE899-E446-463A-9BAF-46F62CC16B57}" name="tblTargetPlatformList" displayName="tblTargetPlatformList" ref="F1:G12" totalsRowShown="0">
  <autoFilter ref="F1:G12" xr:uid="{D70DE899-E446-463A-9BAF-46F62CC16B57}"/>
  <tableColumns count="2">
    <tableColumn id="1" xr3:uid="{3631E4A8-4DCC-41D9-B9CA-4EEA443F7CAD}" name="Target Platform"/>
    <tableColumn id="2" xr3:uid="{FF6A79E8-36F6-4943-90C9-B6347EA99646}" name="Site" dataDxfId="227"/>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F2387FB-962E-4736-8995-61A68EB24042}" name="tblAppLvl" displayName="tblAppLvl" ref="A1:J12" totalsRowShown="0" headerRowDxfId="226" dataDxfId="225">
  <autoFilter ref="A1:J12" xr:uid="{7BF2C56A-6C30-49D3-9ED6-C77C9C875585}"/>
  <tableColumns count="10">
    <tableColumn id="1" xr3:uid="{92607299-6296-4B1C-A40C-C6ACCCCDABFD}" name="#" dataDxfId="224"/>
    <tableColumn id="2" xr3:uid="{3AAB74A0-9137-4C67-B881-EF5C32E8345C}" name="Event" dataDxfId="223">
      <calculatedColumnFormula>MigrationEventCode</calculatedColumnFormula>
    </tableColumn>
    <tableColumn id="3" xr3:uid="{8422EEF4-ED86-49FC-8079-DE6CBAF58D7E}" name="Migration date" dataDxfId="222">
      <calculatedColumnFormula>TMWorkbook!$C$2</calculatedColumnFormula>
    </tableColumn>
    <tableColumn id="4" xr3:uid="{CC29ACA7-2655-4283-9DE0-0FBC5BB257E2}" name="App" dataDxfId="221" dataCellStyle="Normal 57"/>
    <tableColumn id="5" xr3:uid="{33A46FE4-4A5C-46E3-8A05-6EE916D19ED7}" name="Servers" dataDxfId="220">
      <calculatedColumnFormula>_xlfn.XLOOKUP(tblAppLvl[[#This Row],[App]],tblDepApp[Applications],tblDepApp[Servers],"",0,1)</calculatedColumnFormula>
    </tableColumn>
    <tableColumn id="6" xr3:uid="{042D8372-961E-4557-9E98-F52238B1DAD8}" name="App Owner" dataDxfId="219">
      <calculatedColumnFormula>CONCATENATE(_xlfn.XLOOKUP(tblAppLvl[[#This Row],[App]],tblApplications[common_assetName],tblApplications[application_appOwner],"",0,1),", ",_xlfn.XLOOKUP(tblAppLvl[[#This Row],[App]],tblApplications[common_assetName],tblApplications[application_custom10],"",0,1))</calculatedColumnFormula>
    </tableColumn>
    <tableColumn id="7" xr3:uid="{EEE8B9F2-92B2-4120-8757-98B819F0BE06}" name="Migration status" dataDxfId="218"/>
    <tableColumn id="8" xr3:uid="{8EA347DA-CF2A-4F79-9CA2-FF265C1B9701}" name="Hand over Date/Sign off date" dataDxfId="217"/>
    <tableColumn id="9" xr3:uid="{D723D8DC-1004-4A65-98CC-E9E96EFDF330}" name="Kyndryl PM" dataDxfId="216">
      <calculatedColumnFormula>_xlfn.TEXTJOIN(", ",TRUE,tblPMs[PMs Names])</calculatedColumnFormula>
    </tableColumn>
    <tableColumn id="10" xr3:uid="{7BFE1634-5B8D-490D-9A7A-A94C9748D15C}" name="Comment" dataDxfId="2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9878D5A-3DB8-4C7D-B5DE-574F1184CBC4}" name="tblSignOff" displayName="tblSignOff" ref="A1:W47" totalsRowShown="0" headerRowDxfId="214" dataDxfId="213" headerRowCellStyle="Normal_WPInitialQuestionnaire.ppt">
  <autoFilter ref="A1:W47" xr:uid="{108D6A21-7AFE-493D-B74A-87CB4AAC1172}"/>
  <tableColumns count="23">
    <tableColumn id="1" xr3:uid="{FD713C33-E66E-4571-9F44-1DB4E9810FA3}" name="Seq#" dataDxfId="212"/>
    <tableColumn id="2" xr3:uid="{F77F1D2F-2910-4828-8B15-FC34FB9869FA}" name="Migration Status" dataDxfId="211">
      <calculatedColumnFormula>_xlfn.LET(_xlpm.MigSt,_xlfn.XLOOKUP(tblSignOff[[#This Row],[Hostname]],tblUnqSvr[Hostname],tblUnqSvr[Migration Status],"",0,1),IF(_xlpm.MigSt=0,"",_xlpm.MigSt))</calculatedColumnFormula>
    </tableColumn>
    <tableColumn id="3" xr3:uid="{3D5D4E74-C42A-43AE-8909-1E5CF34A0046}" name=" Event " dataDxfId="210">
      <calculatedColumnFormula>MigrationEventCode</calculatedColumnFormula>
    </tableColumn>
    <tableColumn id="4" xr3:uid="{77CB0C56-8FAC-4E69-AB50-44D57C079869}" name="Cutover Date" dataDxfId="209">
      <calculatedColumnFormula>TMWorkbook!$C$2</calculatedColumnFormula>
    </tableColumn>
    <tableColumn id="5" xr3:uid="{1DA46664-DA69-4F29-ADC7-BFB8C20C85D7}" name="Application Name" dataDxfId="208">
      <calculatedColumnFormula>_xlfn.XLOOKUP(tblSignOff[[#This Row],[AssetDependencyId]],tblEvntScope[AssetDependencyId],tblEvntScope[Application Name],"",0,1)</calculatedColumnFormula>
    </tableColumn>
    <tableColumn id="6" xr3:uid="{E1520F46-0F35-459E-B3B9-B325A81C8F05}" name="Application Owner" dataDxfId="207">
      <calculatedColumnFormula>_xlfn.XLOOKUP(tblSignOff[[#This Row],[AssetDependencyId]],tblEvntScope[AssetDependencyId],tblEvntScope[Application Owner],"",0,1)</calculatedColumnFormula>
    </tableColumn>
    <tableColumn id="7" xr3:uid="{8434791A-3DD7-499E-905E-527F7F2C0509}" name="SourceHostname-old" dataDxfId="206">
      <calculatedColumnFormula>CONCATENATE(tblSignOff[[#This Row],[Hostname]],"-cmold")</calculatedColumnFormula>
    </tableColumn>
    <tableColumn id="8" xr3:uid="{5B862AB7-3DE4-4DA7-95F8-32389326E3AE}" name="Source IP Address" dataDxfId="205">
      <calculatedColumnFormula>_xlfn.XLOOKUP(tblSignOff[[#This Row],[AssetDependencyId]],tblEvntScope[AssetDependencyId],tblEvntScope[Source IP Address],"",0,1)</calculatedColumnFormula>
    </tableColumn>
    <tableColumn id="9" xr3:uid="{42D83755-F3E4-46E1-A5A6-E56C68F96C77}" name="EH Data Center Location" dataDxfId="204">
      <calculatedColumnFormula>_xlfn.LET(_xlpm.DCLoc,_xlfn.XLOOKUP(tblSignOff[[#This Row],[Hostname]],tblUnqSvr[Hostname],tblUnqSvr[EH DataCenter Location],"",0,1), IF(_xlpm.DCLoc=0,"",_xlpm.DCLoc))</calculatedColumnFormula>
    </tableColumn>
    <tableColumn id="10" xr3:uid="{0B86FD45-BE9E-4CB9-ABAB-BC11A2A2F95F}" name="Type (App/DB)" dataDxfId="203">
      <calculatedColumnFormula>_xlfn.XLOOKUP(tblSignOff[[#This Row],[AssetDependencyId]],tblEvntScope[AssetDependencyId],tblEvntScope[Type
App/DB],"",0,1)</calculatedColumnFormula>
    </tableColumn>
    <tableColumn id="11" xr3:uid="{AD76671B-3DBF-467C-8ADF-EC18E46A92FA}" name="Environment" dataDxfId="202" dataCellStyle="Normal 7">
      <calculatedColumnFormula>_xlfn.XLOOKUP(tblSignOff[[#This Row],[AssetDependencyId]],tblEvntScope[AssetDependencyId],tblEvntScope[Environment],"",0,1)</calculatedColumnFormula>
    </tableColumn>
    <tableColumn id="12" xr3:uid="{AF4D4F26-767D-4CC4-97C1-304E2AD1F885}" name="Device Type" dataDxfId="201" dataCellStyle="Normal 7">
      <calculatedColumnFormula>_xlfn.XLOOKUP(tblSignOff[[#This Row],[Hostname]],tblTM[common_assetName],tblTM[device_assetType],"",0,1)</calculatedColumnFormula>
    </tableColumn>
    <tableColumn id="13" xr3:uid="{CAF10CD0-EA11-4EB4-8440-47BF91D36FEF}" name="Operating System" dataDxfId="200" dataCellStyle="Normal 7">
      <calculatedColumnFormula>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4" xr3:uid="{E18274F7-ED26-407A-A0DB-59A95670C781}" name="Physical Server Serial Number" dataDxfId="199">
      <calculatedColumnFormula>_xlfn.LET(_xlpm.PhySN,_xlfn.XLOOKUP(tblSignOff[[#This Row],[Hostname]],tblUnqSvr[Hostname],tblUnqSvr[Source Physical Server Serial Number],"",0,1), IF(_xlpm.PhySN=0,"", _xlpm.PhySN))</calculatedColumnFormula>
    </tableColumn>
    <tableColumn id="15" xr3:uid="{699A8834-83C4-4FB0-883D-09E17E1E474C}" name="Target Data Center" dataDxfId="198">
      <calculatedColumnFormula>_xlfn.XLOOKUP(tblSignOff[[#This Row],[Hostname]],tblUnqSvr[Hostname],tblUnqSvr[Target Data Center],"",0,1)</calculatedColumnFormula>
    </tableColumn>
    <tableColumn id="16" xr3:uid="{54BF87D5-A6AD-4228-BD1E-DDD37564D6FE}" name="Hostname" dataDxfId="197">
      <calculatedColumnFormula>_xlfn.XLOOKUP(tblSignOff[[#This Row],[AssetDependencyId]],tblDependencies[AssetDependencyId],tblDependencies[DependentName],"",0,1)</calculatedColumnFormula>
    </tableColumn>
    <tableColumn id="17" xr3:uid="{9987EC46-2A88-4362-84B7-93809A606C7B}" name="Target IPs " dataDxfId="196">
      <calculatedColumnFormula>_xlfn.XLOOKUP(tblSignOff[[#This Row],[Hostname]],tblTM[common_assetName],tblTM[device_custom17],"",0,1)</calculatedColumnFormula>
    </tableColumn>
    <tableColumn id="18" xr3:uid="{C69E673A-7947-4C96-AD5C-5950A03AAFA6}" name="Target Subnet" dataDxfId="195">
      <calculatedColumnFormula>_xlfn.XLOOKUP(tblSignOff[[#This Row],[Hostname]],tblTM[common_assetName],tblTM[device_custom14],"",0,1)</calculatedColumnFormula>
    </tableColumn>
    <tableColumn id="19" xr3:uid="{674BA091-6A57-4A39-8CF4-458A677994C9}" name="Target Gateway" dataDxfId="194">
      <calculatedColumnFormula>_xlfn.XLOOKUP(tblSignOff[[#This Row],[Hostname]],tblTM[common_assetName],tblTM[device_custom12],"",0,1)</calculatedColumnFormula>
    </tableColumn>
    <tableColumn id="20" xr3:uid="{D6B4D080-5229-47A1-8ECB-013AAE7C1EF7}" name="Cutover Change number" dataDxfId="193">
      <calculatedColumnFormula>_xlfn.XLOOKUP(tblSignOff[[#This Row],[Hostname]],tblUnqSvr[Hostname],tblUnqSvr[Cutover Change number],"",0,1)</calculatedColumnFormula>
    </tableColumn>
    <tableColumn id="21" xr3:uid="{C49AA2C6-2994-4CB4-BC03-D11CF204907E}" name="Plan Status &quot;Moved&quot; in TM" dataDxfId="192">
      <calculatedColumnFormula>_xlfn.XLOOKUP(tblSignOff[[#This Row],[Hostname]],tblUnqSvr[Hostname],tblUnqSvr[Plan Status "Moved" in TM],"",0,1)</calculatedColumnFormula>
    </tableColumn>
    <tableColumn id="22" xr3:uid="{A62D5D03-52D1-4630-8162-736BAF4B01B5}" name="Comment" dataDxfId="191"/>
    <tableColumn id="23" xr3:uid="{BA947D7E-0E42-44F4-BAC1-156B795E06DD}" name="AssetDependencyId" dataDxfId="190" dataCellStyle="Normal 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E03E373-79A2-4A18-9076-EE5D450748FC}" name="tblUnqSvr" displayName="tblUnqSvr" ref="A1:X47" totalsRowShown="0" headerRowDxfId="189" dataDxfId="188" headerRowCellStyle="Normal_WPInitialQuestionnaire.ppt">
  <autoFilter ref="A1:X47" xr:uid="{BA999C1D-60FC-4F48-9235-DCA78413F533}"/>
  <tableColumns count="24">
    <tableColumn id="1" xr3:uid="{085D437B-E6DE-4524-8B86-DAFD34859371}" name="Seq#" dataDxfId="187" dataCellStyle="Normal 149 2"/>
    <tableColumn id="2" xr3:uid="{55B3D43F-51F4-4973-8F6A-BF84752B2935}" name="Migration Status" dataDxfId="186"/>
    <tableColumn id="3" xr3:uid="{531FCE7E-1E98-420B-ABD5-754A6777FC93}" name=" Event " dataDxfId="185">
      <calculatedColumnFormula>MigrationEventCode</calculatedColumnFormula>
    </tableColumn>
    <tableColumn id="4" xr3:uid="{E0D35880-3E9B-4F13-96F7-D120B5AE3FF2}" name="Migration Date:     " dataDxfId="184">
      <calculatedColumnFormula>TMWorkbook!$C$2</calculatedColumnFormula>
    </tableColumn>
    <tableColumn id="5" xr3:uid="{F36C716A-4A0C-4C53-98BC-1D38E094B896}" name="[Sourcehostname]-cmold" dataDxfId="183">
      <calculatedColumnFormula>CONCATENATE(tblUnqSvr[[#This Row],[Hostname]],"-cmold")</calculatedColumnFormula>
    </tableColumn>
    <tableColumn id="6" xr3:uid="{A585E850-A04F-44FE-859E-2739FF788AFB}" name="Source IP Address" dataDxfId="182">
      <calculatedColumnFormula>_xlfn.XLOOKUP(tblUnqSvr[[#This Row],[Hostname]],tblTM[common_assetName],tblTM[device_ipAddress],"",0,1)</calculatedColumnFormula>
    </tableColumn>
    <tableColumn id="7" xr3:uid="{D472C189-B88C-4C30-8931-9DA5A163680C}" name="EH DataCenter Location" dataDxfId="137"/>
    <tableColumn id="8" xr3:uid="{4A795224-BECB-4CA4-83E7-CFDD2A20859F}" name="Type (App/DB)" dataDxfId="181">
      <calculatedColumnFormula>_xlfn.XLOOKUP(tblUnqSvr[[#This Row],[Hostname]],tblTM[common_assetName],tblTM[device_custom35],"",0,1)</calculatedColumnFormula>
    </tableColumn>
    <tableColumn id="9" xr3:uid="{0E030966-C8D5-4777-93CF-A463BF5BE8C0}" name="Environment" dataDxfId="180" dataCellStyle="Normal 7">
      <calculatedColumnFormula>_xlfn.XLOOKUP(tblUnqSvr[[#This Row],[Hostname]],tblTM[common_assetName],tblTM[common_environment],"",0,1)</calculatedColumnFormula>
    </tableColumn>
    <tableColumn id="10" xr3:uid="{D8D6431C-B2A5-4373-B570-A89967719F3B}" name="Device Type" dataDxfId="179" dataCellStyle="Normal 7">
      <calculatedColumnFormula>_xlfn.XLOOKUP(tblUnqSvr[[#This Row],[Hostname]],tblTM[common_assetName],tblTM[device_assetType],"",0,1)</calculatedColumnFormula>
    </tableColumn>
    <tableColumn id="11" xr3:uid="{72584F55-64B1-46A0-8F94-72EFE744B1F2}" name="Operating System" dataDxfId="178" dataCellStyle="Normal 7">
      <calculatedColumnFormula>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2" xr3:uid="{F1C81AE2-7726-4711-85EE-C5C70D4527EF}" name="Source Physical Server Serial Number" dataDxfId="136"/>
    <tableColumn id="13" xr3:uid="{35C08B02-61BE-465B-AB4C-463D2114825F}" name="Target Data Center" dataDxfId="177">
      <calculatedColumnFormula>_xlfn.XLOOKUP(tblUnqSvr[[#This Row],[Hostname]],tblEvntScope[Hostname],tblEvntScope[Target Data Center],"",0,1)</calculatedColumnFormula>
    </tableColumn>
    <tableColumn id="14" xr3:uid="{C028444D-D768-441A-8D46-3B0BC0CEE315}" name="Hostname" dataDxfId="176"/>
    <tableColumn id="15" xr3:uid="{0FDAC7A0-7E0D-47B0-ADE9-CCB47B296D60}" name="Target IPs " dataDxfId="175">
      <calculatedColumnFormula>_xlfn.XLOOKUP(tblUnqSvr[[#This Row],[Hostname]],tblTM[common_assetName],tblTM[device_custom17],"",0,1)</calculatedColumnFormula>
    </tableColumn>
    <tableColumn id="16" xr3:uid="{9D68A318-6835-4776-9B66-E3ACD426F1B1}" name="Target Subnet" dataDxfId="174">
      <calculatedColumnFormula>_xlfn.XLOOKUP(tblUnqSvr[[#This Row],[Hostname]],tblTM[common_assetName],tblTM[device_custom14],"",0,1)</calculatedColumnFormula>
    </tableColumn>
    <tableColumn id="17" xr3:uid="{E9BF675E-25D1-4DDD-93E5-D2BA76E48BB2}" name="Target Gateway" dataDxfId="173">
      <calculatedColumnFormula>_xlfn.XLOOKUP(tblUnqSvr[[#This Row],[Hostname]],tblTM[common_assetName],tblTM[device_custom12],"",0,1)</calculatedColumnFormula>
    </tableColumn>
    <tableColumn id="18" xr3:uid="{74F9DEDE-9E6C-4C1B-B695-14E696353B93}" name="Cutover Change number" dataDxfId="172"/>
    <tableColumn id="19" xr3:uid="{36774998-4341-4BCD-820C-EFDEBE765332}" name="Plan Status &quot;Moved&quot; in TM" dataDxfId="171"/>
    <tableColumn id="20" xr3:uid="{55204B43-9703-4835-AA93-00D87FC27B49}" name="VM Name in Vcenter" dataDxfId="170"/>
    <tableColumn id="21" xr3:uid="{DE291CE8-E252-4388-ACD2-6B42F35A7C7A}" name=" Vcenter Name" dataDxfId="169"/>
    <tableColumn id="22" xr3:uid="{9ACCB239-F18E-4B8A-AC55-0FA05619EFF4}" name="Power Status of VM" dataDxfId="168"/>
    <tableColumn id="23" xr3:uid="{C43F963E-7FD9-43F3-9B2B-B205BC167286}" name="VM Cluster Name" dataDxfId="167"/>
    <tableColumn id="24" xr3:uid="{B81ED9BD-F747-487C-996E-1B6AF8394227}" name="Comment" dataDxfId="16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786665F-E48F-4969-85E0-E0C4193FE0C0}" name="tblPhySvrs" displayName="tblPhySvrs" ref="A1:T33" totalsRowShown="0" headerRowDxfId="165" dataDxfId="164">
  <autoFilter ref="A1:T33" xr:uid="{838E34C2-8944-431E-AA35-1E4FC0A9D733}"/>
  <tableColumns count="20">
    <tableColumn id="1" xr3:uid="{47592E65-018E-4E34-9C11-753CB73A7CB5}" name="Seq#" dataDxfId="163"/>
    <tableColumn id="2" xr3:uid="{CCDED262-7856-4363-AF5E-8EEE721C4B8F}" name="Migration Status" dataDxfId="162">
      <calculatedColumnFormula>_xlfn.LET(_xlpm.MigSt,_xlfn.XLOOKUP(tblPhySvrs[[#This Row],[Hostname]],tblUnqSvr[Hostname],tblUnqSvr[Migration Status],"",0,1),IF(_xlpm.MigSt=0,"",_xlpm.MigSt))</calculatedColumnFormula>
    </tableColumn>
    <tableColumn id="3" xr3:uid="{7C844B11-28AF-4448-B221-0A7C3F8CEE2D}" name=" Event " dataDxfId="161">
      <calculatedColumnFormula>MigrationEventCode</calculatedColumnFormula>
    </tableColumn>
    <tableColumn id="4" xr3:uid="{2DD5DE0C-D3D3-40CB-9DC3-2D76CC4C303E}" name="Migration Date:     " dataDxfId="160">
      <calculatedColumnFormula>TMWorkbook!$C$2</calculatedColumnFormula>
    </tableColumn>
    <tableColumn id="5" xr3:uid="{171B9E8C-1495-485F-98EC-75F818312527}" name="[Sourcehostname]-old" dataDxfId="159">
      <calculatedColumnFormula>CONCATENATE(tblPhySvrs[[#This Row],[Hostname]],"-cmold")</calculatedColumnFormula>
    </tableColumn>
    <tableColumn id="6" xr3:uid="{A763FEEE-C2CB-4A1F-BB7C-32DDC5C82BA7}" name="Source IP Address" dataDxfId="158">
      <calculatedColumnFormula>_xlfn.XLOOKUP(tblPhySvrs[[#This Row],[Hostname]],tblTM[common_assetName],tblTM[device_ipAddress],"",0,1)</calculatedColumnFormula>
    </tableColumn>
    <tableColumn id="7" xr3:uid="{8BC87A81-778E-49EC-8423-9F8CDEFCF5DE}" name="EH Data Center Location" dataDxfId="157">
      <calculatedColumnFormula>_xlfn.LET(_xlpm.DCLoc,_xlfn.XLOOKUP(tblPhySvrs[[#This Row],[Hostname]],tblUnqSvr[Hostname],tblUnqSvr[EH DataCenter Location],"",0,1), IF(_xlpm.DCLoc=0,"",_xlpm.DCLoc))</calculatedColumnFormula>
    </tableColumn>
    <tableColumn id="8" xr3:uid="{19FCDC91-4965-4DDE-A1B4-360373EC75D2}" name="Type (App/DB)" dataDxfId="156">
      <calculatedColumnFormula>_xlfn.XLOOKUP(tblPhySvrs[[#This Row],[Hostname]],tblTM[common_assetName],tblTM[device_custom35],"",0,1)</calculatedColumnFormula>
    </tableColumn>
    <tableColumn id="9" xr3:uid="{EC869524-7235-4D28-B2D1-B2F6F684365B}" name="Environment" dataDxfId="155" dataCellStyle="Normal 7">
      <calculatedColumnFormula>_xlfn.XLOOKUP(tblPhySvrs[[#This Row],[Hostname]],tblTM[common_assetName],tblTM[common_environment],"",0,1)</calculatedColumnFormula>
    </tableColumn>
    <tableColumn id="10" xr3:uid="{0238AFB6-5379-4B6A-86D1-EDD19EEFD516}" name="Device Type" dataDxfId="154" dataCellStyle="Normal 7">
      <calculatedColumnFormula>_xlfn.XLOOKUP(tblPhySvrs[[#This Row],[Hostname]],tblUnqSvr[Hostname],tblUnqSvr[Device Type],"",0,1)</calculatedColumnFormula>
    </tableColumn>
    <tableColumn id="11" xr3:uid="{A35B1812-D861-48EF-AA00-CAF80A00FE8A}" name="Operating System" dataDxfId="153" dataCellStyle="Normal 7">
      <calculatedColumnFormula>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2" xr3:uid="{91ECE770-C6B2-462C-9C98-9406ECF0F472}" name="Source Physical Server Serial Number" dataDxfId="152">
      <calculatedColumnFormula>_xlfn.XLOOKUP(tblPhySvrs[[#This Row],[Hostname]],tblUnqSvr[[#This Row],[Hostname]],tblUnqSvr[[#This Row],[Source Physical Server Serial Number]],"",0,1)</calculatedColumnFormula>
    </tableColumn>
    <tableColumn id="13" xr3:uid="{6035E27C-C78E-4E6F-9309-42A566F8017C}" name="Target Data Center" dataDxfId="151">
      <calculatedColumnFormula>_xlfn.XLOOKUP(tblPhySvrs[[#This Row],[Hostname]],tblUnqSvr[[#This Row],[Hostname]],tblUnqSvr[[#This Row],[Target Data Center]],"",0,1)</calculatedColumnFormula>
    </tableColumn>
    <tableColumn id="14" xr3:uid="{01A642BF-0F84-49D3-9CBB-A6BB082FDAB9}" name="Hostname" dataDxfId="150" dataCellStyle="Normal 8"/>
    <tableColumn id="15" xr3:uid="{AD9462D4-165B-425D-8FD6-810388A1E18D}" name="Target IPs " dataDxfId="149">
      <calculatedColumnFormula>_xlfn.XLOOKUP(tblPhySvrs[[#This Row],[Hostname]],tblTM[common_assetName],tblTM[device_custom17],"",0,1)</calculatedColumnFormula>
    </tableColumn>
    <tableColumn id="16" xr3:uid="{716846BC-C205-4DFA-AB68-5BA7FCFB0CBE}" name="Target Subnet" dataDxfId="148">
      <calculatedColumnFormula>_xlfn.XLOOKUP(tblPhySvrs[[#This Row],[Hostname]],tblTM[common_assetName],tblTM[device_custom14],"",0,1)</calculatedColumnFormula>
    </tableColumn>
    <tableColumn id="17" xr3:uid="{E56F2AF0-27A0-4DBD-8DB7-FB81C710D2E4}" name="Target Gateway" dataDxfId="147">
      <calculatedColumnFormula>_xlfn.XLOOKUP(tblPhySvrs[[#This Row],[Hostname]],tblTM[common_assetName],tblTM[device_custom12],"",0,1)</calculatedColumnFormula>
    </tableColumn>
    <tableColumn id="18" xr3:uid="{CBE89D95-062A-4C90-A0CE-9EE3EA88F124}" name="Cutover Change number" dataDxfId="146">
      <calculatedColumnFormula>_xlfn.XLOOKUP(tblPhySvrs[[#This Row],[Hostname]],tblUnqSvr[[#This Row],[Hostname]],tblUnqSvr[[#This Row],[Cutover Change number]],"",0,1)</calculatedColumnFormula>
    </tableColumn>
    <tableColumn id="19" xr3:uid="{4415C9C2-6672-467E-8085-D4FF57D55603}" name="Plan Status &quot;Moved&quot; in TM" dataDxfId="145">
      <calculatedColumnFormula>_xlfn.XLOOKUP(tblPhySvrs[[#This Row],[Hostname]],tblUnqSvr[[#This Row],[Hostname]],tblUnqSvr[[#This Row],[Plan Status "Moved" in TM]],"",0,1)</calculatedColumnFormula>
    </tableColumn>
    <tableColumn id="20" xr3:uid="{0B803B26-061C-49F7-A43D-0BFB963894DD}" name="Comment" dataDxfId="14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DDD58D-25A7-5E4C-A9FD-B68E64F043F6}" name="tblConfigParams" displayName="tblConfigParams" ref="A1:B7" totalsRowShown="0">
  <autoFilter ref="A1:B7" xr:uid="{BBDDD58D-25A7-5E4C-A9FD-B68E64F043F6}"/>
  <tableColumns count="2">
    <tableColumn id="1" xr3:uid="{8E6044DD-88F4-4243-8BDA-1D2C36C4158F}" name="Parameter"/>
    <tableColumn id="2" xr3:uid="{27C4842B-F85F-3D4A-93C8-D088088E72CA}" name="Value" dataDxfId="143"/>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705BD8-EA0F-4413-8C06-E7A487B1C7F3}" name="anthem_config" displayName="anthem_config" ref="A1:D6" totalsRowShown="0">
  <autoFilter ref="A1:D6" xr:uid="{C6705BD8-EA0F-4413-8C06-E7A487B1C7F3}"/>
  <tableColumns count="4">
    <tableColumn id="1" xr3:uid="{516CD5DE-5293-467C-B485-176D346BECF8}" name="project"/>
    <tableColumn id="2" xr3:uid="{D1A22723-3094-41B7-BF47-0E37D1936008}" name="project_id"/>
    <tableColumn id="3" xr3:uid="{9413E30C-5222-4CEF-981C-80C9A2F759A5}" name="apps_all_columns"/>
    <tableColumn id="4" xr3:uid="{FF4ED21A-D2FD-4A50-A360-3488E08B391A}" name="devs_arch_workbook"/>
  </tableColumns>
  <tableStyleInfo name="TableStyleLight8"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A0DF449-23DA-4BB1-9781-AC56254AB699}" name="tblCngLog" displayName="tblCngLog" ref="A2:D25" totalsRowShown="0" dataDxfId="142">
  <autoFilter ref="A2:D25" xr:uid="{E1F437BC-05C7-4ADE-B546-673318F358FA}"/>
  <tableColumns count="4">
    <tableColumn id="1" xr3:uid="{495B1718-793C-4731-B139-8E0CA780B904}" name="Version" dataDxfId="141"/>
    <tableColumn id="2" xr3:uid="{A3EB6E06-469E-4792-8796-6159EB19759D}" name="Date" dataDxfId="140">
      <calculatedColumnFormula>TODAY()</calculatedColumnFormula>
    </tableColumn>
    <tableColumn id="3" xr3:uid="{8F864C62-36C7-4F1B-B8CB-577C522EAB24}" name="Who" dataDxfId="139"/>
    <tableColumn id="4" xr3:uid="{E8BC3CF2-97C0-458B-9BC3-438021BA3E8E}" name="What is new?" dataDxfId="13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mailto:andrew.pappas@kyndryl.com" TargetMode="External"/><Relationship Id="rId1" Type="http://schemas.openxmlformats.org/officeDocument/2006/relationships/hyperlink" Target="mailto:palaksha.talkerappa@kyndry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table" Target="../tables/table8.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printerSettings" Target="../printerSettings/printerSettings7.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5.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table" Target="../tables/table26.xml"/><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kyndryl-elevance.transitionmanager.net/tdstm/" TargetMode="External"/></Relationships>
</file>

<file path=xl/worksheets/_rels/sheet2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85EA-73A6-48BE-B97E-88D526E3C0E1}">
  <sheetPr codeName="TMWorkbook"/>
  <dimension ref="A1:C20"/>
  <sheetViews>
    <sheetView workbookViewId="0">
      <selection activeCell="A13" sqref="A13"/>
    </sheetView>
  </sheetViews>
  <sheetFormatPr defaultColWidth="8.83203125" defaultRowHeight="15.5" x14ac:dyDescent="0.35"/>
  <cols>
    <col min="1" max="1" width="30.08203125" customWidth="1"/>
    <col min="2" max="2" width="23.08203125" customWidth="1"/>
    <col min="3" max="3" width="26.58203125" customWidth="1"/>
  </cols>
  <sheetData>
    <row r="1" spans="1:3" ht="32.25" customHeight="1" x14ac:dyDescent="0.35">
      <c r="A1" s="32" t="s">
        <v>450</v>
      </c>
    </row>
    <row r="2" spans="1:3" x14ac:dyDescent="0.35">
      <c r="A2" s="1" t="s">
        <v>1</v>
      </c>
      <c r="B2" s="163" t="s">
        <v>471</v>
      </c>
      <c r="C2" s="168">
        <v>46210</v>
      </c>
    </row>
    <row r="3" spans="1:3" x14ac:dyDescent="0.35">
      <c r="A3" t="s">
        <v>2</v>
      </c>
      <c r="B3" s="30" t="str">
        <f>SUBSTITUTE(MigrationEventCode,"ME","AppGroup")</f>
        <v>AppGroupA190</v>
      </c>
    </row>
    <row r="4" spans="1:3" x14ac:dyDescent="0.35">
      <c r="A4" s="1" t="s">
        <v>3</v>
      </c>
      <c r="B4" s="31" t="s">
        <v>4</v>
      </c>
    </row>
    <row r="5" spans="1:3" x14ac:dyDescent="0.35">
      <c r="A5" t="s">
        <v>5</v>
      </c>
      <c r="B5" s="30">
        <f>_xlfn.XLOOKUP($B$4,anthem_config[project],anthem_config[project_id],"",0)</f>
        <v>8620</v>
      </c>
    </row>
    <row r="6" spans="1:3" x14ac:dyDescent="0.35">
      <c r="A6" t="s">
        <v>6</v>
      </c>
      <c r="B6" s="30">
        <f>_xlfn.XLOOKUP($B$4,anthem_config[project],anthem_config[apps_all_columns],"",0)</f>
        <v>447</v>
      </c>
    </row>
    <row r="7" spans="1:3" x14ac:dyDescent="0.35">
      <c r="A7" t="s">
        <v>7</v>
      </c>
      <c r="B7" s="30">
        <f>_xlfn.XLOOKUP($B$4,anthem_config[project],anthem_config[devs_arch_workbook],"",0)</f>
        <v>446</v>
      </c>
    </row>
    <row r="10" spans="1:3" x14ac:dyDescent="0.35">
      <c r="A10" t="s">
        <v>8</v>
      </c>
      <c r="B10" t="s">
        <v>9</v>
      </c>
    </row>
    <row r="11" spans="1:3" x14ac:dyDescent="0.35">
      <c r="A11" t="s">
        <v>472</v>
      </c>
      <c r="B11" s="110" t="str">
        <f>LOWER(_xlfn.TEXTBEFORE(tblPMs[[#This Row],[PMs Names]], " ", 1) &amp; "." &amp; _xlfn.TEXTAFTER(tblPMs[[#This Row],[PMs Names]], " ", -1) &amp; "@kyndryl.com")</f>
        <v>palaksha.talkerappa@kyndryl.com</v>
      </c>
    </row>
    <row r="12" spans="1:3" x14ac:dyDescent="0.35">
      <c r="A12" t="s">
        <v>473</v>
      </c>
      <c r="B12" s="110" t="str">
        <f>LOWER(_xlfn.TEXTBEFORE(tblPMs[[#This Row],[PMs Names]], " ", 1) &amp; "." &amp; _xlfn.TEXTAFTER(tblPMs[[#This Row],[PMs Names]], " ", -1) &amp; "@kyndryl.com")</f>
        <v>andrew.pappas@kyndryl.com</v>
      </c>
    </row>
    <row r="13" spans="1:3" x14ac:dyDescent="0.35">
      <c r="B13" s="110"/>
    </row>
    <row r="14" spans="1:3" x14ac:dyDescent="0.35">
      <c r="B14" s="110"/>
    </row>
    <row r="15" spans="1:3" x14ac:dyDescent="0.35">
      <c r="B15" s="110"/>
    </row>
    <row r="16" spans="1:3" x14ac:dyDescent="0.35">
      <c r="A16" s="98" t="s">
        <v>10</v>
      </c>
    </row>
    <row r="17" spans="1:1" x14ac:dyDescent="0.35">
      <c r="A17" t="s">
        <v>11</v>
      </c>
    </row>
    <row r="18" spans="1:1" x14ac:dyDescent="0.35">
      <c r="A18" t="s">
        <v>12</v>
      </c>
    </row>
    <row r="19" spans="1:1" x14ac:dyDescent="0.35">
      <c r="A19" t="s">
        <v>13</v>
      </c>
    </row>
    <row r="20" spans="1:1" x14ac:dyDescent="0.35">
      <c r="A20" t="s">
        <v>14</v>
      </c>
    </row>
  </sheetData>
  <conditionalFormatting sqref="C2">
    <cfRule type="expression" dxfId="132" priority="1">
      <formula>TEXT($C$2,"ddd")="Fri"</formula>
    </cfRule>
  </conditionalFormatting>
  <dataValidations count="1">
    <dataValidation type="list" allowBlank="1" showInputMessage="1" showErrorMessage="1" sqref="B4" xr:uid="{D2307656-4AE0-460C-ADD1-03232B869222}">
      <formula1>INDIRECT("anthem_config[project]")</formula1>
    </dataValidation>
  </dataValidations>
  <hyperlinks>
    <hyperlink ref="B11" r:id="rId1" display="palaksha.talkerappa@kyndryl.com" xr:uid="{D43CE78A-C992-44C6-A4C0-3B188A19D306}"/>
    <hyperlink ref="B12" r:id="rId2" display="andrew.pappas@kyndryl.com" xr:uid="{744CEF50-E1BC-46E7-B679-3D51A9084967}"/>
  </hyperlinks>
  <pageMargins left="0.7" right="0.7" top="0.75" bottom="0.75" header="0.3" footer="0.3"/>
  <pageSetup orientation="portrait" horizontalDpi="90" verticalDpi="90" r:id="rId3"/>
  <drawing r:id="rId4"/>
  <legacyDrawing r:id="rId5"/>
  <mc:AlternateContent xmlns:mc="http://schemas.openxmlformats.org/markup-compatibility/2006">
    <mc:Choice Requires="x14">
      <controls>
        <mc:AlternateContent xmlns:mc="http://schemas.openxmlformats.org/markup-compatibility/2006">
          <mc:Choice Requires="x14">
            <control shapeId="47107" r:id="rId6" name="Button 3">
              <controlPr defaultSize="0" print="0" autoFill="0" autoPict="0" macro="[0]!MEInitPM">
                <anchor moveWithCells="1" sizeWithCells="1">
                  <from>
                    <xdr:col>1</xdr:col>
                    <xdr:colOff>76200</xdr:colOff>
                    <xdr:row>0</xdr:row>
                    <xdr:rowOff>31750</xdr:rowOff>
                  </from>
                  <to>
                    <xdr:col>1</xdr:col>
                    <xdr:colOff>1714500</xdr:colOff>
                    <xdr:row>0</xdr:row>
                    <xdr:rowOff>336550</xdr:rowOff>
                  </to>
                </anchor>
              </controlPr>
            </control>
          </mc:Choice>
        </mc:AlternateContent>
        <mc:AlternateContent xmlns:mc="http://schemas.openxmlformats.org/markup-compatibility/2006">
          <mc:Choice Requires="x14">
            <control shapeId="47108" r:id="rId7" name="Button 4">
              <controlPr defaultSize="0" print="0" autoFill="0" autoPict="0" macro="[0]!ClearAllTablesPM">
                <anchor moveWithCells="1" sizeWithCells="1">
                  <from>
                    <xdr:col>2</xdr:col>
                    <xdr:colOff>38100</xdr:colOff>
                    <xdr:row>0</xdr:row>
                    <xdr:rowOff>31750</xdr:rowOff>
                  </from>
                  <to>
                    <xdr:col>2</xdr:col>
                    <xdr:colOff>1898650</xdr:colOff>
                    <xdr:row>0</xdr:row>
                    <xdr:rowOff>336550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E0193-6414-494D-8333-D0855792CA55}">
  <sheetPr codeName="Sheet6"/>
  <dimension ref="A1:Y26"/>
  <sheetViews>
    <sheetView workbookViewId="0">
      <pane xSplit="1" ySplit="2" topLeftCell="B3" activePane="bottomRight" state="frozen"/>
      <selection pane="topRight" activeCell="B1" sqref="B1"/>
      <selection pane="bottomLeft" activeCell="A3" sqref="A3"/>
      <selection pane="bottomRight" activeCell="A3" sqref="A3:Y13"/>
    </sheetView>
  </sheetViews>
  <sheetFormatPr defaultColWidth="8.83203125" defaultRowHeight="15.5" x14ac:dyDescent="0.35"/>
  <cols>
    <col min="1" max="1" width="37" customWidth="1"/>
    <col min="2" max="2" width="9" customWidth="1"/>
    <col min="3" max="3" width="14.08203125" customWidth="1"/>
    <col min="4" max="5" width="7.58203125" customWidth="1"/>
    <col min="6" max="6" width="8.5" customWidth="1"/>
    <col min="7" max="7" width="5.58203125" customWidth="1"/>
    <col min="8" max="8" width="11.08203125" customWidth="1"/>
    <col min="9" max="9" width="6.33203125" customWidth="1"/>
    <col min="10" max="10" width="8" customWidth="1"/>
    <col min="11" max="11" width="6.33203125" customWidth="1"/>
    <col min="12" max="12" width="6.08203125" customWidth="1"/>
    <col min="13" max="13" width="9.1640625" customWidth="1"/>
    <col min="14" max="14" width="9.5" customWidth="1"/>
    <col min="15" max="15" width="5.58203125" customWidth="1"/>
    <col min="16" max="16" width="6" customWidth="1"/>
    <col min="17" max="17" width="5.6640625" customWidth="1"/>
    <col min="18" max="20" width="5.58203125" customWidth="1"/>
    <col min="21" max="21" width="9.1640625" customWidth="1"/>
    <col min="22" max="22" width="9.58203125" customWidth="1"/>
    <col min="23" max="23" width="7.1640625" customWidth="1"/>
    <col min="24" max="24" width="5.83203125" customWidth="1"/>
    <col min="25" max="25" width="6.6640625" customWidth="1"/>
  </cols>
  <sheetData>
    <row r="1" spans="1:25" x14ac:dyDescent="0.35">
      <c r="A1" s="24" t="str">
        <f>TMWorkbook!B2</f>
        <v>MEA190</v>
      </c>
      <c r="B1" s="178" t="s">
        <v>15</v>
      </c>
      <c r="C1" s="178"/>
      <c r="D1" s="178"/>
      <c r="E1" s="178"/>
      <c r="F1" s="179"/>
      <c r="G1" s="177" t="s">
        <v>16</v>
      </c>
      <c r="H1" s="178"/>
      <c r="I1" s="178"/>
      <c r="J1" s="178"/>
      <c r="K1" s="178"/>
      <c r="L1" s="178"/>
      <c r="M1" s="178"/>
      <c r="N1" s="179"/>
      <c r="O1" s="177" t="s">
        <v>17</v>
      </c>
      <c r="P1" s="178"/>
      <c r="Q1" s="178"/>
      <c r="R1" s="178"/>
      <c r="S1" s="178"/>
      <c r="T1" s="178"/>
      <c r="U1" s="179"/>
      <c r="V1" s="9"/>
      <c r="W1" s="10"/>
      <c r="X1" s="10"/>
      <c r="Y1" s="10"/>
    </row>
    <row r="2" spans="1:25" x14ac:dyDescent="0.35">
      <c r="A2" s="11" t="s">
        <v>18</v>
      </c>
      <c r="B2" s="23" t="s">
        <v>19</v>
      </c>
      <c r="C2" s="23" t="s">
        <v>20</v>
      </c>
      <c r="D2" s="23" t="s">
        <v>21</v>
      </c>
      <c r="E2" s="23" t="s">
        <v>22</v>
      </c>
      <c r="F2" s="23" t="s">
        <v>23</v>
      </c>
      <c r="G2" s="12" t="s">
        <v>24</v>
      </c>
      <c r="H2" s="27" t="s">
        <v>25</v>
      </c>
      <c r="I2" s="12" t="s">
        <v>26</v>
      </c>
      <c r="J2" s="12" t="s">
        <v>27</v>
      </c>
      <c r="K2" s="13" t="s">
        <v>28</v>
      </c>
      <c r="L2" s="12" t="s">
        <v>29</v>
      </c>
      <c r="M2" s="14" t="s">
        <v>30</v>
      </c>
      <c r="N2" s="12" t="s">
        <v>31</v>
      </c>
      <c r="O2" s="15" t="s">
        <v>32</v>
      </c>
      <c r="P2" s="15" t="s">
        <v>33</v>
      </c>
      <c r="Q2" s="15" t="s">
        <v>34</v>
      </c>
      <c r="R2" s="15" t="s">
        <v>35</v>
      </c>
      <c r="S2" s="15" t="s">
        <v>36</v>
      </c>
      <c r="T2" s="15" t="s">
        <v>37</v>
      </c>
      <c r="U2" s="16" t="s">
        <v>38</v>
      </c>
      <c r="V2" s="16" t="s">
        <v>39</v>
      </c>
      <c r="W2" s="122" t="s">
        <v>40</v>
      </c>
      <c r="X2" s="17" t="s">
        <v>41</v>
      </c>
      <c r="Y2" s="22" t="s">
        <v>42</v>
      </c>
    </row>
    <row r="3" spans="1:25" x14ac:dyDescent="0.35">
      <c r="A3" s="227" t="s">
        <v>748</v>
      </c>
      <c r="B3" s="228" t="str">
        <f>_xlfn.LET(_xlpm.AppCount,COUNTIFS(tblPMView[Scope],"",tblPMView[Application],tblAppSum[[#This Row],[Supported Application]],tblPMView[Device Type],B$2),IF(_xlpm.AppCount=0,"",_xlpm.AppCount))</f>
        <v/>
      </c>
      <c r="C3" s="228" t="str">
        <f>_xlfn.LET(_xlpm.AppCount,COUNTIFS(tblPMView[Scope],"",tblPMView[Application],tblAppSum[[#This Row],[Supported Application]],tblPMView[Device Type],C$2),IF(_xlpm.AppCount=0,"",_xlpm.AppCount))</f>
        <v/>
      </c>
      <c r="D3" s="229" t="str">
        <f>_xlfn.LET(_xlpm.AppCount,COUNTIFS(tblPMView[Scope],"",tblPMView[Application],tblAppSum[[#This Row],[Supported Application]],tblPMView[Device Type],D$2),IF(_xlpm.AppCount=0,"",_xlpm.AppCount))</f>
        <v/>
      </c>
      <c r="E3" s="228">
        <f>_xlfn.LET(_xlpm.AppCount,COUNTIFS(tblPMView[Scope],"",tblPMView[Application],tblAppSum[[#This Row],[Supported Application]],tblPMView[Device Type],E$2),IF(_xlpm.AppCount=0,"",_xlpm.AppCount))</f>
        <v>2</v>
      </c>
      <c r="F3" s="230" t="str">
        <f>_xlfn.LET(_xlpm.AppCount,COUNTIFS(tblPMView[Scope],"",tblPMView[Application],tblAppSum[[#This Row],[Supported Application]])-SUM(tblAppSum[[#This Row],[AIX-LPAR]:[VM]]),IF(_xlpm.AppCount=0,"",_xlpm.AppCount))</f>
        <v/>
      </c>
      <c r="G3" s="231" t="str">
        <f>_xlfn.LET(_xlpm.AppCount,COUNTIFS(tblPMView[Scope],"",tblPMView[Application],tblAppSum[[#This Row],[Supported Application]],tblPMView[OS],G$2),IF(_xlpm.AppCount=0,"",_xlpm.AppCount))</f>
        <v/>
      </c>
      <c r="H3" s="229" t="str">
        <f>_xlfn.LET(_xlpm.AppCount,COUNTIFS(tblPMView[Scope],"",tblPMView[Application],tblAppSum[[#This Row],[Supported Application]],tblPMView[OS],H$2),IF(_xlpm.AppCount=0,"",_xlpm.AppCount))</f>
        <v/>
      </c>
      <c r="I3" s="231" t="str">
        <f>_xlfn.LET(_xlpm.AppCount,COUNTIFS(tblPMView[Scope],"",tblPMView[Application],tblAppSum[[#This Row],[Supported Application]],tblPMView[OS],I$2),IF(_xlpm.AppCount=0,"",_xlpm.AppCount))</f>
        <v/>
      </c>
      <c r="J3" s="231">
        <f>_xlfn.LET(_xlpm.AppCount,COUNTIFS(tblPMView[Scope],"",tblPMView[Scope],"",tblPMView[Scope],"",tblPMView[Application],tblAppSum[[#This Row],[Supported Application]],tblPMView[OS],J$2),IF(_xlpm.AppCount=0,"",_xlpm.AppCount))</f>
        <v>2</v>
      </c>
      <c r="K3" s="232" t="str">
        <f>_xlfn.LET(_xlpm.AppCount,COUNTIFS(tblPMView[Scope],"",tblPMView[Application],tblAppSum[[#This Row],[Supported Application]],tblPMView[OS],K$2),IF(_xlpm.AppCount=0,"",_xlpm.AppCount))</f>
        <v/>
      </c>
      <c r="L3" s="231" t="str">
        <f>_xlfn.LET(_xlpm.AppCount,COUNTIFS(tblPMView[Scope],"",tblPMView[Application],tblAppSum[[#This Row],[Supported Application]],tblPMView[OS],L$2),IF(_xlpm.AppCount=0,"",_xlpm.AppCount))</f>
        <v/>
      </c>
      <c r="M3" s="228" t="str">
        <f>_xlfn.LET(_xlpm.AppCount,COUNTIFS(tblPMView[Scope],"",tblPMView[Application],tblAppSum[[#This Row],[Supported Application]])-SUM(tblAppSum[[#This Row],[AIX]:[RHEL]]),IF(_xlpm.AppCount=0,"",_xlpm.AppCount))</f>
        <v/>
      </c>
      <c r="N3" s="233">
        <f>SUM(tblAppSum[[#This Row],[AIX]:[Other-OS]])</f>
        <v>2</v>
      </c>
      <c r="O3" s="234" t="str">
        <f>_xlfn.LET(_xlpm.AppCount,COUNTIFS(tblPMView[Scope],"",tblPMView[Application],tblAppSum[[#This Row],[Supported Application]],tblPMView[DB],O$2),IF(_xlpm.AppCount=0,"",_xlpm.AppCount))</f>
        <v/>
      </c>
      <c r="P3" s="234" t="str">
        <f>_xlfn.LET(_xlpm.AppCount,COUNTIFS(tblPMView[Scope],"",tblPMView[Application],tblAppSum[[#This Row],[Supported Application]],tblPMView[DB],P$2),IF(_xlpm.AppCount=0,"",_xlpm.AppCount))</f>
        <v/>
      </c>
      <c r="Q3" s="234" t="str">
        <f>_xlfn.LET(_xlpm.AppCount,COUNTIFS(tblPMView[Scope],"",tblPMView[Application],tblAppSum[[#This Row],[Supported Application]],tblPMView[DB],Q$2),IF(_xlpm.AppCount=0,"",_xlpm.AppCount))</f>
        <v/>
      </c>
      <c r="R3" s="234" t="str">
        <f>_xlfn.LET(_xlpm.AppCount,COUNTIFS(tblPMView[Scope],"",tblPMView[Application],tblAppSum[[#This Row],[Supported Application]],tblPMView[DB],R$2),IF(_xlpm.AppCount=0,"",_xlpm.AppCount))</f>
        <v/>
      </c>
      <c r="S3" s="234" t="str">
        <f>_xlfn.LET(_xlpm.AppCount,COUNTIFS(tblPMView[Scope],"",tblPMView[Application],tblAppSum[[#This Row],[Supported Application]],tblPMView[DB],S$2),IF(_xlpm.AppCount=0,"",_xlpm.AppCount))</f>
        <v/>
      </c>
      <c r="T3" s="234" t="str">
        <f>_xlfn.LET(_xlpm.AppCount,COUNTIFS(tblPMView[Scope],"",tblPMView[Application],tblAppSum[[#This Row],[Supported Application]],tblPMView[DB],T$2),IF(_xlpm.AppCount=0,"",_xlpm.AppCount))</f>
        <v/>
      </c>
      <c r="U3" s="235" t="str">
        <f>IFERROR(_xlfn.LET(_xlpm.DBCount,COUNTIFS(tblPMView[Scope],"",tblPMView[Application],tblAppSum[[#This Row],[Supported Application]],tblPMView[DB],"&gt; "),IF(_xlpm.DBCount=0,"",_xlpm.DBCount))-SUM(tblAppSum[[#This Row],[DB2]:[UDB]]),"")</f>
        <v/>
      </c>
      <c r="V3" s="236">
        <f>SUM(tblAppSum[[#This Row],[DB2]:[Other-DB]])</f>
        <v>0</v>
      </c>
      <c r="W3" s="237" t="str">
        <f>_xlfn.LET(_xlpm.CSCount,COUNTIFS(tblPMView[Scope],"",tblPMView[Application],tblAppSum[[#This Row],[Supported Application]],tblPMView[CS],"&lt;&gt;Yes"),IF(_xlpm.CSCount=0,"",_xlpm.CSCount))</f>
        <v/>
      </c>
      <c r="X3" s="238">
        <f>_xlfn.LET(_xlpm.DMZCount,COUNTIFS(tblPMView[Scope],"",tblPMView[Application],tblAppSum[[#This Row],[Supported Application]],tblPMView[DMZ],"Yes"),IF(_xlpm.DMZCount=0,"",_xlpm.DMZCount))</f>
        <v>2</v>
      </c>
      <c r="Y3" s="239">
        <f>_xlfn.LET(_xlpm.F5Count,COUNTIFS(tblPMView[Scope],"",tblPMView[Application],tblAppSum[[#This Row],[Supported Application]],tblPMView[LB],"&lt;=Yes"),IF(_xlpm.F5Count=0,"",_xlpm.F5Count))</f>
        <v>2</v>
      </c>
    </row>
    <row r="4" spans="1:25" x14ac:dyDescent="0.35">
      <c r="A4" s="227" t="s">
        <v>747</v>
      </c>
      <c r="B4" s="228">
        <f>_xlfn.LET(_xlpm.AppCount,COUNTIFS(tblPMView[Scope],"",tblPMView[Application],tblAppSum[[#This Row],[Supported Application]],tblPMView[Device Type],B$2),IF(_xlpm.AppCount=0,"",_xlpm.AppCount))</f>
        <v>1</v>
      </c>
      <c r="C4" s="228" t="str">
        <f>_xlfn.LET(_xlpm.AppCount,COUNTIFS(tblPMView[Scope],"",tblPMView[Application],tblAppSum[[#This Row],[Supported Application]],tblPMView[Device Type],C$2),IF(_xlpm.AppCount=0,"",_xlpm.AppCount))</f>
        <v/>
      </c>
      <c r="D4" s="229" t="str">
        <f>_xlfn.LET(_xlpm.AppCount,COUNTIFS(tblPMView[Scope],"",tblPMView[Application],tblAppSum[[#This Row],[Supported Application]],tblPMView[Device Type],D$2),IF(_xlpm.AppCount=0,"",_xlpm.AppCount))</f>
        <v/>
      </c>
      <c r="E4" s="228" t="str">
        <f>_xlfn.LET(_xlpm.AppCount,COUNTIFS(tblPMView[Scope],"",tblPMView[Application],tblAppSum[[#This Row],[Supported Application]],tblPMView[Device Type],E$2),IF(_xlpm.AppCount=0,"",_xlpm.AppCount))</f>
        <v/>
      </c>
      <c r="F4" s="230" t="str">
        <f>_xlfn.LET(_xlpm.AppCount,COUNTIFS(tblPMView[Scope],"",tblPMView[Application],tblAppSum[[#This Row],[Supported Application]])-SUM(tblAppSum[[#This Row],[AIX-LPAR]:[VM]]),IF(_xlpm.AppCount=0,"",_xlpm.AppCount))</f>
        <v/>
      </c>
      <c r="G4" s="231">
        <f>_xlfn.LET(_xlpm.AppCount,COUNTIFS(tblPMView[Scope],"",tblPMView[Application],tblAppSum[[#This Row],[Supported Application]],tblPMView[OS],G$2),IF(_xlpm.AppCount=0,"",_xlpm.AppCount))</f>
        <v>1</v>
      </c>
      <c r="H4" s="229" t="str">
        <f>_xlfn.LET(_xlpm.AppCount,COUNTIFS(tblPMView[Scope],"",tblPMView[Application],tblAppSum[[#This Row],[Supported Application]],tblPMView[OS],H$2),IF(_xlpm.AppCount=0,"",_xlpm.AppCount))</f>
        <v/>
      </c>
      <c r="I4" s="231" t="str">
        <f>_xlfn.LET(_xlpm.AppCount,COUNTIFS(tblPMView[Scope],"",tblPMView[Application],tblAppSum[[#This Row],[Supported Application]],tblPMView[OS],I$2),IF(_xlpm.AppCount=0,"",_xlpm.AppCount))</f>
        <v/>
      </c>
      <c r="J4" s="231" t="str">
        <f>_xlfn.LET(_xlpm.AppCount,COUNTIFS(tblPMView[Scope],"",tblPMView[Scope],"",tblPMView[Scope],"",tblPMView[Application],tblAppSum[[#This Row],[Supported Application]],tblPMView[OS],J$2),IF(_xlpm.AppCount=0,"",_xlpm.AppCount))</f>
        <v/>
      </c>
      <c r="K4" s="232" t="str">
        <f>_xlfn.LET(_xlpm.AppCount,COUNTIFS(tblPMView[Scope],"",tblPMView[Application],tblAppSum[[#This Row],[Supported Application]],tblPMView[OS],K$2),IF(_xlpm.AppCount=0,"",_xlpm.AppCount))</f>
        <v/>
      </c>
      <c r="L4" s="231" t="str">
        <f>_xlfn.LET(_xlpm.AppCount,COUNTIFS(tblPMView[Scope],"",tblPMView[Application],tblAppSum[[#This Row],[Supported Application]],tblPMView[OS],L$2),IF(_xlpm.AppCount=0,"",_xlpm.AppCount))</f>
        <v/>
      </c>
      <c r="M4" s="228" t="str">
        <f>_xlfn.LET(_xlpm.AppCount,COUNTIFS(tblPMView[Scope],"",tblPMView[Application],tblAppSum[[#This Row],[Supported Application]])-SUM(tblAppSum[[#This Row],[AIX]:[RHEL]]),IF(_xlpm.AppCount=0,"",_xlpm.AppCount))</f>
        <v/>
      </c>
      <c r="N4" s="233">
        <f>SUM(tblAppSum[[#This Row],[AIX]:[Other-OS]])</f>
        <v>1</v>
      </c>
      <c r="O4" s="234" t="str">
        <f>_xlfn.LET(_xlpm.AppCount,COUNTIFS(tblPMView[Scope],"",tblPMView[Application],tblAppSum[[#This Row],[Supported Application]],tblPMView[DB],O$2),IF(_xlpm.AppCount=0,"",_xlpm.AppCount))</f>
        <v/>
      </c>
      <c r="P4" s="234" t="str">
        <f>_xlfn.LET(_xlpm.AppCount,COUNTIFS(tblPMView[Scope],"",tblPMView[Application],tblAppSum[[#This Row],[Supported Application]],tblPMView[DB],P$2),IF(_xlpm.AppCount=0,"",_xlpm.AppCount))</f>
        <v/>
      </c>
      <c r="Q4" s="234" t="str">
        <f>_xlfn.LET(_xlpm.AppCount,COUNTIFS(tblPMView[Scope],"",tblPMView[Application],tblAppSum[[#This Row],[Supported Application]],tblPMView[DB],Q$2),IF(_xlpm.AppCount=0,"",_xlpm.AppCount))</f>
        <v/>
      </c>
      <c r="R4" s="234" t="str">
        <f>_xlfn.LET(_xlpm.AppCount,COUNTIFS(tblPMView[Scope],"",tblPMView[Application],tblAppSum[[#This Row],[Supported Application]],tblPMView[DB],R$2),IF(_xlpm.AppCount=0,"",_xlpm.AppCount))</f>
        <v/>
      </c>
      <c r="S4" s="234" t="str">
        <f>_xlfn.LET(_xlpm.AppCount,COUNTIFS(tblPMView[Scope],"",tblPMView[Application],tblAppSum[[#This Row],[Supported Application]],tblPMView[DB],S$2),IF(_xlpm.AppCount=0,"",_xlpm.AppCount))</f>
        <v/>
      </c>
      <c r="T4" s="234" t="str">
        <f>_xlfn.LET(_xlpm.AppCount,COUNTIFS(tblPMView[Scope],"",tblPMView[Application],tblAppSum[[#This Row],[Supported Application]],tblPMView[DB],T$2),IF(_xlpm.AppCount=0,"",_xlpm.AppCount))</f>
        <v/>
      </c>
      <c r="U4" s="235" t="str">
        <f>IFERROR(_xlfn.LET(_xlpm.DBCount,COUNTIFS(tblPMView[Scope],"",tblPMView[Application],tblAppSum[[#This Row],[Supported Application]],tblPMView[DB],"&gt; "),IF(_xlpm.DBCount=0,"",_xlpm.DBCount))-SUM(tblAppSum[[#This Row],[DB2]:[UDB]]),"")</f>
        <v/>
      </c>
      <c r="V4" s="236">
        <f>SUM(tblAppSum[[#This Row],[DB2]:[Other-DB]])</f>
        <v>0</v>
      </c>
      <c r="W4" s="237" t="str">
        <f>_xlfn.LET(_xlpm.CSCount,COUNTIFS(tblPMView[Scope],"",tblPMView[Application],tblAppSum[[#This Row],[Supported Application]],tblPMView[CS],"&lt;&gt;Yes"),IF(_xlpm.CSCount=0,"",_xlpm.CSCount))</f>
        <v/>
      </c>
      <c r="X4" s="238" t="str">
        <f>_xlfn.LET(_xlpm.DMZCount,COUNTIFS(tblPMView[Scope],"",tblPMView[Application],tblAppSum[[#This Row],[Supported Application]],tblPMView[DMZ],"Yes"),IF(_xlpm.DMZCount=0,"",_xlpm.DMZCount))</f>
        <v/>
      </c>
      <c r="Y4" s="239">
        <f>_xlfn.LET(_xlpm.F5Count,COUNTIFS(tblPMView[Scope],"",tblPMView[Application],tblAppSum[[#This Row],[Supported Application]],tblPMView[LB],"&lt;=Yes"),IF(_xlpm.F5Count=0,"",_xlpm.F5Count))</f>
        <v>1</v>
      </c>
    </row>
    <row r="5" spans="1:25" x14ac:dyDescent="0.35">
      <c r="A5" s="227" t="s">
        <v>729</v>
      </c>
      <c r="B5" s="228" t="str">
        <f>_xlfn.LET(_xlpm.AppCount,COUNTIFS(tblPMView[Scope],"",tblPMView[Application],tblAppSum[[#This Row],[Supported Application]],tblPMView[Device Type],B$2),IF(_xlpm.AppCount=0,"",_xlpm.AppCount))</f>
        <v/>
      </c>
      <c r="C5" s="228" t="str">
        <f>_xlfn.LET(_xlpm.AppCount,COUNTIFS(tblPMView[Scope],"",tblPMView[Application],tblAppSum[[#This Row],[Supported Application]],tblPMView[Device Type],C$2),IF(_xlpm.AppCount=0,"",_xlpm.AppCount))</f>
        <v/>
      </c>
      <c r="D5" s="229">
        <f>_xlfn.LET(_xlpm.AppCount,COUNTIFS(tblPMView[Scope],"",tblPMView[Application],tblAppSum[[#This Row],[Supported Application]],tblPMView[Device Type],D$2),IF(_xlpm.AppCount=0,"",_xlpm.AppCount))</f>
        <v>28</v>
      </c>
      <c r="E5" s="228" t="str">
        <f>_xlfn.LET(_xlpm.AppCount,COUNTIFS(tblPMView[Scope],"",tblPMView[Application],tblAppSum[[#This Row],[Supported Application]],tblPMView[Device Type],E$2),IF(_xlpm.AppCount=0,"",_xlpm.AppCount))</f>
        <v/>
      </c>
      <c r="F5" s="230" t="str">
        <f>_xlfn.LET(_xlpm.AppCount,COUNTIFS(tblPMView[Scope],"",tblPMView[Application],tblAppSum[[#This Row],[Supported Application]])-SUM(tblAppSum[[#This Row],[AIX-LPAR]:[VM]]),IF(_xlpm.AppCount=0,"",_xlpm.AppCount))</f>
        <v/>
      </c>
      <c r="G5" s="231" t="str">
        <f>_xlfn.LET(_xlpm.AppCount,COUNTIFS(tblPMView[Scope],"",tblPMView[Application],tblAppSum[[#This Row],[Supported Application]],tblPMView[OS],G$2),IF(_xlpm.AppCount=0,"",_xlpm.AppCount))</f>
        <v/>
      </c>
      <c r="H5" s="229" t="str">
        <f>_xlfn.LET(_xlpm.AppCount,COUNTIFS(tblPMView[Scope],"",tblPMView[Application],tblAppSum[[#This Row],[Supported Application]],tblPMView[OS],H$2),IF(_xlpm.AppCount=0,"",_xlpm.AppCount))</f>
        <v/>
      </c>
      <c r="I5" s="231" t="str">
        <f>_xlfn.LET(_xlpm.AppCount,COUNTIFS(tblPMView[Scope],"",tblPMView[Application],tblAppSum[[#This Row],[Supported Application]],tblPMView[OS],I$2),IF(_xlpm.AppCount=0,"",_xlpm.AppCount))</f>
        <v/>
      </c>
      <c r="J5" s="231" t="str">
        <f>_xlfn.LET(_xlpm.AppCount,COUNTIFS(tblPMView[Scope],"",tblPMView[Scope],"",tblPMView[Scope],"",tblPMView[Application],tblAppSum[[#This Row],[Supported Application]],tblPMView[OS],J$2),IF(_xlpm.AppCount=0,"",_xlpm.AppCount))</f>
        <v/>
      </c>
      <c r="K5" s="232" t="str">
        <f>_xlfn.LET(_xlpm.AppCount,COUNTIFS(tblPMView[Scope],"",tblPMView[Application],tblAppSum[[#This Row],[Supported Application]],tblPMView[OS],K$2),IF(_xlpm.AppCount=0,"",_xlpm.AppCount))</f>
        <v/>
      </c>
      <c r="L5" s="231">
        <f>_xlfn.LET(_xlpm.AppCount,COUNTIFS(tblPMView[Scope],"",tblPMView[Application],tblAppSum[[#This Row],[Supported Application]],tblPMView[OS],L$2),IF(_xlpm.AppCount=0,"",_xlpm.AppCount))</f>
        <v>28</v>
      </c>
      <c r="M5" s="228" t="str">
        <f>_xlfn.LET(_xlpm.AppCount,COUNTIFS(tblPMView[Scope],"",tblPMView[Application],tblAppSum[[#This Row],[Supported Application]])-SUM(tblAppSum[[#This Row],[AIX]:[RHEL]]),IF(_xlpm.AppCount=0,"",_xlpm.AppCount))</f>
        <v/>
      </c>
      <c r="N5" s="233">
        <f>SUM(tblAppSum[[#This Row],[AIX]:[Other-OS]])</f>
        <v>28</v>
      </c>
      <c r="O5" s="234" t="str">
        <f>_xlfn.LET(_xlpm.AppCount,COUNTIFS(tblPMView[Scope],"",tblPMView[Application],tblAppSum[[#This Row],[Supported Application]],tblPMView[DB],O$2),IF(_xlpm.AppCount=0,"",_xlpm.AppCount))</f>
        <v/>
      </c>
      <c r="P5" s="234" t="str">
        <f>_xlfn.LET(_xlpm.AppCount,COUNTIFS(tblPMView[Scope],"",tblPMView[Application],tblAppSum[[#This Row],[Supported Application]],tblPMView[DB],P$2),IF(_xlpm.AppCount=0,"",_xlpm.AppCount))</f>
        <v/>
      </c>
      <c r="Q5" s="234" t="str">
        <f>_xlfn.LET(_xlpm.AppCount,COUNTIFS(tblPMView[Scope],"",tblPMView[Application],tblAppSum[[#This Row],[Supported Application]],tblPMView[DB],Q$2),IF(_xlpm.AppCount=0,"",_xlpm.AppCount))</f>
        <v/>
      </c>
      <c r="R5" s="234" t="str">
        <f>_xlfn.LET(_xlpm.AppCount,COUNTIFS(tblPMView[Scope],"",tblPMView[Application],tblAppSum[[#This Row],[Supported Application]],tblPMView[DB],R$2),IF(_xlpm.AppCount=0,"",_xlpm.AppCount))</f>
        <v/>
      </c>
      <c r="S5" s="234" t="str">
        <f>_xlfn.LET(_xlpm.AppCount,COUNTIFS(tblPMView[Scope],"",tblPMView[Application],tblAppSum[[#This Row],[Supported Application]],tblPMView[DB],S$2),IF(_xlpm.AppCount=0,"",_xlpm.AppCount))</f>
        <v/>
      </c>
      <c r="T5" s="234" t="str">
        <f>_xlfn.LET(_xlpm.AppCount,COUNTIFS(tblPMView[Scope],"",tblPMView[Application],tblAppSum[[#This Row],[Supported Application]],tblPMView[DB],T$2),IF(_xlpm.AppCount=0,"",_xlpm.AppCount))</f>
        <v/>
      </c>
      <c r="U5" s="235" t="str">
        <f>IFERROR(_xlfn.LET(_xlpm.DBCount,COUNTIFS(tblPMView[Scope],"",tblPMView[Application],tblAppSum[[#This Row],[Supported Application]],tblPMView[DB],"&gt; "),IF(_xlpm.DBCount=0,"",_xlpm.DBCount))-SUM(tblAppSum[[#This Row],[DB2]:[UDB]]),"")</f>
        <v/>
      </c>
      <c r="V5" s="236">
        <f>SUM(tblAppSum[[#This Row],[DB2]:[Other-DB]])</f>
        <v>0</v>
      </c>
      <c r="W5" s="237" t="str">
        <f>_xlfn.LET(_xlpm.CSCount,COUNTIFS(tblPMView[Scope],"",tblPMView[Application],tblAppSum[[#This Row],[Supported Application]],tblPMView[CS],"&lt;&gt;Yes"),IF(_xlpm.CSCount=0,"",_xlpm.CSCount))</f>
        <v/>
      </c>
      <c r="X5" s="238" t="str">
        <f>_xlfn.LET(_xlpm.DMZCount,COUNTIFS(tblPMView[Scope],"",tblPMView[Application],tblAppSum[[#This Row],[Supported Application]],tblPMView[DMZ],"Yes"),IF(_xlpm.DMZCount=0,"",_xlpm.DMZCount))</f>
        <v/>
      </c>
      <c r="Y5" s="239">
        <f>_xlfn.LET(_xlpm.F5Count,COUNTIFS(tblPMView[Scope],"",tblPMView[Application],tblAppSum[[#This Row],[Supported Application]],tblPMView[LB],"&lt;=Yes"),IF(_xlpm.F5Count=0,"",_xlpm.F5Count))</f>
        <v>28</v>
      </c>
    </row>
    <row r="6" spans="1:25" x14ac:dyDescent="0.35">
      <c r="A6" s="227" t="s">
        <v>749</v>
      </c>
      <c r="B6" s="228">
        <f>_xlfn.LET(_xlpm.AppCount,COUNTIFS(tblPMView[Scope],"",tblPMView[Application],tblAppSum[[#This Row],[Supported Application]],tblPMView[Device Type],B$2),IF(_xlpm.AppCount=0,"",_xlpm.AppCount))</f>
        <v>1</v>
      </c>
      <c r="C6" s="228" t="str">
        <f>_xlfn.LET(_xlpm.AppCount,COUNTIFS(tblPMView[Scope],"",tblPMView[Application],tblAppSum[[#This Row],[Supported Application]],tblPMView[Device Type],C$2),IF(_xlpm.AppCount=0,"",_xlpm.AppCount))</f>
        <v/>
      </c>
      <c r="D6" s="229" t="str">
        <f>_xlfn.LET(_xlpm.AppCount,COUNTIFS(tblPMView[Scope],"",tblPMView[Application],tblAppSum[[#This Row],[Supported Application]],tblPMView[Device Type],D$2),IF(_xlpm.AppCount=0,"",_xlpm.AppCount))</f>
        <v/>
      </c>
      <c r="E6" s="228" t="str">
        <f>_xlfn.LET(_xlpm.AppCount,COUNTIFS(tblPMView[Scope],"",tblPMView[Application],tblAppSum[[#This Row],[Supported Application]],tblPMView[Device Type],E$2),IF(_xlpm.AppCount=0,"",_xlpm.AppCount))</f>
        <v/>
      </c>
      <c r="F6" s="230" t="str">
        <f>_xlfn.LET(_xlpm.AppCount,COUNTIFS(tblPMView[Scope],"",tblPMView[Application],tblAppSum[[#This Row],[Supported Application]])-SUM(tblAppSum[[#This Row],[AIX-LPAR]:[VM]]),IF(_xlpm.AppCount=0,"",_xlpm.AppCount))</f>
        <v/>
      </c>
      <c r="G6" s="231">
        <f>_xlfn.LET(_xlpm.AppCount,COUNTIFS(tblPMView[Scope],"",tblPMView[Application],tblAppSum[[#This Row],[Supported Application]],tblPMView[OS],G$2),IF(_xlpm.AppCount=0,"",_xlpm.AppCount))</f>
        <v>1</v>
      </c>
      <c r="H6" s="229" t="str">
        <f>_xlfn.LET(_xlpm.AppCount,COUNTIFS(tblPMView[Scope],"",tblPMView[Application],tblAppSum[[#This Row],[Supported Application]],tblPMView[OS],H$2),IF(_xlpm.AppCount=0,"",_xlpm.AppCount))</f>
        <v/>
      </c>
      <c r="I6" s="231" t="str">
        <f>_xlfn.LET(_xlpm.AppCount,COUNTIFS(tblPMView[Scope],"",tblPMView[Application],tblAppSum[[#This Row],[Supported Application]],tblPMView[OS],I$2),IF(_xlpm.AppCount=0,"",_xlpm.AppCount))</f>
        <v/>
      </c>
      <c r="J6" s="231" t="str">
        <f>_xlfn.LET(_xlpm.AppCount,COUNTIFS(tblPMView[Scope],"",tblPMView[Scope],"",tblPMView[Scope],"",tblPMView[Application],tblAppSum[[#This Row],[Supported Application]],tblPMView[OS],J$2),IF(_xlpm.AppCount=0,"",_xlpm.AppCount))</f>
        <v/>
      </c>
      <c r="K6" s="232" t="str">
        <f>_xlfn.LET(_xlpm.AppCount,COUNTIFS(tblPMView[Scope],"",tblPMView[Application],tblAppSum[[#This Row],[Supported Application]],tblPMView[OS],K$2),IF(_xlpm.AppCount=0,"",_xlpm.AppCount))</f>
        <v/>
      </c>
      <c r="L6" s="231" t="str">
        <f>_xlfn.LET(_xlpm.AppCount,COUNTIFS(tblPMView[Scope],"",tblPMView[Application],tblAppSum[[#This Row],[Supported Application]],tblPMView[OS],L$2),IF(_xlpm.AppCount=0,"",_xlpm.AppCount))</f>
        <v/>
      </c>
      <c r="M6" s="228" t="str">
        <f>_xlfn.LET(_xlpm.AppCount,COUNTIFS(tblPMView[Scope],"",tblPMView[Application],tblAppSum[[#This Row],[Supported Application]])-SUM(tblAppSum[[#This Row],[AIX]:[RHEL]]),IF(_xlpm.AppCount=0,"",_xlpm.AppCount))</f>
        <v/>
      </c>
      <c r="N6" s="233">
        <f>SUM(tblAppSum[[#This Row],[AIX]:[Other-OS]])</f>
        <v>1</v>
      </c>
      <c r="O6" s="234">
        <f>_xlfn.LET(_xlpm.AppCount,COUNTIFS(tblPMView[Scope],"",tblPMView[Application],tblAppSum[[#This Row],[Supported Application]],tblPMView[DB],O$2),IF(_xlpm.AppCount=0,"",_xlpm.AppCount))</f>
        <v>1</v>
      </c>
      <c r="P6" s="234" t="str">
        <f>_xlfn.LET(_xlpm.AppCount,COUNTIFS(tblPMView[Scope],"",tblPMView[Application],tblAppSum[[#This Row],[Supported Application]],tblPMView[DB],P$2),IF(_xlpm.AppCount=0,"",_xlpm.AppCount))</f>
        <v/>
      </c>
      <c r="Q6" s="234" t="str">
        <f>_xlfn.LET(_xlpm.AppCount,COUNTIFS(tblPMView[Scope],"",tblPMView[Application],tblAppSum[[#This Row],[Supported Application]],tblPMView[DB],Q$2),IF(_xlpm.AppCount=0,"",_xlpm.AppCount))</f>
        <v/>
      </c>
      <c r="R6" s="234" t="str">
        <f>_xlfn.LET(_xlpm.AppCount,COUNTIFS(tblPMView[Scope],"",tblPMView[Application],tblAppSum[[#This Row],[Supported Application]],tblPMView[DB],R$2),IF(_xlpm.AppCount=0,"",_xlpm.AppCount))</f>
        <v/>
      </c>
      <c r="S6" s="234" t="str">
        <f>_xlfn.LET(_xlpm.AppCount,COUNTIFS(tblPMView[Scope],"",tblPMView[Application],tblAppSum[[#This Row],[Supported Application]],tblPMView[DB],S$2),IF(_xlpm.AppCount=0,"",_xlpm.AppCount))</f>
        <v/>
      </c>
      <c r="T6" s="234" t="str">
        <f>_xlfn.LET(_xlpm.AppCount,COUNTIFS(tblPMView[Scope],"",tblPMView[Application],tblAppSum[[#This Row],[Supported Application]],tblPMView[DB],T$2),IF(_xlpm.AppCount=0,"",_xlpm.AppCount))</f>
        <v/>
      </c>
      <c r="U6" s="235">
        <f>IFERROR(_xlfn.LET(_xlpm.DBCount,COUNTIFS(tblPMView[Scope],"",tblPMView[Application],tblAppSum[[#This Row],[Supported Application]],tblPMView[DB],"&gt; "),IF(_xlpm.DBCount=0,"",_xlpm.DBCount))-SUM(tblAppSum[[#This Row],[DB2]:[UDB]]),"")</f>
        <v>0</v>
      </c>
      <c r="V6" s="236">
        <f>SUM(tblAppSum[[#This Row],[DB2]:[Other-DB]])</f>
        <v>1</v>
      </c>
      <c r="W6" s="237" t="str">
        <f>_xlfn.LET(_xlpm.CSCount,COUNTIFS(tblPMView[Scope],"",tblPMView[Application],tblAppSum[[#This Row],[Supported Application]],tblPMView[CS],"&lt;&gt;Yes"),IF(_xlpm.CSCount=0,"",_xlpm.CSCount))</f>
        <v/>
      </c>
      <c r="X6" s="238" t="str">
        <f>_xlfn.LET(_xlpm.DMZCount,COUNTIFS(tblPMView[Scope],"",tblPMView[Application],tblAppSum[[#This Row],[Supported Application]],tblPMView[DMZ],"Yes"),IF(_xlpm.DMZCount=0,"",_xlpm.DMZCount))</f>
        <v/>
      </c>
      <c r="Y6" s="239">
        <f>_xlfn.LET(_xlpm.F5Count,COUNTIFS(tblPMView[Scope],"",tblPMView[Application],tblAppSum[[#This Row],[Supported Application]],tblPMView[LB],"&lt;=Yes"),IF(_xlpm.F5Count=0,"",_xlpm.F5Count))</f>
        <v>1</v>
      </c>
    </row>
    <row r="7" spans="1:25" x14ac:dyDescent="0.35">
      <c r="A7" s="227" t="s">
        <v>750</v>
      </c>
      <c r="B7" s="228">
        <f>_xlfn.LET(_xlpm.AppCount,COUNTIFS(tblPMView[Scope],"",tblPMView[Application],tblAppSum[[#This Row],[Supported Application]],tblPMView[Device Type],B$2),IF(_xlpm.AppCount=0,"",_xlpm.AppCount))</f>
        <v>1</v>
      </c>
      <c r="C7" s="228" t="str">
        <f>_xlfn.LET(_xlpm.AppCount,COUNTIFS(tblPMView[Scope],"",tblPMView[Application],tblAppSum[[#This Row],[Supported Application]],tblPMView[Device Type],C$2),IF(_xlpm.AppCount=0,"",_xlpm.AppCount))</f>
        <v/>
      </c>
      <c r="D7" s="229" t="str">
        <f>_xlfn.LET(_xlpm.AppCount,COUNTIFS(tblPMView[Scope],"",tblPMView[Application],tblAppSum[[#This Row],[Supported Application]],tblPMView[Device Type],D$2),IF(_xlpm.AppCount=0,"",_xlpm.AppCount))</f>
        <v/>
      </c>
      <c r="E7" s="228" t="str">
        <f>_xlfn.LET(_xlpm.AppCount,COUNTIFS(tblPMView[Scope],"",tblPMView[Application],tblAppSum[[#This Row],[Supported Application]],tblPMView[Device Type],E$2),IF(_xlpm.AppCount=0,"",_xlpm.AppCount))</f>
        <v/>
      </c>
      <c r="F7" s="230" t="str">
        <f>_xlfn.LET(_xlpm.AppCount,COUNTIFS(tblPMView[Scope],"",tblPMView[Application],tblAppSum[[#This Row],[Supported Application]])-SUM(tblAppSum[[#This Row],[AIX-LPAR]:[VM]]),IF(_xlpm.AppCount=0,"",_xlpm.AppCount))</f>
        <v/>
      </c>
      <c r="G7" s="231">
        <f>_xlfn.LET(_xlpm.AppCount,COUNTIFS(tblPMView[Scope],"",tblPMView[Application],tblAppSum[[#This Row],[Supported Application]],tblPMView[OS],G$2),IF(_xlpm.AppCount=0,"",_xlpm.AppCount))</f>
        <v>1</v>
      </c>
      <c r="H7" s="229" t="str">
        <f>_xlfn.LET(_xlpm.AppCount,COUNTIFS(tblPMView[Scope],"",tblPMView[Application],tblAppSum[[#This Row],[Supported Application]],tblPMView[OS],H$2),IF(_xlpm.AppCount=0,"",_xlpm.AppCount))</f>
        <v/>
      </c>
      <c r="I7" s="231" t="str">
        <f>_xlfn.LET(_xlpm.AppCount,COUNTIFS(tblPMView[Scope],"",tblPMView[Application],tblAppSum[[#This Row],[Supported Application]],tblPMView[OS],I$2),IF(_xlpm.AppCount=0,"",_xlpm.AppCount))</f>
        <v/>
      </c>
      <c r="J7" s="231" t="str">
        <f>_xlfn.LET(_xlpm.AppCount,COUNTIFS(tblPMView[Scope],"",tblPMView[Scope],"",tblPMView[Scope],"",tblPMView[Application],tblAppSum[[#This Row],[Supported Application]],tblPMView[OS],J$2),IF(_xlpm.AppCount=0,"",_xlpm.AppCount))</f>
        <v/>
      </c>
      <c r="K7" s="232" t="str">
        <f>_xlfn.LET(_xlpm.AppCount,COUNTIFS(tblPMView[Scope],"",tblPMView[Application],tblAppSum[[#This Row],[Supported Application]],tblPMView[OS],K$2),IF(_xlpm.AppCount=0,"",_xlpm.AppCount))</f>
        <v/>
      </c>
      <c r="L7" s="231" t="str">
        <f>_xlfn.LET(_xlpm.AppCount,COUNTIFS(tblPMView[Scope],"",tblPMView[Application],tblAppSum[[#This Row],[Supported Application]],tblPMView[OS],L$2),IF(_xlpm.AppCount=0,"",_xlpm.AppCount))</f>
        <v/>
      </c>
      <c r="M7" s="228" t="str">
        <f>_xlfn.LET(_xlpm.AppCount,COUNTIFS(tblPMView[Scope],"",tblPMView[Application],tblAppSum[[#This Row],[Supported Application]])-SUM(tblAppSum[[#This Row],[AIX]:[RHEL]]),IF(_xlpm.AppCount=0,"",_xlpm.AppCount))</f>
        <v/>
      </c>
      <c r="N7" s="233">
        <f>SUM(tblAppSum[[#This Row],[AIX]:[Other-OS]])</f>
        <v>1</v>
      </c>
      <c r="O7" s="234">
        <f>_xlfn.LET(_xlpm.AppCount,COUNTIFS(tblPMView[Scope],"",tblPMView[Application],tblAppSum[[#This Row],[Supported Application]],tblPMView[DB],O$2),IF(_xlpm.AppCount=0,"",_xlpm.AppCount))</f>
        <v>1</v>
      </c>
      <c r="P7" s="234" t="str">
        <f>_xlfn.LET(_xlpm.AppCount,COUNTIFS(tblPMView[Scope],"",tblPMView[Application],tblAppSum[[#This Row],[Supported Application]],tblPMView[DB],P$2),IF(_xlpm.AppCount=0,"",_xlpm.AppCount))</f>
        <v/>
      </c>
      <c r="Q7" s="234" t="str">
        <f>_xlfn.LET(_xlpm.AppCount,COUNTIFS(tblPMView[Scope],"",tblPMView[Application],tblAppSum[[#This Row],[Supported Application]],tblPMView[DB],Q$2),IF(_xlpm.AppCount=0,"",_xlpm.AppCount))</f>
        <v/>
      </c>
      <c r="R7" s="234" t="str">
        <f>_xlfn.LET(_xlpm.AppCount,COUNTIFS(tblPMView[Scope],"",tblPMView[Application],tblAppSum[[#This Row],[Supported Application]],tblPMView[DB],R$2),IF(_xlpm.AppCount=0,"",_xlpm.AppCount))</f>
        <v/>
      </c>
      <c r="S7" s="234" t="str">
        <f>_xlfn.LET(_xlpm.AppCount,COUNTIFS(tblPMView[Scope],"",tblPMView[Application],tblAppSum[[#This Row],[Supported Application]],tblPMView[DB],S$2),IF(_xlpm.AppCount=0,"",_xlpm.AppCount))</f>
        <v/>
      </c>
      <c r="T7" s="234" t="str">
        <f>_xlfn.LET(_xlpm.AppCount,COUNTIFS(tblPMView[Scope],"",tblPMView[Application],tblAppSum[[#This Row],[Supported Application]],tblPMView[DB],T$2),IF(_xlpm.AppCount=0,"",_xlpm.AppCount))</f>
        <v/>
      </c>
      <c r="U7" s="235">
        <f>IFERROR(_xlfn.LET(_xlpm.DBCount,COUNTIFS(tblPMView[Scope],"",tblPMView[Application],tblAppSum[[#This Row],[Supported Application]],tblPMView[DB],"&gt; "),IF(_xlpm.DBCount=0,"",_xlpm.DBCount))-SUM(tblAppSum[[#This Row],[DB2]:[UDB]]),"")</f>
        <v>0</v>
      </c>
      <c r="V7" s="236">
        <f>SUM(tblAppSum[[#This Row],[DB2]:[Other-DB]])</f>
        <v>1</v>
      </c>
      <c r="W7" s="237" t="str">
        <f>_xlfn.LET(_xlpm.CSCount,COUNTIFS(tblPMView[Scope],"",tblPMView[Application],tblAppSum[[#This Row],[Supported Application]],tblPMView[CS],"&lt;&gt;Yes"),IF(_xlpm.CSCount=0,"",_xlpm.CSCount))</f>
        <v/>
      </c>
      <c r="X7" s="238" t="str">
        <f>_xlfn.LET(_xlpm.DMZCount,COUNTIFS(tblPMView[Scope],"",tblPMView[Application],tblAppSum[[#This Row],[Supported Application]],tblPMView[DMZ],"Yes"),IF(_xlpm.DMZCount=0,"",_xlpm.DMZCount))</f>
        <v/>
      </c>
      <c r="Y7" s="239">
        <f>_xlfn.LET(_xlpm.F5Count,COUNTIFS(tblPMView[Scope],"",tblPMView[Application],tblAppSum[[#This Row],[Supported Application]],tblPMView[LB],"&lt;=Yes"),IF(_xlpm.F5Count=0,"",_xlpm.F5Count))</f>
        <v>1</v>
      </c>
    </row>
    <row r="8" spans="1:25" x14ac:dyDescent="0.35">
      <c r="A8" s="227" t="s">
        <v>744</v>
      </c>
      <c r="B8" s="228">
        <f>_xlfn.LET(_xlpm.AppCount,COUNTIFS(tblPMView[Scope],"",tblPMView[Application],tblAppSum[[#This Row],[Supported Application]],tblPMView[Device Type],B$2),IF(_xlpm.AppCount=0,"",_xlpm.AppCount))</f>
        <v>1</v>
      </c>
      <c r="C8" s="228" t="str">
        <f>_xlfn.LET(_xlpm.AppCount,COUNTIFS(tblPMView[Scope],"",tblPMView[Application],tblAppSum[[#This Row],[Supported Application]],tblPMView[Device Type],C$2),IF(_xlpm.AppCount=0,"",_xlpm.AppCount))</f>
        <v/>
      </c>
      <c r="D8" s="229" t="str">
        <f>_xlfn.LET(_xlpm.AppCount,COUNTIFS(tblPMView[Scope],"",tblPMView[Application],tblAppSum[[#This Row],[Supported Application]],tblPMView[Device Type],D$2),IF(_xlpm.AppCount=0,"",_xlpm.AppCount))</f>
        <v/>
      </c>
      <c r="E8" s="228" t="str">
        <f>_xlfn.LET(_xlpm.AppCount,COUNTIFS(tblPMView[Scope],"",tblPMView[Application],tblAppSum[[#This Row],[Supported Application]],tblPMView[Device Type],E$2),IF(_xlpm.AppCount=0,"",_xlpm.AppCount))</f>
        <v/>
      </c>
      <c r="F8" s="230" t="str">
        <f>_xlfn.LET(_xlpm.AppCount,COUNTIFS(tblPMView[Scope],"",tblPMView[Application],tblAppSum[[#This Row],[Supported Application]])-SUM(tblAppSum[[#This Row],[AIX-LPAR]:[VM]]),IF(_xlpm.AppCount=0,"",_xlpm.AppCount))</f>
        <v/>
      </c>
      <c r="G8" s="231">
        <f>_xlfn.LET(_xlpm.AppCount,COUNTIFS(tblPMView[Scope],"",tblPMView[Application],tblAppSum[[#This Row],[Supported Application]],tblPMView[OS],G$2),IF(_xlpm.AppCount=0,"",_xlpm.AppCount))</f>
        <v>1</v>
      </c>
      <c r="H8" s="229" t="str">
        <f>_xlfn.LET(_xlpm.AppCount,COUNTIFS(tblPMView[Scope],"",tblPMView[Application],tblAppSum[[#This Row],[Supported Application]],tblPMView[OS],H$2),IF(_xlpm.AppCount=0,"",_xlpm.AppCount))</f>
        <v/>
      </c>
      <c r="I8" s="231" t="str">
        <f>_xlfn.LET(_xlpm.AppCount,COUNTIFS(tblPMView[Scope],"",tblPMView[Application],tblAppSum[[#This Row],[Supported Application]],tblPMView[OS],I$2),IF(_xlpm.AppCount=0,"",_xlpm.AppCount))</f>
        <v/>
      </c>
      <c r="J8" s="231" t="str">
        <f>_xlfn.LET(_xlpm.AppCount,COUNTIFS(tblPMView[Scope],"",tblPMView[Scope],"",tblPMView[Scope],"",tblPMView[Application],tblAppSum[[#This Row],[Supported Application]],tblPMView[OS],J$2),IF(_xlpm.AppCount=0,"",_xlpm.AppCount))</f>
        <v/>
      </c>
      <c r="K8" s="232" t="str">
        <f>_xlfn.LET(_xlpm.AppCount,COUNTIFS(tblPMView[Scope],"",tblPMView[Application],tblAppSum[[#This Row],[Supported Application]],tblPMView[OS],K$2),IF(_xlpm.AppCount=0,"",_xlpm.AppCount))</f>
        <v/>
      </c>
      <c r="L8" s="231" t="str">
        <f>_xlfn.LET(_xlpm.AppCount,COUNTIFS(tblPMView[Scope],"",tblPMView[Application],tblAppSum[[#This Row],[Supported Application]],tblPMView[OS],L$2),IF(_xlpm.AppCount=0,"",_xlpm.AppCount))</f>
        <v/>
      </c>
      <c r="M8" s="228" t="str">
        <f>_xlfn.LET(_xlpm.AppCount,COUNTIFS(tblPMView[Scope],"",tblPMView[Application],tblAppSum[[#This Row],[Supported Application]])-SUM(tblAppSum[[#This Row],[AIX]:[RHEL]]),IF(_xlpm.AppCount=0,"",_xlpm.AppCount))</f>
        <v/>
      </c>
      <c r="N8" s="233">
        <f>SUM(tblAppSum[[#This Row],[AIX]:[Other-OS]])</f>
        <v>1</v>
      </c>
      <c r="O8" s="234" t="str">
        <f>_xlfn.LET(_xlpm.AppCount,COUNTIFS(tblPMView[Scope],"",tblPMView[Application],tblAppSum[[#This Row],[Supported Application]],tblPMView[DB],O$2),IF(_xlpm.AppCount=0,"",_xlpm.AppCount))</f>
        <v/>
      </c>
      <c r="P8" s="234" t="str">
        <f>_xlfn.LET(_xlpm.AppCount,COUNTIFS(tblPMView[Scope],"",tblPMView[Application],tblAppSum[[#This Row],[Supported Application]],tblPMView[DB],P$2),IF(_xlpm.AppCount=0,"",_xlpm.AppCount))</f>
        <v/>
      </c>
      <c r="Q8" s="234" t="str">
        <f>_xlfn.LET(_xlpm.AppCount,COUNTIFS(tblPMView[Scope],"",tblPMView[Application],tblAppSum[[#This Row],[Supported Application]],tblPMView[DB],Q$2),IF(_xlpm.AppCount=0,"",_xlpm.AppCount))</f>
        <v/>
      </c>
      <c r="R8" s="234" t="str">
        <f>_xlfn.LET(_xlpm.AppCount,COUNTIFS(tblPMView[Scope],"",tblPMView[Application],tblAppSum[[#This Row],[Supported Application]],tblPMView[DB],R$2),IF(_xlpm.AppCount=0,"",_xlpm.AppCount))</f>
        <v/>
      </c>
      <c r="S8" s="234" t="str">
        <f>_xlfn.LET(_xlpm.AppCount,COUNTIFS(tblPMView[Scope],"",tblPMView[Application],tblAppSum[[#This Row],[Supported Application]],tblPMView[DB],S$2),IF(_xlpm.AppCount=0,"",_xlpm.AppCount))</f>
        <v/>
      </c>
      <c r="T8" s="234" t="str">
        <f>_xlfn.LET(_xlpm.AppCount,COUNTIFS(tblPMView[Scope],"",tblPMView[Application],tblAppSum[[#This Row],[Supported Application]],tblPMView[DB],T$2),IF(_xlpm.AppCount=0,"",_xlpm.AppCount))</f>
        <v/>
      </c>
      <c r="U8" s="235" t="str">
        <f>IFERROR(_xlfn.LET(_xlpm.DBCount,COUNTIFS(tblPMView[Scope],"",tblPMView[Application],tblAppSum[[#This Row],[Supported Application]],tblPMView[DB],"&gt; "),IF(_xlpm.DBCount=0,"",_xlpm.DBCount))-SUM(tblAppSum[[#This Row],[DB2]:[UDB]]),"")</f>
        <v/>
      </c>
      <c r="V8" s="236">
        <f>SUM(tblAppSum[[#This Row],[DB2]:[Other-DB]])</f>
        <v>0</v>
      </c>
      <c r="W8" s="237">
        <f>_xlfn.LET(_xlpm.CSCount,COUNTIFS(tblPMView[Scope],"",tblPMView[Application],tblAppSum[[#This Row],[Supported Application]],tblPMView[CS],"&lt;&gt;Yes"),IF(_xlpm.CSCount=0,"",_xlpm.CSCount))</f>
        <v>1</v>
      </c>
      <c r="X8" s="238" t="str">
        <f>_xlfn.LET(_xlpm.DMZCount,COUNTIFS(tblPMView[Scope],"",tblPMView[Application],tblAppSum[[#This Row],[Supported Application]],tblPMView[DMZ],"Yes"),IF(_xlpm.DMZCount=0,"",_xlpm.DMZCount))</f>
        <v/>
      </c>
      <c r="Y8" s="239">
        <f>_xlfn.LET(_xlpm.F5Count,COUNTIFS(tblPMView[Scope],"",tblPMView[Application],tblAppSum[[#This Row],[Supported Application]],tblPMView[LB],"&lt;=Yes"),IF(_xlpm.F5Count=0,"",_xlpm.F5Count))</f>
        <v>1</v>
      </c>
    </row>
    <row r="9" spans="1:25" x14ac:dyDescent="0.35">
      <c r="A9" s="227" t="s">
        <v>745</v>
      </c>
      <c r="B9" s="228">
        <f>_xlfn.LET(_xlpm.AppCount,COUNTIFS(tblPMView[Scope],"",tblPMView[Application],tblAppSum[[#This Row],[Supported Application]],tblPMView[Device Type],B$2),IF(_xlpm.AppCount=0,"",_xlpm.AppCount))</f>
        <v>2</v>
      </c>
      <c r="C9" s="228" t="str">
        <f>_xlfn.LET(_xlpm.AppCount,COUNTIFS(tblPMView[Scope],"",tblPMView[Application],tblAppSum[[#This Row],[Supported Application]],tblPMView[Device Type],C$2),IF(_xlpm.AppCount=0,"",_xlpm.AppCount))</f>
        <v/>
      </c>
      <c r="D9" s="229" t="str">
        <f>_xlfn.LET(_xlpm.AppCount,COUNTIFS(tblPMView[Scope],"",tblPMView[Application],tblAppSum[[#This Row],[Supported Application]],tblPMView[Device Type],D$2),IF(_xlpm.AppCount=0,"",_xlpm.AppCount))</f>
        <v/>
      </c>
      <c r="E9" s="228" t="str">
        <f>_xlfn.LET(_xlpm.AppCount,COUNTIFS(tblPMView[Scope],"",tblPMView[Application],tblAppSum[[#This Row],[Supported Application]],tblPMView[Device Type],E$2),IF(_xlpm.AppCount=0,"",_xlpm.AppCount))</f>
        <v/>
      </c>
      <c r="F9" s="230" t="str">
        <f>_xlfn.LET(_xlpm.AppCount,COUNTIFS(tblPMView[Scope],"",tblPMView[Application],tblAppSum[[#This Row],[Supported Application]])-SUM(tblAppSum[[#This Row],[AIX-LPAR]:[VM]]),IF(_xlpm.AppCount=0,"",_xlpm.AppCount))</f>
        <v/>
      </c>
      <c r="G9" s="231">
        <f>_xlfn.LET(_xlpm.AppCount,COUNTIFS(tblPMView[Scope],"",tblPMView[Application],tblAppSum[[#This Row],[Supported Application]],tblPMView[OS],G$2),IF(_xlpm.AppCount=0,"",_xlpm.AppCount))</f>
        <v>2</v>
      </c>
      <c r="H9" s="229" t="str">
        <f>_xlfn.LET(_xlpm.AppCount,COUNTIFS(tblPMView[Scope],"",tblPMView[Application],tblAppSum[[#This Row],[Supported Application]],tblPMView[OS],H$2),IF(_xlpm.AppCount=0,"",_xlpm.AppCount))</f>
        <v/>
      </c>
      <c r="I9" s="231" t="str">
        <f>_xlfn.LET(_xlpm.AppCount,COUNTIFS(tblPMView[Scope],"",tblPMView[Application],tblAppSum[[#This Row],[Supported Application]],tblPMView[OS],I$2),IF(_xlpm.AppCount=0,"",_xlpm.AppCount))</f>
        <v/>
      </c>
      <c r="J9" s="231" t="str">
        <f>_xlfn.LET(_xlpm.AppCount,COUNTIFS(tblPMView[Scope],"",tblPMView[Scope],"",tblPMView[Scope],"",tblPMView[Application],tblAppSum[[#This Row],[Supported Application]],tblPMView[OS],J$2),IF(_xlpm.AppCount=0,"",_xlpm.AppCount))</f>
        <v/>
      </c>
      <c r="K9" s="232" t="str">
        <f>_xlfn.LET(_xlpm.AppCount,COUNTIFS(tblPMView[Scope],"",tblPMView[Application],tblAppSum[[#This Row],[Supported Application]],tblPMView[OS],K$2),IF(_xlpm.AppCount=0,"",_xlpm.AppCount))</f>
        <v/>
      </c>
      <c r="L9" s="231" t="str">
        <f>_xlfn.LET(_xlpm.AppCount,COUNTIFS(tblPMView[Scope],"",tblPMView[Application],tblAppSum[[#This Row],[Supported Application]],tblPMView[OS],L$2),IF(_xlpm.AppCount=0,"",_xlpm.AppCount))</f>
        <v/>
      </c>
      <c r="M9" s="228" t="str">
        <f>_xlfn.LET(_xlpm.AppCount,COUNTIFS(tblPMView[Scope],"",tblPMView[Application],tblAppSum[[#This Row],[Supported Application]])-SUM(tblAppSum[[#This Row],[AIX]:[RHEL]]),IF(_xlpm.AppCount=0,"",_xlpm.AppCount))</f>
        <v/>
      </c>
      <c r="N9" s="233">
        <f>SUM(tblAppSum[[#This Row],[AIX]:[Other-OS]])</f>
        <v>2</v>
      </c>
      <c r="O9" s="234" t="str">
        <f>_xlfn.LET(_xlpm.AppCount,COUNTIFS(tblPMView[Scope],"",tblPMView[Application],tblAppSum[[#This Row],[Supported Application]],tblPMView[DB],O$2),IF(_xlpm.AppCount=0,"",_xlpm.AppCount))</f>
        <v/>
      </c>
      <c r="P9" s="234" t="str">
        <f>_xlfn.LET(_xlpm.AppCount,COUNTIFS(tblPMView[Scope],"",tblPMView[Application],tblAppSum[[#This Row],[Supported Application]],tblPMView[DB],P$2),IF(_xlpm.AppCount=0,"",_xlpm.AppCount))</f>
        <v/>
      </c>
      <c r="Q9" s="234" t="str">
        <f>_xlfn.LET(_xlpm.AppCount,COUNTIFS(tblPMView[Scope],"",tblPMView[Application],tblAppSum[[#This Row],[Supported Application]],tblPMView[DB],Q$2),IF(_xlpm.AppCount=0,"",_xlpm.AppCount))</f>
        <v/>
      </c>
      <c r="R9" s="234" t="str">
        <f>_xlfn.LET(_xlpm.AppCount,COUNTIFS(tblPMView[Scope],"",tblPMView[Application],tblAppSum[[#This Row],[Supported Application]],tblPMView[DB],R$2),IF(_xlpm.AppCount=0,"",_xlpm.AppCount))</f>
        <v/>
      </c>
      <c r="S9" s="234" t="str">
        <f>_xlfn.LET(_xlpm.AppCount,COUNTIFS(tblPMView[Scope],"",tblPMView[Application],tblAppSum[[#This Row],[Supported Application]],tblPMView[DB],S$2),IF(_xlpm.AppCount=0,"",_xlpm.AppCount))</f>
        <v/>
      </c>
      <c r="T9" s="234" t="str">
        <f>_xlfn.LET(_xlpm.AppCount,COUNTIFS(tblPMView[Scope],"",tblPMView[Application],tblAppSum[[#This Row],[Supported Application]],tblPMView[DB],T$2),IF(_xlpm.AppCount=0,"",_xlpm.AppCount))</f>
        <v/>
      </c>
      <c r="U9" s="235" t="str">
        <f>IFERROR(_xlfn.LET(_xlpm.DBCount,COUNTIFS(tblPMView[Scope],"",tblPMView[Application],tblAppSum[[#This Row],[Supported Application]],tblPMView[DB],"&gt; "),IF(_xlpm.DBCount=0,"",_xlpm.DBCount))-SUM(tblAppSum[[#This Row],[DB2]:[UDB]]),"")</f>
        <v/>
      </c>
      <c r="V9" s="236">
        <f>SUM(tblAppSum[[#This Row],[DB2]:[Other-DB]])</f>
        <v>0</v>
      </c>
      <c r="W9" s="237" t="str">
        <f>_xlfn.LET(_xlpm.CSCount,COUNTIFS(tblPMView[Scope],"",tblPMView[Application],tblAppSum[[#This Row],[Supported Application]],tblPMView[CS],"&lt;&gt;Yes"),IF(_xlpm.CSCount=0,"",_xlpm.CSCount))</f>
        <v/>
      </c>
      <c r="X9" s="238" t="str">
        <f>_xlfn.LET(_xlpm.DMZCount,COUNTIFS(tblPMView[Scope],"",tblPMView[Application],tblAppSum[[#This Row],[Supported Application]],tblPMView[DMZ],"Yes"),IF(_xlpm.DMZCount=0,"",_xlpm.DMZCount))</f>
        <v/>
      </c>
      <c r="Y9" s="239">
        <f>_xlfn.LET(_xlpm.F5Count,COUNTIFS(tblPMView[Scope],"",tblPMView[Application],tblAppSum[[#This Row],[Supported Application]],tblPMView[LB],"&lt;=Yes"),IF(_xlpm.F5Count=0,"",_xlpm.F5Count))</f>
        <v>2</v>
      </c>
    </row>
    <row r="10" spans="1:25" x14ac:dyDescent="0.35">
      <c r="A10" s="227" t="s">
        <v>746</v>
      </c>
      <c r="B10" s="228">
        <f>_xlfn.LET(_xlpm.AppCount,COUNTIFS(tblPMView[Scope],"",tblPMView[Application],tblAppSum[[#This Row],[Supported Application]],tblPMView[Device Type],B$2),IF(_xlpm.AppCount=0,"",_xlpm.AppCount))</f>
        <v>4</v>
      </c>
      <c r="C10" s="228" t="str">
        <f>_xlfn.LET(_xlpm.AppCount,COUNTIFS(tblPMView[Scope],"",tblPMView[Application],tblAppSum[[#This Row],[Supported Application]],tblPMView[Device Type],C$2),IF(_xlpm.AppCount=0,"",_xlpm.AppCount))</f>
        <v/>
      </c>
      <c r="D10" s="229" t="str">
        <f>_xlfn.LET(_xlpm.AppCount,COUNTIFS(tblPMView[Scope],"",tblPMView[Application],tblAppSum[[#This Row],[Supported Application]],tblPMView[Device Type],D$2),IF(_xlpm.AppCount=0,"",_xlpm.AppCount))</f>
        <v/>
      </c>
      <c r="E10" s="228" t="str">
        <f>_xlfn.LET(_xlpm.AppCount,COUNTIFS(tblPMView[Scope],"",tblPMView[Application],tblAppSum[[#This Row],[Supported Application]],tblPMView[Device Type],E$2),IF(_xlpm.AppCount=0,"",_xlpm.AppCount))</f>
        <v/>
      </c>
      <c r="F10" s="230" t="str">
        <f>_xlfn.LET(_xlpm.AppCount,COUNTIFS(tblPMView[Scope],"",tblPMView[Application],tblAppSum[[#This Row],[Supported Application]])-SUM(tblAppSum[[#This Row],[AIX-LPAR]:[VM]]),IF(_xlpm.AppCount=0,"",_xlpm.AppCount))</f>
        <v/>
      </c>
      <c r="G10" s="231">
        <f>_xlfn.LET(_xlpm.AppCount,COUNTIFS(tblPMView[Scope],"",tblPMView[Application],tblAppSum[[#This Row],[Supported Application]],tblPMView[OS],G$2),IF(_xlpm.AppCount=0,"",_xlpm.AppCount))</f>
        <v>4</v>
      </c>
      <c r="H10" s="229" t="str">
        <f>_xlfn.LET(_xlpm.AppCount,COUNTIFS(tblPMView[Scope],"",tblPMView[Application],tblAppSum[[#This Row],[Supported Application]],tblPMView[OS],H$2),IF(_xlpm.AppCount=0,"",_xlpm.AppCount))</f>
        <v/>
      </c>
      <c r="I10" s="231" t="str">
        <f>_xlfn.LET(_xlpm.AppCount,COUNTIFS(tblPMView[Scope],"",tblPMView[Application],tblAppSum[[#This Row],[Supported Application]],tblPMView[OS],I$2),IF(_xlpm.AppCount=0,"",_xlpm.AppCount))</f>
        <v/>
      </c>
      <c r="J10" s="231" t="str">
        <f>_xlfn.LET(_xlpm.AppCount,COUNTIFS(tblPMView[Scope],"",tblPMView[Scope],"",tblPMView[Scope],"",tblPMView[Application],tblAppSum[[#This Row],[Supported Application]],tblPMView[OS],J$2),IF(_xlpm.AppCount=0,"",_xlpm.AppCount))</f>
        <v/>
      </c>
      <c r="K10" s="232" t="str">
        <f>_xlfn.LET(_xlpm.AppCount,COUNTIFS(tblPMView[Scope],"",tblPMView[Application],tblAppSum[[#This Row],[Supported Application]],tblPMView[OS],K$2),IF(_xlpm.AppCount=0,"",_xlpm.AppCount))</f>
        <v/>
      </c>
      <c r="L10" s="231" t="str">
        <f>_xlfn.LET(_xlpm.AppCount,COUNTIFS(tblPMView[Scope],"",tblPMView[Application],tblAppSum[[#This Row],[Supported Application]],tblPMView[OS],L$2),IF(_xlpm.AppCount=0,"",_xlpm.AppCount))</f>
        <v/>
      </c>
      <c r="M10" s="228" t="str">
        <f>_xlfn.LET(_xlpm.AppCount,COUNTIFS(tblPMView[Scope],"",tblPMView[Application],tblAppSum[[#This Row],[Supported Application]])-SUM(tblAppSum[[#This Row],[AIX]:[RHEL]]),IF(_xlpm.AppCount=0,"",_xlpm.AppCount))</f>
        <v/>
      </c>
      <c r="N10" s="233">
        <f>SUM(tblAppSum[[#This Row],[AIX]:[Other-OS]])</f>
        <v>4</v>
      </c>
      <c r="O10" s="234" t="str">
        <f>_xlfn.LET(_xlpm.AppCount,COUNTIFS(tblPMView[Scope],"",tblPMView[Application],tblAppSum[[#This Row],[Supported Application]],tblPMView[DB],O$2),IF(_xlpm.AppCount=0,"",_xlpm.AppCount))</f>
        <v/>
      </c>
      <c r="P10" s="234" t="str">
        <f>_xlfn.LET(_xlpm.AppCount,COUNTIFS(tblPMView[Scope],"",tblPMView[Application],tblAppSum[[#This Row],[Supported Application]],tblPMView[DB],P$2),IF(_xlpm.AppCount=0,"",_xlpm.AppCount))</f>
        <v/>
      </c>
      <c r="Q10" s="234" t="str">
        <f>_xlfn.LET(_xlpm.AppCount,COUNTIFS(tblPMView[Scope],"",tblPMView[Application],tblAppSum[[#This Row],[Supported Application]],tblPMView[DB],Q$2),IF(_xlpm.AppCount=0,"",_xlpm.AppCount))</f>
        <v/>
      </c>
      <c r="R10" s="234" t="str">
        <f>_xlfn.LET(_xlpm.AppCount,COUNTIFS(tblPMView[Scope],"",tblPMView[Application],tblAppSum[[#This Row],[Supported Application]],tblPMView[DB],R$2),IF(_xlpm.AppCount=0,"",_xlpm.AppCount))</f>
        <v/>
      </c>
      <c r="S10" s="234" t="str">
        <f>_xlfn.LET(_xlpm.AppCount,COUNTIFS(tblPMView[Scope],"",tblPMView[Application],tblAppSum[[#This Row],[Supported Application]],tblPMView[DB],S$2),IF(_xlpm.AppCount=0,"",_xlpm.AppCount))</f>
        <v/>
      </c>
      <c r="T10" s="234" t="str">
        <f>_xlfn.LET(_xlpm.AppCount,COUNTIFS(tblPMView[Scope],"",tblPMView[Application],tblAppSum[[#This Row],[Supported Application]],tblPMView[DB],T$2),IF(_xlpm.AppCount=0,"",_xlpm.AppCount))</f>
        <v/>
      </c>
      <c r="U10" s="235" t="str">
        <f>IFERROR(_xlfn.LET(_xlpm.DBCount,COUNTIFS(tblPMView[Scope],"",tblPMView[Application],tblAppSum[[#This Row],[Supported Application]],tblPMView[DB],"&gt; "),IF(_xlpm.DBCount=0,"",_xlpm.DBCount))-SUM(tblAppSum[[#This Row],[DB2]:[UDB]]),"")</f>
        <v/>
      </c>
      <c r="V10" s="236">
        <f>SUM(tblAppSum[[#This Row],[DB2]:[Other-DB]])</f>
        <v>0</v>
      </c>
      <c r="W10" s="237" t="str">
        <f>_xlfn.LET(_xlpm.CSCount,COUNTIFS(tblPMView[Scope],"",tblPMView[Application],tblAppSum[[#This Row],[Supported Application]],tblPMView[CS],"&lt;&gt;Yes"),IF(_xlpm.CSCount=0,"",_xlpm.CSCount))</f>
        <v/>
      </c>
      <c r="X10" s="238" t="str">
        <f>_xlfn.LET(_xlpm.DMZCount,COUNTIFS(tblPMView[Scope],"",tblPMView[Application],tblAppSum[[#This Row],[Supported Application]],tblPMView[DMZ],"Yes"),IF(_xlpm.DMZCount=0,"",_xlpm.DMZCount))</f>
        <v/>
      </c>
      <c r="Y10" s="239">
        <f>_xlfn.LET(_xlpm.F5Count,COUNTIFS(tblPMView[Scope],"",tblPMView[Application],tblAppSum[[#This Row],[Supported Application]],tblPMView[LB],"&lt;=Yes"),IF(_xlpm.F5Count=0,"",_xlpm.F5Count))</f>
        <v>4</v>
      </c>
    </row>
    <row r="11" spans="1:25" x14ac:dyDescent="0.35">
      <c r="A11" s="227" t="s">
        <v>721</v>
      </c>
      <c r="B11" s="228">
        <f>_xlfn.LET(_xlpm.AppCount,COUNTIFS(tblPMView[Scope],"",tblPMView[Application],tblAppSum[[#This Row],[Supported Application]],tblPMView[Device Type],B$2),IF(_xlpm.AppCount=0,"",_xlpm.AppCount))</f>
        <v>2</v>
      </c>
      <c r="C11" s="228" t="str">
        <f>_xlfn.LET(_xlpm.AppCount,COUNTIFS(tblPMView[Scope],"",tblPMView[Application],tblAppSum[[#This Row],[Supported Application]],tblPMView[Device Type],C$2),IF(_xlpm.AppCount=0,"",_xlpm.AppCount))</f>
        <v/>
      </c>
      <c r="D11" s="229" t="str">
        <f>_xlfn.LET(_xlpm.AppCount,COUNTIFS(tblPMView[Scope],"",tblPMView[Application],tblAppSum[[#This Row],[Supported Application]],tblPMView[Device Type],D$2),IF(_xlpm.AppCount=0,"",_xlpm.AppCount))</f>
        <v/>
      </c>
      <c r="E11" s="228" t="str">
        <f>_xlfn.LET(_xlpm.AppCount,COUNTIFS(tblPMView[Scope],"",tblPMView[Application],tblAppSum[[#This Row],[Supported Application]],tblPMView[Device Type],E$2),IF(_xlpm.AppCount=0,"",_xlpm.AppCount))</f>
        <v/>
      </c>
      <c r="F11" s="230" t="str">
        <f>_xlfn.LET(_xlpm.AppCount,COUNTIFS(tblPMView[Scope],"",tblPMView[Application],tblAppSum[[#This Row],[Supported Application]])-SUM(tblAppSum[[#This Row],[AIX-LPAR]:[VM]]),IF(_xlpm.AppCount=0,"",_xlpm.AppCount))</f>
        <v/>
      </c>
      <c r="G11" s="231">
        <f>_xlfn.LET(_xlpm.AppCount,COUNTIFS(tblPMView[Scope],"",tblPMView[Application],tblAppSum[[#This Row],[Supported Application]],tblPMView[OS],G$2),IF(_xlpm.AppCount=0,"",_xlpm.AppCount))</f>
        <v>2</v>
      </c>
      <c r="H11" s="229" t="str">
        <f>_xlfn.LET(_xlpm.AppCount,COUNTIFS(tblPMView[Scope],"",tblPMView[Application],tblAppSum[[#This Row],[Supported Application]],tblPMView[OS],H$2),IF(_xlpm.AppCount=0,"",_xlpm.AppCount))</f>
        <v/>
      </c>
      <c r="I11" s="231" t="str">
        <f>_xlfn.LET(_xlpm.AppCount,COUNTIFS(tblPMView[Scope],"",tblPMView[Application],tblAppSum[[#This Row],[Supported Application]],tblPMView[OS],I$2),IF(_xlpm.AppCount=0,"",_xlpm.AppCount))</f>
        <v/>
      </c>
      <c r="J11" s="231" t="str">
        <f>_xlfn.LET(_xlpm.AppCount,COUNTIFS(tblPMView[Scope],"",tblPMView[Scope],"",tblPMView[Scope],"",tblPMView[Application],tblAppSum[[#This Row],[Supported Application]],tblPMView[OS],J$2),IF(_xlpm.AppCount=0,"",_xlpm.AppCount))</f>
        <v/>
      </c>
      <c r="K11" s="232" t="str">
        <f>_xlfn.LET(_xlpm.AppCount,COUNTIFS(tblPMView[Scope],"",tblPMView[Application],tblAppSum[[#This Row],[Supported Application]],tblPMView[OS],K$2),IF(_xlpm.AppCount=0,"",_xlpm.AppCount))</f>
        <v/>
      </c>
      <c r="L11" s="231" t="str">
        <f>_xlfn.LET(_xlpm.AppCount,COUNTIFS(tblPMView[Scope],"",tblPMView[Application],tblAppSum[[#This Row],[Supported Application]],tblPMView[OS],L$2),IF(_xlpm.AppCount=0,"",_xlpm.AppCount))</f>
        <v/>
      </c>
      <c r="M11" s="228" t="str">
        <f>_xlfn.LET(_xlpm.AppCount,COUNTIFS(tblPMView[Scope],"",tblPMView[Application],tblAppSum[[#This Row],[Supported Application]])-SUM(tblAppSum[[#This Row],[AIX]:[RHEL]]),IF(_xlpm.AppCount=0,"",_xlpm.AppCount))</f>
        <v/>
      </c>
      <c r="N11" s="233">
        <f>SUM(tblAppSum[[#This Row],[AIX]:[Other-OS]])</f>
        <v>2</v>
      </c>
      <c r="O11" s="234" t="str">
        <f>_xlfn.LET(_xlpm.AppCount,COUNTIFS(tblPMView[Scope],"",tblPMView[Application],tblAppSum[[#This Row],[Supported Application]],tblPMView[DB],O$2),IF(_xlpm.AppCount=0,"",_xlpm.AppCount))</f>
        <v/>
      </c>
      <c r="P11" s="234" t="str">
        <f>_xlfn.LET(_xlpm.AppCount,COUNTIFS(tblPMView[Scope],"",tblPMView[Application],tblAppSum[[#This Row],[Supported Application]],tblPMView[DB],P$2),IF(_xlpm.AppCount=0,"",_xlpm.AppCount))</f>
        <v/>
      </c>
      <c r="Q11" s="234" t="str">
        <f>_xlfn.LET(_xlpm.AppCount,COUNTIFS(tblPMView[Scope],"",tblPMView[Application],tblAppSum[[#This Row],[Supported Application]],tblPMView[DB],Q$2),IF(_xlpm.AppCount=0,"",_xlpm.AppCount))</f>
        <v/>
      </c>
      <c r="R11" s="234" t="str">
        <f>_xlfn.LET(_xlpm.AppCount,COUNTIFS(tblPMView[Scope],"",tblPMView[Application],tblAppSum[[#This Row],[Supported Application]],tblPMView[DB],R$2),IF(_xlpm.AppCount=0,"",_xlpm.AppCount))</f>
        <v/>
      </c>
      <c r="S11" s="234" t="str">
        <f>_xlfn.LET(_xlpm.AppCount,COUNTIFS(tblPMView[Scope],"",tblPMView[Application],tblAppSum[[#This Row],[Supported Application]],tblPMView[DB],S$2),IF(_xlpm.AppCount=0,"",_xlpm.AppCount))</f>
        <v/>
      </c>
      <c r="T11" s="234" t="str">
        <f>_xlfn.LET(_xlpm.AppCount,COUNTIFS(tblPMView[Scope],"",tblPMView[Application],tblAppSum[[#This Row],[Supported Application]],tblPMView[DB],T$2),IF(_xlpm.AppCount=0,"",_xlpm.AppCount))</f>
        <v/>
      </c>
      <c r="U11" s="235" t="str">
        <f>IFERROR(_xlfn.LET(_xlpm.DBCount,COUNTIFS(tblPMView[Scope],"",tblPMView[Application],tblAppSum[[#This Row],[Supported Application]],tblPMView[DB],"&gt; "),IF(_xlpm.DBCount=0,"",_xlpm.DBCount))-SUM(tblAppSum[[#This Row],[DB2]:[UDB]]),"")</f>
        <v/>
      </c>
      <c r="V11" s="236">
        <f>SUM(tblAppSum[[#This Row],[DB2]:[Other-DB]])</f>
        <v>0</v>
      </c>
      <c r="W11" s="237" t="str">
        <f>_xlfn.LET(_xlpm.CSCount,COUNTIFS(tblPMView[Scope],"",tblPMView[Application],tblAppSum[[#This Row],[Supported Application]],tblPMView[CS],"&lt;&gt;Yes"),IF(_xlpm.CSCount=0,"",_xlpm.CSCount))</f>
        <v/>
      </c>
      <c r="X11" s="238" t="str">
        <f>_xlfn.LET(_xlpm.DMZCount,COUNTIFS(tblPMView[Scope],"",tblPMView[Application],tblAppSum[[#This Row],[Supported Application]],tblPMView[DMZ],"Yes"),IF(_xlpm.DMZCount=0,"",_xlpm.DMZCount))</f>
        <v/>
      </c>
      <c r="Y11" s="239">
        <f>_xlfn.LET(_xlpm.F5Count,COUNTIFS(tblPMView[Scope],"",tblPMView[Application],tblAppSum[[#This Row],[Supported Application]],tblPMView[LB],"&lt;=Yes"),IF(_xlpm.F5Count=0,"",_xlpm.F5Count))</f>
        <v>2</v>
      </c>
    </row>
    <row r="12" spans="1:25" ht="15.5" customHeight="1" x14ac:dyDescent="0.35">
      <c r="A12" s="227" t="s">
        <v>720</v>
      </c>
      <c r="B12" s="228" t="str">
        <f>_xlfn.LET(_xlpm.AppCount,COUNTIFS(tblPMView[Scope],"",tblPMView[Application],tblAppSum[[#This Row],[Supported Application]],tblPMView[Device Type],B$2),IF(_xlpm.AppCount=0,"",_xlpm.AppCount))</f>
        <v/>
      </c>
      <c r="C12" s="228" t="str">
        <f>_xlfn.LET(_xlpm.AppCount,COUNTIFS(tblPMView[Scope],"",tblPMView[Application],tblAppSum[[#This Row],[Supported Application]],tblPMView[Device Type],C$2),IF(_xlpm.AppCount=0,"",_xlpm.AppCount))</f>
        <v/>
      </c>
      <c r="D12" s="229">
        <f>_xlfn.LET(_xlpm.AppCount,COUNTIFS(tblPMView[Scope],"",tblPMView[Application],tblAppSum[[#This Row],[Supported Application]],tblPMView[Device Type],D$2),IF(_xlpm.AppCount=0,"",_xlpm.AppCount))</f>
        <v>2</v>
      </c>
      <c r="E12" s="228" t="str">
        <f>_xlfn.LET(_xlpm.AppCount,COUNTIFS(tblPMView[Scope],"",tblPMView[Application],tblAppSum[[#This Row],[Supported Application]],tblPMView[Device Type],E$2),IF(_xlpm.AppCount=0,"",_xlpm.AppCount))</f>
        <v/>
      </c>
      <c r="F12" s="230" t="str">
        <f>_xlfn.LET(_xlpm.AppCount,COUNTIFS(tblPMView[Scope],"",tblPMView[Application],tblAppSum[[#This Row],[Supported Application]])-SUM(tblAppSum[[#This Row],[AIX-LPAR]:[VM]]),IF(_xlpm.AppCount=0,"",_xlpm.AppCount))</f>
        <v/>
      </c>
      <c r="G12" s="231" t="str">
        <f>_xlfn.LET(_xlpm.AppCount,COUNTIFS(tblPMView[Scope],"",tblPMView[Application],tblAppSum[[#This Row],[Supported Application]],tblPMView[OS],G$2),IF(_xlpm.AppCount=0,"",_xlpm.AppCount))</f>
        <v/>
      </c>
      <c r="H12" s="229" t="str">
        <f>_xlfn.LET(_xlpm.AppCount,COUNTIFS(tblPMView[Scope],"",tblPMView[Application],tblAppSum[[#This Row],[Supported Application]],tblPMView[OS],H$2),IF(_xlpm.AppCount=0,"",_xlpm.AppCount))</f>
        <v/>
      </c>
      <c r="I12" s="231" t="str">
        <f>_xlfn.LET(_xlpm.AppCount,COUNTIFS(tblPMView[Scope],"",tblPMView[Application],tblAppSum[[#This Row],[Supported Application]],tblPMView[OS],I$2),IF(_xlpm.AppCount=0,"",_xlpm.AppCount))</f>
        <v/>
      </c>
      <c r="J12" s="231">
        <f>_xlfn.LET(_xlpm.AppCount,COUNTIFS(tblPMView[Scope],"",tblPMView[Scope],"",tblPMView[Scope],"",tblPMView[Application],tblAppSum[[#This Row],[Supported Application]],tblPMView[OS],J$2),IF(_xlpm.AppCount=0,"",_xlpm.AppCount))</f>
        <v>2</v>
      </c>
      <c r="K12" s="232" t="str">
        <f>_xlfn.LET(_xlpm.AppCount,COUNTIFS(tblPMView[Scope],"",tblPMView[Application],tblAppSum[[#This Row],[Supported Application]],tblPMView[OS],K$2),IF(_xlpm.AppCount=0,"",_xlpm.AppCount))</f>
        <v/>
      </c>
      <c r="L12" s="231" t="str">
        <f>_xlfn.LET(_xlpm.AppCount,COUNTIFS(tblPMView[Scope],"",tblPMView[Application],tblAppSum[[#This Row],[Supported Application]],tblPMView[OS],L$2),IF(_xlpm.AppCount=0,"",_xlpm.AppCount))</f>
        <v/>
      </c>
      <c r="M12" s="228" t="str">
        <f>_xlfn.LET(_xlpm.AppCount,COUNTIFS(tblPMView[Scope],"",tblPMView[Application],tblAppSum[[#This Row],[Supported Application]])-SUM(tblAppSum[[#This Row],[AIX]:[RHEL]]),IF(_xlpm.AppCount=0,"",_xlpm.AppCount))</f>
        <v/>
      </c>
      <c r="N12" s="233">
        <f>SUM(tblAppSum[[#This Row],[AIX]:[Other-OS]])</f>
        <v>2</v>
      </c>
      <c r="O12" s="234" t="str">
        <f>_xlfn.LET(_xlpm.AppCount,COUNTIFS(tblPMView[Scope],"",tblPMView[Application],tblAppSum[[#This Row],[Supported Application]],tblPMView[DB],O$2),IF(_xlpm.AppCount=0,"",_xlpm.AppCount))</f>
        <v/>
      </c>
      <c r="P12" s="234" t="str">
        <f>_xlfn.LET(_xlpm.AppCount,COUNTIFS(tblPMView[Scope],"",tblPMView[Application],tblAppSum[[#This Row],[Supported Application]],tblPMView[DB],P$2),IF(_xlpm.AppCount=0,"",_xlpm.AppCount))</f>
        <v/>
      </c>
      <c r="Q12" s="234" t="str">
        <f>_xlfn.LET(_xlpm.AppCount,COUNTIFS(tblPMView[Scope],"",tblPMView[Application],tblAppSum[[#This Row],[Supported Application]],tblPMView[DB],Q$2),IF(_xlpm.AppCount=0,"",_xlpm.AppCount))</f>
        <v/>
      </c>
      <c r="R12" s="234">
        <f>_xlfn.LET(_xlpm.AppCount,COUNTIFS(tblPMView[Scope],"",tblPMView[Application],tblAppSum[[#This Row],[Supported Application]],tblPMView[DB],R$2),IF(_xlpm.AppCount=0,"",_xlpm.AppCount))</f>
        <v>2</v>
      </c>
      <c r="S12" s="234" t="str">
        <f>_xlfn.LET(_xlpm.AppCount,COUNTIFS(tblPMView[Scope],"",tblPMView[Application],tblAppSum[[#This Row],[Supported Application]],tblPMView[DB],S$2),IF(_xlpm.AppCount=0,"",_xlpm.AppCount))</f>
        <v/>
      </c>
      <c r="T12" s="234" t="str">
        <f>_xlfn.LET(_xlpm.AppCount,COUNTIFS(tblPMView[Scope],"",tblPMView[Application],tblAppSum[[#This Row],[Supported Application]],tblPMView[DB],T$2),IF(_xlpm.AppCount=0,"",_xlpm.AppCount))</f>
        <v/>
      </c>
      <c r="U12" s="235">
        <f>IFERROR(_xlfn.LET(_xlpm.DBCount,COUNTIFS(tblPMView[Scope],"",tblPMView[Application],tblAppSum[[#This Row],[Supported Application]],tblPMView[DB],"&gt; "),IF(_xlpm.DBCount=0,"",_xlpm.DBCount))-SUM(tblAppSum[[#This Row],[DB2]:[UDB]]),"")</f>
        <v>0</v>
      </c>
      <c r="V12" s="236">
        <f>SUM(tblAppSum[[#This Row],[DB2]:[Other-DB]])</f>
        <v>2</v>
      </c>
      <c r="W12" s="237" t="str">
        <f>_xlfn.LET(_xlpm.CSCount,COUNTIFS(tblPMView[Scope],"",tblPMView[Application],tblAppSum[[#This Row],[Supported Application]],tblPMView[CS],"&lt;&gt;Yes"),IF(_xlpm.CSCount=0,"",_xlpm.CSCount))</f>
        <v/>
      </c>
      <c r="X12" s="238" t="str">
        <f>_xlfn.LET(_xlpm.DMZCount,COUNTIFS(tblPMView[Scope],"",tblPMView[Application],tblAppSum[[#This Row],[Supported Application]],tblPMView[DMZ],"Yes"),IF(_xlpm.DMZCount=0,"",_xlpm.DMZCount))</f>
        <v/>
      </c>
      <c r="Y12" s="239">
        <f>_xlfn.LET(_xlpm.F5Count,COUNTIFS(tblPMView[Scope],"",tblPMView[Application],tblAppSum[[#This Row],[Supported Application]],tblPMView[LB],"&lt;=Yes"),IF(_xlpm.F5Count=0,"",_xlpm.F5Count))</f>
        <v>2</v>
      </c>
    </row>
    <row r="13" spans="1:25" x14ac:dyDescent="0.35">
      <c r="A13" s="227" t="s">
        <v>710</v>
      </c>
      <c r="B13" s="228" t="str">
        <f>_xlfn.LET(_xlpm.AppCount,COUNTIFS(tblPMView[Scope],"",tblPMView[Application],tblAppSum[[#This Row],[Supported Application]],tblPMView[Device Type],B$2),IF(_xlpm.AppCount=0,"",_xlpm.AppCount))</f>
        <v/>
      </c>
      <c r="C13" s="228" t="str">
        <f>_xlfn.LET(_xlpm.AppCount,COUNTIFS(tblPMView[Scope],"",tblPMView[Application],tblAppSum[[#This Row],[Supported Application]],tblPMView[Device Type],C$2),IF(_xlpm.AppCount=0,"",_xlpm.AppCount))</f>
        <v/>
      </c>
      <c r="D13" s="229">
        <f>_xlfn.LET(_xlpm.AppCount,COUNTIFS(tblPMView[Scope],"",tblPMView[Application],tblAppSum[[#This Row],[Supported Application]],tblPMView[Device Type],D$2),IF(_xlpm.AppCount=0,"",_xlpm.AppCount))</f>
        <v>2</v>
      </c>
      <c r="E13" s="228" t="str">
        <f>_xlfn.LET(_xlpm.AppCount,COUNTIFS(tblPMView[Scope],"",tblPMView[Application],tblAppSum[[#This Row],[Supported Application]],tblPMView[Device Type],E$2),IF(_xlpm.AppCount=0,"",_xlpm.AppCount))</f>
        <v/>
      </c>
      <c r="F13" s="230" t="str">
        <f>_xlfn.LET(_xlpm.AppCount,COUNTIFS(tblPMView[Scope],"",tblPMView[Application],tblAppSum[[#This Row],[Supported Application]])-SUM(tblAppSum[[#This Row],[AIX-LPAR]:[VM]]),IF(_xlpm.AppCount=0,"",_xlpm.AppCount))</f>
        <v/>
      </c>
      <c r="G13" s="231" t="str">
        <f>_xlfn.LET(_xlpm.AppCount,COUNTIFS(tblPMView[Scope],"",tblPMView[Application],tblAppSum[[#This Row],[Supported Application]],tblPMView[OS],G$2),IF(_xlpm.AppCount=0,"",_xlpm.AppCount))</f>
        <v/>
      </c>
      <c r="H13" s="229" t="str">
        <f>_xlfn.LET(_xlpm.AppCount,COUNTIFS(tblPMView[Scope],"",tblPMView[Application],tblAppSum[[#This Row],[Supported Application]],tblPMView[OS],H$2),IF(_xlpm.AppCount=0,"",_xlpm.AppCount))</f>
        <v/>
      </c>
      <c r="I13" s="231" t="str">
        <f>_xlfn.LET(_xlpm.AppCount,COUNTIFS(tblPMView[Scope],"",tblPMView[Application],tblAppSum[[#This Row],[Supported Application]],tblPMView[OS],I$2),IF(_xlpm.AppCount=0,"",_xlpm.AppCount))</f>
        <v/>
      </c>
      <c r="J13" s="231">
        <f>_xlfn.LET(_xlpm.AppCount,COUNTIFS(tblPMView[Scope],"",tblPMView[Scope],"",tblPMView[Scope],"",tblPMView[Application],tblAppSum[[#This Row],[Supported Application]],tblPMView[OS],J$2),IF(_xlpm.AppCount=0,"",_xlpm.AppCount))</f>
        <v>2</v>
      </c>
      <c r="K13" s="232" t="str">
        <f>_xlfn.LET(_xlpm.AppCount,COUNTIFS(tblPMView[Scope],"",tblPMView[Application],tblAppSum[[#This Row],[Supported Application]],tblPMView[OS],K$2),IF(_xlpm.AppCount=0,"",_xlpm.AppCount))</f>
        <v/>
      </c>
      <c r="L13" s="231" t="str">
        <f>_xlfn.LET(_xlpm.AppCount,COUNTIFS(tblPMView[Scope],"",tblPMView[Application],tblAppSum[[#This Row],[Supported Application]],tblPMView[OS],L$2),IF(_xlpm.AppCount=0,"",_xlpm.AppCount))</f>
        <v/>
      </c>
      <c r="M13" s="228" t="str">
        <f>_xlfn.LET(_xlpm.AppCount,COUNTIFS(tblPMView[Scope],"",tblPMView[Application],tblAppSum[[#This Row],[Supported Application]])-SUM(tblAppSum[[#This Row],[AIX]:[RHEL]]),IF(_xlpm.AppCount=0,"",_xlpm.AppCount))</f>
        <v/>
      </c>
      <c r="N13" s="233">
        <f>SUM(tblAppSum[[#This Row],[AIX]:[Other-OS]])</f>
        <v>2</v>
      </c>
      <c r="O13" s="234" t="str">
        <f>_xlfn.LET(_xlpm.AppCount,COUNTIFS(tblPMView[Scope],"",tblPMView[Application],tblAppSum[[#This Row],[Supported Application]],tblPMView[DB],O$2),IF(_xlpm.AppCount=0,"",_xlpm.AppCount))</f>
        <v/>
      </c>
      <c r="P13" s="234" t="str">
        <f>_xlfn.LET(_xlpm.AppCount,COUNTIFS(tblPMView[Scope],"",tblPMView[Application],tblAppSum[[#This Row],[Supported Application]],tblPMView[DB],P$2),IF(_xlpm.AppCount=0,"",_xlpm.AppCount))</f>
        <v/>
      </c>
      <c r="Q13" s="234" t="str">
        <f>_xlfn.LET(_xlpm.AppCount,COUNTIFS(tblPMView[Scope],"",tblPMView[Application],tblAppSum[[#This Row],[Supported Application]],tblPMView[DB],Q$2),IF(_xlpm.AppCount=0,"",_xlpm.AppCount))</f>
        <v/>
      </c>
      <c r="R13" s="234">
        <f>_xlfn.LET(_xlpm.AppCount,COUNTIFS(tblPMView[Scope],"",tblPMView[Application],tblAppSum[[#This Row],[Supported Application]],tblPMView[DB],R$2),IF(_xlpm.AppCount=0,"",_xlpm.AppCount))</f>
        <v>2</v>
      </c>
      <c r="S13" s="234" t="str">
        <f>_xlfn.LET(_xlpm.AppCount,COUNTIFS(tblPMView[Scope],"",tblPMView[Application],tblAppSum[[#This Row],[Supported Application]],tblPMView[DB],S$2),IF(_xlpm.AppCount=0,"",_xlpm.AppCount))</f>
        <v/>
      </c>
      <c r="T13" s="234" t="str">
        <f>_xlfn.LET(_xlpm.AppCount,COUNTIFS(tblPMView[Scope],"",tblPMView[Application],tblAppSum[[#This Row],[Supported Application]],tblPMView[DB],T$2),IF(_xlpm.AppCount=0,"",_xlpm.AppCount))</f>
        <v/>
      </c>
      <c r="U13" s="235">
        <f>IFERROR(_xlfn.LET(_xlpm.DBCount,COUNTIFS(tblPMView[Scope],"",tblPMView[Application],tblAppSum[[#This Row],[Supported Application]],tblPMView[DB],"&gt; "),IF(_xlpm.DBCount=0,"",_xlpm.DBCount))-SUM(tblAppSum[[#This Row],[DB2]:[UDB]]),"")</f>
        <v>0</v>
      </c>
      <c r="V13" s="236">
        <f>SUM(tblAppSum[[#This Row],[DB2]:[Other-DB]])</f>
        <v>2</v>
      </c>
      <c r="W13" s="237" t="str">
        <f>_xlfn.LET(_xlpm.CSCount,COUNTIFS(tblPMView[Scope],"",tblPMView[Application],tblAppSum[[#This Row],[Supported Application]],tblPMView[CS],"&lt;&gt;Yes"),IF(_xlpm.CSCount=0,"",_xlpm.CSCount))</f>
        <v/>
      </c>
      <c r="X13" s="238" t="str">
        <f>_xlfn.LET(_xlpm.DMZCount,COUNTIFS(tblPMView[Scope],"",tblPMView[Application],tblAppSum[[#This Row],[Supported Application]],tblPMView[DMZ],"Yes"),IF(_xlpm.DMZCount=0,"",_xlpm.DMZCount))</f>
        <v/>
      </c>
      <c r="Y13" s="239">
        <f>_xlfn.LET(_xlpm.F5Count,COUNTIFS(tblPMView[Scope],"",tblPMView[Application],tblAppSum[[#This Row],[Supported Application]],tblPMView[LB],"&lt;=Yes"),IF(_xlpm.F5Count=0,"",_xlpm.F5Count))</f>
        <v>2</v>
      </c>
    </row>
    <row r="14" spans="1:25" x14ac:dyDescent="0.35">
      <c r="A14" s="74" t="s">
        <v>43</v>
      </c>
      <c r="B14" s="75" t="s">
        <v>19</v>
      </c>
      <c r="C14" s="75" t="s">
        <v>20</v>
      </c>
      <c r="D14" s="75" t="s">
        <v>21</v>
      </c>
      <c r="E14" s="75" t="s">
        <v>22</v>
      </c>
      <c r="F14" s="75" t="s">
        <v>23</v>
      </c>
      <c r="G14" s="76" t="s">
        <v>24</v>
      </c>
      <c r="H14" s="77" t="s">
        <v>44</v>
      </c>
      <c r="I14" s="76" t="s">
        <v>26</v>
      </c>
      <c r="J14" s="76" t="s">
        <v>27</v>
      </c>
      <c r="K14" s="78" t="s">
        <v>28</v>
      </c>
      <c r="L14" s="76" t="s">
        <v>29</v>
      </c>
      <c r="M14" s="76" t="s">
        <v>30</v>
      </c>
      <c r="N14" s="76" t="s">
        <v>31</v>
      </c>
      <c r="O14" s="79" t="s">
        <v>32</v>
      </c>
      <c r="P14" s="79" t="s">
        <v>33</v>
      </c>
      <c r="Q14" s="79" t="s">
        <v>34</v>
      </c>
      <c r="R14" s="79" t="s">
        <v>35</v>
      </c>
      <c r="S14" s="79" t="s">
        <v>36</v>
      </c>
      <c r="T14" s="79" t="s">
        <v>37</v>
      </c>
      <c r="U14" s="79" t="s">
        <v>38</v>
      </c>
      <c r="V14" s="79" t="s">
        <v>39</v>
      </c>
      <c r="W14" s="80" t="s">
        <v>40</v>
      </c>
      <c r="X14" s="75" t="s">
        <v>41</v>
      </c>
      <c r="Y14" s="81" t="s">
        <v>42</v>
      </c>
    </row>
    <row r="15" spans="1:25" x14ac:dyDescent="0.35">
      <c r="A15" s="82">
        <f>ROWS(tblAppSum[Supported Application])</f>
        <v>11</v>
      </c>
      <c r="B15" s="83">
        <f>_xlfn.LET(_xlpm.AppCount,COUNTIFS(tblTM[device_assetType],B$2),IF(_xlpm.AppCount=0,"",_xlpm.AppCount))</f>
        <v>12</v>
      </c>
      <c r="C15" s="83" t="str">
        <f>_xlfn.LET(_xlpm.AppCount,COUNTIFS(tblTM[device_assetType],C$2),IF(_xlpm.AppCount=0,"",_xlpm.AppCount))</f>
        <v/>
      </c>
      <c r="D15" s="84">
        <f>_xlfn.LET(_xlpm.AppCount,COUNTIFS(tblTM[device_assetType],D$2),IF(_xlpm.AppCount=0,"",_xlpm.AppCount))</f>
        <v>32</v>
      </c>
      <c r="E15" s="83">
        <f>_xlfn.LET(_xlpm.AppCount,COUNTIFS(tblTM[device_assetType],E$2),IF(_xlpm.AppCount=0,"",_xlpm.AppCount))</f>
        <v>2</v>
      </c>
      <c r="F15" s="84" t="str">
        <f>_xlfn.LET(_xlpm.AppCount,ROWS(tblTM[common_assetName])-SUM(AppSum!$B15:$E15),IF(_xlpm.AppCount=0,"",_xlpm.AppCount))</f>
        <v/>
      </c>
      <c r="G15" s="85">
        <f>_xlfn.LET(_xlpm.AppCount,COUNTIFS(tblTM[device_os],G$2),IF(_xlpm.AppCount=0,"",_xlpm.AppCount))</f>
        <v>12</v>
      </c>
      <c r="H15" s="84" t="str">
        <f>_xlfn.LET(_xlpm.AppCount,COUNTIFS(tblTM[device_os],AppSum!$H$14),IF(_xlpm.AppCount=0,"",_xlpm.AppCount))</f>
        <v/>
      </c>
      <c r="I15" s="85">
        <f>_xlfn.LET(_xlpm.AppCount,COUNTIF(tblTM[device_os],"*Linux*")-COUNTIF(tblTM[device_os],"*Linux Red*")-(COUNTIFS(tblTM[device_custom31],"*Red*")+COUNTIFS(tblTM[device_custom31],"*OpenShift*")),IF(_xlpm.AppCount=0,"",_xlpm.AppCount))</f>
        <v>28</v>
      </c>
      <c r="J15" s="85">
        <f>_xlfn.LET(_xlpm.AppCount,COUNTIFS(tblTM[device_os],"*Windows*"),IF(_xlpm.AppCount=0,"",_xlpm.AppCount))</f>
        <v>6</v>
      </c>
      <c r="K15" s="86" t="str">
        <f>_xlfn.LET(_xlpm.AppCount,COUNTIFS(tblTM[device_custom31],"OpenShift*"),IF(_xlpm.AppCount=0,"",_xlpm.AppCount))</f>
        <v/>
      </c>
      <c r="L15" s="85">
        <f>_xlfn.LET(_xlpm.AppCount,COUNTIFS(tblTM[device_os],"*Red*")+COUNTIFS(tblTM[device_custom31],"*Red*"),IF(_xlpm.AppCount=0,"",_xlpm.AppCount))</f>
        <v>28</v>
      </c>
      <c r="M15" s="83">
        <f>ROWS(tblTM[device_os])-SUM(AppSum!$G15:$L15)</f>
        <v>-28</v>
      </c>
      <c r="N15" s="85">
        <f>SUM(AppSum!$G15:$M15)</f>
        <v>46</v>
      </c>
      <c r="O15" s="87">
        <f>_xlfn.LET(_xlpm.AppCount,COUNTIFS(tblTM[device_custom20],O$2&amp;"*"),IF(_xlpm.AppCount=0,"",_xlpm.AppCount))</f>
        <v>2</v>
      </c>
      <c r="P15" s="87" t="str">
        <f>_xlfn.LET(_xlpm.AppCount,COUNTIFS(tblTM[device_custom20],P$2),IF(_xlpm.AppCount=0,"",_xlpm.AppCount))</f>
        <v/>
      </c>
      <c r="Q15" s="87" t="str">
        <f>_xlfn.LET(_xlpm.AppCount,COUNTIFS(tblTM[device_custom20],LEFT(Q$2,2)&amp;"*"),IF(_xlpm.AppCount=0,"",_xlpm.AppCount))</f>
        <v/>
      </c>
      <c r="R15" s="87">
        <f>_xlfn.LET(_xlpm.AppCount,COUNTIFS(tblTM[device_custom20],R$2),IF(_xlpm.AppCount=0,"",_xlpm.AppCount))</f>
        <v>4</v>
      </c>
      <c r="S15" s="87" t="str">
        <f>_xlfn.LET(_xlpm.AppCount,COUNTIFS(tblTM[device_custom20],S$2),IF(_xlpm.AppCount=0,"",_xlpm.AppCount))</f>
        <v/>
      </c>
      <c r="T15" s="87" t="str">
        <f>_xlfn.LET(_xlpm.AppCount,COUNTIFS(tblTM[device_custom20],T$2),IF(_xlpm.AppCount=0,"",_xlpm.AppCount))</f>
        <v/>
      </c>
      <c r="U15" s="88" t="str">
        <f>_xlfn.LET(_xlpm.AppCount,COUNTIFS(tblTM[device_custom20],"&lt;&gt;" &amp; "")-SUM(AppSum!$O15:$T15),IF(_xlpm.AppCount=0,"",_xlpm.AppCount))</f>
        <v/>
      </c>
      <c r="V15" s="88">
        <f>SUM(AppSum!$O15:$U15)</f>
        <v>6</v>
      </c>
      <c r="W15" s="84" t="e">
        <f>_xlfn.LET(_xlpm.AppCount,COUNTIFS(#REF!,"&lt;&gt;Yes"),IF(_xlpm.AppCount=0,"",_xlpm.AppCount))</f>
        <v>#REF!</v>
      </c>
      <c r="X15" s="83">
        <f>_xlfn.LET(_xlpm.AppCount,COUNTIFS(tblTM[device_custom26],"Yes"),IF(_xlpm.AppCount=0,"",_xlpm.AppCount))</f>
        <v>2</v>
      </c>
      <c r="Y15" s="89">
        <f>_xlfn.LET(_xlpm.AppCount,COUNTIFS(tblTM[device_custom45],"Yes"),IF(_xlpm.AppCount=0,"",_xlpm.AppCount))</f>
        <v>2</v>
      </c>
    </row>
    <row r="17" spans="1:10" x14ac:dyDescent="0.35">
      <c r="A17" s="72" t="s">
        <v>45</v>
      </c>
      <c r="B17" s="24">
        <f>ROUNDUP(SUM(tblAppSumTot[AIX-LPAR],tblAppSumTot[Linux-VM-Power])/30,0)</f>
        <v>1</v>
      </c>
      <c r="C17" s="72" t="s">
        <v>46</v>
      </c>
      <c r="D17" s="24">
        <f>_xlfn.LET(_xlpm.AppCount,COUNTIFS(tblTM[device_assetType],"Server",tblTM[device_custom60],"P2V*"),IF(_xlpm.AppCount=0,"",_xlpm.AppCount))</f>
        <v>2</v>
      </c>
      <c r="E17" s="72" t="s">
        <v>47</v>
      </c>
      <c r="F17" s="24">
        <f>SUM(tblAppSumTot[[AIX-LPAR]:[Oth-Dev]])</f>
        <v>46</v>
      </c>
      <c r="G17" s="26"/>
      <c r="H17" s="33" t="s">
        <v>48</v>
      </c>
      <c r="I17" s="63" t="s">
        <v>49</v>
      </c>
      <c r="J17" s="67" t="s">
        <v>50</v>
      </c>
    </row>
    <row r="18" spans="1:10" x14ac:dyDescent="0.35">
      <c r="A18" s="72" t="s">
        <v>51</v>
      </c>
      <c r="B18" s="24" cm="1">
        <f t="array" ref="B18">SUM(IF(FREQUENCY(IF(LEN(tblTM[device_custom55])&gt;0,MATCH(tblTM[device_custom55],tblTM[device_custom55],0),""),IF(LEN(tblTM[device_custom55])&gt;9,MATCH(tblTM[device_custom55],tblTM[device_custom55],0),""))&gt;0,1))</f>
        <v>1</v>
      </c>
      <c r="C18" s="72" t="s">
        <v>52</v>
      </c>
      <c r="D18" s="24">
        <f>_xlfn.LET(_xlpm.AppCount,COUNTIFS(tblTM[device_assetType],"Server",tblTM[device_custom60],"P2P*"),IF(_xlpm.AppCount=0,"",_xlpm.AppCount))</f>
        <v>30</v>
      </c>
      <c r="E18" s="33" t="s">
        <v>53</v>
      </c>
      <c r="F18" s="24">
        <f>COUNTIF(tblPMView[Scope],"OOS")</f>
        <v>0</v>
      </c>
      <c r="H18" s="33" t="s">
        <v>54</v>
      </c>
      <c r="I18" s="33">
        <f>COUNTIF(tblTM[device_custom33],tblCSDist[[#This Row],[CS Status]])</f>
        <v>45</v>
      </c>
      <c r="J18" s="68">
        <f>tblCSDist[[#This Row],[Qty]]/tblCSDist[[#Totals],[Qty]]</f>
        <v>0.97826086956521741</v>
      </c>
    </row>
    <row r="19" spans="1:10" x14ac:dyDescent="0.35">
      <c r="A19" s="72" t="s">
        <v>55</v>
      </c>
      <c r="B19" s="73">
        <f>SUM(tblTM[device_size])</f>
        <v>1396</v>
      </c>
      <c r="C19" s="72" t="s">
        <v>56</v>
      </c>
      <c r="D19" s="24" t="str">
        <f>_xlfn.LET(_xlpm.AppCount,COUNTIFS(tblTM[device_assetType],"Server",tblTM[device_custom60],"&lt;&gt;P2*"),IF(_xlpm.AppCount=0,"",_xlpm.AppCount))</f>
        <v/>
      </c>
      <c r="H19" s="33" t="s">
        <v>57</v>
      </c>
      <c r="I19" s="33">
        <f>COUNTIF(tblTM[device_custom33],tblCSDist[[#This Row],[CS Status]])</f>
        <v>0</v>
      </c>
      <c r="J19" s="68">
        <f>tblCSDist[[#This Row],[Qty]]/tblCSDist[[#Totals],[Qty]]</f>
        <v>0</v>
      </c>
    </row>
    <row r="20" spans="1:10" x14ac:dyDescent="0.35">
      <c r="A20" s="72" t="s">
        <v>58</v>
      </c>
      <c r="B20" s="73">
        <f>SUM(tblTM[device_custom64])</f>
        <v>151636.46726589996</v>
      </c>
      <c r="H20" s="33" t="s">
        <v>59</v>
      </c>
      <c r="I20" s="33">
        <f>COUNTIF(tblTM[device_custom33],tblCSDist[[#This Row],[CS Status]])</f>
        <v>0</v>
      </c>
      <c r="J20" s="68">
        <f>tblCSDist[[#This Row],[Qty]]/tblCSDist[[#Totals],[Qty]]</f>
        <v>0</v>
      </c>
    </row>
    <row r="21" spans="1:10" x14ac:dyDescent="0.35">
      <c r="A21" s="72" t="s">
        <v>60</v>
      </c>
      <c r="B21" s="73">
        <f>SUM(tblTM[device_size])+SUM(tblTM[device_custom64])</f>
        <v>153032.46726589996</v>
      </c>
      <c r="H21" s="33" t="s">
        <v>61</v>
      </c>
      <c r="I21" s="33">
        <f>COUNTIF(tblTM[device_custom33],tblCSDist[[#This Row],[CS Status]])</f>
        <v>0</v>
      </c>
      <c r="J21" s="68">
        <f>tblCSDist[[#This Row],[Qty]]/tblCSDist[[#Totals],[Qty]]</f>
        <v>0</v>
      </c>
    </row>
    <row r="22" spans="1:10" x14ac:dyDescent="0.35">
      <c r="A22" s="162" t="str" cm="1">
        <f t="array" ref="A22">_xlfn.LET(_xlpm.AppSvrs,SUM(IF(FREQUENCY(IF(LEN(tblDependencies[DependentName])&gt;0,MATCH(tblDependencies[DependentName],tblDependencies[DependentName],0),""),IF(LEN(tblDependencies[DependentName])&gt;0,MATCH(tblDependencies[DependentName],tblDependencies[DependentName],0),""))&gt;0,1)),IF(AND(_xlpm.AppSvrs&lt;&gt;tblCSDist[[#Totals],[Qty]],_xlpm.AppSvrs&gt;0),"There are " &amp; tblCSDist[[#Totals],[Qty]] - _xlpm.AppSvrs &amp; " servers in this event, not supporting any application",""))</f>
        <v/>
      </c>
      <c r="H22" s="33" t="s">
        <v>62</v>
      </c>
      <c r="I22" s="33">
        <f>COUNTIF(tblTM[device_custom33],tblCSDist[[#This Row],[CS Status]])</f>
        <v>0</v>
      </c>
      <c r="J22" s="68">
        <f>tblCSDist[[#This Row],[Qty]]/tblCSDist[[#Totals],[Qty]]</f>
        <v>0</v>
      </c>
    </row>
    <row r="23" spans="1:10" x14ac:dyDescent="0.35">
      <c r="A23" t="str" cm="1">
        <f t="array" ref="A23">IFERROR(_xlfn.LET(_xlpm.Svrs,_xlfn._xlws.FILTER(_xlfn._xlws.SORT(_xlfn.UNIQUE(_xlfn.TOCOL(tblTM[common_assetName],,TRUE))),ISERROR(MATCH(_xlfn._xlws.SORT(_xlfn.UNIQUE(_xlfn.TOCOL(tblTM[common_assetName],,TRUE))),_xlfn._xlws.SORT(_xlfn.UNIQUE(_xlfn.TOCOL(tblDependencies[DependentName],,TRUE))),0))),IF(_xlpm.Svrs=0,"",_xlpm.Svrs)),"")</f>
        <v/>
      </c>
      <c r="H23" s="33" t="s">
        <v>63</v>
      </c>
      <c r="I23" s="33">
        <f>COUNTIF(tblTM[device_custom33],tblCSDist[[#This Row],[CS Status]])</f>
        <v>0</v>
      </c>
      <c r="J23" s="68">
        <f>tblCSDist[[#This Row],[Qty]]/tblCSDist[[#Totals],[Qty]]</f>
        <v>0</v>
      </c>
    </row>
    <row r="24" spans="1:10" x14ac:dyDescent="0.35">
      <c r="H24" s="33" t="s">
        <v>64</v>
      </c>
      <c r="I24" s="33">
        <f>COUNTIF(tblTM[device_custom33],tblCSDist[[#This Row],[CS Status]])</f>
        <v>0</v>
      </c>
      <c r="J24" s="68">
        <f>tblCSDist[[#This Row],[Qty]]/tblCSDist[[#Totals],[Qty]]</f>
        <v>0</v>
      </c>
    </row>
    <row r="25" spans="1:10" x14ac:dyDescent="0.35">
      <c r="H25" s="33" t="s">
        <v>65</v>
      </c>
      <c r="I25" s="33">
        <f>COUNTIF(tblTM[device_custom33],tblCSDist[[#This Row],[CS Status]])</f>
        <v>1</v>
      </c>
      <c r="J25" s="68">
        <f>tblCSDist[[#This Row],[Qty]]/tblCSDist[[#Totals],[Qty]]</f>
        <v>2.1739130434782608E-2</v>
      </c>
    </row>
    <row r="26" spans="1:10" x14ac:dyDescent="0.35">
      <c r="H26" s="33" t="s">
        <v>66</v>
      </c>
      <c r="I26" s="33">
        <f>SUBTOTAL(109,tblCSDist[Qty])</f>
        <v>46</v>
      </c>
      <c r="J26" s="69">
        <f>SUBTOTAL(109,tblCSDist[Pct])</f>
        <v>1</v>
      </c>
    </row>
  </sheetData>
  <sortState xmlns:xlrd2="http://schemas.microsoft.com/office/spreadsheetml/2017/richdata2" ref="B28:B31">
    <sortCondition ref="B28:B31"/>
  </sortState>
  <mergeCells count="3">
    <mergeCell ref="O1:U1"/>
    <mergeCell ref="B1:F1"/>
    <mergeCell ref="G1:N1"/>
  </mergeCells>
  <conditionalFormatting sqref="O2:T2">
    <cfRule type="cellIs" dxfId="131" priority="53" operator="between">
      <formula>"Backend / Server / Database"</formula>
      <formula>"Backend / Server / Databasez"</formula>
    </cfRule>
    <cfRule type="cellIs" dxfId="130" priority="54" operator="between">
      <formula>"FrontEnd / Internal / Legacy / LoadBalancer"</formula>
      <formula>"FrontEnd / Internal / Legacy / LoadBalancerz"</formula>
    </cfRule>
  </conditionalFormatting>
  <conditionalFormatting sqref="G2:N2">
    <cfRule type="cellIs" dxfId="129" priority="61" operator="between">
      <formula>"UNIX"</formula>
      <formula>"UNIXz"</formula>
    </cfRule>
    <cfRule type="cellIs" dxfId="128" priority="62" operator="between">
      <formula>"AIX"</formula>
      <formula>"AIXz"</formula>
    </cfRule>
    <cfRule type="cellIs" dxfId="127" priority="63" operator="between">
      <formula>"RHEL"</formula>
      <formula>"RHELz"</formula>
    </cfRule>
    <cfRule type="cellIs" dxfId="126" priority="64" operator="between">
      <formula>"MS Win"</formula>
      <formula>"MS Winz"</formula>
    </cfRule>
  </conditionalFormatting>
  <conditionalFormatting sqref="N2 U2:V2">
    <cfRule type="cellIs" dxfId="125" priority="59" operator="between">
      <formula>"Backend / Server / Database"</formula>
      <formula>"Backend / Server / Databasez"</formula>
    </cfRule>
    <cfRule type="cellIs" dxfId="124" priority="60" operator="between">
      <formula>"FrontEnd / Internal / Legacy / LoadBalancer"</formula>
      <formula>"FrontEnd / Internal / Legacy / LoadBalancerz"</formula>
    </cfRule>
  </conditionalFormatting>
  <conditionalFormatting sqref="Y2">
    <cfRule type="cellIs" dxfId="123" priority="57" operator="between">
      <formula>"Backend / Server / Database"</formula>
      <formula>"Backend / Server / Databasez"</formula>
    </cfRule>
    <cfRule type="cellIs" dxfId="122" priority="58" operator="between">
      <formula>"FrontEnd / Internal / Legacy / LoadBalancer"</formula>
      <formula>"FrontEnd / Internal / Legacy / LoadBalancerz"</formula>
    </cfRule>
  </conditionalFormatting>
  <conditionalFormatting sqref="W2">
    <cfRule type="expression" dxfId="121" priority="41">
      <formula>$C2="OOS"</formula>
    </cfRule>
  </conditionalFormatting>
  <conditionalFormatting sqref="W2">
    <cfRule type="expression" dxfId="120" priority="14505">
      <formula>AND($Q2&lt;&gt;"Yes",$K2&lt;&gt;"")</formula>
    </cfRule>
  </conditionalFormatting>
  <conditionalFormatting sqref="O14:T14">
    <cfRule type="cellIs" dxfId="119" priority="3" operator="between">
      <formula>"Backend / Server / Database"</formula>
      <formula>"Backend / Server / Databasez"</formula>
    </cfRule>
    <cfRule type="cellIs" dxfId="118" priority="4" operator="between">
      <formula>"FrontEnd / Internal / Legacy / LoadBalancer"</formula>
      <formula>"FrontEnd / Internal / Legacy / LoadBalancerz"</formula>
    </cfRule>
  </conditionalFormatting>
  <conditionalFormatting sqref="G14:N14">
    <cfRule type="cellIs" dxfId="117" priority="9" operator="between">
      <formula>"UNIX"</formula>
      <formula>"UNIXz"</formula>
    </cfRule>
    <cfRule type="cellIs" dxfId="116" priority="10" operator="between">
      <formula>"AIX"</formula>
      <formula>"AIXz"</formula>
    </cfRule>
    <cfRule type="cellIs" dxfId="115" priority="11" operator="between">
      <formula>"RHEL"</formula>
      <formula>"RHELz"</formula>
    </cfRule>
    <cfRule type="cellIs" dxfId="114" priority="12" operator="between">
      <formula>"MS Win"</formula>
      <formula>"MS Winz"</formula>
    </cfRule>
  </conditionalFormatting>
  <conditionalFormatting sqref="N14 U14:V14">
    <cfRule type="cellIs" dxfId="113" priority="7" operator="between">
      <formula>"Backend / Server / Database"</formula>
      <formula>"Backend / Server / Databasez"</formula>
    </cfRule>
    <cfRule type="cellIs" dxfId="112" priority="8" operator="between">
      <formula>"FrontEnd / Internal / Legacy / LoadBalancer"</formula>
      <formula>"FrontEnd / Internal / Legacy / LoadBalancerz"</formula>
    </cfRule>
  </conditionalFormatting>
  <conditionalFormatting sqref="Y14">
    <cfRule type="cellIs" dxfId="111" priority="5" operator="between">
      <formula>"Backend / Server / Database"</formula>
      <formula>"Backend / Server / Databasez"</formula>
    </cfRule>
    <cfRule type="cellIs" dxfId="110" priority="6" operator="between">
      <formula>"FrontEnd / Internal / Legacy / LoadBalancer"</formula>
      <formula>"FrontEnd / Internal / Legacy / LoadBalancerz"</formula>
    </cfRule>
  </conditionalFormatting>
  <conditionalFormatting sqref="W14">
    <cfRule type="expression" dxfId="109" priority="2">
      <formula>$C14="OOS"</formula>
    </cfRule>
  </conditionalFormatting>
  <conditionalFormatting sqref="W14">
    <cfRule type="expression" dxfId="108" priority="13">
      <formula>AND($Q14&lt;&gt;"Yes",$K14&lt;&gt;"")</formula>
    </cfRule>
  </conditionalFormatting>
  <conditionalFormatting sqref="F17">
    <cfRule type="cellIs" dxfId="107" priority="1" operator="notEqual">
      <formula>$I$26</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AQs">
                <anchor moveWithCells="1" sizeWithCells="1">
                  <from>
                    <xdr:col>1</xdr:col>
                    <xdr:colOff>2393950</xdr:colOff>
                    <xdr:row>1</xdr:row>
                    <xdr:rowOff>31750</xdr:rowOff>
                  </from>
                  <to>
                    <xdr:col>1</xdr:col>
                    <xdr:colOff>2927350</xdr:colOff>
                    <xdr:row>1</xdr:row>
                    <xdr:rowOff>165100</xdr:rowOff>
                  </to>
                </anchor>
              </controlPr>
            </control>
          </mc:Choice>
        </mc:AlternateContent>
        <mc:AlternateContent xmlns:mc="http://schemas.openxmlformats.org/markup-compatibility/2006">
          <mc:Choice Requires="x14">
            <control shapeId="37891" r:id="rId5" name="Button 3">
              <controlPr defaultSize="0" print="0" autoFill="0" autoPict="0" macro="[0]!AAQs">
                <anchor moveWithCells="1" sizeWithCells="1">
                  <from>
                    <xdr:col>1</xdr:col>
                    <xdr:colOff>2393950</xdr:colOff>
                    <xdr:row>13</xdr:row>
                    <xdr:rowOff>31750</xdr:rowOff>
                  </from>
                  <to>
                    <xdr:col>1</xdr:col>
                    <xdr:colOff>2927350</xdr:colOff>
                    <xdr:row>13</xdr:row>
                    <xdr:rowOff>165100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28778-33FA-4431-97DC-2D62397CB17E}">
  <sheetPr codeName="Sheet1"/>
  <dimension ref="A1:AA47"/>
  <sheetViews>
    <sheetView workbookViewId="0">
      <pane xSplit="3" ySplit="1" topLeftCell="M69" activePane="bottomRight" state="frozen"/>
      <selection pane="topRight" activeCell="C1" sqref="C1"/>
      <selection pane="bottomLeft" activeCell="A2" sqref="A2"/>
      <selection pane="bottomRight" activeCell="C96" sqref="C96"/>
    </sheetView>
  </sheetViews>
  <sheetFormatPr defaultColWidth="7.58203125" defaultRowHeight="15.5" x14ac:dyDescent="0.35"/>
  <cols>
    <col min="1" max="1" width="5" style="36" customWidth="1"/>
    <col min="2" max="2" width="10.33203125" style="37" customWidth="1"/>
    <col min="3" max="3" width="35.58203125" style="38" customWidth="1"/>
    <col min="4" max="5" width="8.58203125" style="39" customWidth="1"/>
    <col min="6" max="6" width="12" style="39" customWidth="1"/>
    <col min="7" max="7" width="6.1640625" style="39" customWidth="1"/>
    <col min="8" max="8" width="12.58203125" customWidth="1"/>
    <col min="9" max="9" width="30.58203125" style="39" customWidth="1"/>
    <col min="10" max="10" width="10.58203125" style="39" customWidth="1"/>
    <col min="11" max="11" width="7.58203125" style="39" customWidth="1"/>
    <col min="12" max="12" width="15.58203125" style="39" customWidth="1"/>
    <col min="13" max="13" width="8.58203125" style="39" customWidth="1"/>
    <col min="14" max="15" width="12.58203125" style="39" customWidth="1"/>
    <col min="16" max="16" width="24.58203125" customWidth="1"/>
    <col min="17" max="19" width="14.58203125" style="39" customWidth="1"/>
    <col min="20" max="21" width="5.08203125" customWidth="1"/>
    <col min="22" max="23" width="5.08203125" style="39" customWidth="1"/>
    <col min="24" max="24" width="12.58203125" style="39" customWidth="1"/>
    <col min="25" max="25" width="7" style="39" customWidth="1"/>
    <col min="26" max="26" width="5.58203125" style="39" customWidth="1"/>
    <col min="27" max="27" width="12.33203125" style="39" customWidth="1"/>
    <col min="28" max="28" width="12" style="39" customWidth="1"/>
    <col min="29" max="29" width="10.83203125" style="39" bestFit="1" customWidth="1"/>
    <col min="30" max="30" width="32.83203125" style="39" bestFit="1" customWidth="1"/>
    <col min="31" max="16384" width="7.58203125" style="39"/>
  </cols>
  <sheetData>
    <row r="1" spans="1:27" s="61" customFormat="1" ht="26" x14ac:dyDescent="0.3">
      <c r="A1" s="57" t="s">
        <v>67</v>
      </c>
      <c r="B1" s="58" t="s">
        <v>68</v>
      </c>
      <c r="C1" s="59" t="s">
        <v>69</v>
      </c>
      <c r="D1" s="57" t="s">
        <v>70</v>
      </c>
      <c r="E1" s="57" t="s">
        <v>71</v>
      </c>
      <c r="F1" s="57" t="s">
        <v>72</v>
      </c>
      <c r="G1" s="57" t="s">
        <v>73</v>
      </c>
      <c r="H1" s="57" t="s">
        <v>74</v>
      </c>
      <c r="I1" s="57" t="s">
        <v>75</v>
      </c>
      <c r="J1" s="57" t="s">
        <v>76</v>
      </c>
      <c r="K1" s="57" t="s">
        <v>77</v>
      </c>
      <c r="L1" s="57" t="s">
        <v>78</v>
      </c>
      <c r="M1" s="57" t="s">
        <v>79</v>
      </c>
      <c r="N1" s="57" t="s">
        <v>80</v>
      </c>
      <c r="O1" s="57" t="s">
        <v>81</v>
      </c>
      <c r="P1" s="57" t="s">
        <v>82</v>
      </c>
      <c r="Q1" s="57" t="s">
        <v>83</v>
      </c>
      <c r="R1" s="57" t="s">
        <v>84</v>
      </c>
      <c r="S1" s="57" t="s">
        <v>85</v>
      </c>
      <c r="T1" s="57" t="s">
        <v>41</v>
      </c>
      <c r="U1" s="57" t="s">
        <v>86</v>
      </c>
      <c r="V1" s="57" t="s">
        <v>87</v>
      </c>
      <c r="W1" s="57" t="s">
        <v>88</v>
      </c>
      <c r="X1" s="57" t="s">
        <v>89</v>
      </c>
      <c r="Y1" s="57" t="s">
        <v>90</v>
      </c>
      <c r="Z1" s="60" t="s">
        <v>91</v>
      </c>
      <c r="AA1" s="60" t="s">
        <v>92</v>
      </c>
    </row>
    <row r="2" spans="1:27" ht="13" x14ac:dyDescent="0.3">
      <c r="A2" s="205"/>
      <c r="B2" s="205">
        <v>581341</v>
      </c>
      <c r="C2" s="206" t="str">
        <f>_xlfn.XLOOKUP(tblPMView[[#This Row],[AssetDependencyId]],tblDependencies[AssetDependencyId],tblDependencies[AssetName],"",0,1)</f>
        <v>SQL Server System Database-Dev</v>
      </c>
      <c r="D2" s="206" t="str">
        <f>_xlfn.LET(_xlpm.mea,_xlfn.XLOOKUP(tblPMView[[#This Row],[AssetDependencyId]],tblDependencies[AssetDependencyId],tblDependencies[AssetBundle],"",0,1),IF(LEFT(LOWER(_xlpm.mea),8)="appgroup",CONCATENATE("MEA",MID(_xlpm.mea,10,LEN(_xlpm.mea)-7)),_xlpm.mea))</f>
        <v>MEA190</v>
      </c>
      <c r="E2" s="206" t="str">
        <f>_xlfn.LET(_xlpm.mea,_xlfn.XLOOKUP(tblPMView[[#This Row],[AssetDependencyId]],tblDependencies[AssetDependencyId],tblDependencies[DependentBundle],"",0,1),IF(LEFT(LOWER(_xlpm.mea),8)="appgroup",CONCATENATE("MEA",MID(_xlpm.mea,10,LEN(_xlpm.mea)-7)),_xlpm.mea))</f>
        <v>MEA190</v>
      </c>
      <c r="F2" s="206" t="str">
        <f>_xlfn.XLOOKUP(tblPMView[[#This Row],[AssetDependencyId]],tblDependencies[AssetDependencyId],tblDependencies[DependentName],"",0,1)</f>
        <v>VA33DWPSQL311A</v>
      </c>
      <c r="G2" s="207"/>
      <c r="H2" s="206" t="str">
        <f>_xlfn.XLOOKUP(tblPMView[[#This Row],[Hostname]],tblTM[common_assetName],tblTM[common_environment],"",0,1)</f>
        <v>Development</v>
      </c>
      <c r="I2" s="205" t="str">
        <f>_xlfn.XLOOKUP(tblPMView[[#This Row],[Hostname]],tblTM[common_assetName],tblTM[device_shortName],"",0,1)</f>
        <v>VA33DWPSQL311A.DEVAD.WELLPOINT.COM</v>
      </c>
      <c r="J2" s="205" t="str">
        <f>_xlfn.XLOOKUP(tblPMView[[#This Row],[Hostname]],tblTM[common_assetName],tblTM[device_assetType],"",0,1)</f>
        <v>Server</v>
      </c>
      <c r="K2" s="206" t="str">
        <f>TEXT(_xlfn.XLOOKUP(tblPMView[[#This Row],[Hostname]],tblTM[common_assetName],tblTM[device_custom60],"",0,1),"")</f>
        <v>P2V</v>
      </c>
      <c r="L2" s="205" t="str">
        <f>_xlfn.XLOOKUP(tblPMView[[#This Row],[Hostname]],tblTM[common_assetName],tblTM[device_ipAddress],"",0,1)</f>
        <v>30.118.198.20</v>
      </c>
      <c r="M2"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2" s="206" t="str">
        <f>TEXT(_xlfn.XLOOKUP(tblPMView[[#This Row],[Hostname]],tblTM[common_assetName],tblTM[device_custom35],"-",0),"")</f>
        <v>Database - SQL</v>
      </c>
      <c r="O2" s="205" t="str">
        <f>_xlfn.XLOOKUP(LEFT(tblPMView[[#This Row],[Hostname]],4),tblLocationCodes[LocAbbr],tblLocationCodes[Location],"",0,1)</f>
        <v>Harrisonburg</v>
      </c>
      <c r="P2"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 s="206">
        <f>_xlfn.XLOOKUP(tblPMView[[#This Row],[Hostname]],tblTM[common_assetName],tblTM[device_custom17])</f>
        <v>0</v>
      </c>
      <c r="R2" s="206">
        <f>_xlfn.XLOOKUP(tblPMView[[#This Row],[Hostname]],tblTM[common_assetName],tblTM[device_custom14])</f>
        <v>0</v>
      </c>
      <c r="S2" s="206">
        <f>_xlfn.XLOOKUP(tblPMView[[#This Row],[Hostname]],tblTM[common_assetName],tblTM[device_custom12])</f>
        <v>0</v>
      </c>
      <c r="T2" s="209" t="str">
        <f>_xlfn.XLOOKUP(tblPMView[[#This Row],[Hostname]],tblTM[common_assetName],tblTM[device_custom26],"",0,1)</f>
        <v>No</v>
      </c>
      <c r="U2" s="210" t="str">
        <f>LEFT(TEXT(_xlfn.XLOOKUP(tblPMView[[#This Row],[Hostname]],tblTM[common_assetName],tblTM[device_custom20],"-",0),""),3)</f>
        <v>SQL</v>
      </c>
      <c r="V2" s="210" t="str">
        <f>_xlfn.LET(_xlpm.CSInfo,_xlfn.XLOOKUP(tblPMView[[#This Row],[Hostname]],tblTM[common_assetName],tblTM[device_custom33],"-",0),IF(_xlpm.CSInfo="Discovered","Yes","No"))</f>
        <v>Yes</v>
      </c>
      <c r="W2" s="211" t="str">
        <f>IF(LOWER(LEFT(_xlfn.XLOOKUP(tblPMView[[#This Row],[Hostname]],tblTM[common_assetName],tblTM[device_custom45],"",0,1),1))="y","Yes","No")</f>
        <v>No</v>
      </c>
      <c r="X2" s="212">
        <f>_xlfn.XLOOKUP(tblPMView[[#This Row],[Hostname]],tblTM[common_assetName],tblTM[device_custom64],"",0)+_xlfn.XLOOKUP(tblPMView[[#This Row],[Hostname]],tblTM[common_assetName],tblTM[device_size],"",0)</f>
        <v>484.96476749999999</v>
      </c>
      <c r="Y2" s="205">
        <f>_xlfn.XLOOKUP(tblPMView[[#This Row],[Hostname]],tblTM[common_assetName],tblTM[device_custom29],"",0)</f>
        <v>0</v>
      </c>
      <c r="Z2" s="205"/>
      <c r="AA2" s="205"/>
    </row>
    <row r="3" spans="1:27" ht="13" x14ac:dyDescent="0.3">
      <c r="A3" s="205"/>
      <c r="B3" s="205">
        <v>581342</v>
      </c>
      <c r="C3" s="206" t="str">
        <f>_xlfn.XLOOKUP(tblPMView[[#This Row],[AssetDependencyId]],tblDependencies[AssetDependencyId],tblDependencies[AssetName],"",0,1)</f>
        <v>SQL Server System Database-Dev</v>
      </c>
      <c r="D3" s="206" t="str">
        <f>_xlfn.LET(_xlpm.mea,_xlfn.XLOOKUP(tblPMView[[#This Row],[AssetDependencyId]],tblDependencies[AssetDependencyId],tblDependencies[AssetBundle],"",0,1),IF(LEFT(LOWER(_xlpm.mea),8)="appgroup",CONCATENATE("MEA",MID(_xlpm.mea,10,LEN(_xlpm.mea)-7)),_xlpm.mea))</f>
        <v>MEA190</v>
      </c>
      <c r="E3" s="206" t="str">
        <f>_xlfn.LET(_xlpm.mea,_xlfn.XLOOKUP(tblPMView[[#This Row],[AssetDependencyId]],tblDependencies[AssetDependencyId],tblDependencies[DependentBundle],"",0,1),IF(LEFT(LOWER(_xlpm.mea),8)="appgroup",CONCATENATE("MEA",MID(_xlpm.mea,10,LEN(_xlpm.mea)-7)),_xlpm.mea))</f>
        <v>MEA190</v>
      </c>
      <c r="F3" s="206" t="str">
        <f>_xlfn.XLOOKUP(tblPMView[[#This Row],[AssetDependencyId]],tblDependencies[AssetDependencyId],tblDependencies[DependentName],"",0,1)</f>
        <v>VA33DWPSQL311B</v>
      </c>
      <c r="G3" s="207"/>
      <c r="H3" s="206" t="str">
        <f>_xlfn.XLOOKUP(tblPMView[[#This Row],[Hostname]],tblTM[common_assetName],tblTM[common_environment],"",0,1)</f>
        <v>Development</v>
      </c>
      <c r="I3" s="205" t="str">
        <f>_xlfn.XLOOKUP(tblPMView[[#This Row],[Hostname]],tblTM[common_assetName],tblTM[device_shortName],"",0,1)</f>
        <v>VA33DWPSQL311B.DEVAD.WELLPOINT.COM</v>
      </c>
      <c r="J3" s="205" t="str">
        <f>_xlfn.XLOOKUP(tblPMView[[#This Row],[Hostname]],tblTM[common_assetName],tblTM[device_assetType],"",0,1)</f>
        <v>Server</v>
      </c>
      <c r="K3" s="206" t="str">
        <f>TEXT(_xlfn.XLOOKUP(tblPMView[[#This Row],[Hostname]],tblTM[common_assetName],tblTM[device_custom60],"",0,1),"")</f>
        <v>P2V</v>
      </c>
      <c r="L3" s="205" t="str">
        <f>_xlfn.XLOOKUP(tblPMView[[#This Row],[Hostname]],tblTM[common_assetName],tblTM[device_ipAddress],"",0,1)</f>
        <v>30.118.198.21,30.118.198.23</v>
      </c>
      <c r="M3"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3" s="206" t="str">
        <f>TEXT(_xlfn.XLOOKUP(tblPMView[[#This Row],[Hostname]],tblTM[common_assetName],tblTM[device_custom35],"-",0),"")</f>
        <v>Database - SQL</v>
      </c>
      <c r="O3" s="205" t="str">
        <f>_xlfn.XLOOKUP(LEFT(tblPMView[[#This Row],[Hostname]],4),tblLocationCodes[LocAbbr],tblLocationCodes[Location],"",0,1)</f>
        <v>Harrisonburg</v>
      </c>
      <c r="P3"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3" s="206">
        <f>_xlfn.XLOOKUP(tblPMView[[#This Row],[Hostname]],tblTM[common_assetName],tblTM[device_custom17])</f>
        <v>0</v>
      </c>
      <c r="R3" s="206">
        <f>_xlfn.XLOOKUP(tblPMView[[#This Row],[Hostname]],tblTM[common_assetName],tblTM[device_custom14])</f>
        <v>0</v>
      </c>
      <c r="S3" s="206">
        <f>_xlfn.XLOOKUP(tblPMView[[#This Row],[Hostname]],tblTM[common_assetName],tblTM[device_custom12])</f>
        <v>0</v>
      </c>
      <c r="T3" s="209" t="str">
        <f>_xlfn.XLOOKUP(tblPMView[[#This Row],[Hostname]],tblTM[common_assetName],tblTM[device_custom26],"",0,1)</f>
        <v>No</v>
      </c>
      <c r="U3" s="210" t="str">
        <f>LEFT(TEXT(_xlfn.XLOOKUP(tblPMView[[#This Row],[Hostname]],tblTM[common_assetName],tblTM[device_custom20],"-",0),""),3)</f>
        <v>SQL</v>
      </c>
      <c r="V3" s="210" t="str">
        <f>_xlfn.LET(_xlpm.CSInfo,_xlfn.XLOOKUP(tblPMView[[#This Row],[Hostname]],tblTM[common_assetName],tblTM[device_custom33],"-",0),IF(_xlpm.CSInfo="Discovered","Yes","No"))</f>
        <v>Yes</v>
      </c>
      <c r="W3" s="211" t="str">
        <f>IF(LOWER(LEFT(_xlfn.XLOOKUP(tblPMView[[#This Row],[Hostname]],tblTM[common_assetName],tblTM[device_custom45],"",0,1),1))="y","Yes","No")</f>
        <v>No</v>
      </c>
      <c r="X3" s="212">
        <f>_xlfn.XLOOKUP(tblPMView[[#This Row],[Hostname]],tblTM[common_assetName],tblTM[device_custom64],"",0)+_xlfn.XLOOKUP(tblPMView[[#This Row],[Hostname]],tblTM[common_assetName],tblTM[device_size],"",0)</f>
        <v>1584.8941500000001</v>
      </c>
      <c r="Y3" s="205">
        <f>_xlfn.XLOOKUP(tblPMView[[#This Row],[Hostname]],tblTM[common_assetName],tblTM[device_custom29],"",0)</f>
        <v>0</v>
      </c>
      <c r="Z3" s="205"/>
      <c r="AA3" s="205"/>
    </row>
    <row r="4" spans="1:27" ht="13" x14ac:dyDescent="0.3">
      <c r="A4" s="205"/>
      <c r="B4" s="205">
        <v>631245</v>
      </c>
      <c r="C4" s="206" t="str">
        <f>_xlfn.XLOOKUP(tblPMView[[#This Row],[AssetDependencyId]],tblDependencies[AssetDependencyId],tblDependencies[AssetName],"",0,1)</f>
        <v>SQL Server System Database-Test</v>
      </c>
      <c r="D4" s="206" t="str">
        <f>_xlfn.LET(_xlpm.mea,_xlfn.XLOOKUP(tblPMView[[#This Row],[AssetDependencyId]],tblDependencies[AssetDependencyId],tblDependencies[AssetBundle],"",0,1),IF(LEFT(LOWER(_xlpm.mea),8)="appgroup",CONCATENATE("MEA",MID(_xlpm.mea,10,LEN(_xlpm.mea)-7)),_xlpm.mea))</f>
        <v>MEA190</v>
      </c>
      <c r="E4" s="206" t="str">
        <f>_xlfn.LET(_xlpm.mea,_xlfn.XLOOKUP(tblPMView[[#This Row],[AssetDependencyId]],tblDependencies[AssetDependencyId],tblDependencies[DependentBundle],"",0,1),IF(LEFT(LOWER(_xlpm.mea),8)="appgroup",CONCATENATE("MEA",MID(_xlpm.mea,10,LEN(_xlpm.mea)-7)),_xlpm.mea))</f>
        <v>MEA190</v>
      </c>
      <c r="F4" s="206" t="str">
        <f>_xlfn.XLOOKUP(tblPMView[[#This Row],[AssetDependencyId]],tblDependencies[AssetDependencyId],tblDependencies[DependentName],"",0,1)</f>
        <v>VA33TWPSQL303A</v>
      </c>
      <c r="G4" s="207"/>
      <c r="H4" s="206" t="str">
        <f>_xlfn.XLOOKUP(tblPMView[[#This Row],[Hostname]],tblTM[common_assetName],tblTM[common_environment],"",0,1)</f>
        <v>Test</v>
      </c>
      <c r="I4" s="205" t="str">
        <f>_xlfn.XLOOKUP(tblPMView[[#This Row],[Hostname]],tblTM[common_assetName],tblTM[device_shortName],"",0,1)</f>
        <v>VA33TWPSQL303A.US.AD.WELLPOINT.COM</v>
      </c>
      <c r="J4" s="205" t="str">
        <f>_xlfn.XLOOKUP(tblPMView[[#This Row],[Hostname]],tblTM[common_assetName],tblTM[device_assetType],"",0,1)</f>
        <v>Server</v>
      </c>
      <c r="K4" s="206" t="str">
        <f>TEXT(_xlfn.XLOOKUP(tblPMView[[#This Row],[Hostname]],tblTM[common_assetName],tblTM[device_custom60],"",0,1),"")</f>
        <v>P2P-IRF</v>
      </c>
      <c r="L4" s="205" t="str">
        <f>_xlfn.XLOOKUP(tblPMView[[#This Row],[Hostname]],tblTM[common_assetName],tblTM[device_ipAddress],"",0,1)</f>
        <v>30.118.196.105, 30.118.196.108</v>
      </c>
      <c r="M4"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4" s="206" t="str">
        <f>TEXT(_xlfn.XLOOKUP(tblPMView[[#This Row],[Hostname]],tblTM[common_assetName],tblTM[device_custom35],"-",0),"")</f>
        <v>Database - SQL</v>
      </c>
      <c r="O4" s="205" t="str">
        <f>_xlfn.XLOOKUP(LEFT(tblPMView[[#This Row],[Hostname]],4),tblLocationCodes[LocAbbr],tblLocationCodes[Location],"",0,1)</f>
        <v>Harrisonburg</v>
      </c>
      <c r="P4"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4" s="206">
        <f>_xlfn.XLOOKUP(tblPMView[[#This Row],[Hostname]],tblTM[common_assetName],tblTM[device_custom17])</f>
        <v>0</v>
      </c>
      <c r="R4" s="206">
        <f>_xlfn.XLOOKUP(tblPMView[[#This Row],[Hostname]],tblTM[common_assetName],tblTM[device_custom14])</f>
        <v>0</v>
      </c>
      <c r="S4" s="206">
        <f>_xlfn.XLOOKUP(tblPMView[[#This Row],[Hostname]],tblTM[common_assetName],tblTM[device_custom12])</f>
        <v>0</v>
      </c>
      <c r="T4" s="209" t="str">
        <f>_xlfn.XLOOKUP(tblPMView[[#This Row],[Hostname]],tblTM[common_assetName],tblTM[device_custom26],"",0,1)</f>
        <v>No</v>
      </c>
      <c r="U4" s="210" t="str">
        <f>LEFT(TEXT(_xlfn.XLOOKUP(tblPMView[[#This Row],[Hostname]],tblTM[common_assetName],tblTM[device_custom20],"-",0),""),3)</f>
        <v>SQL</v>
      </c>
      <c r="V4" s="210" t="str">
        <f>_xlfn.LET(_xlpm.CSInfo,_xlfn.XLOOKUP(tblPMView[[#This Row],[Hostname]],tblTM[common_assetName],tblTM[device_custom33],"-",0),IF(_xlpm.CSInfo="Discovered","Yes","No"))</f>
        <v>Yes</v>
      </c>
      <c r="W4" s="211" t="str">
        <f>IF(LOWER(LEFT(_xlfn.XLOOKUP(tblPMView[[#This Row],[Hostname]],tblTM[common_assetName],tblTM[device_custom45],"",0,1),1))="y","Yes","No")</f>
        <v>No</v>
      </c>
      <c r="X4" s="212">
        <f>_xlfn.XLOOKUP(tblPMView[[#This Row],[Hostname]],tblTM[common_assetName],tblTM[device_custom64],"",0)+_xlfn.XLOOKUP(tblPMView[[#This Row],[Hostname]],tblTM[common_assetName],tblTM[device_size],"",0)</f>
        <v>1770.2046969999999</v>
      </c>
      <c r="Y4" s="205">
        <f>_xlfn.XLOOKUP(tblPMView[[#This Row],[Hostname]],tblTM[common_assetName],tblTM[device_custom29],"",0)</f>
        <v>0</v>
      </c>
      <c r="Z4" s="205"/>
      <c r="AA4" s="205"/>
    </row>
    <row r="5" spans="1:27" ht="13" x14ac:dyDescent="0.3">
      <c r="A5" s="205"/>
      <c r="B5" s="205">
        <v>670754</v>
      </c>
      <c r="C5" s="206" t="str">
        <f>_xlfn.XLOOKUP(tblPMView[[#This Row],[AssetDependencyId]],tblDependencies[AssetDependencyId],tblDependencies[AssetName],"",0,1)</f>
        <v>SQL Server System Database-Test</v>
      </c>
      <c r="D5" s="206" t="str">
        <f>_xlfn.LET(_xlpm.mea,_xlfn.XLOOKUP(tblPMView[[#This Row],[AssetDependencyId]],tblDependencies[AssetDependencyId],tblDependencies[AssetBundle],"",0,1),IF(LEFT(LOWER(_xlpm.mea),8)="appgroup",CONCATENATE("MEA",MID(_xlpm.mea,10,LEN(_xlpm.mea)-7)),_xlpm.mea))</f>
        <v>MEA190</v>
      </c>
      <c r="E5" s="206" t="str">
        <f>_xlfn.LET(_xlpm.mea,_xlfn.XLOOKUP(tblPMView[[#This Row],[AssetDependencyId]],tblDependencies[AssetDependencyId],tblDependencies[DependentBundle],"",0,1),IF(LEFT(LOWER(_xlpm.mea),8)="appgroup",CONCATENATE("MEA",MID(_xlpm.mea,10,LEN(_xlpm.mea)-7)),_xlpm.mea))</f>
        <v>MEA190</v>
      </c>
      <c r="F5" s="206" t="str">
        <f>_xlfn.XLOOKUP(tblPMView[[#This Row],[AssetDependencyId]],tblDependencies[AssetDependencyId],tblDependencies[DependentName],"",0,1)</f>
        <v>VA33TWPSQL303B</v>
      </c>
      <c r="G5" s="207"/>
      <c r="H5" s="206" t="str">
        <f>_xlfn.XLOOKUP(tblPMView[[#This Row],[Hostname]],tblTM[common_assetName],tblTM[common_environment],"",0,1)</f>
        <v>Test</v>
      </c>
      <c r="I5" s="205" t="str">
        <f>_xlfn.XLOOKUP(tblPMView[[#This Row],[Hostname]],tblTM[common_assetName],tblTM[device_shortName],"",0,1)</f>
        <v>VA33TWPSQL303B.US.AD.WELLPOINT.COM</v>
      </c>
      <c r="J5" s="205" t="str">
        <f>_xlfn.XLOOKUP(tblPMView[[#This Row],[Hostname]],tblTM[common_assetName],tblTM[device_assetType],"",0,1)</f>
        <v>Server</v>
      </c>
      <c r="K5" s="206" t="str">
        <f>TEXT(_xlfn.XLOOKUP(tblPMView[[#This Row],[Hostname]],tblTM[common_assetName],tblTM[device_custom60],"",0,1),"")</f>
        <v>P2P-IRF</v>
      </c>
      <c r="L5" s="205" t="str">
        <f>_xlfn.XLOOKUP(tblPMView[[#This Row],[Hostname]],tblTM[common_assetName],tblTM[device_ipAddress],"",0,1)</f>
        <v>30.118.196.106,30.118.196.107</v>
      </c>
      <c r="M5"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5" s="206" t="str">
        <f>TEXT(_xlfn.XLOOKUP(tblPMView[[#This Row],[Hostname]],tblTM[common_assetName],tblTM[device_custom35],"-",0),"")</f>
        <v>Database - SQL</v>
      </c>
      <c r="O5" s="205" t="str">
        <f>_xlfn.XLOOKUP(LEFT(tblPMView[[#This Row],[Hostname]],4),tblLocationCodes[LocAbbr],tblLocationCodes[Location],"",0,1)</f>
        <v>Harrisonburg</v>
      </c>
      <c r="P5"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5" s="206">
        <f>_xlfn.XLOOKUP(tblPMView[[#This Row],[Hostname]],tblTM[common_assetName],tblTM[device_custom17])</f>
        <v>0</v>
      </c>
      <c r="R5" s="206">
        <f>_xlfn.XLOOKUP(tblPMView[[#This Row],[Hostname]],tblTM[common_assetName],tblTM[device_custom14])</f>
        <v>0</v>
      </c>
      <c r="S5" s="206">
        <f>_xlfn.XLOOKUP(tblPMView[[#This Row],[Hostname]],tblTM[common_assetName],tblTM[device_custom12])</f>
        <v>0</v>
      </c>
      <c r="T5" s="209" t="str">
        <f>_xlfn.XLOOKUP(tblPMView[[#This Row],[Hostname]],tblTM[common_assetName],tblTM[device_custom26],"",0,1)</f>
        <v>No</v>
      </c>
      <c r="U5" s="210" t="str">
        <f>LEFT(TEXT(_xlfn.XLOOKUP(tblPMView[[#This Row],[Hostname]],tblTM[common_assetName],tblTM[device_custom20],"-",0),""),3)</f>
        <v>SQL</v>
      </c>
      <c r="V5" s="210" t="str">
        <f>_xlfn.LET(_xlpm.CSInfo,_xlfn.XLOOKUP(tblPMView[[#This Row],[Hostname]],tblTM[common_assetName],tblTM[device_custom33],"-",0),IF(_xlpm.CSInfo="Discovered","Yes","No"))</f>
        <v>Yes</v>
      </c>
      <c r="W5" s="211" t="str">
        <f>IF(LOWER(LEFT(_xlfn.XLOOKUP(tblPMView[[#This Row],[Hostname]],tblTM[common_assetName],tblTM[device_custom45],"",0,1),1))="y","Yes","No")</f>
        <v>No</v>
      </c>
      <c r="X5" s="212">
        <f>_xlfn.XLOOKUP(tblPMView[[#This Row],[Hostname]],tblTM[common_assetName],tblTM[device_custom64],"",0)+_xlfn.XLOOKUP(tblPMView[[#This Row],[Hostname]],tblTM[common_assetName],tblTM[device_size],"",0)</f>
        <v>544.96672439999998</v>
      </c>
      <c r="Y5" s="205">
        <f>_xlfn.XLOOKUP(tblPMView[[#This Row],[Hostname]],tblTM[common_assetName],tblTM[device_custom29],"",0)</f>
        <v>0</v>
      </c>
      <c r="Z5" s="205"/>
      <c r="AA5" s="205"/>
    </row>
    <row r="6" spans="1:27" ht="13" x14ac:dyDescent="0.3">
      <c r="A6" s="205"/>
      <c r="B6" s="205">
        <v>672001</v>
      </c>
      <c r="C6" s="206" t="str">
        <f>_xlfn.XLOOKUP(tblPMView[[#This Row],[AssetDependencyId]],tblDependencies[AssetDependencyId],tblDependencies[AssetName],"",0,1)</f>
        <v>Kafka-Test</v>
      </c>
      <c r="D6" s="206" t="str">
        <f>_xlfn.LET(_xlpm.mea,_xlfn.XLOOKUP(tblPMView[[#This Row],[AssetDependencyId]],tblDependencies[AssetDependencyId],tblDependencies[AssetBundle],"",0,1),IF(LEFT(LOWER(_xlpm.mea),8)="appgroup",CONCATENATE("MEA",MID(_xlpm.mea,10,LEN(_xlpm.mea)-7)),_xlpm.mea))</f>
        <v>MEA190</v>
      </c>
      <c r="E6" s="206" t="str">
        <f>_xlfn.LET(_xlpm.mea,_xlfn.XLOOKUP(tblPMView[[#This Row],[AssetDependencyId]],tblDependencies[AssetDependencyId],tblDependencies[DependentBundle],"",0,1),IF(LEFT(LOWER(_xlpm.mea),8)="appgroup",CONCATENATE("MEA",MID(_xlpm.mea,10,LEN(_xlpm.mea)-7)),_xlpm.mea))</f>
        <v>MEA190</v>
      </c>
      <c r="F6" s="206" t="str">
        <f>_xlfn.XLOOKUP(tblPMView[[#This Row],[AssetDependencyId]],tblDependencies[AssetDependencyId],tblDependencies[DependentName],"",0,1)</f>
        <v>dc04tlpkaf450</v>
      </c>
      <c r="G6" s="207"/>
      <c r="H6" s="206" t="str">
        <f>_xlfn.XLOOKUP(tblPMView[[#This Row],[Hostname]],tblTM[common_assetName],tblTM[common_environment],"",0,1)</f>
        <v>Test</v>
      </c>
      <c r="I6" s="205" t="str">
        <f>_xlfn.XLOOKUP(tblPMView[[#This Row],[Hostname]],tblTM[common_assetName],tblTM[device_shortName],"",0,1)</f>
        <v>dc04tlpkaf450.wellpoint.com</v>
      </c>
      <c r="J6" s="205" t="str">
        <f>_xlfn.XLOOKUP(tblPMView[[#This Row],[Hostname]],tblTM[common_assetName],tblTM[device_assetType],"",0,1)</f>
        <v>Server</v>
      </c>
      <c r="K6" s="206" t="str">
        <f>TEXT(_xlfn.XLOOKUP(tblPMView[[#This Row],[Hostname]],tblTM[common_assetName],tblTM[device_custom60],"",0,1),"")</f>
        <v>P2P</v>
      </c>
      <c r="L6" s="205" t="str">
        <f>_xlfn.XLOOKUP(tblPMView[[#This Row],[Hostname]],tblTM[common_assetName],tblTM[device_ipAddress],"",0,1)</f>
        <v>10.152.28.142</v>
      </c>
      <c r="M6"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6" s="206" t="str">
        <f>TEXT(_xlfn.XLOOKUP(tblPMView[[#This Row],[Hostname]],tblTM[common_assetName],tblTM[device_custom35],"-",0),"")</f>
        <v/>
      </c>
      <c r="O6" s="205" t="str">
        <f>_xlfn.XLOOKUP(LEFT(tblPMView[[#This Row],[Hostname]],4),tblLocationCodes[LocAbbr],tblLocationCodes[Location],"",0,1)</f>
        <v>Ashburn</v>
      </c>
      <c r="P6"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6" s="206">
        <f>_xlfn.XLOOKUP(tblPMView[[#This Row],[Hostname]],tblTM[common_assetName],tblTM[device_custom17])</f>
        <v>0</v>
      </c>
      <c r="R6" s="206">
        <f>_xlfn.XLOOKUP(tblPMView[[#This Row],[Hostname]],tblTM[common_assetName],tblTM[device_custom14])</f>
        <v>0</v>
      </c>
      <c r="S6" s="206">
        <f>_xlfn.XLOOKUP(tblPMView[[#This Row],[Hostname]],tblTM[common_assetName],tblTM[device_custom12])</f>
        <v>0</v>
      </c>
      <c r="T6" s="209" t="str">
        <f>_xlfn.XLOOKUP(tblPMView[[#This Row],[Hostname]],tblTM[common_assetName],tblTM[device_custom26],"",0,1)</f>
        <v>No</v>
      </c>
      <c r="U6" s="210" t="str">
        <f>LEFT(TEXT(_xlfn.XLOOKUP(tblPMView[[#This Row],[Hostname]],tblTM[common_assetName],tblTM[device_custom20],"-",0),""),3)</f>
        <v/>
      </c>
      <c r="V6" s="210" t="str">
        <f>_xlfn.LET(_xlpm.CSInfo,_xlfn.XLOOKUP(tblPMView[[#This Row],[Hostname]],tblTM[common_assetName],tblTM[device_custom33],"-",0),IF(_xlpm.CSInfo="Discovered","Yes","No"))</f>
        <v>Yes</v>
      </c>
      <c r="W6" s="211" t="str">
        <f>IF(LOWER(LEFT(_xlfn.XLOOKUP(tblPMView[[#This Row],[Hostname]],tblTM[common_assetName],tblTM[device_custom45],"",0,1),1))="y","Yes","No")</f>
        <v>No</v>
      </c>
      <c r="X6" s="212">
        <f>_xlfn.XLOOKUP(tblPMView[[#This Row],[Hostname]],tblTM[common_assetName],tblTM[device_custom64],"",0)+_xlfn.XLOOKUP(tblPMView[[#This Row],[Hostname]],tblTM[common_assetName],tblTM[device_size],"",0)</f>
        <v>1489.809307</v>
      </c>
      <c r="Y6" s="205">
        <f>_xlfn.XLOOKUP(tblPMView[[#This Row],[Hostname]],tblTM[common_assetName],tblTM[device_custom29],"",0)</f>
        <v>0</v>
      </c>
      <c r="Z6" s="205"/>
      <c r="AA6" s="205"/>
    </row>
    <row r="7" spans="1:27" ht="13" x14ac:dyDescent="0.3">
      <c r="A7" s="205"/>
      <c r="B7" s="205">
        <v>672002</v>
      </c>
      <c r="C7" s="206" t="str">
        <f>_xlfn.XLOOKUP(tblPMView[[#This Row],[AssetDependencyId]],tblDependencies[AssetDependencyId],tblDependencies[AssetName],"",0,1)</f>
        <v>Kafka-Test</v>
      </c>
      <c r="D7" s="206" t="str">
        <f>_xlfn.LET(_xlpm.mea,_xlfn.XLOOKUP(tblPMView[[#This Row],[AssetDependencyId]],tblDependencies[AssetDependencyId],tblDependencies[AssetBundle],"",0,1),IF(LEFT(LOWER(_xlpm.mea),8)="appgroup",CONCATENATE("MEA",MID(_xlpm.mea,10,LEN(_xlpm.mea)-7)),_xlpm.mea))</f>
        <v>MEA190</v>
      </c>
      <c r="E7" s="206" t="str">
        <f>_xlfn.LET(_xlpm.mea,_xlfn.XLOOKUP(tblPMView[[#This Row],[AssetDependencyId]],tblDependencies[AssetDependencyId],tblDependencies[DependentBundle],"",0,1),IF(LEFT(LOWER(_xlpm.mea),8)="appgroup",CONCATENATE("MEA",MID(_xlpm.mea,10,LEN(_xlpm.mea)-7)),_xlpm.mea))</f>
        <v>MEA190</v>
      </c>
      <c r="F7" s="206" t="str">
        <f>_xlfn.XLOOKUP(tblPMView[[#This Row],[AssetDependencyId]],tblDependencies[AssetDependencyId],tblDependencies[DependentName],"",0,1)</f>
        <v>dc04tlpkaf449</v>
      </c>
      <c r="G7" s="207"/>
      <c r="H7" s="206" t="str">
        <f>_xlfn.XLOOKUP(tblPMView[[#This Row],[Hostname]],tblTM[common_assetName],tblTM[common_environment],"",0,1)</f>
        <v>Test</v>
      </c>
      <c r="I7" s="205" t="str">
        <f>_xlfn.XLOOKUP(tblPMView[[#This Row],[Hostname]],tblTM[common_assetName],tblTM[device_shortName],"",0,1)</f>
        <v>dc04tlpkaf449.wellpoint.com</v>
      </c>
      <c r="J7" s="205" t="str">
        <f>_xlfn.XLOOKUP(tblPMView[[#This Row],[Hostname]],tblTM[common_assetName],tblTM[device_assetType],"",0,1)</f>
        <v>Server</v>
      </c>
      <c r="K7" s="206" t="str">
        <f>TEXT(_xlfn.XLOOKUP(tblPMView[[#This Row],[Hostname]],tblTM[common_assetName],tblTM[device_custom60],"",0,1),"")</f>
        <v>P2P</v>
      </c>
      <c r="L7" s="205" t="str">
        <f>_xlfn.XLOOKUP(tblPMView[[#This Row],[Hostname]],tblTM[common_assetName],tblTM[device_ipAddress],"",0,1)</f>
        <v>10.152.28.141</v>
      </c>
      <c r="M7"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7" s="206" t="str">
        <f>TEXT(_xlfn.XLOOKUP(tblPMView[[#This Row],[Hostname]],tblTM[common_assetName],tblTM[device_custom35],"-",0),"")</f>
        <v/>
      </c>
      <c r="O7" s="205" t="str">
        <f>_xlfn.XLOOKUP(LEFT(tblPMView[[#This Row],[Hostname]],4),tblLocationCodes[LocAbbr],tblLocationCodes[Location],"",0,1)</f>
        <v>Ashburn</v>
      </c>
      <c r="P7"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7" s="206">
        <f>_xlfn.XLOOKUP(tblPMView[[#This Row],[Hostname]],tblTM[common_assetName],tblTM[device_custom17])</f>
        <v>0</v>
      </c>
      <c r="R7" s="206">
        <f>_xlfn.XLOOKUP(tblPMView[[#This Row],[Hostname]],tblTM[common_assetName],tblTM[device_custom14])</f>
        <v>0</v>
      </c>
      <c r="S7" s="206">
        <f>_xlfn.XLOOKUP(tblPMView[[#This Row],[Hostname]],tblTM[common_assetName],tblTM[device_custom12])</f>
        <v>0</v>
      </c>
      <c r="T7" s="209" t="str">
        <f>_xlfn.XLOOKUP(tblPMView[[#This Row],[Hostname]],tblTM[common_assetName],tblTM[device_custom26],"",0,1)</f>
        <v>No</v>
      </c>
      <c r="U7" s="210" t="str">
        <f>LEFT(TEXT(_xlfn.XLOOKUP(tblPMView[[#This Row],[Hostname]],tblTM[common_assetName],tblTM[device_custom20],"-",0),""),3)</f>
        <v/>
      </c>
      <c r="V7" s="210" t="str">
        <f>_xlfn.LET(_xlpm.CSInfo,_xlfn.XLOOKUP(tblPMView[[#This Row],[Hostname]],tblTM[common_assetName],tblTM[device_custom33],"-",0),IF(_xlpm.CSInfo="Discovered","Yes","No"))</f>
        <v>Yes</v>
      </c>
      <c r="W7" s="211" t="str">
        <f>IF(LOWER(LEFT(_xlfn.XLOOKUP(tblPMView[[#This Row],[Hostname]],tblTM[common_assetName],tblTM[device_custom45],"",0,1),1))="y","Yes","No")</f>
        <v>No</v>
      </c>
      <c r="X7" s="212">
        <f>_xlfn.XLOOKUP(tblPMView[[#This Row],[Hostname]],tblTM[common_assetName],tblTM[device_custom64],"",0)+_xlfn.XLOOKUP(tblPMView[[#This Row],[Hostname]],tblTM[common_assetName],tblTM[device_size],"",0)</f>
        <v>1489.809307</v>
      </c>
      <c r="Y7" s="205">
        <f>_xlfn.XLOOKUP(tblPMView[[#This Row],[Hostname]],tblTM[common_assetName],tblTM[device_custom29],"",0)</f>
        <v>0</v>
      </c>
      <c r="Z7" s="205"/>
      <c r="AA7" s="205"/>
    </row>
    <row r="8" spans="1:27" ht="13" x14ac:dyDescent="0.3">
      <c r="A8" s="205"/>
      <c r="B8" s="205">
        <v>672003</v>
      </c>
      <c r="C8" s="206" t="str">
        <f>_xlfn.XLOOKUP(tblPMView[[#This Row],[AssetDependencyId]],tblDependencies[AssetDependencyId],tblDependencies[AssetName],"",0,1)</f>
        <v>Kafka-Test</v>
      </c>
      <c r="D8" s="206" t="str">
        <f>_xlfn.LET(_xlpm.mea,_xlfn.XLOOKUP(tblPMView[[#This Row],[AssetDependencyId]],tblDependencies[AssetDependencyId],tblDependencies[AssetBundle],"",0,1),IF(LEFT(LOWER(_xlpm.mea),8)="appgroup",CONCATENATE("MEA",MID(_xlpm.mea,10,LEN(_xlpm.mea)-7)),_xlpm.mea))</f>
        <v>MEA190</v>
      </c>
      <c r="E8" s="206" t="str">
        <f>_xlfn.LET(_xlpm.mea,_xlfn.XLOOKUP(tblPMView[[#This Row],[AssetDependencyId]],tblDependencies[AssetDependencyId],tblDependencies[DependentBundle],"",0,1),IF(LEFT(LOWER(_xlpm.mea),8)="appgroup",CONCATENATE("MEA",MID(_xlpm.mea,10,LEN(_xlpm.mea)-7)),_xlpm.mea))</f>
        <v>MEA190</v>
      </c>
      <c r="F8" s="206" t="str">
        <f>_xlfn.XLOOKUP(tblPMView[[#This Row],[AssetDependencyId]],tblDependencies[AssetDependencyId],tblDependencies[DependentName],"",0,1)</f>
        <v>dc04tlpkaf448</v>
      </c>
      <c r="G8" s="207"/>
      <c r="H8" s="206" t="str">
        <f>_xlfn.XLOOKUP(tblPMView[[#This Row],[Hostname]],tblTM[common_assetName],tblTM[common_environment],"",0,1)</f>
        <v>Test</v>
      </c>
      <c r="I8" s="205" t="str">
        <f>_xlfn.XLOOKUP(tblPMView[[#This Row],[Hostname]],tblTM[common_assetName],tblTM[device_shortName],"",0,1)</f>
        <v>dc04tlpkaf448.wellpoint.com</v>
      </c>
      <c r="J8" s="205" t="str">
        <f>_xlfn.XLOOKUP(tblPMView[[#This Row],[Hostname]],tblTM[common_assetName],tblTM[device_assetType],"",0,1)</f>
        <v>Server</v>
      </c>
      <c r="K8" s="206" t="str">
        <f>TEXT(_xlfn.XLOOKUP(tblPMView[[#This Row],[Hostname]],tblTM[common_assetName],tblTM[device_custom60],"",0,1),"")</f>
        <v>P2P</v>
      </c>
      <c r="L8" s="205" t="str">
        <f>_xlfn.XLOOKUP(tblPMView[[#This Row],[Hostname]],tblTM[common_assetName],tblTM[device_ipAddress],"",0,1)</f>
        <v>10.152.28.140</v>
      </c>
      <c r="M8"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8" s="206" t="str">
        <f>TEXT(_xlfn.XLOOKUP(tblPMView[[#This Row],[Hostname]],tblTM[common_assetName],tblTM[device_custom35],"-",0),"")</f>
        <v/>
      </c>
      <c r="O8" s="205" t="str">
        <f>_xlfn.XLOOKUP(LEFT(tblPMView[[#This Row],[Hostname]],4),tblLocationCodes[LocAbbr],tblLocationCodes[Location],"",0,1)</f>
        <v>Ashburn</v>
      </c>
      <c r="P8"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8" s="206">
        <f>_xlfn.XLOOKUP(tblPMView[[#This Row],[Hostname]],tblTM[common_assetName],tblTM[device_custom17])</f>
        <v>0</v>
      </c>
      <c r="R8" s="206">
        <f>_xlfn.XLOOKUP(tblPMView[[#This Row],[Hostname]],tblTM[common_assetName],tblTM[device_custom14])</f>
        <v>0</v>
      </c>
      <c r="S8" s="206">
        <f>_xlfn.XLOOKUP(tblPMView[[#This Row],[Hostname]],tblTM[common_assetName],tblTM[device_custom12])</f>
        <v>0</v>
      </c>
      <c r="T8" s="209" t="str">
        <f>_xlfn.XLOOKUP(tblPMView[[#This Row],[Hostname]],tblTM[common_assetName],tblTM[device_custom26],"",0,1)</f>
        <v>No</v>
      </c>
      <c r="U8" s="210" t="str">
        <f>LEFT(TEXT(_xlfn.XLOOKUP(tblPMView[[#This Row],[Hostname]],tblTM[common_assetName],tblTM[device_custom20],"-",0),""),3)</f>
        <v/>
      </c>
      <c r="V8" s="210" t="str">
        <f>_xlfn.LET(_xlpm.CSInfo,_xlfn.XLOOKUP(tblPMView[[#This Row],[Hostname]],tblTM[common_assetName],tblTM[device_custom33],"-",0),IF(_xlpm.CSInfo="Discovered","Yes","No"))</f>
        <v>Yes</v>
      </c>
      <c r="W8" s="211" t="str">
        <f>IF(LOWER(LEFT(_xlfn.XLOOKUP(tblPMView[[#This Row],[Hostname]],tblTM[common_assetName],tblTM[device_custom45],"",0,1),1))="y","Yes","No")</f>
        <v>No</v>
      </c>
      <c r="X8" s="212">
        <f>_xlfn.XLOOKUP(tblPMView[[#This Row],[Hostname]],tblTM[common_assetName],tblTM[device_custom64],"",0)+_xlfn.XLOOKUP(tblPMView[[#This Row],[Hostname]],tblTM[common_assetName],tblTM[device_size],"",0)</f>
        <v>1487.809307</v>
      </c>
      <c r="Y8" s="205">
        <f>_xlfn.XLOOKUP(tblPMView[[#This Row],[Hostname]],tblTM[common_assetName],tblTM[device_custom29],"",0)</f>
        <v>0</v>
      </c>
      <c r="Z8" s="205"/>
      <c r="AA8" s="205"/>
    </row>
    <row r="9" spans="1:27" ht="13" x14ac:dyDescent="0.3">
      <c r="A9" s="205"/>
      <c r="B9" s="205">
        <v>672004</v>
      </c>
      <c r="C9" s="206" t="str">
        <f>_xlfn.XLOOKUP(tblPMView[[#This Row],[AssetDependencyId]],tblDependencies[AssetDependencyId],tblDependencies[AssetName],"",0,1)</f>
        <v>Kafka-Test</v>
      </c>
      <c r="D9" s="206" t="str">
        <f>_xlfn.LET(_xlpm.mea,_xlfn.XLOOKUP(tblPMView[[#This Row],[AssetDependencyId]],tblDependencies[AssetDependencyId],tblDependencies[AssetBundle],"",0,1),IF(LEFT(LOWER(_xlpm.mea),8)="appgroup",CONCATENATE("MEA",MID(_xlpm.mea,10,LEN(_xlpm.mea)-7)),_xlpm.mea))</f>
        <v>MEA190</v>
      </c>
      <c r="E9" s="206" t="str">
        <f>_xlfn.LET(_xlpm.mea,_xlfn.XLOOKUP(tblPMView[[#This Row],[AssetDependencyId]],tblDependencies[AssetDependencyId],tblDependencies[DependentBundle],"",0,1),IF(LEFT(LOWER(_xlpm.mea),8)="appgroup",CONCATENATE("MEA",MID(_xlpm.mea,10,LEN(_xlpm.mea)-7)),_xlpm.mea))</f>
        <v>MEA190</v>
      </c>
      <c r="F9" s="206" t="str">
        <f>_xlfn.XLOOKUP(tblPMView[[#This Row],[AssetDependencyId]],tblDependencies[AssetDependencyId],tblDependencies[DependentName],"",0,1)</f>
        <v>dc04tlpkaf447</v>
      </c>
      <c r="G9" s="207"/>
      <c r="H9" s="206" t="str">
        <f>_xlfn.XLOOKUP(tblPMView[[#This Row],[Hostname]],tblTM[common_assetName],tblTM[common_environment],"",0,1)</f>
        <v>Test</v>
      </c>
      <c r="I9" s="205" t="str">
        <f>_xlfn.XLOOKUP(tblPMView[[#This Row],[Hostname]],tblTM[common_assetName],tblTM[device_shortName],"",0,1)</f>
        <v>dc04tlpkaf447.wellpoint.com</v>
      </c>
      <c r="J9" s="205" t="str">
        <f>_xlfn.XLOOKUP(tblPMView[[#This Row],[Hostname]],tblTM[common_assetName],tblTM[device_assetType],"",0,1)</f>
        <v>Server</v>
      </c>
      <c r="K9" s="206" t="str">
        <f>TEXT(_xlfn.XLOOKUP(tblPMView[[#This Row],[Hostname]],tblTM[common_assetName],tblTM[device_custom60],"",0,1),"")</f>
        <v>P2P</v>
      </c>
      <c r="L9" s="205" t="str">
        <f>_xlfn.XLOOKUP(tblPMView[[#This Row],[Hostname]],tblTM[common_assetName],tblTM[device_ipAddress],"",0,1)</f>
        <v>10.152.28.139</v>
      </c>
      <c r="M9"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9" s="206" t="str">
        <f>TEXT(_xlfn.XLOOKUP(tblPMView[[#This Row],[Hostname]],tblTM[common_assetName],tblTM[device_custom35],"-",0),"")</f>
        <v/>
      </c>
      <c r="O9" s="205" t="str">
        <f>_xlfn.XLOOKUP(LEFT(tblPMView[[#This Row],[Hostname]],4),tblLocationCodes[LocAbbr],tblLocationCodes[Location],"",0,1)</f>
        <v>Ashburn</v>
      </c>
      <c r="P9"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9" s="206">
        <f>_xlfn.XLOOKUP(tblPMView[[#This Row],[Hostname]],tblTM[common_assetName],tblTM[device_custom17])</f>
        <v>0</v>
      </c>
      <c r="R9" s="206">
        <f>_xlfn.XLOOKUP(tblPMView[[#This Row],[Hostname]],tblTM[common_assetName],tblTM[device_custom14])</f>
        <v>0</v>
      </c>
      <c r="S9" s="206">
        <f>_xlfn.XLOOKUP(tblPMView[[#This Row],[Hostname]],tblTM[common_assetName],tblTM[device_custom12])</f>
        <v>0</v>
      </c>
      <c r="T9" s="209" t="str">
        <f>_xlfn.XLOOKUP(tblPMView[[#This Row],[Hostname]],tblTM[common_assetName],tblTM[device_custom26],"",0,1)</f>
        <v>No</v>
      </c>
      <c r="U9" s="210" t="str">
        <f>LEFT(TEXT(_xlfn.XLOOKUP(tblPMView[[#This Row],[Hostname]],tblTM[common_assetName],tblTM[device_custom20],"-",0),""),3)</f>
        <v/>
      </c>
      <c r="V9" s="210" t="str">
        <f>_xlfn.LET(_xlpm.CSInfo,_xlfn.XLOOKUP(tblPMView[[#This Row],[Hostname]],tblTM[common_assetName],tblTM[device_custom33],"-",0),IF(_xlpm.CSInfo="Discovered","Yes","No"))</f>
        <v>Yes</v>
      </c>
      <c r="W9" s="211" t="str">
        <f>IF(LOWER(LEFT(_xlfn.XLOOKUP(tblPMView[[#This Row],[Hostname]],tblTM[common_assetName],tblTM[device_custom45],"",0,1),1))="y","Yes","No")</f>
        <v>No</v>
      </c>
      <c r="X9" s="212">
        <f>_xlfn.XLOOKUP(tblPMView[[#This Row],[Hostname]],tblTM[common_assetName],tblTM[device_custom64],"",0)+_xlfn.XLOOKUP(tblPMView[[#This Row],[Hostname]],tblTM[common_assetName],tblTM[device_size],"",0)</f>
        <v>1489.809307</v>
      </c>
      <c r="Y9" s="205">
        <f>_xlfn.XLOOKUP(tblPMView[[#This Row],[Hostname]],tblTM[common_assetName],tblTM[device_custom29],"",0)</f>
        <v>0</v>
      </c>
      <c r="Z9" s="205"/>
      <c r="AA9" s="205"/>
    </row>
    <row r="10" spans="1:27" ht="13" x14ac:dyDescent="0.3">
      <c r="A10" s="205"/>
      <c r="B10" s="205">
        <v>672005</v>
      </c>
      <c r="C10" s="206" t="str">
        <f>_xlfn.XLOOKUP(tblPMView[[#This Row],[AssetDependencyId]],tblDependencies[AssetDependencyId],tblDependencies[AssetName],"",0,1)</f>
        <v>Kafka-Test</v>
      </c>
      <c r="D10" s="206" t="str">
        <f>_xlfn.LET(_xlpm.mea,_xlfn.XLOOKUP(tblPMView[[#This Row],[AssetDependencyId]],tblDependencies[AssetDependencyId],tblDependencies[AssetBundle],"",0,1),IF(LEFT(LOWER(_xlpm.mea),8)="appgroup",CONCATENATE("MEA",MID(_xlpm.mea,10,LEN(_xlpm.mea)-7)),_xlpm.mea))</f>
        <v>MEA190</v>
      </c>
      <c r="E10" s="206" t="str">
        <f>_xlfn.LET(_xlpm.mea,_xlfn.XLOOKUP(tblPMView[[#This Row],[AssetDependencyId]],tblDependencies[AssetDependencyId],tblDependencies[DependentBundle],"",0,1),IF(LEFT(LOWER(_xlpm.mea),8)="appgroup",CONCATENATE("MEA",MID(_xlpm.mea,10,LEN(_xlpm.mea)-7)),_xlpm.mea))</f>
        <v>MEA190</v>
      </c>
      <c r="F10" s="206" t="str">
        <f>_xlfn.XLOOKUP(tblPMView[[#This Row],[AssetDependencyId]],tblDependencies[AssetDependencyId],tblDependencies[DependentName],"",0,1)</f>
        <v>dc04tlpkaf446</v>
      </c>
      <c r="G10" s="207"/>
      <c r="H10" s="206" t="str">
        <f>_xlfn.XLOOKUP(tblPMView[[#This Row],[Hostname]],tblTM[common_assetName],tblTM[common_environment],"",0,1)</f>
        <v>Test</v>
      </c>
      <c r="I10" s="205" t="str">
        <f>_xlfn.XLOOKUP(tblPMView[[#This Row],[Hostname]],tblTM[common_assetName],tblTM[device_shortName],"",0,1)</f>
        <v>dc04tlpkaf446.wellpoint.com</v>
      </c>
      <c r="J10" s="205" t="str">
        <f>_xlfn.XLOOKUP(tblPMView[[#This Row],[Hostname]],tblTM[common_assetName],tblTM[device_assetType],"",0,1)</f>
        <v>Server</v>
      </c>
      <c r="K10" s="206" t="str">
        <f>TEXT(_xlfn.XLOOKUP(tblPMView[[#This Row],[Hostname]],tblTM[common_assetName],tblTM[device_custom60],"",0,1),"")</f>
        <v>P2P</v>
      </c>
      <c r="L10" s="205" t="str">
        <f>_xlfn.XLOOKUP(tblPMView[[#This Row],[Hostname]],tblTM[common_assetName],tblTM[device_ipAddress],"",0,1)</f>
        <v>10.152.28.138</v>
      </c>
      <c r="M10"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0" s="206" t="str">
        <f>TEXT(_xlfn.XLOOKUP(tblPMView[[#This Row],[Hostname]],tblTM[common_assetName],tblTM[device_custom35],"-",0),"")</f>
        <v/>
      </c>
      <c r="O10" s="205" t="str">
        <f>_xlfn.XLOOKUP(LEFT(tblPMView[[#This Row],[Hostname]],4),tblLocationCodes[LocAbbr],tblLocationCodes[Location],"",0,1)</f>
        <v>Ashburn</v>
      </c>
      <c r="P10"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0" s="206">
        <f>_xlfn.XLOOKUP(tblPMView[[#This Row],[Hostname]],tblTM[common_assetName],tblTM[device_custom17])</f>
        <v>0</v>
      </c>
      <c r="R10" s="206">
        <f>_xlfn.XLOOKUP(tblPMView[[#This Row],[Hostname]],tblTM[common_assetName],tblTM[device_custom14])</f>
        <v>0</v>
      </c>
      <c r="S10" s="206">
        <f>_xlfn.XLOOKUP(tblPMView[[#This Row],[Hostname]],tblTM[common_assetName],tblTM[device_custom12])</f>
        <v>0</v>
      </c>
      <c r="T10" s="209" t="str">
        <f>_xlfn.XLOOKUP(tblPMView[[#This Row],[Hostname]],tblTM[common_assetName],tblTM[device_custom26],"",0,1)</f>
        <v>No</v>
      </c>
      <c r="U10" s="210" t="str">
        <f>LEFT(TEXT(_xlfn.XLOOKUP(tblPMView[[#This Row],[Hostname]],tblTM[common_assetName],tblTM[device_custom20],"-",0),""),3)</f>
        <v/>
      </c>
      <c r="V10" s="210" t="str">
        <f>_xlfn.LET(_xlpm.CSInfo,_xlfn.XLOOKUP(tblPMView[[#This Row],[Hostname]],tblTM[common_assetName],tblTM[device_custom33],"-",0),IF(_xlpm.CSInfo="Discovered","Yes","No"))</f>
        <v>Yes</v>
      </c>
      <c r="W10" s="211" t="str">
        <f>IF(LOWER(LEFT(_xlfn.XLOOKUP(tblPMView[[#This Row],[Hostname]],tblTM[common_assetName],tblTM[device_custom45],"",0,1),1))="y","Yes","No")</f>
        <v>No</v>
      </c>
      <c r="X10" s="212">
        <f>_xlfn.XLOOKUP(tblPMView[[#This Row],[Hostname]],tblTM[common_assetName],tblTM[device_custom64],"",0)+_xlfn.XLOOKUP(tblPMView[[#This Row],[Hostname]],tblTM[common_assetName],tblTM[device_size],"",0)</f>
        <v>1487.809307</v>
      </c>
      <c r="Y10" s="205">
        <f>_xlfn.XLOOKUP(tblPMView[[#This Row],[Hostname]],tblTM[common_assetName],tblTM[device_custom29],"",0)</f>
        <v>0</v>
      </c>
      <c r="Z10" s="205"/>
      <c r="AA10" s="205"/>
    </row>
    <row r="11" spans="1:27" ht="13" x14ac:dyDescent="0.3">
      <c r="A11" s="205"/>
      <c r="B11" s="205">
        <v>672013</v>
      </c>
      <c r="C11" s="206" t="str">
        <f>_xlfn.XLOOKUP(tblPMView[[#This Row],[AssetDependencyId]],tblDependencies[AssetDependencyId],tblDependencies[AssetName],"",0,1)</f>
        <v>Kafka-Test</v>
      </c>
      <c r="D11" s="206" t="str">
        <f>_xlfn.LET(_xlpm.mea,_xlfn.XLOOKUP(tblPMView[[#This Row],[AssetDependencyId]],tblDependencies[AssetDependencyId],tblDependencies[AssetBundle],"",0,1),IF(LEFT(LOWER(_xlpm.mea),8)="appgroup",CONCATENATE("MEA",MID(_xlpm.mea,10,LEN(_xlpm.mea)-7)),_xlpm.mea))</f>
        <v>MEA190</v>
      </c>
      <c r="E11" s="206" t="str">
        <f>_xlfn.LET(_xlpm.mea,_xlfn.XLOOKUP(tblPMView[[#This Row],[AssetDependencyId]],tblDependencies[AssetDependencyId],tblDependencies[DependentBundle],"",0,1),IF(LEFT(LOWER(_xlpm.mea),8)="appgroup",CONCATENATE("MEA",MID(_xlpm.mea,10,LEN(_xlpm.mea)-7)),_xlpm.mea))</f>
        <v>MEA190</v>
      </c>
      <c r="F11" s="206" t="str">
        <f>_xlfn.XLOOKUP(tblPMView[[#This Row],[AssetDependencyId]],tblDependencies[AssetDependencyId],tblDependencies[DependentName],"",0,1)</f>
        <v>dc04tlpkaf438</v>
      </c>
      <c r="G11" s="207"/>
      <c r="H11" s="206" t="str">
        <f>_xlfn.XLOOKUP(tblPMView[[#This Row],[Hostname]],tblTM[common_assetName],tblTM[common_environment],"",0,1)</f>
        <v>Test</v>
      </c>
      <c r="I11" s="205" t="str">
        <f>_xlfn.XLOOKUP(tblPMView[[#This Row],[Hostname]],tblTM[common_assetName],tblTM[device_shortName],"",0,1)</f>
        <v>dc04tlpkaf438.wellpoint.com</v>
      </c>
      <c r="J11" s="205" t="str">
        <f>_xlfn.XLOOKUP(tblPMView[[#This Row],[Hostname]],tblTM[common_assetName],tblTM[device_assetType],"",0,1)</f>
        <v>Server</v>
      </c>
      <c r="K11" s="206" t="str">
        <f>TEXT(_xlfn.XLOOKUP(tblPMView[[#This Row],[Hostname]],tblTM[common_assetName],tblTM[device_custom60],"",0,1),"")</f>
        <v>P2P</v>
      </c>
      <c r="L11" s="205" t="str">
        <f>_xlfn.XLOOKUP(tblPMView[[#This Row],[Hostname]],tblTM[common_assetName],tblTM[device_ipAddress],"",0,1)</f>
        <v>10.152.28.130</v>
      </c>
      <c r="M11"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1" s="206" t="str">
        <f>TEXT(_xlfn.XLOOKUP(tblPMView[[#This Row],[Hostname]],tblTM[common_assetName],tblTM[device_custom35],"-",0),"")</f>
        <v/>
      </c>
      <c r="O11" s="205" t="str">
        <f>_xlfn.XLOOKUP(LEFT(tblPMView[[#This Row],[Hostname]],4),tblLocationCodes[LocAbbr],tblLocationCodes[Location],"",0,1)</f>
        <v>Ashburn</v>
      </c>
      <c r="P11"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1" s="206">
        <f>_xlfn.XLOOKUP(tblPMView[[#This Row],[Hostname]],tblTM[common_assetName],tblTM[device_custom17])</f>
        <v>0</v>
      </c>
      <c r="R11" s="206">
        <f>_xlfn.XLOOKUP(tblPMView[[#This Row],[Hostname]],tblTM[common_assetName],tblTM[device_custom14])</f>
        <v>0</v>
      </c>
      <c r="S11" s="206">
        <f>_xlfn.XLOOKUP(tblPMView[[#This Row],[Hostname]],tblTM[common_assetName],tblTM[device_custom12])</f>
        <v>0</v>
      </c>
      <c r="T11" s="209" t="str">
        <f>_xlfn.XLOOKUP(tblPMView[[#This Row],[Hostname]],tblTM[common_assetName],tblTM[device_custom26],"",0,1)</f>
        <v>No</v>
      </c>
      <c r="U11" s="210" t="str">
        <f>LEFT(TEXT(_xlfn.XLOOKUP(tblPMView[[#This Row],[Hostname]],tblTM[common_assetName],tblTM[device_custom20],"-",0),""),3)</f>
        <v/>
      </c>
      <c r="V11" s="210" t="str">
        <f>_xlfn.LET(_xlpm.CSInfo,_xlfn.XLOOKUP(tblPMView[[#This Row],[Hostname]],tblTM[common_assetName],tblTM[device_custom33],"-",0),IF(_xlpm.CSInfo="Discovered","Yes","No"))</f>
        <v>Yes</v>
      </c>
      <c r="W11" s="211" t="str">
        <f>IF(LOWER(LEFT(_xlfn.XLOOKUP(tblPMView[[#This Row],[Hostname]],tblTM[common_assetName],tblTM[device_custom45],"",0,1),1))="y","Yes","No")</f>
        <v>No</v>
      </c>
      <c r="X11" s="212">
        <f>_xlfn.XLOOKUP(tblPMView[[#This Row],[Hostname]],tblTM[common_assetName],tblTM[device_custom64],"",0)+_xlfn.XLOOKUP(tblPMView[[#This Row],[Hostname]],tblTM[common_assetName],tblTM[device_size],"",0)</f>
        <v>1487.809307</v>
      </c>
      <c r="Y11" s="205">
        <f>_xlfn.XLOOKUP(tblPMView[[#This Row],[Hostname]],tblTM[common_assetName],tblTM[device_custom29],"",0)</f>
        <v>0</v>
      </c>
      <c r="Z11" s="205"/>
      <c r="AA11" s="205"/>
    </row>
    <row r="12" spans="1:27" ht="13" x14ac:dyDescent="0.3">
      <c r="A12" s="205"/>
      <c r="B12" s="205">
        <v>672014</v>
      </c>
      <c r="C12" s="206" t="str">
        <f>_xlfn.XLOOKUP(tblPMView[[#This Row],[AssetDependencyId]],tblDependencies[AssetDependencyId],tblDependencies[AssetName],"",0,1)</f>
        <v>Kafka-Test</v>
      </c>
      <c r="D12" s="206" t="str">
        <f>_xlfn.LET(_xlpm.mea,_xlfn.XLOOKUP(tblPMView[[#This Row],[AssetDependencyId]],tblDependencies[AssetDependencyId],tblDependencies[AssetBundle],"",0,1),IF(LEFT(LOWER(_xlpm.mea),8)="appgroup",CONCATENATE("MEA",MID(_xlpm.mea,10,LEN(_xlpm.mea)-7)),_xlpm.mea))</f>
        <v>MEA190</v>
      </c>
      <c r="E12" s="206" t="str">
        <f>_xlfn.LET(_xlpm.mea,_xlfn.XLOOKUP(tblPMView[[#This Row],[AssetDependencyId]],tblDependencies[AssetDependencyId],tblDependencies[DependentBundle],"",0,1),IF(LEFT(LOWER(_xlpm.mea),8)="appgroup",CONCATENATE("MEA",MID(_xlpm.mea,10,LEN(_xlpm.mea)-7)),_xlpm.mea))</f>
        <v>MEA190</v>
      </c>
      <c r="F12" s="206" t="str">
        <f>_xlfn.XLOOKUP(tblPMView[[#This Row],[AssetDependencyId]],tblDependencies[AssetDependencyId],tblDependencies[DependentName],"",0,1)</f>
        <v>dc04tlpkaf437</v>
      </c>
      <c r="G12" s="207"/>
      <c r="H12" s="206" t="str">
        <f>_xlfn.XLOOKUP(tblPMView[[#This Row],[Hostname]],tblTM[common_assetName],tblTM[common_environment],"",0,1)</f>
        <v>Test</v>
      </c>
      <c r="I12" s="205" t="str">
        <f>_xlfn.XLOOKUP(tblPMView[[#This Row],[Hostname]],tblTM[common_assetName],tblTM[device_shortName],"",0,1)</f>
        <v>dc04tlpkaf437.wellpoint.com</v>
      </c>
      <c r="J12" s="205" t="str">
        <f>_xlfn.XLOOKUP(tblPMView[[#This Row],[Hostname]],tblTM[common_assetName],tblTM[device_assetType],"",0,1)</f>
        <v>Server</v>
      </c>
      <c r="K12" s="206" t="str">
        <f>TEXT(_xlfn.XLOOKUP(tblPMView[[#This Row],[Hostname]],tblTM[common_assetName],tblTM[device_custom60],"",0,1),"")</f>
        <v>P2P</v>
      </c>
      <c r="L12" s="205" t="str">
        <f>_xlfn.XLOOKUP(tblPMView[[#This Row],[Hostname]],tblTM[common_assetName],tblTM[device_ipAddress],"",0,1)</f>
        <v>10.152.28.129</v>
      </c>
      <c r="M12"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2" s="206" t="str">
        <f>TEXT(_xlfn.XLOOKUP(tblPMView[[#This Row],[Hostname]],tblTM[common_assetName],tblTM[device_custom35],"-",0),"")</f>
        <v/>
      </c>
      <c r="O12" s="205" t="str">
        <f>_xlfn.XLOOKUP(LEFT(tblPMView[[#This Row],[Hostname]],4),tblLocationCodes[LocAbbr],tblLocationCodes[Location],"",0,1)</f>
        <v>Ashburn</v>
      </c>
      <c r="P12"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2" s="206">
        <f>_xlfn.XLOOKUP(tblPMView[[#This Row],[Hostname]],tblTM[common_assetName],tblTM[device_custom17])</f>
        <v>0</v>
      </c>
      <c r="R12" s="206">
        <f>_xlfn.XLOOKUP(tblPMView[[#This Row],[Hostname]],tblTM[common_assetName],tblTM[device_custom14])</f>
        <v>0</v>
      </c>
      <c r="S12" s="206">
        <f>_xlfn.XLOOKUP(tblPMView[[#This Row],[Hostname]],tblTM[common_assetName],tblTM[device_custom12])</f>
        <v>0</v>
      </c>
      <c r="T12" s="209" t="str">
        <f>_xlfn.XLOOKUP(tblPMView[[#This Row],[Hostname]],tblTM[common_assetName],tblTM[device_custom26],"",0,1)</f>
        <v>No</v>
      </c>
      <c r="U12" s="210" t="str">
        <f>LEFT(TEXT(_xlfn.XLOOKUP(tblPMView[[#This Row],[Hostname]],tblTM[common_assetName],tblTM[device_custom20],"-",0),""),3)</f>
        <v/>
      </c>
      <c r="V12" s="210" t="str">
        <f>_xlfn.LET(_xlpm.CSInfo,_xlfn.XLOOKUP(tblPMView[[#This Row],[Hostname]],tblTM[common_assetName],tblTM[device_custom33],"-",0),IF(_xlpm.CSInfo="Discovered","Yes","No"))</f>
        <v>Yes</v>
      </c>
      <c r="W12" s="211" t="str">
        <f>IF(LOWER(LEFT(_xlfn.XLOOKUP(tblPMView[[#This Row],[Hostname]],tblTM[common_assetName],tblTM[device_custom45],"",0,1),1))="y","Yes","No")</f>
        <v>No</v>
      </c>
      <c r="X12" s="212">
        <f>_xlfn.XLOOKUP(tblPMView[[#This Row],[Hostname]],tblTM[common_assetName],tblTM[device_custom64],"",0)+_xlfn.XLOOKUP(tblPMView[[#This Row],[Hostname]],tblTM[common_assetName],tblTM[device_size],"",0)</f>
        <v>1489.809307</v>
      </c>
      <c r="Y12" s="205">
        <f>_xlfn.XLOOKUP(tblPMView[[#This Row],[Hostname]],tblTM[common_assetName],tblTM[device_custom29],"",0)</f>
        <v>0</v>
      </c>
      <c r="Z12" s="205"/>
      <c r="AA12" s="205"/>
    </row>
    <row r="13" spans="1:27" ht="13" x14ac:dyDescent="0.3">
      <c r="A13" s="205"/>
      <c r="B13" s="205">
        <v>672017</v>
      </c>
      <c r="C13" s="206" t="str">
        <f>_xlfn.XLOOKUP(tblPMView[[#This Row],[AssetDependencyId]],tblDependencies[AssetDependencyId],tblDependencies[AssetName],"",0,1)</f>
        <v>Kafka-Test</v>
      </c>
      <c r="D13" s="206" t="str">
        <f>_xlfn.LET(_xlpm.mea,_xlfn.XLOOKUP(tblPMView[[#This Row],[AssetDependencyId]],tblDependencies[AssetDependencyId],tblDependencies[AssetBundle],"",0,1),IF(LEFT(LOWER(_xlpm.mea),8)="appgroup",CONCATENATE("MEA",MID(_xlpm.mea,10,LEN(_xlpm.mea)-7)),_xlpm.mea))</f>
        <v>MEA190</v>
      </c>
      <c r="E13" s="206" t="str">
        <f>_xlfn.LET(_xlpm.mea,_xlfn.XLOOKUP(tblPMView[[#This Row],[AssetDependencyId]],tblDependencies[AssetDependencyId],tblDependencies[DependentBundle],"",0,1),IF(LEFT(LOWER(_xlpm.mea),8)="appgroup",CONCATENATE("MEA",MID(_xlpm.mea,10,LEN(_xlpm.mea)-7)),_xlpm.mea))</f>
        <v>MEA190</v>
      </c>
      <c r="F13" s="206" t="str">
        <f>_xlfn.XLOOKUP(tblPMView[[#This Row],[AssetDependencyId]],tblDependencies[AssetDependencyId],tblDependencies[DependentName],"",0,1)</f>
        <v>dc04tlpkaf434</v>
      </c>
      <c r="G13" s="207"/>
      <c r="H13" s="206" t="str">
        <f>_xlfn.XLOOKUP(tblPMView[[#This Row],[Hostname]],tblTM[common_assetName],tblTM[common_environment],"",0,1)</f>
        <v>Test</v>
      </c>
      <c r="I13" s="205" t="str">
        <f>_xlfn.XLOOKUP(tblPMView[[#This Row],[Hostname]],tblTM[common_assetName],tblTM[device_shortName],"",0,1)</f>
        <v>dc04tlpkaf434.wellpoint.com</v>
      </c>
      <c r="J13" s="205" t="str">
        <f>_xlfn.XLOOKUP(tblPMView[[#This Row],[Hostname]],tblTM[common_assetName],tblTM[device_assetType],"",0,1)</f>
        <v>Server</v>
      </c>
      <c r="K13" s="206" t="str">
        <f>TEXT(_xlfn.XLOOKUP(tblPMView[[#This Row],[Hostname]],tblTM[common_assetName],tblTM[device_custom60],"",0,1),"")</f>
        <v>P2P</v>
      </c>
      <c r="L13" s="205" t="str">
        <f>_xlfn.XLOOKUP(tblPMView[[#This Row],[Hostname]],tblTM[common_assetName],tblTM[device_ipAddress],"",0,1)</f>
        <v>10.152.28.126</v>
      </c>
      <c r="M13"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3" s="206" t="str">
        <f>TEXT(_xlfn.XLOOKUP(tblPMView[[#This Row],[Hostname]],tblTM[common_assetName],tblTM[device_custom35],"-",0),"")</f>
        <v/>
      </c>
      <c r="O13" s="205" t="str">
        <f>_xlfn.XLOOKUP(LEFT(tblPMView[[#This Row],[Hostname]],4),tblLocationCodes[LocAbbr],tblLocationCodes[Location],"",0,1)</f>
        <v>Ashburn</v>
      </c>
      <c r="P13"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3" s="206">
        <f>_xlfn.XLOOKUP(tblPMView[[#This Row],[Hostname]],tblTM[common_assetName],tblTM[device_custom17])</f>
        <v>0</v>
      </c>
      <c r="R13" s="206">
        <f>_xlfn.XLOOKUP(tblPMView[[#This Row],[Hostname]],tblTM[common_assetName],tblTM[device_custom14])</f>
        <v>0</v>
      </c>
      <c r="S13" s="206">
        <f>_xlfn.XLOOKUP(tblPMView[[#This Row],[Hostname]],tblTM[common_assetName],tblTM[device_custom12])</f>
        <v>0</v>
      </c>
      <c r="T13" s="209" t="str">
        <f>_xlfn.XLOOKUP(tblPMView[[#This Row],[Hostname]],tblTM[common_assetName],tblTM[device_custom26],"",0,1)</f>
        <v>No</v>
      </c>
      <c r="U13" s="210" t="str">
        <f>LEFT(TEXT(_xlfn.XLOOKUP(tblPMView[[#This Row],[Hostname]],tblTM[common_assetName],tblTM[device_custom20],"-",0),""),3)</f>
        <v/>
      </c>
      <c r="V13" s="210" t="str">
        <f>_xlfn.LET(_xlpm.CSInfo,_xlfn.XLOOKUP(tblPMView[[#This Row],[Hostname]],tblTM[common_assetName],tblTM[device_custom33],"-",0),IF(_xlpm.CSInfo="Discovered","Yes","No"))</f>
        <v>Yes</v>
      </c>
      <c r="W13" s="211" t="str">
        <f>IF(LOWER(LEFT(_xlfn.XLOOKUP(tblPMView[[#This Row],[Hostname]],tblTM[common_assetName],tblTM[device_custom45],"",0,1),1))="y","Yes","No")</f>
        <v>No</v>
      </c>
      <c r="X13" s="212">
        <f>_xlfn.XLOOKUP(tblPMView[[#This Row],[Hostname]],tblTM[common_assetName],tblTM[device_custom64],"",0)+_xlfn.XLOOKUP(tblPMView[[#This Row],[Hostname]],tblTM[common_assetName],tblTM[device_size],"",0)</f>
        <v>1489.809307</v>
      </c>
      <c r="Y13" s="205">
        <f>_xlfn.XLOOKUP(tblPMView[[#This Row],[Hostname]],tblTM[common_assetName],tblTM[device_custom29],"",0)</f>
        <v>0</v>
      </c>
      <c r="Z13" s="205"/>
      <c r="AA13" s="205"/>
    </row>
    <row r="14" spans="1:27" ht="13" x14ac:dyDescent="0.3">
      <c r="A14" s="205"/>
      <c r="B14" s="205">
        <v>672018</v>
      </c>
      <c r="C14" s="206" t="str">
        <f>_xlfn.XLOOKUP(tblPMView[[#This Row],[AssetDependencyId]],tblDependencies[AssetDependencyId],tblDependencies[AssetName],"",0,1)</f>
        <v>Kafka-Test</v>
      </c>
      <c r="D14" s="206" t="str">
        <f>_xlfn.LET(_xlpm.mea,_xlfn.XLOOKUP(tblPMView[[#This Row],[AssetDependencyId]],tblDependencies[AssetDependencyId],tblDependencies[AssetBundle],"",0,1),IF(LEFT(LOWER(_xlpm.mea),8)="appgroup",CONCATENATE("MEA",MID(_xlpm.mea,10,LEN(_xlpm.mea)-7)),_xlpm.mea))</f>
        <v>MEA190</v>
      </c>
      <c r="E14" s="206" t="str">
        <f>_xlfn.LET(_xlpm.mea,_xlfn.XLOOKUP(tblPMView[[#This Row],[AssetDependencyId]],tblDependencies[AssetDependencyId],tblDependencies[DependentBundle],"",0,1),IF(LEFT(LOWER(_xlpm.mea),8)="appgroup",CONCATENATE("MEA",MID(_xlpm.mea,10,LEN(_xlpm.mea)-7)),_xlpm.mea))</f>
        <v>MEA190</v>
      </c>
      <c r="F14" s="206" t="str">
        <f>_xlfn.XLOOKUP(tblPMView[[#This Row],[AssetDependencyId]],tblDependencies[AssetDependencyId],tblDependencies[DependentName],"",0,1)</f>
        <v>dc04tlpkaf432</v>
      </c>
      <c r="G14" s="207"/>
      <c r="H14" s="206" t="str">
        <f>_xlfn.XLOOKUP(tblPMView[[#This Row],[Hostname]],tblTM[common_assetName],tblTM[common_environment],"",0,1)</f>
        <v>Test</v>
      </c>
      <c r="I14" s="205" t="str">
        <f>_xlfn.XLOOKUP(tblPMView[[#This Row],[Hostname]],tblTM[common_assetName],tblTM[device_shortName],"",0,1)</f>
        <v>dc04tlpkaf432.wellpoint.com</v>
      </c>
      <c r="J14" s="205" t="str">
        <f>_xlfn.XLOOKUP(tblPMView[[#This Row],[Hostname]],tblTM[common_assetName],tblTM[device_assetType],"",0,1)</f>
        <v>Server</v>
      </c>
      <c r="K14" s="206" t="str">
        <f>TEXT(_xlfn.XLOOKUP(tblPMView[[#This Row],[Hostname]],tblTM[common_assetName],tblTM[device_custom60],"",0,1),"")</f>
        <v>P2P</v>
      </c>
      <c r="L14" s="205" t="str">
        <f>_xlfn.XLOOKUP(tblPMView[[#This Row],[Hostname]],tblTM[common_assetName],tblTM[device_ipAddress],"",0,1)</f>
        <v>10.152.28.124</v>
      </c>
      <c r="M14"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4" s="206" t="str">
        <f>TEXT(_xlfn.XLOOKUP(tblPMView[[#This Row],[Hostname]],tblTM[common_assetName],tblTM[device_custom35],"-",0),"")</f>
        <v/>
      </c>
      <c r="O14" s="205" t="str">
        <f>_xlfn.XLOOKUP(LEFT(tblPMView[[#This Row],[Hostname]],4),tblLocationCodes[LocAbbr],tblLocationCodes[Location],"",0,1)</f>
        <v>Ashburn</v>
      </c>
      <c r="P14"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4" s="206">
        <f>_xlfn.XLOOKUP(tblPMView[[#This Row],[Hostname]],tblTM[common_assetName],tblTM[device_custom17])</f>
        <v>0</v>
      </c>
      <c r="R14" s="206">
        <f>_xlfn.XLOOKUP(tblPMView[[#This Row],[Hostname]],tblTM[common_assetName],tblTM[device_custom14])</f>
        <v>0</v>
      </c>
      <c r="S14" s="206">
        <f>_xlfn.XLOOKUP(tblPMView[[#This Row],[Hostname]],tblTM[common_assetName],tblTM[device_custom12])</f>
        <v>0</v>
      </c>
      <c r="T14" s="209" t="str">
        <f>_xlfn.XLOOKUP(tblPMView[[#This Row],[Hostname]],tblTM[common_assetName],tblTM[device_custom26],"",0,1)</f>
        <v>No</v>
      </c>
      <c r="U14" s="210" t="str">
        <f>LEFT(TEXT(_xlfn.XLOOKUP(tblPMView[[#This Row],[Hostname]],tblTM[common_assetName],tblTM[device_custom20],"-",0),""),3)</f>
        <v/>
      </c>
      <c r="V14" s="210" t="str">
        <f>_xlfn.LET(_xlpm.CSInfo,_xlfn.XLOOKUP(tblPMView[[#This Row],[Hostname]],tblTM[common_assetName],tblTM[device_custom33],"-",0),IF(_xlpm.CSInfo="Discovered","Yes","No"))</f>
        <v>Yes</v>
      </c>
      <c r="W14" s="211" t="str">
        <f>IF(LOWER(LEFT(_xlfn.XLOOKUP(tblPMView[[#This Row],[Hostname]],tblTM[common_assetName],tblTM[device_custom45],"",0,1),1))="y","Yes","No")</f>
        <v>No</v>
      </c>
      <c r="X14" s="212">
        <f>_xlfn.XLOOKUP(tblPMView[[#This Row],[Hostname]],tblTM[common_assetName],tblTM[device_custom64],"",0)+_xlfn.XLOOKUP(tblPMView[[#This Row],[Hostname]],tblTM[common_assetName],tblTM[device_size],"",0)</f>
        <v>1489.809307</v>
      </c>
      <c r="Y14" s="205">
        <f>_xlfn.XLOOKUP(tblPMView[[#This Row],[Hostname]],tblTM[common_assetName],tblTM[device_custom29],"",0)</f>
        <v>0</v>
      </c>
      <c r="Z14" s="205"/>
      <c r="AA14" s="205"/>
    </row>
    <row r="15" spans="1:27" ht="13" x14ac:dyDescent="0.3">
      <c r="A15" s="205"/>
      <c r="B15" s="205">
        <v>672022</v>
      </c>
      <c r="C15" s="206" t="str">
        <f>_xlfn.XLOOKUP(tblPMView[[#This Row],[AssetDependencyId]],tblDependencies[AssetDependencyId],tblDependencies[AssetName],"",0,1)</f>
        <v>Kafka-Test</v>
      </c>
      <c r="D15" s="206" t="str">
        <f>_xlfn.LET(_xlpm.mea,_xlfn.XLOOKUP(tblPMView[[#This Row],[AssetDependencyId]],tblDependencies[AssetDependencyId],tblDependencies[AssetBundle],"",0,1),IF(LEFT(LOWER(_xlpm.mea),8)="appgroup",CONCATENATE("MEA",MID(_xlpm.mea,10,LEN(_xlpm.mea)-7)),_xlpm.mea))</f>
        <v>MEA190</v>
      </c>
      <c r="E15" s="206" t="str">
        <f>_xlfn.LET(_xlpm.mea,_xlfn.XLOOKUP(tblPMView[[#This Row],[AssetDependencyId]],tblDependencies[AssetDependencyId],tblDependencies[DependentBundle],"",0,1),IF(LEFT(LOWER(_xlpm.mea),8)="appgroup",CONCATENATE("MEA",MID(_xlpm.mea,10,LEN(_xlpm.mea)-7)),_xlpm.mea))</f>
        <v>MEA190</v>
      </c>
      <c r="F15" s="206" t="str">
        <f>_xlfn.XLOOKUP(tblPMView[[#This Row],[AssetDependencyId]],tblDependencies[AssetDependencyId],tblDependencies[DependentName],"",0,1)</f>
        <v>dc04tlpkaf428</v>
      </c>
      <c r="G15" s="207"/>
      <c r="H15" s="206" t="str">
        <f>_xlfn.XLOOKUP(tblPMView[[#This Row],[Hostname]],tblTM[common_assetName],tblTM[common_environment],"",0,1)</f>
        <v>Test</v>
      </c>
      <c r="I15" s="205" t="str">
        <f>_xlfn.XLOOKUP(tblPMView[[#This Row],[Hostname]],tblTM[common_assetName],tblTM[device_shortName],"",0,1)</f>
        <v>dc04tlpkaf428.wellpoint.com</v>
      </c>
      <c r="J15" s="205" t="str">
        <f>_xlfn.XLOOKUP(tblPMView[[#This Row],[Hostname]],tblTM[common_assetName],tblTM[device_assetType],"",0,1)</f>
        <v>Server</v>
      </c>
      <c r="K15" s="206" t="str">
        <f>TEXT(_xlfn.XLOOKUP(tblPMView[[#This Row],[Hostname]],tblTM[common_assetName],tblTM[device_custom60],"",0,1),"")</f>
        <v>P2P</v>
      </c>
      <c r="L15" s="205" t="str">
        <f>_xlfn.XLOOKUP(tblPMView[[#This Row],[Hostname]],tblTM[common_assetName],tblTM[device_ipAddress],"",0,1)</f>
        <v>10.152.28.120</v>
      </c>
      <c r="M15"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5" s="206" t="str">
        <f>TEXT(_xlfn.XLOOKUP(tblPMView[[#This Row],[Hostname]],tblTM[common_assetName],tblTM[device_custom35],"-",0),"")</f>
        <v/>
      </c>
      <c r="O15" s="205" t="str">
        <f>_xlfn.XLOOKUP(LEFT(tblPMView[[#This Row],[Hostname]],4),tblLocationCodes[LocAbbr],tblLocationCodes[Location],"",0,1)</f>
        <v>Ashburn</v>
      </c>
      <c r="P15"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5" s="206">
        <f>_xlfn.XLOOKUP(tblPMView[[#This Row],[Hostname]],tblTM[common_assetName],tblTM[device_custom17])</f>
        <v>0</v>
      </c>
      <c r="R15" s="206">
        <f>_xlfn.XLOOKUP(tblPMView[[#This Row],[Hostname]],tblTM[common_assetName],tblTM[device_custom14])</f>
        <v>0</v>
      </c>
      <c r="S15" s="206">
        <f>_xlfn.XLOOKUP(tblPMView[[#This Row],[Hostname]],tblTM[common_assetName],tblTM[device_custom12])</f>
        <v>0</v>
      </c>
      <c r="T15" s="209" t="str">
        <f>_xlfn.XLOOKUP(tblPMView[[#This Row],[Hostname]],tblTM[common_assetName],tblTM[device_custom26],"",0,1)</f>
        <v>No</v>
      </c>
      <c r="U15" s="210" t="str">
        <f>LEFT(TEXT(_xlfn.XLOOKUP(tblPMView[[#This Row],[Hostname]],tblTM[common_assetName],tblTM[device_custom20],"-",0),""),3)</f>
        <v/>
      </c>
      <c r="V15" s="210" t="str">
        <f>_xlfn.LET(_xlpm.CSInfo,_xlfn.XLOOKUP(tblPMView[[#This Row],[Hostname]],tblTM[common_assetName],tblTM[device_custom33],"-",0),IF(_xlpm.CSInfo="Discovered","Yes","No"))</f>
        <v>Yes</v>
      </c>
      <c r="W15" s="211" t="str">
        <f>IF(LOWER(LEFT(_xlfn.XLOOKUP(tblPMView[[#This Row],[Hostname]],tblTM[common_assetName],tblTM[device_custom45],"",0,1),1))="y","Yes","No")</f>
        <v>No</v>
      </c>
      <c r="X15" s="212">
        <f>_xlfn.XLOOKUP(tblPMView[[#This Row],[Hostname]],tblTM[common_assetName],tblTM[device_custom64],"",0)+_xlfn.XLOOKUP(tblPMView[[#This Row],[Hostname]],tblTM[common_assetName],tblTM[device_size],"",0)</f>
        <v>3037.0534480000001</v>
      </c>
      <c r="Y15" s="205">
        <f>_xlfn.XLOOKUP(tblPMView[[#This Row],[Hostname]],tblTM[common_assetName],tblTM[device_custom29],"",0)</f>
        <v>0</v>
      </c>
      <c r="Z15" s="205"/>
      <c r="AA15" s="205"/>
    </row>
    <row r="16" spans="1:27" ht="13" x14ac:dyDescent="0.3">
      <c r="A16" s="205"/>
      <c r="B16" s="205">
        <v>672023</v>
      </c>
      <c r="C16" s="206" t="str">
        <f>_xlfn.XLOOKUP(tblPMView[[#This Row],[AssetDependencyId]],tblDependencies[AssetDependencyId],tblDependencies[AssetName],"",0,1)</f>
        <v>Kafka-Test</v>
      </c>
      <c r="D16" s="206" t="str">
        <f>_xlfn.LET(_xlpm.mea,_xlfn.XLOOKUP(tblPMView[[#This Row],[AssetDependencyId]],tblDependencies[AssetDependencyId],tblDependencies[AssetBundle],"",0,1),IF(LEFT(LOWER(_xlpm.mea),8)="appgroup",CONCATENATE("MEA",MID(_xlpm.mea,10,LEN(_xlpm.mea)-7)),_xlpm.mea))</f>
        <v>MEA190</v>
      </c>
      <c r="E16" s="206" t="str">
        <f>_xlfn.LET(_xlpm.mea,_xlfn.XLOOKUP(tblPMView[[#This Row],[AssetDependencyId]],tblDependencies[AssetDependencyId],tblDependencies[DependentBundle],"",0,1),IF(LEFT(LOWER(_xlpm.mea),8)="appgroup",CONCATENATE("MEA",MID(_xlpm.mea,10,LEN(_xlpm.mea)-7)),_xlpm.mea))</f>
        <v>MEA190</v>
      </c>
      <c r="F16" s="206" t="str">
        <f>_xlfn.XLOOKUP(tblPMView[[#This Row],[AssetDependencyId]],tblDependencies[AssetDependencyId],tblDependencies[DependentName],"",0,1)</f>
        <v>dc04tlpkaf427</v>
      </c>
      <c r="G16" s="207"/>
      <c r="H16" s="206" t="str">
        <f>_xlfn.XLOOKUP(tblPMView[[#This Row],[Hostname]],tblTM[common_assetName],tblTM[common_environment],"",0,1)</f>
        <v>Test</v>
      </c>
      <c r="I16" s="205" t="str">
        <f>_xlfn.XLOOKUP(tblPMView[[#This Row],[Hostname]],tblTM[common_assetName],tblTM[device_shortName],"",0,1)</f>
        <v>dc04tlpkaf427.wellpoint.com</v>
      </c>
      <c r="J16" s="205" t="str">
        <f>_xlfn.XLOOKUP(tblPMView[[#This Row],[Hostname]],tblTM[common_assetName],tblTM[device_assetType],"",0,1)</f>
        <v>Server</v>
      </c>
      <c r="K16" s="206" t="str">
        <f>TEXT(_xlfn.XLOOKUP(tblPMView[[#This Row],[Hostname]],tblTM[common_assetName],tblTM[device_custom60],"",0,1),"")</f>
        <v>P2P</v>
      </c>
      <c r="L16" s="205" t="str">
        <f>_xlfn.XLOOKUP(tblPMView[[#This Row],[Hostname]],tblTM[common_assetName],tblTM[device_ipAddress],"",0,1)</f>
        <v>10.152.28.119</v>
      </c>
      <c r="M16"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6" s="206" t="str">
        <f>TEXT(_xlfn.XLOOKUP(tblPMView[[#This Row],[Hostname]],tblTM[common_assetName],tblTM[device_custom35],"-",0),"")</f>
        <v/>
      </c>
      <c r="O16" s="205" t="str">
        <f>_xlfn.XLOOKUP(LEFT(tblPMView[[#This Row],[Hostname]],4),tblLocationCodes[LocAbbr],tblLocationCodes[Location],"",0,1)</f>
        <v>Ashburn</v>
      </c>
      <c r="P16"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6" s="206">
        <f>_xlfn.XLOOKUP(tblPMView[[#This Row],[Hostname]],tblTM[common_assetName],tblTM[device_custom17])</f>
        <v>0</v>
      </c>
      <c r="R16" s="206">
        <f>_xlfn.XLOOKUP(tblPMView[[#This Row],[Hostname]],tblTM[common_assetName],tblTM[device_custom14])</f>
        <v>0</v>
      </c>
      <c r="S16" s="206">
        <f>_xlfn.XLOOKUP(tblPMView[[#This Row],[Hostname]],tblTM[common_assetName],tblTM[device_custom12])</f>
        <v>0</v>
      </c>
      <c r="T16" s="209" t="str">
        <f>_xlfn.XLOOKUP(tblPMView[[#This Row],[Hostname]],tblTM[common_assetName],tblTM[device_custom26],"",0,1)</f>
        <v>No</v>
      </c>
      <c r="U16" s="210" t="str">
        <f>LEFT(TEXT(_xlfn.XLOOKUP(tblPMView[[#This Row],[Hostname]],tblTM[common_assetName],tblTM[device_custom20],"-",0),""),3)</f>
        <v/>
      </c>
      <c r="V16" s="210" t="str">
        <f>_xlfn.LET(_xlpm.CSInfo,_xlfn.XLOOKUP(tblPMView[[#This Row],[Hostname]],tblTM[common_assetName],tblTM[device_custom33],"-",0),IF(_xlpm.CSInfo="Discovered","Yes","No"))</f>
        <v>Yes</v>
      </c>
      <c r="W16" s="211" t="str">
        <f>IF(LOWER(LEFT(_xlfn.XLOOKUP(tblPMView[[#This Row],[Hostname]],tblTM[common_assetName],tblTM[device_custom45],"",0,1),1))="y","Yes","No")</f>
        <v>No</v>
      </c>
      <c r="X16" s="212">
        <f>_xlfn.XLOOKUP(tblPMView[[#This Row],[Hostname]],tblTM[common_assetName],tblTM[device_custom64],"",0)+_xlfn.XLOOKUP(tblPMView[[#This Row],[Hostname]],tblTM[common_assetName],tblTM[device_size],"",0)</f>
        <v>2995.0534480000001</v>
      </c>
      <c r="Y16" s="205">
        <f>_xlfn.XLOOKUP(tblPMView[[#This Row],[Hostname]],tblTM[common_assetName],tblTM[device_custom29],"",0)</f>
        <v>0</v>
      </c>
      <c r="Z16" s="205"/>
      <c r="AA16" s="205"/>
    </row>
    <row r="17" spans="1:27" ht="13" x14ac:dyDescent="0.3">
      <c r="A17" s="205"/>
      <c r="B17" s="205">
        <v>672024</v>
      </c>
      <c r="C17" s="206" t="str">
        <f>_xlfn.XLOOKUP(tblPMView[[#This Row],[AssetDependencyId]],tblDependencies[AssetDependencyId],tblDependencies[AssetName],"",0,1)</f>
        <v>Kafka-Test</v>
      </c>
      <c r="D17" s="206" t="str">
        <f>_xlfn.LET(_xlpm.mea,_xlfn.XLOOKUP(tblPMView[[#This Row],[AssetDependencyId]],tblDependencies[AssetDependencyId],tblDependencies[AssetBundle],"",0,1),IF(LEFT(LOWER(_xlpm.mea),8)="appgroup",CONCATENATE("MEA",MID(_xlpm.mea,10,LEN(_xlpm.mea)-7)),_xlpm.mea))</f>
        <v>MEA190</v>
      </c>
      <c r="E17" s="206" t="str">
        <f>_xlfn.LET(_xlpm.mea,_xlfn.XLOOKUP(tblPMView[[#This Row],[AssetDependencyId]],tblDependencies[AssetDependencyId],tblDependencies[DependentBundle],"",0,1),IF(LEFT(LOWER(_xlpm.mea),8)="appgroup",CONCATENATE("MEA",MID(_xlpm.mea,10,LEN(_xlpm.mea)-7)),_xlpm.mea))</f>
        <v>MEA190</v>
      </c>
      <c r="F17" s="206" t="str">
        <f>_xlfn.XLOOKUP(tblPMView[[#This Row],[AssetDependencyId]],tblDependencies[AssetDependencyId],tblDependencies[DependentName],"",0,1)</f>
        <v>dc04tlpkaf426</v>
      </c>
      <c r="G17" s="207"/>
      <c r="H17" s="206" t="str">
        <f>_xlfn.XLOOKUP(tblPMView[[#This Row],[Hostname]],tblTM[common_assetName],tblTM[common_environment],"",0,1)</f>
        <v>Test</v>
      </c>
      <c r="I17" s="205" t="str">
        <f>_xlfn.XLOOKUP(tblPMView[[#This Row],[Hostname]],tblTM[common_assetName],tblTM[device_shortName],"",0,1)</f>
        <v>dc04tlpkaf426.wellpoint.com</v>
      </c>
      <c r="J17" s="205" t="str">
        <f>_xlfn.XLOOKUP(tblPMView[[#This Row],[Hostname]],tblTM[common_assetName],tblTM[device_assetType],"",0,1)</f>
        <v>Server</v>
      </c>
      <c r="K17" s="206" t="str">
        <f>TEXT(_xlfn.XLOOKUP(tblPMView[[#This Row],[Hostname]],tblTM[common_assetName],tblTM[device_custom60],"",0,1),"")</f>
        <v>P2P</v>
      </c>
      <c r="L17" s="205" t="str">
        <f>_xlfn.XLOOKUP(tblPMView[[#This Row],[Hostname]],tblTM[common_assetName],tblTM[device_ipAddress],"",0,1)</f>
        <v>10.152.28.118</v>
      </c>
      <c r="M17"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7" s="206" t="str">
        <f>TEXT(_xlfn.XLOOKUP(tblPMView[[#This Row],[Hostname]],tblTM[common_assetName],tblTM[device_custom35],"-",0),"")</f>
        <v/>
      </c>
      <c r="O17" s="205" t="str">
        <f>_xlfn.XLOOKUP(LEFT(tblPMView[[#This Row],[Hostname]],4),tblLocationCodes[LocAbbr],tblLocationCodes[Location],"",0,1)</f>
        <v>Ashburn</v>
      </c>
      <c r="P17"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7" s="206">
        <f>_xlfn.XLOOKUP(tblPMView[[#This Row],[Hostname]],tblTM[common_assetName],tblTM[device_custom17])</f>
        <v>0</v>
      </c>
      <c r="R17" s="206">
        <f>_xlfn.XLOOKUP(tblPMView[[#This Row],[Hostname]],tblTM[common_assetName],tblTM[device_custom14])</f>
        <v>0</v>
      </c>
      <c r="S17" s="206">
        <f>_xlfn.XLOOKUP(tblPMView[[#This Row],[Hostname]],tblTM[common_assetName],tblTM[device_custom12])</f>
        <v>0</v>
      </c>
      <c r="T17" s="209" t="str">
        <f>_xlfn.XLOOKUP(tblPMView[[#This Row],[Hostname]],tblTM[common_assetName],tblTM[device_custom26],"",0,1)</f>
        <v>No</v>
      </c>
      <c r="U17" s="210" t="str">
        <f>LEFT(TEXT(_xlfn.XLOOKUP(tblPMView[[#This Row],[Hostname]],tblTM[common_assetName],tblTM[device_custom20],"-",0),""),3)</f>
        <v/>
      </c>
      <c r="V17" s="210" t="str">
        <f>_xlfn.LET(_xlpm.CSInfo,_xlfn.XLOOKUP(tblPMView[[#This Row],[Hostname]],tblTM[common_assetName],tblTM[device_custom33],"-",0),IF(_xlpm.CSInfo="Discovered","Yes","No"))</f>
        <v>Yes</v>
      </c>
      <c r="W17" s="211" t="str">
        <f>IF(LOWER(LEFT(_xlfn.XLOOKUP(tblPMView[[#This Row],[Hostname]],tblTM[common_assetName],tblTM[device_custom45],"",0,1),1))="y","Yes","No")</f>
        <v>No</v>
      </c>
      <c r="X17" s="212">
        <f>_xlfn.XLOOKUP(tblPMView[[#This Row],[Hostname]],tblTM[common_assetName],tblTM[device_custom64],"",0)+_xlfn.XLOOKUP(tblPMView[[#This Row],[Hostname]],tblTM[common_assetName],tblTM[device_size],"",0)</f>
        <v>3076.7262989999999</v>
      </c>
      <c r="Y17" s="205">
        <f>_xlfn.XLOOKUP(tblPMView[[#This Row],[Hostname]],tblTM[common_assetName],tblTM[device_custom29],"",0)</f>
        <v>0</v>
      </c>
      <c r="Z17" s="205"/>
      <c r="AA17" s="205"/>
    </row>
    <row r="18" spans="1:27" ht="13" x14ac:dyDescent="0.3">
      <c r="A18" s="205"/>
      <c r="B18" s="205">
        <v>672025</v>
      </c>
      <c r="C18" s="206" t="str">
        <f>_xlfn.XLOOKUP(tblPMView[[#This Row],[AssetDependencyId]],tblDependencies[AssetDependencyId],tblDependencies[AssetName],"",0,1)</f>
        <v>Kafka-Test</v>
      </c>
      <c r="D18" s="206" t="str">
        <f>_xlfn.LET(_xlpm.mea,_xlfn.XLOOKUP(tblPMView[[#This Row],[AssetDependencyId]],tblDependencies[AssetDependencyId],tblDependencies[AssetBundle],"",0,1),IF(LEFT(LOWER(_xlpm.mea),8)="appgroup",CONCATENATE("MEA",MID(_xlpm.mea,10,LEN(_xlpm.mea)-7)),_xlpm.mea))</f>
        <v>MEA190</v>
      </c>
      <c r="E18" s="206" t="str">
        <f>_xlfn.LET(_xlpm.mea,_xlfn.XLOOKUP(tblPMView[[#This Row],[AssetDependencyId]],tblDependencies[AssetDependencyId],tblDependencies[DependentBundle],"",0,1),IF(LEFT(LOWER(_xlpm.mea),8)="appgroup",CONCATENATE("MEA",MID(_xlpm.mea,10,LEN(_xlpm.mea)-7)),_xlpm.mea))</f>
        <v>MEA190</v>
      </c>
      <c r="F18" s="206" t="str">
        <f>_xlfn.XLOOKUP(tblPMView[[#This Row],[AssetDependencyId]],tblDependencies[AssetDependencyId],tblDependencies[DependentName],"",0,1)</f>
        <v>dc04tlpkaf425</v>
      </c>
      <c r="G18" s="207"/>
      <c r="H18" s="206" t="str">
        <f>_xlfn.XLOOKUP(tblPMView[[#This Row],[Hostname]],tblTM[common_assetName],tblTM[common_environment],"",0,1)</f>
        <v>Test</v>
      </c>
      <c r="I18" s="205" t="str">
        <f>_xlfn.XLOOKUP(tblPMView[[#This Row],[Hostname]],tblTM[common_assetName],tblTM[device_shortName],"",0,1)</f>
        <v>dc04tlpkaf425.wellpoint.com</v>
      </c>
      <c r="J18" s="205" t="str">
        <f>_xlfn.XLOOKUP(tblPMView[[#This Row],[Hostname]],tblTM[common_assetName],tblTM[device_assetType],"",0,1)</f>
        <v>Server</v>
      </c>
      <c r="K18" s="206" t="str">
        <f>TEXT(_xlfn.XLOOKUP(tblPMView[[#This Row],[Hostname]],tblTM[common_assetName],tblTM[device_custom60],"",0,1),"")</f>
        <v>P2P</v>
      </c>
      <c r="L18" s="205" t="str">
        <f>_xlfn.XLOOKUP(tblPMView[[#This Row],[Hostname]],tblTM[common_assetName],tblTM[device_ipAddress],"",0,1)</f>
        <v>10.152.28.117</v>
      </c>
      <c r="M18"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8" s="206" t="str">
        <f>TEXT(_xlfn.XLOOKUP(tblPMView[[#This Row],[Hostname]],tblTM[common_assetName],tblTM[device_custom35],"-",0),"")</f>
        <v/>
      </c>
      <c r="O18" s="205" t="str">
        <f>_xlfn.XLOOKUP(LEFT(tblPMView[[#This Row],[Hostname]],4),tblLocationCodes[LocAbbr],tblLocationCodes[Location],"",0,1)</f>
        <v>Ashburn</v>
      </c>
      <c r="P18"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8" s="206">
        <f>_xlfn.XLOOKUP(tblPMView[[#This Row],[Hostname]],tblTM[common_assetName],tblTM[device_custom17])</f>
        <v>0</v>
      </c>
      <c r="R18" s="206">
        <f>_xlfn.XLOOKUP(tblPMView[[#This Row],[Hostname]],tblTM[common_assetName],tblTM[device_custom14])</f>
        <v>0</v>
      </c>
      <c r="S18" s="206">
        <f>_xlfn.XLOOKUP(tblPMView[[#This Row],[Hostname]],tblTM[common_assetName],tblTM[device_custom12])</f>
        <v>0</v>
      </c>
      <c r="T18" s="209" t="str">
        <f>_xlfn.XLOOKUP(tblPMView[[#This Row],[Hostname]],tblTM[common_assetName],tblTM[device_custom26],"",0,1)</f>
        <v>No</v>
      </c>
      <c r="U18" s="210" t="str">
        <f>LEFT(TEXT(_xlfn.XLOOKUP(tblPMView[[#This Row],[Hostname]],tblTM[common_assetName],tblTM[device_custom20],"-",0),""),3)</f>
        <v/>
      </c>
      <c r="V18" s="210" t="str">
        <f>_xlfn.LET(_xlpm.CSInfo,_xlfn.XLOOKUP(tblPMView[[#This Row],[Hostname]],tblTM[common_assetName],tblTM[device_custom33],"-",0),IF(_xlpm.CSInfo="Discovered","Yes","No"))</f>
        <v>Yes</v>
      </c>
      <c r="W18" s="211" t="str">
        <f>IF(LOWER(LEFT(_xlfn.XLOOKUP(tblPMView[[#This Row],[Hostname]],tblTM[common_assetName],tblTM[device_custom45],"",0,1),1))="y","Yes","No")</f>
        <v>No</v>
      </c>
      <c r="X18" s="212">
        <f>_xlfn.XLOOKUP(tblPMView[[#This Row],[Hostname]],tblTM[common_assetName],tblTM[device_custom64],"",0)+_xlfn.XLOOKUP(tblPMView[[#This Row],[Hostname]],tblTM[common_assetName],tblTM[device_size],"",0)</f>
        <v>1489.809307</v>
      </c>
      <c r="Y18" s="205">
        <f>_xlfn.XLOOKUP(tblPMView[[#This Row],[Hostname]],tblTM[common_assetName],tblTM[device_custom29],"",0)</f>
        <v>0</v>
      </c>
      <c r="Z18" s="205"/>
      <c r="AA18" s="205"/>
    </row>
    <row r="19" spans="1:27" ht="13" x14ac:dyDescent="0.3">
      <c r="A19" s="205"/>
      <c r="B19" s="205">
        <v>672026</v>
      </c>
      <c r="C19" s="206" t="str">
        <f>_xlfn.XLOOKUP(tblPMView[[#This Row],[AssetDependencyId]],tblDependencies[AssetDependencyId],tblDependencies[AssetName],"",0,1)</f>
        <v>Kafka-Test</v>
      </c>
      <c r="D19" s="206" t="str">
        <f>_xlfn.LET(_xlpm.mea,_xlfn.XLOOKUP(tblPMView[[#This Row],[AssetDependencyId]],tblDependencies[AssetDependencyId],tblDependencies[AssetBundle],"",0,1),IF(LEFT(LOWER(_xlpm.mea),8)="appgroup",CONCATENATE("MEA",MID(_xlpm.mea,10,LEN(_xlpm.mea)-7)),_xlpm.mea))</f>
        <v>MEA190</v>
      </c>
      <c r="E19" s="206" t="str">
        <f>_xlfn.LET(_xlpm.mea,_xlfn.XLOOKUP(tblPMView[[#This Row],[AssetDependencyId]],tblDependencies[AssetDependencyId],tblDependencies[DependentBundle],"",0,1),IF(LEFT(LOWER(_xlpm.mea),8)="appgroup",CONCATENATE("MEA",MID(_xlpm.mea,10,LEN(_xlpm.mea)-7)),_xlpm.mea))</f>
        <v>MEA190</v>
      </c>
      <c r="F19" s="206" t="str">
        <f>_xlfn.XLOOKUP(tblPMView[[#This Row],[AssetDependencyId]],tblDependencies[AssetDependencyId],tblDependencies[DependentName],"",0,1)</f>
        <v>dc04tlpkaf424</v>
      </c>
      <c r="G19" s="207"/>
      <c r="H19" s="206" t="str">
        <f>_xlfn.XLOOKUP(tblPMView[[#This Row],[Hostname]],tblTM[common_assetName],tblTM[common_environment],"",0,1)</f>
        <v>Test</v>
      </c>
      <c r="I19" s="205" t="str">
        <f>_xlfn.XLOOKUP(tblPMView[[#This Row],[Hostname]],tblTM[common_assetName],tblTM[device_shortName],"",0,1)</f>
        <v>dc04tlpkaf424.wellpoint.com</v>
      </c>
      <c r="J19" s="205" t="str">
        <f>_xlfn.XLOOKUP(tblPMView[[#This Row],[Hostname]],tblTM[common_assetName],tblTM[device_assetType],"",0,1)</f>
        <v>Server</v>
      </c>
      <c r="K19" s="206" t="str">
        <f>TEXT(_xlfn.XLOOKUP(tblPMView[[#This Row],[Hostname]],tblTM[common_assetName],tblTM[device_custom60],"",0,1),"")</f>
        <v>P2P</v>
      </c>
      <c r="L19" s="205" t="str">
        <f>_xlfn.XLOOKUP(tblPMView[[#This Row],[Hostname]],tblTM[common_assetName],tblTM[device_ipAddress],"",0,1)</f>
        <v>10.152.28.116</v>
      </c>
      <c r="M19"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9" s="206" t="str">
        <f>TEXT(_xlfn.XLOOKUP(tblPMView[[#This Row],[Hostname]],tblTM[common_assetName],tblTM[device_custom35],"-",0),"")</f>
        <v/>
      </c>
      <c r="O19" s="205" t="str">
        <f>_xlfn.XLOOKUP(LEFT(tblPMView[[#This Row],[Hostname]],4),tblLocationCodes[LocAbbr],tblLocationCodes[Location],"",0,1)</f>
        <v>Ashburn</v>
      </c>
      <c r="P19"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19" s="206">
        <f>_xlfn.XLOOKUP(tblPMView[[#This Row],[Hostname]],tblTM[common_assetName],tblTM[device_custom17])</f>
        <v>0</v>
      </c>
      <c r="R19" s="206">
        <f>_xlfn.XLOOKUP(tblPMView[[#This Row],[Hostname]],tblTM[common_assetName],tblTM[device_custom14])</f>
        <v>0</v>
      </c>
      <c r="S19" s="206">
        <f>_xlfn.XLOOKUP(tblPMView[[#This Row],[Hostname]],tblTM[common_assetName],tblTM[device_custom12])</f>
        <v>0</v>
      </c>
      <c r="T19" s="209" t="str">
        <f>_xlfn.XLOOKUP(tblPMView[[#This Row],[Hostname]],tblTM[common_assetName],tblTM[device_custom26],"",0,1)</f>
        <v>No</v>
      </c>
      <c r="U19" s="210" t="str">
        <f>LEFT(TEXT(_xlfn.XLOOKUP(tblPMView[[#This Row],[Hostname]],tblTM[common_assetName],tblTM[device_custom20],"-",0),""),3)</f>
        <v/>
      </c>
      <c r="V19" s="210" t="str">
        <f>_xlfn.LET(_xlpm.CSInfo,_xlfn.XLOOKUP(tblPMView[[#This Row],[Hostname]],tblTM[common_assetName],tblTM[device_custom33],"-",0),IF(_xlpm.CSInfo="Discovered","Yes","No"))</f>
        <v>Yes</v>
      </c>
      <c r="W19" s="211" t="str">
        <f>IF(LOWER(LEFT(_xlfn.XLOOKUP(tblPMView[[#This Row],[Hostname]],tblTM[common_assetName],tblTM[device_custom45],"",0,1),1))="y","Yes","No")</f>
        <v>No</v>
      </c>
      <c r="X19" s="212">
        <f>_xlfn.XLOOKUP(tblPMView[[#This Row],[Hostname]],tblTM[common_assetName],tblTM[device_custom64],"",0)+_xlfn.XLOOKUP(tblPMView[[#This Row],[Hostname]],tblTM[common_assetName],tblTM[device_size],"",0)</f>
        <v>1489.809307</v>
      </c>
      <c r="Y19" s="205">
        <f>_xlfn.XLOOKUP(tblPMView[[#This Row],[Hostname]],tblTM[common_assetName],tblTM[device_custom29],"",0)</f>
        <v>0</v>
      </c>
      <c r="Z19" s="205"/>
      <c r="AA19" s="205"/>
    </row>
    <row r="20" spans="1:27" ht="13" x14ac:dyDescent="0.3">
      <c r="A20" s="205"/>
      <c r="B20" s="205">
        <v>672027</v>
      </c>
      <c r="C20" s="206" t="str">
        <f>_xlfn.XLOOKUP(tblPMView[[#This Row],[AssetDependencyId]],tblDependencies[AssetDependencyId],tblDependencies[AssetName],"",0,1)</f>
        <v>Kafka-Test</v>
      </c>
      <c r="D20" s="206" t="str">
        <f>_xlfn.LET(_xlpm.mea,_xlfn.XLOOKUP(tblPMView[[#This Row],[AssetDependencyId]],tblDependencies[AssetDependencyId],tblDependencies[AssetBundle],"",0,1),IF(LEFT(LOWER(_xlpm.mea),8)="appgroup",CONCATENATE("MEA",MID(_xlpm.mea,10,LEN(_xlpm.mea)-7)),_xlpm.mea))</f>
        <v>MEA190</v>
      </c>
      <c r="E20" s="206" t="str">
        <f>_xlfn.LET(_xlpm.mea,_xlfn.XLOOKUP(tblPMView[[#This Row],[AssetDependencyId]],tblDependencies[AssetDependencyId],tblDependencies[DependentBundle],"",0,1),IF(LEFT(LOWER(_xlpm.mea),8)="appgroup",CONCATENATE("MEA",MID(_xlpm.mea,10,LEN(_xlpm.mea)-7)),_xlpm.mea))</f>
        <v>MEA190</v>
      </c>
      <c r="F20" s="206" t="str">
        <f>_xlfn.XLOOKUP(tblPMView[[#This Row],[AssetDependencyId]],tblDependencies[AssetDependencyId],tblDependencies[DependentName],"",0,1)</f>
        <v>dc04tlpkaf423</v>
      </c>
      <c r="G20" s="207"/>
      <c r="H20" s="206" t="str">
        <f>_xlfn.XLOOKUP(tblPMView[[#This Row],[Hostname]],tblTM[common_assetName],tblTM[common_environment],"",0,1)</f>
        <v>Test</v>
      </c>
      <c r="I20" s="205" t="str">
        <f>_xlfn.XLOOKUP(tblPMView[[#This Row],[Hostname]],tblTM[common_assetName],tblTM[device_shortName],"",0,1)</f>
        <v>dc04tlpkaf423.wellpoint.com</v>
      </c>
      <c r="J20" s="205" t="str">
        <f>_xlfn.XLOOKUP(tblPMView[[#This Row],[Hostname]],tblTM[common_assetName],tblTM[device_assetType],"",0,1)</f>
        <v>Server</v>
      </c>
      <c r="K20" s="206" t="str">
        <f>TEXT(_xlfn.XLOOKUP(tblPMView[[#This Row],[Hostname]],tblTM[common_assetName],tblTM[device_custom60],"",0,1),"")</f>
        <v>P2P</v>
      </c>
      <c r="L20" s="205" t="str">
        <f>_xlfn.XLOOKUP(tblPMView[[#This Row],[Hostname]],tblTM[common_assetName],tblTM[device_ipAddress],"",0,1)</f>
        <v>10.152.28.115</v>
      </c>
      <c r="M20"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0" s="206" t="str">
        <f>TEXT(_xlfn.XLOOKUP(tblPMView[[#This Row],[Hostname]],tblTM[common_assetName],tblTM[device_custom35],"-",0),"")</f>
        <v/>
      </c>
      <c r="O20" s="205" t="str">
        <f>_xlfn.XLOOKUP(LEFT(tblPMView[[#This Row],[Hostname]],4),tblLocationCodes[LocAbbr],tblLocationCodes[Location],"",0,1)</f>
        <v>Ashburn</v>
      </c>
      <c r="P20"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0" s="206">
        <f>_xlfn.XLOOKUP(tblPMView[[#This Row],[Hostname]],tblTM[common_assetName],tblTM[device_custom17])</f>
        <v>0</v>
      </c>
      <c r="R20" s="206">
        <f>_xlfn.XLOOKUP(tblPMView[[#This Row],[Hostname]],tblTM[common_assetName],tblTM[device_custom14])</f>
        <v>0</v>
      </c>
      <c r="S20" s="206">
        <f>_xlfn.XLOOKUP(tblPMView[[#This Row],[Hostname]],tblTM[common_assetName],tblTM[device_custom12])</f>
        <v>0</v>
      </c>
      <c r="T20" s="209" t="str">
        <f>_xlfn.XLOOKUP(tblPMView[[#This Row],[Hostname]],tblTM[common_assetName],tblTM[device_custom26],"",0,1)</f>
        <v>No</v>
      </c>
      <c r="U20" s="210" t="str">
        <f>LEFT(TEXT(_xlfn.XLOOKUP(tblPMView[[#This Row],[Hostname]],tblTM[common_assetName],tblTM[device_custom20],"-",0),""),3)</f>
        <v/>
      </c>
      <c r="V20" s="210" t="str">
        <f>_xlfn.LET(_xlpm.CSInfo,_xlfn.XLOOKUP(tblPMView[[#This Row],[Hostname]],tblTM[common_assetName],tblTM[device_custom33],"-",0),IF(_xlpm.CSInfo="Discovered","Yes","No"))</f>
        <v>Yes</v>
      </c>
      <c r="W20" s="211" t="str">
        <f>IF(LOWER(LEFT(_xlfn.XLOOKUP(tblPMView[[#This Row],[Hostname]],tblTM[common_assetName],tblTM[device_custom45],"",0,1),1))="y","Yes","No")</f>
        <v>No</v>
      </c>
      <c r="X20" s="212">
        <f>_xlfn.XLOOKUP(tblPMView[[#This Row],[Hostname]],tblTM[common_assetName],tblTM[device_custom64],"",0)+_xlfn.XLOOKUP(tblPMView[[#This Row],[Hostname]],tblTM[common_assetName],tblTM[device_size],"",0)</f>
        <v>1509.809307</v>
      </c>
      <c r="Y20" s="205">
        <f>_xlfn.XLOOKUP(tblPMView[[#This Row],[Hostname]],tblTM[common_assetName],tblTM[device_custom29],"",0)</f>
        <v>0</v>
      </c>
      <c r="Z20" s="205"/>
      <c r="AA20" s="205"/>
    </row>
    <row r="21" spans="1:27" ht="13" x14ac:dyDescent="0.3">
      <c r="A21" s="205"/>
      <c r="B21" s="205">
        <v>672028</v>
      </c>
      <c r="C21" s="206" t="str">
        <f>_xlfn.XLOOKUP(tblPMView[[#This Row],[AssetDependencyId]],tblDependencies[AssetDependencyId],tblDependencies[AssetName],"",0,1)</f>
        <v>Kafka-Test</v>
      </c>
      <c r="D21" s="206" t="str">
        <f>_xlfn.LET(_xlpm.mea,_xlfn.XLOOKUP(tblPMView[[#This Row],[AssetDependencyId]],tblDependencies[AssetDependencyId],tblDependencies[AssetBundle],"",0,1),IF(LEFT(LOWER(_xlpm.mea),8)="appgroup",CONCATENATE("MEA",MID(_xlpm.mea,10,LEN(_xlpm.mea)-7)),_xlpm.mea))</f>
        <v>MEA190</v>
      </c>
      <c r="E21" s="206" t="str">
        <f>_xlfn.LET(_xlpm.mea,_xlfn.XLOOKUP(tblPMView[[#This Row],[AssetDependencyId]],tblDependencies[AssetDependencyId],tblDependencies[DependentBundle],"",0,1),IF(LEFT(LOWER(_xlpm.mea),8)="appgroup",CONCATENATE("MEA",MID(_xlpm.mea,10,LEN(_xlpm.mea)-7)),_xlpm.mea))</f>
        <v>MEA190</v>
      </c>
      <c r="F21" s="206" t="str">
        <f>_xlfn.XLOOKUP(tblPMView[[#This Row],[AssetDependencyId]],tblDependencies[AssetDependencyId],tblDependencies[DependentName],"",0,1)</f>
        <v>dc04tlpkaf421</v>
      </c>
      <c r="G21" s="207"/>
      <c r="H21" s="206" t="str">
        <f>_xlfn.XLOOKUP(tblPMView[[#This Row],[Hostname]],tblTM[common_assetName],tblTM[common_environment],"",0,1)</f>
        <v>Test</v>
      </c>
      <c r="I21" s="205" t="str">
        <f>_xlfn.XLOOKUP(tblPMView[[#This Row],[Hostname]],tblTM[common_assetName],tblTM[device_shortName],"",0,1)</f>
        <v>dc04tlpkaf421.wellpoint.com</v>
      </c>
      <c r="J21" s="205" t="str">
        <f>_xlfn.XLOOKUP(tblPMView[[#This Row],[Hostname]],tblTM[common_assetName],tblTM[device_assetType],"",0,1)</f>
        <v>Server</v>
      </c>
      <c r="K21" s="206" t="str">
        <f>TEXT(_xlfn.XLOOKUP(tblPMView[[#This Row],[Hostname]],tblTM[common_assetName],tblTM[device_custom60],"",0,1),"")</f>
        <v>P2P</v>
      </c>
      <c r="L21" s="205" t="str">
        <f>_xlfn.XLOOKUP(tblPMView[[#This Row],[Hostname]],tblTM[common_assetName],tblTM[device_ipAddress],"",0,1)</f>
        <v>10.152.28.22</v>
      </c>
      <c r="M21"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1" s="206" t="str">
        <f>TEXT(_xlfn.XLOOKUP(tblPMView[[#This Row],[Hostname]],tblTM[common_assetName],tblTM[device_custom35],"-",0),"")</f>
        <v/>
      </c>
      <c r="O21" s="205" t="str">
        <f>_xlfn.XLOOKUP(LEFT(tblPMView[[#This Row],[Hostname]],4),tblLocationCodes[LocAbbr],tblLocationCodes[Location],"",0,1)</f>
        <v>Ashburn</v>
      </c>
      <c r="P21"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1" s="206">
        <f>_xlfn.XLOOKUP(tblPMView[[#This Row],[Hostname]],tblTM[common_assetName],tblTM[device_custom17])</f>
        <v>0</v>
      </c>
      <c r="R21" s="206">
        <f>_xlfn.XLOOKUP(tblPMView[[#This Row],[Hostname]],tblTM[common_assetName],tblTM[device_custom14])</f>
        <v>0</v>
      </c>
      <c r="S21" s="206">
        <f>_xlfn.XLOOKUP(tblPMView[[#This Row],[Hostname]],tblTM[common_assetName],tblTM[device_custom12])</f>
        <v>0</v>
      </c>
      <c r="T21" s="209" t="str">
        <f>_xlfn.XLOOKUP(tblPMView[[#This Row],[Hostname]],tblTM[common_assetName],tblTM[device_custom26],"",0,1)</f>
        <v>No</v>
      </c>
      <c r="U21" s="210" t="str">
        <f>LEFT(TEXT(_xlfn.XLOOKUP(tblPMView[[#This Row],[Hostname]],tblTM[common_assetName],tblTM[device_custom20],"-",0),""),3)</f>
        <v/>
      </c>
      <c r="V21" s="210" t="str">
        <f>_xlfn.LET(_xlpm.CSInfo,_xlfn.XLOOKUP(tblPMView[[#This Row],[Hostname]],tblTM[common_assetName],tblTM[device_custom33],"-",0),IF(_xlpm.CSInfo="Discovered","Yes","No"))</f>
        <v>Yes</v>
      </c>
      <c r="W21" s="211" t="str">
        <f>IF(LOWER(LEFT(_xlfn.XLOOKUP(tblPMView[[#This Row],[Hostname]],tblTM[common_assetName],tblTM[device_custom45],"",0,1),1))="y","Yes","No")</f>
        <v>No</v>
      </c>
      <c r="X21" s="212">
        <f>_xlfn.XLOOKUP(tblPMView[[#This Row],[Hostname]],tblTM[common_assetName],tblTM[device_custom64],"",0)+_xlfn.XLOOKUP(tblPMView[[#This Row],[Hostname]],tblTM[common_assetName],tblTM[device_size],"",0)</f>
        <v>1489.809307</v>
      </c>
      <c r="Y21" s="205">
        <f>_xlfn.XLOOKUP(tblPMView[[#This Row],[Hostname]],tblTM[common_assetName],tblTM[device_custom29],"",0)</f>
        <v>0</v>
      </c>
      <c r="Z21" s="205"/>
      <c r="AA21" s="205"/>
    </row>
    <row r="22" spans="1:27" ht="13" x14ac:dyDescent="0.3">
      <c r="A22" s="205"/>
      <c r="B22" s="205">
        <v>672029</v>
      </c>
      <c r="C22" s="206" t="str">
        <f>_xlfn.XLOOKUP(tblPMView[[#This Row],[AssetDependencyId]],tblDependencies[AssetDependencyId],tblDependencies[AssetName],"",0,1)</f>
        <v>Kafka-Test</v>
      </c>
      <c r="D22" s="206" t="str">
        <f>_xlfn.LET(_xlpm.mea,_xlfn.XLOOKUP(tblPMView[[#This Row],[AssetDependencyId]],tblDependencies[AssetDependencyId],tblDependencies[AssetBundle],"",0,1),IF(LEFT(LOWER(_xlpm.mea),8)="appgroup",CONCATENATE("MEA",MID(_xlpm.mea,10,LEN(_xlpm.mea)-7)),_xlpm.mea))</f>
        <v>MEA190</v>
      </c>
      <c r="E22" s="206" t="str">
        <f>_xlfn.LET(_xlpm.mea,_xlfn.XLOOKUP(tblPMView[[#This Row],[AssetDependencyId]],tblDependencies[AssetDependencyId],tblDependencies[DependentBundle],"",0,1),IF(LEFT(LOWER(_xlpm.mea),8)="appgroup",CONCATENATE("MEA",MID(_xlpm.mea,10,LEN(_xlpm.mea)-7)),_xlpm.mea))</f>
        <v>MEA190</v>
      </c>
      <c r="F22" s="206" t="str">
        <f>_xlfn.XLOOKUP(tblPMView[[#This Row],[AssetDependencyId]],tblDependencies[AssetDependencyId],tblDependencies[DependentName],"",0,1)</f>
        <v>dc04tlpkaf419</v>
      </c>
      <c r="G22" s="207"/>
      <c r="H22" s="206" t="str">
        <f>_xlfn.XLOOKUP(tblPMView[[#This Row],[Hostname]],tblTM[common_assetName],tblTM[common_environment],"",0,1)</f>
        <v>Test</v>
      </c>
      <c r="I22" s="205" t="str">
        <f>_xlfn.XLOOKUP(tblPMView[[#This Row],[Hostname]],tblTM[common_assetName],tblTM[device_shortName],"",0,1)</f>
        <v>dc04tlpkaf419.wellpoint.com</v>
      </c>
      <c r="J22" s="205" t="str">
        <f>_xlfn.XLOOKUP(tblPMView[[#This Row],[Hostname]],tblTM[common_assetName],tblTM[device_assetType],"",0,1)</f>
        <v>Server</v>
      </c>
      <c r="K22" s="206" t="str">
        <f>TEXT(_xlfn.XLOOKUP(tblPMView[[#This Row],[Hostname]],tblTM[common_assetName],tblTM[device_custom60],"",0,1),"")</f>
        <v>P2P</v>
      </c>
      <c r="L22" s="205" t="str">
        <f>_xlfn.XLOOKUP(tblPMView[[#This Row],[Hostname]],tblTM[common_assetName],tblTM[device_ipAddress],"",0,1)</f>
        <v>10.152.28.20</v>
      </c>
      <c r="M22"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2" s="206" t="str">
        <f>TEXT(_xlfn.XLOOKUP(tblPMView[[#This Row],[Hostname]],tblTM[common_assetName],tblTM[device_custom35],"-",0),"")</f>
        <v/>
      </c>
      <c r="O22" s="205" t="str">
        <f>_xlfn.XLOOKUP(LEFT(tblPMView[[#This Row],[Hostname]],4),tblLocationCodes[LocAbbr],tblLocationCodes[Location],"",0,1)</f>
        <v>Ashburn</v>
      </c>
      <c r="P22"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2" s="206">
        <f>_xlfn.XLOOKUP(tblPMView[[#This Row],[Hostname]],tblTM[common_assetName],tblTM[device_custom17])</f>
        <v>0</v>
      </c>
      <c r="R22" s="206">
        <f>_xlfn.XLOOKUP(tblPMView[[#This Row],[Hostname]],tblTM[common_assetName],tblTM[device_custom14])</f>
        <v>0</v>
      </c>
      <c r="S22" s="206">
        <f>_xlfn.XLOOKUP(tblPMView[[#This Row],[Hostname]],tblTM[common_assetName],tblTM[device_custom12])</f>
        <v>0</v>
      </c>
      <c r="T22" s="209" t="str">
        <f>_xlfn.XLOOKUP(tblPMView[[#This Row],[Hostname]],tblTM[common_assetName],tblTM[device_custom26],"",0,1)</f>
        <v>No</v>
      </c>
      <c r="U22" s="210" t="str">
        <f>LEFT(TEXT(_xlfn.XLOOKUP(tblPMView[[#This Row],[Hostname]],tblTM[common_assetName],tblTM[device_custom20],"-",0),""),3)</f>
        <v/>
      </c>
      <c r="V22" s="210" t="str">
        <f>_xlfn.LET(_xlpm.CSInfo,_xlfn.XLOOKUP(tblPMView[[#This Row],[Hostname]],tblTM[common_assetName],tblTM[device_custom33],"-",0),IF(_xlpm.CSInfo="Discovered","Yes","No"))</f>
        <v>Yes</v>
      </c>
      <c r="W22" s="211" t="str">
        <f>IF(LOWER(LEFT(_xlfn.XLOOKUP(tblPMView[[#This Row],[Hostname]],tblTM[common_assetName],tblTM[device_custom45],"",0,1),1))="y","Yes","No")</f>
        <v>No</v>
      </c>
      <c r="X22" s="212">
        <f>_xlfn.XLOOKUP(tblPMView[[#This Row],[Hostname]],tblTM[common_assetName],tblTM[device_custom64],"",0)+_xlfn.XLOOKUP(tblPMView[[#This Row],[Hostname]],tblTM[common_assetName],tblTM[device_size],"",0)</f>
        <v>1489.809307</v>
      </c>
      <c r="Y22" s="205">
        <f>_xlfn.XLOOKUP(tblPMView[[#This Row],[Hostname]],tblTM[common_assetName],tblTM[device_custom29],"",0)</f>
        <v>0</v>
      </c>
      <c r="Z22" s="205"/>
      <c r="AA22" s="205"/>
    </row>
    <row r="23" spans="1:27" ht="13" x14ac:dyDescent="0.3">
      <c r="A23" s="205"/>
      <c r="B23" s="205">
        <v>672030</v>
      </c>
      <c r="C23" s="206" t="str">
        <f>_xlfn.XLOOKUP(tblPMView[[#This Row],[AssetDependencyId]],tblDependencies[AssetDependencyId],tblDependencies[AssetName],"",0,1)</f>
        <v>Kafka-Test</v>
      </c>
      <c r="D23" s="206" t="str">
        <f>_xlfn.LET(_xlpm.mea,_xlfn.XLOOKUP(tblPMView[[#This Row],[AssetDependencyId]],tblDependencies[AssetDependencyId],tblDependencies[AssetBundle],"",0,1),IF(LEFT(LOWER(_xlpm.mea),8)="appgroup",CONCATENATE("MEA",MID(_xlpm.mea,10,LEN(_xlpm.mea)-7)),_xlpm.mea))</f>
        <v>MEA190</v>
      </c>
      <c r="E23" s="206" t="str">
        <f>_xlfn.LET(_xlpm.mea,_xlfn.XLOOKUP(tblPMView[[#This Row],[AssetDependencyId]],tblDependencies[AssetDependencyId],tblDependencies[DependentBundle],"",0,1),IF(LEFT(LOWER(_xlpm.mea),8)="appgroup",CONCATENATE("MEA",MID(_xlpm.mea,10,LEN(_xlpm.mea)-7)),_xlpm.mea))</f>
        <v>MEA190</v>
      </c>
      <c r="F23" s="206" t="str">
        <f>_xlfn.XLOOKUP(tblPMView[[#This Row],[AssetDependencyId]],tblDependencies[AssetDependencyId],tblDependencies[DependentName],"",0,1)</f>
        <v>dc04tlpkaf417</v>
      </c>
      <c r="G23" s="207"/>
      <c r="H23" s="206" t="str">
        <f>_xlfn.XLOOKUP(tblPMView[[#This Row],[Hostname]],tblTM[common_assetName],tblTM[common_environment],"",0,1)</f>
        <v>Test</v>
      </c>
      <c r="I23" s="205" t="str">
        <f>_xlfn.XLOOKUP(tblPMView[[#This Row],[Hostname]],tblTM[common_assetName],tblTM[device_shortName],"",0,1)</f>
        <v>dc04tlpkaf417.wellpoint.com</v>
      </c>
      <c r="J23" s="205" t="str">
        <f>_xlfn.XLOOKUP(tblPMView[[#This Row],[Hostname]],tblTM[common_assetName],tblTM[device_assetType],"",0,1)</f>
        <v>Server</v>
      </c>
      <c r="K23" s="206" t="str">
        <f>TEXT(_xlfn.XLOOKUP(tblPMView[[#This Row],[Hostname]],tblTM[common_assetName],tblTM[device_custom60],"",0,1),"")</f>
        <v>P2P</v>
      </c>
      <c r="L23" s="205" t="str">
        <f>_xlfn.XLOOKUP(tblPMView[[#This Row],[Hostname]],tblTM[common_assetName],tblTM[device_ipAddress],"",0,1)</f>
        <v>10.152.28.18</v>
      </c>
      <c r="M23"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3" s="206" t="str">
        <f>TEXT(_xlfn.XLOOKUP(tblPMView[[#This Row],[Hostname]],tblTM[common_assetName],tblTM[device_custom35],"-",0),"")</f>
        <v/>
      </c>
      <c r="O23" s="205" t="str">
        <f>_xlfn.XLOOKUP(LEFT(tblPMView[[#This Row],[Hostname]],4),tblLocationCodes[LocAbbr],tblLocationCodes[Location],"",0,1)</f>
        <v>Ashburn</v>
      </c>
      <c r="P23"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3" s="206">
        <f>_xlfn.XLOOKUP(tblPMView[[#This Row],[Hostname]],tblTM[common_assetName],tblTM[device_custom17])</f>
        <v>0</v>
      </c>
      <c r="R23" s="206">
        <f>_xlfn.XLOOKUP(tblPMView[[#This Row],[Hostname]],tblTM[common_assetName],tblTM[device_custom14])</f>
        <v>0</v>
      </c>
      <c r="S23" s="206">
        <f>_xlfn.XLOOKUP(tblPMView[[#This Row],[Hostname]],tblTM[common_assetName],tblTM[device_custom12])</f>
        <v>0</v>
      </c>
      <c r="T23" s="209" t="str">
        <f>_xlfn.XLOOKUP(tblPMView[[#This Row],[Hostname]],tblTM[common_assetName],tblTM[device_custom26],"",0,1)</f>
        <v>No</v>
      </c>
      <c r="U23" s="210" t="str">
        <f>LEFT(TEXT(_xlfn.XLOOKUP(tblPMView[[#This Row],[Hostname]],tblTM[common_assetName],tblTM[device_custom20],"-",0),""),3)</f>
        <v/>
      </c>
      <c r="V23" s="210" t="str">
        <f>_xlfn.LET(_xlpm.CSInfo,_xlfn.XLOOKUP(tblPMView[[#This Row],[Hostname]],tblTM[common_assetName],tblTM[device_custom33],"-",0),IF(_xlpm.CSInfo="Discovered","Yes","No"))</f>
        <v>Yes</v>
      </c>
      <c r="W23" s="211" t="str">
        <f>IF(LOWER(LEFT(_xlfn.XLOOKUP(tblPMView[[#This Row],[Hostname]],tblTM[common_assetName],tblTM[device_custom45],"",0,1),1))="y","Yes","No")</f>
        <v>No</v>
      </c>
      <c r="X23" s="212">
        <f>_xlfn.XLOOKUP(tblPMView[[#This Row],[Hostname]],tblTM[common_assetName],tblTM[device_custom64],"",0)+_xlfn.XLOOKUP(tblPMView[[#This Row],[Hostname]],tblTM[common_assetName],tblTM[device_size],"",0)</f>
        <v>1389.8581349999999</v>
      </c>
      <c r="Y23" s="205">
        <f>_xlfn.XLOOKUP(tblPMView[[#This Row],[Hostname]],tblTM[common_assetName],tblTM[device_custom29],"",0)</f>
        <v>0</v>
      </c>
      <c r="Z23" s="205"/>
      <c r="AA23" s="205"/>
    </row>
    <row r="24" spans="1:27" ht="13" x14ac:dyDescent="0.3">
      <c r="A24" s="205"/>
      <c r="B24" s="205">
        <v>672031</v>
      </c>
      <c r="C24" s="206" t="str">
        <f>_xlfn.XLOOKUP(tblPMView[[#This Row],[AssetDependencyId]],tblDependencies[AssetDependencyId],tblDependencies[AssetName],"",0,1)</f>
        <v>Kafka-Test</v>
      </c>
      <c r="D24" s="206" t="str">
        <f>_xlfn.LET(_xlpm.mea,_xlfn.XLOOKUP(tblPMView[[#This Row],[AssetDependencyId]],tblDependencies[AssetDependencyId],tblDependencies[AssetBundle],"",0,1),IF(LEFT(LOWER(_xlpm.mea),8)="appgroup",CONCATENATE("MEA",MID(_xlpm.mea,10,LEN(_xlpm.mea)-7)),_xlpm.mea))</f>
        <v>MEA190</v>
      </c>
      <c r="E24" s="206" t="str">
        <f>_xlfn.LET(_xlpm.mea,_xlfn.XLOOKUP(tblPMView[[#This Row],[AssetDependencyId]],tblDependencies[AssetDependencyId],tblDependencies[DependentBundle],"",0,1),IF(LEFT(LOWER(_xlpm.mea),8)="appgroup",CONCATENATE("MEA",MID(_xlpm.mea,10,LEN(_xlpm.mea)-7)),_xlpm.mea))</f>
        <v>MEA190</v>
      </c>
      <c r="F24" s="206" t="str">
        <f>_xlfn.XLOOKUP(tblPMView[[#This Row],[AssetDependencyId]],tblDependencies[AssetDependencyId],tblDependencies[DependentName],"",0,1)</f>
        <v>dc04tlpkaf410</v>
      </c>
      <c r="G24" s="207"/>
      <c r="H24" s="206" t="str">
        <f>_xlfn.XLOOKUP(tblPMView[[#This Row],[Hostname]],tblTM[common_assetName],tblTM[common_environment],"",0,1)</f>
        <v>Test</v>
      </c>
      <c r="I24" s="205" t="str">
        <f>_xlfn.XLOOKUP(tblPMView[[#This Row],[Hostname]],tblTM[common_assetName],tblTM[device_shortName],"",0,1)</f>
        <v>dc04tlpkaf410.wellpoint.com</v>
      </c>
      <c r="J24" s="205" t="str">
        <f>_xlfn.XLOOKUP(tblPMView[[#This Row],[Hostname]],tblTM[common_assetName],tblTM[device_assetType],"",0,1)</f>
        <v>Server</v>
      </c>
      <c r="K24" s="206" t="str">
        <f>TEXT(_xlfn.XLOOKUP(tblPMView[[#This Row],[Hostname]],tblTM[common_assetName],tblTM[device_custom60],"",0,1),"")</f>
        <v>P2P</v>
      </c>
      <c r="L24" s="205" t="str">
        <f>_xlfn.XLOOKUP(tblPMView[[#This Row],[Hostname]],tblTM[common_assetName],tblTM[device_ipAddress],"",0,1)</f>
        <v>10.152.28.108</v>
      </c>
      <c r="M24"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4" s="206" t="str">
        <f>TEXT(_xlfn.XLOOKUP(tblPMView[[#This Row],[Hostname]],tblTM[common_assetName],tblTM[device_custom35],"-",0),"")</f>
        <v/>
      </c>
      <c r="O24" s="205" t="str">
        <f>_xlfn.XLOOKUP(LEFT(tblPMView[[#This Row],[Hostname]],4),tblLocationCodes[LocAbbr],tblLocationCodes[Location],"",0,1)</f>
        <v>Ashburn</v>
      </c>
      <c r="P24"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4" s="206">
        <f>_xlfn.XLOOKUP(tblPMView[[#This Row],[Hostname]],tblTM[common_assetName],tblTM[device_custom17])</f>
        <v>0</v>
      </c>
      <c r="R24" s="206">
        <f>_xlfn.XLOOKUP(tblPMView[[#This Row],[Hostname]],tblTM[common_assetName],tblTM[device_custom14])</f>
        <v>0</v>
      </c>
      <c r="S24" s="206">
        <f>_xlfn.XLOOKUP(tblPMView[[#This Row],[Hostname]],tblTM[common_assetName],tblTM[device_custom12])</f>
        <v>0</v>
      </c>
      <c r="T24" s="209" t="str">
        <f>_xlfn.XLOOKUP(tblPMView[[#This Row],[Hostname]],tblTM[common_assetName],tblTM[device_custom26],"",0,1)</f>
        <v>No</v>
      </c>
      <c r="U24" s="210" t="str">
        <f>LEFT(TEXT(_xlfn.XLOOKUP(tblPMView[[#This Row],[Hostname]],tblTM[common_assetName],tblTM[device_custom20],"-",0),""),3)</f>
        <v/>
      </c>
      <c r="V24" s="210" t="str">
        <f>_xlfn.LET(_xlpm.CSInfo,_xlfn.XLOOKUP(tblPMView[[#This Row],[Hostname]],tblTM[common_assetName],tblTM[device_custom33],"-",0),IF(_xlpm.CSInfo="Discovered","Yes","No"))</f>
        <v>Yes</v>
      </c>
      <c r="W24" s="211" t="str">
        <f>IF(LOWER(LEFT(_xlfn.XLOOKUP(tblPMView[[#This Row],[Hostname]],tblTM[common_assetName],tblTM[device_custom45],"",0,1),1))="y","Yes","No")</f>
        <v>No</v>
      </c>
      <c r="X24" s="212">
        <f>_xlfn.XLOOKUP(tblPMView[[#This Row],[Hostname]],tblTM[common_assetName],tblTM[device_custom64],"",0)+_xlfn.XLOOKUP(tblPMView[[#This Row],[Hostname]],tblTM[common_assetName],tblTM[device_size],"",0)</f>
        <v>11126.11204</v>
      </c>
      <c r="Y24" s="205">
        <f>_xlfn.XLOOKUP(tblPMView[[#This Row],[Hostname]],tblTM[common_assetName],tblTM[device_custom29],"",0)</f>
        <v>0</v>
      </c>
      <c r="Z24" s="205"/>
      <c r="AA24" s="205"/>
    </row>
    <row r="25" spans="1:27" ht="13" x14ac:dyDescent="0.3">
      <c r="A25" s="205"/>
      <c r="B25" s="205">
        <v>672032</v>
      </c>
      <c r="C25" s="206" t="str">
        <f>_xlfn.XLOOKUP(tblPMView[[#This Row],[AssetDependencyId]],tblDependencies[AssetDependencyId],tblDependencies[AssetName],"",0,1)</f>
        <v>Kafka-Test</v>
      </c>
      <c r="D25" s="206" t="str">
        <f>_xlfn.LET(_xlpm.mea,_xlfn.XLOOKUP(tblPMView[[#This Row],[AssetDependencyId]],tblDependencies[AssetDependencyId],tblDependencies[AssetBundle],"",0,1),IF(LEFT(LOWER(_xlpm.mea),8)="appgroup",CONCATENATE("MEA",MID(_xlpm.mea,10,LEN(_xlpm.mea)-7)),_xlpm.mea))</f>
        <v>MEA190</v>
      </c>
      <c r="E25" s="206" t="str">
        <f>_xlfn.LET(_xlpm.mea,_xlfn.XLOOKUP(tblPMView[[#This Row],[AssetDependencyId]],tblDependencies[AssetDependencyId],tblDependencies[DependentBundle],"",0,1),IF(LEFT(LOWER(_xlpm.mea),8)="appgroup",CONCATENATE("MEA",MID(_xlpm.mea,10,LEN(_xlpm.mea)-7)),_xlpm.mea))</f>
        <v>MEA190</v>
      </c>
      <c r="F25" s="206" t="str">
        <f>_xlfn.XLOOKUP(tblPMView[[#This Row],[AssetDependencyId]],tblDependencies[AssetDependencyId],tblDependencies[DependentName],"",0,1)</f>
        <v>dc04tlpkaf409</v>
      </c>
      <c r="G25" s="207"/>
      <c r="H25" s="206" t="str">
        <f>_xlfn.XLOOKUP(tblPMView[[#This Row],[Hostname]],tblTM[common_assetName],tblTM[common_environment],"",0,1)</f>
        <v>Test</v>
      </c>
      <c r="I25" s="205" t="str">
        <f>_xlfn.XLOOKUP(tblPMView[[#This Row],[Hostname]],tblTM[common_assetName],tblTM[device_shortName],"",0,1)</f>
        <v>dc04tlpkaf409.wellpoint.com</v>
      </c>
      <c r="J25" s="205" t="str">
        <f>_xlfn.XLOOKUP(tblPMView[[#This Row],[Hostname]],tblTM[common_assetName],tblTM[device_assetType],"",0,1)</f>
        <v>Server</v>
      </c>
      <c r="K25" s="206" t="str">
        <f>TEXT(_xlfn.XLOOKUP(tblPMView[[#This Row],[Hostname]],tblTM[common_assetName],tblTM[device_custom60],"",0,1),"")</f>
        <v>P2P</v>
      </c>
      <c r="L25" s="205" t="str">
        <f>_xlfn.XLOOKUP(tblPMView[[#This Row],[Hostname]],tblTM[common_assetName],tblTM[device_ipAddress],"",0,1)</f>
        <v>10.152.28.107</v>
      </c>
      <c r="M25"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5" s="206" t="str">
        <f>TEXT(_xlfn.XLOOKUP(tblPMView[[#This Row],[Hostname]],tblTM[common_assetName],tblTM[device_custom35],"-",0),"")</f>
        <v/>
      </c>
      <c r="O25" s="205" t="str">
        <f>_xlfn.XLOOKUP(LEFT(tblPMView[[#This Row],[Hostname]],4),tblLocationCodes[LocAbbr],tblLocationCodes[Location],"",0,1)</f>
        <v>Ashburn</v>
      </c>
      <c r="P25"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5" s="206">
        <f>_xlfn.XLOOKUP(tblPMView[[#This Row],[Hostname]],tblTM[common_assetName],tblTM[device_custom17])</f>
        <v>0</v>
      </c>
      <c r="R25" s="206">
        <f>_xlfn.XLOOKUP(tblPMView[[#This Row],[Hostname]],tblTM[common_assetName],tblTM[device_custom14])</f>
        <v>0</v>
      </c>
      <c r="S25" s="206">
        <f>_xlfn.XLOOKUP(tblPMView[[#This Row],[Hostname]],tblTM[common_assetName],tblTM[device_custom12])</f>
        <v>0</v>
      </c>
      <c r="T25" s="209" t="str">
        <f>_xlfn.XLOOKUP(tblPMView[[#This Row],[Hostname]],tblTM[common_assetName],tblTM[device_custom26],"",0,1)</f>
        <v>No</v>
      </c>
      <c r="U25" s="210" t="str">
        <f>LEFT(TEXT(_xlfn.XLOOKUP(tblPMView[[#This Row],[Hostname]],tblTM[common_assetName],tblTM[device_custom20],"-",0),""),3)</f>
        <v/>
      </c>
      <c r="V25" s="210" t="str">
        <f>_xlfn.LET(_xlpm.CSInfo,_xlfn.XLOOKUP(tblPMView[[#This Row],[Hostname]],tblTM[common_assetName],tblTM[device_custom33],"-",0),IF(_xlpm.CSInfo="Discovered","Yes","No"))</f>
        <v>Yes</v>
      </c>
      <c r="W25" s="211" t="str">
        <f>IF(LOWER(LEFT(_xlfn.XLOOKUP(tblPMView[[#This Row],[Hostname]],tblTM[common_assetName],tblTM[device_custom45],"",0,1),1))="y","Yes","No")</f>
        <v>No</v>
      </c>
      <c r="X25" s="212">
        <f>_xlfn.XLOOKUP(tblPMView[[#This Row],[Hostname]],tblTM[common_assetName],tblTM[device_custom64],"",0)+_xlfn.XLOOKUP(tblPMView[[#This Row],[Hostname]],tblTM[common_assetName],tblTM[device_size],"",0)</f>
        <v>10955.14134</v>
      </c>
      <c r="Y25" s="205">
        <f>_xlfn.XLOOKUP(tblPMView[[#This Row],[Hostname]],tblTM[common_assetName],tblTM[device_custom29],"",0)</f>
        <v>0</v>
      </c>
      <c r="Z25" s="205"/>
      <c r="AA25" s="205"/>
    </row>
    <row r="26" spans="1:27" ht="13" x14ac:dyDescent="0.3">
      <c r="A26" s="205"/>
      <c r="B26" s="205">
        <v>672033</v>
      </c>
      <c r="C26" s="206" t="str">
        <f>_xlfn.XLOOKUP(tblPMView[[#This Row],[AssetDependencyId]],tblDependencies[AssetDependencyId],tblDependencies[AssetName],"",0,1)</f>
        <v>Kafka-Test</v>
      </c>
      <c r="D26" s="206" t="str">
        <f>_xlfn.LET(_xlpm.mea,_xlfn.XLOOKUP(tblPMView[[#This Row],[AssetDependencyId]],tblDependencies[AssetDependencyId],tblDependencies[AssetBundle],"",0,1),IF(LEFT(LOWER(_xlpm.mea),8)="appgroup",CONCATENATE("MEA",MID(_xlpm.mea,10,LEN(_xlpm.mea)-7)),_xlpm.mea))</f>
        <v>MEA190</v>
      </c>
      <c r="E26" s="206" t="str">
        <f>_xlfn.LET(_xlpm.mea,_xlfn.XLOOKUP(tblPMView[[#This Row],[AssetDependencyId]],tblDependencies[AssetDependencyId],tblDependencies[DependentBundle],"",0,1),IF(LEFT(LOWER(_xlpm.mea),8)="appgroup",CONCATENATE("MEA",MID(_xlpm.mea,10,LEN(_xlpm.mea)-7)),_xlpm.mea))</f>
        <v>MEA190</v>
      </c>
      <c r="F26" s="206" t="str">
        <f>_xlfn.XLOOKUP(tblPMView[[#This Row],[AssetDependencyId]],tblDependencies[AssetDependencyId],tblDependencies[DependentName],"",0,1)</f>
        <v>dc04tlpkaf408</v>
      </c>
      <c r="G26" s="207"/>
      <c r="H26" s="206" t="str">
        <f>_xlfn.XLOOKUP(tblPMView[[#This Row],[Hostname]],tblTM[common_assetName],tblTM[common_environment],"",0,1)</f>
        <v>Test</v>
      </c>
      <c r="I26" s="205" t="str">
        <f>_xlfn.XLOOKUP(tblPMView[[#This Row],[Hostname]],tblTM[common_assetName],tblTM[device_shortName],"",0,1)</f>
        <v>dc04tlpkaf408.wellpoint.com</v>
      </c>
      <c r="J26" s="205" t="str">
        <f>_xlfn.XLOOKUP(tblPMView[[#This Row],[Hostname]],tblTM[common_assetName],tblTM[device_assetType],"",0,1)</f>
        <v>Server</v>
      </c>
      <c r="K26" s="206" t="str">
        <f>TEXT(_xlfn.XLOOKUP(tblPMView[[#This Row],[Hostname]],tblTM[common_assetName],tblTM[device_custom60],"",0,1),"")</f>
        <v>P2P</v>
      </c>
      <c r="L26" s="205" t="str">
        <f>_xlfn.XLOOKUP(tblPMView[[#This Row],[Hostname]],tblTM[common_assetName],tblTM[device_ipAddress],"",0,1)</f>
        <v>10.152.28.106</v>
      </c>
      <c r="M26"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6" s="206" t="str">
        <f>TEXT(_xlfn.XLOOKUP(tblPMView[[#This Row],[Hostname]],tblTM[common_assetName],tblTM[device_custom35],"-",0),"")</f>
        <v/>
      </c>
      <c r="O26" s="205" t="str">
        <f>_xlfn.XLOOKUP(LEFT(tblPMView[[#This Row],[Hostname]],4),tblLocationCodes[LocAbbr],tblLocationCodes[Location],"",0,1)</f>
        <v>Ashburn</v>
      </c>
      <c r="P26"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6" s="206">
        <f>_xlfn.XLOOKUP(tblPMView[[#This Row],[Hostname]],tblTM[common_assetName],tblTM[device_custom17])</f>
        <v>0</v>
      </c>
      <c r="R26" s="206">
        <f>_xlfn.XLOOKUP(tblPMView[[#This Row],[Hostname]],tblTM[common_assetName],tblTM[device_custom14])</f>
        <v>0</v>
      </c>
      <c r="S26" s="206">
        <f>_xlfn.XLOOKUP(tblPMView[[#This Row],[Hostname]],tblTM[common_assetName],tblTM[device_custom12])</f>
        <v>0</v>
      </c>
      <c r="T26" s="209" t="str">
        <f>_xlfn.XLOOKUP(tblPMView[[#This Row],[Hostname]],tblTM[common_assetName],tblTM[device_custom26],"",0,1)</f>
        <v>No</v>
      </c>
      <c r="U26" s="210" t="str">
        <f>LEFT(TEXT(_xlfn.XLOOKUP(tblPMView[[#This Row],[Hostname]],tblTM[common_assetName],tblTM[device_custom20],"-",0),""),3)</f>
        <v/>
      </c>
      <c r="V26" s="210" t="str">
        <f>_xlfn.LET(_xlpm.CSInfo,_xlfn.XLOOKUP(tblPMView[[#This Row],[Hostname]],tblTM[common_assetName],tblTM[device_custom33],"-",0),IF(_xlpm.CSInfo="Discovered","Yes","No"))</f>
        <v>Yes</v>
      </c>
      <c r="W26" s="211" t="str">
        <f>IF(LOWER(LEFT(_xlfn.XLOOKUP(tblPMView[[#This Row],[Hostname]],tblTM[common_assetName],tblTM[device_custom45],"",0,1),1))="y","Yes","No")</f>
        <v>No</v>
      </c>
      <c r="X26" s="212">
        <f>_xlfn.XLOOKUP(tblPMView[[#This Row],[Hostname]],tblTM[common_assetName],tblTM[device_custom64],"",0)+_xlfn.XLOOKUP(tblPMView[[#This Row],[Hostname]],tblTM[common_assetName],tblTM[device_size],"",0)</f>
        <v>11126.11204</v>
      </c>
      <c r="Y26" s="205">
        <f>_xlfn.XLOOKUP(tblPMView[[#This Row],[Hostname]],tblTM[common_assetName],tblTM[device_custom29],"",0)</f>
        <v>0</v>
      </c>
      <c r="Z26" s="205"/>
      <c r="AA26" s="205"/>
    </row>
    <row r="27" spans="1:27" ht="13" x14ac:dyDescent="0.3">
      <c r="A27" s="205"/>
      <c r="B27" s="205">
        <v>672034</v>
      </c>
      <c r="C27" s="206" t="str">
        <f>_xlfn.XLOOKUP(tblPMView[[#This Row],[AssetDependencyId]],tblDependencies[AssetDependencyId],tblDependencies[AssetName],"",0,1)</f>
        <v>Kafka-Test</v>
      </c>
      <c r="D27" s="206" t="str">
        <f>_xlfn.LET(_xlpm.mea,_xlfn.XLOOKUP(tblPMView[[#This Row],[AssetDependencyId]],tblDependencies[AssetDependencyId],tblDependencies[AssetBundle],"",0,1),IF(LEFT(LOWER(_xlpm.mea),8)="appgroup",CONCATENATE("MEA",MID(_xlpm.mea,10,LEN(_xlpm.mea)-7)),_xlpm.mea))</f>
        <v>MEA190</v>
      </c>
      <c r="E27" s="206" t="str">
        <f>_xlfn.LET(_xlpm.mea,_xlfn.XLOOKUP(tblPMView[[#This Row],[AssetDependencyId]],tblDependencies[AssetDependencyId],tblDependencies[DependentBundle],"",0,1),IF(LEFT(LOWER(_xlpm.mea),8)="appgroup",CONCATENATE("MEA",MID(_xlpm.mea,10,LEN(_xlpm.mea)-7)),_xlpm.mea))</f>
        <v>MEA190</v>
      </c>
      <c r="F27" s="206" t="str">
        <f>_xlfn.XLOOKUP(tblPMView[[#This Row],[AssetDependencyId]],tblDependencies[AssetDependencyId],tblDependencies[DependentName],"",0,1)</f>
        <v>dc04tlpkaf407</v>
      </c>
      <c r="G27" s="207"/>
      <c r="H27" s="206" t="str">
        <f>_xlfn.XLOOKUP(tblPMView[[#This Row],[Hostname]],tblTM[common_assetName],tblTM[common_environment],"",0,1)</f>
        <v>Test</v>
      </c>
      <c r="I27" s="205" t="str">
        <f>_xlfn.XLOOKUP(tblPMView[[#This Row],[Hostname]],tblTM[common_assetName],tblTM[device_shortName],"",0,1)</f>
        <v>dc04tlpkaf407.wellpoint.com</v>
      </c>
      <c r="J27" s="205" t="str">
        <f>_xlfn.XLOOKUP(tblPMView[[#This Row],[Hostname]],tblTM[common_assetName],tblTM[device_assetType],"",0,1)</f>
        <v>Server</v>
      </c>
      <c r="K27" s="206" t="str">
        <f>TEXT(_xlfn.XLOOKUP(tblPMView[[#This Row],[Hostname]],tblTM[common_assetName],tblTM[device_custom60],"",0,1),"")</f>
        <v>P2P</v>
      </c>
      <c r="L27" s="205" t="str">
        <f>_xlfn.XLOOKUP(tblPMView[[#This Row],[Hostname]],tblTM[common_assetName],tblTM[device_ipAddress],"",0,1)</f>
        <v>10.152.28.105</v>
      </c>
      <c r="M27"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7" s="206" t="str">
        <f>TEXT(_xlfn.XLOOKUP(tblPMView[[#This Row],[Hostname]],tblTM[common_assetName],tblTM[device_custom35],"-",0),"")</f>
        <v/>
      </c>
      <c r="O27" s="205" t="str">
        <f>_xlfn.XLOOKUP(LEFT(tblPMView[[#This Row],[Hostname]],4),tblLocationCodes[LocAbbr],tblLocationCodes[Location],"",0,1)</f>
        <v>Ashburn</v>
      </c>
      <c r="P27"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7" s="206">
        <f>_xlfn.XLOOKUP(tblPMView[[#This Row],[Hostname]],tblTM[common_assetName],tblTM[device_custom17])</f>
        <v>0</v>
      </c>
      <c r="R27" s="206">
        <f>_xlfn.XLOOKUP(tblPMView[[#This Row],[Hostname]],tblTM[common_assetName],tblTM[device_custom14])</f>
        <v>0</v>
      </c>
      <c r="S27" s="206">
        <f>_xlfn.XLOOKUP(tblPMView[[#This Row],[Hostname]],tblTM[common_assetName],tblTM[device_custom12])</f>
        <v>0</v>
      </c>
      <c r="T27" s="209" t="str">
        <f>_xlfn.XLOOKUP(tblPMView[[#This Row],[Hostname]],tblTM[common_assetName],tblTM[device_custom26],"",0,1)</f>
        <v>No</v>
      </c>
      <c r="U27" s="210" t="str">
        <f>LEFT(TEXT(_xlfn.XLOOKUP(tblPMView[[#This Row],[Hostname]],tblTM[common_assetName],tblTM[device_custom20],"-",0),""),3)</f>
        <v/>
      </c>
      <c r="V27" s="210" t="str">
        <f>_xlfn.LET(_xlpm.CSInfo,_xlfn.XLOOKUP(tblPMView[[#This Row],[Hostname]],tblTM[common_assetName],tblTM[device_custom33],"-",0),IF(_xlpm.CSInfo="Discovered","Yes","No"))</f>
        <v>Yes</v>
      </c>
      <c r="W27" s="211" t="str">
        <f>IF(LOWER(LEFT(_xlfn.XLOOKUP(tblPMView[[#This Row],[Hostname]],tblTM[common_assetName],tblTM[device_custom45],"",0,1),1))="y","Yes","No")</f>
        <v>No</v>
      </c>
      <c r="X27" s="212">
        <f>_xlfn.XLOOKUP(tblPMView[[#This Row],[Hostname]],tblTM[common_assetName],tblTM[device_custom64],"",0)+_xlfn.XLOOKUP(tblPMView[[#This Row],[Hostname]],tblTM[common_assetName],tblTM[device_size],"",0)</f>
        <v>11126.11204</v>
      </c>
      <c r="Y27" s="205">
        <f>_xlfn.XLOOKUP(tblPMView[[#This Row],[Hostname]],tblTM[common_assetName],tblTM[device_custom29],"",0)</f>
        <v>0</v>
      </c>
      <c r="Z27" s="205"/>
      <c r="AA27" s="205"/>
    </row>
    <row r="28" spans="1:27" ht="13" x14ac:dyDescent="0.3">
      <c r="A28" s="205"/>
      <c r="B28" s="205">
        <v>672035</v>
      </c>
      <c r="C28" s="206" t="str">
        <f>_xlfn.XLOOKUP(tblPMView[[#This Row],[AssetDependencyId]],tblDependencies[AssetDependencyId],tblDependencies[AssetName],"",0,1)</f>
        <v>Kafka-Test</v>
      </c>
      <c r="D28" s="206" t="str">
        <f>_xlfn.LET(_xlpm.mea,_xlfn.XLOOKUP(tblPMView[[#This Row],[AssetDependencyId]],tblDependencies[AssetDependencyId],tblDependencies[AssetBundle],"",0,1),IF(LEFT(LOWER(_xlpm.mea),8)="appgroup",CONCATENATE("MEA",MID(_xlpm.mea,10,LEN(_xlpm.mea)-7)),_xlpm.mea))</f>
        <v>MEA190</v>
      </c>
      <c r="E28" s="206" t="str">
        <f>_xlfn.LET(_xlpm.mea,_xlfn.XLOOKUP(tblPMView[[#This Row],[AssetDependencyId]],tblDependencies[AssetDependencyId],tblDependencies[DependentBundle],"",0,1),IF(LEFT(LOWER(_xlpm.mea),8)="appgroup",CONCATENATE("MEA",MID(_xlpm.mea,10,LEN(_xlpm.mea)-7)),_xlpm.mea))</f>
        <v>MEA190</v>
      </c>
      <c r="F28" s="206" t="str">
        <f>_xlfn.XLOOKUP(tblPMView[[#This Row],[AssetDependencyId]],tblDependencies[AssetDependencyId],tblDependencies[DependentName],"",0,1)</f>
        <v>dc04tlpkaf406</v>
      </c>
      <c r="G28" s="207"/>
      <c r="H28" s="206" t="str">
        <f>_xlfn.XLOOKUP(tblPMView[[#This Row],[Hostname]],tblTM[common_assetName],tblTM[common_environment],"",0,1)</f>
        <v>Test</v>
      </c>
      <c r="I28" s="205" t="str">
        <f>_xlfn.XLOOKUP(tblPMView[[#This Row],[Hostname]],tblTM[common_assetName],tblTM[device_shortName],"",0,1)</f>
        <v>dc04tlpkaf406.wellpoint.com</v>
      </c>
      <c r="J28" s="205" t="str">
        <f>_xlfn.XLOOKUP(tblPMView[[#This Row],[Hostname]],tblTM[common_assetName],tblTM[device_assetType],"",0,1)</f>
        <v>Server</v>
      </c>
      <c r="K28" s="206" t="str">
        <f>TEXT(_xlfn.XLOOKUP(tblPMView[[#This Row],[Hostname]],tblTM[common_assetName],tblTM[device_custom60],"",0,1),"")</f>
        <v>P2P</v>
      </c>
      <c r="L28" s="205" t="str">
        <f>_xlfn.XLOOKUP(tblPMView[[#This Row],[Hostname]],tblTM[common_assetName],tblTM[device_ipAddress],"",0,1)</f>
        <v>10.152.28.104</v>
      </c>
      <c r="M28"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8" s="206" t="str">
        <f>TEXT(_xlfn.XLOOKUP(tblPMView[[#This Row],[Hostname]],tblTM[common_assetName],tblTM[device_custom35],"-",0),"")</f>
        <v/>
      </c>
      <c r="O28" s="205" t="str">
        <f>_xlfn.XLOOKUP(LEFT(tblPMView[[#This Row],[Hostname]],4),tblLocationCodes[LocAbbr],tblLocationCodes[Location],"",0,1)</f>
        <v>Ashburn</v>
      </c>
      <c r="P28"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8" s="206">
        <f>_xlfn.XLOOKUP(tblPMView[[#This Row],[Hostname]],tblTM[common_assetName],tblTM[device_custom17])</f>
        <v>0</v>
      </c>
      <c r="R28" s="206">
        <f>_xlfn.XLOOKUP(tblPMView[[#This Row],[Hostname]],tblTM[common_assetName],tblTM[device_custom14])</f>
        <v>0</v>
      </c>
      <c r="S28" s="206">
        <f>_xlfn.XLOOKUP(tblPMView[[#This Row],[Hostname]],tblTM[common_assetName],tblTM[device_custom12])</f>
        <v>0</v>
      </c>
      <c r="T28" s="209" t="str">
        <f>_xlfn.XLOOKUP(tblPMView[[#This Row],[Hostname]],tblTM[common_assetName],tblTM[device_custom26],"",0,1)</f>
        <v>No</v>
      </c>
      <c r="U28" s="210" t="str">
        <f>LEFT(TEXT(_xlfn.XLOOKUP(tblPMView[[#This Row],[Hostname]],tblTM[common_assetName],tblTM[device_custom20],"-",0),""),3)</f>
        <v/>
      </c>
      <c r="V28" s="210" t="str">
        <f>_xlfn.LET(_xlpm.CSInfo,_xlfn.XLOOKUP(tblPMView[[#This Row],[Hostname]],tblTM[common_assetName],tblTM[device_custom33],"-",0),IF(_xlpm.CSInfo="Discovered","Yes","No"))</f>
        <v>Yes</v>
      </c>
      <c r="W28" s="211" t="str">
        <f>IF(LOWER(LEFT(_xlfn.XLOOKUP(tblPMView[[#This Row],[Hostname]],tblTM[common_assetName],tblTM[device_custom45],"",0,1),1))="y","Yes","No")</f>
        <v>No</v>
      </c>
      <c r="X28" s="212">
        <f>_xlfn.XLOOKUP(tblPMView[[#This Row],[Hostname]],tblTM[common_assetName],tblTM[device_custom64],"",0)+_xlfn.XLOOKUP(tblPMView[[#This Row],[Hostname]],tblTM[common_assetName],tblTM[device_size],"",0)</f>
        <v>11126.11204</v>
      </c>
      <c r="Y28" s="205">
        <f>_xlfn.XLOOKUP(tblPMView[[#This Row],[Hostname]],tblTM[common_assetName],tblTM[device_custom29],"",0)</f>
        <v>0</v>
      </c>
      <c r="Z28" s="205"/>
      <c r="AA28" s="205"/>
    </row>
    <row r="29" spans="1:27" ht="13" x14ac:dyDescent="0.3">
      <c r="A29" s="205"/>
      <c r="B29" s="205">
        <v>672036</v>
      </c>
      <c r="C29" s="206" t="str">
        <f>_xlfn.XLOOKUP(tblPMView[[#This Row],[AssetDependencyId]],tblDependencies[AssetDependencyId],tblDependencies[AssetName],"",0,1)</f>
        <v>Kafka-Test</v>
      </c>
      <c r="D29" s="206" t="str">
        <f>_xlfn.LET(_xlpm.mea,_xlfn.XLOOKUP(tblPMView[[#This Row],[AssetDependencyId]],tblDependencies[AssetDependencyId],tblDependencies[AssetBundle],"",0,1),IF(LEFT(LOWER(_xlpm.mea),8)="appgroup",CONCATENATE("MEA",MID(_xlpm.mea,10,LEN(_xlpm.mea)-7)),_xlpm.mea))</f>
        <v>MEA190</v>
      </c>
      <c r="E29" s="206" t="str">
        <f>_xlfn.LET(_xlpm.mea,_xlfn.XLOOKUP(tblPMView[[#This Row],[AssetDependencyId]],tblDependencies[AssetDependencyId],tblDependencies[DependentBundle],"",0,1),IF(LEFT(LOWER(_xlpm.mea),8)="appgroup",CONCATENATE("MEA",MID(_xlpm.mea,10,LEN(_xlpm.mea)-7)),_xlpm.mea))</f>
        <v>MEA190</v>
      </c>
      <c r="F29" s="206" t="str">
        <f>_xlfn.XLOOKUP(tblPMView[[#This Row],[AssetDependencyId]],tblDependencies[AssetDependencyId],tblDependencies[DependentName],"",0,1)</f>
        <v>dc04tlpkaf405</v>
      </c>
      <c r="G29" s="207"/>
      <c r="H29" s="206" t="str">
        <f>_xlfn.XLOOKUP(tblPMView[[#This Row],[Hostname]],tblTM[common_assetName],tblTM[common_environment],"",0,1)</f>
        <v>Test</v>
      </c>
      <c r="I29" s="205" t="str">
        <f>_xlfn.XLOOKUP(tblPMView[[#This Row],[Hostname]],tblTM[common_assetName],tblTM[device_shortName],"",0,1)</f>
        <v>dc04tlpkaf405.wellpoint.com</v>
      </c>
      <c r="J29" s="205" t="str">
        <f>_xlfn.XLOOKUP(tblPMView[[#This Row],[Hostname]],tblTM[common_assetName],tblTM[device_assetType],"",0,1)</f>
        <v>Server</v>
      </c>
      <c r="K29" s="206" t="str">
        <f>TEXT(_xlfn.XLOOKUP(tblPMView[[#This Row],[Hostname]],tblTM[common_assetName],tblTM[device_custom60],"",0,1),"")</f>
        <v>P2P</v>
      </c>
      <c r="L29" s="205" t="str">
        <f>_xlfn.XLOOKUP(tblPMView[[#This Row],[Hostname]],tblTM[common_assetName],tblTM[device_ipAddress],"",0,1)</f>
        <v>10.152.28.103</v>
      </c>
      <c r="M29"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9" s="206" t="str">
        <f>TEXT(_xlfn.XLOOKUP(tblPMView[[#This Row],[Hostname]],tblTM[common_assetName],tblTM[device_custom35],"-",0),"")</f>
        <v/>
      </c>
      <c r="O29" s="205" t="str">
        <f>_xlfn.XLOOKUP(LEFT(tblPMView[[#This Row],[Hostname]],4),tblLocationCodes[LocAbbr],tblLocationCodes[Location],"",0,1)</f>
        <v>Ashburn</v>
      </c>
      <c r="P29"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29" s="206">
        <f>_xlfn.XLOOKUP(tblPMView[[#This Row],[Hostname]],tblTM[common_assetName],tblTM[device_custom17])</f>
        <v>0</v>
      </c>
      <c r="R29" s="206">
        <f>_xlfn.XLOOKUP(tblPMView[[#This Row],[Hostname]],tblTM[common_assetName],tblTM[device_custom14])</f>
        <v>0</v>
      </c>
      <c r="S29" s="206">
        <f>_xlfn.XLOOKUP(tblPMView[[#This Row],[Hostname]],tblTM[common_assetName],tblTM[device_custom12])</f>
        <v>0</v>
      </c>
      <c r="T29" s="209" t="str">
        <f>_xlfn.XLOOKUP(tblPMView[[#This Row],[Hostname]],tblTM[common_assetName],tblTM[device_custom26],"",0,1)</f>
        <v>No</v>
      </c>
      <c r="U29" s="210" t="str">
        <f>LEFT(TEXT(_xlfn.XLOOKUP(tblPMView[[#This Row],[Hostname]],tblTM[common_assetName],tblTM[device_custom20],"-",0),""),3)</f>
        <v/>
      </c>
      <c r="V29" s="210" t="str">
        <f>_xlfn.LET(_xlpm.CSInfo,_xlfn.XLOOKUP(tblPMView[[#This Row],[Hostname]],tblTM[common_assetName],tblTM[device_custom33],"-",0),IF(_xlpm.CSInfo="Discovered","Yes","No"))</f>
        <v>Yes</v>
      </c>
      <c r="W29" s="211" t="str">
        <f>IF(LOWER(LEFT(_xlfn.XLOOKUP(tblPMView[[#This Row],[Hostname]],tblTM[common_assetName],tblTM[device_custom45],"",0,1),1))="y","Yes","No")</f>
        <v>No</v>
      </c>
      <c r="X29" s="212">
        <f>_xlfn.XLOOKUP(tblPMView[[#This Row],[Hostname]],tblTM[common_assetName],tblTM[device_custom64],"",0)+_xlfn.XLOOKUP(tblPMView[[#This Row],[Hostname]],tblTM[common_assetName],tblTM[device_size],"",0)</f>
        <v>11126.11204</v>
      </c>
      <c r="Y29" s="205">
        <f>_xlfn.XLOOKUP(tblPMView[[#This Row],[Hostname]],tblTM[common_assetName],tblTM[device_custom29],"",0)</f>
        <v>0</v>
      </c>
      <c r="Z29" s="205"/>
      <c r="AA29" s="205"/>
    </row>
    <row r="30" spans="1:27" ht="13" x14ac:dyDescent="0.3">
      <c r="A30" s="205"/>
      <c r="B30" s="205">
        <v>672037</v>
      </c>
      <c r="C30" s="206" t="str">
        <f>_xlfn.XLOOKUP(tblPMView[[#This Row],[AssetDependencyId]],tblDependencies[AssetDependencyId],tblDependencies[AssetName],"",0,1)</f>
        <v>Kafka-Test</v>
      </c>
      <c r="D30" s="206" t="str">
        <f>_xlfn.LET(_xlpm.mea,_xlfn.XLOOKUP(tblPMView[[#This Row],[AssetDependencyId]],tblDependencies[AssetDependencyId],tblDependencies[AssetBundle],"",0,1),IF(LEFT(LOWER(_xlpm.mea),8)="appgroup",CONCATENATE("MEA",MID(_xlpm.mea,10,LEN(_xlpm.mea)-7)),_xlpm.mea))</f>
        <v>MEA190</v>
      </c>
      <c r="E30" s="206" t="str">
        <f>_xlfn.LET(_xlpm.mea,_xlfn.XLOOKUP(tblPMView[[#This Row],[AssetDependencyId]],tblDependencies[AssetDependencyId],tblDependencies[DependentBundle],"",0,1),IF(LEFT(LOWER(_xlpm.mea),8)="appgroup",CONCATENATE("MEA",MID(_xlpm.mea,10,LEN(_xlpm.mea)-7)),_xlpm.mea))</f>
        <v>MEA190</v>
      </c>
      <c r="F30" s="206" t="str">
        <f>_xlfn.XLOOKUP(tblPMView[[#This Row],[AssetDependencyId]],tblDependencies[AssetDependencyId],tblDependencies[DependentName],"",0,1)</f>
        <v>dc04tlpkaf404</v>
      </c>
      <c r="G30" s="207"/>
      <c r="H30" s="206" t="str">
        <f>_xlfn.XLOOKUP(tblPMView[[#This Row],[Hostname]],tblTM[common_assetName],tblTM[common_environment],"",0,1)</f>
        <v>Test</v>
      </c>
      <c r="I30" s="205" t="str">
        <f>_xlfn.XLOOKUP(tblPMView[[#This Row],[Hostname]],tblTM[common_assetName],tblTM[device_shortName],"",0,1)</f>
        <v>dc04tlpkaf404.wellpoint.com</v>
      </c>
      <c r="J30" s="205" t="str">
        <f>_xlfn.XLOOKUP(tblPMView[[#This Row],[Hostname]],tblTM[common_assetName],tblTM[device_assetType],"",0,1)</f>
        <v>Server</v>
      </c>
      <c r="K30" s="206" t="str">
        <f>TEXT(_xlfn.XLOOKUP(tblPMView[[#This Row],[Hostname]],tblTM[common_assetName],tblTM[device_custom60],"",0,1),"")</f>
        <v>P2P</v>
      </c>
      <c r="L30" s="205" t="str">
        <f>_xlfn.XLOOKUP(tblPMView[[#This Row],[Hostname]],tblTM[common_assetName],tblTM[device_ipAddress],"",0,1)</f>
        <v>10.152.28.102</v>
      </c>
      <c r="M30"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0" s="206" t="str">
        <f>TEXT(_xlfn.XLOOKUP(tblPMView[[#This Row],[Hostname]],tblTM[common_assetName],tblTM[device_custom35],"-",0),"")</f>
        <v/>
      </c>
      <c r="O30" s="205" t="str">
        <f>_xlfn.XLOOKUP(LEFT(tblPMView[[#This Row],[Hostname]],4),tblLocationCodes[LocAbbr],tblLocationCodes[Location],"",0,1)</f>
        <v>Ashburn</v>
      </c>
      <c r="P30"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30" s="206">
        <f>_xlfn.XLOOKUP(tblPMView[[#This Row],[Hostname]],tblTM[common_assetName],tblTM[device_custom17])</f>
        <v>0</v>
      </c>
      <c r="R30" s="206">
        <f>_xlfn.XLOOKUP(tblPMView[[#This Row],[Hostname]],tblTM[common_assetName],tblTM[device_custom14])</f>
        <v>0</v>
      </c>
      <c r="S30" s="206">
        <f>_xlfn.XLOOKUP(tblPMView[[#This Row],[Hostname]],tblTM[common_assetName],tblTM[device_custom12])</f>
        <v>0</v>
      </c>
      <c r="T30" s="209" t="str">
        <f>_xlfn.XLOOKUP(tblPMView[[#This Row],[Hostname]],tblTM[common_assetName],tblTM[device_custom26],"",0,1)</f>
        <v>No</v>
      </c>
      <c r="U30" s="210" t="str">
        <f>LEFT(TEXT(_xlfn.XLOOKUP(tblPMView[[#This Row],[Hostname]],tblTM[common_assetName],tblTM[device_custom20],"-",0),""),3)</f>
        <v/>
      </c>
      <c r="V30" s="210" t="str">
        <f>_xlfn.LET(_xlpm.CSInfo,_xlfn.XLOOKUP(tblPMView[[#This Row],[Hostname]],tblTM[common_assetName],tblTM[device_custom33],"-",0),IF(_xlpm.CSInfo="Discovered","Yes","No"))</f>
        <v>Yes</v>
      </c>
      <c r="W30" s="211" t="str">
        <f>IF(LOWER(LEFT(_xlfn.XLOOKUP(tblPMView[[#This Row],[Hostname]],tblTM[common_assetName],tblTM[device_custom45],"",0,1),1))="y","Yes","No")</f>
        <v>No</v>
      </c>
      <c r="X30" s="212">
        <f>_xlfn.XLOOKUP(tblPMView[[#This Row],[Hostname]],tblTM[common_assetName],tblTM[device_custom64],"",0)+_xlfn.XLOOKUP(tblPMView[[#This Row],[Hostname]],tblTM[common_assetName],tblTM[device_size],"",0)</f>
        <v>11126.11204</v>
      </c>
      <c r="Y30" s="205">
        <f>_xlfn.XLOOKUP(tblPMView[[#This Row],[Hostname]],tblTM[common_assetName],tblTM[device_custom29],"",0)</f>
        <v>0</v>
      </c>
      <c r="Z30" s="205"/>
      <c r="AA30" s="205"/>
    </row>
    <row r="31" spans="1:27" ht="13" x14ac:dyDescent="0.3">
      <c r="A31" s="205"/>
      <c r="B31" s="205">
        <v>672038</v>
      </c>
      <c r="C31" s="206" t="str">
        <f>_xlfn.XLOOKUP(tblPMView[[#This Row],[AssetDependencyId]],tblDependencies[AssetDependencyId],tblDependencies[AssetName],"",0,1)</f>
        <v>Kafka-Test</v>
      </c>
      <c r="D31" s="206" t="str">
        <f>_xlfn.LET(_xlpm.mea,_xlfn.XLOOKUP(tblPMView[[#This Row],[AssetDependencyId]],tblDependencies[AssetDependencyId],tblDependencies[AssetBundle],"",0,1),IF(LEFT(LOWER(_xlpm.mea),8)="appgroup",CONCATENATE("MEA",MID(_xlpm.mea,10,LEN(_xlpm.mea)-7)),_xlpm.mea))</f>
        <v>MEA190</v>
      </c>
      <c r="E31" s="206" t="str">
        <f>_xlfn.LET(_xlpm.mea,_xlfn.XLOOKUP(tblPMView[[#This Row],[AssetDependencyId]],tblDependencies[AssetDependencyId],tblDependencies[DependentBundle],"",0,1),IF(LEFT(LOWER(_xlpm.mea),8)="appgroup",CONCATENATE("MEA",MID(_xlpm.mea,10,LEN(_xlpm.mea)-7)),_xlpm.mea))</f>
        <v>MEA190</v>
      </c>
      <c r="F31" s="206" t="str">
        <f>_xlfn.XLOOKUP(tblPMView[[#This Row],[AssetDependencyId]],tblDependencies[AssetDependencyId],tblDependencies[DependentName],"",0,1)</f>
        <v>dc04tlpkaf402</v>
      </c>
      <c r="G31" s="207"/>
      <c r="H31" s="206" t="str">
        <f>_xlfn.XLOOKUP(tblPMView[[#This Row],[Hostname]],tblTM[common_assetName],tblTM[common_environment],"",0,1)</f>
        <v>Test</v>
      </c>
      <c r="I31" s="205" t="str">
        <f>_xlfn.XLOOKUP(tblPMView[[#This Row],[Hostname]],tblTM[common_assetName],tblTM[device_shortName],"",0,1)</f>
        <v>dc04tlpkaf402.wellpoint.com</v>
      </c>
      <c r="J31" s="205" t="str">
        <f>_xlfn.XLOOKUP(tblPMView[[#This Row],[Hostname]],tblTM[common_assetName],tblTM[device_assetType],"",0,1)</f>
        <v>Server</v>
      </c>
      <c r="K31" s="206" t="str">
        <f>TEXT(_xlfn.XLOOKUP(tblPMView[[#This Row],[Hostname]],tblTM[common_assetName],tblTM[device_custom60],"",0,1),"")</f>
        <v>P2P</v>
      </c>
      <c r="L31" s="205" t="str">
        <f>_xlfn.XLOOKUP(tblPMView[[#This Row],[Hostname]],tblTM[common_assetName],tblTM[device_ipAddress],"",0,1)</f>
        <v>10.152.28.100</v>
      </c>
      <c r="M31"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1" s="206" t="str">
        <f>TEXT(_xlfn.XLOOKUP(tblPMView[[#This Row],[Hostname]],tblTM[common_assetName],tblTM[device_custom35],"-",0),"")</f>
        <v/>
      </c>
      <c r="O31" s="205" t="str">
        <f>_xlfn.XLOOKUP(LEFT(tblPMView[[#This Row],[Hostname]],4),tblLocationCodes[LocAbbr],tblLocationCodes[Location],"",0,1)</f>
        <v>Ashburn</v>
      </c>
      <c r="P31"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31" s="206">
        <f>_xlfn.XLOOKUP(tblPMView[[#This Row],[Hostname]],tblTM[common_assetName],tblTM[device_custom17])</f>
        <v>0</v>
      </c>
      <c r="R31" s="206">
        <f>_xlfn.XLOOKUP(tblPMView[[#This Row],[Hostname]],tblTM[common_assetName],tblTM[device_custom14])</f>
        <v>0</v>
      </c>
      <c r="S31" s="206">
        <f>_xlfn.XLOOKUP(tblPMView[[#This Row],[Hostname]],tblTM[common_assetName],tblTM[device_custom12])</f>
        <v>0</v>
      </c>
      <c r="T31" s="209" t="str">
        <f>_xlfn.XLOOKUP(tblPMView[[#This Row],[Hostname]],tblTM[common_assetName],tblTM[device_custom26],"",0,1)</f>
        <v>No</v>
      </c>
      <c r="U31" s="210" t="str">
        <f>LEFT(TEXT(_xlfn.XLOOKUP(tblPMView[[#This Row],[Hostname]],tblTM[common_assetName],tblTM[device_custom20],"-",0),""),3)</f>
        <v/>
      </c>
      <c r="V31" s="210" t="str">
        <f>_xlfn.LET(_xlpm.CSInfo,_xlfn.XLOOKUP(tblPMView[[#This Row],[Hostname]],tblTM[common_assetName],tblTM[device_custom33],"-",0),IF(_xlpm.CSInfo="Discovered","Yes","No"))</f>
        <v>Yes</v>
      </c>
      <c r="W31" s="211" t="str">
        <f>IF(LOWER(LEFT(_xlfn.XLOOKUP(tblPMView[[#This Row],[Hostname]],tblTM[common_assetName],tblTM[device_custom45],"",0,1),1))="y","Yes","No")</f>
        <v>No</v>
      </c>
      <c r="X31" s="212">
        <f>_xlfn.XLOOKUP(tblPMView[[#This Row],[Hostname]],tblTM[common_assetName],tblTM[device_custom64],"",0)+_xlfn.XLOOKUP(tblPMView[[#This Row],[Hostname]],tblTM[common_assetName],tblTM[device_size],"",0)</f>
        <v>11126.11204</v>
      </c>
      <c r="Y31" s="205">
        <f>_xlfn.XLOOKUP(tblPMView[[#This Row],[Hostname]],tblTM[common_assetName],tblTM[device_custom29],"",0)</f>
        <v>0</v>
      </c>
      <c r="Z31" s="205"/>
      <c r="AA31" s="205"/>
    </row>
    <row r="32" spans="1:27" ht="13" x14ac:dyDescent="0.3">
      <c r="A32" s="205"/>
      <c r="B32" s="205">
        <v>672039</v>
      </c>
      <c r="C32" s="206" t="str">
        <f>_xlfn.XLOOKUP(tblPMView[[#This Row],[AssetDependencyId]],tblDependencies[AssetDependencyId],tblDependencies[AssetName],"",0,1)</f>
        <v>Kafka-Test</v>
      </c>
      <c r="D32" s="206" t="str">
        <f>_xlfn.LET(_xlpm.mea,_xlfn.XLOOKUP(tblPMView[[#This Row],[AssetDependencyId]],tblDependencies[AssetDependencyId],tblDependencies[AssetBundle],"",0,1),IF(LEFT(LOWER(_xlpm.mea),8)="appgroup",CONCATENATE("MEA",MID(_xlpm.mea,10,LEN(_xlpm.mea)-7)),_xlpm.mea))</f>
        <v>MEA190</v>
      </c>
      <c r="E32" s="206" t="str">
        <f>_xlfn.LET(_xlpm.mea,_xlfn.XLOOKUP(tblPMView[[#This Row],[AssetDependencyId]],tblDependencies[AssetDependencyId],tblDependencies[DependentBundle],"",0,1),IF(LEFT(LOWER(_xlpm.mea),8)="appgroup",CONCATENATE("MEA",MID(_xlpm.mea,10,LEN(_xlpm.mea)-7)),_xlpm.mea))</f>
        <v>MEA190</v>
      </c>
      <c r="F32" s="206" t="str">
        <f>_xlfn.XLOOKUP(tblPMView[[#This Row],[AssetDependencyId]],tblDependencies[AssetDependencyId],tblDependencies[DependentName],"",0,1)</f>
        <v>dc04tlpkaf401</v>
      </c>
      <c r="G32" s="207"/>
      <c r="H32" s="206" t="str">
        <f>_xlfn.XLOOKUP(tblPMView[[#This Row],[Hostname]],tblTM[common_assetName],tblTM[common_environment],"",0,1)</f>
        <v>Test</v>
      </c>
      <c r="I32" s="205" t="str">
        <f>_xlfn.XLOOKUP(tblPMView[[#This Row],[Hostname]],tblTM[common_assetName],tblTM[device_shortName],"",0,1)</f>
        <v>dc04tlpkaf401.wellpoint.com</v>
      </c>
      <c r="J32" s="205" t="str">
        <f>_xlfn.XLOOKUP(tblPMView[[#This Row],[Hostname]],tblTM[common_assetName],tblTM[device_assetType],"",0,1)</f>
        <v>Server</v>
      </c>
      <c r="K32" s="206" t="str">
        <f>TEXT(_xlfn.XLOOKUP(tblPMView[[#This Row],[Hostname]],tblTM[common_assetName],tblTM[device_custom60],"",0,1),"")</f>
        <v>P2P</v>
      </c>
      <c r="L32" s="205" t="str">
        <f>_xlfn.XLOOKUP(tblPMView[[#This Row],[Hostname]],tblTM[common_assetName],tblTM[device_ipAddress],"",0,1)</f>
        <v>10.152.28.99</v>
      </c>
      <c r="M32"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2" s="206" t="str">
        <f>TEXT(_xlfn.XLOOKUP(tblPMView[[#This Row],[Hostname]],tblTM[common_assetName],tblTM[device_custom35],"-",0),"")</f>
        <v/>
      </c>
      <c r="O32" s="205" t="str">
        <f>_xlfn.XLOOKUP(LEFT(tblPMView[[#This Row],[Hostname]],4),tblLocationCodes[LocAbbr],tblLocationCodes[Location],"",0,1)</f>
        <v>Ashburn</v>
      </c>
      <c r="P32"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32" s="206">
        <f>_xlfn.XLOOKUP(tblPMView[[#This Row],[Hostname]],tblTM[common_assetName],tblTM[device_custom17])</f>
        <v>0</v>
      </c>
      <c r="R32" s="206">
        <f>_xlfn.XLOOKUP(tblPMView[[#This Row],[Hostname]],tblTM[common_assetName],tblTM[device_custom14])</f>
        <v>0</v>
      </c>
      <c r="S32" s="206">
        <f>_xlfn.XLOOKUP(tblPMView[[#This Row],[Hostname]],tblTM[common_assetName],tblTM[device_custom12])</f>
        <v>0</v>
      </c>
      <c r="T32" s="209" t="str">
        <f>_xlfn.XLOOKUP(tblPMView[[#This Row],[Hostname]],tblTM[common_assetName],tblTM[device_custom26],"",0,1)</f>
        <v>No</v>
      </c>
      <c r="U32" s="210" t="str">
        <f>LEFT(TEXT(_xlfn.XLOOKUP(tblPMView[[#This Row],[Hostname]],tblTM[common_assetName],tblTM[device_custom20],"-",0),""),3)</f>
        <v/>
      </c>
      <c r="V32" s="210" t="str">
        <f>_xlfn.LET(_xlpm.CSInfo,_xlfn.XLOOKUP(tblPMView[[#This Row],[Hostname]],tblTM[common_assetName],tblTM[device_custom33],"-",0),IF(_xlpm.CSInfo="Discovered","Yes","No"))</f>
        <v>Yes</v>
      </c>
      <c r="W32" s="211" t="str">
        <f>IF(LOWER(LEFT(_xlfn.XLOOKUP(tblPMView[[#This Row],[Hostname]],tblTM[common_assetName],tblTM[device_custom45],"",0,1),1))="y","Yes","No")</f>
        <v>No</v>
      </c>
      <c r="X32" s="212">
        <f>_xlfn.XLOOKUP(tblPMView[[#This Row],[Hostname]],tblTM[common_assetName],tblTM[device_custom64],"",0)+_xlfn.XLOOKUP(tblPMView[[#This Row],[Hostname]],tblTM[common_assetName],tblTM[device_size],"",0)</f>
        <v>11126.11204</v>
      </c>
      <c r="Y32" s="205">
        <f>_xlfn.XLOOKUP(tblPMView[[#This Row],[Hostname]],tblTM[common_assetName],tblTM[device_custom29],"",0)</f>
        <v>0</v>
      </c>
      <c r="Z32" s="205"/>
      <c r="AA32" s="205"/>
    </row>
    <row r="33" spans="1:27" ht="13" x14ac:dyDescent="0.3">
      <c r="A33" s="205"/>
      <c r="B33" s="205">
        <v>672040</v>
      </c>
      <c r="C33" s="206" t="str">
        <f>_xlfn.XLOOKUP(tblPMView[[#This Row],[AssetDependencyId]],tblDependencies[AssetDependencyId],tblDependencies[AssetName],"",0,1)</f>
        <v>Kafka-Test</v>
      </c>
      <c r="D33" s="206" t="str">
        <f>_xlfn.LET(_xlpm.mea,_xlfn.XLOOKUP(tblPMView[[#This Row],[AssetDependencyId]],tblDependencies[AssetDependencyId],tblDependencies[AssetBundle],"",0,1),IF(LEFT(LOWER(_xlpm.mea),8)="appgroup",CONCATENATE("MEA",MID(_xlpm.mea,10,LEN(_xlpm.mea)-7)),_xlpm.mea))</f>
        <v>MEA190</v>
      </c>
      <c r="E33" s="206" t="str">
        <f>_xlfn.LET(_xlpm.mea,_xlfn.XLOOKUP(tblPMView[[#This Row],[AssetDependencyId]],tblDependencies[AssetDependencyId],tblDependencies[DependentBundle],"",0,1),IF(LEFT(LOWER(_xlpm.mea),8)="appgroup",CONCATENATE("MEA",MID(_xlpm.mea,10,LEN(_xlpm.mea)-7)),_xlpm.mea))</f>
        <v>MEA190</v>
      </c>
      <c r="F33" s="206" t="str">
        <f>_xlfn.XLOOKUP(tblPMView[[#This Row],[AssetDependencyId]],tblDependencies[AssetDependencyId],tblDependencies[DependentName],"",0,1)</f>
        <v>dc04tlpkaf400</v>
      </c>
      <c r="G33" s="207"/>
      <c r="H33" s="206" t="str">
        <f>_xlfn.XLOOKUP(tblPMView[[#This Row],[Hostname]],tblTM[common_assetName],tblTM[common_environment],"",0,1)</f>
        <v>Test</v>
      </c>
      <c r="I33" s="205" t="str">
        <f>_xlfn.XLOOKUP(tblPMView[[#This Row],[Hostname]],tblTM[common_assetName],tblTM[device_shortName],"",0,1)</f>
        <v>dc04tlpkaf400.wellpoint.com</v>
      </c>
      <c r="J33" s="205" t="str">
        <f>_xlfn.XLOOKUP(tblPMView[[#This Row],[Hostname]],tblTM[common_assetName],tblTM[device_assetType],"",0,1)</f>
        <v>Server</v>
      </c>
      <c r="K33" s="206" t="str">
        <f>TEXT(_xlfn.XLOOKUP(tblPMView[[#This Row],[Hostname]],tblTM[common_assetName],tblTM[device_custom60],"",0,1),"")</f>
        <v>P2P</v>
      </c>
      <c r="L33" s="205" t="str">
        <f>_xlfn.XLOOKUP(tblPMView[[#This Row],[Hostname]],tblTM[common_assetName],tblTM[device_ipAddress],"",0,1)</f>
        <v>10.152.28.98</v>
      </c>
      <c r="M33"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3" s="206" t="str">
        <f>TEXT(_xlfn.XLOOKUP(tblPMView[[#This Row],[Hostname]],tblTM[common_assetName],tblTM[device_custom35],"-",0),"")</f>
        <v/>
      </c>
      <c r="O33" s="205" t="str">
        <f>_xlfn.XLOOKUP(LEFT(tblPMView[[#This Row],[Hostname]],4),tblLocationCodes[LocAbbr],tblLocationCodes[Location],"",0,1)</f>
        <v>Ashburn</v>
      </c>
      <c r="P33"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Dell BMaaS - Ashburn</v>
      </c>
      <c r="Q33" s="206">
        <f>_xlfn.XLOOKUP(tblPMView[[#This Row],[Hostname]],tblTM[common_assetName],tblTM[device_custom17])</f>
        <v>0</v>
      </c>
      <c r="R33" s="206">
        <f>_xlfn.XLOOKUP(tblPMView[[#This Row],[Hostname]],tblTM[common_assetName],tblTM[device_custom14])</f>
        <v>0</v>
      </c>
      <c r="S33" s="206">
        <f>_xlfn.XLOOKUP(tblPMView[[#This Row],[Hostname]],tblTM[common_assetName],tblTM[device_custom12])</f>
        <v>0</v>
      </c>
      <c r="T33" s="209" t="str">
        <f>_xlfn.XLOOKUP(tblPMView[[#This Row],[Hostname]],tblTM[common_assetName],tblTM[device_custom26],"",0,1)</f>
        <v>No</v>
      </c>
      <c r="U33" s="210" t="str">
        <f>LEFT(TEXT(_xlfn.XLOOKUP(tblPMView[[#This Row],[Hostname]],tblTM[common_assetName],tblTM[device_custom20],"-",0),""),3)</f>
        <v/>
      </c>
      <c r="V33" s="210" t="str">
        <f>_xlfn.LET(_xlpm.CSInfo,_xlfn.XLOOKUP(tblPMView[[#This Row],[Hostname]],tblTM[common_assetName],tblTM[device_custom33],"-",0),IF(_xlpm.CSInfo="Discovered","Yes","No"))</f>
        <v>Yes</v>
      </c>
      <c r="W33" s="211" t="str">
        <f>IF(LOWER(LEFT(_xlfn.XLOOKUP(tblPMView[[#This Row],[Hostname]],tblTM[common_assetName],tblTM[device_custom45],"",0,1),1))="y","Yes","No")</f>
        <v>No</v>
      </c>
      <c r="X33" s="212">
        <f>_xlfn.XLOOKUP(tblPMView[[#This Row],[Hostname]],tblTM[common_assetName],tblTM[device_custom64],"",0)+_xlfn.XLOOKUP(tblPMView[[#This Row],[Hostname]],tblTM[common_assetName],tblTM[device_size],"",0)</f>
        <v>11126.08274</v>
      </c>
      <c r="Y33" s="205">
        <f>_xlfn.XLOOKUP(tblPMView[[#This Row],[Hostname]],tblTM[common_assetName],tblTM[device_custom29],"",0)</f>
        <v>0</v>
      </c>
      <c r="Z33" s="205"/>
      <c r="AA33" s="205"/>
    </row>
    <row r="34" spans="1:27" ht="13" x14ac:dyDescent="0.3">
      <c r="A34" s="205"/>
      <c r="B34" s="205">
        <v>672375</v>
      </c>
      <c r="C34" s="206" t="str">
        <f>_xlfn.XLOOKUP(tblPMView[[#This Row],[AssetDependencyId]],tblDependencies[AssetDependencyId],tblDependencies[AssetName],"",0,1)</f>
        <v>SOA/API/DATAPOWER - Enterprise Services-Dev</v>
      </c>
      <c r="D34" s="206" t="str">
        <f>_xlfn.LET(_xlpm.mea,_xlfn.XLOOKUP(tblPMView[[#This Row],[AssetDependencyId]],tblDependencies[AssetDependencyId],tblDependencies[AssetBundle],"",0,1),IF(LEFT(LOWER(_xlpm.mea),8)="appgroup",CONCATENATE("MEA",MID(_xlpm.mea,10,LEN(_xlpm.mea)-7)),_xlpm.mea))</f>
        <v>MEA190</v>
      </c>
      <c r="E34" s="206" t="str">
        <f>_xlfn.LET(_xlpm.mea,_xlfn.XLOOKUP(tblPMView[[#This Row],[AssetDependencyId]],tblDependencies[AssetDependencyId],tblDependencies[DependentBundle],"",0,1),IF(LEFT(LOWER(_xlpm.mea),8)="appgroup",CONCATENATE("MEA",MID(_xlpm.mea,10,LEN(_xlpm.mea)-7)),_xlpm.mea))</f>
        <v>MEA190</v>
      </c>
      <c r="F34" s="206" t="str">
        <f>_xlfn.XLOOKUP(tblPMView[[#This Row],[AssetDependencyId]],tblDependencies[AssetDependencyId],tblDependencies[DependentName],"",0,1)</f>
        <v>va10n10145</v>
      </c>
      <c r="G34" s="207"/>
      <c r="H34" s="206" t="str">
        <f>_xlfn.XLOOKUP(tblPMView[[#This Row],[Hostname]],tblTM[common_assetName],tblTM[common_environment],"",0,1)</f>
        <v>Development</v>
      </c>
      <c r="I34" s="205" t="str">
        <f>_xlfn.XLOOKUP(tblPMView[[#This Row],[Hostname]],tblTM[common_assetName],tblTM[device_shortName],"",0,1)</f>
        <v>VA10N10145.WELLPOINT.COM</v>
      </c>
      <c r="J34" s="205" t="str">
        <f>_xlfn.XLOOKUP(tblPMView[[#This Row],[Hostname]],tblTM[common_assetName],tblTM[device_assetType],"",0,1)</f>
        <v>AIX-LPAR</v>
      </c>
      <c r="K34" s="206" t="str">
        <f>TEXT(_xlfn.XLOOKUP(tblPMView[[#This Row],[Hostname]],tblTM[common_assetName],tblTM[device_custom60],"",0,1),"")</f>
        <v/>
      </c>
      <c r="L34" s="205" t="str">
        <f>_xlfn.XLOOKUP(tblPMView[[#This Row],[Hostname]],tblTM[common_assetName],tblTM[device_ipAddress],"",0,1)</f>
        <v>30.135.106.114,30.135.106.115,30.135.106.117</v>
      </c>
      <c r="M34"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4" s="206" t="str">
        <f>TEXT(_xlfn.XLOOKUP(tblPMView[[#This Row],[Hostname]],tblTM[common_assetName],tblTM[device_custom35],"-",0),"")</f>
        <v>MQ</v>
      </c>
      <c r="O34" s="205" t="str">
        <f>_xlfn.XLOOKUP(LEFT(tblPMView[[#This Row],[Hostname]],4),tblLocationCodes[LocAbbr],tblLocationCodes[Location],"",0,1)</f>
        <v>Richmond</v>
      </c>
      <c r="P34"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34" s="206">
        <f>_xlfn.XLOOKUP(tblPMView[[#This Row],[Hostname]],tblTM[common_assetName],tblTM[device_custom17])</f>
        <v>0</v>
      </c>
      <c r="R34" s="206">
        <f>_xlfn.XLOOKUP(tblPMView[[#This Row],[Hostname]],tblTM[common_assetName],tblTM[device_custom14])</f>
        <v>0</v>
      </c>
      <c r="S34" s="206">
        <f>_xlfn.XLOOKUP(tblPMView[[#This Row],[Hostname]],tblTM[common_assetName],tblTM[device_custom12])</f>
        <v>0</v>
      </c>
      <c r="T34" s="209" t="str">
        <f>_xlfn.XLOOKUP(tblPMView[[#This Row],[Hostname]],tblTM[common_assetName],tblTM[device_custom26],"",0,1)</f>
        <v>No</v>
      </c>
      <c r="U34" s="210" t="str">
        <f>LEFT(TEXT(_xlfn.XLOOKUP(tblPMView[[#This Row],[Hostname]],tblTM[common_assetName],tblTM[device_custom20],"-",0),""),3)</f>
        <v/>
      </c>
      <c r="V34" s="210" t="str">
        <f>_xlfn.LET(_xlpm.CSInfo,_xlfn.XLOOKUP(tblPMView[[#This Row],[Hostname]],tblTM[common_assetName],tblTM[device_custom33],"-",0),IF(_xlpm.CSInfo="Discovered","Yes","No"))</f>
        <v>Yes</v>
      </c>
      <c r="W34" s="211" t="str">
        <f>IF(LOWER(LEFT(_xlfn.XLOOKUP(tblPMView[[#This Row],[Hostname]],tblTM[common_assetName],tblTM[device_custom45],"",0,1),1))="y","Yes","No")</f>
        <v>No</v>
      </c>
      <c r="X34" s="212">
        <f>_xlfn.XLOOKUP(tblPMView[[#This Row],[Hostname]],tblTM[common_assetName],tblTM[device_custom64],"",0)+_xlfn.XLOOKUP(tblPMView[[#This Row],[Hostname]],tblTM[common_assetName],tblTM[device_size],"",0)</f>
        <v>265.625</v>
      </c>
      <c r="Y34" s="205">
        <f>_xlfn.XLOOKUP(tblPMView[[#This Row],[Hostname]],tblTM[common_assetName],tblTM[device_custom29],"",0)</f>
        <v>0</v>
      </c>
      <c r="Z34" s="205"/>
      <c r="AA34" s="205"/>
    </row>
    <row r="35" spans="1:27" ht="13" x14ac:dyDescent="0.3">
      <c r="A35" s="205"/>
      <c r="B35" s="205">
        <v>672376</v>
      </c>
      <c r="C35" s="206" t="str">
        <f>_xlfn.XLOOKUP(tblPMView[[#This Row],[AssetDependencyId]],tblDependencies[AssetDependencyId],tblDependencies[AssetName],"",0,1)</f>
        <v>SOA/API/DATAPOWER - Enterprise Services-Dev</v>
      </c>
      <c r="D35" s="206" t="str">
        <f>_xlfn.LET(_xlpm.mea,_xlfn.XLOOKUP(tblPMView[[#This Row],[AssetDependencyId]],tblDependencies[AssetDependencyId],tblDependencies[AssetBundle],"",0,1),IF(LEFT(LOWER(_xlpm.mea),8)="appgroup",CONCATENATE("MEA",MID(_xlpm.mea,10,LEN(_xlpm.mea)-7)),_xlpm.mea))</f>
        <v>MEA190</v>
      </c>
      <c r="E35" s="206" t="str">
        <f>_xlfn.LET(_xlpm.mea,_xlfn.XLOOKUP(tblPMView[[#This Row],[AssetDependencyId]],tblDependencies[AssetDependencyId],tblDependencies[DependentBundle],"",0,1),IF(LEFT(LOWER(_xlpm.mea),8)="appgroup",CONCATENATE("MEA",MID(_xlpm.mea,10,LEN(_xlpm.mea)-7)),_xlpm.mea))</f>
        <v>MEA190</v>
      </c>
      <c r="F35" s="206" t="str">
        <f>_xlfn.XLOOKUP(tblPMView[[#This Row],[AssetDependencyId]],tblDependencies[AssetDependencyId],tblDependencies[DependentName],"",0,1)</f>
        <v>va10n10144</v>
      </c>
      <c r="G35" s="207"/>
      <c r="H35" s="206" t="str">
        <f>_xlfn.XLOOKUP(tblPMView[[#This Row],[Hostname]],tblTM[common_assetName],tblTM[common_environment],"",0,1)</f>
        <v>Development</v>
      </c>
      <c r="I35" s="205" t="str">
        <f>_xlfn.XLOOKUP(tblPMView[[#This Row],[Hostname]],tblTM[common_assetName],tblTM[device_shortName],"",0,1)</f>
        <v>VA10N10144.WELLPOINT.COM</v>
      </c>
      <c r="J35" s="205" t="str">
        <f>_xlfn.XLOOKUP(tblPMView[[#This Row],[Hostname]],tblTM[common_assetName],tblTM[device_assetType],"",0,1)</f>
        <v>AIX-LPAR</v>
      </c>
      <c r="K35" s="206" t="str">
        <f>TEXT(_xlfn.XLOOKUP(tblPMView[[#This Row],[Hostname]],tblTM[common_assetName],tblTM[device_custom60],"",0,1),"")</f>
        <v/>
      </c>
      <c r="L35" s="205" t="str">
        <f>_xlfn.XLOOKUP(tblPMView[[#This Row],[Hostname]],tblTM[common_assetName],tblTM[device_ipAddress],"",0,1)</f>
        <v>30.135.106.116,30.135.106.112,30.135.106.113</v>
      </c>
      <c r="M35"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5" s="206" t="str">
        <f>TEXT(_xlfn.XLOOKUP(tblPMView[[#This Row],[Hostname]],tblTM[common_assetName],tblTM[device_custom35],"-",0),"")</f>
        <v>MQ</v>
      </c>
      <c r="O35" s="205" t="str">
        <f>_xlfn.XLOOKUP(LEFT(tblPMView[[#This Row],[Hostname]],4),tblLocationCodes[LocAbbr],tblLocationCodes[Location],"",0,1)</f>
        <v>Richmond</v>
      </c>
      <c r="P35"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35" s="206">
        <f>_xlfn.XLOOKUP(tblPMView[[#This Row],[Hostname]],tblTM[common_assetName],tblTM[device_custom17])</f>
        <v>0</v>
      </c>
      <c r="R35" s="206">
        <f>_xlfn.XLOOKUP(tblPMView[[#This Row],[Hostname]],tblTM[common_assetName],tblTM[device_custom14])</f>
        <v>0</v>
      </c>
      <c r="S35" s="206">
        <f>_xlfn.XLOOKUP(tblPMView[[#This Row],[Hostname]],tblTM[common_assetName],tblTM[device_custom12])</f>
        <v>0</v>
      </c>
      <c r="T35" s="209" t="str">
        <f>_xlfn.XLOOKUP(tblPMView[[#This Row],[Hostname]],tblTM[common_assetName],tblTM[device_custom26],"",0,1)</f>
        <v>No</v>
      </c>
      <c r="U35" s="210" t="str">
        <f>LEFT(TEXT(_xlfn.XLOOKUP(tblPMView[[#This Row],[Hostname]],tblTM[common_assetName],tblTM[device_custom20],"-",0),""),3)</f>
        <v/>
      </c>
      <c r="V35" s="210" t="str">
        <f>_xlfn.LET(_xlpm.CSInfo,_xlfn.XLOOKUP(tblPMView[[#This Row],[Hostname]],tblTM[common_assetName],tblTM[device_custom33],"-",0),IF(_xlpm.CSInfo="Discovered","Yes","No"))</f>
        <v>Yes</v>
      </c>
      <c r="W35" s="211" t="str">
        <f>IF(LOWER(LEFT(_xlfn.XLOOKUP(tblPMView[[#This Row],[Hostname]],tblTM[common_assetName],tblTM[device_custom45],"",0,1),1))="y","Yes","No")</f>
        <v>No</v>
      </c>
      <c r="X35" s="212">
        <f>_xlfn.XLOOKUP(tblPMView[[#This Row],[Hostname]],tblTM[common_assetName],tblTM[device_custom64],"",0)+_xlfn.XLOOKUP(tblPMView[[#This Row],[Hostname]],tblTM[common_assetName],tblTM[device_size],"",0)</f>
        <v>266</v>
      </c>
      <c r="Y35" s="205">
        <f>_xlfn.XLOOKUP(tblPMView[[#This Row],[Hostname]],tblTM[common_assetName],tblTM[device_custom29],"",0)</f>
        <v>0</v>
      </c>
      <c r="Z35" s="205"/>
      <c r="AA35" s="205"/>
    </row>
    <row r="36" spans="1:27" ht="13" x14ac:dyDescent="0.3">
      <c r="A36" s="205"/>
      <c r="B36" s="205">
        <v>568402</v>
      </c>
      <c r="C36" s="206" t="str">
        <f>_xlfn.XLOOKUP(tblPMView[[#This Row],[AssetDependencyId]],tblDependencies[AssetDependencyId],tblDependencies[AssetName],"",0,1)</f>
        <v>SOA - Enterprise 27X HIPAA Application-Dev</v>
      </c>
      <c r="D36" s="206" t="str">
        <f>_xlfn.LET(_xlpm.mea,_xlfn.XLOOKUP(tblPMView[[#This Row],[AssetDependencyId]],tblDependencies[AssetDependencyId],tblDependencies[AssetBundle],"",0,1),IF(LEFT(LOWER(_xlpm.mea),8)="appgroup",CONCATENATE("MEA",MID(_xlpm.mea,10,LEN(_xlpm.mea)-7)),_xlpm.mea))</f>
        <v>MEA170</v>
      </c>
      <c r="E36" s="206" t="str">
        <f>_xlfn.LET(_xlpm.mea,_xlfn.XLOOKUP(tblPMView[[#This Row],[AssetDependencyId]],tblDependencies[AssetDependencyId],tblDependencies[DependentBundle],"",0,1),IF(LEFT(LOWER(_xlpm.mea),8)="appgroup",CONCATENATE("MEA",MID(_xlpm.mea,10,LEN(_xlpm.mea)-7)),_xlpm.mea))</f>
        <v>MEA190</v>
      </c>
      <c r="F36" s="206" t="str">
        <f>_xlfn.XLOOKUP(tblPMView[[#This Row],[AssetDependencyId]],tblDependencies[AssetDependencyId],tblDependencies[DependentName],"",0,1)</f>
        <v>vaathmr431</v>
      </c>
      <c r="G36" s="207"/>
      <c r="H36" s="206" t="str">
        <f>_xlfn.XLOOKUP(tblPMView[[#This Row],[Hostname]],tblTM[common_assetName],tblTM[common_environment],"",0,1)</f>
        <v>Development</v>
      </c>
      <c r="I36" s="205" t="str">
        <f>_xlfn.XLOOKUP(tblPMView[[#This Row],[Hostname]],tblTM[common_assetName],tblTM[device_shortName],"",0,1)</f>
        <v>VAATHMR431.WELLPOINT.COM</v>
      </c>
      <c r="J36" s="205" t="str">
        <f>_xlfn.XLOOKUP(tblPMView[[#This Row],[Hostname]],tblTM[common_assetName],tblTM[device_assetType],"",0,1)</f>
        <v>AIX-LPAR</v>
      </c>
      <c r="K36" s="206" t="str">
        <f>TEXT(_xlfn.XLOOKUP(tblPMView[[#This Row],[Hostname]],tblTM[common_assetName],tblTM[device_custom60],"",0,1),"")</f>
        <v/>
      </c>
      <c r="L36" s="205" t="str">
        <f>_xlfn.XLOOKUP(tblPMView[[#This Row],[Hostname]],tblTM[common_assetName],tblTM[device_ipAddress],"",0,1)</f>
        <v>30.135.64.235</v>
      </c>
      <c r="M36"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6" s="206" t="str">
        <f>TEXT(_xlfn.XLOOKUP(tblPMView[[#This Row],[Hostname]],tblTM[common_assetName],tblTM[device_custom35],"-",0),"")</f>
        <v>MQ</v>
      </c>
      <c r="O36" s="205" t="str">
        <f>_xlfn.XLOOKUP(LEFT(tblPMView[[#This Row],[Hostname]],4),tblLocationCodes[LocAbbr],tblLocationCodes[Location],"",0,1)</f>
        <v/>
      </c>
      <c r="P36"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36" s="206">
        <f>_xlfn.XLOOKUP(tblPMView[[#This Row],[Hostname]],tblTM[common_assetName],tblTM[device_custom17])</f>
        <v>0</v>
      </c>
      <c r="R36" s="206">
        <f>_xlfn.XLOOKUP(tblPMView[[#This Row],[Hostname]],tblTM[common_assetName],tblTM[device_custom14])</f>
        <v>0</v>
      </c>
      <c r="S36" s="206">
        <f>_xlfn.XLOOKUP(tblPMView[[#This Row],[Hostname]],tblTM[common_assetName],tblTM[device_custom12])</f>
        <v>0</v>
      </c>
      <c r="T36" s="209" t="str">
        <f>_xlfn.XLOOKUP(tblPMView[[#This Row],[Hostname]],tblTM[common_assetName],tblTM[device_custom26],"",0,1)</f>
        <v>No</v>
      </c>
      <c r="U36" s="210" t="str">
        <f>LEFT(TEXT(_xlfn.XLOOKUP(tblPMView[[#This Row],[Hostname]],tblTM[common_assetName],tblTM[device_custom20],"-",0),""),3)</f>
        <v/>
      </c>
      <c r="V36" s="210" t="str">
        <f>_xlfn.LET(_xlpm.CSInfo,_xlfn.XLOOKUP(tblPMView[[#This Row],[Hostname]],tblTM[common_assetName],tblTM[device_custom33],"-",0),IF(_xlpm.CSInfo="Discovered","Yes","No"))</f>
        <v>No</v>
      </c>
      <c r="W36" s="211" t="str">
        <f>IF(LOWER(LEFT(_xlfn.XLOOKUP(tblPMView[[#This Row],[Hostname]],tblTM[common_assetName],tblTM[device_custom45],"",0,1),1))="y","Yes","No")</f>
        <v>No</v>
      </c>
      <c r="X36" s="212">
        <f>_xlfn.XLOOKUP(tblPMView[[#This Row],[Hostname]],tblTM[common_assetName],tblTM[device_custom64],"",0)+_xlfn.XLOOKUP(tblPMView[[#This Row],[Hostname]],tblTM[common_assetName],tblTM[device_size],"",0)</f>
        <v>558</v>
      </c>
      <c r="Y36" s="205">
        <f>_xlfn.XLOOKUP(tblPMView[[#This Row],[Hostname]],tblTM[common_assetName],tblTM[device_custom29],"",0)</f>
        <v>0</v>
      </c>
      <c r="Z36" s="205"/>
      <c r="AA36" s="205"/>
    </row>
    <row r="37" spans="1:27" ht="13" x14ac:dyDescent="0.3">
      <c r="A37" s="205"/>
      <c r="B37" s="205">
        <v>568455</v>
      </c>
      <c r="C37" s="206" t="str">
        <f>_xlfn.XLOOKUP(tblPMView[[#This Row],[AssetDependencyId]],tblDependencies[AssetDependencyId],tblDependencies[AssetName],"",0,1)</f>
        <v>SOA Atomic Services-Dev</v>
      </c>
      <c r="D37" s="206" t="str">
        <f>_xlfn.LET(_xlpm.mea,_xlfn.XLOOKUP(tblPMView[[#This Row],[AssetDependencyId]],tblDependencies[AssetDependencyId],tblDependencies[AssetBundle],"",0,1),IF(LEFT(LOWER(_xlpm.mea),8)="appgroup",CONCATENATE("MEA",MID(_xlpm.mea,10,LEN(_xlpm.mea)-7)),_xlpm.mea))</f>
        <v>MEA170</v>
      </c>
      <c r="E37" s="206" t="str">
        <f>_xlfn.LET(_xlpm.mea,_xlfn.XLOOKUP(tblPMView[[#This Row],[AssetDependencyId]],tblDependencies[AssetDependencyId],tblDependencies[DependentBundle],"",0,1),IF(LEFT(LOWER(_xlpm.mea),8)="appgroup",CONCATENATE("MEA",MID(_xlpm.mea,10,LEN(_xlpm.mea)-7)),_xlpm.mea))</f>
        <v>MEA190</v>
      </c>
      <c r="F37" s="206" t="str">
        <f>_xlfn.XLOOKUP(tblPMView[[#This Row],[AssetDependencyId]],tblDependencies[AssetDependencyId],tblDependencies[DependentName],"",0,1)</f>
        <v>vaathmr421</v>
      </c>
      <c r="G37" s="207"/>
      <c r="H37" s="206" t="str">
        <f>_xlfn.XLOOKUP(tblPMView[[#This Row],[Hostname]],tblTM[common_assetName],tblTM[common_environment],"",0,1)</f>
        <v>Development</v>
      </c>
      <c r="I37" s="205" t="str">
        <f>_xlfn.XLOOKUP(tblPMView[[#This Row],[Hostname]],tblTM[common_assetName],tblTM[device_shortName],"",0,1)</f>
        <v>VAATHMR421.WELLPOINT.COM</v>
      </c>
      <c r="J37" s="205" t="str">
        <f>_xlfn.XLOOKUP(tblPMView[[#This Row],[Hostname]],tblTM[common_assetName],tblTM[device_assetType],"",0,1)</f>
        <v>AIX-LPAR</v>
      </c>
      <c r="K37" s="206" t="str">
        <f>TEXT(_xlfn.XLOOKUP(tblPMView[[#This Row],[Hostname]],tblTM[common_assetName],tblTM[device_custom60],"",0,1),"")</f>
        <v/>
      </c>
      <c r="L37" s="205" t="str">
        <f>_xlfn.XLOOKUP(tblPMView[[#This Row],[Hostname]],tblTM[common_assetName],tblTM[device_ipAddress],"",0,1)</f>
        <v>30.135.64.220,30.135.64.221,30.135.64.26</v>
      </c>
      <c r="M37"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7" s="206" t="str">
        <f>TEXT(_xlfn.XLOOKUP(tblPMView[[#This Row],[Hostname]],tblTM[common_assetName],tblTM[device_custom35],"-",0),"")</f>
        <v/>
      </c>
      <c r="O37" s="205" t="str">
        <f>_xlfn.XLOOKUP(LEFT(tblPMView[[#This Row],[Hostname]],4),tblLocationCodes[LocAbbr],tblLocationCodes[Location],"",0,1)</f>
        <v/>
      </c>
      <c r="P37"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37" s="206">
        <f>_xlfn.XLOOKUP(tblPMView[[#This Row],[Hostname]],tblTM[common_assetName],tblTM[device_custom17])</f>
        <v>0</v>
      </c>
      <c r="R37" s="206">
        <f>_xlfn.XLOOKUP(tblPMView[[#This Row],[Hostname]],tblTM[common_assetName],tblTM[device_custom14])</f>
        <v>0</v>
      </c>
      <c r="S37" s="206">
        <f>_xlfn.XLOOKUP(tblPMView[[#This Row],[Hostname]],tblTM[common_assetName],tblTM[device_custom12])</f>
        <v>0</v>
      </c>
      <c r="T37" s="209" t="str">
        <f>_xlfn.XLOOKUP(tblPMView[[#This Row],[Hostname]],tblTM[common_assetName],tblTM[device_custom26],"",0,1)</f>
        <v>No</v>
      </c>
      <c r="U37" s="210" t="str">
        <f>LEFT(TEXT(_xlfn.XLOOKUP(tblPMView[[#This Row],[Hostname]],tblTM[common_assetName],tblTM[device_custom20],"-",0),""),3)</f>
        <v/>
      </c>
      <c r="V37" s="210" t="str">
        <f>_xlfn.LET(_xlpm.CSInfo,_xlfn.XLOOKUP(tblPMView[[#This Row],[Hostname]],tblTM[common_assetName],tblTM[device_custom33],"-",0),IF(_xlpm.CSInfo="Discovered","Yes","No"))</f>
        <v>Yes</v>
      </c>
      <c r="W37" s="211" t="str">
        <f>IF(LOWER(LEFT(_xlfn.XLOOKUP(tblPMView[[#This Row],[Hostname]],tblTM[common_assetName],tblTM[device_custom45],"",0,1),1))="y","Yes","No")</f>
        <v>No</v>
      </c>
      <c r="X37" s="212">
        <f>_xlfn.XLOOKUP(tblPMView[[#This Row],[Hostname]],tblTM[common_assetName],tblTM[device_custom64],"",0)+_xlfn.XLOOKUP(tblPMView[[#This Row],[Hostname]],tblTM[common_assetName],tblTM[device_size],"",0)</f>
        <v>301</v>
      </c>
      <c r="Y37" s="205">
        <f>_xlfn.XLOOKUP(tblPMView[[#This Row],[Hostname]],tblTM[common_assetName],tblTM[device_custom29],"",0)</f>
        <v>0</v>
      </c>
      <c r="Z37" s="205"/>
      <c r="AA37" s="205"/>
    </row>
    <row r="38" spans="1:27" ht="13" x14ac:dyDescent="0.3">
      <c r="A38" s="205"/>
      <c r="B38" s="205">
        <v>568456</v>
      </c>
      <c r="C38" s="206" t="str">
        <f>_xlfn.XLOOKUP(tblPMView[[#This Row],[AssetDependencyId]],tblDependencies[AssetDependencyId],tblDependencies[AssetName],"",0,1)</f>
        <v>SOA Atomic Services-Dev</v>
      </c>
      <c r="D38" s="206" t="str">
        <f>_xlfn.LET(_xlpm.mea,_xlfn.XLOOKUP(tblPMView[[#This Row],[AssetDependencyId]],tblDependencies[AssetDependencyId],tblDependencies[AssetBundle],"",0,1),IF(LEFT(LOWER(_xlpm.mea),8)="appgroup",CONCATENATE("MEA",MID(_xlpm.mea,10,LEN(_xlpm.mea)-7)),_xlpm.mea))</f>
        <v>MEA170</v>
      </c>
      <c r="E38" s="206" t="str">
        <f>_xlfn.LET(_xlpm.mea,_xlfn.XLOOKUP(tblPMView[[#This Row],[AssetDependencyId]],tblDependencies[AssetDependencyId],tblDependencies[DependentBundle],"",0,1),IF(LEFT(LOWER(_xlpm.mea),8)="appgroup",CONCATENATE("MEA",MID(_xlpm.mea,10,LEN(_xlpm.mea)-7)),_xlpm.mea))</f>
        <v>MEA190</v>
      </c>
      <c r="F38" s="206" t="str">
        <f>_xlfn.XLOOKUP(tblPMView[[#This Row],[AssetDependencyId]],tblDependencies[AssetDependencyId],tblDependencies[DependentName],"",0,1)</f>
        <v>vaathmr435</v>
      </c>
      <c r="G38" s="207"/>
      <c r="H38" s="206" t="str">
        <f>_xlfn.XLOOKUP(tblPMView[[#This Row],[Hostname]],tblTM[common_assetName],tblTM[common_environment],"",0,1)</f>
        <v>Development</v>
      </c>
      <c r="I38" s="205" t="str">
        <f>_xlfn.XLOOKUP(tblPMView[[#This Row],[Hostname]],tblTM[common_assetName],tblTM[device_shortName],"",0,1)</f>
        <v>VAATHMR435.WELLPOINT.COM</v>
      </c>
      <c r="J38" s="205" t="str">
        <f>_xlfn.XLOOKUP(tblPMView[[#This Row],[Hostname]],tblTM[common_assetName],tblTM[device_assetType],"",0,1)</f>
        <v>AIX-LPAR</v>
      </c>
      <c r="K38" s="206" t="str">
        <f>TEXT(_xlfn.XLOOKUP(tblPMView[[#This Row],[Hostname]],tblTM[common_assetName],tblTM[device_custom60],"",0,1),"")</f>
        <v/>
      </c>
      <c r="L38" s="205" t="str">
        <f>_xlfn.XLOOKUP(tblPMView[[#This Row],[Hostname]],tblTM[common_assetName],tblTM[device_ipAddress],"",0,1)</f>
        <v>30.135.64.238,30.135.64.40</v>
      </c>
      <c r="M38"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8" s="206" t="str">
        <f>TEXT(_xlfn.XLOOKUP(tblPMView[[#This Row],[Hostname]],tblTM[common_assetName],tblTM[device_custom35],"-",0),"")</f>
        <v/>
      </c>
      <c r="O38" s="205" t="str">
        <f>_xlfn.XLOOKUP(LEFT(tblPMView[[#This Row],[Hostname]],4),tblLocationCodes[LocAbbr],tblLocationCodes[Location],"",0,1)</f>
        <v/>
      </c>
      <c r="P38"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38" s="206">
        <f>_xlfn.XLOOKUP(tblPMView[[#This Row],[Hostname]],tblTM[common_assetName],tblTM[device_custom17])</f>
        <v>0</v>
      </c>
      <c r="R38" s="206">
        <f>_xlfn.XLOOKUP(tblPMView[[#This Row],[Hostname]],tblTM[common_assetName],tblTM[device_custom14])</f>
        <v>0</v>
      </c>
      <c r="S38" s="206">
        <f>_xlfn.XLOOKUP(tblPMView[[#This Row],[Hostname]],tblTM[common_assetName],tblTM[device_custom12])</f>
        <v>0</v>
      </c>
      <c r="T38" s="209" t="str">
        <f>_xlfn.XLOOKUP(tblPMView[[#This Row],[Hostname]],tblTM[common_assetName],tblTM[device_custom26],"",0,1)</f>
        <v>No</v>
      </c>
      <c r="U38" s="210" t="str">
        <f>LEFT(TEXT(_xlfn.XLOOKUP(tblPMView[[#This Row],[Hostname]],tblTM[common_assetName],tblTM[device_custom20],"-",0),""),3)</f>
        <v/>
      </c>
      <c r="V38" s="210" t="str">
        <f>_xlfn.LET(_xlpm.CSInfo,_xlfn.XLOOKUP(tblPMView[[#This Row],[Hostname]],tblTM[common_assetName],tblTM[device_custom33],"-",0),IF(_xlpm.CSInfo="Discovered","Yes","No"))</f>
        <v>Yes</v>
      </c>
      <c r="W38" s="211" t="str">
        <f>IF(LOWER(LEFT(_xlfn.XLOOKUP(tblPMView[[#This Row],[Hostname]],tblTM[common_assetName],tblTM[device_custom45],"",0,1),1))="y","Yes","No")</f>
        <v>No</v>
      </c>
      <c r="X38" s="212">
        <f>_xlfn.XLOOKUP(tblPMView[[#This Row],[Hostname]],tblTM[common_assetName],tblTM[device_custom64],"",0)+_xlfn.XLOOKUP(tblPMView[[#This Row],[Hostname]],tblTM[common_assetName],tblTM[device_size],"",0)</f>
        <v>178.4375</v>
      </c>
      <c r="Y38" s="205">
        <f>_xlfn.XLOOKUP(tblPMView[[#This Row],[Hostname]],tblTM[common_assetName],tblTM[device_custom29],"",0)</f>
        <v>0</v>
      </c>
      <c r="Z38" s="205"/>
      <c r="AA38" s="205"/>
    </row>
    <row r="39" spans="1:27" ht="13" x14ac:dyDescent="0.3">
      <c r="A39" s="205"/>
      <c r="B39" s="205">
        <v>568514</v>
      </c>
      <c r="C39" s="206" t="str">
        <f>_xlfn.XLOOKUP(tblPMView[[#This Row],[AssetDependencyId]],tblDependencies[AssetDependencyId],tblDependencies[AssetName],"",0,1)</f>
        <v>SOA/API - Enterprise Services-Dev</v>
      </c>
      <c r="D39" s="206" t="str">
        <f>_xlfn.LET(_xlpm.mea,_xlfn.XLOOKUP(tblPMView[[#This Row],[AssetDependencyId]],tblDependencies[AssetDependencyId],tblDependencies[AssetBundle],"",0,1),IF(LEFT(LOWER(_xlpm.mea),8)="appgroup",CONCATENATE("MEA",MID(_xlpm.mea,10,LEN(_xlpm.mea)-7)),_xlpm.mea))</f>
        <v>MEA195B</v>
      </c>
      <c r="E39" s="206" t="str">
        <f>_xlfn.LET(_xlpm.mea,_xlfn.XLOOKUP(tblPMView[[#This Row],[AssetDependencyId]],tblDependencies[AssetDependencyId],tblDependencies[DependentBundle],"",0,1),IF(LEFT(LOWER(_xlpm.mea),8)="appgroup",CONCATENATE("MEA",MID(_xlpm.mea,10,LEN(_xlpm.mea)-7)),_xlpm.mea))</f>
        <v>MEA190</v>
      </c>
      <c r="F39" s="206" t="str">
        <f>_xlfn.XLOOKUP(tblPMView[[#This Row],[AssetDependencyId]],tblDependencies[AssetDependencyId],tblDependencies[DependentName],"",0,1)</f>
        <v>va10n10180</v>
      </c>
      <c r="G39" s="207"/>
      <c r="H39" s="206" t="str">
        <f>_xlfn.XLOOKUP(tblPMView[[#This Row],[Hostname]],tblTM[common_assetName],tblTM[common_environment],"",0,1)</f>
        <v>Development</v>
      </c>
      <c r="I39" s="205" t="str">
        <f>_xlfn.XLOOKUP(tblPMView[[#This Row],[Hostname]],tblTM[common_assetName],tblTM[device_shortName],"",0,1)</f>
        <v>VA10N10180.WELLPOINT.COM</v>
      </c>
      <c r="J39" s="205" t="str">
        <f>_xlfn.XLOOKUP(tblPMView[[#This Row],[Hostname]],tblTM[common_assetName],tblTM[device_assetType],"",0,1)</f>
        <v>AIX-LPAR</v>
      </c>
      <c r="K39" s="206" t="str">
        <f>TEXT(_xlfn.XLOOKUP(tblPMView[[#This Row],[Hostname]],tblTM[common_assetName],tblTM[device_custom60],"",0,1),"")</f>
        <v/>
      </c>
      <c r="L39" s="205" t="str">
        <f>_xlfn.XLOOKUP(tblPMView[[#This Row],[Hostname]],tblTM[common_assetName],tblTM[device_ipAddress],"",0,1)</f>
        <v>30.135.106.133</v>
      </c>
      <c r="M39"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9" s="206" t="str">
        <f>TEXT(_xlfn.XLOOKUP(tblPMView[[#This Row],[Hostname]],tblTM[common_assetName],tblTM[device_custom35],"-",0),"")</f>
        <v>WebSphere</v>
      </c>
      <c r="O39" s="205" t="str">
        <f>_xlfn.XLOOKUP(LEFT(tblPMView[[#This Row],[Hostname]],4),tblLocationCodes[LocAbbr],tblLocationCodes[Location],"",0,1)</f>
        <v>Richmond</v>
      </c>
      <c r="P39"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39" s="206">
        <f>_xlfn.XLOOKUP(tblPMView[[#This Row],[Hostname]],tblTM[common_assetName],tblTM[device_custom17])</f>
        <v>0</v>
      </c>
      <c r="R39" s="206">
        <f>_xlfn.XLOOKUP(tblPMView[[#This Row],[Hostname]],tblTM[common_assetName],tblTM[device_custom14])</f>
        <v>0</v>
      </c>
      <c r="S39" s="206">
        <f>_xlfn.XLOOKUP(tblPMView[[#This Row],[Hostname]],tblTM[common_assetName],tblTM[device_custom12])</f>
        <v>0</v>
      </c>
      <c r="T39" s="209" t="str">
        <f>_xlfn.XLOOKUP(tblPMView[[#This Row],[Hostname]],tblTM[common_assetName],tblTM[device_custom26],"",0,1)</f>
        <v>No</v>
      </c>
      <c r="U39" s="210" t="str">
        <f>LEFT(TEXT(_xlfn.XLOOKUP(tblPMView[[#This Row],[Hostname]],tblTM[common_assetName],tblTM[device_custom20],"-",0),""),3)</f>
        <v/>
      </c>
      <c r="V39" s="210" t="str">
        <f>_xlfn.LET(_xlpm.CSInfo,_xlfn.XLOOKUP(tblPMView[[#This Row],[Hostname]],tblTM[common_assetName],tblTM[device_custom33],"-",0),IF(_xlpm.CSInfo="Discovered","Yes","No"))</f>
        <v>Yes</v>
      </c>
      <c r="W39" s="211" t="str">
        <f>IF(LOWER(LEFT(_xlfn.XLOOKUP(tblPMView[[#This Row],[Hostname]],tblTM[common_assetName],tblTM[device_custom45],"",0,1),1))="y","Yes","No")</f>
        <v>Yes</v>
      </c>
      <c r="X39" s="212">
        <f>_xlfn.XLOOKUP(tblPMView[[#This Row],[Hostname]],tblTM[common_assetName],tblTM[device_custom64],"",0)+_xlfn.XLOOKUP(tblPMView[[#This Row],[Hostname]],tblTM[common_assetName],tblTM[device_size],"",0)</f>
        <v>161.875</v>
      </c>
      <c r="Y39" s="205">
        <f>_xlfn.XLOOKUP(tblPMView[[#This Row],[Hostname]],tblTM[common_assetName],tblTM[device_custom29],"",0)</f>
        <v>0</v>
      </c>
      <c r="Z39" s="205"/>
      <c r="AA39" s="205"/>
    </row>
    <row r="40" spans="1:27" ht="13" x14ac:dyDescent="0.3">
      <c r="A40" s="205"/>
      <c r="B40" s="205">
        <v>568515</v>
      </c>
      <c r="C40" s="206" t="str">
        <f>_xlfn.XLOOKUP(tblPMView[[#This Row],[AssetDependencyId]],tblDependencies[AssetDependencyId],tblDependencies[AssetName],"",0,1)</f>
        <v>SOA/API - Enterprise Services-Dev</v>
      </c>
      <c r="D40" s="206" t="str">
        <f>_xlfn.LET(_xlpm.mea,_xlfn.XLOOKUP(tblPMView[[#This Row],[AssetDependencyId]],tblDependencies[AssetDependencyId],tblDependencies[AssetBundle],"",0,1),IF(LEFT(LOWER(_xlpm.mea),8)="appgroup",CONCATENATE("MEA",MID(_xlpm.mea,10,LEN(_xlpm.mea)-7)),_xlpm.mea))</f>
        <v>MEA195B</v>
      </c>
      <c r="E40" s="206" t="str">
        <f>_xlfn.LET(_xlpm.mea,_xlfn.XLOOKUP(tblPMView[[#This Row],[AssetDependencyId]],tblDependencies[AssetDependencyId],tblDependencies[DependentBundle],"",0,1),IF(LEFT(LOWER(_xlpm.mea),8)="appgroup",CONCATENATE("MEA",MID(_xlpm.mea,10,LEN(_xlpm.mea)-7)),_xlpm.mea))</f>
        <v>MEA190</v>
      </c>
      <c r="F40" s="206" t="str">
        <f>_xlfn.XLOOKUP(tblPMView[[#This Row],[AssetDependencyId]],tblDependencies[AssetDependencyId],tblDependencies[DependentName],"",0,1)</f>
        <v>va10n10181</v>
      </c>
      <c r="G40" s="207"/>
      <c r="H40" s="206" t="str">
        <f>_xlfn.XLOOKUP(tblPMView[[#This Row],[Hostname]],tblTM[common_assetName],tblTM[common_environment],"",0,1)</f>
        <v>Development</v>
      </c>
      <c r="I40" s="205" t="str">
        <f>_xlfn.XLOOKUP(tblPMView[[#This Row],[Hostname]],tblTM[common_assetName],tblTM[device_shortName],"",0,1)</f>
        <v>VA10N10181.WELLPOINT.COM</v>
      </c>
      <c r="J40" s="205" t="str">
        <f>_xlfn.XLOOKUP(tblPMView[[#This Row],[Hostname]],tblTM[common_assetName],tblTM[device_assetType],"",0,1)</f>
        <v>AIX-LPAR</v>
      </c>
      <c r="K40" s="206" t="str">
        <f>TEXT(_xlfn.XLOOKUP(tblPMView[[#This Row],[Hostname]],tblTM[common_assetName],tblTM[device_custom60],"",0,1),"")</f>
        <v/>
      </c>
      <c r="L40" s="205" t="str">
        <f>_xlfn.XLOOKUP(tblPMView[[#This Row],[Hostname]],tblTM[common_assetName],tblTM[device_ipAddress],"",0,1)</f>
        <v>30.135.106.134</v>
      </c>
      <c r="M40"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0" s="206" t="str">
        <f>TEXT(_xlfn.XLOOKUP(tblPMView[[#This Row],[Hostname]],tblTM[common_assetName],tblTM[device_custom35],"-",0),"")</f>
        <v>WebSphere</v>
      </c>
      <c r="O40" s="205" t="str">
        <f>_xlfn.XLOOKUP(LEFT(tblPMView[[#This Row],[Hostname]],4),tblLocationCodes[LocAbbr],tblLocationCodes[Location],"",0,1)</f>
        <v>Richmond</v>
      </c>
      <c r="P40"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0" s="206">
        <f>_xlfn.XLOOKUP(tblPMView[[#This Row],[Hostname]],tblTM[common_assetName],tblTM[device_custom17])</f>
        <v>0</v>
      </c>
      <c r="R40" s="206">
        <f>_xlfn.XLOOKUP(tblPMView[[#This Row],[Hostname]],tblTM[common_assetName],tblTM[device_custom14])</f>
        <v>0</v>
      </c>
      <c r="S40" s="206">
        <f>_xlfn.XLOOKUP(tblPMView[[#This Row],[Hostname]],tblTM[common_assetName],tblTM[device_custom12])</f>
        <v>0</v>
      </c>
      <c r="T40" s="209" t="str">
        <f>_xlfn.XLOOKUP(tblPMView[[#This Row],[Hostname]],tblTM[common_assetName],tblTM[device_custom26],"",0,1)</f>
        <v>No</v>
      </c>
      <c r="U40" s="210" t="str">
        <f>LEFT(TEXT(_xlfn.XLOOKUP(tblPMView[[#This Row],[Hostname]],tblTM[common_assetName],tblTM[device_custom20],"-",0),""),3)</f>
        <v/>
      </c>
      <c r="V40" s="210" t="str">
        <f>_xlfn.LET(_xlpm.CSInfo,_xlfn.XLOOKUP(tblPMView[[#This Row],[Hostname]],tblTM[common_assetName],tblTM[device_custom33],"-",0),IF(_xlpm.CSInfo="Discovered","Yes","No"))</f>
        <v>Yes</v>
      </c>
      <c r="W40" s="211" t="str">
        <f>IF(LOWER(LEFT(_xlfn.XLOOKUP(tblPMView[[#This Row],[Hostname]],tblTM[common_assetName],tblTM[device_custom45],"",0,1),1))="y","Yes","No")</f>
        <v>Yes</v>
      </c>
      <c r="X40" s="212">
        <f>_xlfn.XLOOKUP(tblPMView[[#This Row],[Hostname]],tblTM[common_assetName],tblTM[device_custom64],"",0)+_xlfn.XLOOKUP(tblPMView[[#This Row],[Hostname]],tblTM[common_assetName],tblTM[device_size],"",0)</f>
        <v>154.25</v>
      </c>
      <c r="Y40" s="205">
        <f>_xlfn.XLOOKUP(tblPMView[[#This Row],[Hostname]],tblTM[common_assetName],tblTM[device_custom29],"",0)</f>
        <v>0</v>
      </c>
      <c r="Z40" s="205"/>
      <c r="AA40" s="205"/>
    </row>
    <row r="41" spans="1:27" ht="13" x14ac:dyDescent="0.3">
      <c r="A41" s="205"/>
      <c r="B41" s="205">
        <v>569136</v>
      </c>
      <c r="C41" s="206" t="str">
        <f>_xlfn.XLOOKUP(tblPMView[[#This Row],[AssetDependencyId]],tblDependencies[AssetDependencyId],tblDependencies[AssetName],"",0,1)</f>
        <v>SOA/API - Enterprise Services-Dev</v>
      </c>
      <c r="D41" s="206" t="str">
        <f>_xlfn.LET(_xlpm.mea,_xlfn.XLOOKUP(tblPMView[[#This Row],[AssetDependencyId]],tblDependencies[AssetDependencyId],tblDependencies[AssetBundle],"",0,1),IF(LEFT(LOWER(_xlpm.mea),8)="appgroup",CONCATENATE("MEA",MID(_xlpm.mea,10,LEN(_xlpm.mea)-7)),_xlpm.mea))</f>
        <v>MEA195B</v>
      </c>
      <c r="E41" s="206" t="str">
        <f>_xlfn.LET(_xlpm.mea,_xlfn.XLOOKUP(tblPMView[[#This Row],[AssetDependencyId]],tblDependencies[AssetDependencyId],tblDependencies[DependentBundle],"",0,1),IF(LEFT(LOWER(_xlpm.mea),8)="appgroup",CONCATENATE("MEA",MID(_xlpm.mea,10,LEN(_xlpm.mea)-7)),_xlpm.mea))</f>
        <v>MEA190</v>
      </c>
      <c r="F41" s="206" t="str">
        <f>_xlfn.XLOOKUP(tblPMView[[#This Row],[AssetDependencyId]],tblDependencies[AssetDependencyId],tblDependencies[DependentName],"",0,1)</f>
        <v>vaathmr427</v>
      </c>
      <c r="G41" s="207"/>
      <c r="H41" s="206" t="str">
        <f>_xlfn.XLOOKUP(tblPMView[[#This Row],[Hostname]],tblTM[common_assetName],tblTM[common_environment],"",0,1)</f>
        <v>Development</v>
      </c>
      <c r="I41" s="205" t="str">
        <f>_xlfn.XLOOKUP(tblPMView[[#This Row],[Hostname]],tblTM[common_assetName],tblTM[device_shortName],"",0,1)</f>
        <v>VAATHMR427.WELLPOINT.COM</v>
      </c>
      <c r="J41" s="205" t="str">
        <f>_xlfn.XLOOKUP(tblPMView[[#This Row],[Hostname]],tblTM[common_assetName],tblTM[device_assetType],"",0,1)</f>
        <v>AIX-LPAR</v>
      </c>
      <c r="K41" s="206" t="str">
        <f>TEXT(_xlfn.XLOOKUP(tblPMView[[#This Row],[Hostname]],tblTM[common_assetName],tblTM[device_custom60],"",0,1),"")</f>
        <v/>
      </c>
      <c r="L41" s="205" t="str">
        <f>_xlfn.XLOOKUP(tblPMView[[#This Row],[Hostname]],tblTM[common_assetName],tblTM[device_ipAddress],"",0,1)</f>
        <v>30.135.64.230</v>
      </c>
      <c r="M41"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1" s="206" t="str">
        <f>TEXT(_xlfn.XLOOKUP(tblPMView[[#This Row],[Hostname]],tblTM[common_assetName],tblTM[device_custom35],"-",0),"")</f>
        <v/>
      </c>
      <c r="O41" s="205" t="str">
        <f>_xlfn.XLOOKUP(LEFT(tblPMView[[#This Row],[Hostname]],4),tblLocationCodes[LocAbbr],tblLocationCodes[Location],"",0,1)</f>
        <v/>
      </c>
      <c r="P41"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1" s="206">
        <f>_xlfn.XLOOKUP(tblPMView[[#This Row],[Hostname]],tblTM[common_assetName],tblTM[device_custom17])</f>
        <v>0</v>
      </c>
      <c r="R41" s="206">
        <f>_xlfn.XLOOKUP(tblPMView[[#This Row],[Hostname]],tblTM[common_assetName],tblTM[device_custom14])</f>
        <v>0</v>
      </c>
      <c r="S41" s="206">
        <f>_xlfn.XLOOKUP(tblPMView[[#This Row],[Hostname]],tblTM[common_assetName],tblTM[device_custom12])</f>
        <v>0</v>
      </c>
      <c r="T41" s="209" t="str">
        <f>_xlfn.XLOOKUP(tblPMView[[#This Row],[Hostname]],tblTM[common_assetName],tblTM[device_custom26],"",0,1)</f>
        <v>No</v>
      </c>
      <c r="U41" s="210" t="str">
        <f>LEFT(TEXT(_xlfn.XLOOKUP(tblPMView[[#This Row],[Hostname]],tblTM[common_assetName],tblTM[device_custom20],"-",0),""),3)</f>
        <v/>
      </c>
      <c r="V41" s="210" t="str">
        <f>_xlfn.LET(_xlpm.CSInfo,_xlfn.XLOOKUP(tblPMView[[#This Row],[Hostname]],tblTM[common_assetName],tblTM[device_custom33],"-",0),IF(_xlpm.CSInfo="Discovered","Yes","No"))</f>
        <v>Yes</v>
      </c>
      <c r="W41" s="211" t="str">
        <f>IF(LOWER(LEFT(_xlfn.XLOOKUP(tblPMView[[#This Row],[Hostname]],tblTM[common_assetName],tblTM[device_custom45],"",0,1),1))="y","Yes","No")</f>
        <v>No</v>
      </c>
      <c r="X41" s="212">
        <f>_xlfn.XLOOKUP(tblPMView[[#This Row],[Hostname]],tblTM[common_assetName],tblTM[device_custom64],"",0)+_xlfn.XLOOKUP(tblPMView[[#This Row],[Hostname]],tblTM[common_assetName],tblTM[device_size],"",0)</f>
        <v>90.875</v>
      </c>
      <c r="Y41" s="205">
        <f>_xlfn.XLOOKUP(tblPMView[[#This Row],[Hostname]],tblTM[common_assetName],tblTM[device_custom29],"",0)</f>
        <v>0</v>
      </c>
      <c r="Z41" s="205"/>
      <c r="AA41" s="205"/>
    </row>
    <row r="42" spans="1:27" ht="13" x14ac:dyDescent="0.3">
      <c r="A42" s="205"/>
      <c r="B42" s="205">
        <v>569137</v>
      </c>
      <c r="C42" s="206" t="str">
        <f>_xlfn.XLOOKUP(tblPMView[[#This Row],[AssetDependencyId]],tblDependencies[AssetDependencyId],tblDependencies[AssetName],"",0,1)</f>
        <v>SOA/API - Enterprise Services-Dev</v>
      </c>
      <c r="D42" s="206" t="str">
        <f>_xlfn.LET(_xlpm.mea,_xlfn.XLOOKUP(tblPMView[[#This Row],[AssetDependencyId]],tblDependencies[AssetDependencyId],tblDependencies[AssetBundle],"",0,1),IF(LEFT(LOWER(_xlpm.mea),8)="appgroup",CONCATENATE("MEA",MID(_xlpm.mea,10,LEN(_xlpm.mea)-7)),_xlpm.mea))</f>
        <v>MEA195B</v>
      </c>
      <c r="E42" s="206" t="str">
        <f>_xlfn.LET(_xlpm.mea,_xlfn.XLOOKUP(tblPMView[[#This Row],[AssetDependencyId]],tblDependencies[AssetDependencyId],tblDependencies[DependentBundle],"",0,1),IF(LEFT(LOWER(_xlpm.mea),8)="appgroup",CONCATENATE("MEA",MID(_xlpm.mea,10,LEN(_xlpm.mea)-7)),_xlpm.mea))</f>
        <v>MEA190</v>
      </c>
      <c r="F42" s="206" t="str">
        <f>_xlfn.XLOOKUP(tblPMView[[#This Row],[AssetDependencyId]],tblDependencies[AssetDependencyId],tblDependencies[DependentName],"",0,1)</f>
        <v>vaathmr433</v>
      </c>
      <c r="G42" s="207"/>
      <c r="H42" s="206" t="str">
        <f>_xlfn.XLOOKUP(tblPMView[[#This Row],[Hostname]],tblTM[common_assetName],tblTM[common_environment],"",0,1)</f>
        <v>Development</v>
      </c>
      <c r="I42" s="205" t="str">
        <f>_xlfn.XLOOKUP(tblPMView[[#This Row],[Hostname]],tblTM[common_assetName],tblTM[device_shortName],"",0,1)</f>
        <v>VAATHMR433.WELLPOINT.COM</v>
      </c>
      <c r="J42" s="205" t="str">
        <f>_xlfn.XLOOKUP(tblPMView[[#This Row],[Hostname]],tblTM[common_assetName],tblTM[device_assetType],"",0,1)</f>
        <v>AIX-LPAR</v>
      </c>
      <c r="K42" s="206" t="str">
        <f>TEXT(_xlfn.XLOOKUP(tblPMView[[#This Row],[Hostname]],tblTM[common_assetName],tblTM[device_custom60],"",0,1),"")</f>
        <v/>
      </c>
      <c r="L42" s="205" t="str">
        <f>_xlfn.XLOOKUP(tblPMView[[#This Row],[Hostname]],tblTM[common_assetName],tblTM[device_ipAddress],"",0,1)</f>
        <v>30.135.64.236</v>
      </c>
      <c r="M42"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2" s="206" t="str">
        <f>TEXT(_xlfn.XLOOKUP(tblPMView[[#This Row],[Hostname]],tblTM[common_assetName],tblTM[device_custom35],"-",0),"")</f>
        <v/>
      </c>
      <c r="O42" s="205" t="str">
        <f>_xlfn.XLOOKUP(LEFT(tblPMView[[#This Row],[Hostname]],4),tblLocationCodes[LocAbbr],tblLocationCodes[Location],"",0,1)</f>
        <v/>
      </c>
      <c r="P42"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2" s="206">
        <f>_xlfn.XLOOKUP(tblPMView[[#This Row],[Hostname]],tblTM[common_assetName],tblTM[device_custom17])</f>
        <v>0</v>
      </c>
      <c r="R42" s="206">
        <f>_xlfn.XLOOKUP(tblPMView[[#This Row],[Hostname]],tblTM[common_assetName],tblTM[device_custom14])</f>
        <v>0</v>
      </c>
      <c r="S42" s="206">
        <f>_xlfn.XLOOKUP(tblPMView[[#This Row],[Hostname]],tblTM[common_assetName],tblTM[device_custom12])</f>
        <v>0</v>
      </c>
      <c r="T42" s="209" t="str">
        <f>_xlfn.XLOOKUP(tblPMView[[#This Row],[Hostname]],tblTM[common_assetName],tblTM[device_custom26],"",0,1)</f>
        <v>No</v>
      </c>
      <c r="U42" s="210" t="str">
        <f>LEFT(TEXT(_xlfn.XLOOKUP(tblPMView[[#This Row],[Hostname]],tblTM[common_assetName],tblTM[device_custom20],"-",0),""),3)</f>
        <v/>
      </c>
      <c r="V42" s="210" t="str">
        <f>_xlfn.LET(_xlpm.CSInfo,_xlfn.XLOOKUP(tblPMView[[#This Row],[Hostname]],tblTM[common_assetName],tblTM[device_custom33],"-",0),IF(_xlpm.CSInfo="Discovered","Yes","No"))</f>
        <v>Yes</v>
      </c>
      <c r="W42" s="211" t="str">
        <f>IF(LOWER(LEFT(_xlfn.XLOOKUP(tblPMView[[#This Row],[Hostname]],tblTM[common_assetName],tblTM[device_custom45],"",0,1),1))="y","Yes","No")</f>
        <v>No</v>
      </c>
      <c r="X42" s="212">
        <f>_xlfn.XLOOKUP(tblPMView[[#This Row],[Hostname]],tblTM[common_assetName],tblTM[device_custom64],"",0)+_xlfn.XLOOKUP(tblPMView[[#This Row],[Hostname]],tblTM[common_assetName],tblTM[device_size],"",0)</f>
        <v>66.125</v>
      </c>
      <c r="Y42" s="205">
        <f>_xlfn.XLOOKUP(tblPMView[[#This Row],[Hostname]],tblTM[common_assetName],tblTM[device_custom29],"",0)</f>
        <v>0</v>
      </c>
      <c r="Z42" s="205"/>
      <c r="AA42" s="205"/>
    </row>
    <row r="43" spans="1:27" ht="13" x14ac:dyDescent="0.3">
      <c r="A43" s="205"/>
      <c r="B43" s="205">
        <v>577301</v>
      </c>
      <c r="C43" s="206" t="str">
        <f>_xlfn.XLOOKUP(tblPMView[[#This Row],[AssetDependencyId]],tblDependencies[AssetDependencyId],tblDependencies[AssetName],"",0,1)</f>
        <v>eHub - Enterprise Master Person Index (EMPI)-Dev</v>
      </c>
      <c r="D43" s="206" t="str">
        <f>_xlfn.LET(_xlpm.mea,_xlfn.XLOOKUP(tblPMView[[#This Row],[AssetDependencyId]],tblDependencies[AssetDependencyId],tblDependencies[AssetBundle],"",0,1),IF(LEFT(LOWER(_xlpm.mea),8)="appgroup",CONCATENATE("MEA",MID(_xlpm.mea,10,LEN(_xlpm.mea)-7)),_xlpm.mea))</f>
        <v>MEA107</v>
      </c>
      <c r="E43" s="206" t="str">
        <f>_xlfn.LET(_xlpm.mea,_xlfn.XLOOKUP(tblPMView[[#This Row],[AssetDependencyId]],tblDependencies[AssetDependencyId],tblDependencies[DependentBundle],"",0,1),IF(LEFT(LOWER(_xlpm.mea),8)="appgroup",CONCATENATE("MEA",MID(_xlpm.mea,10,LEN(_xlpm.mea)-7)),_xlpm.mea))</f>
        <v>MEA190</v>
      </c>
      <c r="F43" s="206" t="str">
        <f>_xlfn.XLOOKUP(tblPMView[[#This Row],[AssetDependencyId]],tblDependencies[AssetDependencyId],tblDependencies[DependentName],"",0,1)</f>
        <v>vaathmr423</v>
      </c>
      <c r="G43" s="207"/>
      <c r="H43" s="206" t="str">
        <f>_xlfn.XLOOKUP(tblPMView[[#This Row],[Hostname]],tblTM[common_assetName],tblTM[common_environment],"",0,1)</f>
        <v>Development</v>
      </c>
      <c r="I43" s="205" t="str">
        <f>_xlfn.XLOOKUP(tblPMView[[#This Row],[Hostname]],tblTM[common_assetName],tblTM[device_shortName],"",0,1)</f>
        <v>VAATHMR423.WELLPOINT.COM</v>
      </c>
      <c r="J43" s="205" t="str">
        <f>_xlfn.XLOOKUP(tblPMView[[#This Row],[Hostname]],tblTM[common_assetName],tblTM[device_assetType],"",0,1)</f>
        <v>AIX-LPAR</v>
      </c>
      <c r="K43" s="206" t="str">
        <f>TEXT(_xlfn.XLOOKUP(tblPMView[[#This Row],[Hostname]],tblTM[common_assetName],tblTM[device_custom60],"",0,1),"")</f>
        <v/>
      </c>
      <c r="L43" s="205" t="str">
        <f>_xlfn.XLOOKUP(tblPMView[[#This Row],[Hostname]],tblTM[common_assetName],tblTM[device_ipAddress],"",0,1)</f>
        <v>30.135.64.223,30.135.64.222,30.135.64.27</v>
      </c>
      <c r="M43"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3" s="206" t="str">
        <f>TEXT(_xlfn.XLOOKUP(tblPMView[[#This Row],[Hostname]],tblTM[common_assetName],tblTM[device_custom35],"-",0),"")</f>
        <v/>
      </c>
      <c r="O43" s="205" t="str">
        <f>_xlfn.XLOOKUP(LEFT(tblPMView[[#This Row],[Hostname]],4),tblLocationCodes[LocAbbr],tblLocationCodes[Location],"",0,1)</f>
        <v/>
      </c>
      <c r="P43"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3" s="206">
        <f>_xlfn.XLOOKUP(tblPMView[[#This Row],[Hostname]],tblTM[common_assetName],tblTM[device_custom17])</f>
        <v>0</v>
      </c>
      <c r="R43" s="206">
        <f>_xlfn.XLOOKUP(tblPMView[[#This Row],[Hostname]],tblTM[common_assetName],tblTM[device_custom14])</f>
        <v>0</v>
      </c>
      <c r="S43" s="206">
        <f>_xlfn.XLOOKUP(tblPMView[[#This Row],[Hostname]],tblTM[common_assetName],tblTM[device_custom12])</f>
        <v>0</v>
      </c>
      <c r="T43" s="209" t="str">
        <f>_xlfn.XLOOKUP(tblPMView[[#This Row],[Hostname]],tblTM[common_assetName],tblTM[device_custom26],"",0,1)</f>
        <v>No</v>
      </c>
      <c r="U43" s="210" t="str">
        <f>LEFT(TEXT(_xlfn.XLOOKUP(tblPMView[[#This Row],[Hostname]],tblTM[common_assetName],tblTM[device_custom20],"-",0),""),3)</f>
        <v/>
      </c>
      <c r="V43" s="210" t="str">
        <f>_xlfn.LET(_xlpm.CSInfo,_xlfn.XLOOKUP(tblPMView[[#This Row],[Hostname]],tblTM[common_assetName],tblTM[device_custom33],"-",0),IF(_xlpm.CSInfo="Discovered","Yes","No"))</f>
        <v>Yes</v>
      </c>
      <c r="W43" s="211" t="str">
        <f>IF(LOWER(LEFT(_xlfn.XLOOKUP(tblPMView[[#This Row],[Hostname]],tblTM[common_assetName],tblTM[device_custom45],"",0,1),1))="y","Yes","No")</f>
        <v>No</v>
      </c>
      <c r="X43" s="212">
        <f>_xlfn.XLOOKUP(tblPMView[[#This Row],[Hostname]],tblTM[common_assetName],tblTM[device_custom64],"",0)+_xlfn.XLOOKUP(tblPMView[[#This Row],[Hostname]],tblTM[common_assetName],tblTM[device_size],"",0)</f>
        <v>1040.5</v>
      </c>
      <c r="Y43" s="205">
        <f>_xlfn.XLOOKUP(tblPMView[[#This Row],[Hostname]],tblTM[common_assetName],tblTM[device_custom29],"",0)</f>
        <v>0</v>
      </c>
      <c r="Z43" s="205"/>
      <c r="AA43" s="205"/>
    </row>
    <row r="44" spans="1:27" ht="13" x14ac:dyDescent="0.3">
      <c r="A44" s="205"/>
      <c r="B44" s="205">
        <v>605692</v>
      </c>
      <c r="C44" s="206" t="str">
        <f>_xlfn.XLOOKUP(tblPMView[[#This Row],[AssetDependencyId]],tblDependencies[AssetDependencyId],tblDependencies[AssetName],"",0,1)</f>
        <v>Axway (GBD)-DR</v>
      </c>
      <c r="D44" s="206" t="str">
        <f>_xlfn.LET(_xlpm.mea,_xlfn.XLOOKUP(tblPMView[[#This Row],[AssetDependencyId]],tblDependencies[AssetDependencyId],tblDependencies[AssetBundle],"",0,1),IF(LEFT(LOWER(_xlpm.mea),8)="appgroup",CONCATENATE("MEA",MID(_xlpm.mea,10,LEN(_xlpm.mea)-7)),_xlpm.mea))</f>
        <v>MEA197</v>
      </c>
      <c r="E44" s="206" t="str">
        <f>_xlfn.LET(_xlpm.mea,_xlfn.XLOOKUP(tblPMView[[#This Row],[AssetDependencyId]],tblDependencies[AssetDependencyId],tblDependencies[DependentBundle],"",0,1),IF(LEFT(LOWER(_xlpm.mea),8)="appgroup",CONCATENATE("MEA",MID(_xlpm.mea,10,LEN(_xlpm.mea)-7)),_xlpm.mea))</f>
        <v>MEA190</v>
      </c>
      <c r="F44" s="206" t="str">
        <f>_xlfn.XLOOKUP(tblPMView[[#This Row],[AssetDependencyId]],tblDependencies[AssetDependencyId],tblDependencies[DependentName],"",0,1)</f>
        <v>VA33PWVAXY003</v>
      </c>
      <c r="G44" s="207"/>
      <c r="H44" s="206" t="str">
        <f>_xlfn.XLOOKUP(tblPMView[[#This Row],[Hostname]],tblTM[common_assetName],tblTM[common_environment],"",0,1)</f>
        <v>Disaster Recovery</v>
      </c>
      <c r="I44" s="205" t="str">
        <f>_xlfn.XLOOKUP(tblPMView[[#This Row],[Hostname]],tblTM[common_assetName],tblTM[device_shortName],"",0,1)</f>
        <v>VA33PWVAXY003.WEBAD.WELLPOINT.COM</v>
      </c>
      <c r="J44" s="205" t="str">
        <f>_xlfn.XLOOKUP(tblPMView[[#This Row],[Hostname]],tblTM[common_assetName],tblTM[device_assetType],"",0,1)</f>
        <v>VM</v>
      </c>
      <c r="K44" s="206" t="str">
        <f>TEXT(_xlfn.XLOOKUP(tblPMView[[#This Row],[Hostname]],tblTM[common_assetName],tblTM[device_custom60],"",0,1),"")</f>
        <v/>
      </c>
      <c r="L44" s="205" t="str">
        <f>_xlfn.XLOOKUP(tblPMView[[#This Row],[Hostname]],tblTM[common_assetName],tblTM[device_ipAddress],"",0,1)</f>
        <v>22.112.40.30</v>
      </c>
      <c r="M44"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44" s="206" t="str">
        <f>TEXT(_xlfn.XLOOKUP(tblPMView[[#This Row],[Hostname]],tblTM[common_assetName],tblTM[device_custom35],"-",0),"")</f>
        <v>Application/Utility</v>
      </c>
      <c r="O44" s="205" t="str">
        <f>_xlfn.XLOOKUP(LEFT(tblPMView[[#This Row],[Hostname]],4),tblLocationCodes[LocAbbr],tblLocationCodes[Location],"",0,1)</f>
        <v>Harrisonburg</v>
      </c>
      <c r="P44"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4" s="206">
        <f>_xlfn.XLOOKUP(tblPMView[[#This Row],[Hostname]],tblTM[common_assetName],tblTM[device_custom17])</f>
        <v>0</v>
      </c>
      <c r="R44" s="206">
        <f>_xlfn.XLOOKUP(tblPMView[[#This Row],[Hostname]],tblTM[common_assetName],tblTM[device_custom14])</f>
        <v>0</v>
      </c>
      <c r="S44" s="206">
        <f>_xlfn.XLOOKUP(tblPMView[[#This Row],[Hostname]],tblTM[common_assetName],tblTM[device_custom12])</f>
        <v>0</v>
      </c>
      <c r="T44" s="209" t="str">
        <f>_xlfn.XLOOKUP(tblPMView[[#This Row],[Hostname]],tblTM[common_assetName],tblTM[device_custom26],"",0,1)</f>
        <v>Yes</v>
      </c>
      <c r="U44" s="210" t="str">
        <f>LEFT(TEXT(_xlfn.XLOOKUP(tblPMView[[#This Row],[Hostname]],tblTM[common_assetName],tblTM[device_custom20],"-",0),""),3)</f>
        <v/>
      </c>
      <c r="V44" s="210" t="str">
        <f>_xlfn.LET(_xlpm.CSInfo,_xlfn.XLOOKUP(tblPMView[[#This Row],[Hostname]],tblTM[common_assetName],tblTM[device_custom33],"-",0),IF(_xlpm.CSInfo="Discovered","Yes","No"))</f>
        <v>Yes</v>
      </c>
      <c r="W44" s="211" t="str">
        <f>IF(LOWER(LEFT(_xlfn.XLOOKUP(tblPMView[[#This Row],[Hostname]],tblTM[common_assetName],tblTM[device_custom45],"",0,1),1))="y","Yes","No")</f>
        <v>No</v>
      </c>
      <c r="X44" s="212">
        <f>_xlfn.XLOOKUP(tblPMView[[#This Row],[Hostname]],tblTM[common_assetName],tblTM[device_custom64],"",0)+_xlfn.XLOOKUP(tblPMView[[#This Row],[Hostname]],tblTM[common_assetName],tblTM[device_size],"",0)</f>
        <v>449.99119949999999</v>
      </c>
      <c r="Y44" s="205">
        <f>_xlfn.XLOOKUP(tblPMView[[#This Row],[Hostname]],tblTM[common_assetName],tblTM[device_custom29],"",0)</f>
        <v>0</v>
      </c>
      <c r="Z44" s="205"/>
      <c r="AA44" s="205"/>
    </row>
    <row r="45" spans="1:27" ht="13" x14ac:dyDescent="0.3">
      <c r="A45" s="205"/>
      <c r="B45" s="205">
        <v>605693</v>
      </c>
      <c r="C45" s="206" t="str">
        <f>_xlfn.XLOOKUP(tblPMView[[#This Row],[AssetDependencyId]],tblDependencies[AssetDependencyId],tblDependencies[AssetName],"",0,1)</f>
        <v>Axway (GBD)-DR</v>
      </c>
      <c r="D45" s="206" t="str">
        <f>_xlfn.LET(_xlpm.mea,_xlfn.XLOOKUP(tblPMView[[#This Row],[AssetDependencyId]],tblDependencies[AssetDependencyId],tblDependencies[AssetBundle],"",0,1),IF(LEFT(LOWER(_xlpm.mea),8)="appgroup",CONCATENATE("MEA",MID(_xlpm.mea,10,LEN(_xlpm.mea)-7)),_xlpm.mea))</f>
        <v>MEA197</v>
      </c>
      <c r="E45" s="206" t="str">
        <f>_xlfn.LET(_xlpm.mea,_xlfn.XLOOKUP(tblPMView[[#This Row],[AssetDependencyId]],tblDependencies[AssetDependencyId],tblDependencies[DependentBundle],"",0,1),IF(LEFT(LOWER(_xlpm.mea),8)="appgroup",CONCATENATE("MEA",MID(_xlpm.mea,10,LEN(_xlpm.mea)-7)),_xlpm.mea))</f>
        <v>MEA190</v>
      </c>
      <c r="F45" s="206" t="str">
        <f>_xlfn.XLOOKUP(tblPMView[[#This Row],[AssetDependencyId]],tblDependencies[AssetDependencyId],tblDependencies[DependentName],"",0,1)</f>
        <v>VA33PWVAXY004</v>
      </c>
      <c r="G45" s="207"/>
      <c r="H45" s="206" t="str">
        <f>_xlfn.XLOOKUP(tblPMView[[#This Row],[Hostname]],tblTM[common_assetName],tblTM[common_environment],"",0,1)</f>
        <v>Disaster Recovery</v>
      </c>
      <c r="I45" s="205" t="str">
        <f>_xlfn.XLOOKUP(tblPMView[[#This Row],[Hostname]],tblTM[common_assetName],tblTM[device_shortName],"",0,1)</f>
        <v>VA33PWVAXY004.WEBAD.WELLPOINT.COM</v>
      </c>
      <c r="J45" s="205" t="str">
        <f>_xlfn.XLOOKUP(tblPMView[[#This Row],[Hostname]],tblTM[common_assetName],tblTM[device_assetType],"",0,1)</f>
        <v>VM</v>
      </c>
      <c r="K45" s="206" t="str">
        <f>TEXT(_xlfn.XLOOKUP(tblPMView[[#This Row],[Hostname]],tblTM[common_assetName],tblTM[device_custom60],"",0,1),"")</f>
        <v/>
      </c>
      <c r="L45" s="205" t="str">
        <f>_xlfn.XLOOKUP(tblPMView[[#This Row],[Hostname]],tblTM[common_assetName],tblTM[device_ipAddress],"",0,1)</f>
        <v>22.112.40.33</v>
      </c>
      <c r="M45"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45" s="206" t="str">
        <f>TEXT(_xlfn.XLOOKUP(tblPMView[[#This Row],[Hostname]],tblTM[common_assetName],tblTM[device_custom35],"-",0),"")</f>
        <v>Application/Utility</v>
      </c>
      <c r="O45" s="205" t="str">
        <f>_xlfn.XLOOKUP(LEFT(tblPMView[[#This Row],[Hostname]],4),tblLocationCodes[LocAbbr],tblLocationCodes[Location],"",0,1)</f>
        <v>Harrisonburg</v>
      </c>
      <c r="P45"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5" s="206">
        <f>_xlfn.XLOOKUP(tblPMView[[#This Row],[Hostname]],tblTM[common_assetName],tblTM[device_custom17])</f>
        <v>0</v>
      </c>
      <c r="R45" s="206">
        <f>_xlfn.XLOOKUP(tblPMView[[#This Row],[Hostname]],tblTM[common_assetName],tblTM[device_custom14])</f>
        <v>0</v>
      </c>
      <c r="S45" s="206">
        <f>_xlfn.XLOOKUP(tblPMView[[#This Row],[Hostname]],tblTM[common_assetName],tblTM[device_custom12])</f>
        <v>0</v>
      </c>
      <c r="T45" s="209" t="str">
        <f>_xlfn.XLOOKUP(tblPMView[[#This Row],[Hostname]],tblTM[common_assetName],tblTM[device_custom26],"",0,1)</f>
        <v>Yes</v>
      </c>
      <c r="U45" s="210" t="str">
        <f>LEFT(TEXT(_xlfn.XLOOKUP(tblPMView[[#This Row],[Hostname]],tblTM[common_assetName],tblTM[device_custom20],"-",0),""),3)</f>
        <v/>
      </c>
      <c r="V45" s="210" t="str">
        <f>_xlfn.LET(_xlpm.CSInfo,_xlfn.XLOOKUP(tblPMView[[#This Row],[Hostname]],tblTM[common_assetName],tblTM[device_custom33],"-",0),IF(_xlpm.CSInfo="Discovered","Yes","No"))</f>
        <v>Yes</v>
      </c>
      <c r="W45" s="211" t="str">
        <f>IF(LOWER(LEFT(_xlfn.XLOOKUP(tblPMView[[#This Row],[Hostname]],tblTM[common_assetName],tblTM[device_custom45],"",0,1),1))="y","Yes","No")</f>
        <v>No</v>
      </c>
      <c r="X45" s="212">
        <f>_xlfn.XLOOKUP(tblPMView[[#This Row],[Hostname]],tblTM[common_assetName],tblTM[device_custom64],"",0)+_xlfn.XLOOKUP(tblPMView[[#This Row],[Hostname]],tblTM[common_assetName],tblTM[device_size],"",0)</f>
        <v>449.99119949999999</v>
      </c>
      <c r="Y45" s="205">
        <f>_xlfn.XLOOKUP(tblPMView[[#This Row],[Hostname]],tblTM[common_assetName],tblTM[device_custom29],"",0)</f>
        <v>0</v>
      </c>
      <c r="Z45" s="205"/>
      <c r="AA45" s="205"/>
    </row>
    <row r="46" spans="1:27" ht="13" x14ac:dyDescent="0.3">
      <c r="A46" s="205"/>
      <c r="B46" s="205">
        <v>672249</v>
      </c>
      <c r="C46" s="206" t="str">
        <f>_xlfn.XLOOKUP(tblPMView[[#This Row],[AssetDependencyId]],tblDependencies[AssetDependencyId],tblDependencies[AssetName],"",0,1)</f>
        <v>Legacy Provider Finder-Test</v>
      </c>
      <c r="D46" s="206" t="str">
        <f>_xlfn.LET(_xlpm.mea,_xlfn.XLOOKUP(tblPMView[[#This Row],[AssetDependencyId]],tblDependencies[AssetDependencyId],tblDependencies[AssetBundle],"",0,1),IF(LEFT(LOWER(_xlpm.mea),8)="appgroup",CONCATENATE("MEA",MID(_xlpm.mea,10,LEN(_xlpm.mea)-7)),_xlpm.mea))</f>
        <v>Orphan</v>
      </c>
      <c r="E46" s="206" t="str">
        <f>_xlfn.LET(_xlpm.mea,_xlfn.XLOOKUP(tblPMView[[#This Row],[AssetDependencyId]],tblDependencies[AssetDependencyId],tblDependencies[DependentBundle],"",0,1),IF(LEFT(LOWER(_xlpm.mea),8)="appgroup",CONCATENATE("MEA",MID(_xlpm.mea,10,LEN(_xlpm.mea)-7)),_xlpm.mea))</f>
        <v>MEA190</v>
      </c>
      <c r="F46" s="206" t="str">
        <f>_xlfn.XLOOKUP(tblPMView[[#This Row],[AssetDependencyId]],tblDependencies[AssetDependencyId],tblDependencies[DependentName],"",0,1)</f>
        <v>vaathmr672</v>
      </c>
      <c r="G46" s="207"/>
      <c r="H46" s="206" t="str">
        <f>_xlfn.XLOOKUP(tblPMView[[#This Row],[Hostname]],tblTM[common_assetName],tblTM[common_environment],"",0,1)</f>
        <v>Test</v>
      </c>
      <c r="I46" s="205" t="str">
        <f>_xlfn.XLOOKUP(tblPMView[[#This Row],[Hostname]],tblTM[common_assetName],tblTM[device_shortName],"",0,1)</f>
        <v>VAATHMR672.WELLPOINT.COM</v>
      </c>
      <c r="J46" s="205" t="str">
        <f>_xlfn.XLOOKUP(tblPMView[[#This Row],[Hostname]],tblTM[common_assetName],tblTM[device_assetType],"",0,1)</f>
        <v>AIX-LPAR</v>
      </c>
      <c r="K46" s="206" t="str">
        <f>TEXT(_xlfn.XLOOKUP(tblPMView[[#This Row],[Hostname]],tblTM[common_assetName],tblTM[device_custom60],"",0,1),"")</f>
        <v/>
      </c>
      <c r="L46" s="205" t="str">
        <f>_xlfn.XLOOKUP(tblPMView[[#This Row],[Hostname]],tblTM[common_assetName],tblTM[device_ipAddress],"",0,1)</f>
        <v>30.135.64.125</v>
      </c>
      <c r="M46"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6" s="206" t="str">
        <f>TEXT(_xlfn.XLOOKUP(tblPMView[[#This Row],[Hostname]],tblTM[common_assetName],tblTM[device_custom35],"-",0),"")</f>
        <v>WebSphere and MQ server</v>
      </c>
      <c r="O46" s="205" t="str">
        <f>_xlfn.XLOOKUP(LEFT(tblPMView[[#This Row],[Hostname]],4),tblLocationCodes[LocAbbr],tblLocationCodes[Location],"",0,1)</f>
        <v/>
      </c>
      <c r="P46"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6" s="206">
        <f>_xlfn.XLOOKUP(tblPMView[[#This Row],[Hostname]],tblTM[common_assetName],tblTM[device_custom17])</f>
        <v>0</v>
      </c>
      <c r="R46" s="206">
        <f>_xlfn.XLOOKUP(tblPMView[[#This Row],[Hostname]],tblTM[common_assetName],tblTM[device_custom14])</f>
        <v>0</v>
      </c>
      <c r="S46" s="206">
        <f>_xlfn.XLOOKUP(tblPMView[[#This Row],[Hostname]],tblTM[common_assetName],tblTM[device_custom12])</f>
        <v>0</v>
      </c>
      <c r="T46" s="209" t="str">
        <f>_xlfn.XLOOKUP(tblPMView[[#This Row],[Hostname]],tblTM[common_assetName],tblTM[device_custom26],"",0,1)</f>
        <v>No</v>
      </c>
      <c r="U46" s="210" t="str">
        <f>LEFT(TEXT(_xlfn.XLOOKUP(tblPMView[[#This Row],[Hostname]],tblTM[common_assetName],tblTM[device_custom20],"-",0),""),3)</f>
        <v>DB2</v>
      </c>
      <c r="V46" s="210" t="str">
        <f>_xlfn.LET(_xlpm.CSInfo,_xlfn.XLOOKUP(tblPMView[[#This Row],[Hostname]],tblTM[common_assetName],tblTM[device_custom33],"-",0),IF(_xlpm.CSInfo="Discovered","Yes","No"))</f>
        <v>Yes</v>
      </c>
      <c r="W46" s="211" t="str">
        <f>IF(LOWER(LEFT(_xlfn.XLOOKUP(tblPMView[[#This Row],[Hostname]],tblTM[common_assetName],tblTM[device_custom45],"",0,1),1))="y","Yes","No")</f>
        <v>No</v>
      </c>
      <c r="X46" s="212">
        <f>_xlfn.XLOOKUP(tblPMView[[#This Row],[Hostname]],tblTM[common_assetName],tblTM[device_custom64],"",0)+_xlfn.XLOOKUP(tblPMView[[#This Row],[Hostname]],tblTM[common_assetName],tblTM[device_size],"",0)</f>
        <v>85.5</v>
      </c>
      <c r="Y46" s="205">
        <f>_xlfn.XLOOKUP(tblPMView[[#This Row],[Hostname]],tblTM[common_assetName],tblTM[device_custom29],"",0)</f>
        <v>0</v>
      </c>
      <c r="Z46" s="205"/>
      <c r="AA46" s="205"/>
    </row>
    <row r="47" spans="1:27" ht="13" x14ac:dyDescent="0.3">
      <c r="A47" s="205"/>
      <c r="B47" s="205">
        <v>672277</v>
      </c>
      <c r="C47" s="206" t="str">
        <f>_xlfn.XLOOKUP(tblPMView[[#This Row],[AssetDependencyId]],tblDependencies[AssetDependencyId],tblDependencies[AssetName],"",0,1)</f>
        <v>Provider Care Management Solutions-Test</v>
      </c>
      <c r="D47" s="206" t="str">
        <f>_xlfn.LET(_xlpm.mea,_xlfn.XLOOKUP(tblPMView[[#This Row],[AssetDependencyId]],tblDependencies[AssetDependencyId],tblDependencies[AssetBundle],"",0,1),IF(LEFT(LOWER(_xlpm.mea),8)="appgroup",CONCATENATE("MEA",MID(_xlpm.mea,10,LEN(_xlpm.mea)-7)),_xlpm.mea))</f>
        <v>MEA175</v>
      </c>
      <c r="E47" s="206" t="str">
        <f>_xlfn.LET(_xlpm.mea,_xlfn.XLOOKUP(tblPMView[[#This Row],[AssetDependencyId]],tblDependencies[AssetDependencyId],tblDependencies[DependentBundle],"",0,1),IF(LEFT(LOWER(_xlpm.mea),8)="appgroup",CONCATENATE("MEA",MID(_xlpm.mea,10,LEN(_xlpm.mea)-7)),_xlpm.mea))</f>
        <v>MEA190</v>
      </c>
      <c r="F47" s="206" t="str">
        <f>_xlfn.XLOOKUP(tblPMView[[#This Row],[AssetDependencyId]],tblDependencies[AssetDependencyId],tblDependencies[DependentName],"",0,1)</f>
        <v>va10tuvdb2020</v>
      </c>
      <c r="G47" s="207"/>
      <c r="H47" s="206" t="str">
        <f>_xlfn.XLOOKUP(tblPMView[[#This Row],[Hostname]],tblTM[common_assetName],tblTM[common_environment],"",0,1)</f>
        <v>Test</v>
      </c>
      <c r="I47" s="205" t="str">
        <f>_xlfn.XLOOKUP(tblPMView[[#This Row],[Hostname]],tblTM[common_assetName],tblTM[device_shortName],"",0,1)</f>
        <v>VA10TUVDB2020.WELLPOINT.COM</v>
      </c>
      <c r="J47" s="205" t="str">
        <f>_xlfn.XLOOKUP(tblPMView[[#This Row],[Hostname]],tblTM[common_assetName],tblTM[device_assetType],"",0,1)</f>
        <v>AIX-LPAR</v>
      </c>
      <c r="K47" s="206" t="str">
        <f>TEXT(_xlfn.XLOOKUP(tblPMView[[#This Row],[Hostname]],tblTM[common_assetName],tblTM[device_custom60],"",0,1),"")</f>
        <v/>
      </c>
      <c r="L47" s="205" t="str">
        <f>_xlfn.XLOOKUP(tblPMView[[#This Row],[Hostname]],tblTM[common_assetName],tblTM[device_ipAddress],"",0,1)</f>
        <v>30.135.43.45</v>
      </c>
      <c r="M47" s="206"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7" s="206" t="str">
        <f>TEXT(_xlfn.XLOOKUP(tblPMView[[#This Row],[Hostname]],tblTM[common_assetName],tblTM[device_custom35],"-",0),"")</f>
        <v>Database - DB2/UDB</v>
      </c>
      <c r="O47" s="205" t="str">
        <f>_xlfn.XLOOKUP(LEFT(tblPMView[[#This Row],[Hostname]],4),tblLocationCodes[LocAbbr],tblLocationCodes[Location],"",0,1)</f>
        <v>Richmond</v>
      </c>
      <c r="P47" s="208" t="str">
        <f>IFERROR(IF(OR(tblPMView[[#This Row],[Device Type]]="AIX-LPAR",tblPMView[[#This Row],[Device Type]]="Linux-VM-Power",tblPMView[[#This Row],[DMZ]]="Yes",LEFT(tblPMView[[#This Row],[IP Address]],3)="22."),"IBM Cloud Dedicated - Ashburn",IF(AND(tblPMView[[#This Row],[Device Type]]="Server",tblPMView[[#This Row],[DMZ]]="No"),"Dell BMaaS - Ashburn",IF(AND(tblPMView[[#This Row],[Device Type]]="Server",tblPMView[[#This Row],[DMZ]]="Yes"),"IBM Cloud Bare Metal x86 - Ashburn","Azure AVS - East1"))),"")</f>
        <v>IBM Cloud Dedicated - Ashburn</v>
      </c>
      <c r="Q47" s="206">
        <f>_xlfn.XLOOKUP(tblPMView[[#This Row],[Hostname]],tblTM[common_assetName],tblTM[device_custom17])</f>
        <v>0</v>
      </c>
      <c r="R47" s="206">
        <f>_xlfn.XLOOKUP(tblPMView[[#This Row],[Hostname]],tblTM[common_assetName],tblTM[device_custom14])</f>
        <v>0</v>
      </c>
      <c r="S47" s="206">
        <f>_xlfn.XLOOKUP(tblPMView[[#This Row],[Hostname]],tblTM[common_assetName],tblTM[device_custom12])</f>
        <v>0</v>
      </c>
      <c r="T47" s="209" t="str">
        <f>_xlfn.XLOOKUP(tblPMView[[#This Row],[Hostname]],tblTM[common_assetName],tblTM[device_custom26],"",0,1)</f>
        <v>No</v>
      </c>
      <c r="U47" s="210" t="str">
        <f>LEFT(TEXT(_xlfn.XLOOKUP(tblPMView[[#This Row],[Hostname]],tblTM[common_assetName],tblTM[device_custom20],"-",0),""),3)</f>
        <v>DB2</v>
      </c>
      <c r="V47" s="210" t="str">
        <f>_xlfn.LET(_xlpm.CSInfo,_xlfn.XLOOKUP(tblPMView[[#This Row],[Hostname]],tblTM[common_assetName],tblTM[device_custom33],"-",0),IF(_xlpm.CSInfo="Discovered","Yes","No"))</f>
        <v>Yes</v>
      </c>
      <c r="W47" s="211" t="str">
        <f>IF(LOWER(LEFT(_xlfn.XLOOKUP(tblPMView[[#This Row],[Hostname]],tblTM[common_assetName],tblTM[device_custom45],"",0,1),1))="y","Yes","No")</f>
        <v>No</v>
      </c>
      <c r="X47" s="212">
        <f>_xlfn.XLOOKUP(tblPMView[[#This Row],[Hostname]],tblTM[common_assetName],tblTM[device_custom64],"",0)+_xlfn.XLOOKUP(tblPMView[[#This Row],[Hostname]],tblTM[common_assetName],tblTM[device_size],"",0)</f>
        <v>2119.125</v>
      </c>
      <c r="Y47" s="205">
        <f>_xlfn.XLOOKUP(tblPMView[[#This Row],[Hostname]],tblTM[common_assetName],tblTM[device_custom29],"",0)</f>
        <v>0</v>
      </c>
      <c r="Z47" s="205"/>
      <c r="AA47" s="205"/>
    </row>
  </sheetData>
  <phoneticPr fontId="14" type="noConversion"/>
  <conditionalFormatting sqref="B2:B47">
    <cfRule type="expression" dxfId="106" priority="33">
      <formula>INDIRECT("tblDependencies[@Scope]")="OOS"</formula>
    </cfRule>
  </conditionalFormatting>
  <conditionalFormatting sqref="D2:D47">
    <cfRule type="expression" dxfId="105" priority="32">
      <formula>INDIRECT("tblPMView[@App Bundle]")&lt;&gt;INDIRECT("tblPMView[@Server Bundle]")</formula>
    </cfRule>
  </conditionalFormatting>
  <conditionalFormatting sqref="H2:H47">
    <cfRule type="expression" dxfId="104" priority="29">
      <formula>LEFT(INDIRECT("tblPMView[@Environment]"),4)="Deve"</formula>
    </cfRule>
    <cfRule type="expression" dxfId="103" priority="30">
      <formula>LEFT(INDIRECT("tblPMView[@Environment]"),4)="Test"</formula>
    </cfRule>
    <cfRule type="expression" dxfId="102" priority="31">
      <formula>LEFT(INDIRECT("tblPMView[@Environment]"),4)="Prod"</formula>
    </cfRule>
  </conditionalFormatting>
  <conditionalFormatting sqref="J2:K47">
    <cfRule type="expression" dxfId="101" priority="26">
      <formula>INDIRECT("tblPMView[@Device Type]")="Server"</formula>
    </cfRule>
    <cfRule type="expression" dxfId="100" priority="27">
      <formula>LEFT(INDIRECT("tblPMView[@Device Type]"),8)="Linux-VM"</formula>
    </cfRule>
    <cfRule type="expression" dxfId="99" priority="28">
      <formula>LEFT(INDIRECT("tblPMView[@Device Type]"),3)="AIX"</formula>
    </cfRule>
  </conditionalFormatting>
  <conditionalFormatting sqref="M2:M47">
    <cfRule type="expression" dxfId="98" priority="20">
      <formula>LEFT(INDIRECT("tblPMView[@OS]"),6)="MS Win"</formula>
    </cfRule>
    <cfRule type="expression" dxfId="97" priority="21">
      <formula>LEFT(INDIRECT("tblPMView[@OS]"),4)="RHEL"</formula>
    </cfRule>
    <cfRule type="expression" dxfId="96" priority="22">
      <formula>LEFT(INDIRECT("tblPMView[@OS]"),4)="UNIX"</formula>
    </cfRule>
    <cfRule type="expression" dxfId="95" priority="23">
      <formula>LEFT(INDIRECT("tblPMView[@OS]"),4)="OSCP"</formula>
    </cfRule>
    <cfRule type="expression" dxfId="94" priority="24">
      <formula>LEFT(INDIRECT("tblPMView[@OS]"),6)="PwrLnx"</formula>
    </cfRule>
    <cfRule type="expression" dxfId="93" priority="25">
      <formula>LEFT(INDIRECT("tblPMView[@OS]"),3)="AIX"</formula>
    </cfRule>
  </conditionalFormatting>
  <conditionalFormatting sqref="O2:O47">
    <cfRule type="expression" dxfId="92" priority="16">
      <formula>LEFT(INDIRECT("tblPMView[@Source Location]"),4)="Virg"</formula>
    </cfRule>
    <cfRule type="expression" dxfId="91" priority="17">
      <formula>LEFT(INDIRECT("tblPMView[@Source Location]"),4)="Rich"</formula>
    </cfRule>
    <cfRule type="expression" dxfId="90" priority="18">
      <formula>LEFT(INDIRECT("tblPMView[@Source Location]"),4)="Harr"</formula>
    </cfRule>
    <cfRule type="expression" dxfId="89" priority="19">
      <formula>LEFT(INDIRECT("tblPMView[@Source Location]"),4)="StLo"</formula>
    </cfRule>
  </conditionalFormatting>
  <conditionalFormatting sqref="T2:T47">
    <cfRule type="expression" dxfId="88" priority="15">
      <formula>INDIRECT("tblPMView[@DMZ]")="Yes"</formula>
    </cfRule>
  </conditionalFormatting>
  <conditionalFormatting sqref="V2:V47 F2:F47">
    <cfRule type="expression" dxfId="87" priority="14">
      <formula>INDIRECT("tblPMView[@CS]")&lt;&gt;"Yes"</formula>
    </cfRule>
  </conditionalFormatting>
  <conditionalFormatting sqref="A2:AA47">
    <cfRule type="expression" dxfId="86" priority="8">
      <formula>INDIRECT("tblPMView[@Scope]")="OOS"</formula>
    </cfRule>
  </conditionalFormatting>
  <conditionalFormatting sqref="J2:K47">
    <cfRule type="expression" dxfId="85" priority="4">
      <formula>LEFT(INDIRECT("tblPMView[@Svr Assess]"),3)="P2P"</formula>
    </cfRule>
  </conditionalFormatting>
  <conditionalFormatting sqref="P2:P47">
    <cfRule type="beginsWith" dxfId="84" priority="1" operator="beginsWith" text="IBM Cloud Dedicated">
      <formula>LEFT(P2,LEN("IBM Cloud Dedicated"))="IBM Cloud Dedicated"</formula>
    </cfRule>
    <cfRule type="beginsWith" dxfId="83" priority="2" operator="beginsWith" text="IBM">
      <formula>LEFT(P2,LEN("IBM"))="IBM"</formula>
    </cfRule>
  </conditionalFormatting>
  <conditionalFormatting sqref="W2:W47">
    <cfRule type="cellIs" dxfId="82" priority="81176" operator="equal">
      <formula>"Yes"</formula>
    </cfRule>
    <cfRule type="colorScale" priority="81177">
      <colorScale>
        <cfvo type="min"/>
        <cfvo type="max"/>
        <color theme="5" tint="0.79998168889431442"/>
        <color theme="5" tint="-0.499984740745262"/>
      </colorScale>
    </cfRule>
  </conditionalFormatting>
  <conditionalFormatting sqref="F2:F47">
    <cfRule type="duplicateValues" dxfId="81" priority="81178"/>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D4296-BCA5-4395-A1D2-01CCA13F7DF5}">
  <sheetPr codeName="Sheet7">
    <tabColor rgb="FFFF452D"/>
  </sheetPr>
  <dimension ref="A1:AE48"/>
  <sheetViews>
    <sheetView zoomScale="83" zoomScaleNormal="83" workbookViewId="0">
      <selection activeCell="A2" sqref="A2:AE47"/>
    </sheetView>
  </sheetViews>
  <sheetFormatPr defaultColWidth="8" defaultRowHeight="14.5" x14ac:dyDescent="0.35"/>
  <cols>
    <col min="1" max="1" width="8.58203125" style="91" customWidth="1"/>
    <col min="2" max="2" width="15.83203125" style="91" bestFit="1" customWidth="1"/>
    <col min="3" max="3" width="15.58203125" style="91" bestFit="1" customWidth="1"/>
    <col min="4" max="4" width="31.08203125" style="91" customWidth="1"/>
    <col min="5" max="5" width="26.08203125" style="91" customWidth="1"/>
    <col min="6" max="6" width="31.83203125" style="91" customWidth="1"/>
    <col min="7" max="7" width="30.58203125" style="91" customWidth="1"/>
    <col min="8" max="8" width="40.58203125" style="91" customWidth="1"/>
    <col min="9" max="9" width="16.58203125" style="91" customWidth="1"/>
    <col min="10" max="10" width="6.1640625" style="91" customWidth="1"/>
    <col min="11" max="11" width="16.08203125" style="91" customWidth="1"/>
    <col min="12" max="16" width="14.6640625" style="91" customWidth="1"/>
    <col min="17" max="17" width="13.5" style="92" customWidth="1"/>
    <col min="18" max="18" width="15.08203125" style="91" bestFit="1" customWidth="1"/>
    <col min="19" max="19" width="13.4140625" style="91" bestFit="1" customWidth="1"/>
    <col min="20" max="20" width="9.5" style="91" bestFit="1" customWidth="1"/>
    <col min="21" max="21" width="13.83203125" style="91" bestFit="1" customWidth="1"/>
    <col min="22" max="23" width="14.6640625" style="91" customWidth="1"/>
    <col min="24" max="26" width="16.58203125" style="90" customWidth="1"/>
    <col min="27" max="27" width="13.33203125" style="91" customWidth="1"/>
    <col min="28" max="28" width="16.6640625" style="91" bestFit="1" customWidth="1"/>
    <col min="29" max="29" width="16.6640625" style="91" customWidth="1"/>
    <col min="30" max="30" width="17.6640625" style="91" bestFit="1" customWidth="1"/>
    <col min="31" max="31" width="61.6640625" style="91" bestFit="1" customWidth="1"/>
    <col min="32" max="32" width="19.1640625" style="91" bestFit="1" customWidth="1"/>
    <col min="33" max="33" width="44.1640625" style="91" customWidth="1"/>
    <col min="34" max="34" width="40.6640625" style="91" customWidth="1"/>
    <col min="35" max="35" width="12.08203125" style="91" bestFit="1" customWidth="1"/>
    <col min="36" max="36" width="18.6640625" style="91" bestFit="1" customWidth="1"/>
    <col min="37" max="37" width="16.83203125" style="91" bestFit="1" customWidth="1"/>
    <col min="38" max="38" width="19.5" style="91" bestFit="1" customWidth="1"/>
    <col min="39" max="39" width="20.58203125" style="91" bestFit="1" customWidth="1"/>
    <col min="40" max="40" width="16.1640625" style="91" customWidth="1"/>
    <col min="41" max="41" width="14.83203125" style="91" bestFit="1" customWidth="1"/>
    <col min="42" max="42" width="14.33203125" style="91" customWidth="1"/>
    <col min="43" max="43" width="19.58203125" style="91" bestFit="1" customWidth="1"/>
    <col min="44" max="44" width="21.08203125" style="91" bestFit="1" customWidth="1"/>
    <col min="45" max="45" width="22.58203125" style="91" customWidth="1"/>
    <col min="46" max="46" width="17.08203125" style="91" customWidth="1"/>
    <col min="47" max="16384" width="8" style="91"/>
  </cols>
  <sheetData>
    <row r="1" spans="1:31" s="90" customFormat="1" ht="43.5" x14ac:dyDescent="0.35">
      <c r="A1" s="93" t="s">
        <v>93</v>
      </c>
      <c r="B1" s="93" t="s">
        <v>94</v>
      </c>
      <c r="C1" s="100" t="s">
        <v>95</v>
      </c>
      <c r="D1" s="93" t="s">
        <v>96</v>
      </c>
      <c r="E1" s="93" t="s">
        <v>97</v>
      </c>
      <c r="F1" s="93" t="s">
        <v>98</v>
      </c>
      <c r="G1" s="93" t="s">
        <v>99</v>
      </c>
      <c r="H1" s="93" t="s">
        <v>100</v>
      </c>
      <c r="I1" s="93" t="s">
        <v>72</v>
      </c>
      <c r="J1" s="93" t="s">
        <v>73</v>
      </c>
      <c r="K1" s="93" t="s">
        <v>101</v>
      </c>
      <c r="L1" s="93" t="s">
        <v>81</v>
      </c>
      <c r="M1" s="93" t="s">
        <v>428</v>
      </c>
      <c r="N1" s="93" t="s">
        <v>429</v>
      </c>
      <c r="O1" s="93" t="s">
        <v>102</v>
      </c>
      <c r="P1" s="93" t="s">
        <v>430</v>
      </c>
      <c r="Q1" s="93" t="s">
        <v>74</v>
      </c>
      <c r="R1" s="93" t="s">
        <v>76</v>
      </c>
      <c r="S1" s="93" t="s">
        <v>103</v>
      </c>
      <c r="T1" s="93" t="s">
        <v>41</v>
      </c>
      <c r="U1" s="93" t="s">
        <v>104</v>
      </c>
      <c r="V1" s="94" t="s">
        <v>431</v>
      </c>
      <c r="W1" s="94" t="s">
        <v>432</v>
      </c>
      <c r="X1" s="94" t="s">
        <v>105</v>
      </c>
      <c r="Y1" s="94" t="s">
        <v>106</v>
      </c>
      <c r="Z1" s="94" t="s">
        <v>107</v>
      </c>
      <c r="AA1" s="94" t="s">
        <v>108</v>
      </c>
      <c r="AB1" s="94" t="s">
        <v>109</v>
      </c>
      <c r="AC1" s="99" t="s">
        <v>110</v>
      </c>
      <c r="AD1" s="95" t="s">
        <v>68</v>
      </c>
      <c r="AE1" s="161" t="s">
        <v>433</v>
      </c>
    </row>
    <row r="2" spans="1:31" ht="15" thickBot="1" x14ac:dyDescent="0.4">
      <c r="A2" s="217" t="str">
        <f>SUBSTITUTE(_xlfn.XLOOKUP(tblEvntScope[[#This Row],[AssetDependencyId]],tblDependencies[AssetDependencyId],tblDependencies[DependentBundle],"",0,1),"AppGroup","ME")</f>
        <v>MEA190</v>
      </c>
      <c r="B2" s="218">
        <f>TMWorkbook!$C$2</f>
        <v>46210</v>
      </c>
      <c r="C2" s="219"/>
      <c r="D2" s="199" t="str">
        <f>_xlfn.XLOOKUP(tblEvntScope[[#This Row],[AssetDependencyId]],tblDependencies[AssetDependencyId],tblDependencies[AssetName],"",0,1)</f>
        <v>Axway (GBD)-DR</v>
      </c>
      <c r="E2" s="199" t="str">
        <f>_xlfn.XLOOKUP(tblEvntScope[[#This Row],[Application Name]],tblApplications[common_assetName],tblApplications[application_appOwner],"",0,1)</f>
        <v/>
      </c>
      <c r="F2" s="199" t="str">
        <f>_xlfn.XLOOKUP(tblEvntScope[[#This Row],[Application Name]],tblApplications[common_assetName],tblApplications[application_custom6],"",0,1)</f>
        <v/>
      </c>
      <c r="G2" s="198" t="str">
        <f>_xlfn.XLOOKUP(tblEvntScope[[#This Row],[Application Name]],tblApplications[common_assetName],tblApplications[application_sme2],"",0,1)</f>
        <v/>
      </c>
      <c r="H2" s="199" t="str">
        <f>LOWER(_xlfn.XLOOKUP(tblEvntScope[[#This Row],[Application Name]],tblApplications[common_assetName],tblApplications[application_custom23],"",0,1))</f>
        <v/>
      </c>
      <c r="I2" s="198" t="str">
        <f>_xlfn.XLOOKUP(tblEvntScope[[#This Row],[AssetDependencyId]],tblDependencies[AssetDependencyId],tblDependencies[DependentName],"",0,1)</f>
        <v>VA33PWVAXY003</v>
      </c>
      <c r="J2" s="199" t="str">
        <f>TEXT(_xlfn.XLOOKUP(tblEvntScope[[#This Row],[Hostname]],tblPMView[Hostname],tblPMView[Scope],"",0,1),"")</f>
        <v/>
      </c>
      <c r="K2" s="199" t="str">
        <f>_xlfn.XLOOKUP(tblEvntScope[[#This Row],[Hostname]],tblTM[common_assetName],tblTM[device_ipAddress],"",0,1)</f>
        <v>22.112.40.30</v>
      </c>
      <c r="L2" s="199" t="str">
        <f>_xlfn.LET(_xlpm.loc,LEFT(tblEvntScope[[#This Row],[Hostname]],4),IF(LEFT(LOWER(_xlpm.loc),3)="vaa","Richmond",_xlfn.XLOOKUP(_xlpm.loc,tblLocationCodes[LocAbbr],tblLocationCodes[Location],"",0,1)))</f>
        <v>Harrisonburg</v>
      </c>
      <c r="M2" s="198"/>
      <c r="N2" s="198"/>
      <c r="O2" s="199" t="str">
        <f>_xlfn.XLOOKUP(tblEvntScope[[#This Row],[Hostname]],tblTM[common_assetName],tblTM[device_custom35],"",0,1)</f>
        <v>Application/Utility</v>
      </c>
      <c r="P2" s="199" t="str">
        <f>IF(tblEvntScope[[#This Row],[Device Type]]="Server",_xlfn.XLOOKUP(tblEvntScope[[#This Row],[Hostname]],tblTM[common_assetName],tblTM[device_custom60],"",0,1),"")</f>
        <v/>
      </c>
      <c r="Q2" s="220" t="str">
        <f>_xlfn.XLOOKUP(tblEvntScope[[#This Row],[Hostname]],tblTM[common_assetName],tblTM[common_environment],"",0,1)</f>
        <v>Disaster Recovery</v>
      </c>
      <c r="R2" s="199" t="str">
        <f>_xlfn.XLOOKUP(tblEvntScope[[#This Row],[Hostname]],tblTM[common_assetName],tblTM[device_assetType],"",0,1)</f>
        <v>VM</v>
      </c>
      <c r="S2"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T2" s="211" t="str">
        <f>_xlfn.XLOOKUP(tblEvntScope[[#This Row],[Hostname]],tblTM[common_assetName],tblTM[device_custom26],"",0,1)</f>
        <v>Yes</v>
      </c>
      <c r="U2" s="221">
        <f>_xlfn.XLOOKUP(tblEvntScope[[#This Row],[Hostname]],tblTM[common_assetName],tblTM[device_custom29],"",0,1)</f>
        <v>0</v>
      </c>
      <c r="V2" s="221"/>
      <c r="W2" s="221"/>
      <c r="X2"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2" s="223">
        <f>_xlfn.XLOOKUP(tblEvntScope[[#This Row],[Hostname]],tblTM[common_assetName],tblTM[device_custom17],"",0,1)</f>
        <v>0</v>
      </c>
      <c r="Z2" s="223">
        <f>IFERROR(IF(tblEvntScope[[#This Row],[Target IPs ]]="","",_xlfn.XLOOKUP(tblEvntScope[[#This Row],[Hostname]],tblTM[common_assetName],tblTM[device_custom14],"",0,1)),"")</f>
        <v>0</v>
      </c>
      <c r="AA2" s="223">
        <f>IFERROR(IF(tblEvntScope[[#This Row],[Target IPs ]]="","",_xlfn.XLOOKUP(tblEvntScope[[#This Row],[Hostname]],tblTM[common_assetName],tblTM[device_custom12],"",0,1)),"")</f>
        <v>0</v>
      </c>
      <c r="AB2" s="224">
        <f>IFERROR(_xlfn.XLOOKUP(tblEvntScope[[#This Row],[Hostname]],tblTM[common_assetName],tblTM[device_custom64],"",0)+_xlfn.XLOOKUP(tblEvntScope[[#This Row],[Hostname]],tblTM[common_assetName],tblTM[device_size],"",0),"")</f>
        <v>449.99119949999999</v>
      </c>
      <c r="AC2" s="225"/>
      <c r="AD2" s="226">
        <v>605692</v>
      </c>
      <c r="AE2" s="223" t="str">
        <f>CONCATENATE(tblEvntScope[[#This Row],[Application Name]],tblEvntScope[[#This Row],[Hostname]])</f>
        <v>Axway (GBD)-DRVA33PWVAXY003</v>
      </c>
    </row>
    <row r="3" spans="1:31" ht="15.5" thickTop="1" thickBot="1" x14ac:dyDescent="0.4">
      <c r="A3" s="217" t="str">
        <f>SUBSTITUTE(_xlfn.XLOOKUP(tblEvntScope[[#This Row],[AssetDependencyId]],tblDependencies[AssetDependencyId],tblDependencies[DependentBundle],"",0,1),"AppGroup","ME")</f>
        <v>MEA190</v>
      </c>
      <c r="B3" s="218">
        <f>TMWorkbook!$C$2</f>
        <v>46210</v>
      </c>
      <c r="C3" s="219"/>
      <c r="D3" s="199" t="str">
        <f>_xlfn.XLOOKUP(tblEvntScope[[#This Row],[AssetDependencyId]],tblDependencies[AssetDependencyId],tblDependencies[AssetName],"",0,1)</f>
        <v>Axway (GBD)-DR</v>
      </c>
      <c r="E3" s="199" t="str">
        <f>_xlfn.XLOOKUP(tblEvntScope[[#This Row],[Application Name]],tblApplications[common_assetName],tblApplications[application_appOwner],"",0,1)</f>
        <v/>
      </c>
      <c r="F3" s="199" t="str">
        <f>_xlfn.XLOOKUP(tblEvntScope[[#This Row],[Application Name]],tblApplications[common_assetName],tblApplications[application_custom6],"",0,1)</f>
        <v/>
      </c>
      <c r="G3" s="198" t="str">
        <f>_xlfn.XLOOKUP(tblEvntScope[[#This Row],[Application Name]],tblApplications[common_assetName],tblApplications[application_sme2],"",0,1)</f>
        <v/>
      </c>
      <c r="H3" s="199" t="str">
        <f>LOWER(_xlfn.XLOOKUP(tblEvntScope[[#This Row],[Application Name]],tblApplications[common_assetName],tblApplications[application_custom23],"",0,1))</f>
        <v/>
      </c>
      <c r="I3" s="198" t="str">
        <f>_xlfn.XLOOKUP(tblEvntScope[[#This Row],[AssetDependencyId]],tblDependencies[AssetDependencyId],tblDependencies[DependentName],"",0,1)</f>
        <v>VA33PWVAXY004</v>
      </c>
      <c r="J3" s="199" t="str">
        <f>TEXT(_xlfn.XLOOKUP(tblEvntScope[[#This Row],[Hostname]],tblPMView[Hostname],tblPMView[Scope],"",0,1),"")</f>
        <v/>
      </c>
      <c r="K3" s="199" t="str">
        <f>_xlfn.XLOOKUP(tblEvntScope[[#This Row],[Hostname]],tblTM[common_assetName],tblTM[device_ipAddress],"",0,1)</f>
        <v>22.112.40.33</v>
      </c>
      <c r="L3" s="199" t="str">
        <f>_xlfn.LET(_xlpm.loc,LEFT(tblEvntScope[[#This Row],[Hostname]],4),IF(LEFT(LOWER(_xlpm.loc),3)="vaa","Richmond",_xlfn.XLOOKUP(_xlpm.loc,tblLocationCodes[LocAbbr],tblLocationCodes[Location],"",0,1)))</f>
        <v>Harrisonburg</v>
      </c>
      <c r="M3" s="198"/>
      <c r="N3" s="198"/>
      <c r="O3" s="199" t="str">
        <f>_xlfn.XLOOKUP(tblEvntScope[[#This Row],[Hostname]],tblTM[common_assetName],tblTM[device_custom35],"",0,1)</f>
        <v>Application/Utility</v>
      </c>
      <c r="P3" s="199" t="str">
        <f>IF(tblEvntScope[[#This Row],[Device Type]]="Server",_xlfn.XLOOKUP(tblEvntScope[[#This Row],[Hostname]],tblTM[common_assetName],tblTM[device_custom60],"",0,1),"")</f>
        <v/>
      </c>
      <c r="Q3" s="220" t="str">
        <f>_xlfn.XLOOKUP(tblEvntScope[[#This Row],[Hostname]],tblTM[common_assetName],tblTM[common_environment],"",0,1)</f>
        <v>Disaster Recovery</v>
      </c>
      <c r="R3" s="199" t="str">
        <f>_xlfn.XLOOKUP(tblEvntScope[[#This Row],[Hostname]],tblTM[common_assetName],tblTM[device_assetType],"",0,1)</f>
        <v>VM</v>
      </c>
      <c r="S3"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T3" s="211" t="str">
        <f>_xlfn.XLOOKUP(tblEvntScope[[#This Row],[Hostname]],tblTM[common_assetName],tblTM[device_custom26],"",0,1)</f>
        <v>Yes</v>
      </c>
      <c r="U3" s="221">
        <f>_xlfn.XLOOKUP(tblEvntScope[[#This Row],[Hostname]],tblTM[common_assetName],tblTM[device_custom29],"",0,1)</f>
        <v>0</v>
      </c>
      <c r="V3" s="221"/>
      <c r="W3" s="221"/>
      <c r="X3"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 s="223">
        <f>_xlfn.XLOOKUP(tblEvntScope[[#This Row],[Hostname]],tblTM[common_assetName],tblTM[device_custom17],"",0,1)</f>
        <v>0</v>
      </c>
      <c r="Z3" s="223">
        <f>IFERROR(IF(tblEvntScope[[#This Row],[Target IPs ]]="","",_xlfn.XLOOKUP(tblEvntScope[[#This Row],[Hostname]],tblTM[common_assetName],tblTM[device_custom14],"",0,1)),"")</f>
        <v>0</v>
      </c>
      <c r="AA3" s="223">
        <f>IFERROR(IF(tblEvntScope[[#This Row],[Target IPs ]]="","",_xlfn.XLOOKUP(tblEvntScope[[#This Row],[Hostname]],tblTM[common_assetName],tblTM[device_custom12],"",0,1)),"")</f>
        <v>0</v>
      </c>
      <c r="AB3" s="224">
        <f>IFERROR(_xlfn.XLOOKUP(tblEvntScope[[#This Row],[Hostname]],tblTM[common_assetName],tblTM[device_custom64],"",0)+_xlfn.XLOOKUP(tblEvntScope[[#This Row],[Hostname]],tblTM[common_assetName],tblTM[device_size],"",0),"")</f>
        <v>449.99119949999999</v>
      </c>
      <c r="AC3" s="225"/>
      <c r="AD3" s="226">
        <v>605693</v>
      </c>
      <c r="AE3" s="223" t="str">
        <f>CONCATENATE(tblEvntScope[[#This Row],[Application Name]],tblEvntScope[[#This Row],[Hostname]])</f>
        <v>Axway (GBD)-DRVA33PWVAXY004</v>
      </c>
    </row>
    <row r="4" spans="1:31" ht="15.5" thickTop="1" thickBot="1" x14ac:dyDescent="0.4">
      <c r="A4" s="217" t="str">
        <f>SUBSTITUTE(_xlfn.XLOOKUP(tblEvntScope[[#This Row],[AssetDependencyId]],tblDependencies[AssetDependencyId],tblDependencies[DependentBundle],"",0,1),"AppGroup","ME")</f>
        <v>MEA190</v>
      </c>
      <c r="B4" s="218">
        <f>TMWorkbook!$C$2</f>
        <v>46210</v>
      </c>
      <c r="C4" s="219"/>
      <c r="D4" s="199" t="str">
        <f>_xlfn.XLOOKUP(tblEvntScope[[#This Row],[AssetDependencyId]],tblDependencies[AssetDependencyId],tblDependencies[AssetName],"",0,1)</f>
        <v>eHub - Enterprise Master Person Index (EMPI)-Dev</v>
      </c>
      <c r="E4" s="199" t="str">
        <f>_xlfn.XLOOKUP(tblEvntScope[[#This Row],[Application Name]],tblApplications[common_assetName],tblApplications[application_appOwner],"",0,1)</f>
        <v/>
      </c>
      <c r="F4" s="199" t="str">
        <f>_xlfn.XLOOKUP(tblEvntScope[[#This Row],[Application Name]],tblApplications[common_assetName],tblApplications[application_custom6],"",0,1)</f>
        <v/>
      </c>
      <c r="G4" s="198" t="str">
        <f>_xlfn.XLOOKUP(tblEvntScope[[#This Row],[Application Name]],tblApplications[common_assetName],tblApplications[application_sme2],"",0,1)</f>
        <v/>
      </c>
      <c r="H4" s="199" t="str">
        <f>LOWER(_xlfn.XLOOKUP(tblEvntScope[[#This Row],[Application Name]],tblApplications[common_assetName],tblApplications[application_custom23],"",0,1))</f>
        <v/>
      </c>
      <c r="I4" s="198" t="str">
        <f>_xlfn.XLOOKUP(tblEvntScope[[#This Row],[AssetDependencyId]],tblDependencies[AssetDependencyId],tblDependencies[DependentName],"",0,1)</f>
        <v>vaathmr423</v>
      </c>
      <c r="J4" s="199" t="str">
        <f>TEXT(_xlfn.XLOOKUP(tblEvntScope[[#This Row],[Hostname]],tblPMView[Hostname],tblPMView[Scope],"",0,1),"")</f>
        <v/>
      </c>
      <c r="K4" s="199" t="str">
        <f>_xlfn.XLOOKUP(tblEvntScope[[#This Row],[Hostname]],tblTM[common_assetName],tblTM[device_ipAddress],"",0,1)</f>
        <v>30.135.64.223,30.135.64.222,30.135.64.27</v>
      </c>
      <c r="L4" s="199" t="str">
        <f>_xlfn.LET(_xlpm.loc,LEFT(tblEvntScope[[#This Row],[Hostname]],4),IF(LEFT(LOWER(_xlpm.loc),3)="vaa","Richmond",_xlfn.XLOOKUP(_xlpm.loc,tblLocationCodes[LocAbbr],tblLocationCodes[Location],"",0,1)))</f>
        <v>Richmond</v>
      </c>
      <c r="M4" s="198"/>
      <c r="N4" s="198"/>
      <c r="O4" s="199">
        <f>_xlfn.XLOOKUP(tblEvntScope[[#This Row],[Hostname]],tblTM[common_assetName],tblTM[device_custom35],"",0,1)</f>
        <v>0</v>
      </c>
      <c r="P4" s="199" t="str">
        <f>IF(tblEvntScope[[#This Row],[Device Type]]="Server",_xlfn.XLOOKUP(tblEvntScope[[#This Row],[Hostname]],tblTM[common_assetName],tblTM[device_custom60],"",0,1),"")</f>
        <v/>
      </c>
      <c r="Q4" s="220" t="str">
        <f>_xlfn.XLOOKUP(tblEvntScope[[#This Row],[Hostname]],tblTM[common_assetName],tblTM[common_environment],"",0,1)</f>
        <v>Development</v>
      </c>
      <c r="R4" s="199" t="str">
        <f>_xlfn.XLOOKUP(tblEvntScope[[#This Row],[Hostname]],tblTM[common_assetName],tblTM[device_assetType],"",0,1)</f>
        <v>AIX-LPAR</v>
      </c>
      <c r="S4"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4" s="211" t="str">
        <f>_xlfn.XLOOKUP(tblEvntScope[[#This Row],[Hostname]],tblTM[common_assetName],tblTM[device_custom26],"",0,1)</f>
        <v>No</v>
      </c>
      <c r="U4" s="221">
        <f>_xlfn.XLOOKUP(tblEvntScope[[#This Row],[Hostname]],tblTM[common_assetName],tblTM[device_custom29],"",0,1)</f>
        <v>0</v>
      </c>
      <c r="V4" s="221"/>
      <c r="W4" s="221"/>
      <c r="X4"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4" s="223">
        <f>_xlfn.XLOOKUP(tblEvntScope[[#This Row],[Hostname]],tblTM[common_assetName],tblTM[device_custom17],"",0,1)</f>
        <v>0</v>
      </c>
      <c r="Z4" s="223">
        <f>IFERROR(IF(tblEvntScope[[#This Row],[Target IPs ]]="","",_xlfn.XLOOKUP(tblEvntScope[[#This Row],[Hostname]],tblTM[common_assetName],tblTM[device_custom14],"",0,1)),"")</f>
        <v>0</v>
      </c>
      <c r="AA4" s="223">
        <f>IFERROR(IF(tblEvntScope[[#This Row],[Target IPs ]]="","",_xlfn.XLOOKUP(tblEvntScope[[#This Row],[Hostname]],tblTM[common_assetName],tblTM[device_custom12],"",0,1)),"")</f>
        <v>0</v>
      </c>
      <c r="AB4" s="224">
        <f>IFERROR(_xlfn.XLOOKUP(tblEvntScope[[#This Row],[Hostname]],tblTM[common_assetName],tblTM[device_custom64],"",0)+_xlfn.XLOOKUP(tblEvntScope[[#This Row],[Hostname]],tblTM[common_assetName],tblTM[device_size],"",0),"")</f>
        <v>1040.5</v>
      </c>
      <c r="AC4" s="225"/>
      <c r="AD4" s="226">
        <v>577301</v>
      </c>
      <c r="AE4" s="223" t="str">
        <f>CONCATENATE(tblEvntScope[[#This Row],[Application Name]],tblEvntScope[[#This Row],[Hostname]])</f>
        <v>eHub - Enterprise Master Person Index (EMPI)-Devvaathmr423</v>
      </c>
    </row>
    <row r="5" spans="1:31" ht="15.5" thickTop="1" thickBot="1" x14ac:dyDescent="0.4">
      <c r="A5" s="217" t="str">
        <f>SUBSTITUTE(_xlfn.XLOOKUP(tblEvntScope[[#This Row],[AssetDependencyId]],tblDependencies[AssetDependencyId],tblDependencies[DependentBundle],"",0,1),"AppGroup","ME")</f>
        <v>MEA190</v>
      </c>
      <c r="B5" s="218">
        <f>TMWorkbook!$C$2</f>
        <v>46210</v>
      </c>
      <c r="C5" s="219"/>
      <c r="D5" s="199" t="str">
        <f>_xlfn.XLOOKUP(tblEvntScope[[#This Row],[AssetDependencyId]],tblDependencies[AssetDependencyId],tblDependencies[AssetName],"",0,1)</f>
        <v>Kafka-Test</v>
      </c>
      <c r="E5" s="199" t="str">
        <f>_xlfn.XLOOKUP(tblEvntScope[[#This Row],[Application Name]],tblApplications[common_assetName],tblApplications[application_appOwner],"",0,1)</f>
        <v>Srihari Koduri</v>
      </c>
      <c r="F5" s="199" t="str">
        <f>_xlfn.XLOOKUP(tblEvntScope[[#This Row],[Application Name]],tblApplications[common_assetName],tblApplications[application_custom6],"",0,1)</f>
        <v>Koduri, Srihari</v>
      </c>
      <c r="G5" s="198">
        <f>_xlfn.XLOOKUP(tblEvntScope[[#This Row],[Application Name]],tblApplications[common_assetName],tblApplications[application_sme2],"",0,1)</f>
        <v>0</v>
      </c>
      <c r="H5" s="199" t="str">
        <f>LOWER(_xlfn.XLOOKUP(tblEvntScope[[#This Row],[Application Name]],tblApplications[common_assetName],tblApplications[application_custom23],"",0,1))</f>
        <v>dl-kafka-support@anthem.com</v>
      </c>
      <c r="I5" s="198" t="str">
        <f>_xlfn.XLOOKUP(tblEvntScope[[#This Row],[AssetDependencyId]],tblDependencies[AssetDependencyId],tblDependencies[DependentName],"",0,1)</f>
        <v>dc04tlpkaf400</v>
      </c>
      <c r="J5" s="199" t="str">
        <f>TEXT(_xlfn.XLOOKUP(tblEvntScope[[#This Row],[Hostname]],tblPMView[Hostname],tblPMView[Scope],"",0,1),"")</f>
        <v/>
      </c>
      <c r="K5" s="199" t="str">
        <f>_xlfn.XLOOKUP(tblEvntScope[[#This Row],[Hostname]],tblTM[common_assetName],tblTM[device_ipAddress],"",0,1)</f>
        <v>10.152.28.98</v>
      </c>
      <c r="L5" s="199" t="str">
        <f>_xlfn.LET(_xlpm.loc,LEFT(tblEvntScope[[#This Row],[Hostname]],4),IF(LEFT(LOWER(_xlpm.loc),3)="vaa","Richmond",_xlfn.XLOOKUP(_xlpm.loc,tblLocationCodes[LocAbbr],tblLocationCodes[Location],"",0,1)))</f>
        <v>Ashburn</v>
      </c>
      <c r="M5" s="198"/>
      <c r="N5" s="198"/>
      <c r="O5" s="199">
        <f>_xlfn.XLOOKUP(tblEvntScope[[#This Row],[Hostname]],tblTM[common_assetName],tblTM[device_custom35],"",0,1)</f>
        <v>0</v>
      </c>
      <c r="P5" s="199" t="str">
        <f>IF(tblEvntScope[[#This Row],[Device Type]]="Server",_xlfn.XLOOKUP(tblEvntScope[[#This Row],[Hostname]],tblTM[common_assetName],tblTM[device_custom60],"",0,1),"")</f>
        <v>P2P</v>
      </c>
      <c r="Q5" s="220" t="str">
        <f>_xlfn.XLOOKUP(tblEvntScope[[#This Row],[Hostname]],tblTM[common_assetName],tblTM[common_environment],"",0,1)</f>
        <v>Test</v>
      </c>
      <c r="R5" s="199" t="str">
        <f>_xlfn.XLOOKUP(tblEvntScope[[#This Row],[Hostname]],tblTM[common_assetName],tblTM[device_assetType],"",0,1)</f>
        <v>Server</v>
      </c>
      <c r="S5"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5" s="211" t="str">
        <f>_xlfn.XLOOKUP(tblEvntScope[[#This Row],[Hostname]],tblTM[common_assetName],tblTM[device_custom26],"",0,1)</f>
        <v>No</v>
      </c>
      <c r="U5" s="221">
        <f>_xlfn.XLOOKUP(tblEvntScope[[#This Row],[Hostname]],tblTM[common_assetName],tblTM[device_custom29],"",0,1)</f>
        <v>0</v>
      </c>
      <c r="V5" s="221"/>
      <c r="W5" s="221"/>
      <c r="X5"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5" s="223">
        <f>_xlfn.XLOOKUP(tblEvntScope[[#This Row],[Hostname]],tblTM[common_assetName],tblTM[device_custom17],"",0,1)</f>
        <v>0</v>
      </c>
      <c r="Z5" s="223">
        <f>IFERROR(IF(tblEvntScope[[#This Row],[Target IPs ]]="","",_xlfn.XLOOKUP(tblEvntScope[[#This Row],[Hostname]],tblTM[common_assetName],tblTM[device_custom14],"",0,1)),"")</f>
        <v>0</v>
      </c>
      <c r="AA5" s="223">
        <f>IFERROR(IF(tblEvntScope[[#This Row],[Target IPs ]]="","",_xlfn.XLOOKUP(tblEvntScope[[#This Row],[Hostname]],tblTM[common_assetName],tblTM[device_custom12],"",0,1)),"")</f>
        <v>0</v>
      </c>
      <c r="AB5" s="224">
        <f>IFERROR(_xlfn.XLOOKUP(tblEvntScope[[#This Row],[Hostname]],tblTM[common_assetName],tblTM[device_custom64],"",0)+_xlfn.XLOOKUP(tblEvntScope[[#This Row],[Hostname]],tblTM[common_assetName],tblTM[device_size],"",0),"")</f>
        <v>11126.08274</v>
      </c>
      <c r="AC5" s="225"/>
      <c r="AD5" s="226">
        <v>672040</v>
      </c>
      <c r="AE5" s="223" t="str">
        <f>CONCATENATE(tblEvntScope[[#This Row],[Application Name]],tblEvntScope[[#This Row],[Hostname]])</f>
        <v>Kafka-Testdc04tlpkaf400</v>
      </c>
    </row>
    <row r="6" spans="1:31" ht="15.5" thickTop="1" thickBot="1" x14ac:dyDescent="0.4">
      <c r="A6" s="217" t="str">
        <f>SUBSTITUTE(_xlfn.XLOOKUP(tblEvntScope[[#This Row],[AssetDependencyId]],tblDependencies[AssetDependencyId],tblDependencies[DependentBundle],"",0,1),"AppGroup","ME")</f>
        <v>MEA190</v>
      </c>
      <c r="B6" s="218">
        <f>TMWorkbook!$C$2</f>
        <v>46210</v>
      </c>
      <c r="C6" s="219"/>
      <c r="D6" s="199" t="str">
        <f>_xlfn.XLOOKUP(tblEvntScope[[#This Row],[AssetDependencyId]],tblDependencies[AssetDependencyId],tblDependencies[AssetName],"",0,1)</f>
        <v>Kafka-Test</v>
      </c>
      <c r="E6" s="199" t="str">
        <f>_xlfn.XLOOKUP(tblEvntScope[[#This Row],[Application Name]],tblApplications[common_assetName],tblApplications[application_appOwner],"",0,1)</f>
        <v>Srihari Koduri</v>
      </c>
      <c r="F6" s="199" t="str">
        <f>_xlfn.XLOOKUP(tblEvntScope[[#This Row],[Application Name]],tblApplications[common_assetName],tblApplications[application_custom6],"",0,1)</f>
        <v>Koduri, Srihari</v>
      </c>
      <c r="G6" s="198">
        <f>_xlfn.XLOOKUP(tblEvntScope[[#This Row],[Application Name]],tblApplications[common_assetName],tblApplications[application_sme2],"",0,1)</f>
        <v>0</v>
      </c>
      <c r="H6" s="199" t="str">
        <f>LOWER(_xlfn.XLOOKUP(tblEvntScope[[#This Row],[Application Name]],tblApplications[common_assetName],tblApplications[application_custom23],"",0,1))</f>
        <v>dl-kafka-support@anthem.com</v>
      </c>
      <c r="I6" s="198" t="str">
        <f>_xlfn.XLOOKUP(tblEvntScope[[#This Row],[AssetDependencyId]],tblDependencies[AssetDependencyId],tblDependencies[DependentName],"",0,1)</f>
        <v>dc04tlpkaf401</v>
      </c>
      <c r="J6" s="199" t="str">
        <f>TEXT(_xlfn.XLOOKUP(tblEvntScope[[#This Row],[Hostname]],tblPMView[Hostname],tblPMView[Scope],"",0,1),"")</f>
        <v/>
      </c>
      <c r="K6" s="199" t="str">
        <f>_xlfn.XLOOKUP(tblEvntScope[[#This Row],[Hostname]],tblTM[common_assetName],tblTM[device_ipAddress],"",0,1)</f>
        <v>10.152.28.99</v>
      </c>
      <c r="L6" s="199" t="str">
        <f>_xlfn.LET(_xlpm.loc,LEFT(tblEvntScope[[#This Row],[Hostname]],4),IF(LEFT(LOWER(_xlpm.loc),3)="vaa","Richmond",_xlfn.XLOOKUP(_xlpm.loc,tblLocationCodes[LocAbbr],tblLocationCodes[Location],"",0,1)))</f>
        <v>Ashburn</v>
      </c>
      <c r="M6" s="198"/>
      <c r="N6" s="198"/>
      <c r="O6" s="199">
        <f>_xlfn.XLOOKUP(tblEvntScope[[#This Row],[Hostname]],tblTM[common_assetName],tblTM[device_custom35],"",0,1)</f>
        <v>0</v>
      </c>
      <c r="P6" s="199" t="str">
        <f>IF(tblEvntScope[[#This Row],[Device Type]]="Server",_xlfn.XLOOKUP(tblEvntScope[[#This Row],[Hostname]],tblTM[common_assetName],tblTM[device_custom60],"",0,1),"")</f>
        <v>P2P</v>
      </c>
      <c r="Q6" s="220" t="str">
        <f>_xlfn.XLOOKUP(tblEvntScope[[#This Row],[Hostname]],tblTM[common_assetName],tblTM[common_environment],"",0,1)</f>
        <v>Test</v>
      </c>
      <c r="R6" s="199" t="str">
        <f>_xlfn.XLOOKUP(tblEvntScope[[#This Row],[Hostname]],tblTM[common_assetName],tblTM[device_assetType],"",0,1)</f>
        <v>Server</v>
      </c>
      <c r="S6"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6" s="211" t="str">
        <f>_xlfn.XLOOKUP(tblEvntScope[[#This Row],[Hostname]],tblTM[common_assetName],tblTM[device_custom26],"",0,1)</f>
        <v>No</v>
      </c>
      <c r="U6" s="221">
        <f>_xlfn.XLOOKUP(tblEvntScope[[#This Row],[Hostname]],tblTM[common_assetName],tblTM[device_custom29],"",0,1)</f>
        <v>0</v>
      </c>
      <c r="V6" s="221"/>
      <c r="W6" s="221"/>
      <c r="X6"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6" s="223">
        <f>_xlfn.XLOOKUP(tblEvntScope[[#This Row],[Hostname]],tblTM[common_assetName],tblTM[device_custom17],"",0,1)</f>
        <v>0</v>
      </c>
      <c r="Z6" s="223">
        <f>IFERROR(IF(tblEvntScope[[#This Row],[Target IPs ]]="","",_xlfn.XLOOKUP(tblEvntScope[[#This Row],[Hostname]],tblTM[common_assetName],tblTM[device_custom14],"",0,1)),"")</f>
        <v>0</v>
      </c>
      <c r="AA6" s="223">
        <f>IFERROR(IF(tblEvntScope[[#This Row],[Target IPs ]]="","",_xlfn.XLOOKUP(tblEvntScope[[#This Row],[Hostname]],tblTM[common_assetName],tblTM[device_custom12],"",0,1)),"")</f>
        <v>0</v>
      </c>
      <c r="AB6" s="224">
        <f>IFERROR(_xlfn.XLOOKUP(tblEvntScope[[#This Row],[Hostname]],tblTM[common_assetName],tblTM[device_custom64],"",0)+_xlfn.XLOOKUP(tblEvntScope[[#This Row],[Hostname]],tblTM[common_assetName],tblTM[device_size],"",0),"")</f>
        <v>11126.11204</v>
      </c>
      <c r="AC6" s="225"/>
      <c r="AD6" s="226">
        <v>672039</v>
      </c>
      <c r="AE6" s="223" t="str">
        <f>CONCATENATE(tblEvntScope[[#This Row],[Application Name]],tblEvntScope[[#This Row],[Hostname]])</f>
        <v>Kafka-Testdc04tlpkaf401</v>
      </c>
    </row>
    <row r="7" spans="1:31" ht="15.5" thickTop="1" thickBot="1" x14ac:dyDescent="0.4">
      <c r="A7" s="217" t="str">
        <f>SUBSTITUTE(_xlfn.XLOOKUP(tblEvntScope[[#This Row],[AssetDependencyId]],tblDependencies[AssetDependencyId],tblDependencies[DependentBundle],"",0,1),"AppGroup","ME")</f>
        <v>MEA190</v>
      </c>
      <c r="B7" s="218">
        <f>TMWorkbook!$C$2</f>
        <v>46210</v>
      </c>
      <c r="C7" s="219"/>
      <c r="D7" s="199" t="str">
        <f>_xlfn.XLOOKUP(tblEvntScope[[#This Row],[AssetDependencyId]],tblDependencies[AssetDependencyId],tblDependencies[AssetName],"",0,1)</f>
        <v>Kafka-Test</v>
      </c>
      <c r="E7" s="199" t="str">
        <f>_xlfn.XLOOKUP(tblEvntScope[[#This Row],[Application Name]],tblApplications[common_assetName],tblApplications[application_appOwner],"",0,1)</f>
        <v>Srihari Koduri</v>
      </c>
      <c r="F7" s="199" t="str">
        <f>_xlfn.XLOOKUP(tblEvntScope[[#This Row],[Application Name]],tblApplications[common_assetName],tblApplications[application_custom6],"",0,1)</f>
        <v>Koduri, Srihari</v>
      </c>
      <c r="G7" s="198">
        <f>_xlfn.XLOOKUP(tblEvntScope[[#This Row],[Application Name]],tblApplications[common_assetName],tblApplications[application_sme2],"",0,1)</f>
        <v>0</v>
      </c>
      <c r="H7" s="199" t="str">
        <f>LOWER(_xlfn.XLOOKUP(tblEvntScope[[#This Row],[Application Name]],tblApplications[common_assetName],tblApplications[application_custom23],"",0,1))</f>
        <v>dl-kafka-support@anthem.com</v>
      </c>
      <c r="I7" s="198" t="str">
        <f>_xlfn.XLOOKUP(tblEvntScope[[#This Row],[AssetDependencyId]],tblDependencies[AssetDependencyId],tblDependencies[DependentName],"",0,1)</f>
        <v>dc04tlpkaf402</v>
      </c>
      <c r="J7" s="199" t="str">
        <f>TEXT(_xlfn.XLOOKUP(tblEvntScope[[#This Row],[Hostname]],tblPMView[Hostname],tblPMView[Scope],"",0,1),"")</f>
        <v/>
      </c>
      <c r="K7" s="199" t="str">
        <f>_xlfn.XLOOKUP(tblEvntScope[[#This Row],[Hostname]],tblTM[common_assetName],tblTM[device_ipAddress],"",0,1)</f>
        <v>10.152.28.100</v>
      </c>
      <c r="L7" s="199" t="str">
        <f>_xlfn.LET(_xlpm.loc,LEFT(tblEvntScope[[#This Row],[Hostname]],4),IF(LEFT(LOWER(_xlpm.loc),3)="vaa","Richmond",_xlfn.XLOOKUP(_xlpm.loc,tblLocationCodes[LocAbbr],tblLocationCodes[Location],"",0,1)))</f>
        <v>Ashburn</v>
      </c>
      <c r="M7" s="198"/>
      <c r="N7" s="198"/>
      <c r="O7" s="199">
        <f>_xlfn.XLOOKUP(tblEvntScope[[#This Row],[Hostname]],tblTM[common_assetName],tblTM[device_custom35],"",0,1)</f>
        <v>0</v>
      </c>
      <c r="P7" s="199" t="str">
        <f>IF(tblEvntScope[[#This Row],[Device Type]]="Server",_xlfn.XLOOKUP(tblEvntScope[[#This Row],[Hostname]],tblTM[common_assetName],tblTM[device_custom60],"",0,1),"")</f>
        <v>P2P</v>
      </c>
      <c r="Q7" s="220" t="str">
        <f>_xlfn.XLOOKUP(tblEvntScope[[#This Row],[Hostname]],tblTM[common_assetName],tblTM[common_environment],"",0,1)</f>
        <v>Test</v>
      </c>
      <c r="R7" s="199" t="str">
        <f>_xlfn.XLOOKUP(tblEvntScope[[#This Row],[Hostname]],tblTM[common_assetName],tblTM[device_assetType],"",0,1)</f>
        <v>Server</v>
      </c>
      <c r="S7"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7" s="211" t="str">
        <f>_xlfn.XLOOKUP(tblEvntScope[[#This Row],[Hostname]],tblTM[common_assetName],tblTM[device_custom26],"",0,1)</f>
        <v>No</v>
      </c>
      <c r="U7" s="221">
        <f>_xlfn.XLOOKUP(tblEvntScope[[#This Row],[Hostname]],tblTM[common_assetName],tblTM[device_custom29],"",0,1)</f>
        <v>0</v>
      </c>
      <c r="V7" s="221"/>
      <c r="W7" s="221"/>
      <c r="X7"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7" s="223">
        <f>_xlfn.XLOOKUP(tblEvntScope[[#This Row],[Hostname]],tblTM[common_assetName],tblTM[device_custom17],"",0,1)</f>
        <v>0</v>
      </c>
      <c r="Z7" s="223">
        <f>IFERROR(IF(tblEvntScope[[#This Row],[Target IPs ]]="","",_xlfn.XLOOKUP(tblEvntScope[[#This Row],[Hostname]],tblTM[common_assetName],tblTM[device_custom14],"",0,1)),"")</f>
        <v>0</v>
      </c>
      <c r="AA7" s="223">
        <f>IFERROR(IF(tblEvntScope[[#This Row],[Target IPs ]]="","",_xlfn.XLOOKUP(tblEvntScope[[#This Row],[Hostname]],tblTM[common_assetName],tblTM[device_custom12],"",0,1)),"")</f>
        <v>0</v>
      </c>
      <c r="AB7" s="224">
        <f>IFERROR(_xlfn.XLOOKUP(tblEvntScope[[#This Row],[Hostname]],tblTM[common_assetName],tblTM[device_custom64],"",0)+_xlfn.XLOOKUP(tblEvntScope[[#This Row],[Hostname]],tblTM[common_assetName],tblTM[device_size],"",0),"")</f>
        <v>11126.11204</v>
      </c>
      <c r="AC7" s="225"/>
      <c r="AD7" s="226">
        <v>672038</v>
      </c>
      <c r="AE7" s="223" t="str">
        <f>CONCATENATE(tblEvntScope[[#This Row],[Application Name]],tblEvntScope[[#This Row],[Hostname]])</f>
        <v>Kafka-Testdc04tlpkaf402</v>
      </c>
    </row>
    <row r="8" spans="1:31" ht="15.5" thickTop="1" thickBot="1" x14ac:dyDescent="0.4">
      <c r="A8" s="217" t="str">
        <f>SUBSTITUTE(_xlfn.XLOOKUP(tblEvntScope[[#This Row],[AssetDependencyId]],tblDependencies[AssetDependencyId],tblDependencies[DependentBundle],"",0,1),"AppGroup","ME")</f>
        <v>MEA190</v>
      </c>
      <c r="B8" s="218">
        <f>TMWorkbook!$C$2</f>
        <v>46210</v>
      </c>
      <c r="C8" s="219"/>
      <c r="D8" s="199" t="str">
        <f>_xlfn.XLOOKUP(tblEvntScope[[#This Row],[AssetDependencyId]],tblDependencies[AssetDependencyId],tblDependencies[AssetName],"",0,1)</f>
        <v>Kafka-Test</v>
      </c>
      <c r="E8" s="199" t="str">
        <f>_xlfn.XLOOKUP(tblEvntScope[[#This Row],[Application Name]],tblApplications[common_assetName],tblApplications[application_appOwner],"",0,1)</f>
        <v>Srihari Koduri</v>
      </c>
      <c r="F8" s="199" t="str">
        <f>_xlfn.XLOOKUP(tblEvntScope[[#This Row],[Application Name]],tblApplications[common_assetName],tblApplications[application_custom6],"",0,1)</f>
        <v>Koduri, Srihari</v>
      </c>
      <c r="G8" s="198">
        <f>_xlfn.XLOOKUP(tblEvntScope[[#This Row],[Application Name]],tblApplications[common_assetName],tblApplications[application_sme2],"",0,1)</f>
        <v>0</v>
      </c>
      <c r="H8" s="199" t="str">
        <f>LOWER(_xlfn.XLOOKUP(tblEvntScope[[#This Row],[Application Name]],tblApplications[common_assetName],tblApplications[application_custom23],"",0,1))</f>
        <v>dl-kafka-support@anthem.com</v>
      </c>
      <c r="I8" s="198" t="str">
        <f>_xlfn.XLOOKUP(tblEvntScope[[#This Row],[AssetDependencyId]],tblDependencies[AssetDependencyId],tblDependencies[DependentName],"",0,1)</f>
        <v>dc04tlpkaf404</v>
      </c>
      <c r="J8" s="199" t="str">
        <f>TEXT(_xlfn.XLOOKUP(tblEvntScope[[#This Row],[Hostname]],tblPMView[Hostname],tblPMView[Scope],"",0,1),"")</f>
        <v/>
      </c>
      <c r="K8" s="199" t="str">
        <f>_xlfn.XLOOKUP(tblEvntScope[[#This Row],[Hostname]],tblTM[common_assetName],tblTM[device_ipAddress],"",0,1)</f>
        <v>10.152.28.102</v>
      </c>
      <c r="L8" s="199" t="str">
        <f>_xlfn.LET(_xlpm.loc,LEFT(tblEvntScope[[#This Row],[Hostname]],4),IF(LEFT(LOWER(_xlpm.loc),3)="vaa","Richmond",_xlfn.XLOOKUP(_xlpm.loc,tblLocationCodes[LocAbbr],tblLocationCodes[Location],"",0,1)))</f>
        <v>Ashburn</v>
      </c>
      <c r="M8" s="198"/>
      <c r="N8" s="198"/>
      <c r="O8" s="199">
        <f>_xlfn.XLOOKUP(tblEvntScope[[#This Row],[Hostname]],tblTM[common_assetName],tblTM[device_custom35],"",0,1)</f>
        <v>0</v>
      </c>
      <c r="P8" s="199" t="str">
        <f>IF(tblEvntScope[[#This Row],[Device Type]]="Server",_xlfn.XLOOKUP(tblEvntScope[[#This Row],[Hostname]],tblTM[common_assetName],tblTM[device_custom60],"",0,1),"")</f>
        <v>P2P</v>
      </c>
      <c r="Q8" s="220" t="str">
        <f>_xlfn.XLOOKUP(tblEvntScope[[#This Row],[Hostname]],tblTM[common_assetName],tblTM[common_environment],"",0,1)</f>
        <v>Test</v>
      </c>
      <c r="R8" s="199" t="str">
        <f>_xlfn.XLOOKUP(tblEvntScope[[#This Row],[Hostname]],tblTM[common_assetName],tblTM[device_assetType],"",0,1)</f>
        <v>Server</v>
      </c>
      <c r="S8"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8" s="211" t="str">
        <f>_xlfn.XLOOKUP(tblEvntScope[[#This Row],[Hostname]],tblTM[common_assetName],tblTM[device_custom26],"",0,1)</f>
        <v>No</v>
      </c>
      <c r="U8" s="221">
        <f>_xlfn.XLOOKUP(tblEvntScope[[#This Row],[Hostname]],tblTM[common_assetName],tblTM[device_custom29],"",0,1)</f>
        <v>0</v>
      </c>
      <c r="V8" s="221"/>
      <c r="W8" s="221"/>
      <c r="X8"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8" s="223">
        <f>_xlfn.XLOOKUP(tblEvntScope[[#This Row],[Hostname]],tblTM[common_assetName],tblTM[device_custom17],"",0,1)</f>
        <v>0</v>
      </c>
      <c r="Z8" s="223">
        <f>IFERROR(IF(tblEvntScope[[#This Row],[Target IPs ]]="","",_xlfn.XLOOKUP(tblEvntScope[[#This Row],[Hostname]],tblTM[common_assetName],tblTM[device_custom14],"",0,1)),"")</f>
        <v>0</v>
      </c>
      <c r="AA8" s="223">
        <f>IFERROR(IF(tblEvntScope[[#This Row],[Target IPs ]]="","",_xlfn.XLOOKUP(tblEvntScope[[#This Row],[Hostname]],tblTM[common_assetName],tblTM[device_custom12],"",0,1)),"")</f>
        <v>0</v>
      </c>
      <c r="AB8" s="224">
        <f>IFERROR(_xlfn.XLOOKUP(tblEvntScope[[#This Row],[Hostname]],tblTM[common_assetName],tblTM[device_custom64],"",0)+_xlfn.XLOOKUP(tblEvntScope[[#This Row],[Hostname]],tblTM[common_assetName],tblTM[device_size],"",0),"")</f>
        <v>11126.11204</v>
      </c>
      <c r="AC8" s="225"/>
      <c r="AD8" s="226">
        <v>672037</v>
      </c>
      <c r="AE8" s="223" t="str">
        <f>CONCATENATE(tblEvntScope[[#This Row],[Application Name]],tblEvntScope[[#This Row],[Hostname]])</f>
        <v>Kafka-Testdc04tlpkaf404</v>
      </c>
    </row>
    <row r="9" spans="1:31" ht="15.5" thickTop="1" thickBot="1" x14ac:dyDescent="0.4">
      <c r="A9" s="217" t="str">
        <f>SUBSTITUTE(_xlfn.XLOOKUP(tblEvntScope[[#This Row],[AssetDependencyId]],tblDependencies[AssetDependencyId],tblDependencies[DependentBundle],"",0,1),"AppGroup","ME")</f>
        <v>MEA190</v>
      </c>
      <c r="B9" s="218">
        <f>TMWorkbook!$C$2</f>
        <v>46210</v>
      </c>
      <c r="C9" s="219"/>
      <c r="D9" s="199" t="str">
        <f>_xlfn.XLOOKUP(tblEvntScope[[#This Row],[AssetDependencyId]],tblDependencies[AssetDependencyId],tblDependencies[AssetName],"",0,1)</f>
        <v>Kafka-Test</v>
      </c>
      <c r="E9" s="199" t="str">
        <f>_xlfn.XLOOKUP(tblEvntScope[[#This Row],[Application Name]],tblApplications[common_assetName],tblApplications[application_appOwner],"",0,1)</f>
        <v>Srihari Koduri</v>
      </c>
      <c r="F9" s="199" t="str">
        <f>_xlfn.XLOOKUP(tblEvntScope[[#This Row],[Application Name]],tblApplications[common_assetName],tblApplications[application_custom6],"",0,1)</f>
        <v>Koduri, Srihari</v>
      </c>
      <c r="G9" s="198">
        <f>_xlfn.XLOOKUP(tblEvntScope[[#This Row],[Application Name]],tblApplications[common_assetName],tblApplications[application_sme2],"",0,1)</f>
        <v>0</v>
      </c>
      <c r="H9" s="199" t="str">
        <f>LOWER(_xlfn.XLOOKUP(tblEvntScope[[#This Row],[Application Name]],tblApplications[common_assetName],tblApplications[application_custom23],"",0,1))</f>
        <v>dl-kafka-support@anthem.com</v>
      </c>
      <c r="I9" s="198" t="str">
        <f>_xlfn.XLOOKUP(tblEvntScope[[#This Row],[AssetDependencyId]],tblDependencies[AssetDependencyId],tblDependencies[DependentName],"",0,1)</f>
        <v>dc04tlpkaf405</v>
      </c>
      <c r="J9" s="199" t="str">
        <f>TEXT(_xlfn.XLOOKUP(tblEvntScope[[#This Row],[Hostname]],tblPMView[Hostname],tblPMView[Scope],"",0,1),"")</f>
        <v/>
      </c>
      <c r="K9" s="199" t="str">
        <f>_xlfn.XLOOKUP(tblEvntScope[[#This Row],[Hostname]],tblTM[common_assetName],tblTM[device_ipAddress],"",0,1)</f>
        <v>10.152.28.103</v>
      </c>
      <c r="L9" s="199" t="str">
        <f>_xlfn.LET(_xlpm.loc,LEFT(tblEvntScope[[#This Row],[Hostname]],4),IF(LEFT(LOWER(_xlpm.loc),3)="vaa","Richmond",_xlfn.XLOOKUP(_xlpm.loc,tblLocationCodes[LocAbbr],tblLocationCodes[Location],"",0,1)))</f>
        <v>Ashburn</v>
      </c>
      <c r="M9" s="198"/>
      <c r="N9" s="198"/>
      <c r="O9" s="199">
        <f>_xlfn.XLOOKUP(tblEvntScope[[#This Row],[Hostname]],tblTM[common_assetName],tblTM[device_custom35],"",0,1)</f>
        <v>0</v>
      </c>
      <c r="P9" s="199" t="str">
        <f>IF(tblEvntScope[[#This Row],[Device Type]]="Server",_xlfn.XLOOKUP(tblEvntScope[[#This Row],[Hostname]],tblTM[common_assetName],tblTM[device_custom60],"",0,1),"")</f>
        <v>P2P</v>
      </c>
      <c r="Q9" s="220" t="str">
        <f>_xlfn.XLOOKUP(tblEvntScope[[#This Row],[Hostname]],tblTM[common_assetName],tblTM[common_environment],"",0,1)</f>
        <v>Test</v>
      </c>
      <c r="R9" s="199" t="str">
        <f>_xlfn.XLOOKUP(tblEvntScope[[#This Row],[Hostname]],tblTM[common_assetName],tblTM[device_assetType],"",0,1)</f>
        <v>Server</v>
      </c>
      <c r="S9"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9" s="211" t="str">
        <f>_xlfn.XLOOKUP(tblEvntScope[[#This Row],[Hostname]],tblTM[common_assetName],tblTM[device_custom26],"",0,1)</f>
        <v>No</v>
      </c>
      <c r="U9" s="221">
        <f>_xlfn.XLOOKUP(tblEvntScope[[#This Row],[Hostname]],tblTM[common_assetName],tblTM[device_custom29],"",0,1)</f>
        <v>0</v>
      </c>
      <c r="V9" s="221"/>
      <c r="W9" s="221"/>
      <c r="X9"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9" s="223">
        <f>_xlfn.XLOOKUP(tblEvntScope[[#This Row],[Hostname]],tblTM[common_assetName],tblTM[device_custom17],"",0,1)</f>
        <v>0</v>
      </c>
      <c r="Z9" s="223">
        <f>IFERROR(IF(tblEvntScope[[#This Row],[Target IPs ]]="","",_xlfn.XLOOKUP(tblEvntScope[[#This Row],[Hostname]],tblTM[common_assetName],tblTM[device_custom14],"",0,1)),"")</f>
        <v>0</v>
      </c>
      <c r="AA9" s="223">
        <f>IFERROR(IF(tblEvntScope[[#This Row],[Target IPs ]]="","",_xlfn.XLOOKUP(tblEvntScope[[#This Row],[Hostname]],tblTM[common_assetName],tblTM[device_custom12],"",0,1)),"")</f>
        <v>0</v>
      </c>
      <c r="AB9" s="224">
        <f>IFERROR(_xlfn.XLOOKUP(tblEvntScope[[#This Row],[Hostname]],tblTM[common_assetName],tblTM[device_custom64],"",0)+_xlfn.XLOOKUP(tblEvntScope[[#This Row],[Hostname]],tblTM[common_assetName],tblTM[device_size],"",0),"")</f>
        <v>11126.11204</v>
      </c>
      <c r="AC9" s="225"/>
      <c r="AD9" s="226">
        <v>672036</v>
      </c>
      <c r="AE9" s="223" t="str">
        <f>CONCATENATE(tblEvntScope[[#This Row],[Application Name]],tblEvntScope[[#This Row],[Hostname]])</f>
        <v>Kafka-Testdc04tlpkaf405</v>
      </c>
    </row>
    <row r="10" spans="1:31" ht="15.5" thickTop="1" thickBot="1" x14ac:dyDescent="0.4">
      <c r="A10" s="217" t="str">
        <f>SUBSTITUTE(_xlfn.XLOOKUP(tblEvntScope[[#This Row],[AssetDependencyId]],tblDependencies[AssetDependencyId],tblDependencies[DependentBundle],"",0,1),"AppGroup","ME")</f>
        <v>MEA190</v>
      </c>
      <c r="B10" s="218">
        <f>TMWorkbook!$C$2</f>
        <v>46210</v>
      </c>
      <c r="C10" s="219"/>
      <c r="D10" s="199" t="str">
        <f>_xlfn.XLOOKUP(tblEvntScope[[#This Row],[AssetDependencyId]],tblDependencies[AssetDependencyId],tblDependencies[AssetName],"",0,1)</f>
        <v>Kafka-Test</v>
      </c>
      <c r="E10" s="199" t="str">
        <f>_xlfn.XLOOKUP(tblEvntScope[[#This Row],[Application Name]],tblApplications[common_assetName],tblApplications[application_appOwner],"",0,1)</f>
        <v>Srihari Koduri</v>
      </c>
      <c r="F10" s="199" t="str">
        <f>_xlfn.XLOOKUP(tblEvntScope[[#This Row],[Application Name]],tblApplications[common_assetName],tblApplications[application_custom6],"",0,1)</f>
        <v>Koduri, Srihari</v>
      </c>
      <c r="G10" s="198">
        <f>_xlfn.XLOOKUP(tblEvntScope[[#This Row],[Application Name]],tblApplications[common_assetName],tblApplications[application_sme2],"",0,1)</f>
        <v>0</v>
      </c>
      <c r="H10" s="199" t="str">
        <f>LOWER(_xlfn.XLOOKUP(tblEvntScope[[#This Row],[Application Name]],tblApplications[common_assetName],tblApplications[application_custom23],"",0,1))</f>
        <v>dl-kafka-support@anthem.com</v>
      </c>
      <c r="I10" s="198" t="str">
        <f>_xlfn.XLOOKUP(tblEvntScope[[#This Row],[AssetDependencyId]],tblDependencies[AssetDependencyId],tblDependencies[DependentName],"",0,1)</f>
        <v>dc04tlpkaf406</v>
      </c>
      <c r="J10" s="199" t="str">
        <f>TEXT(_xlfn.XLOOKUP(tblEvntScope[[#This Row],[Hostname]],tblPMView[Hostname],tblPMView[Scope],"",0,1),"")</f>
        <v/>
      </c>
      <c r="K10" s="199" t="str">
        <f>_xlfn.XLOOKUP(tblEvntScope[[#This Row],[Hostname]],tblTM[common_assetName],tblTM[device_ipAddress],"",0,1)</f>
        <v>10.152.28.104</v>
      </c>
      <c r="L10" s="199" t="str">
        <f>_xlfn.LET(_xlpm.loc,LEFT(tblEvntScope[[#This Row],[Hostname]],4),IF(LEFT(LOWER(_xlpm.loc),3)="vaa","Richmond",_xlfn.XLOOKUP(_xlpm.loc,tblLocationCodes[LocAbbr],tblLocationCodes[Location],"",0,1)))</f>
        <v>Ashburn</v>
      </c>
      <c r="M10" s="198"/>
      <c r="N10" s="198"/>
      <c r="O10" s="199">
        <f>_xlfn.XLOOKUP(tblEvntScope[[#This Row],[Hostname]],tblTM[common_assetName],tblTM[device_custom35],"",0,1)</f>
        <v>0</v>
      </c>
      <c r="P10" s="199" t="str">
        <f>IF(tblEvntScope[[#This Row],[Device Type]]="Server",_xlfn.XLOOKUP(tblEvntScope[[#This Row],[Hostname]],tblTM[common_assetName],tblTM[device_custom60],"",0,1),"")</f>
        <v>P2P</v>
      </c>
      <c r="Q10" s="220" t="str">
        <f>_xlfn.XLOOKUP(tblEvntScope[[#This Row],[Hostname]],tblTM[common_assetName],tblTM[common_environment],"",0,1)</f>
        <v>Test</v>
      </c>
      <c r="R10" s="199" t="str">
        <f>_xlfn.XLOOKUP(tblEvntScope[[#This Row],[Hostname]],tblTM[common_assetName],tblTM[device_assetType],"",0,1)</f>
        <v>Server</v>
      </c>
      <c r="S10"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0" s="211" t="str">
        <f>_xlfn.XLOOKUP(tblEvntScope[[#This Row],[Hostname]],tblTM[common_assetName],tblTM[device_custom26],"",0,1)</f>
        <v>No</v>
      </c>
      <c r="U10" s="221">
        <f>_xlfn.XLOOKUP(tblEvntScope[[#This Row],[Hostname]],tblTM[common_assetName],tblTM[device_custom29],"",0,1)</f>
        <v>0</v>
      </c>
      <c r="V10" s="221"/>
      <c r="W10" s="221"/>
      <c r="X10"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0" s="223">
        <f>_xlfn.XLOOKUP(tblEvntScope[[#This Row],[Hostname]],tblTM[common_assetName],tblTM[device_custom17],"",0,1)</f>
        <v>0</v>
      </c>
      <c r="Z10" s="223">
        <f>IFERROR(IF(tblEvntScope[[#This Row],[Target IPs ]]="","",_xlfn.XLOOKUP(tblEvntScope[[#This Row],[Hostname]],tblTM[common_assetName],tblTM[device_custom14],"",0,1)),"")</f>
        <v>0</v>
      </c>
      <c r="AA10" s="223">
        <f>IFERROR(IF(tblEvntScope[[#This Row],[Target IPs ]]="","",_xlfn.XLOOKUP(tblEvntScope[[#This Row],[Hostname]],tblTM[common_assetName],tblTM[device_custom12],"",0,1)),"")</f>
        <v>0</v>
      </c>
      <c r="AB10" s="224">
        <f>IFERROR(_xlfn.XLOOKUP(tblEvntScope[[#This Row],[Hostname]],tblTM[common_assetName],tblTM[device_custom64],"",0)+_xlfn.XLOOKUP(tblEvntScope[[#This Row],[Hostname]],tblTM[common_assetName],tblTM[device_size],"",0),"")</f>
        <v>11126.11204</v>
      </c>
      <c r="AC10" s="225"/>
      <c r="AD10" s="226">
        <v>672035</v>
      </c>
      <c r="AE10" s="223" t="str">
        <f>CONCATENATE(tblEvntScope[[#This Row],[Application Name]],tblEvntScope[[#This Row],[Hostname]])</f>
        <v>Kafka-Testdc04tlpkaf406</v>
      </c>
    </row>
    <row r="11" spans="1:31" ht="15.5" thickTop="1" thickBot="1" x14ac:dyDescent="0.4">
      <c r="A11" s="217" t="str">
        <f>SUBSTITUTE(_xlfn.XLOOKUP(tblEvntScope[[#This Row],[AssetDependencyId]],tblDependencies[AssetDependencyId],tblDependencies[DependentBundle],"",0,1),"AppGroup","ME")</f>
        <v>MEA190</v>
      </c>
      <c r="B11" s="218">
        <f>TMWorkbook!$C$2</f>
        <v>46210</v>
      </c>
      <c r="C11" s="219"/>
      <c r="D11" s="199" t="str">
        <f>_xlfn.XLOOKUP(tblEvntScope[[#This Row],[AssetDependencyId]],tblDependencies[AssetDependencyId],tblDependencies[AssetName],"",0,1)</f>
        <v>Kafka-Test</v>
      </c>
      <c r="E11" s="199" t="str">
        <f>_xlfn.XLOOKUP(tblEvntScope[[#This Row],[Application Name]],tblApplications[common_assetName],tblApplications[application_appOwner],"",0,1)</f>
        <v>Srihari Koduri</v>
      </c>
      <c r="F11" s="199" t="str">
        <f>_xlfn.XLOOKUP(tblEvntScope[[#This Row],[Application Name]],tblApplications[common_assetName],tblApplications[application_custom6],"",0,1)</f>
        <v>Koduri, Srihari</v>
      </c>
      <c r="G11" s="198">
        <f>_xlfn.XLOOKUP(tblEvntScope[[#This Row],[Application Name]],tblApplications[common_assetName],tblApplications[application_sme2],"",0,1)</f>
        <v>0</v>
      </c>
      <c r="H11" s="199" t="str">
        <f>LOWER(_xlfn.XLOOKUP(tblEvntScope[[#This Row],[Application Name]],tblApplications[common_assetName],tblApplications[application_custom23],"",0,1))</f>
        <v>dl-kafka-support@anthem.com</v>
      </c>
      <c r="I11" s="198" t="str">
        <f>_xlfn.XLOOKUP(tblEvntScope[[#This Row],[AssetDependencyId]],tblDependencies[AssetDependencyId],tblDependencies[DependentName],"",0,1)</f>
        <v>dc04tlpkaf407</v>
      </c>
      <c r="J11" s="199" t="str">
        <f>TEXT(_xlfn.XLOOKUP(tblEvntScope[[#This Row],[Hostname]],tblPMView[Hostname],tblPMView[Scope],"",0,1),"")</f>
        <v/>
      </c>
      <c r="K11" s="199" t="str">
        <f>_xlfn.XLOOKUP(tblEvntScope[[#This Row],[Hostname]],tblTM[common_assetName],tblTM[device_ipAddress],"",0,1)</f>
        <v>10.152.28.105</v>
      </c>
      <c r="L11" s="199" t="str">
        <f>_xlfn.LET(_xlpm.loc,LEFT(tblEvntScope[[#This Row],[Hostname]],4),IF(LEFT(LOWER(_xlpm.loc),3)="vaa","Richmond",_xlfn.XLOOKUP(_xlpm.loc,tblLocationCodes[LocAbbr],tblLocationCodes[Location],"",0,1)))</f>
        <v>Ashburn</v>
      </c>
      <c r="M11" s="198"/>
      <c r="N11" s="198"/>
      <c r="O11" s="199">
        <f>_xlfn.XLOOKUP(tblEvntScope[[#This Row],[Hostname]],tblTM[common_assetName],tblTM[device_custom35],"",0,1)</f>
        <v>0</v>
      </c>
      <c r="P11" s="199" t="str">
        <f>IF(tblEvntScope[[#This Row],[Device Type]]="Server",_xlfn.XLOOKUP(tblEvntScope[[#This Row],[Hostname]],tblTM[common_assetName],tblTM[device_custom60],"",0,1),"")</f>
        <v>P2P</v>
      </c>
      <c r="Q11" s="220" t="str">
        <f>_xlfn.XLOOKUP(tblEvntScope[[#This Row],[Hostname]],tblTM[common_assetName],tblTM[common_environment],"",0,1)</f>
        <v>Test</v>
      </c>
      <c r="R11" s="199" t="str">
        <f>_xlfn.XLOOKUP(tblEvntScope[[#This Row],[Hostname]],tblTM[common_assetName],tblTM[device_assetType],"",0,1)</f>
        <v>Server</v>
      </c>
      <c r="S11"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1" s="211" t="str">
        <f>_xlfn.XLOOKUP(tblEvntScope[[#This Row],[Hostname]],tblTM[common_assetName],tblTM[device_custom26],"",0,1)</f>
        <v>No</v>
      </c>
      <c r="U11" s="221">
        <f>_xlfn.XLOOKUP(tblEvntScope[[#This Row],[Hostname]],tblTM[common_assetName],tblTM[device_custom29],"",0,1)</f>
        <v>0</v>
      </c>
      <c r="V11" s="221"/>
      <c r="W11" s="221"/>
      <c r="X11"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1" s="223">
        <f>_xlfn.XLOOKUP(tblEvntScope[[#This Row],[Hostname]],tblTM[common_assetName],tblTM[device_custom17],"",0,1)</f>
        <v>0</v>
      </c>
      <c r="Z11" s="223">
        <f>IFERROR(IF(tblEvntScope[[#This Row],[Target IPs ]]="","",_xlfn.XLOOKUP(tblEvntScope[[#This Row],[Hostname]],tblTM[common_assetName],tblTM[device_custom14],"",0,1)),"")</f>
        <v>0</v>
      </c>
      <c r="AA11" s="223">
        <f>IFERROR(IF(tblEvntScope[[#This Row],[Target IPs ]]="","",_xlfn.XLOOKUP(tblEvntScope[[#This Row],[Hostname]],tblTM[common_assetName],tblTM[device_custom12],"",0,1)),"")</f>
        <v>0</v>
      </c>
      <c r="AB11" s="224">
        <f>IFERROR(_xlfn.XLOOKUP(tblEvntScope[[#This Row],[Hostname]],tblTM[common_assetName],tblTM[device_custom64],"",0)+_xlfn.XLOOKUP(tblEvntScope[[#This Row],[Hostname]],tblTM[common_assetName],tblTM[device_size],"",0),"")</f>
        <v>11126.11204</v>
      </c>
      <c r="AC11" s="225"/>
      <c r="AD11" s="226">
        <v>672034</v>
      </c>
      <c r="AE11" s="223" t="str">
        <f>CONCATENATE(tblEvntScope[[#This Row],[Application Name]],tblEvntScope[[#This Row],[Hostname]])</f>
        <v>Kafka-Testdc04tlpkaf407</v>
      </c>
    </row>
    <row r="12" spans="1:31" ht="15.5" thickTop="1" thickBot="1" x14ac:dyDescent="0.4">
      <c r="A12" s="217" t="str">
        <f>SUBSTITUTE(_xlfn.XLOOKUP(tblEvntScope[[#This Row],[AssetDependencyId]],tblDependencies[AssetDependencyId],tblDependencies[DependentBundle],"",0,1),"AppGroup","ME")</f>
        <v>MEA190</v>
      </c>
      <c r="B12" s="218">
        <f>TMWorkbook!$C$2</f>
        <v>46210</v>
      </c>
      <c r="C12" s="219"/>
      <c r="D12" s="199" t="str">
        <f>_xlfn.XLOOKUP(tblEvntScope[[#This Row],[AssetDependencyId]],tblDependencies[AssetDependencyId],tblDependencies[AssetName],"",0,1)</f>
        <v>Kafka-Test</v>
      </c>
      <c r="E12" s="199" t="str">
        <f>_xlfn.XLOOKUP(tblEvntScope[[#This Row],[Application Name]],tblApplications[common_assetName],tblApplications[application_appOwner],"",0,1)</f>
        <v>Srihari Koduri</v>
      </c>
      <c r="F12" s="199" t="str">
        <f>_xlfn.XLOOKUP(tblEvntScope[[#This Row],[Application Name]],tblApplications[common_assetName],tblApplications[application_custom6],"",0,1)</f>
        <v>Koduri, Srihari</v>
      </c>
      <c r="G12" s="198">
        <f>_xlfn.XLOOKUP(tblEvntScope[[#This Row],[Application Name]],tblApplications[common_assetName],tblApplications[application_sme2],"",0,1)</f>
        <v>0</v>
      </c>
      <c r="H12" s="199" t="str">
        <f>LOWER(_xlfn.XLOOKUP(tblEvntScope[[#This Row],[Application Name]],tblApplications[common_assetName],tblApplications[application_custom23],"",0,1))</f>
        <v>dl-kafka-support@anthem.com</v>
      </c>
      <c r="I12" s="198" t="str">
        <f>_xlfn.XLOOKUP(tblEvntScope[[#This Row],[AssetDependencyId]],tblDependencies[AssetDependencyId],tblDependencies[DependentName],"",0,1)</f>
        <v>dc04tlpkaf408</v>
      </c>
      <c r="J12" s="199" t="str">
        <f>TEXT(_xlfn.XLOOKUP(tblEvntScope[[#This Row],[Hostname]],tblPMView[Hostname],tblPMView[Scope],"",0,1),"")</f>
        <v/>
      </c>
      <c r="K12" s="199" t="str">
        <f>_xlfn.XLOOKUP(tblEvntScope[[#This Row],[Hostname]],tblTM[common_assetName],tblTM[device_ipAddress],"",0,1)</f>
        <v>10.152.28.106</v>
      </c>
      <c r="L12" s="199" t="str">
        <f>_xlfn.LET(_xlpm.loc,LEFT(tblEvntScope[[#This Row],[Hostname]],4),IF(LEFT(LOWER(_xlpm.loc),3)="vaa","Richmond",_xlfn.XLOOKUP(_xlpm.loc,tblLocationCodes[LocAbbr],tblLocationCodes[Location],"",0,1)))</f>
        <v>Ashburn</v>
      </c>
      <c r="M12" s="198"/>
      <c r="N12" s="198"/>
      <c r="O12" s="199">
        <f>_xlfn.XLOOKUP(tblEvntScope[[#This Row],[Hostname]],tblTM[common_assetName],tblTM[device_custom35],"",0,1)</f>
        <v>0</v>
      </c>
      <c r="P12" s="199" t="str">
        <f>IF(tblEvntScope[[#This Row],[Device Type]]="Server",_xlfn.XLOOKUP(tblEvntScope[[#This Row],[Hostname]],tblTM[common_assetName],tblTM[device_custom60],"",0,1),"")</f>
        <v>P2P</v>
      </c>
      <c r="Q12" s="220" t="str">
        <f>_xlfn.XLOOKUP(tblEvntScope[[#This Row],[Hostname]],tblTM[common_assetName],tblTM[common_environment],"",0,1)</f>
        <v>Test</v>
      </c>
      <c r="R12" s="199" t="str">
        <f>_xlfn.XLOOKUP(tblEvntScope[[#This Row],[Hostname]],tblTM[common_assetName],tblTM[device_assetType],"",0,1)</f>
        <v>Server</v>
      </c>
      <c r="S12"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2" s="211" t="str">
        <f>_xlfn.XLOOKUP(tblEvntScope[[#This Row],[Hostname]],tblTM[common_assetName],tblTM[device_custom26],"",0,1)</f>
        <v>No</v>
      </c>
      <c r="U12" s="221">
        <f>_xlfn.XLOOKUP(tblEvntScope[[#This Row],[Hostname]],tblTM[common_assetName],tblTM[device_custom29],"",0,1)</f>
        <v>0</v>
      </c>
      <c r="V12" s="221"/>
      <c r="W12" s="221"/>
      <c r="X12"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2" s="223">
        <f>_xlfn.XLOOKUP(tblEvntScope[[#This Row],[Hostname]],tblTM[common_assetName],tblTM[device_custom17],"",0,1)</f>
        <v>0</v>
      </c>
      <c r="Z12" s="223">
        <f>IFERROR(IF(tblEvntScope[[#This Row],[Target IPs ]]="","",_xlfn.XLOOKUP(tblEvntScope[[#This Row],[Hostname]],tblTM[common_assetName],tblTM[device_custom14],"",0,1)),"")</f>
        <v>0</v>
      </c>
      <c r="AA12" s="223">
        <f>IFERROR(IF(tblEvntScope[[#This Row],[Target IPs ]]="","",_xlfn.XLOOKUP(tblEvntScope[[#This Row],[Hostname]],tblTM[common_assetName],tblTM[device_custom12],"",0,1)),"")</f>
        <v>0</v>
      </c>
      <c r="AB12" s="224">
        <f>IFERROR(_xlfn.XLOOKUP(tblEvntScope[[#This Row],[Hostname]],tblTM[common_assetName],tblTM[device_custom64],"",0)+_xlfn.XLOOKUP(tblEvntScope[[#This Row],[Hostname]],tblTM[common_assetName],tblTM[device_size],"",0),"")</f>
        <v>11126.11204</v>
      </c>
      <c r="AC12" s="225"/>
      <c r="AD12" s="226">
        <v>672033</v>
      </c>
      <c r="AE12" s="223" t="str">
        <f>CONCATENATE(tblEvntScope[[#This Row],[Application Name]],tblEvntScope[[#This Row],[Hostname]])</f>
        <v>Kafka-Testdc04tlpkaf408</v>
      </c>
    </row>
    <row r="13" spans="1:31" ht="15.5" thickTop="1" thickBot="1" x14ac:dyDescent="0.4">
      <c r="A13" s="217" t="str">
        <f>SUBSTITUTE(_xlfn.XLOOKUP(tblEvntScope[[#This Row],[AssetDependencyId]],tblDependencies[AssetDependencyId],tblDependencies[DependentBundle],"",0,1),"AppGroup","ME")</f>
        <v>MEA190</v>
      </c>
      <c r="B13" s="218">
        <f>TMWorkbook!$C$2</f>
        <v>46210</v>
      </c>
      <c r="C13" s="219"/>
      <c r="D13" s="199" t="str">
        <f>_xlfn.XLOOKUP(tblEvntScope[[#This Row],[AssetDependencyId]],tblDependencies[AssetDependencyId],tblDependencies[AssetName],"",0,1)</f>
        <v>Kafka-Test</v>
      </c>
      <c r="E13" s="199" t="str">
        <f>_xlfn.XLOOKUP(tblEvntScope[[#This Row],[Application Name]],tblApplications[common_assetName],tblApplications[application_appOwner],"",0,1)</f>
        <v>Srihari Koduri</v>
      </c>
      <c r="F13" s="199" t="str">
        <f>_xlfn.XLOOKUP(tblEvntScope[[#This Row],[Application Name]],tblApplications[common_assetName],tblApplications[application_custom6],"",0,1)</f>
        <v>Koduri, Srihari</v>
      </c>
      <c r="G13" s="198">
        <f>_xlfn.XLOOKUP(tblEvntScope[[#This Row],[Application Name]],tblApplications[common_assetName],tblApplications[application_sme2],"",0,1)</f>
        <v>0</v>
      </c>
      <c r="H13" s="199" t="str">
        <f>LOWER(_xlfn.XLOOKUP(tblEvntScope[[#This Row],[Application Name]],tblApplications[common_assetName],tblApplications[application_custom23],"",0,1))</f>
        <v>dl-kafka-support@anthem.com</v>
      </c>
      <c r="I13" s="198" t="str">
        <f>_xlfn.XLOOKUP(tblEvntScope[[#This Row],[AssetDependencyId]],tblDependencies[AssetDependencyId],tblDependencies[DependentName],"",0,1)</f>
        <v>dc04tlpkaf409</v>
      </c>
      <c r="J13" s="199" t="str">
        <f>TEXT(_xlfn.XLOOKUP(tblEvntScope[[#This Row],[Hostname]],tblPMView[Hostname],tblPMView[Scope],"",0,1),"")</f>
        <v/>
      </c>
      <c r="K13" s="199" t="str">
        <f>_xlfn.XLOOKUP(tblEvntScope[[#This Row],[Hostname]],tblTM[common_assetName],tblTM[device_ipAddress],"",0,1)</f>
        <v>10.152.28.107</v>
      </c>
      <c r="L13" s="199" t="str">
        <f>_xlfn.LET(_xlpm.loc,LEFT(tblEvntScope[[#This Row],[Hostname]],4),IF(LEFT(LOWER(_xlpm.loc),3)="vaa","Richmond",_xlfn.XLOOKUP(_xlpm.loc,tblLocationCodes[LocAbbr],tblLocationCodes[Location],"",0,1)))</f>
        <v>Ashburn</v>
      </c>
      <c r="M13" s="198"/>
      <c r="N13" s="198"/>
      <c r="O13" s="199">
        <f>_xlfn.XLOOKUP(tblEvntScope[[#This Row],[Hostname]],tblTM[common_assetName],tblTM[device_custom35],"",0,1)</f>
        <v>0</v>
      </c>
      <c r="P13" s="199" t="str">
        <f>IF(tblEvntScope[[#This Row],[Device Type]]="Server",_xlfn.XLOOKUP(tblEvntScope[[#This Row],[Hostname]],tblTM[common_assetName],tblTM[device_custom60],"",0,1),"")</f>
        <v>P2P</v>
      </c>
      <c r="Q13" s="220" t="str">
        <f>_xlfn.XLOOKUP(tblEvntScope[[#This Row],[Hostname]],tblTM[common_assetName],tblTM[common_environment],"",0,1)</f>
        <v>Test</v>
      </c>
      <c r="R13" s="199" t="str">
        <f>_xlfn.XLOOKUP(tblEvntScope[[#This Row],[Hostname]],tblTM[common_assetName],tblTM[device_assetType],"",0,1)</f>
        <v>Server</v>
      </c>
      <c r="S13"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3" s="211" t="str">
        <f>_xlfn.XLOOKUP(tblEvntScope[[#This Row],[Hostname]],tblTM[common_assetName],tblTM[device_custom26],"",0,1)</f>
        <v>No</v>
      </c>
      <c r="U13" s="221">
        <f>_xlfn.XLOOKUP(tblEvntScope[[#This Row],[Hostname]],tblTM[common_assetName],tblTM[device_custom29],"",0,1)</f>
        <v>0</v>
      </c>
      <c r="V13" s="221"/>
      <c r="W13" s="221"/>
      <c r="X13"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3" s="223">
        <f>_xlfn.XLOOKUP(tblEvntScope[[#This Row],[Hostname]],tblTM[common_assetName],tblTM[device_custom17],"",0,1)</f>
        <v>0</v>
      </c>
      <c r="Z13" s="223">
        <f>IFERROR(IF(tblEvntScope[[#This Row],[Target IPs ]]="","",_xlfn.XLOOKUP(tblEvntScope[[#This Row],[Hostname]],tblTM[common_assetName],tblTM[device_custom14],"",0,1)),"")</f>
        <v>0</v>
      </c>
      <c r="AA13" s="223">
        <f>IFERROR(IF(tblEvntScope[[#This Row],[Target IPs ]]="","",_xlfn.XLOOKUP(tblEvntScope[[#This Row],[Hostname]],tblTM[common_assetName],tblTM[device_custom12],"",0,1)),"")</f>
        <v>0</v>
      </c>
      <c r="AB13" s="224">
        <f>IFERROR(_xlfn.XLOOKUP(tblEvntScope[[#This Row],[Hostname]],tblTM[common_assetName],tblTM[device_custom64],"",0)+_xlfn.XLOOKUP(tblEvntScope[[#This Row],[Hostname]],tblTM[common_assetName],tblTM[device_size],"",0),"")</f>
        <v>10955.14134</v>
      </c>
      <c r="AC13" s="225"/>
      <c r="AD13" s="226">
        <v>672032</v>
      </c>
      <c r="AE13" s="223" t="str">
        <f>CONCATENATE(tblEvntScope[[#This Row],[Application Name]],tblEvntScope[[#This Row],[Hostname]])</f>
        <v>Kafka-Testdc04tlpkaf409</v>
      </c>
    </row>
    <row r="14" spans="1:31" ht="15.5" thickTop="1" thickBot="1" x14ac:dyDescent="0.4">
      <c r="A14" s="217" t="str">
        <f>SUBSTITUTE(_xlfn.XLOOKUP(tblEvntScope[[#This Row],[AssetDependencyId]],tblDependencies[AssetDependencyId],tblDependencies[DependentBundle],"",0,1),"AppGroup","ME")</f>
        <v>MEA190</v>
      </c>
      <c r="B14" s="218">
        <f>TMWorkbook!$C$2</f>
        <v>46210</v>
      </c>
      <c r="C14" s="219"/>
      <c r="D14" s="199" t="str">
        <f>_xlfn.XLOOKUP(tblEvntScope[[#This Row],[AssetDependencyId]],tblDependencies[AssetDependencyId],tblDependencies[AssetName],"",0,1)</f>
        <v>Kafka-Test</v>
      </c>
      <c r="E14" s="199" t="str">
        <f>_xlfn.XLOOKUP(tblEvntScope[[#This Row],[Application Name]],tblApplications[common_assetName],tblApplications[application_appOwner],"",0,1)</f>
        <v>Srihari Koduri</v>
      </c>
      <c r="F14" s="199" t="str">
        <f>_xlfn.XLOOKUP(tblEvntScope[[#This Row],[Application Name]],tblApplications[common_assetName],tblApplications[application_custom6],"",0,1)</f>
        <v>Koduri, Srihari</v>
      </c>
      <c r="G14" s="198">
        <f>_xlfn.XLOOKUP(tblEvntScope[[#This Row],[Application Name]],tblApplications[common_assetName],tblApplications[application_sme2],"",0,1)</f>
        <v>0</v>
      </c>
      <c r="H14" s="199" t="str">
        <f>LOWER(_xlfn.XLOOKUP(tblEvntScope[[#This Row],[Application Name]],tblApplications[common_assetName],tblApplications[application_custom23],"",0,1))</f>
        <v>dl-kafka-support@anthem.com</v>
      </c>
      <c r="I14" s="198" t="str">
        <f>_xlfn.XLOOKUP(tblEvntScope[[#This Row],[AssetDependencyId]],tblDependencies[AssetDependencyId],tblDependencies[DependentName],"",0,1)</f>
        <v>dc04tlpkaf410</v>
      </c>
      <c r="J14" s="199" t="str">
        <f>TEXT(_xlfn.XLOOKUP(tblEvntScope[[#This Row],[Hostname]],tblPMView[Hostname],tblPMView[Scope],"",0,1),"")</f>
        <v/>
      </c>
      <c r="K14" s="199" t="str">
        <f>_xlfn.XLOOKUP(tblEvntScope[[#This Row],[Hostname]],tblTM[common_assetName],tblTM[device_ipAddress],"",0,1)</f>
        <v>10.152.28.108</v>
      </c>
      <c r="L14" s="199" t="str">
        <f>_xlfn.LET(_xlpm.loc,LEFT(tblEvntScope[[#This Row],[Hostname]],4),IF(LEFT(LOWER(_xlpm.loc),3)="vaa","Richmond",_xlfn.XLOOKUP(_xlpm.loc,tblLocationCodes[LocAbbr],tblLocationCodes[Location],"",0,1)))</f>
        <v>Ashburn</v>
      </c>
      <c r="M14" s="198"/>
      <c r="N14" s="198"/>
      <c r="O14" s="199">
        <f>_xlfn.XLOOKUP(tblEvntScope[[#This Row],[Hostname]],tblTM[common_assetName],tblTM[device_custom35],"",0,1)</f>
        <v>0</v>
      </c>
      <c r="P14" s="199" t="str">
        <f>IF(tblEvntScope[[#This Row],[Device Type]]="Server",_xlfn.XLOOKUP(tblEvntScope[[#This Row],[Hostname]],tblTM[common_assetName],tblTM[device_custom60],"",0,1),"")</f>
        <v>P2P</v>
      </c>
      <c r="Q14" s="220" t="str">
        <f>_xlfn.XLOOKUP(tblEvntScope[[#This Row],[Hostname]],tblTM[common_assetName],tblTM[common_environment],"",0,1)</f>
        <v>Test</v>
      </c>
      <c r="R14" s="199" t="str">
        <f>_xlfn.XLOOKUP(tblEvntScope[[#This Row],[Hostname]],tblTM[common_assetName],tblTM[device_assetType],"",0,1)</f>
        <v>Server</v>
      </c>
      <c r="S14"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4" s="211" t="str">
        <f>_xlfn.XLOOKUP(tblEvntScope[[#This Row],[Hostname]],tblTM[common_assetName],tblTM[device_custom26],"",0,1)</f>
        <v>No</v>
      </c>
      <c r="U14" s="221">
        <f>_xlfn.XLOOKUP(tblEvntScope[[#This Row],[Hostname]],tblTM[common_assetName],tblTM[device_custom29],"",0,1)</f>
        <v>0</v>
      </c>
      <c r="V14" s="221"/>
      <c r="W14" s="221"/>
      <c r="X14"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4" s="223">
        <f>_xlfn.XLOOKUP(tblEvntScope[[#This Row],[Hostname]],tblTM[common_assetName],tblTM[device_custom17],"",0,1)</f>
        <v>0</v>
      </c>
      <c r="Z14" s="223">
        <f>IFERROR(IF(tblEvntScope[[#This Row],[Target IPs ]]="","",_xlfn.XLOOKUP(tblEvntScope[[#This Row],[Hostname]],tblTM[common_assetName],tblTM[device_custom14],"",0,1)),"")</f>
        <v>0</v>
      </c>
      <c r="AA14" s="223">
        <f>IFERROR(IF(tblEvntScope[[#This Row],[Target IPs ]]="","",_xlfn.XLOOKUP(tblEvntScope[[#This Row],[Hostname]],tblTM[common_assetName],tblTM[device_custom12],"",0,1)),"")</f>
        <v>0</v>
      </c>
      <c r="AB14" s="224">
        <f>IFERROR(_xlfn.XLOOKUP(tblEvntScope[[#This Row],[Hostname]],tblTM[common_assetName],tblTM[device_custom64],"",0)+_xlfn.XLOOKUP(tblEvntScope[[#This Row],[Hostname]],tblTM[common_assetName],tblTM[device_size],"",0),"")</f>
        <v>11126.11204</v>
      </c>
      <c r="AC14" s="225"/>
      <c r="AD14" s="226">
        <v>672031</v>
      </c>
      <c r="AE14" s="223" t="str">
        <f>CONCATENATE(tblEvntScope[[#This Row],[Application Name]],tblEvntScope[[#This Row],[Hostname]])</f>
        <v>Kafka-Testdc04tlpkaf410</v>
      </c>
    </row>
    <row r="15" spans="1:31" ht="15.5" thickTop="1" thickBot="1" x14ac:dyDescent="0.4">
      <c r="A15" s="217" t="str">
        <f>SUBSTITUTE(_xlfn.XLOOKUP(tblEvntScope[[#This Row],[AssetDependencyId]],tblDependencies[AssetDependencyId],tblDependencies[DependentBundle],"",0,1),"AppGroup","ME")</f>
        <v>MEA190</v>
      </c>
      <c r="B15" s="218">
        <f>TMWorkbook!$C$2</f>
        <v>46210</v>
      </c>
      <c r="C15" s="219"/>
      <c r="D15" s="199" t="str">
        <f>_xlfn.XLOOKUP(tblEvntScope[[#This Row],[AssetDependencyId]],tblDependencies[AssetDependencyId],tblDependencies[AssetName],"",0,1)</f>
        <v>Kafka-Test</v>
      </c>
      <c r="E15" s="199" t="str">
        <f>_xlfn.XLOOKUP(tblEvntScope[[#This Row],[Application Name]],tblApplications[common_assetName],tblApplications[application_appOwner],"",0,1)</f>
        <v>Srihari Koduri</v>
      </c>
      <c r="F15" s="199" t="str">
        <f>_xlfn.XLOOKUP(tblEvntScope[[#This Row],[Application Name]],tblApplications[common_assetName],tblApplications[application_custom6],"",0,1)</f>
        <v>Koduri, Srihari</v>
      </c>
      <c r="G15" s="198">
        <f>_xlfn.XLOOKUP(tblEvntScope[[#This Row],[Application Name]],tblApplications[common_assetName],tblApplications[application_sme2],"",0,1)</f>
        <v>0</v>
      </c>
      <c r="H15" s="199" t="str">
        <f>LOWER(_xlfn.XLOOKUP(tblEvntScope[[#This Row],[Application Name]],tblApplications[common_assetName],tblApplications[application_custom23],"",0,1))</f>
        <v>dl-kafka-support@anthem.com</v>
      </c>
      <c r="I15" s="198" t="str">
        <f>_xlfn.XLOOKUP(tblEvntScope[[#This Row],[AssetDependencyId]],tblDependencies[AssetDependencyId],tblDependencies[DependentName],"",0,1)</f>
        <v>dc04tlpkaf417</v>
      </c>
      <c r="J15" s="199" t="str">
        <f>TEXT(_xlfn.XLOOKUP(tblEvntScope[[#This Row],[Hostname]],tblPMView[Hostname],tblPMView[Scope],"",0,1),"")</f>
        <v/>
      </c>
      <c r="K15" s="199" t="str">
        <f>_xlfn.XLOOKUP(tblEvntScope[[#This Row],[Hostname]],tblTM[common_assetName],tblTM[device_ipAddress],"",0,1)</f>
        <v>10.152.28.18</v>
      </c>
      <c r="L15" s="199" t="str">
        <f>_xlfn.LET(_xlpm.loc,LEFT(tblEvntScope[[#This Row],[Hostname]],4),IF(LEFT(LOWER(_xlpm.loc),3)="vaa","Richmond",_xlfn.XLOOKUP(_xlpm.loc,tblLocationCodes[LocAbbr],tblLocationCodes[Location],"",0,1)))</f>
        <v>Ashburn</v>
      </c>
      <c r="M15" s="198"/>
      <c r="N15" s="198"/>
      <c r="O15" s="199">
        <f>_xlfn.XLOOKUP(tblEvntScope[[#This Row],[Hostname]],tblTM[common_assetName],tblTM[device_custom35],"",0,1)</f>
        <v>0</v>
      </c>
      <c r="P15" s="199" t="str">
        <f>IF(tblEvntScope[[#This Row],[Device Type]]="Server",_xlfn.XLOOKUP(tblEvntScope[[#This Row],[Hostname]],tblTM[common_assetName],tblTM[device_custom60],"",0,1),"")</f>
        <v>P2P</v>
      </c>
      <c r="Q15" s="220" t="str">
        <f>_xlfn.XLOOKUP(tblEvntScope[[#This Row],[Hostname]],tblTM[common_assetName],tblTM[common_environment],"",0,1)</f>
        <v>Test</v>
      </c>
      <c r="R15" s="199" t="str">
        <f>_xlfn.XLOOKUP(tblEvntScope[[#This Row],[Hostname]],tblTM[common_assetName],tblTM[device_assetType],"",0,1)</f>
        <v>Server</v>
      </c>
      <c r="S15"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5" s="211" t="str">
        <f>_xlfn.XLOOKUP(tblEvntScope[[#This Row],[Hostname]],tblTM[common_assetName],tblTM[device_custom26],"",0,1)</f>
        <v>No</v>
      </c>
      <c r="U15" s="221">
        <f>_xlfn.XLOOKUP(tblEvntScope[[#This Row],[Hostname]],tblTM[common_assetName],tblTM[device_custom29],"",0,1)</f>
        <v>0</v>
      </c>
      <c r="V15" s="221"/>
      <c r="W15" s="221"/>
      <c r="X15"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5" s="223">
        <f>_xlfn.XLOOKUP(tblEvntScope[[#This Row],[Hostname]],tblTM[common_assetName],tblTM[device_custom17],"",0,1)</f>
        <v>0</v>
      </c>
      <c r="Z15" s="223">
        <f>IFERROR(IF(tblEvntScope[[#This Row],[Target IPs ]]="","",_xlfn.XLOOKUP(tblEvntScope[[#This Row],[Hostname]],tblTM[common_assetName],tblTM[device_custom14],"",0,1)),"")</f>
        <v>0</v>
      </c>
      <c r="AA15" s="223">
        <f>IFERROR(IF(tblEvntScope[[#This Row],[Target IPs ]]="","",_xlfn.XLOOKUP(tblEvntScope[[#This Row],[Hostname]],tblTM[common_assetName],tblTM[device_custom12],"",0,1)),"")</f>
        <v>0</v>
      </c>
      <c r="AB15" s="224">
        <f>IFERROR(_xlfn.XLOOKUP(tblEvntScope[[#This Row],[Hostname]],tblTM[common_assetName],tblTM[device_custom64],"",0)+_xlfn.XLOOKUP(tblEvntScope[[#This Row],[Hostname]],tblTM[common_assetName],tblTM[device_size],"",0),"")</f>
        <v>1389.8581349999999</v>
      </c>
      <c r="AC15" s="225"/>
      <c r="AD15" s="226">
        <v>672030</v>
      </c>
      <c r="AE15" s="223" t="str">
        <f>CONCATENATE(tblEvntScope[[#This Row],[Application Name]],tblEvntScope[[#This Row],[Hostname]])</f>
        <v>Kafka-Testdc04tlpkaf417</v>
      </c>
    </row>
    <row r="16" spans="1:31" ht="15.5" thickTop="1" thickBot="1" x14ac:dyDescent="0.4">
      <c r="A16" s="217" t="str">
        <f>SUBSTITUTE(_xlfn.XLOOKUP(tblEvntScope[[#This Row],[AssetDependencyId]],tblDependencies[AssetDependencyId],tblDependencies[DependentBundle],"",0,1),"AppGroup","ME")</f>
        <v>MEA190</v>
      </c>
      <c r="B16" s="218">
        <f>TMWorkbook!$C$2</f>
        <v>46210</v>
      </c>
      <c r="C16" s="219"/>
      <c r="D16" s="199" t="str">
        <f>_xlfn.XLOOKUP(tblEvntScope[[#This Row],[AssetDependencyId]],tblDependencies[AssetDependencyId],tblDependencies[AssetName],"",0,1)</f>
        <v>Kafka-Test</v>
      </c>
      <c r="E16" s="199" t="str">
        <f>_xlfn.XLOOKUP(tblEvntScope[[#This Row],[Application Name]],tblApplications[common_assetName],tblApplications[application_appOwner],"",0,1)</f>
        <v>Srihari Koduri</v>
      </c>
      <c r="F16" s="199" t="str">
        <f>_xlfn.XLOOKUP(tblEvntScope[[#This Row],[Application Name]],tblApplications[common_assetName],tblApplications[application_custom6],"",0,1)</f>
        <v>Koduri, Srihari</v>
      </c>
      <c r="G16" s="198">
        <f>_xlfn.XLOOKUP(tblEvntScope[[#This Row],[Application Name]],tblApplications[common_assetName],tblApplications[application_sme2],"",0,1)</f>
        <v>0</v>
      </c>
      <c r="H16" s="199" t="str">
        <f>LOWER(_xlfn.XLOOKUP(tblEvntScope[[#This Row],[Application Name]],tblApplications[common_assetName],tblApplications[application_custom23],"",0,1))</f>
        <v>dl-kafka-support@anthem.com</v>
      </c>
      <c r="I16" s="198" t="str">
        <f>_xlfn.XLOOKUP(tblEvntScope[[#This Row],[AssetDependencyId]],tblDependencies[AssetDependencyId],tblDependencies[DependentName],"",0,1)</f>
        <v>dc04tlpkaf419</v>
      </c>
      <c r="J16" s="199" t="str">
        <f>TEXT(_xlfn.XLOOKUP(tblEvntScope[[#This Row],[Hostname]],tblPMView[Hostname],tblPMView[Scope],"",0,1),"")</f>
        <v/>
      </c>
      <c r="K16" s="199" t="str">
        <f>_xlfn.XLOOKUP(tblEvntScope[[#This Row],[Hostname]],tblTM[common_assetName],tblTM[device_ipAddress],"",0,1)</f>
        <v>10.152.28.20</v>
      </c>
      <c r="L16" s="199" t="str">
        <f>_xlfn.LET(_xlpm.loc,LEFT(tblEvntScope[[#This Row],[Hostname]],4),IF(LEFT(LOWER(_xlpm.loc),3)="vaa","Richmond",_xlfn.XLOOKUP(_xlpm.loc,tblLocationCodes[LocAbbr],tblLocationCodes[Location],"",0,1)))</f>
        <v>Ashburn</v>
      </c>
      <c r="M16" s="198"/>
      <c r="N16" s="198"/>
      <c r="O16" s="199">
        <f>_xlfn.XLOOKUP(tblEvntScope[[#This Row],[Hostname]],tblTM[common_assetName],tblTM[device_custom35],"",0,1)</f>
        <v>0</v>
      </c>
      <c r="P16" s="199" t="str">
        <f>IF(tblEvntScope[[#This Row],[Device Type]]="Server",_xlfn.XLOOKUP(tblEvntScope[[#This Row],[Hostname]],tblTM[common_assetName],tblTM[device_custom60],"",0,1),"")</f>
        <v>P2P</v>
      </c>
      <c r="Q16" s="220" t="str">
        <f>_xlfn.XLOOKUP(tblEvntScope[[#This Row],[Hostname]],tblTM[common_assetName],tblTM[common_environment],"",0,1)</f>
        <v>Test</v>
      </c>
      <c r="R16" s="199" t="str">
        <f>_xlfn.XLOOKUP(tblEvntScope[[#This Row],[Hostname]],tblTM[common_assetName],tblTM[device_assetType],"",0,1)</f>
        <v>Server</v>
      </c>
      <c r="S16"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6" s="211" t="str">
        <f>_xlfn.XLOOKUP(tblEvntScope[[#This Row],[Hostname]],tblTM[common_assetName],tblTM[device_custom26],"",0,1)</f>
        <v>No</v>
      </c>
      <c r="U16" s="221">
        <f>_xlfn.XLOOKUP(tblEvntScope[[#This Row],[Hostname]],tblTM[common_assetName],tblTM[device_custom29],"",0,1)</f>
        <v>0</v>
      </c>
      <c r="V16" s="221"/>
      <c r="W16" s="221"/>
      <c r="X16"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6" s="223">
        <f>_xlfn.XLOOKUP(tblEvntScope[[#This Row],[Hostname]],tblTM[common_assetName],tblTM[device_custom17],"",0,1)</f>
        <v>0</v>
      </c>
      <c r="Z16" s="223">
        <f>IFERROR(IF(tblEvntScope[[#This Row],[Target IPs ]]="","",_xlfn.XLOOKUP(tblEvntScope[[#This Row],[Hostname]],tblTM[common_assetName],tblTM[device_custom14],"",0,1)),"")</f>
        <v>0</v>
      </c>
      <c r="AA16" s="223">
        <f>IFERROR(IF(tblEvntScope[[#This Row],[Target IPs ]]="","",_xlfn.XLOOKUP(tblEvntScope[[#This Row],[Hostname]],tblTM[common_assetName],tblTM[device_custom12],"",0,1)),"")</f>
        <v>0</v>
      </c>
      <c r="AB16" s="224">
        <f>IFERROR(_xlfn.XLOOKUP(tblEvntScope[[#This Row],[Hostname]],tblTM[common_assetName],tblTM[device_custom64],"",0)+_xlfn.XLOOKUP(tblEvntScope[[#This Row],[Hostname]],tblTM[common_assetName],tblTM[device_size],"",0),"")</f>
        <v>1489.809307</v>
      </c>
      <c r="AC16" s="225"/>
      <c r="AD16" s="226">
        <v>672029</v>
      </c>
      <c r="AE16" s="223" t="str">
        <f>CONCATENATE(tblEvntScope[[#This Row],[Application Name]],tblEvntScope[[#This Row],[Hostname]])</f>
        <v>Kafka-Testdc04tlpkaf419</v>
      </c>
    </row>
    <row r="17" spans="1:31" ht="15.5" thickTop="1" thickBot="1" x14ac:dyDescent="0.4">
      <c r="A17" s="217" t="str">
        <f>SUBSTITUTE(_xlfn.XLOOKUP(tblEvntScope[[#This Row],[AssetDependencyId]],tblDependencies[AssetDependencyId],tblDependencies[DependentBundle],"",0,1),"AppGroup","ME")</f>
        <v>MEA190</v>
      </c>
      <c r="B17" s="218">
        <f>TMWorkbook!$C$2</f>
        <v>46210</v>
      </c>
      <c r="C17" s="219"/>
      <c r="D17" s="199" t="str">
        <f>_xlfn.XLOOKUP(tblEvntScope[[#This Row],[AssetDependencyId]],tblDependencies[AssetDependencyId],tblDependencies[AssetName],"",0,1)</f>
        <v>Kafka-Test</v>
      </c>
      <c r="E17" s="199" t="str">
        <f>_xlfn.XLOOKUP(tblEvntScope[[#This Row],[Application Name]],tblApplications[common_assetName],tblApplications[application_appOwner],"",0,1)</f>
        <v>Srihari Koduri</v>
      </c>
      <c r="F17" s="199" t="str">
        <f>_xlfn.XLOOKUP(tblEvntScope[[#This Row],[Application Name]],tblApplications[common_assetName],tblApplications[application_custom6],"",0,1)</f>
        <v>Koduri, Srihari</v>
      </c>
      <c r="G17" s="198">
        <f>_xlfn.XLOOKUP(tblEvntScope[[#This Row],[Application Name]],tblApplications[common_assetName],tblApplications[application_sme2],"",0,1)</f>
        <v>0</v>
      </c>
      <c r="H17" s="199" t="str">
        <f>LOWER(_xlfn.XLOOKUP(tblEvntScope[[#This Row],[Application Name]],tblApplications[common_assetName],tblApplications[application_custom23],"",0,1))</f>
        <v>dl-kafka-support@anthem.com</v>
      </c>
      <c r="I17" s="198" t="str">
        <f>_xlfn.XLOOKUP(tblEvntScope[[#This Row],[AssetDependencyId]],tblDependencies[AssetDependencyId],tblDependencies[DependentName],"",0,1)</f>
        <v>dc04tlpkaf421</v>
      </c>
      <c r="J17" s="199" t="str">
        <f>TEXT(_xlfn.XLOOKUP(tblEvntScope[[#This Row],[Hostname]],tblPMView[Hostname],tblPMView[Scope],"",0,1),"")</f>
        <v/>
      </c>
      <c r="K17" s="199" t="str">
        <f>_xlfn.XLOOKUP(tblEvntScope[[#This Row],[Hostname]],tblTM[common_assetName],tblTM[device_ipAddress],"",0,1)</f>
        <v>10.152.28.22</v>
      </c>
      <c r="L17" s="199" t="str">
        <f>_xlfn.LET(_xlpm.loc,LEFT(tblEvntScope[[#This Row],[Hostname]],4),IF(LEFT(LOWER(_xlpm.loc),3)="vaa","Richmond",_xlfn.XLOOKUP(_xlpm.loc,tblLocationCodes[LocAbbr],tblLocationCodes[Location],"",0,1)))</f>
        <v>Ashburn</v>
      </c>
      <c r="M17" s="198"/>
      <c r="N17" s="198"/>
      <c r="O17" s="199">
        <f>_xlfn.XLOOKUP(tblEvntScope[[#This Row],[Hostname]],tblTM[common_assetName],tblTM[device_custom35],"",0,1)</f>
        <v>0</v>
      </c>
      <c r="P17" s="199" t="str">
        <f>IF(tblEvntScope[[#This Row],[Device Type]]="Server",_xlfn.XLOOKUP(tblEvntScope[[#This Row],[Hostname]],tblTM[common_assetName],tblTM[device_custom60],"",0,1),"")</f>
        <v>P2P</v>
      </c>
      <c r="Q17" s="220" t="str">
        <f>_xlfn.XLOOKUP(tblEvntScope[[#This Row],[Hostname]],tblTM[common_assetName],tblTM[common_environment],"",0,1)</f>
        <v>Test</v>
      </c>
      <c r="R17" s="199" t="str">
        <f>_xlfn.XLOOKUP(tblEvntScope[[#This Row],[Hostname]],tblTM[common_assetName],tblTM[device_assetType],"",0,1)</f>
        <v>Server</v>
      </c>
      <c r="S17"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7" s="211" t="str">
        <f>_xlfn.XLOOKUP(tblEvntScope[[#This Row],[Hostname]],tblTM[common_assetName],tblTM[device_custom26],"",0,1)</f>
        <v>No</v>
      </c>
      <c r="U17" s="221">
        <f>_xlfn.XLOOKUP(tblEvntScope[[#This Row],[Hostname]],tblTM[common_assetName],tblTM[device_custom29],"",0,1)</f>
        <v>0</v>
      </c>
      <c r="V17" s="221"/>
      <c r="W17" s="221"/>
      <c r="X17"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7" s="223">
        <f>_xlfn.XLOOKUP(tblEvntScope[[#This Row],[Hostname]],tblTM[common_assetName],tblTM[device_custom17],"",0,1)</f>
        <v>0</v>
      </c>
      <c r="Z17" s="223">
        <f>IFERROR(IF(tblEvntScope[[#This Row],[Target IPs ]]="","",_xlfn.XLOOKUP(tblEvntScope[[#This Row],[Hostname]],tblTM[common_assetName],tblTM[device_custom14],"",0,1)),"")</f>
        <v>0</v>
      </c>
      <c r="AA17" s="223">
        <f>IFERROR(IF(tblEvntScope[[#This Row],[Target IPs ]]="","",_xlfn.XLOOKUP(tblEvntScope[[#This Row],[Hostname]],tblTM[common_assetName],tblTM[device_custom12],"",0,1)),"")</f>
        <v>0</v>
      </c>
      <c r="AB17" s="224">
        <f>IFERROR(_xlfn.XLOOKUP(tblEvntScope[[#This Row],[Hostname]],tblTM[common_assetName],tblTM[device_custom64],"",0)+_xlfn.XLOOKUP(tblEvntScope[[#This Row],[Hostname]],tblTM[common_assetName],tblTM[device_size],"",0),"")</f>
        <v>1489.809307</v>
      </c>
      <c r="AC17" s="225"/>
      <c r="AD17" s="226">
        <v>672028</v>
      </c>
      <c r="AE17" s="223" t="str">
        <f>CONCATENATE(tblEvntScope[[#This Row],[Application Name]],tblEvntScope[[#This Row],[Hostname]])</f>
        <v>Kafka-Testdc04tlpkaf421</v>
      </c>
    </row>
    <row r="18" spans="1:31" ht="15.5" thickTop="1" thickBot="1" x14ac:dyDescent="0.4">
      <c r="A18" s="217" t="str">
        <f>SUBSTITUTE(_xlfn.XLOOKUP(tblEvntScope[[#This Row],[AssetDependencyId]],tblDependencies[AssetDependencyId],tblDependencies[DependentBundle],"",0,1),"AppGroup","ME")</f>
        <v>MEA190</v>
      </c>
      <c r="B18" s="218">
        <f>TMWorkbook!$C$2</f>
        <v>46210</v>
      </c>
      <c r="C18" s="219"/>
      <c r="D18" s="199" t="str">
        <f>_xlfn.XLOOKUP(tblEvntScope[[#This Row],[AssetDependencyId]],tblDependencies[AssetDependencyId],tblDependencies[AssetName],"",0,1)</f>
        <v>Kafka-Test</v>
      </c>
      <c r="E18" s="199" t="str">
        <f>_xlfn.XLOOKUP(tblEvntScope[[#This Row],[Application Name]],tblApplications[common_assetName],tblApplications[application_appOwner],"",0,1)</f>
        <v>Srihari Koduri</v>
      </c>
      <c r="F18" s="199" t="str">
        <f>_xlfn.XLOOKUP(tblEvntScope[[#This Row],[Application Name]],tblApplications[common_assetName],tblApplications[application_custom6],"",0,1)</f>
        <v>Koduri, Srihari</v>
      </c>
      <c r="G18" s="198">
        <f>_xlfn.XLOOKUP(tblEvntScope[[#This Row],[Application Name]],tblApplications[common_assetName],tblApplications[application_sme2],"",0,1)</f>
        <v>0</v>
      </c>
      <c r="H18" s="199" t="str">
        <f>LOWER(_xlfn.XLOOKUP(tblEvntScope[[#This Row],[Application Name]],tblApplications[common_assetName],tblApplications[application_custom23],"",0,1))</f>
        <v>dl-kafka-support@anthem.com</v>
      </c>
      <c r="I18" s="198" t="str">
        <f>_xlfn.XLOOKUP(tblEvntScope[[#This Row],[AssetDependencyId]],tblDependencies[AssetDependencyId],tblDependencies[DependentName],"",0,1)</f>
        <v>dc04tlpkaf423</v>
      </c>
      <c r="J18" s="199" t="str">
        <f>TEXT(_xlfn.XLOOKUP(tblEvntScope[[#This Row],[Hostname]],tblPMView[Hostname],tblPMView[Scope],"",0,1),"")</f>
        <v/>
      </c>
      <c r="K18" s="199" t="str">
        <f>_xlfn.XLOOKUP(tblEvntScope[[#This Row],[Hostname]],tblTM[common_assetName],tblTM[device_ipAddress],"",0,1)</f>
        <v>10.152.28.115</v>
      </c>
      <c r="L18" s="199" t="str">
        <f>_xlfn.LET(_xlpm.loc,LEFT(tblEvntScope[[#This Row],[Hostname]],4),IF(LEFT(LOWER(_xlpm.loc),3)="vaa","Richmond",_xlfn.XLOOKUP(_xlpm.loc,tblLocationCodes[LocAbbr],tblLocationCodes[Location],"",0,1)))</f>
        <v>Ashburn</v>
      </c>
      <c r="M18" s="198"/>
      <c r="N18" s="198"/>
      <c r="O18" s="199">
        <f>_xlfn.XLOOKUP(tblEvntScope[[#This Row],[Hostname]],tblTM[common_assetName],tblTM[device_custom35],"",0,1)</f>
        <v>0</v>
      </c>
      <c r="P18" s="199" t="str">
        <f>IF(tblEvntScope[[#This Row],[Device Type]]="Server",_xlfn.XLOOKUP(tblEvntScope[[#This Row],[Hostname]],tblTM[common_assetName],tblTM[device_custom60],"",0,1),"")</f>
        <v>P2P</v>
      </c>
      <c r="Q18" s="220" t="str">
        <f>_xlfn.XLOOKUP(tblEvntScope[[#This Row],[Hostname]],tblTM[common_assetName],tblTM[common_environment],"",0,1)</f>
        <v>Test</v>
      </c>
      <c r="R18" s="199" t="str">
        <f>_xlfn.XLOOKUP(tblEvntScope[[#This Row],[Hostname]],tblTM[common_assetName],tblTM[device_assetType],"",0,1)</f>
        <v>Server</v>
      </c>
      <c r="S18"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8" s="211" t="str">
        <f>_xlfn.XLOOKUP(tblEvntScope[[#This Row],[Hostname]],tblTM[common_assetName],tblTM[device_custom26],"",0,1)</f>
        <v>No</v>
      </c>
      <c r="U18" s="221">
        <f>_xlfn.XLOOKUP(tblEvntScope[[#This Row],[Hostname]],tblTM[common_assetName],tblTM[device_custom29],"",0,1)</f>
        <v>0</v>
      </c>
      <c r="V18" s="221"/>
      <c r="W18" s="221"/>
      <c r="X18"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8" s="223">
        <f>_xlfn.XLOOKUP(tblEvntScope[[#This Row],[Hostname]],tblTM[common_assetName],tblTM[device_custom17],"",0,1)</f>
        <v>0</v>
      </c>
      <c r="Z18" s="223">
        <f>IFERROR(IF(tblEvntScope[[#This Row],[Target IPs ]]="","",_xlfn.XLOOKUP(tblEvntScope[[#This Row],[Hostname]],tblTM[common_assetName],tblTM[device_custom14],"",0,1)),"")</f>
        <v>0</v>
      </c>
      <c r="AA18" s="223">
        <f>IFERROR(IF(tblEvntScope[[#This Row],[Target IPs ]]="","",_xlfn.XLOOKUP(tblEvntScope[[#This Row],[Hostname]],tblTM[common_assetName],tblTM[device_custom12],"",0,1)),"")</f>
        <v>0</v>
      </c>
      <c r="AB18" s="224">
        <f>IFERROR(_xlfn.XLOOKUP(tblEvntScope[[#This Row],[Hostname]],tblTM[common_assetName],tblTM[device_custom64],"",0)+_xlfn.XLOOKUP(tblEvntScope[[#This Row],[Hostname]],tblTM[common_assetName],tblTM[device_size],"",0),"")</f>
        <v>1509.809307</v>
      </c>
      <c r="AC18" s="225"/>
      <c r="AD18" s="226">
        <v>672027</v>
      </c>
      <c r="AE18" s="223" t="str">
        <f>CONCATENATE(tblEvntScope[[#This Row],[Application Name]],tblEvntScope[[#This Row],[Hostname]])</f>
        <v>Kafka-Testdc04tlpkaf423</v>
      </c>
    </row>
    <row r="19" spans="1:31" ht="15.5" thickTop="1" thickBot="1" x14ac:dyDescent="0.4">
      <c r="A19" s="217" t="str">
        <f>SUBSTITUTE(_xlfn.XLOOKUP(tblEvntScope[[#This Row],[AssetDependencyId]],tblDependencies[AssetDependencyId],tblDependencies[DependentBundle],"",0,1),"AppGroup","ME")</f>
        <v>MEA190</v>
      </c>
      <c r="B19" s="218">
        <f>TMWorkbook!$C$2</f>
        <v>46210</v>
      </c>
      <c r="C19" s="219"/>
      <c r="D19" s="199" t="str">
        <f>_xlfn.XLOOKUP(tblEvntScope[[#This Row],[AssetDependencyId]],tblDependencies[AssetDependencyId],tblDependencies[AssetName],"",0,1)</f>
        <v>Kafka-Test</v>
      </c>
      <c r="E19" s="199" t="str">
        <f>_xlfn.XLOOKUP(tblEvntScope[[#This Row],[Application Name]],tblApplications[common_assetName],tblApplications[application_appOwner],"",0,1)</f>
        <v>Srihari Koduri</v>
      </c>
      <c r="F19" s="199" t="str">
        <f>_xlfn.XLOOKUP(tblEvntScope[[#This Row],[Application Name]],tblApplications[common_assetName],tblApplications[application_custom6],"",0,1)</f>
        <v>Koduri, Srihari</v>
      </c>
      <c r="G19" s="198">
        <f>_xlfn.XLOOKUP(tblEvntScope[[#This Row],[Application Name]],tblApplications[common_assetName],tblApplications[application_sme2],"",0,1)</f>
        <v>0</v>
      </c>
      <c r="H19" s="199" t="str">
        <f>LOWER(_xlfn.XLOOKUP(tblEvntScope[[#This Row],[Application Name]],tblApplications[common_assetName],tblApplications[application_custom23],"",0,1))</f>
        <v>dl-kafka-support@anthem.com</v>
      </c>
      <c r="I19" s="198" t="str">
        <f>_xlfn.XLOOKUP(tblEvntScope[[#This Row],[AssetDependencyId]],tblDependencies[AssetDependencyId],tblDependencies[DependentName],"",0,1)</f>
        <v>dc04tlpkaf424</v>
      </c>
      <c r="J19" s="199" t="str">
        <f>TEXT(_xlfn.XLOOKUP(tblEvntScope[[#This Row],[Hostname]],tblPMView[Hostname],tblPMView[Scope],"",0,1),"")</f>
        <v/>
      </c>
      <c r="K19" s="199" t="str">
        <f>_xlfn.XLOOKUP(tblEvntScope[[#This Row],[Hostname]],tblTM[common_assetName],tblTM[device_ipAddress],"",0,1)</f>
        <v>10.152.28.116</v>
      </c>
      <c r="L19" s="199" t="str">
        <f>_xlfn.LET(_xlpm.loc,LEFT(tblEvntScope[[#This Row],[Hostname]],4),IF(LEFT(LOWER(_xlpm.loc),3)="vaa","Richmond",_xlfn.XLOOKUP(_xlpm.loc,tblLocationCodes[LocAbbr],tblLocationCodes[Location],"",0,1)))</f>
        <v>Ashburn</v>
      </c>
      <c r="M19" s="198"/>
      <c r="N19" s="198"/>
      <c r="O19" s="199">
        <f>_xlfn.XLOOKUP(tblEvntScope[[#This Row],[Hostname]],tblTM[common_assetName],tblTM[device_custom35],"",0,1)</f>
        <v>0</v>
      </c>
      <c r="P19" s="199" t="str">
        <f>IF(tblEvntScope[[#This Row],[Device Type]]="Server",_xlfn.XLOOKUP(tblEvntScope[[#This Row],[Hostname]],tblTM[common_assetName],tblTM[device_custom60],"",0,1),"")</f>
        <v>P2P</v>
      </c>
      <c r="Q19" s="220" t="str">
        <f>_xlfn.XLOOKUP(tblEvntScope[[#This Row],[Hostname]],tblTM[common_assetName],tblTM[common_environment],"",0,1)</f>
        <v>Test</v>
      </c>
      <c r="R19" s="199" t="str">
        <f>_xlfn.XLOOKUP(tblEvntScope[[#This Row],[Hostname]],tblTM[common_assetName],tblTM[device_assetType],"",0,1)</f>
        <v>Server</v>
      </c>
      <c r="S19"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19" s="211" t="str">
        <f>_xlfn.XLOOKUP(tblEvntScope[[#This Row],[Hostname]],tblTM[common_assetName],tblTM[device_custom26],"",0,1)</f>
        <v>No</v>
      </c>
      <c r="U19" s="221">
        <f>_xlfn.XLOOKUP(tblEvntScope[[#This Row],[Hostname]],tblTM[common_assetName],tblTM[device_custom29],"",0,1)</f>
        <v>0</v>
      </c>
      <c r="V19" s="221"/>
      <c r="W19" s="221"/>
      <c r="X19"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19" s="223">
        <f>_xlfn.XLOOKUP(tblEvntScope[[#This Row],[Hostname]],tblTM[common_assetName],tblTM[device_custom17],"",0,1)</f>
        <v>0</v>
      </c>
      <c r="Z19" s="223">
        <f>IFERROR(IF(tblEvntScope[[#This Row],[Target IPs ]]="","",_xlfn.XLOOKUP(tblEvntScope[[#This Row],[Hostname]],tblTM[common_assetName],tblTM[device_custom14],"",0,1)),"")</f>
        <v>0</v>
      </c>
      <c r="AA19" s="223">
        <f>IFERROR(IF(tblEvntScope[[#This Row],[Target IPs ]]="","",_xlfn.XLOOKUP(tblEvntScope[[#This Row],[Hostname]],tblTM[common_assetName],tblTM[device_custom12],"",0,1)),"")</f>
        <v>0</v>
      </c>
      <c r="AB19" s="224">
        <f>IFERROR(_xlfn.XLOOKUP(tblEvntScope[[#This Row],[Hostname]],tblTM[common_assetName],tblTM[device_custom64],"",0)+_xlfn.XLOOKUP(tblEvntScope[[#This Row],[Hostname]],tblTM[common_assetName],tblTM[device_size],"",0),"")</f>
        <v>1489.809307</v>
      </c>
      <c r="AC19" s="225"/>
      <c r="AD19" s="226">
        <v>672026</v>
      </c>
      <c r="AE19" s="223" t="str">
        <f>CONCATENATE(tblEvntScope[[#This Row],[Application Name]],tblEvntScope[[#This Row],[Hostname]])</f>
        <v>Kafka-Testdc04tlpkaf424</v>
      </c>
    </row>
    <row r="20" spans="1:31" ht="15.5" thickTop="1" thickBot="1" x14ac:dyDescent="0.4">
      <c r="A20" s="217" t="str">
        <f>SUBSTITUTE(_xlfn.XLOOKUP(tblEvntScope[[#This Row],[AssetDependencyId]],tblDependencies[AssetDependencyId],tblDependencies[DependentBundle],"",0,1),"AppGroup","ME")</f>
        <v>MEA190</v>
      </c>
      <c r="B20" s="218">
        <f>TMWorkbook!$C$2</f>
        <v>46210</v>
      </c>
      <c r="C20" s="219"/>
      <c r="D20" s="199" t="str">
        <f>_xlfn.XLOOKUP(tblEvntScope[[#This Row],[AssetDependencyId]],tblDependencies[AssetDependencyId],tblDependencies[AssetName],"",0,1)</f>
        <v>Kafka-Test</v>
      </c>
      <c r="E20" s="199" t="str">
        <f>_xlfn.XLOOKUP(tblEvntScope[[#This Row],[Application Name]],tblApplications[common_assetName],tblApplications[application_appOwner],"",0,1)</f>
        <v>Srihari Koduri</v>
      </c>
      <c r="F20" s="199" t="str">
        <f>_xlfn.XLOOKUP(tblEvntScope[[#This Row],[Application Name]],tblApplications[common_assetName],tblApplications[application_custom6],"",0,1)</f>
        <v>Koduri, Srihari</v>
      </c>
      <c r="G20" s="198">
        <f>_xlfn.XLOOKUP(tblEvntScope[[#This Row],[Application Name]],tblApplications[common_assetName],tblApplications[application_sme2],"",0,1)</f>
        <v>0</v>
      </c>
      <c r="H20" s="199" t="str">
        <f>LOWER(_xlfn.XLOOKUP(tblEvntScope[[#This Row],[Application Name]],tblApplications[common_assetName],tblApplications[application_custom23],"",0,1))</f>
        <v>dl-kafka-support@anthem.com</v>
      </c>
      <c r="I20" s="198" t="str">
        <f>_xlfn.XLOOKUP(tblEvntScope[[#This Row],[AssetDependencyId]],tblDependencies[AssetDependencyId],tblDependencies[DependentName],"",0,1)</f>
        <v>dc04tlpkaf425</v>
      </c>
      <c r="J20" s="199" t="str">
        <f>TEXT(_xlfn.XLOOKUP(tblEvntScope[[#This Row],[Hostname]],tblPMView[Hostname],tblPMView[Scope],"",0,1),"")</f>
        <v/>
      </c>
      <c r="K20" s="199" t="str">
        <f>_xlfn.XLOOKUP(tblEvntScope[[#This Row],[Hostname]],tblTM[common_assetName],tblTM[device_ipAddress],"",0,1)</f>
        <v>10.152.28.117</v>
      </c>
      <c r="L20" s="199" t="str">
        <f>_xlfn.LET(_xlpm.loc,LEFT(tblEvntScope[[#This Row],[Hostname]],4),IF(LEFT(LOWER(_xlpm.loc),3)="vaa","Richmond",_xlfn.XLOOKUP(_xlpm.loc,tblLocationCodes[LocAbbr],tblLocationCodes[Location],"",0,1)))</f>
        <v>Ashburn</v>
      </c>
      <c r="M20" s="198"/>
      <c r="N20" s="198"/>
      <c r="O20" s="199">
        <f>_xlfn.XLOOKUP(tblEvntScope[[#This Row],[Hostname]],tblTM[common_assetName],tblTM[device_custom35],"",0,1)</f>
        <v>0</v>
      </c>
      <c r="P20" s="199" t="str">
        <f>IF(tblEvntScope[[#This Row],[Device Type]]="Server",_xlfn.XLOOKUP(tblEvntScope[[#This Row],[Hostname]],tblTM[common_assetName],tblTM[device_custom60],"",0,1),"")</f>
        <v>P2P</v>
      </c>
      <c r="Q20" s="220" t="str">
        <f>_xlfn.XLOOKUP(tblEvntScope[[#This Row],[Hostname]],tblTM[common_assetName],tblTM[common_environment],"",0,1)</f>
        <v>Test</v>
      </c>
      <c r="R20" s="199" t="str">
        <f>_xlfn.XLOOKUP(tblEvntScope[[#This Row],[Hostname]],tblTM[common_assetName],tblTM[device_assetType],"",0,1)</f>
        <v>Server</v>
      </c>
      <c r="S20"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0" s="211" t="str">
        <f>_xlfn.XLOOKUP(tblEvntScope[[#This Row],[Hostname]],tblTM[common_assetName],tblTM[device_custom26],"",0,1)</f>
        <v>No</v>
      </c>
      <c r="U20" s="221">
        <f>_xlfn.XLOOKUP(tblEvntScope[[#This Row],[Hostname]],tblTM[common_assetName],tblTM[device_custom29],"",0,1)</f>
        <v>0</v>
      </c>
      <c r="V20" s="221"/>
      <c r="W20" s="221"/>
      <c r="X20"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0" s="223">
        <f>_xlfn.XLOOKUP(tblEvntScope[[#This Row],[Hostname]],tblTM[common_assetName],tblTM[device_custom17],"",0,1)</f>
        <v>0</v>
      </c>
      <c r="Z20" s="223">
        <f>IFERROR(IF(tblEvntScope[[#This Row],[Target IPs ]]="","",_xlfn.XLOOKUP(tblEvntScope[[#This Row],[Hostname]],tblTM[common_assetName],tblTM[device_custom14],"",0,1)),"")</f>
        <v>0</v>
      </c>
      <c r="AA20" s="223">
        <f>IFERROR(IF(tblEvntScope[[#This Row],[Target IPs ]]="","",_xlfn.XLOOKUP(tblEvntScope[[#This Row],[Hostname]],tblTM[common_assetName],tblTM[device_custom12],"",0,1)),"")</f>
        <v>0</v>
      </c>
      <c r="AB20" s="224">
        <f>IFERROR(_xlfn.XLOOKUP(tblEvntScope[[#This Row],[Hostname]],tblTM[common_assetName],tblTM[device_custom64],"",0)+_xlfn.XLOOKUP(tblEvntScope[[#This Row],[Hostname]],tblTM[common_assetName],tblTM[device_size],"",0),"")</f>
        <v>1489.809307</v>
      </c>
      <c r="AC20" s="225"/>
      <c r="AD20" s="226">
        <v>672025</v>
      </c>
      <c r="AE20" s="223" t="str">
        <f>CONCATENATE(tblEvntScope[[#This Row],[Application Name]],tblEvntScope[[#This Row],[Hostname]])</f>
        <v>Kafka-Testdc04tlpkaf425</v>
      </c>
    </row>
    <row r="21" spans="1:31" ht="15.5" thickTop="1" thickBot="1" x14ac:dyDescent="0.4">
      <c r="A21" s="217" t="str">
        <f>SUBSTITUTE(_xlfn.XLOOKUP(tblEvntScope[[#This Row],[AssetDependencyId]],tblDependencies[AssetDependencyId],tblDependencies[DependentBundle],"",0,1),"AppGroup","ME")</f>
        <v>MEA190</v>
      </c>
      <c r="B21" s="218">
        <f>TMWorkbook!$C$2</f>
        <v>46210</v>
      </c>
      <c r="C21" s="219"/>
      <c r="D21" s="199" t="str">
        <f>_xlfn.XLOOKUP(tblEvntScope[[#This Row],[AssetDependencyId]],tblDependencies[AssetDependencyId],tblDependencies[AssetName],"",0,1)</f>
        <v>Kafka-Test</v>
      </c>
      <c r="E21" s="199" t="str">
        <f>_xlfn.XLOOKUP(tblEvntScope[[#This Row],[Application Name]],tblApplications[common_assetName],tblApplications[application_appOwner],"",0,1)</f>
        <v>Srihari Koduri</v>
      </c>
      <c r="F21" s="199" t="str">
        <f>_xlfn.XLOOKUP(tblEvntScope[[#This Row],[Application Name]],tblApplications[common_assetName],tblApplications[application_custom6],"",0,1)</f>
        <v>Koduri, Srihari</v>
      </c>
      <c r="G21" s="198">
        <f>_xlfn.XLOOKUP(tblEvntScope[[#This Row],[Application Name]],tblApplications[common_assetName],tblApplications[application_sme2],"",0,1)</f>
        <v>0</v>
      </c>
      <c r="H21" s="199" t="str">
        <f>LOWER(_xlfn.XLOOKUP(tblEvntScope[[#This Row],[Application Name]],tblApplications[common_assetName],tblApplications[application_custom23],"",0,1))</f>
        <v>dl-kafka-support@anthem.com</v>
      </c>
      <c r="I21" s="198" t="str">
        <f>_xlfn.XLOOKUP(tblEvntScope[[#This Row],[AssetDependencyId]],tblDependencies[AssetDependencyId],tblDependencies[DependentName],"",0,1)</f>
        <v>dc04tlpkaf426</v>
      </c>
      <c r="J21" s="199" t="str">
        <f>TEXT(_xlfn.XLOOKUP(tblEvntScope[[#This Row],[Hostname]],tblPMView[Hostname],tblPMView[Scope],"",0,1),"")</f>
        <v/>
      </c>
      <c r="K21" s="199" t="str">
        <f>_xlfn.XLOOKUP(tblEvntScope[[#This Row],[Hostname]],tblTM[common_assetName],tblTM[device_ipAddress],"",0,1)</f>
        <v>10.152.28.118</v>
      </c>
      <c r="L21" s="199" t="str">
        <f>_xlfn.LET(_xlpm.loc,LEFT(tblEvntScope[[#This Row],[Hostname]],4),IF(LEFT(LOWER(_xlpm.loc),3)="vaa","Richmond",_xlfn.XLOOKUP(_xlpm.loc,tblLocationCodes[LocAbbr],tblLocationCodes[Location],"",0,1)))</f>
        <v>Ashburn</v>
      </c>
      <c r="M21" s="198"/>
      <c r="N21" s="198"/>
      <c r="O21" s="199">
        <f>_xlfn.XLOOKUP(tblEvntScope[[#This Row],[Hostname]],tblTM[common_assetName],tblTM[device_custom35],"",0,1)</f>
        <v>0</v>
      </c>
      <c r="P21" s="199" t="str">
        <f>IF(tblEvntScope[[#This Row],[Device Type]]="Server",_xlfn.XLOOKUP(tblEvntScope[[#This Row],[Hostname]],tblTM[common_assetName],tblTM[device_custom60],"",0,1),"")</f>
        <v>P2P</v>
      </c>
      <c r="Q21" s="220" t="str">
        <f>_xlfn.XLOOKUP(tblEvntScope[[#This Row],[Hostname]],tblTM[common_assetName],tblTM[common_environment],"",0,1)</f>
        <v>Test</v>
      </c>
      <c r="R21" s="199" t="str">
        <f>_xlfn.XLOOKUP(tblEvntScope[[#This Row],[Hostname]],tblTM[common_assetName],tblTM[device_assetType],"",0,1)</f>
        <v>Server</v>
      </c>
      <c r="S21"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1" s="211" t="str">
        <f>_xlfn.XLOOKUP(tblEvntScope[[#This Row],[Hostname]],tblTM[common_assetName],tblTM[device_custom26],"",0,1)</f>
        <v>No</v>
      </c>
      <c r="U21" s="221">
        <f>_xlfn.XLOOKUP(tblEvntScope[[#This Row],[Hostname]],tblTM[common_assetName],tblTM[device_custom29],"",0,1)</f>
        <v>0</v>
      </c>
      <c r="V21" s="221"/>
      <c r="W21" s="221"/>
      <c r="X21"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1" s="223">
        <f>_xlfn.XLOOKUP(tblEvntScope[[#This Row],[Hostname]],tblTM[common_assetName],tblTM[device_custom17],"",0,1)</f>
        <v>0</v>
      </c>
      <c r="Z21" s="223">
        <f>IFERROR(IF(tblEvntScope[[#This Row],[Target IPs ]]="","",_xlfn.XLOOKUP(tblEvntScope[[#This Row],[Hostname]],tblTM[common_assetName],tblTM[device_custom14],"",0,1)),"")</f>
        <v>0</v>
      </c>
      <c r="AA21" s="223">
        <f>IFERROR(IF(tblEvntScope[[#This Row],[Target IPs ]]="","",_xlfn.XLOOKUP(tblEvntScope[[#This Row],[Hostname]],tblTM[common_assetName],tblTM[device_custom12],"",0,1)),"")</f>
        <v>0</v>
      </c>
      <c r="AB21" s="224">
        <f>IFERROR(_xlfn.XLOOKUP(tblEvntScope[[#This Row],[Hostname]],tblTM[common_assetName],tblTM[device_custom64],"",0)+_xlfn.XLOOKUP(tblEvntScope[[#This Row],[Hostname]],tblTM[common_assetName],tblTM[device_size],"",0),"")</f>
        <v>3076.7262989999999</v>
      </c>
      <c r="AC21" s="225"/>
      <c r="AD21" s="226">
        <v>672024</v>
      </c>
      <c r="AE21" s="223" t="str">
        <f>CONCATENATE(tblEvntScope[[#This Row],[Application Name]],tblEvntScope[[#This Row],[Hostname]])</f>
        <v>Kafka-Testdc04tlpkaf426</v>
      </c>
    </row>
    <row r="22" spans="1:31" ht="15.5" thickTop="1" thickBot="1" x14ac:dyDescent="0.4">
      <c r="A22" s="217" t="str">
        <f>SUBSTITUTE(_xlfn.XLOOKUP(tblEvntScope[[#This Row],[AssetDependencyId]],tblDependencies[AssetDependencyId],tblDependencies[DependentBundle],"",0,1),"AppGroup","ME")</f>
        <v>MEA190</v>
      </c>
      <c r="B22" s="218">
        <f>TMWorkbook!$C$2</f>
        <v>46210</v>
      </c>
      <c r="C22" s="219"/>
      <c r="D22" s="199" t="str">
        <f>_xlfn.XLOOKUP(tblEvntScope[[#This Row],[AssetDependencyId]],tblDependencies[AssetDependencyId],tblDependencies[AssetName],"",0,1)</f>
        <v>Kafka-Test</v>
      </c>
      <c r="E22" s="199" t="str">
        <f>_xlfn.XLOOKUP(tblEvntScope[[#This Row],[Application Name]],tblApplications[common_assetName],tblApplications[application_appOwner],"",0,1)</f>
        <v>Srihari Koduri</v>
      </c>
      <c r="F22" s="199" t="str">
        <f>_xlfn.XLOOKUP(tblEvntScope[[#This Row],[Application Name]],tblApplications[common_assetName],tblApplications[application_custom6],"",0,1)</f>
        <v>Koduri, Srihari</v>
      </c>
      <c r="G22" s="198">
        <f>_xlfn.XLOOKUP(tblEvntScope[[#This Row],[Application Name]],tblApplications[common_assetName],tblApplications[application_sme2],"",0,1)</f>
        <v>0</v>
      </c>
      <c r="H22" s="199" t="str">
        <f>LOWER(_xlfn.XLOOKUP(tblEvntScope[[#This Row],[Application Name]],tblApplications[common_assetName],tblApplications[application_custom23],"",0,1))</f>
        <v>dl-kafka-support@anthem.com</v>
      </c>
      <c r="I22" s="198" t="str">
        <f>_xlfn.XLOOKUP(tblEvntScope[[#This Row],[AssetDependencyId]],tblDependencies[AssetDependencyId],tblDependencies[DependentName],"",0,1)</f>
        <v>dc04tlpkaf427</v>
      </c>
      <c r="J22" s="199" t="str">
        <f>TEXT(_xlfn.XLOOKUP(tblEvntScope[[#This Row],[Hostname]],tblPMView[Hostname],tblPMView[Scope],"",0,1),"")</f>
        <v/>
      </c>
      <c r="K22" s="199" t="str">
        <f>_xlfn.XLOOKUP(tblEvntScope[[#This Row],[Hostname]],tblTM[common_assetName],tblTM[device_ipAddress],"",0,1)</f>
        <v>10.152.28.119</v>
      </c>
      <c r="L22" s="199" t="str">
        <f>_xlfn.LET(_xlpm.loc,LEFT(tblEvntScope[[#This Row],[Hostname]],4),IF(LEFT(LOWER(_xlpm.loc),3)="vaa","Richmond",_xlfn.XLOOKUP(_xlpm.loc,tblLocationCodes[LocAbbr],tblLocationCodes[Location],"",0,1)))</f>
        <v>Ashburn</v>
      </c>
      <c r="M22" s="198"/>
      <c r="N22" s="198"/>
      <c r="O22" s="199">
        <f>_xlfn.XLOOKUP(tblEvntScope[[#This Row],[Hostname]],tblTM[common_assetName],tblTM[device_custom35],"",0,1)</f>
        <v>0</v>
      </c>
      <c r="P22" s="199" t="str">
        <f>IF(tblEvntScope[[#This Row],[Device Type]]="Server",_xlfn.XLOOKUP(tblEvntScope[[#This Row],[Hostname]],tblTM[common_assetName],tblTM[device_custom60],"",0,1),"")</f>
        <v>P2P</v>
      </c>
      <c r="Q22" s="220" t="str">
        <f>_xlfn.XLOOKUP(tblEvntScope[[#This Row],[Hostname]],tblTM[common_assetName],tblTM[common_environment],"",0,1)</f>
        <v>Test</v>
      </c>
      <c r="R22" s="199" t="str">
        <f>_xlfn.XLOOKUP(tblEvntScope[[#This Row],[Hostname]],tblTM[common_assetName],tblTM[device_assetType],"",0,1)</f>
        <v>Server</v>
      </c>
      <c r="S22"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2" s="211" t="str">
        <f>_xlfn.XLOOKUP(tblEvntScope[[#This Row],[Hostname]],tblTM[common_assetName],tblTM[device_custom26],"",0,1)</f>
        <v>No</v>
      </c>
      <c r="U22" s="221">
        <f>_xlfn.XLOOKUP(tblEvntScope[[#This Row],[Hostname]],tblTM[common_assetName],tblTM[device_custom29],"",0,1)</f>
        <v>0</v>
      </c>
      <c r="V22" s="221"/>
      <c r="W22" s="221"/>
      <c r="X22"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2" s="223">
        <f>_xlfn.XLOOKUP(tblEvntScope[[#This Row],[Hostname]],tblTM[common_assetName],tblTM[device_custom17],"",0,1)</f>
        <v>0</v>
      </c>
      <c r="Z22" s="223">
        <f>IFERROR(IF(tblEvntScope[[#This Row],[Target IPs ]]="","",_xlfn.XLOOKUP(tblEvntScope[[#This Row],[Hostname]],tblTM[common_assetName],tblTM[device_custom14],"",0,1)),"")</f>
        <v>0</v>
      </c>
      <c r="AA22" s="223">
        <f>IFERROR(IF(tblEvntScope[[#This Row],[Target IPs ]]="","",_xlfn.XLOOKUP(tblEvntScope[[#This Row],[Hostname]],tblTM[common_assetName],tblTM[device_custom12],"",0,1)),"")</f>
        <v>0</v>
      </c>
      <c r="AB22" s="224">
        <f>IFERROR(_xlfn.XLOOKUP(tblEvntScope[[#This Row],[Hostname]],tblTM[common_assetName],tblTM[device_custom64],"",0)+_xlfn.XLOOKUP(tblEvntScope[[#This Row],[Hostname]],tblTM[common_assetName],tblTM[device_size],"",0),"")</f>
        <v>2995.0534480000001</v>
      </c>
      <c r="AC22" s="225"/>
      <c r="AD22" s="226">
        <v>672023</v>
      </c>
      <c r="AE22" s="223" t="str">
        <f>CONCATENATE(tblEvntScope[[#This Row],[Application Name]],tblEvntScope[[#This Row],[Hostname]])</f>
        <v>Kafka-Testdc04tlpkaf427</v>
      </c>
    </row>
    <row r="23" spans="1:31" ht="15.5" thickTop="1" thickBot="1" x14ac:dyDescent="0.4">
      <c r="A23" s="217" t="str">
        <f>SUBSTITUTE(_xlfn.XLOOKUP(tblEvntScope[[#This Row],[AssetDependencyId]],tblDependencies[AssetDependencyId],tblDependencies[DependentBundle],"",0,1),"AppGroup","ME")</f>
        <v>MEA190</v>
      </c>
      <c r="B23" s="218">
        <f>TMWorkbook!$C$2</f>
        <v>46210</v>
      </c>
      <c r="C23" s="219"/>
      <c r="D23" s="199" t="str">
        <f>_xlfn.XLOOKUP(tblEvntScope[[#This Row],[AssetDependencyId]],tblDependencies[AssetDependencyId],tblDependencies[AssetName],"",0,1)</f>
        <v>Kafka-Test</v>
      </c>
      <c r="E23" s="199" t="str">
        <f>_xlfn.XLOOKUP(tblEvntScope[[#This Row],[Application Name]],tblApplications[common_assetName],tblApplications[application_appOwner],"",0,1)</f>
        <v>Srihari Koduri</v>
      </c>
      <c r="F23" s="199" t="str">
        <f>_xlfn.XLOOKUP(tblEvntScope[[#This Row],[Application Name]],tblApplications[common_assetName],tblApplications[application_custom6],"",0,1)</f>
        <v>Koduri, Srihari</v>
      </c>
      <c r="G23" s="198">
        <f>_xlfn.XLOOKUP(tblEvntScope[[#This Row],[Application Name]],tblApplications[common_assetName],tblApplications[application_sme2],"",0,1)</f>
        <v>0</v>
      </c>
      <c r="H23" s="199" t="str">
        <f>LOWER(_xlfn.XLOOKUP(tblEvntScope[[#This Row],[Application Name]],tblApplications[common_assetName],tblApplications[application_custom23],"",0,1))</f>
        <v>dl-kafka-support@anthem.com</v>
      </c>
      <c r="I23" s="198" t="str">
        <f>_xlfn.XLOOKUP(tblEvntScope[[#This Row],[AssetDependencyId]],tblDependencies[AssetDependencyId],tblDependencies[DependentName],"",0,1)</f>
        <v>dc04tlpkaf428</v>
      </c>
      <c r="J23" s="199" t="str">
        <f>TEXT(_xlfn.XLOOKUP(tblEvntScope[[#This Row],[Hostname]],tblPMView[Hostname],tblPMView[Scope],"",0,1),"")</f>
        <v/>
      </c>
      <c r="K23" s="199" t="str">
        <f>_xlfn.XLOOKUP(tblEvntScope[[#This Row],[Hostname]],tblTM[common_assetName],tblTM[device_ipAddress],"",0,1)</f>
        <v>10.152.28.120</v>
      </c>
      <c r="L23" s="199" t="str">
        <f>_xlfn.LET(_xlpm.loc,LEFT(tblEvntScope[[#This Row],[Hostname]],4),IF(LEFT(LOWER(_xlpm.loc),3)="vaa","Richmond",_xlfn.XLOOKUP(_xlpm.loc,tblLocationCodes[LocAbbr],tblLocationCodes[Location],"",0,1)))</f>
        <v>Ashburn</v>
      </c>
      <c r="M23" s="198"/>
      <c r="N23" s="198"/>
      <c r="O23" s="199">
        <f>_xlfn.XLOOKUP(tblEvntScope[[#This Row],[Hostname]],tblTM[common_assetName],tblTM[device_custom35],"",0,1)</f>
        <v>0</v>
      </c>
      <c r="P23" s="199" t="str">
        <f>IF(tblEvntScope[[#This Row],[Device Type]]="Server",_xlfn.XLOOKUP(tblEvntScope[[#This Row],[Hostname]],tblTM[common_assetName],tblTM[device_custom60],"",0,1),"")</f>
        <v>P2P</v>
      </c>
      <c r="Q23" s="220" t="str">
        <f>_xlfn.XLOOKUP(tblEvntScope[[#This Row],[Hostname]],tblTM[common_assetName],tblTM[common_environment],"",0,1)</f>
        <v>Test</v>
      </c>
      <c r="R23" s="199" t="str">
        <f>_xlfn.XLOOKUP(tblEvntScope[[#This Row],[Hostname]],tblTM[common_assetName],tblTM[device_assetType],"",0,1)</f>
        <v>Server</v>
      </c>
      <c r="S23"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3" s="211" t="str">
        <f>_xlfn.XLOOKUP(tblEvntScope[[#This Row],[Hostname]],tblTM[common_assetName],tblTM[device_custom26],"",0,1)</f>
        <v>No</v>
      </c>
      <c r="U23" s="221">
        <f>_xlfn.XLOOKUP(tblEvntScope[[#This Row],[Hostname]],tblTM[common_assetName],tblTM[device_custom29],"",0,1)</f>
        <v>0</v>
      </c>
      <c r="V23" s="221"/>
      <c r="W23" s="221"/>
      <c r="X23"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3" s="223">
        <f>_xlfn.XLOOKUP(tblEvntScope[[#This Row],[Hostname]],tblTM[common_assetName],tblTM[device_custom17],"",0,1)</f>
        <v>0</v>
      </c>
      <c r="Z23" s="223">
        <f>IFERROR(IF(tblEvntScope[[#This Row],[Target IPs ]]="","",_xlfn.XLOOKUP(tblEvntScope[[#This Row],[Hostname]],tblTM[common_assetName],tblTM[device_custom14],"",0,1)),"")</f>
        <v>0</v>
      </c>
      <c r="AA23" s="223">
        <f>IFERROR(IF(tblEvntScope[[#This Row],[Target IPs ]]="","",_xlfn.XLOOKUP(tblEvntScope[[#This Row],[Hostname]],tblTM[common_assetName],tblTM[device_custom12],"",0,1)),"")</f>
        <v>0</v>
      </c>
      <c r="AB23" s="224">
        <f>IFERROR(_xlfn.XLOOKUP(tblEvntScope[[#This Row],[Hostname]],tblTM[common_assetName],tblTM[device_custom64],"",0)+_xlfn.XLOOKUP(tblEvntScope[[#This Row],[Hostname]],tblTM[common_assetName],tblTM[device_size],"",0),"")</f>
        <v>3037.0534480000001</v>
      </c>
      <c r="AC23" s="225"/>
      <c r="AD23" s="226">
        <v>672022</v>
      </c>
      <c r="AE23" s="223" t="str">
        <f>CONCATENATE(tblEvntScope[[#This Row],[Application Name]],tblEvntScope[[#This Row],[Hostname]])</f>
        <v>Kafka-Testdc04tlpkaf428</v>
      </c>
    </row>
    <row r="24" spans="1:31" ht="15.5" thickTop="1" thickBot="1" x14ac:dyDescent="0.4">
      <c r="A24" s="217" t="str">
        <f>SUBSTITUTE(_xlfn.XLOOKUP(tblEvntScope[[#This Row],[AssetDependencyId]],tblDependencies[AssetDependencyId],tblDependencies[DependentBundle],"",0,1),"AppGroup","ME")</f>
        <v>MEA190</v>
      </c>
      <c r="B24" s="218">
        <f>TMWorkbook!$C$2</f>
        <v>46210</v>
      </c>
      <c r="C24" s="219"/>
      <c r="D24" s="199" t="str">
        <f>_xlfn.XLOOKUP(tblEvntScope[[#This Row],[AssetDependencyId]],tblDependencies[AssetDependencyId],tblDependencies[AssetName],"",0,1)</f>
        <v>Kafka-Test</v>
      </c>
      <c r="E24" s="199" t="str">
        <f>_xlfn.XLOOKUP(tblEvntScope[[#This Row],[Application Name]],tblApplications[common_assetName],tblApplications[application_appOwner],"",0,1)</f>
        <v>Srihari Koduri</v>
      </c>
      <c r="F24" s="199" t="str">
        <f>_xlfn.XLOOKUP(tblEvntScope[[#This Row],[Application Name]],tblApplications[common_assetName],tblApplications[application_custom6],"",0,1)</f>
        <v>Koduri, Srihari</v>
      </c>
      <c r="G24" s="198">
        <f>_xlfn.XLOOKUP(tblEvntScope[[#This Row],[Application Name]],tblApplications[common_assetName],tblApplications[application_sme2],"",0,1)</f>
        <v>0</v>
      </c>
      <c r="H24" s="199" t="str">
        <f>LOWER(_xlfn.XLOOKUP(tblEvntScope[[#This Row],[Application Name]],tblApplications[common_assetName],tblApplications[application_custom23],"",0,1))</f>
        <v>dl-kafka-support@anthem.com</v>
      </c>
      <c r="I24" s="198" t="str">
        <f>_xlfn.XLOOKUP(tblEvntScope[[#This Row],[AssetDependencyId]],tblDependencies[AssetDependencyId],tblDependencies[DependentName],"",0,1)</f>
        <v>dc04tlpkaf432</v>
      </c>
      <c r="J24" s="199" t="str">
        <f>TEXT(_xlfn.XLOOKUP(tblEvntScope[[#This Row],[Hostname]],tblPMView[Hostname],tblPMView[Scope],"",0,1),"")</f>
        <v/>
      </c>
      <c r="K24" s="199" t="str">
        <f>_xlfn.XLOOKUP(tblEvntScope[[#This Row],[Hostname]],tblTM[common_assetName],tblTM[device_ipAddress],"",0,1)</f>
        <v>10.152.28.124</v>
      </c>
      <c r="L24" s="199" t="str">
        <f>_xlfn.LET(_xlpm.loc,LEFT(tblEvntScope[[#This Row],[Hostname]],4),IF(LEFT(LOWER(_xlpm.loc),3)="vaa","Richmond",_xlfn.XLOOKUP(_xlpm.loc,tblLocationCodes[LocAbbr],tblLocationCodes[Location],"",0,1)))</f>
        <v>Ashburn</v>
      </c>
      <c r="M24" s="198"/>
      <c r="N24" s="198"/>
      <c r="O24" s="199">
        <f>_xlfn.XLOOKUP(tblEvntScope[[#This Row],[Hostname]],tblTM[common_assetName],tblTM[device_custom35],"",0,1)</f>
        <v>0</v>
      </c>
      <c r="P24" s="199" t="str">
        <f>IF(tblEvntScope[[#This Row],[Device Type]]="Server",_xlfn.XLOOKUP(tblEvntScope[[#This Row],[Hostname]],tblTM[common_assetName],tblTM[device_custom60],"",0,1),"")</f>
        <v>P2P</v>
      </c>
      <c r="Q24" s="220" t="str">
        <f>_xlfn.XLOOKUP(tblEvntScope[[#This Row],[Hostname]],tblTM[common_assetName],tblTM[common_environment],"",0,1)</f>
        <v>Test</v>
      </c>
      <c r="R24" s="199" t="str">
        <f>_xlfn.XLOOKUP(tblEvntScope[[#This Row],[Hostname]],tblTM[common_assetName],tblTM[device_assetType],"",0,1)</f>
        <v>Server</v>
      </c>
      <c r="S24"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4" s="211" t="str">
        <f>_xlfn.XLOOKUP(tblEvntScope[[#This Row],[Hostname]],tblTM[common_assetName],tblTM[device_custom26],"",0,1)</f>
        <v>No</v>
      </c>
      <c r="U24" s="221">
        <f>_xlfn.XLOOKUP(tblEvntScope[[#This Row],[Hostname]],tblTM[common_assetName],tblTM[device_custom29],"",0,1)</f>
        <v>0</v>
      </c>
      <c r="V24" s="221"/>
      <c r="W24" s="221"/>
      <c r="X24"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4" s="223">
        <f>_xlfn.XLOOKUP(tblEvntScope[[#This Row],[Hostname]],tblTM[common_assetName],tblTM[device_custom17],"",0,1)</f>
        <v>0</v>
      </c>
      <c r="Z24" s="223">
        <f>IFERROR(IF(tblEvntScope[[#This Row],[Target IPs ]]="","",_xlfn.XLOOKUP(tblEvntScope[[#This Row],[Hostname]],tblTM[common_assetName],tblTM[device_custom14],"",0,1)),"")</f>
        <v>0</v>
      </c>
      <c r="AA24" s="223">
        <f>IFERROR(IF(tblEvntScope[[#This Row],[Target IPs ]]="","",_xlfn.XLOOKUP(tblEvntScope[[#This Row],[Hostname]],tblTM[common_assetName],tblTM[device_custom12],"",0,1)),"")</f>
        <v>0</v>
      </c>
      <c r="AB24" s="224">
        <f>IFERROR(_xlfn.XLOOKUP(tblEvntScope[[#This Row],[Hostname]],tblTM[common_assetName],tblTM[device_custom64],"",0)+_xlfn.XLOOKUP(tblEvntScope[[#This Row],[Hostname]],tblTM[common_assetName],tblTM[device_size],"",0),"")</f>
        <v>1489.809307</v>
      </c>
      <c r="AC24" s="225"/>
      <c r="AD24" s="226">
        <v>672018</v>
      </c>
      <c r="AE24" s="223" t="str">
        <f>CONCATENATE(tblEvntScope[[#This Row],[Application Name]],tblEvntScope[[#This Row],[Hostname]])</f>
        <v>Kafka-Testdc04tlpkaf432</v>
      </c>
    </row>
    <row r="25" spans="1:31" ht="15.5" thickTop="1" thickBot="1" x14ac:dyDescent="0.4">
      <c r="A25" s="217" t="str">
        <f>SUBSTITUTE(_xlfn.XLOOKUP(tblEvntScope[[#This Row],[AssetDependencyId]],tblDependencies[AssetDependencyId],tblDependencies[DependentBundle],"",0,1),"AppGroup","ME")</f>
        <v>MEA190</v>
      </c>
      <c r="B25" s="218">
        <f>TMWorkbook!$C$2</f>
        <v>46210</v>
      </c>
      <c r="C25" s="219"/>
      <c r="D25" s="199" t="str">
        <f>_xlfn.XLOOKUP(tblEvntScope[[#This Row],[AssetDependencyId]],tblDependencies[AssetDependencyId],tblDependencies[AssetName],"",0,1)</f>
        <v>Kafka-Test</v>
      </c>
      <c r="E25" s="199" t="str">
        <f>_xlfn.XLOOKUP(tblEvntScope[[#This Row],[Application Name]],tblApplications[common_assetName],tblApplications[application_appOwner],"",0,1)</f>
        <v>Srihari Koduri</v>
      </c>
      <c r="F25" s="199" t="str">
        <f>_xlfn.XLOOKUP(tblEvntScope[[#This Row],[Application Name]],tblApplications[common_assetName],tblApplications[application_custom6],"",0,1)</f>
        <v>Koduri, Srihari</v>
      </c>
      <c r="G25" s="198">
        <f>_xlfn.XLOOKUP(tblEvntScope[[#This Row],[Application Name]],tblApplications[common_assetName],tblApplications[application_sme2],"",0,1)</f>
        <v>0</v>
      </c>
      <c r="H25" s="199" t="str">
        <f>LOWER(_xlfn.XLOOKUP(tblEvntScope[[#This Row],[Application Name]],tblApplications[common_assetName],tblApplications[application_custom23],"",0,1))</f>
        <v>dl-kafka-support@anthem.com</v>
      </c>
      <c r="I25" s="198" t="str">
        <f>_xlfn.XLOOKUP(tblEvntScope[[#This Row],[AssetDependencyId]],tblDependencies[AssetDependencyId],tblDependencies[DependentName],"",0,1)</f>
        <v>dc04tlpkaf434</v>
      </c>
      <c r="J25" s="199" t="str">
        <f>TEXT(_xlfn.XLOOKUP(tblEvntScope[[#This Row],[Hostname]],tblPMView[Hostname],tblPMView[Scope],"",0,1),"")</f>
        <v/>
      </c>
      <c r="K25" s="199" t="str">
        <f>_xlfn.XLOOKUP(tblEvntScope[[#This Row],[Hostname]],tblTM[common_assetName],tblTM[device_ipAddress],"",0,1)</f>
        <v>10.152.28.126</v>
      </c>
      <c r="L25" s="199" t="str">
        <f>_xlfn.LET(_xlpm.loc,LEFT(tblEvntScope[[#This Row],[Hostname]],4),IF(LEFT(LOWER(_xlpm.loc),3)="vaa","Richmond",_xlfn.XLOOKUP(_xlpm.loc,tblLocationCodes[LocAbbr],tblLocationCodes[Location],"",0,1)))</f>
        <v>Ashburn</v>
      </c>
      <c r="M25" s="198"/>
      <c r="N25" s="198"/>
      <c r="O25" s="199">
        <f>_xlfn.XLOOKUP(tblEvntScope[[#This Row],[Hostname]],tblTM[common_assetName],tblTM[device_custom35],"",0,1)</f>
        <v>0</v>
      </c>
      <c r="P25" s="199" t="str">
        <f>IF(tblEvntScope[[#This Row],[Device Type]]="Server",_xlfn.XLOOKUP(tblEvntScope[[#This Row],[Hostname]],tblTM[common_assetName],tblTM[device_custom60],"",0,1),"")</f>
        <v>P2P</v>
      </c>
      <c r="Q25" s="220" t="str">
        <f>_xlfn.XLOOKUP(tblEvntScope[[#This Row],[Hostname]],tblTM[common_assetName],tblTM[common_environment],"",0,1)</f>
        <v>Test</v>
      </c>
      <c r="R25" s="199" t="str">
        <f>_xlfn.XLOOKUP(tblEvntScope[[#This Row],[Hostname]],tblTM[common_assetName],tblTM[device_assetType],"",0,1)</f>
        <v>Server</v>
      </c>
      <c r="S25"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5" s="211" t="str">
        <f>_xlfn.XLOOKUP(tblEvntScope[[#This Row],[Hostname]],tblTM[common_assetName],tblTM[device_custom26],"",0,1)</f>
        <v>No</v>
      </c>
      <c r="U25" s="221">
        <f>_xlfn.XLOOKUP(tblEvntScope[[#This Row],[Hostname]],tblTM[common_assetName],tblTM[device_custom29],"",0,1)</f>
        <v>0</v>
      </c>
      <c r="V25" s="221"/>
      <c r="W25" s="221"/>
      <c r="X25"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5" s="223">
        <f>_xlfn.XLOOKUP(tblEvntScope[[#This Row],[Hostname]],tblTM[common_assetName],tblTM[device_custom17],"",0,1)</f>
        <v>0</v>
      </c>
      <c r="Z25" s="223">
        <f>IFERROR(IF(tblEvntScope[[#This Row],[Target IPs ]]="","",_xlfn.XLOOKUP(tblEvntScope[[#This Row],[Hostname]],tblTM[common_assetName],tblTM[device_custom14],"",0,1)),"")</f>
        <v>0</v>
      </c>
      <c r="AA25" s="223">
        <f>IFERROR(IF(tblEvntScope[[#This Row],[Target IPs ]]="","",_xlfn.XLOOKUP(tblEvntScope[[#This Row],[Hostname]],tblTM[common_assetName],tblTM[device_custom12],"",0,1)),"")</f>
        <v>0</v>
      </c>
      <c r="AB25" s="224">
        <f>IFERROR(_xlfn.XLOOKUP(tblEvntScope[[#This Row],[Hostname]],tblTM[common_assetName],tblTM[device_custom64],"",0)+_xlfn.XLOOKUP(tblEvntScope[[#This Row],[Hostname]],tblTM[common_assetName],tblTM[device_size],"",0),"")</f>
        <v>1489.809307</v>
      </c>
      <c r="AC25" s="225"/>
      <c r="AD25" s="226">
        <v>672017</v>
      </c>
      <c r="AE25" s="223" t="str">
        <f>CONCATENATE(tblEvntScope[[#This Row],[Application Name]],tblEvntScope[[#This Row],[Hostname]])</f>
        <v>Kafka-Testdc04tlpkaf434</v>
      </c>
    </row>
    <row r="26" spans="1:31" ht="15.5" thickTop="1" thickBot="1" x14ac:dyDescent="0.4">
      <c r="A26" s="217" t="str">
        <f>SUBSTITUTE(_xlfn.XLOOKUP(tblEvntScope[[#This Row],[AssetDependencyId]],tblDependencies[AssetDependencyId],tblDependencies[DependentBundle],"",0,1),"AppGroup","ME")</f>
        <v>MEA190</v>
      </c>
      <c r="B26" s="218">
        <f>TMWorkbook!$C$2</f>
        <v>46210</v>
      </c>
      <c r="C26" s="219"/>
      <c r="D26" s="199" t="str">
        <f>_xlfn.XLOOKUP(tblEvntScope[[#This Row],[AssetDependencyId]],tblDependencies[AssetDependencyId],tblDependencies[AssetName],"",0,1)</f>
        <v>Kafka-Test</v>
      </c>
      <c r="E26" s="199" t="str">
        <f>_xlfn.XLOOKUP(tblEvntScope[[#This Row],[Application Name]],tblApplications[common_assetName],tblApplications[application_appOwner],"",0,1)</f>
        <v>Srihari Koduri</v>
      </c>
      <c r="F26" s="199" t="str">
        <f>_xlfn.XLOOKUP(tblEvntScope[[#This Row],[Application Name]],tblApplications[common_assetName],tblApplications[application_custom6],"",0,1)</f>
        <v>Koduri, Srihari</v>
      </c>
      <c r="G26" s="198">
        <f>_xlfn.XLOOKUP(tblEvntScope[[#This Row],[Application Name]],tblApplications[common_assetName],tblApplications[application_sme2],"",0,1)</f>
        <v>0</v>
      </c>
      <c r="H26" s="199" t="str">
        <f>LOWER(_xlfn.XLOOKUP(tblEvntScope[[#This Row],[Application Name]],tblApplications[common_assetName],tblApplications[application_custom23],"",0,1))</f>
        <v>dl-kafka-support@anthem.com</v>
      </c>
      <c r="I26" s="198" t="str">
        <f>_xlfn.XLOOKUP(tblEvntScope[[#This Row],[AssetDependencyId]],tblDependencies[AssetDependencyId],tblDependencies[DependentName],"",0,1)</f>
        <v>dc04tlpkaf437</v>
      </c>
      <c r="J26" s="199" t="str">
        <f>TEXT(_xlfn.XLOOKUP(tblEvntScope[[#This Row],[Hostname]],tblPMView[Hostname],tblPMView[Scope],"",0,1),"")</f>
        <v/>
      </c>
      <c r="K26" s="199" t="str">
        <f>_xlfn.XLOOKUP(tblEvntScope[[#This Row],[Hostname]],tblTM[common_assetName],tblTM[device_ipAddress],"",0,1)</f>
        <v>10.152.28.129</v>
      </c>
      <c r="L26" s="199" t="str">
        <f>_xlfn.LET(_xlpm.loc,LEFT(tblEvntScope[[#This Row],[Hostname]],4),IF(LEFT(LOWER(_xlpm.loc),3)="vaa","Richmond",_xlfn.XLOOKUP(_xlpm.loc,tblLocationCodes[LocAbbr],tblLocationCodes[Location],"",0,1)))</f>
        <v>Ashburn</v>
      </c>
      <c r="M26" s="198"/>
      <c r="N26" s="198"/>
      <c r="O26" s="199">
        <f>_xlfn.XLOOKUP(tblEvntScope[[#This Row],[Hostname]],tblTM[common_assetName],tblTM[device_custom35],"",0,1)</f>
        <v>0</v>
      </c>
      <c r="P26" s="199" t="str">
        <f>IF(tblEvntScope[[#This Row],[Device Type]]="Server",_xlfn.XLOOKUP(tblEvntScope[[#This Row],[Hostname]],tblTM[common_assetName],tblTM[device_custom60],"",0,1),"")</f>
        <v>P2P</v>
      </c>
      <c r="Q26" s="220" t="str">
        <f>_xlfn.XLOOKUP(tblEvntScope[[#This Row],[Hostname]],tblTM[common_assetName],tblTM[common_environment],"",0,1)</f>
        <v>Test</v>
      </c>
      <c r="R26" s="199" t="str">
        <f>_xlfn.XLOOKUP(tblEvntScope[[#This Row],[Hostname]],tblTM[common_assetName],tblTM[device_assetType],"",0,1)</f>
        <v>Server</v>
      </c>
      <c r="S26"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6" s="211" t="str">
        <f>_xlfn.XLOOKUP(tblEvntScope[[#This Row],[Hostname]],tblTM[common_assetName],tblTM[device_custom26],"",0,1)</f>
        <v>No</v>
      </c>
      <c r="U26" s="221">
        <f>_xlfn.XLOOKUP(tblEvntScope[[#This Row],[Hostname]],tblTM[common_assetName],tblTM[device_custom29],"",0,1)</f>
        <v>0</v>
      </c>
      <c r="V26" s="221"/>
      <c r="W26" s="221"/>
      <c r="X26"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6" s="223">
        <f>_xlfn.XLOOKUP(tblEvntScope[[#This Row],[Hostname]],tblTM[common_assetName],tblTM[device_custom17],"",0,1)</f>
        <v>0</v>
      </c>
      <c r="Z26" s="223">
        <f>IFERROR(IF(tblEvntScope[[#This Row],[Target IPs ]]="","",_xlfn.XLOOKUP(tblEvntScope[[#This Row],[Hostname]],tblTM[common_assetName],tblTM[device_custom14],"",0,1)),"")</f>
        <v>0</v>
      </c>
      <c r="AA26" s="223">
        <f>IFERROR(IF(tblEvntScope[[#This Row],[Target IPs ]]="","",_xlfn.XLOOKUP(tblEvntScope[[#This Row],[Hostname]],tblTM[common_assetName],tblTM[device_custom12],"",0,1)),"")</f>
        <v>0</v>
      </c>
      <c r="AB26" s="224">
        <f>IFERROR(_xlfn.XLOOKUP(tblEvntScope[[#This Row],[Hostname]],tblTM[common_assetName],tblTM[device_custom64],"",0)+_xlfn.XLOOKUP(tblEvntScope[[#This Row],[Hostname]],tblTM[common_assetName],tblTM[device_size],"",0),"")</f>
        <v>1489.809307</v>
      </c>
      <c r="AC26" s="225"/>
      <c r="AD26" s="226">
        <v>672014</v>
      </c>
      <c r="AE26" s="223" t="str">
        <f>CONCATENATE(tblEvntScope[[#This Row],[Application Name]],tblEvntScope[[#This Row],[Hostname]])</f>
        <v>Kafka-Testdc04tlpkaf437</v>
      </c>
    </row>
    <row r="27" spans="1:31" ht="15.5" thickTop="1" thickBot="1" x14ac:dyDescent="0.4">
      <c r="A27" s="217" t="str">
        <f>SUBSTITUTE(_xlfn.XLOOKUP(tblEvntScope[[#This Row],[AssetDependencyId]],tblDependencies[AssetDependencyId],tblDependencies[DependentBundle],"",0,1),"AppGroup","ME")</f>
        <v>MEA190</v>
      </c>
      <c r="B27" s="218">
        <f>TMWorkbook!$C$2</f>
        <v>46210</v>
      </c>
      <c r="C27" s="219"/>
      <c r="D27" s="199" t="str">
        <f>_xlfn.XLOOKUP(tblEvntScope[[#This Row],[AssetDependencyId]],tblDependencies[AssetDependencyId],tblDependencies[AssetName],"",0,1)</f>
        <v>Kafka-Test</v>
      </c>
      <c r="E27" s="199" t="str">
        <f>_xlfn.XLOOKUP(tblEvntScope[[#This Row],[Application Name]],tblApplications[common_assetName],tblApplications[application_appOwner],"",0,1)</f>
        <v>Srihari Koduri</v>
      </c>
      <c r="F27" s="199" t="str">
        <f>_xlfn.XLOOKUP(tblEvntScope[[#This Row],[Application Name]],tblApplications[common_assetName],tblApplications[application_custom6],"",0,1)</f>
        <v>Koduri, Srihari</v>
      </c>
      <c r="G27" s="198">
        <f>_xlfn.XLOOKUP(tblEvntScope[[#This Row],[Application Name]],tblApplications[common_assetName],tblApplications[application_sme2],"",0,1)</f>
        <v>0</v>
      </c>
      <c r="H27" s="199" t="str">
        <f>LOWER(_xlfn.XLOOKUP(tblEvntScope[[#This Row],[Application Name]],tblApplications[common_assetName],tblApplications[application_custom23],"",0,1))</f>
        <v>dl-kafka-support@anthem.com</v>
      </c>
      <c r="I27" s="198" t="str">
        <f>_xlfn.XLOOKUP(tblEvntScope[[#This Row],[AssetDependencyId]],tblDependencies[AssetDependencyId],tblDependencies[DependentName],"",0,1)</f>
        <v>dc04tlpkaf438</v>
      </c>
      <c r="J27" s="199" t="str">
        <f>TEXT(_xlfn.XLOOKUP(tblEvntScope[[#This Row],[Hostname]],tblPMView[Hostname],tblPMView[Scope],"",0,1),"")</f>
        <v/>
      </c>
      <c r="K27" s="199" t="str">
        <f>_xlfn.XLOOKUP(tblEvntScope[[#This Row],[Hostname]],tblTM[common_assetName],tblTM[device_ipAddress],"",0,1)</f>
        <v>10.152.28.130</v>
      </c>
      <c r="L27" s="199" t="str">
        <f>_xlfn.LET(_xlpm.loc,LEFT(tblEvntScope[[#This Row],[Hostname]],4),IF(LEFT(LOWER(_xlpm.loc),3)="vaa","Richmond",_xlfn.XLOOKUP(_xlpm.loc,tblLocationCodes[LocAbbr],tblLocationCodes[Location],"",0,1)))</f>
        <v>Ashburn</v>
      </c>
      <c r="M27" s="198"/>
      <c r="N27" s="198"/>
      <c r="O27" s="199">
        <f>_xlfn.XLOOKUP(tblEvntScope[[#This Row],[Hostname]],tblTM[common_assetName],tblTM[device_custom35],"",0,1)</f>
        <v>0</v>
      </c>
      <c r="P27" s="199" t="str">
        <f>IF(tblEvntScope[[#This Row],[Device Type]]="Server",_xlfn.XLOOKUP(tblEvntScope[[#This Row],[Hostname]],tblTM[common_assetName],tblTM[device_custom60],"",0,1),"")</f>
        <v>P2P</v>
      </c>
      <c r="Q27" s="220" t="str">
        <f>_xlfn.XLOOKUP(tblEvntScope[[#This Row],[Hostname]],tblTM[common_assetName],tblTM[common_environment],"",0,1)</f>
        <v>Test</v>
      </c>
      <c r="R27" s="199" t="str">
        <f>_xlfn.XLOOKUP(tblEvntScope[[#This Row],[Hostname]],tblTM[common_assetName],tblTM[device_assetType],"",0,1)</f>
        <v>Server</v>
      </c>
      <c r="S27"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7" s="211" t="str">
        <f>_xlfn.XLOOKUP(tblEvntScope[[#This Row],[Hostname]],tblTM[common_assetName],tblTM[device_custom26],"",0,1)</f>
        <v>No</v>
      </c>
      <c r="U27" s="221">
        <f>_xlfn.XLOOKUP(tblEvntScope[[#This Row],[Hostname]],tblTM[common_assetName],tblTM[device_custom29],"",0,1)</f>
        <v>0</v>
      </c>
      <c r="V27" s="221"/>
      <c r="W27" s="221"/>
      <c r="X27"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7" s="223">
        <f>_xlfn.XLOOKUP(tblEvntScope[[#This Row],[Hostname]],tblTM[common_assetName],tblTM[device_custom17],"",0,1)</f>
        <v>0</v>
      </c>
      <c r="Z27" s="223">
        <f>IFERROR(IF(tblEvntScope[[#This Row],[Target IPs ]]="","",_xlfn.XLOOKUP(tblEvntScope[[#This Row],[Hostname]],tblTM[common_assetName],tblTM[device_custom14],"",0,1)),"")</f>
        <v>0</v>
      </c>
      <c r="AA27" s="223">
        <f>IFERROR(IF(tblEvntScope[[#This Row],[Target IPs ]]="","",_xlfn.XLOOKUP(tblEvntScope[[#This Row],[Hostname]],tblTM[common_assetName],tblTM[device_custom12],"",0,1)),"")</f>
        <v>0</v>
      </c>
      <c r="AB27" s="224">
        <f>IFERROR(_xlfn.XLOOKUP(tblEvntScope[[#This Row],[Hostname]],tblTM[common_assetName],tblTM[device_custom64],"",0)+_xlfn.XLOOKUP(tblEvntScope[[#This Row],[Hostname]],tblTM[common_assetName],tblTM[device_size],"",0),"")</f>
        <v>1487.809307</v>
      </c>
      <c r="AC27" s="225"/>
      <c r="AD27" s="226">
        <v>672013</v>
      </c>
      <c r="AE27" s="223" t="str">
        <f>CONCATENATE(tblEvntScope[[#This Row],[Application Name]],tblEvntScope[[#This Row],[Hostname]])</f>
        <v>Kafka-Testdc04tlpkaf438</v>
      </c>
    </row>
    <row r="28" spans="1:31" ht="15.5" thickTop="1" thickBot="1" x14ac:dyDescent="0.4">
      <c r="A28" s="217" t="str">
        <f>SUBSTITUTE(_xlfn.XLOOKUP(tblEvntScope[[#This Row],[AssetDependencyId]],tblDependencies[AssetDependencyId],tblDependencies[DependentBundle],"",0,1),"AppGroup","ME")</f>
        <v>MEA190</v>
      </c>
      <c r="B28" s="218">
        <f>TMWorkbook!$C$2</f>
        <v>46210</v>
      </c>
      <c r="C28" s="219"/>
      <c r="D28" s="199" t="str">
        <f>_xlfn.XLOOKUP(tblEvntScope[[#This Row],[AssetDependencyId]],tblDependencies[AssetDependencyId],tblDependencies[AssetName],"",0,1)</f>
        <v>Kafka-Test</v>
      </c>
      <c r="E28" s="199" t="str">
        <f>_xlfn.XLOOKUP(tblEvntScope[[#This Row],[Application Name]],tblApplications[common_assetName],tblApplications[application_appOwner],"",0,1)</f>
        <v>Srihari Koduri</v>
      </c>
      <c r="F28" s="199" t="str">
        <f>_xlfn.XLOOKUP(tblEvntScope[[#This Row],[Application Name]],tblApplications[common_assetName],tblApplications[application_custom6],"",0,1)</f>
        <v>Koduri, Srihari</v>
      </c>
      <c r="G28" s="198">
        <f>_xlfn.XLOOKUP(tblEvntScope[[#This Row],[Application Name]],tblApplications[common_assetName],tblApplications[application_sme2],"",0,1)</f>
        <v>0</v>
      </c>
      <c r="H28" s="199" t="str">
        <f>LOWER(_xlfn.XLOOKUP(tblEvntScope[[#This Row],[Application Name]],tblApplications[common_assetName],tblApplications[application_custom23],"",0,1))</f>
        <v>dl-kafka-support@anthem.com</v>
      </c>
      <c r="I28" s="198" t="str">
        <f>_xlfn.XLOOKUP(tblEvntScope[[#This Row],[AssetDependencyId]],tblDependencies[AssetDependencyId],tblDependencies[DependentName],"",0,1)</f>
        <v>dc04tlpkaf446</v>
      </c>
      <c r="J28" s="199" t="str">
        <f>TEXT(_xlfn.XLOOKUP(tblEvntScope[[#This Row],[Hostname]],tblPMView[Hostname],tblPMView[Scope],"",0,1),"")</f>
        <v/>
      </c>
      <c r="K28" s="199" t="str">
        <f>_xlfn.XLOOKUP(tblEvntScope[[#This Row],[Hostname]],tblTM[common_assetName],tblTM[device_ipAddress],"",0,1)</f>
        <v>10.152.28.138</v>
      </c>
      <c r="L28" s="199" t="str">
        <f>_xlfn.LET(_xlpm.loc,LEFT(tblEvntScope[[#This Row],[Hostname]],4),IF(LEFT(LOWER(_xlpm.loc),3)="vaa","Richmond",_xlfn.XLOOKUP(_xlpm.loc,tblLocationCodes[LocAbbr],tblLocationCodes[Location],"",0,1)))</f>
        <v>Ashburn</v>
      </c>
      <c r="M28" s="198"/>
      <c r="N28" s="198"/>
      <c r="O28" s="199">
        <f>_xlfn.XLOOKUP(tblEvntScope[[#This Row],[Hostname]],tblTM[common_assetName],tblTM[device_custom35],"",0,1)</f>
        <v>0</v>
      </c>
      <c r="P28" s="199" t="str">
        <f>IF(tblEvntScope[[#This Row],[Device Type]]="Server",_xlfn.XLOOKUP(tblEvntScope[[#This Row],[Hostname]],tblTM[common_assetName],tblTM[device_custom60],"",0,1),"")</f>
        <v>P2P</v>
      </c>
      <c r="Q28" s="220" t="str">
        <f>_xlfn.XLOOKUP(tblEvntScope[[#This Row],[Hostname]],tblTM[common_assetName],tblTM[common_environment],"",0,1)</f>
        <v>Test</v>
      </c>
      <c r="R28" s="199" t="str">
        <f>_xlfn.XLOOKUP(tblEvntScope[[#This Row],[Hostname]],tblTM[common_assetName],tblTM[device_assetType],"",0,1)</f>
        <v>Server</v>
      </c>
      <c r="S28"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8" s="211" t="str">
        <f>_xlfn.XLOOKUP(tblEvntScope[[#This Row],[Hostname]],tblTM[common_assetName],tblTM[device_custom26],"",0,1)</f>
        <v>No</v>
      </c>
      <c r="U28" s="221">
        <f>_xlfn.XLOOKUP(tblEvntScope[[#This Row],[Hostname]],tblTM[common_assetName],tblTM[device_custom29],"",0,1)</f>
        <v>0</v>
      </c>
      <c r="V28" s="221"/>
      <c r="W28" s="221"/>
      <c r="X28"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8" s="223">
        <f>_xlfn.XLOOKUP(tblEvntScope[[#This Row],[Hostname]],tblTM[common_assetName],tblTM[device_custom17],"",0,1)</f>
        <v>0</v>
      </c>
      <c r="Z28" s="223">
        <f>IFERROR(IF(tblEvntScope[[#This Row],[Target IPs ]]="","",_xlfn.XLOOKUP(tblEvntScope[[#This Row],[Hostname]],tblTM[common_assetName],tblTM[device_custom14],"",0,1)),"")</f>
        <v>0</v>
      </c>
      <c r="AA28" s="223">
        <f>IFERROR(IF(tblEvntScope[[#This Row],[Target IPs ]]="","",_xlfn.XLOOKUP(tblEvntScope[[#This Row],[Hostname]],tblTM[common_assetName],tblTM[device_custom12],"",0,1)),"")</f>
        <v>0</v>
      </c>
      <c r="AB28" s="224">
        <f>IFERROR(_xlfn.XLOOKUP(tblEvntScope[[#This Row],[Hostname]],tblTM[common_assetName],tblTM[device_custom64],"",0)+_xlfn.XLOOKUP(tblEvntScope[[#This Row],[Hostname]],tblTM[common_assetName],tblTM[device_size],"",0),"")</f>
        <v>1487.809307</v>
      </c>
      <c r="AC28" s="225"/>
      <c r="AD28" s="226">
        <v>672005</v>
      </c>
      <c r="AE28" s="223" t="str">
        <f>CONCATENATE(tblEvntScope[[#This Row],[Application Name]],tblEvntScope[[#This Row],[Hostname]])</f>
        <v>Kafka-Testdc04tlpkaf446</v>
      </c>
    </row>
    <row r="29" spans="1:31" ht="15.5" thickTop="1" thickBot="1" x14ac:dyDescent="0.4">
      <c r="A29" s="217" t="str">
        <f>SUBSTITUTE(_xlfn.XLOOKUP(tblEvntScope[[#This Row],[AssetDependencyId]],tblDependencies[AssetDependencyId],tblDependencies[DependentBundle],"",0,1),"AppGroup","ME")</f>
        <v>MEA190</v>
      </c>
      <c r="B29" s="218">
        <f>TMWorkbook!$C$2</f>
        <v>46210</v>
      </c>
      <c r="C29" s="219"/>
      <c r="D29" s="199" t="str">
        <f>_xlfn.XLOOKUP(tblEvntScope[[#This Row],[AssetDependencyId]],tblDependencies[AssetDependencyId],tblDependencies[AssetName],"",0,1)</f>
        <v>Kafka-Test</v>
      </c>
      <c r="E29" s="199" t="str">
        <f>_xlfn.XLOOKUP(tblEvntScope[[#This Row],[Application Name]],tblApplications[common_assetName],tblApplications[application_appOwner],"",0,1)</f>
        <v>Srihari Koduri</v>
      </c>
      <c r="F29" s="199" t="str">
        <f>_xlfn.XLOOKUP(tblEvntScope[[#This Row],[Application Name]],tblApplications[common_assetName],tblApplications[application_custom6],"",0,1)</f>
        <v>Koduri, Srihari</v>
      </c>
      <c r="G29" s="198">
        <f>_xlfn.XLOOKUP(tblEvntScope[[#This Row],[Application Name]],tblApplications[common_assetName],tblApplications[application_sme2],"",0,1)</f>
        <v>0</v>
      </c>
      <c r="H29" s="199" t="str">
        <f>LOWER(_xlfn.XLOOKUP(tblEvntScope[[#This Row],[Application Name]],tblApplications[common_assetName],tblApplications[application_custom23],"",0,1))</f>
        <v>dl-kafka-support@anthem.com</v>
      </c>
      <c r="I29" s="198" t="str">
        <f>_xlfn.XLOOKUP(tblEvntScope[[#This Row],[AssetDependencyId]],tblDependencies[AssetDependencyId],tblDependencies[DependentName],"",0,1)</f>
        <v>dc04tlpkaf447</v>
      </c>
      <c r="J29" s="199" t="str">
        <f>TEXT(_xlfn.XLOOKUP(tblEvntScope[[#This Row],[Hostname]],tblPMView[Hostname],tblPMView[Scope],"",0,1),"")</f>
        <v/>
      </c>
      <c r="K29" s="199" t="str">
        <f>_xlfn.XLOOKUP(tblEvntScope[[#This Row],[Hostname]],tblTM[common_assetName],tblTM[device_ipAddress],"",0,1)</f>
        <v>10.152.28.139</v>
      </c>
      <c r="L29" s="199" t="str">
        <f>_xlfn.LET(_xlpm.loc,LEFT(tblEvntScope[[#This Row],[Hostname]],4),IF(LEFT(LOWER(_xlpm.loc),3)="vaa","Richmond",_xlfn.XLOOKUP(_xlpm.loc,tblLocationCodes[LocAbbr],tblLocationCodes[Location],"",0,1)))</f>
        <v>Ashburn</v>
      </c>
      <c r="M29" s="198"/>
      <c r="N29" s="198"/>
      <c r="O29" s="199">
        <f>_xlfn.XLOOKUP(tblEvntScope[[#This Row],[Hostname]],tblTM[common_assetName],tblTM[device_custom35],"",0,1)</f>
        <v>0</v>
      </c>
      <c r="P29" s="199" t="str">
        <f>IF(tblEvntScope[[#This Row],[Device Type]]="Server",_xlfn.XLOOKUP(tblEvntScope[[#This Row],[Hostname]],tblTM[common_assetName],tblTM[device_custom60],"",0,1),"")</f>
        <v>P2P</v>
      </c>
      <c r="Q29" s="220" t="str">
        <f>_xlfn.XLOOKUP(tblEvntScope[[#This Row],[Hostname]],tblTM[common_assetName],tblTM[common_environment],"",0,1)</f>
        <v>Test</v>
      </c>
      <c r="R29" s="199" t="str">
        <f>_xlfn.XLOOKUP(tblEvntScope[[#This Row],[Hostname]],tblTM[common_assetName],tblTM[device_assetType],"",0,1)</f>
        <v>Server</v>
      </c>
      <c r="S29"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29" s="211" t="str">
        <f>_xlfn.XLOOKUP(tblEvntScope[[#This Row],[Hostname]],tblTM[common_assetName],tblTM[device_custom26],"",0,1)</f>
        <v>No</v>
      </c>
      <c r="U29" s="221">
        <f>_xlfn.XLOOKUP(tblEvntScope[[#This Row],[Hostname]],tblTM[common_assetName],tblTM[device_custom29],"",0,1)</f>
        <v>0</v>
      </c>
      <c r="V29" s="221"/>
      <c r="W29" s="221"/>
      <c r="X29"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29" s="223">
        <f>_xlfn.XLOOKUP(tblEvntScope[[#This Row],[Hostname]],tblTM[common_assetName],tblTM[device_custom17],"",0,1)</f>
        <v>0</v>
      </c>
      <c r="Z29" s="223">
        <f>IFERROR(IF(tblEvntScope[[#This Row],[Target IPs ]]="","",_xlfn.XLOOKUP(tblEvntScope[[#This Row],[Hostname]],tblTM[common_assetName],tblTM[device_custom14],"",0,1)),"")</f>
        <v>0</v>
      </c>
      <c r="AA29" s="223">
        <f>IFERROR(IF(tblEvntScope[[#This Row],[Target IPs ]]="","",_xlfn.XLOOKUP(tblEvntScope[[#This Row],[Hostname]],tblTM[common_assetName],tblTM[device_custom12],"",0,1)),"")</f>
        <v>0</v>
      </c>
      <c r="AB29" s="224">
        <f>IFERROR(_xlfn.XLOOKUP(tblEvntScope[[#This Row],[Hostname]],tblTM[common_assetName],tblTM[device_custom64],"",0)+_xlfn.XLOOKUP(tblEvntScope[[#This Row],[Hostname]],tblTM[common_assetName],tblTM[device_size],"",0),"")</f>
        <v>1489.809307</v>
      </c>
      <c r="AC29" s="225"/>
      <c r="AD29" s="226">
        <v>672004</v>
      </c>
      <c r="AE29" s="223" t="str">
        <f>CONCATENATE(tblEvntScope[[#This Row],[Application Name]],tblEvntScope[[#This Row],[Hostname]])</f>
        <v>Kafka-Testdc04tlpkaf447</v>
      </c>
    </row>
    <row r="30" spans="1:31" ht="15.5" thickTop="1" thickBot="1" x14ac:dyDescent="0.4">
      <c r="A30" s="217" t="str">
        <f>SUBSTITUTE(_xlfn.XLOOKUP(tblEvntScope[[#This Row],[AssetDependencyId]],tblDependencies[AssetDependencyId],tblDependencies[DependentBundle],"",0,1),"AppGroup","ME")</f>
        <v>MEA190</v>
      </c>
      <c r="B30" s="218">
        <f>TMWorkbook!$C$2</f>
        <v>46210</v>
      </c>
      <c r="C30" s="219"/>
      <c r="D30" s="199" t="str">
        <f>_xlfn.XLOOKUP(tblEvntScope[[#This Row],[AssetDependencyId]],tblDependencies[AssetDependencyId],tblDependencies[AssetName],"",0,1)</f>
        <v>Kafka-Test</v>
      </c>
      <c r="E30" s="199" t="str">
        <f>_xlfn.XLOOKUP(tblEvntScope[[#This Row],[Application Name]],tblApplications[common_assetName],tblApplications[application_appOwner],"",0,1)</f>
        <v>Srihari Koduri</v>
      </c>
      <c r="F30" s="199" t="str">
        <f>_xlfn.XLOOKUP(tblEvntScope[[#This Row],[Application Name]],tblApplications[common_assetName],tblApplications[application_custom6],"",0,1)</f>
        <v>Koduri, Srihari</v>
      </c>
      <c r="G30" s="198">
        <f>_xlfn.XLOOKUP(tblEvntScope[[#This Row],[Application Name]],tblApplications[common_assetName],tblApplications[application_sme2],"",0,1)</f>
        <v>0</v>
      </c>
      <c r="H30" s="199" t="str">
        <f>LOWER(_xlfn.XLOOKUP(tblEvntScope[[#This Row],[Application Name]],tblApplications[common_assetName],tblApplications[application_custom23],"",0,1))</f>
        <v>dl-kafka-support@anthem.com</v>
      </c>
      <c r="I30" s="198" t="str">
        <f>_xlfn.XLOOKUP(tblEvntScope[[#This Row],[AssetDependencyId]],tblDependencies[AssetDependencyId],tblDependencies[DependentName],"",0,1)</f>
        <v>dc04tlpkaf448</v>
      </c>
      <c r="J30" s="199" t="str">
        <f>TEXT(_xlfn.XLOOKUP(tblEvntScope[[#This Row],[Hostname]],tblPMView[Hostname],tblPMView[Scope],"",0,1),"")</f>
        <v/>
      </c>
      <c r="K30" s="199" t="str">
        <f>_xlfn.XLOOKUP(tblEvntScope[[#This Row],[Hostname]],tblTM[common_assetName],tblTM[device_ipAddress],"",0,1)</f>
        <v>10.152.28.140</v>
      </c>
      <c r="L30" s="199" t="str">
        <f>_xlfn.LET(_xlpm.loc,LEFT(tblEvntScope[[#This Row],[Hostname]],4),IF(LEFT(LOWER(_xlpm.loc),3)="vaa","Richmond",_xlfn.XLOOKUP(_xlpm.loc,tblLocationCodes[LocAbbr],tblLocationCodes[Location],"",0,1)))</f>
        <v>Ashburn</v>
      </c>
      <c r="M30" s="198"/>
      <c r="N30" s="198"/>
      <c r="O30" s="199">
        <f>_xlfn.XLOOKUP(tblEvntScope[[#This Row],[Hostname]],tblTM[common_assetName],tblTM[device_custom35],"",0,1)</f>
        <v>0</v>
      </c>
      <c r="P30" s="199" t="str">
        <f>IF(tblEvntScope[[#This Row],[Device Type]]="Server",_xlfn.XLOOKUP(tblEvntScope[[#This Row],[Hostname]],tblTM[common_assetName],tblTM[device_custom60],"",0,1),"")</f>
        <v>P2P</v>
      </c>
      <c r="Q30" s="220" t="str">
        <f>_xlfn.XLOOKUP(tblEvntScope[[#This Row],[Hostname]],tblTM[common_assetName],tblTM[common_environment],"",0,1)</f>
        <v>Test</v>
      </c>
      <c r="R30" s="199" t="str">
        <f>_xlfn.XLOOKUP(tblEvntScope[[#This Row],[Hostname]],tblTM[common_assetName],tblTM[device_assetType],"",0,1)</f>
        <v>Server</v>
      </c>
      <c r="S30"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30" s="211" t="str">
        <f>_xlfn.XLOOKUP(tblEvntScope[[#This Row],[Hostname]],tblTM[common_assetName],tblTM[device_custom26],"",0,1)</f>
        <v>No</v>
      </c>
      <c r="U30" s="221">
        <f>_xlfn.XLOOKUP(tblEvntScope[[#This Row],[Hostname]],tblTM[common_assetName],tblTM[device_custom29],"",0,1)</f>
        <v>0</v>
      </c>
      <c r="V30" s="221"/>
      <c r="W30" s="221"/>
      <c r="X30"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30" s="223">
        <f>_xlfn.XLOOKUP(tblEvntScope[[#This Row],[Hostname]],tblTM[common_assetName],tblTM[device_custom17],"",0,1)</f>
        <v>0</v>
      </c>
      <c r="Z30" s="223">
        <f>IFERROR(IF(tblEvntScope[[#This Row],[Target IPs ]]="","",_xlfn.XLOOKUP(tblEvntScope[[#This Row],[Hostname]],tblTM[common_assetName],tblTM[device_custom14],"",0,1)),"")</f>
        <v>0</v>
      </c>
      <c r="AA30" s="223">
        <f>IFERROR(IF(tblEvntScope[[#This Row],[Target IPs ]]="","",_xlfn.XLOOKUP(tblEvntScope[[#This Row],[Hostname]],tblTM[common_assetName],tblTM[device_custom12],"",0,1)),"")</f>
        <v>0</v>
      </c>
      <c r="AB30" s="224">
        <f>IFERROR(_xlfn.XLOOKUP(tblEvntScope[[#This Row],[Hostname]],tblTM[common_assetName],tblTM[device_custom64],"",0)+_xlfn.XLOOKUP(tblEvntScope[[#This Row],[Hostname]],tblTM[common_assetName],tblTM[device_size],"",0),"")</f>
        <v>1487.809307</v>
      </c>
      <c r="AC30" s="225"/>
      <c r="AD30" s="226">
        <v>672003</v>
      </c>
      <c r="AE30" s="223" t="str">
        <f>CONCATENATE(tblEvntScope[[#This Row],[Application Name]],tblEvntScope[[#This Row],[Hostname]])</f>
        <v>Kafka-Testdc04tlpkaf448</v>
      </c>
    </row>
    <row r="31" spans="1:31" ht="15.5" thickTop="1" thickBot="1" x14ac:dyDescent="0.4">
      <c r="A31" s="217" t="str">
        <f>SUBSTITUTE(_xlfn.XLOOKUP(tblEvntScope[[#This Row],[AssetDependencyId]],tblDependencies[AssetDependencyId],tblDependencies[DependentBundle],"",0,1),"AppGroup","ME")</f>
        <v>MEA190</v>
      </c>
      <c r="B31" s="218">
        <f>TMWorkbook!$C$2</f>
        <v>46210</v>
      </c>
      <c r="C31" s="219"/>
      <c r="D31" s="199" t="str">
        <f>_xlfn.XLOOKUP(tblEvntScope[[#This Row],[AssetDependencyId]],tblDependencies[AssetDependencyId],tblDependencies[AssetName],"",0,1)</f>
        <v>Kafka-Test</v>
      </c>
      <c r="E31" s="199" t="str">
        <f>_xlfn.XLOOKUP(tblEvntScope[[#This Row],[Application Name]],tblApplications[common_assetName],tblApplications[application_appOwner],"",0,1)</f>
        <v>Srihari Koduri</v>
      </c>
      <c r="F31" s="199" t="str">
        <f>_xlfn.XLOOKUP(tblEvntScope[[#This Row],[Application Name]],tblApplications[common_assetName],tblApplications[application_custom6],"",0,1)</f>
        <v>Koduri, Srihari</v>
      </c>
      <c r="G31" s="198">
        <f>_xlfn.XLOOKUP(tblEvntScope[[#This Row],[Application Name]],tblApplications[common_assetName],tblApplications[application_sme2],"",0,1)</f>
        <v>0</v>
      </c>
      <c r="H31" s="199" t="str">
        <f>LOWER(_xlfn.XLOOKUP(tblEvntScope[[#This Row],[Application Name]],tblApplications[common_assetName],tblApplications[application_custom23],"",0,1))</f>
        <v>dl-kafka-support@anthem.com</v>
      </c>
      <c r="I31" s="198" t="str">
        <f>_xlfn.XLOOKUP(tblEvntScope[[#This Row],[AssetDependencyId]],tblDependencies[AssetDependencyId],tblDependencies[DependentName],"",0,1)</f>
        <v>dc04tlpkaf449</v>
      </c>
      <c r="J31" s="199" t="str">
        <f>TEXT(_xlfn.XLOOKUP(tblEvntScope[[#This Row],[Hostname]],tblPMView[Hostname],tblPMView[Scope],"",0,1),"")</f>
        <v/>
      </c>
      <c r="K31" s="199" t="str">
        <f>_xlfn.XLOOKUP(tblEvntScope[[#This Row],[Hostname]],tblTM[common_assetName],tblTM[device_ipAddress],"",0,1)</f>
        <v>10.152.28.141</v>
      </c>
      <c r="L31" s="199" t="str">
        <f>_xlfn.LET(_xlpm.loc,LEFT(tblEvntScope[[#This Row],[Hostname]],4),IF(LEFT(LOWER(_xlpm.loc),3)="vaa","Richmond",_xlfn.XLOOKUP(_xlpm.loc,tblLocationCodes[LocAbbr],tblLocationCodes[Location],"",0,1)))</f>
        <v>Ashburn</v>
      </c>
      <c r="M31" s="198"/>
      <c r="N31" s="198"/>
      <c r="O31" s="199">
        <f>_xlfn.XLOOKUP(tblEvntScope[[#This Row],[Hostname]],tblTM[common_assetName],tblTM[device_custom35],"",0,1)</f>
        <v>0</v>
      </c>
      <c r="P31" s="199" t="str">
        <f>IF(tblEvntScope[[#This Row],[Device Type]]="Server",_xlfn.XLOOKUP(tblEvntScope[[#This Row],[Hostname]],tblTM[common_assetName],tblTM[device_custom60],"",0,1),"")</f>
        <v>P2P</v>
      </c>
      <c r="Q31" s="220" t="str">
        <f>_xlfn.XLOOKUP(tblEvntScope[[#This Row],[Hostname]],tblTM[common_assetName],tblTM[common_environment],"",0,1)</f>
        <v>Test</v>
      </c>
      <c r="R31" s="199" t="str">
        <f>_xlfn.XLOOKUP(tblEvntScope[[#This Row],[Hostname]],tblTM[common_assetName],tblTM[device_assetType],"",0,1)</f>
        <v>Server</v>
      </c>
      <c r="S31"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31" s="211" t="str">
        <f>_xlfn.XLOOKUP(tblEvntScope[[#This Row],[Hostname]],tblTM[common_assetName],tblTM[device_custom26],"",0,1)</f>
        <v>No</v>
      </c>
      <c r="U31" s="221">
        <f>_xlfn.XLOOKUP(tblEvntScope[[#This Row],[Hostname]],tblTM[common_assetName],tblTM[device_custom29],"",0,1)</f>
        <v>0</v>
      </c>
      <c r="V31" s="221"/>
      <c r="W31" s="221"/>
      <c r="X31"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31" s="223">
        <f>_xlfn.XLOOKUP(tblEvntScope[[#This Row],[Hostname]],tblTM[common_assetName],tblTM[device_custom17],"",0,1)</f>
        <v>0</v>
      </c>
      <c r="Z31" s="223">
        <f>IFERROR(IF(tblEvntScope[[#This Row],[Target IPs ]]="","",_xlfn.XLOOKUP(tblEvntScope[[#This Row],[Hostname]],tblTM[common_assetName],tblTM[device_custom14],"",0,1)),"")</f>
        <v>0</v>
      </c>
      <c r="AA31" s="223">
        <f>IFERROR(IF(tblEvntScope[[#This Row],[Target IPs ]]="","",_xlfn.XLOOKUP(tblEvntScope[[#This Row],[Hostname]],tblTM[common_assetName],tblTM[device_custom12],"",0,1)),"")</f>
        <v>0</v>
      </c>
      <c r="AB31" s="224">
        <f>IFERROR(_xlfn.XLOOKUP(tblEvntScope[[#This Row],[Hostname]],tblTM[common_assetName],tblTM[device_custom64],"",0)+_xlfn.XLOOKUP(tblEvntScope[[#This Row],[Hostname]],tblTM[common_assetName],tblTM[device_size],"",0),"")</f>
        <v>1489.809307</v>
      </c>
      <c r="AC31" s="225"/>
      <c r="AD31" s="226">
        <v>672002</v>
      </c>
      <c r="AE31" s="223" t="str">
        <f>CONCATENATE(tblEvntScope[[#This Row],[Application Name]],tblEvntScope[[#This Row],[Hostname]])</f>
        <v>Kafka-Testdc04tlpkaf449</v>
      </c>
    </row>
    <row r="32" spans="1:31" ht="15.5" thickTop="1" thickBot="1" x14ac:dyDescent="0.4">
      <c r="A32" s="217" t="str">
        <f>SUBSTITUTE(_xlfn.XLOOKUP(tblEvntScope[[#This Row],[AssetDependencyId]],tblDependencies[AssetDependencyId],tblDependencies[DependentBundle],"",0,1),"AppGroup","ME")</f>
        <v>MEA190</v>
      </c>
      <c r="B32" s="218">
        <f>TMWorkbook!$C$2</f>
        <v>46210</v>
      </c>
      <c r="C32" s="219"/>
      <c r="D32" s="199" t="str">
        <f>_xlfn.XLOOKUP(tblEvntScope[[#This Row],[AssetDependencyId]],tblDependencies[AssetDependencyId],tblDependencies[AssetName],"",0,1)</f>
        <v>Kafka-Test</v>
      </c>
      <c r="E32" s="199" t="str">
        <f>_xlfn.XLOOKUP(tblEvntScope[[#This Row],[Application Name]],tblApplications[common_assetName],tblApplications[application_appOwner],"",0,1)</f>
        <v>Srihari Koduri</v>
      </c>
      <c r="F32" s="199" t="str">
        <f>_xlfn.XLOOKUP(tblEvntScope[[#This Row],[Application Name]],tblApplications[common_assetName],tblApplications[application_custom6],"",0,1)</f>
        <v>Koduri, Srihari</v>
      </c>
      <c r="G32" s="198">
        <f>_xlfn.XLOOKUP(tblEvntScope[[#This Row],[Application Name]],tblApplications[common_assetName],tblApplications[application_sme2],"",0,1)</f>
        <v>0</v>
      </c>
      <c r="H32" s="199" t="str">
        <f>LOWER(_xlfn.XLOOKUP(tblEvntScope[[#This Row],[Application Name]],tblApplications[common_assetName],tblApplications[application_custom23],"",0,1))</f>
        <v>dl-kafka-support@anthem.com</v>
      </c>
      <c r="I32" s="198" t="str">
        <f>_xlfn.XLOOKUP(tblEvntScope[[#This Row],[AssetDependencyId]],tblDependencies[AssetDependencyId],tblDependencies[DependentName],"",0,1)</f>
        <v>dc04tlpkaf450</v>
      </c>
      <c r="J32" s="199" t="str">
        <f>TEXT(_xlfn.XLOOKUP(tblEvntScope[[#This Row],[Hostname]],tblPMView[Hostname],tblPMView[Scope],"",0,1),"")</f>
        <v/>
      </c>
      <c r="K32" s="199" t="str">
        <f>_xlfn.XLOOKUP(tblEvntScope[[#This Row],[Hostname]],tblTM[common_assetName],tblTM[device_ipAddress],"",0,1)</f>
        <v>10.152.28.142</v>
      </c>
      <c r="L32" s="199" t="str">
        <f>_xlfn.LET(_xlpm.loc,LEFT(tblEvntScope[[#This Row],[Hostname]],4),IF(LEFT(LOWER(_xlpm.loc),3)="vaa","Richmond",_xlfn.XLOOKUP(_xlpm.loc,tblLocationCodes[LocAbbr],tblLocationCodes[Location],"",0,1)))</f>
        <v>Ashburn</v>
      </c>
      <c r="M32" s="198"/>
      <c r="N32" s="198"/>
      <c r="O32" s="199">
        <f>_xlfn.XLOOKUP(tblEvntScope[[#This Row],[Hostname]],tblTM[common_assetName],tblTM[device_custom35],"",0,1)</f>
        <v>0</v>
      </c>
      <c r="P32" s="199" t="str">
        <f>IF(tblEvntScope[[#This Row],[Device Type]]="Server",_xlfn.XLOOKUP(tblEvntScope[[#This Row],[Hostname]],tblTM[common_assetName],tblTM[device_custom60],"",0,1),"")</f>
        <v>P2P</v>
      </c>
      <c r="Q32" s="220" t="str">
        <f>_xlfn.XLOOKUP(tblEvntScope[[#This Row],[Hostname]],tblTM[common_assetName],tblTM[common_environment],"",0,1)</f>
        <v>Test</v>
      </c>
      <c r="R32" s="199" t="str">
        <f>_xlfn.XLOOKUP(tblEvntScope[[#This Row],[Hostname]],tblTM[common_assetName],tblTM[device_assetType],"",0,1)</f>
        <v>Server</v>
      </c>
      <c r="S32"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T32" s="211" t="str">
        <f>_xlfn.XLOOKUP(tblEvntScope[[#This Row],[Hostname]],tblTM[common_assetName],tblTM[device_custom26],"",0,1)</f>
        <v>No</v>
      </c>
      <c r="U32" s="221">
        <f>_xlfn.XLOOKUP(tblEvntScope[[#This Row],[Hostname]],tblTM[common_assetName],tblTM[device_custom29],"",0,1)</f>
        <v>0</v>
      </c>
      <c r="V32" s="221"/>
      <c r="W32" s="221"/>
      <c r="X32"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32" s="223">
        <f>_xlfn.XLOOKUP(tblEvntScope[[#This Row],[Hostname]],tblTM[common_assetName],tblTM[device_custom17],"",0,1)</f>
        <v>0</v>
      </c>
      <c r="Z32" s="223">
        <f>IFERROR(IF(tblEvntScope[[#This Row],[Target IPs ]]="","",_xlfn.XLOOKUP(tblEvntScope[[#This Row],[Hostname]],tblTM[common_assetName],tblTM[device_custom14],"",0,1)),"")</f>
        <v>0</v>
      </c>
      <c r="AA32" s="223">
        <f>IFERROR(IF(tblEvntScope[[#This Row],[Target IPs ]]="","",_xlfn.XLOOKUP(tblEvntScope[[#This Row],[Hostname]],tblTM[common_assetName],tblTM[device_custom12],"",0,1)),"")</f>
        <v>0</v>
      </c>
      <c r="AB32" s="224">
        <f>IFERROR(_xlfn.XLOOKUP(tblEvntScope[[#This Row],[Hostname]],tblTM[common_assetName],tblTM[device_custom64],"",0)+_xlfn.XLOOKUP(tblEvntScope[[#This Row],[Hostname]],tblTM[common_assetName],tblTM[device_size],"",0),"")</f>
        <v>1489.809307</v>
      </c>
      <c r="AC32" s="225"/>
      <c r="AD32" s="226">
        <v>672001</v>
      </c>
      <c r="AE32" s="223" t="str">
        <f>CONCATENATE(tblEvntScope[[#This Row],[Application Name]],tblEvntScope[[#This Row],[Hostname]])</f>
        <v>Kafka-Testdc04tlpkaf450</v>
      </c>
    </row>
    <row r="33" spans="1:31" ht="15.5" thickTop="1" thickBot="1" x14ac:dyDescent="0.4">
      <c r="A33" s="217" t="str">
        <f>SUBSTITUTE(_xlfn.XLOOKUP(tblEvntScope[[#This Row],[AssetDependencyId]],tblDependencies[AssetDependencyId],tblDependencies[DependentBundle],"",0,1),"AppGroup","ME")</f>
        <v>MEA190</v>
      </c>
      <c r="B33" s="218">
        <f>TMWorkbook!$C$2</f>
        <v>46210</v>
      </c>
      <c r="C33" s="219"/>
      <c r="D33" s="199" t="str">
        <f>_xlfn.XLOOKUP(tblEvntScope[[#This Row],[AssetDependencyId]],tblDependencies[AssetDependencyId],tblDependencies[AssetName],"",0,1)</f>
        <v>Legacy Provider Finder-Test</v>
      </c>
      <c r="E33" s="199" t="str">
        <f>_xlfn.XLOOKUP(tblEvntScope[[#This Row],[Application Name]],tblApplications[common_assetName],tblApplications[application_appOwner],"",0,1)</f>
        <v/>
      </c>
      <c r="F33" s="199" t="str">
        <f>_xlfn.XLOOKUP(tblEvntScope[[#This Row],[Application Name]],tblApplications[common_assetName],tblApplications[application_custom6],"",0,1)</f>
        <v/>
      </c>
      <c r="G33" s="198" t="str">
        <f>_xlfn.XLOOKUP(tblEvntScope[[#This Row],[Application Name]],tblApplications[common_assetName],tblApplications[application_sme2],"",0,1)</f>
        <v/>
      </c>
      <c r="H33" s="199" t="str">
        <f>LOWER(_xlfn.XLOOKUP(tblEvntScope[[#This Row],[Application Name]],tblApplications[common_assetName],tblApplications[application_custom23],"",0,1))</f>
        <v/>
      </c>
      <c r="I33" s="198" t="str">
        <f>_xlfn.XLOOKUP(tblEvntScope[[#This Row],[AssetDependencyId]],tblDependencies[AssetDependencyId],tblDependencies[DependentName],"",0,1)</f>
        <v>vaathmr672</v>
      </c>
      <c r="J33" s="199" t="str">
        <f>TEXT(_xlfn.XLOOKUP(tblEvntScope[[#This Row],[Hostname]],tblPMView[Hostname],tblPMView[Scope],"",0,1),"")</f>
        <v/>
      </c>
      <c r="K33" s="199" t="str">
        <f>_xlfn.XLOOKUP(tblEvntScope[[#This Row],[Hostname]],tblTM[common_assetName],tblTM[device_ipAddress],"",0,1)</f>
        <v>30.135.64.125</v>
      </c>
      <c r="L33" s="199" t="str">
        <f>_xlfn.LET(_xlpm.loc,LEFT(tblEvntScope[[#This Row],[Hostname]],4),IF(LEFT(LOWER(_xlpm.loc),3)="vaa","Richmond",_xlfn.XLOOKUP(_xlpm.loc,tblLocationCodes[LocAbbr],tblLocationCodes[Location],"",0,1)))</f>
        <v>Richmond</v>
      </c>
      <c r="M33" s="198"/>
      <c r="N33" s="198"/>
      <c r="O33" s="199" t="str">
        <f>_xlfn.XLOOKUP(tblEvntScope[[#This Row],[Hostname]],tblTM[common_assetName],tblTM[device_custom35],"",0,1)</f>
        <v>WebSphere and MQ server</v>
      </c>
      <c r="P33" s="199" t="str">
        <f>IF(tblEvntScope[[#This Row],[Device Type]]="Server",_xlfn.XLOOKUP(tblEvntScope[[#This Row],[Hostname]],tblTM[common_assetName],tblTM[device_custom60],"",0,1),"")</f>
        <v/>
      </c>
      <c r="Q33" s="220" t="str">
        <f>_xlfn.XLOOKUP(tblEvntScope[[#This Row],[Hostname]],tblTM[common_assetName],tblTM[common_environment],"",0,1)</f>
        <v>Test</v>
      </c>
      <c r="R33" s="199" t="str">
        <f>_xlfn.XLOOKUP(tblEvntScope[[#This Row],[Hostname]],tblTM[common_assetName],tblTM[device_assetType],"",0,1)</f>
        <v>AIX-LPAR</v>
      </c>
      <c r="S33"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33" s="211" t="str">
        <f>_xlfn.XLOOKUP(tblEvntScope[[#This Row],[Hostname]],tblTM[common_assetName],tblTM[device_custom26],"",0,1)</f>
        <v>No</v>
      </c>
      <c r="U33" s="221">
        <f>_xlfn.XLOOKUP(tblEvntScope[[#This Row],[Hostname]],tblTM[common_assetName],tblTM[device_custom29],"",0,1)</f>
        <v>0</v>
      </c>
      <c r="V33" s="221"/>
      <c r="W33" s="221"/>
      <c r="X33"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3" s="223">
        <f>_xlfn.XLOOKUP(tblEvntScope[[#This Row],[Hostname]],tblTM[common_assetName],tblTM[device_custom17],"",0,1)</f>
        <v>0</v>
      </c>
      <c r="Z33" s="223">
        <f>IFERROR(IF(tblEvntScope[[#This Row],[Target IPs ]]="","",_xlfn.XLOOKUP(tblEvntScope[[#This Row],[Hostname]],tblTM[common_assetName],tblTM[device_custom14],"",0,1)),"")</f>
        <v>0</v>
      </c>
      <c r="AA33" s="223">
        <f>IFERROR(IF(tblEvntScope[[#This Row],[Target IPs ]]="","",_xlfn.XLOOKUP(tblEvntScope[[#This Row],[Hostname]],tblTM[common_assetName],tblTM[device_custom12],"",0,1)),"")</f>
        <v>0</v>
      </c>
      <c r="AB33" s="224">
        <f>IFERROR(_xlfn.XLOOKUP(tblEvntScope[[#This Row],[Hostname]],tblTM[common_assetName],tblTM[device_custom64],"",0)+_xlfn.XLOOKUP(tblEvntScope[[#This Row],[Hostname]],tblTM[common_assetName],tblTM[device_size],"",0),"")</f>
        <v>85.5</v>
      </c>
      <c r="AC33" s="225"/>
      <c r="AD33" s="226">
        <v>672249</v>
      </c>
      <c r="AE33" s="223" t="str">
        <f>CONCATENATE(tblEvntScope[[#This Row],[Application Name]],tblEvntScope[[#This Row],[Hostname]])</f>
        <v>Legacy Provider Finder-Testvaathmr672</v>
      </c>
    </row>
    <row r="34" spans="1:31" ht="15.5" thickTop="1" thickBot="1" x14ac:dyDescent="0.4">
      <c r="A34" s="217" t="str">
        <f>SUBSTITUTE(_xlfn.XLOOKUP(tblEvntScope[[#This Row],[AssetDependencyId]],tblDependencies[AssetDependencyId],tblDependencies[DependentBundle],"",0,1),"AppGroup","ME")</f>
        <v>MEA190</v>
      </c>
      <c r="B34" s="218">
        <f>TMWorkbook!$C$2</f>
        <v>46210</v>
      </c>
      <c r="C34" s="219"/>
      <c r="D34" s="199" t="str">
        <f>_xlfn.XLOOKUP(tblEvntScope[[#This Row],[AssetDependencyId]],tblDependencies[AssetDependencyId],tblDependencies[AssetName],"",0,1)</f>
        <v>Provider Care Management Solutions-Test</v>
      </c>
      <c r="E34" s="199" t="str">
        <f>_xlfn.XLOOKUP(tblEvntScope[[#This Row],[Application Name]],tblApplications[common_assetName],tblApplications[application_appOwner],"",0,1)</f>
        <v/>
      </c>
      <c r="F34" s="199" t="str">
        <f>_xlfn.XLOOKUP(tblEvntScope[[#This Row],[Application Name]],tblApplications[common_assetName],tblApplications[application_custom6],"",0,1)</f>
        <v/>
      </c>
      <c r="G34" s="198" t="str">
        <f>_xlfn.XLOOKUP(tblEvntScope[[#This Row],[Application Name]],tblApplications[common_assetName],tblApplications[application_sme2],"",0,1)</f>
        <v/>
      </c>
      <c r="H34" s="199" t="str">
        <f>LOWER(_xlfn.XLOOKUP(tblEvntScope[[#This Row],[Application Name]],tblApplications[common_assetName],tblApplications[application_custom23],"",0,1))</f>
        <v/>
      </c>
      <c r="I34" s="198" t="str">
        <f>_xlfn.XLOOKUP(tblEvntScope[[#This Row],[AssetDependencyId]],tblDependencies[AssetDependencyId],tblDependencies[DependentName],"",0,1)</f>
        <v>va10tuvdb2020</v>
      </c>
      <c r="J34" s="199" t="str">
        <f>TEXT(_xlfn.XLOOKUP(tblEvntScope[[#This Row],[Hostname]],tblPMView[Hostname],tblPMView[Scope],"",0,1),"")</f>
        <v/>
      </c>
      <c r="K34" s="199" t="str">
        <f>_xlfn.XLOOKUP(tblEvntScope[[#This Row],[Hostname]],tblTM[common_assetName],tblTM[device_ipAddress],"",0,1)</f>
        <v>30.135.43.45</v>
      </c>
      <c r="L34" s="199" t="str">
        <f>_xlfn.LET(_xlpm.loc,LEFT(tblEvntScope[[#This Row],[Hostname]],4),IF(LEFT(LOWER(_xlpm.loc),3)="vaa","Richmond",_xlfn.XLOOKUP(_xlpm.loc,tblLocationCodes[LocAbbr],tblLocationCodes[Location],"",0,1)))</f>
        <v>Richmond</v>
      </c>
      <c r="M34" s="198"/>
      <c r="N34" s="198"/>
      <c r="O34" s="199" t="str">
        <f>_xlfn.XLOOKUP(tblEvntScope[[#This Row],[Hostname]],tblTM[common_assetName],tblTM[device_custom35],"",0,1)</f>
        <v>Database - DB2/UDB</v>
      </c>
      <c r="P34" s="199" t="str">
        <f>IF(tblEvntScope[[#This Row],[Device Type]]="Server",_xlfn.XLOOKUP(tblEvntScope[[#This Row],[Hostname]],tblTM[common_assetName],tblTM[device_custom60],"",0,1),"")</f>
        <v/>
      </c>
      <c r="Q34" s="220" t="str">
        <f>_xlfn.XLOOKUP(tblEvntScope[[#This Row],[Hostname]],tblTM[common_assetName],tblTM[common_environment],"",0,1)</f>
        <v>Test</v>
      </c>
      <c r="R34" s="199" t="str">
        <f>_xlfn.XLOOKUP(tblEvntScope[[#This Row],[Hostname]],tblTM[common_assetName],tblTM[device_assetType],"",0,1)</f>
        <v>AIX-LPAR</v>
      </c>
      <c r="S34"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34" s="211" t="str">
        <f>_xlfn.XLOOKUP(tblEvntScope[[#This Row],[Hostname]],tblTM[common_assetName],tblTM[device_custom26],"",0,1)</f>
        <v>No</v>
      </c>
      <c r="U34" s="221">
        <f>_xlfn.XLOOKUP(tblEvntScope[[#This Row],[Hostname]],tblTM[common_assetName],tblTM[device_custom29],"",0,1)</f>
        <v>0</v>
      </c>
      <c r="V34" s="221"/>
      <c r="W34" s="221"/>
      <c r="X34"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4" s="223">
        <f>_xlfn.XLOOKUP(tblEvntScope[[#This Row],[Hostname]],tblTM[common_assetName],tblTM[device_custom17],"",0,1)</f>
        <v>0</v>
      </c>
      <c r="Z34" s="223">
        <f>IFERROR(IF(tblEvntScope[[#This Row],[Target IPs ]]="","",_xlfn.XLOOKUP(tblEvntScope[[#This Row],[Hostname]],tblTM[common_assetName],tblTM[device_custom14],"",0,1)),"")</f>
        <v>0</v>
      </c>
      <c r="AA34" s="223">
        <f>IFERROR(IF(tblEvntScope[[#This Row],[Target IPs ]]="","",_xlfn.XLOOKUP(tblEvntScope[[#This Row],[Hostname]],tblTM[common_assetName],tblTM[device_custom12],"",0,1)),"")</f>
        <v>0</v>
      </c>
      <c r="AB34" s="224">
        <f>IFERROR(_xlfn.XLOOKUP(tblEvntScope[[#This Row],[Hostname]],tblTM[common_assetName],tblTM[device_custom64],"",0)+_xlfn.XLOOKUP(tblEvntScope[[#This Row],[Hostname]],tblTM[common_assetName],tblTM[device_size],"",0),"")</f>
        <v>2119.125</v>
      </c>
      <c r="AC34" s="225"/>
      <c r="AD34" s="226">
        <v>672277</v>
      </c>
      <c r="AE34" s="223" t="str">
        <f>CONCATENATE(tblEvntScope[[#This Row],[Application Name]],tblEvntScope[[#This Row],[Hostname]])</f>
        <v>Provider Care Management Solutions-Testva10tuvdb2020</v>
      </c>
    </row>
    <row r="35" spans="1:31" ht="15.5" thickTop="1" thickBot="1" x14ac:dyDescent="0.4">
      <c r="A35" s="217" t="str">
        <f>SUBSTITUTE(_xlfn.XLOOKUP(tblEvntScope[[#This Row],[AssetDependencyId]],tblDependencies[AssetDependencyId],tblDependencies[DependentBundle],"",0,1),"AppGroup","ME")</f>
        <v>MEA190</v>
      </c>
      <c r="B35" s="218">
        <f>TMWorkbook!$C$2</f>
        <v>46210</v>
      </c>
      <c r="C35" s="219"/>
      <c r="D35" s="199" t="str">
        <f>_xlfn.XLOOKUP(tblEvntScope[[#This Row],[AssetDependencyId]],tblDependencies[AssetDependencyId],tblDependencies[AssetName],"",0,1)</f>
        <v>SOA - Enterprise 27X HIPAA Application-Dev</v>
      </c>
      <c r="E35" s="199" t="str">
        <f>_xlfn.XLOOKUP(tblEvntScope[[#This Row],[Application Name]],tblApplications[common_assetName],tblApplications[application_appOwner],"",0,1)</f>
        <v/>
      </c>
      <c r="F35" s="199" t="str">
        <f>_xlfn.XLOOKUP(tblEvntScope[[#This Row],[Application Name]],tblApplications[common_assetName],tblApplications[application_custom6],"",0,1)</f>
        <v/>
      </c>
      <c r="G35" s="198" t="str">
        <f>_xlfn.XLOOKUP(tblEvntScope[[#This Row],[Application Name]],tblApplications[common_assetName],tblApplications[application_sme2],"",0,1)</f>
        <v/>
      </c>
      <c r="H35" s="199" t="str">
        <f>LOWER(_xlfn.XLOOKUP(tblEvntScope[[#This Row],[Application Name]],tblApplications[common_assetName],tblApplications[application_custom23],"",0,1))</f>
        <v/>
      </c>
      <c r="I35" s="198" t="str">
        <f>_xlfn.XLOOKUP(tblEvntScope[[#This Row],[AssetDependencyId]],tblDependencies[AssetDependencyId],tblDependencies[DependentName],"",0,1)</f>
        <v>vaathmr431</v>
      </c>
      <c r="J35" s="199" t="str">
        <f>TEXT(_xlfn.XLOOKUP(tblEvntScope[[#This Row],[Hostname]],tblPMView[Hostname],tblPMView[Scope],"",0,1),"")</f>
        <v/>
      </c>
      <c r="K35" s="199" t="str">
        <f>_xlfn.XLOOKUP(tblEvntScope[[#This Row],[Hostname]],tblTM[common_assetName],tblTM[device_ipAddress],"",0,1)</f>
        <v>30.135.64.235</v>
      </c>
      <c r="L35" s="199" t="str">
        <f>_xlfn.LET(_xlpm.loc,LEFT(tblEvntScope[[#This Row],[Hostname]],4),IF(LEFT(LOWER(_xlpm.loc),3)="vaa","Richmond",_xlfn.XLOOKUP(_xlpm.loc,tblLocationCodes[LocAbbr],tblLocationCodes[Location],"",0,1)))</f>
        <v>Richmond</v>
      </c>
      <c r="M35" s="198"/>
      <c r="N35" s="198"/>
      <c r="O35" s="199" t="str">
        <f>_xlfn.XLOOKUP(tblEvntScope[[#This Row],[Hostname]],tblTM[common_assetName],tblTM[device_custom35],"",0,1)</f>
        <v>MQ</v>
      </c>
      <c r="P35" s="199" t="str">
        <f>IF(tblEvntScope[[#This Row],[Device Type]]="Server",_xlfn.XLOOKUP(tblEvntScope[[#This Row],[Hostname]],tblTM[common_assetName],tblTM[device_custom60],"",0,1),"")</f>
        <v/>
      </c>
      <c r="Q35" s="220" t="str">
        <f>_xlfn.XLOOKUP(tblEvntScope[[#This Row],[Hostname]],tblTM[common_assetName],tblTM[common_environment],"",0,1)</f>
        <v>Development</v>
      </c>
      <c r="R35" s="199" t="str">
        <f>_xlfn.XLOOKUP(tblEvntScope[[#This Row],[Hostname]],tblTM[common_assetName],tblTM[device_assetType],"",0,1)</f>
        <v>AIX-LPAR</v>
      </c>
      <c r="S35"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35" s="211" t="str">
        <f>_xlfn.XLOOKUP(tblEvntScope[[#This Row],[Hostname]],tblTM[common_assetName],tblTM[device_custom26],"",0,1)</f>
        <v>No</v>
      </c>
      <c r="U35" s="221">
        <f>_xlfn.XLOOKUP(tblEvntScope[[#This Row],[Hostname]],tblTM[common_assetName],tblTM[device_custom29],"",0,1)</f>
        <v>0</v>
      </c>
      <c r="V35" s="221"/>
      <c r="W35" s="221"/>
      <c r="X35"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5" s="223">
        <f>_xlfn.XLOOKUP(tblEvntScope[[#This Row],[Hostname]],tblTM[common_assetName],tblTM[device_custom17],"",0,1)</f>
        <v>0</v>
      </c>
      <c r="Z35" s="223">
        <f>IFERROR(IF(tblEvntScope[[#This Row],[Target IPs ]]="","",_xlfn.XLOOKUP(tblEvntScope[[#This Row],[Hostname]],tblTM[common_assetName],tblTM[device_custom14],"",0,1)),"")</f>
        <v>0</v>
      </c>
      <c r="AA35" s="223">
        <f>IFERROR(IF(tblEvntScope[[#This Row],[Target IPs ]]="","",_xlfn.XLOOKUP(tblEvntScope[[#This Row],[Hostname]],tblTM[common_assetName],tblTM[device_custom12],"",0,1)),"")</f>
        <v>0</v>
      </c>
      <c r="AB35" s="224">
        <f>IFERROR(_xlfn.XLOOKUP(tblEvntScope[[#This Row],[Hostname]],tblTM[common_assetName],tblTM[device_custom64],"",0)+_xlfn.XLOOKUP(tblEvntScope[[#This Row],[Hostname]],tblTM[common_assetName],tblTM[device_size],"",0),"")</f>
        <v>558</v>
      </c>
      <c r="AC35" s="225"/>
      <c r="AD35" s="226">
        <v>568402</v>
      </c>
      <c r="AE35" s="223" t="str">
        <f>CONCATENATE(tblEvntScope[[#This Row],[Application Name]],tblEvntScope[[#This Row],[Hostname]])</f>
        <v>SOA - Enterprise 27X HIPAA Application-Devvaathmr431</v>
      </c>
    </row>
    <row r="36" spans="1:31" ht="15.5" thickTop="1" thickBot="1" x14ac:dyDescent="0.4">
      <c r="A36" s="217" t="str">
        <f>SUBSTITUTE(_xlfn.XLOOKUP(tblEvntScope[[#This Row],[AssetDependencyId]],tblDependencies[AssetDependencyId],tblDependencies[DependentBundle],"",0,1),"AppGroup","ME")</f>
        <v>MEA190</v>
      </c>
      <c r="B36" s="218">
        <f>TMWorkbook!$C$2</f>
        <v>46210</v>
      </c>
      <c r="C36" s="219"/>
      <c r="D36" s="199" t="str">
        <f>_xlfn.XLOOKUP(tblEvntScope[[#This Row],[AssetDependencyId]],tblDependencies[AssetDependencyId],tblDependencies[AssetName],"",0,1)</f>
        <v>SOA Atomic Services-Dev</v>
      </c>
      <c r="E36" s="199" t="str">
        <f>_xlfn.XLOOKUP(tblEvntScope[[#This Row],[Application Name]],tblApplications[common_assetName],tblApplications[application_appOwner],"",0,1)</f>
        <v/>
      </c>
      <c r="F36" s="199" t="str">
        <f>_xlfn.XLOOKUP(tblEvntScope[[#This Row],[Application Name]],tblApplications[common_assetName],tblApplications[application_custom6],"",0,1)</f>
        <v/>
      </c>
      <c r="G36" s="198" t="str">
        <f>_xlfn.XLOOKUP(tblEvntScope[[#This Row],[Application Name]],tblApplications[common_assetName],tblApplications[application_sme2],"",0,1)</f>
        <v/>
      </c>
      <c r="H36" s="199" t="str">
        <f>LOWER(_xlfn.XLOOKUP(tblEvntScope[[#This Row],[Application Name]],tblApplications[common_assetName],tblApplications[application_custom23],"",0,1))</f>
        <v/>
      </c>
      <c r="I36" s="198" t="str">
        <f>_xlfn.XLOOKUP(tblEvntScope[[#This Row],[AssetDependencyId]],tblDependencies[AssetDependencyId],tblDependencies[DependentName],"",0,1)</f>
        <v>vaathmr421</v>
      </c>
      <c r="J36" s="199" t="str">
        <f>TEXT(_xlfn.XLOOKUP(tblEvntScope[[#This Row],[Hostname]],tblPMView[Hostname],tblPMView[Scope],"",0,1),"")</f>
        <v/>
      </c>
      <c r="K36" s="199" t="str">
        <f>_xlfn.XLOOKUP(tblEvntScope[[#This Row],[Hostname]],tblTM[common_assetName],tblTM[device_ipAddress],"",0,1)</f>
        <v>30.135.64.220,30.135.64.221,30.135.64.26</v>
      </c>
      <c r="L36" s="199" t="str">
        <f>_xlfn.LET(_xlpm.loc,LEFT(tblEvntScope[[#This Row],[Hostname]],4),IF(LEFT(LOWER(_xlpm.loc),3)="vaa","Richmond",_xlfn.XLOOKUP(_xlpm.loc,tblLocationCodes[LocAbbr],tblLocationCodes[Location],"",0,1)))</f>
        <v>Richmond</v>
      </c>
      <c r="M36" s="198"/>
      <c r="N36" s="198"/>
      <c r="O36" s="199">
        <f>_xlfn.XLOOKUP(tblEvntScope[[#This Row],[Hostname]],tblTM[common_assetName],tblTM[device_custom35],"",0,1)</f>
        <v>0</v>
      </c>
      <c r="P36" s="199" t="str">
        <f>IF(tblEvntScope[[#This Row],[Device Type]]="Server",_xlfn.XLOOKUP(tblEvntScope[[#This Row],[Hostname]],tblTM[common_assetName],tblTM[device_custom60],"",0,1),"")</f>
        <v/>
      </c>
      <c r="Q36" s="220" t="str">
        <f>_xlfn.XLOOKUP(tblEvntScope[[#This Row],[Hostname]],tblTM[common_assetName],tblTM[common_environment],"",0,1)</f>
        <v>Development</v>
      </c>
      <c r="R36" s="199" t="str">
        <f>_xlfn.XLOOKUP(tblEvntScope[[#This Row],[Hostname]],tblTM[common_assetName],tblTM[device_assetType],"",0,1)</f>
        <v>AIX-LPAR</v>
      </c>
      <c r="S36"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36" s="211" t="str">
        <f>_xlfn.XLOOKUP(tblEvntScope[[#This Row],[Hostname]],tblTM[common_assetName],tblTM[device_custom26],"",0,1)</f>
        <v>No</v>
      </c>
      <c r="U36" s="221">
        <f>_xlfn.XLOOKUP(tblEvntScope[[#This Row],[Hostname]],tblTM[common_assetName],tblTM[device_custom29],"",0,1)</f>
        <v>0</v>
      </c>
      <c r="V36" s="221"/>
      <c r="W36" s="221"/>
      <c r="X36"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6" s="223">
        <f>_xlfn.XLOOKUP(tblEvntScope[[#This Row],[Hostname]],tblTM[common_assetName],tblTM[device_custom17],"",0,1)</f>
        <v>0</v>
      </c>
      <c r="Z36" s="223">
        <f>IFERROR(IF(tblEvntScope[[#This Row],[Target IPs ]]="","",_xlfn.XLOOKUP(tblEvntScope[[#This Row],[Hostname]],tblTM[common_assetName],tblTM[device_custom14],"",0,1)),"")</f>
        <v>0</v>
      </c>
      <c r="AA36" s="223">
        <f>IFERROR(IF(tblEvntScope[[#This Row],[Target IPs ]]="","",_xlfn.XLOOKUP(tblEvntScope[[#This Row],[Hostname]],tblTM[common_assetName],tblTM[device_custom12],"",0,1)),"")</f>
        <v>0</v>
      </c>
      <c r="AB36" s="224">
        <f>IFERROR(_xlfn.XLOOKUP(tblEvntScope[[#This Row],[Hostname]],tblTM[common_assetName],tblTM[device_custom64],"",0)+_xlfn.XLOOKUP(tblEvntScope[[#This Row],[Hostname]],tblTM[common_assetName],tblTM[device_size],"",0),"")</f>
        <v>301</v>
      </c>
      <c r="AC36" s="225"/>
      <c r="AD36" s="226">
        <v>568455</v>
      </c>
      <c r="AE36" s="223" t="str">
        <f>CONCATENATE(tblEvntScope[[#This Row],[Application Name]],tblEvntScope[[#This Row],[Hostname]])</f>
        <v>SOA Atomic Services-Devvaathmr421</v>
      </c>
    </row>
    <row r="37" spans="1:31" ht="15.5" thickTop="1" thickBot="1" x14ac:dyDescent="0.4">
      <c r="A37" s="217" t="str">
        <f>SUBSTITUTE(_xlfn.XLOOKUP(tblEvntScope[[#This Row],[AssetDependencyId]],tblDependencies[AssetDependencyId],tblDependencies[DependentBundle],"",0,1),"AppGroup","ME")</f>
        <v>MEA190</v>
      </c>
      <c r="B37" s="218">
        <f>TMWorkbook!$C$2</f>
        <v>46210</v>
      </c>
      <c r="C37" s="219"/>
      <c r="D37" s="199" t="str">
        <f>_xlfn.XLOOKUP(tblEvntScope[[#This Row],[AssetDependencyId]],tblDependencies[AssetDependencyId],tblDependencies[AssetName],"",0,1)</f>
        <v>SOA Atomic Services-Dev</v>
      </c>
      <c r="E37" s="199" t="str">
        <f>_xlfn.XLOOKUP(tblEvntScope[[#This Row],[Application Name]],tblApplications[common_assetName],tblApplications[application_appOwner],"",0,1)</f>
        <v/>
      </c>
      <c r="F37" s="199" t="str">
        <f>_xlfn.XLOOKUP(tblEvntScope[[#This Row],[Application Name]],tblApplications[common_assetName],tblApplications[application_custom6],"",0,1)</f>
        <v/>
      </c>
      <c r="G37" s="198" t="str">
        <f>_xlfn.XLOOKUP(tblEvntScope[[#This Row],[Application Name]],tblApplications[common_assetName],tblApplications[application_sme2],"",0,1)</f>
        <v/>
      </c>
      <c r="H37" s="199" t="str">
        <f>LOWER(_xlfn.XLOOKUP(tblEvntScope[[#This Row],[Application Name]],tblApplications[common_assetName],tblApplications[application_custom23],"",0,1))</f>
        <v/>
      </c>
      <c r="I37" s="198" t="str">
        <f>_xlfn.XLOOKUP(tblEvntScope[[#This Row],[AssetDependencyId]],tblDependencies[AssetDependencyId],tblDependencies[DependentName],"",0,1)</f>
        <v>vaathmr435</v>
      </c>
      <c r="J37" s="199" t="str">
        <f>TEXT(_xlfn.XLOOKUP(tblEvntScope[[#This Row],[Hostname]],tblPMView[Hostname],tblPMView[Scope],"",0,1),"")</f>
        <v/>
      </c>
      <c r="K37" s="199" t="str">
        <f>_xlfn.XLOOKUP(tblEvntScope[[#This Row],[Hostname]],tblTM[common_assetName],tblTM[device_ipAddress],"",0,1)</f>
        <v>30.135.64.238,30.135.64.40</v>
      </c>
      <c r="L37" s="199" t="str">
        <f>_xlfn.LET(_xlpm.loc,LEFT(tblEvntScope[[#This Row],[Hostname]],4),IF(LEFT(LOWER(_xlpm.loc),3)="vaa","Richmond",_xlfn.XLOOKUP(_xlpm.loc,tblLocationCodes[LocAbbr],tblLocationCodes[Location],"",0,1)))</f>
        <v>Richmond</v>
      </c>
      <c r="M37" s="198"/>
      <c r="N37" s="198"/>
      <c r="O37" s="199">
        <f>_xlfn.XLOOKUP(tblEvntScope[[#This Row],[Hostname]],tblTM[common_assetName],tblTM[device_custom35],"",0,1)</f>
        <v>0</v>
      </c>
      <c r="P37" s="199" t="str">
        <f>IF(tblEvntScope[[#This Row],[Device Type]]="Server",_xlfn.XLOOKUP(tblEvntScope[[#This Row],[Hostname]],tblTM[common_assetName],tblTM[device_custom60],"",0,1),"")</f>
        <v/>
      </c>
      <c r="Q37" s="220" t="str">
        <f>_xlfn.XLOOKUP(tblEvntScope[[#This Row],[Hostname]],tblTM[common_assetName],tblTM[common_environment],"",0,1)</f>
        <v>Development</v>
      </c>
      <c r="R37" s="199" t="str">
        <f>_xlfn.XLOOKUP(tblEvntScope[[#This Row],[Hostname]],tblTM[common_assetName],tblTM[device_assetType],"",0,1)</f>
        <v>AIX-LPAR</v>
      </c>
      <c r="S37"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37" s="211" t="str">
        <f>_xlfn.XLOOKUP(tblEvntScope[[#This Row],[Hostname]],tblTM[common_assetName],tblTM[device_custom26],"",0,1)</f>
        <v>No</v>
      </c>
      <c r="U37" s="221">
        <f>_xlfn.XLOOKUP(tblEvntScope[[#This Row],[Hostname]],tblTM[common_assetName],tblTM[device_custom29],"",0,1)</f>
        <v>0</v>
      </c>
      <c r="V37" s="221"/>
      <c r="W37" s="221"/>
      <c r="X37"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7" s="223">
        <f>_xlfn.XLOOKUP(tblEvntScope[[#This Row],[Hostname]],tblTM[common_assetName],tblTM[device_custom17],"",0,1)</f>
        <v>0</v>
      </c>
      <c r="Z37" s="223">
        <f>IFERROR(IF(tblEvntScope[[#This Row],[Target IPs ]]="","",_xlfn.XLOOKUP(tblEvntScope[[#This Row],[Hostname]],tblTM[common_assetName],tblTM[device_custom14],"",0,1)),"")</f>
        <v>0</v>
      </c>
      <c r="AA37" s="223">
        <f>IFERROR(IF(tblEvntScope[[#This Row],[Target IPs ]]="","",_xlfn.XLOOKUP(tblEvntScope[[#This Row],[Hostname]],tblTM[common_assetName],tblTM[device_custom12],"",0,1)),"")</f>
        <v>0</v>
      </c>
      <c r="AB37" s="224">
        <f>IFERROR(_xlfn.XLOOKUP(tblEvntScope[[#This Row],[Hostname]],tblTM[common_assetName],tblTM[device_custom64],"",0)+_xlfn.XLOOKUP(tblEvntScope[[#This Row],[Hostname]],tblTM[common_assetName],tblTM[device_size],"",0),"")</f>
        <v>178.4375</v>
      </c>
      <c r="AC37" s="225"/>
      <c r="AD37" s="226">
        <v>568456</v>
      </c>
      <c r="AE37" s="223" t="str">
        <f>CONCATENATE(tblEvntScope[[#This Row],[Application Name]],tblEvntScope[[#This Row],[Hostname]])</f>
        <v>SOA Atomic Services-Devvaathmr435</v>
      </c>
    </row>
    <row r="38" spans="1:31" ht="15.5" thickTop="1" thickBot="1" x14ac:dyDescent="0.4">
      <c r="A38" s="217" t="str">
        <f>SUBSTITUTE(_xlfn.XLOOKUP(tblEvntScope[[#This Row],[AssetDependencyId]],tblDependencies[AssetDependencyId],tblDependencies[DependentBundle],"",0,1),"AppGroup","ME")</f>
        <v>MEA190</v>
      </c>
      <c r="B38" s="218">
        <f>TMWorkbook!$C$2</f>
        <v>46210</v>
      </c>
      <c r="C38" s="219"/>
      <c r="D38" s="199" t="str">
        <f>_xlfn.XLOOKUP(tblEvntScope[[#This Row],[AssetDependencyId]],tblDependencies[AssetDependencyId],tblDependencies[AssetName],"",0,1)</f>
        <v>SOA/API - Enterprise Services-Dev</v>
      </c>
      <c r="E38" s="199" t="str">
        <f>_xlfn.XLOOKUP(tblEvntScope[[#This Row],[Application Name]],tblApplications[common_assetName],tblApplications[application_appOwner],"",0,1)</f>
        <v/>
      </c>
      <c r="F38" s="199" t="str">
        <f>_xlfn.XLOOKUP(tblEvntScope[[#This Row],[Application Name]],tblApplications[common_assetName],tblApplications[application_custom6],"",0,1)</f>
        <v/>
      </c>
      <c r="G38" s="198" t="str">
        <f>_xlfn.XLOOKUP(tblEvntScope[[#This Row],[Application Name]],tblApplications[common_assetName],tblApplications[application_sme2],"",0,1)</f>
        <v/>
      </c>
      <c r="H38" s="199" t="str">
        <f>LOWER(_xlfn.XLOOKUP(tblEvntScope[[#This Row],[Application Name]],tblApplications[common_assetName],tblApplications[application_custom23],"",0,1))</f>
        <v/>
      </c>
      <c r="I38" s="198" t="str">
        <f>_xlfn.XLOOKUP(tblEvntScope[[#This Row],[AssetDependencyId]],tblDependencies[AssetDependencyId],tblDependencies[DependentName],"",0,1)</f>
        <v>va10n10180</v>
      </c>
      <c r="J38" s="199" t="str">
        <f>TEXT(_xlfn.XLOOKUP(tblEvntScope[[#This Row],[Hostname]],tblPMView[Hostname],tblPMView[Scope],"",0,1),"")</f>
        <v/>
      </c>
      <c r="K38" s="199" t="str">
        <f>_xlfn.XLOOKUP(tblEvntScope[[#This Row],[Hostname]],tblTM[common_assetName],tblTM[device_ipAddress],"",0,1)</f>
        <v>30.135.106.133</v>
      </c>
      <c r="L38" s="199" t="str">
        <f>_xlfn.LET(_xlpm.loc,LEFT(tblEvntScope[[#This Row],[Hostname]],4),IF(LEFT(LOWER(_xlpm.loc),3)="vaa","Richmond",_xlfn.XLOOKUP(_xlpm.loc,tblLocationCodes[LocAbbr],tblLocationCodes[Location],"",0,1)))</f>
        <v>Richmond</v>
      </c>
      <c r="M38" s="198"/>
      <c r="N38" s="198"/>
      <c r="O38" s="199" t="str">
        <f>_xlfn.XLOOKUP(tblEvntScope[[#This Row],[Hostname]],tblTM[common_assetName],tblTM[device_custom35],"",0,1)</f>
        <v>WebSphere</v>
      </c>
      <c r="P38" s="199" t="str">
        <f>IF(tblEvntScope[[#This Row],[Device Type]]="Server",_xlfn.XLOOKUP(tblEvntScope[[#This Row],[Hostname]],tblTM[common_assetName],tblTM[device_custom60],"",0,1),"")</f>
        <v/>
      </c>
      <c r="Q38" s="220" t="str">
        <f>_xlfn.XLOOKUP(tblEvntScope[[#This Row],[Hostname]],tblTM[common_assetName],tblTM[common_environment],"",0,1)</f>
        <v>Development</v>
      </c>
      <c r="R38" s="199" t="str">
        <f>_xlfn.XLOOKUP(tblEvntScope[[#This Row],[Hostname]],tblTM[common_assetName],tblTM[device_assetType],"",0,1)</f>
        <v>AIX-LPAR</v>
      </c>
      <c r="S38"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38" s="211" t="str">
        <f>_xlfn.XLOOKUP(tblEvntScope[[#This Row],[Hostname]],tblTM[common_assetName],tblTM[device_custom26],"",0,1)</f>
        <v>No</v>
      </c>
      <c r="U38" s="221">
        <f>_xlfn.XLOOKUP(tblEvntScope[[#This Row],[Hostname]],tblTM[common_assetName],tblTM[device_custom29],"",0,1)</f>
        <v>0</v>
      </c>
      <c r="V38" s="221"/>
      <c r="W38" s="221"/>
      <c r="X38"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8" s="223">
        <f>_xlfn.XLOOKUP(tblEvntScope[[#This Row],[Hostname]],tblTM[common_assetName],tblTM[device_custom17],"",0,1)</f>
        <v>0</v>
      </c>
      <c r="Z38" s="223">
        <f>IFERROR(IF(tblEvntScope[[#This Row],[Target IPs ]]="","",_xlfn.XLOOKUP(tblEvntScope[[#This Row],[Hostname]],tblTM[common_assetName],tblTM[device_custom14],"",0,1)),"")</f>
        <v>0</v>
      </c>
      <c r="AA38" s="223">
        <f>IFERROR(IF(tblEvntScope[[#This Row],[Target IPs ]]="","",_xlfn.XLOOKUP(tblEvntScope[[#This Row],[Hostname]],tblTM[common_assetName],tblTM[device_custom12],"",0,1)),"")</f>
        <v>0</v>
      </c>
      <c r="AB38" s="224">
        <f>IFERROR(_xlfn.XLOOKUP(tblEvntScope[[#This Row],[Hostname]],tblTM[common_assetName],tblTM[device_custom64],"",0)+_xlfn.XLOOKUP(tblEvntScope[[#This Row],[Hostname]],tblTM[common_assetName],tblTM[device_size],"",0),"")</f>
        <v>161.875</v>
      </c>
      <c r="AC38" s="225"/>
      <c r="AD38" s="226">
        <v>568514</v>
      </c>
      <c r="AE38" s="223" t="str">
        <f>CONCATENATE(tblEvntScope[[#This Row],[Application Name]],tblEvntScope[[#This Row],[Hostname]])</f>
        <v>SOA/API - Enterprise Services-Devva10n10180</v>
      </c>
    </row>
    <row r="39" spans="1:31" ht="15.5" thickTop="1" thickBot="1" x14ac:dyDescent="0.4">
      <c r="A39" s="217" t="str">
        <f>SUBSTITUTE(_xlfn.XLOOKUP(tblEvntScope[[#This Row],[AssetDependencyId]],tblDependencies[AssetDependencyId],tblDependencies[DependentBundle],"",0,1),"AppGroup","ME")</f>
        <v>MEA190</v>
      </c>
      <c r="B39" s="218">
        <f>TMWorkbook!$C$2</f>
        <v>46210</v>
      </c>
      <c r="C39" s="219"/>
      <c r="D39" s="199" t="str">
        <f>_xlfn.XLOOKUP(tblEvntScope[[#This Row],[AssetDependencyId]],tblDependencies[AssetDependencyId],tblDependencies[AssetName],"",0,1)</f>
        <v>SOA/API - Enterprise Services-Dev</v>
      </c>
      <c r="E39" s="199" t="str">
        <f>_xlfn.XLOOKUP(tblEvntScope[[#This Row],[Application Name]],tblApplications[common_assetName],tblApplications[application_appOwner],"",0,1)</f>
        <v/>
      </c>
      <c r="F39" s="199" t="str">
        <f>_xlfn.XLOOKUP(tblEvntScope[[#This Row],[Application Name]],tblApplications[common_assetName],tblApplications[application_custom6],"",0,1)</f>
        <v/>
      </c>
      <c r="G39" s="198" t="str">
        <f>_xlfn.XLOOKUP(tblEvntScope[[#This Row],[Application Name]],tblApplications[common_assetName],tblApplications[application_sme2],"",0,1)</f>
        <v/>
      </c>
      <c r="H39" s="199" t="str">
        <f>LOWER(_xlfn.XLOOKUP(tblEvntScope[[#This Row],[Application Name]],tblApplications[common_assetName],tblApplications[application_custom23],"",0,1))</f>
        <v/>
      </c>
      <c r="I39" s="198" t="str">
        <f>_xlfn.XLOOKUP(tblEvntScope[[#This Row],[AssetDependencyId]],tblDependencies[AssetDependencyId],tblDependencies[DependentName],"",0,1)</f>
        <v>va10n10181</v>
      </c>
      <c r="J39" s="199" t="str">
        <f>TEXT(_xlfn.XLOOKUP(tblEvntScope[[#This Row],[Hostname]],tblPMView[Hostname],tblPMView[Scope],"",0,1),"")</f>
        <v/>
      </c>
      <c r="K39" s="199" t="str">
        <f>_xlfn.XLOOKUP(tblEvntScope[[#This Row],[Hostname]],tblTM[common_assetName],tblTM[device_ipAddress],"",0,1)</f>
        <v>30.135.106.134</v>
      </c>
      <c r="L39" s="199" t="str">
        <f>_xlfn.LET(_xlpm.loc,LEFT(tblEvntScope[[#This Row],[Hostname]],4),IF(LEFT(LOWER(_xlpm.loc),3)="vaa","Richmond",_xlfn.XLOOKUP(_xlpm.loc,tblLocationCodes[LocAbbr],tblLocationCodes[Location],"",0,1)))</f>
        <v>Richmond</v>
      </c>
      <c r="M39" s="198"/>
      <c r="N39" s="198"/>
      <c r="O39" s="199" t="str">
        <f>_xlfn.XLOOKUP(tblEvntScope[[#This Row],[Hostname]],tblTM[common_assetName],tblTM[device_custom35],"",0,1)</f>
        <v>WebSphere</v>
      </c>
      <c r="P39" s="199" t="str">
        <f>IF(tblEvntScope[[#This Row],[Device Type]]="Server",_xlfn.XLOOKUP(tblEvntScope[[#This Row],[Hostname]],tblTM[common_assetName],tblTM[device_custom60],"",0,1),"")</f>
        <v/>
      </c>
      <c r="Q39" s="220" t="str">
        <f>_xlfn.XLOOKUP(tblEvntScope[[#This Row],[Hostname]],tblTM[common_assetName],tblTM[common_environment],"",0,1)</f>
        <v>Development</v>
      </c>
      <c r="R39" s="199" t="str">
        <f>_xlfn.XLOOKUP(tblEvntScope[[#This Row],[Hostname]],tblTM[common_assetName],tblTM[device_assetType],"",0,1)</f>
        <v>AIX-LPAR</v>
      </c>
      <c r="S39"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39" s="211" t="str">
        <f>_xlfn.XLOOKUP(tblEvntScope[[#This Row],[Hostname]],tblTM[common_assetName],tblTM[device_custom26],"",0,1)</f>
        <v>No</v>
      </c>
      <c r="U39" s="221">
        <f>_xlfn.XLOOKUP(tblEvntScope[[#This Row],[Hostname]],tblTM[common_assetName],tblTM[device_custom29],"",0,1)</f>
        <v>0</v>
      </c>
      <c r="V39" s="221"/>
      <c r="W39" s="221"/>
      <c r="X39"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39" s="223">
        <f>_xlfn.XLOOKUP(tblEvntScope[[#This Row],[Hostname]],tblTM[common_assetName],tblTM[device_custom17],"",0,1)</f>
        <v>0</v>
      </c>
      <c r="Z39" s="223">
        <f>IFERROR(IF(tblEvntScope[[#This Row],[Target IPs ]]="","",_xlfn.XLOOKUP(tblEvntScope[[#This Row],[Hostname]],tblTM[common_assetName],tblTM[device_custom14],"",0,1)),"")</f>
        <v>0</v>
      </c>
      <c r="AA39" s="223">
        <f>IFERROR(IF(tblEvntScope[[#This Row],[Target IPs ]]="","",_xlfn.XLOOKUP(tblEvntScope[[#This Row],[Hostname]],tblTM[common_assetName],tblTM[device_custom12],"",0,1)),"")</f>
        <v>0</v>
      </c>
      <c r="AB39" s="224">
        <f>IFERROR(_xlfn.XLOOKUP(tblEvntScope[[#This Row],[Hostname]],tblTM[common_assetName],tblTM[device_custom64],"",0)+_xlfn.XLOOKUP(tblEvntScope[[#This Row],[Hostname]],tblTM[common_assetName],tblTM[device_size],"",0),"")</f>
        <v>154.25</v>
      </c>
      <c r="AC39" s="225"/>
      <c r="AD39" s="226">
        <v>568515</v>
      </c>
      <c r="AE39" s="223" t="str">
        <f>CONCATENATE(tblEvntScope[[#This Row],[Application Name]],tblEvntScope[[#This Row],[Hostname]])</f>
        <v>SOA/API - Enterprise Services-Devva10n10181</v>
      </c>
    </row>
    <row r="40" spans="1:31" ht="15.5" thickTop="1" thickBot="1" x14ac:dyDescent="0.4">
      <c r="A40" s="217" t="str">
        <f>SUBSTITUTE(_xlfn.XLOOKUP(tblEvntScope[[#This Row],[AssetDependencyId]],tblDependencies[AssetDependencyId],tblDependencies[DependentBundle],"",0,1),"AppGroup","ME")</f>
        <v>MEA190</v>
      </c>
      <c r="B40" s="218">
        <f>TMWorkbook!$C$2</f>
        <v>46210</v>
      </c>
      <c r="C40" s="219"/>
      <c r="D40" s="199" t="str">
        <f>_xlfn.XLOOKUP(tblEvntScope[[#This Row],[AssetDependencyId]],tblDependencies[AssetDependencyId],tblDependencies[AssetName],"",0,1)</f>
        <v>SOA/API - Enterprise Services-Dev</v>
      </c>
      <c r="E40" s="199" t="str">
        <f>_xlfn.XLOOKUP(tblEvntScope[[#This Row],[Application Name]],tblApplications[common_assetName],tblApplications[application_appOwner],"",0,1)</f>
        <v/>
      </c>
      <c r="F40" s="199" t="str">
        <f>_xlfn.XLOOKUP(tblEvntScope[[#This Row],[Application Name]],tblApplications[common_assetName],tblApplications[application_custom6],"",0,1)</f>
        <v/>
      </c>
      <c r="G40" s="198" t="str">
        <f>_xlfn.XLOOKUP(tblEvntScope[[#This Row],[Application Name]],tblApplications[common_assetName],tblApplications[application_sme2],"",0,1)</f>
        <v/>
      </c>
      <c r="H40" s="199" t="str">
        <f>LOWER(_xlfn.XLOOKUP(tblEvntScope[[#This Row],[Application Name]],tblApplications[common_assetName],tblApplications[application_custom23],"",0,1))</f>
        <v/>
      </c>
      <c r="I40" s="198" t="str">
        <f>_xlfn.XLOOKUP(tblEvntScope[[#This Row],[AssetDependencyId]],tblDependencies[AssetDependencyId],tblDependencies[DependentName],"",0,1)</f>
        <v>vaathmr427</v>
      </c>
      <c r="J40" s="199" t="str">
        <f>TEXT(_xlfn.XLOOKUP(tblEvntScope[[#This Row],[Hostname]],tblPMView[Hostname],tblPMView[Scope],"",0,1),"")</f>
        <v/>
      </c>
      <c r="K40" s="199" t="str">
        <f>_xlfn.XLOOKUP(tblEvntScope[[#This Row],[Hostname]],tblTM[common_assetName],tblTM[device_ipAddress],"",0,1)</f>
        <v>30.135.64.230</v>
      </c>
      <c r="L40" s="199" t="str">
        <f>_xlfn.LET(_xlpm.loc,LEFT(tblEvntScope[[#This Row],[Hostname]],4),IF(LEFT(LOWER(_xlpm.loc),3)="vaa","Richmond",_xlfn.XLOOKUP(_xlpm.loc,tblLocationCodes[LocAbbr],tblLocationCodes[Location],"",0,1)))</f>
        <v>Richmond</v>
      </c>
      <c r="M40" s="198"/>
      <c r="N40" s="198"/>
      <c r="O40" s="199">
        <f>_xlfn.XLOOKUP(tblEvntScope[[#This Row],[Hostname]],tblTM[common_assetName],tblTM[device_custom35],"",0,1)</f>
        <v>0</v>
      </c>
      <c r="P40" s="199" t="str">
        <f>IF(tblEvntScope[[#This Row],[Device Type]]="Server",_xlfn.XLOOKUP(tblEvntScope[[#This Row],[Hostname]],tblTM[common_assetName],tblTM[device_custom60],"",0,1),"")</f>
        <v/>
      </c>
      <c r="Q40" s="220" t="str">
        <f>_xlfn.XLOOKUP(tblEvntScope[[#This Row],[Hostname]],tblTM[common_assetName],tblTM[common_environment],"",0,1)</f>
        <v>Development</v>
      </c>
      <c r="R40" s="199" t="str">
        <f>_xlfn.XLOOKUP(tblEvntScope[[#This Row],[Hostname]],tblTM[common_assetName],tblTM[device_assetType],"",0,1)</f>
        <v>AIX-LPAR</v>
      </c>
      <c r="S40"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40" s="211" t="str">
        <f>_xlfn.XLOOKUP(tblEvntScope[[#This Row],[Hostname]],tblTM[common_assetName],tblTM[device_custom26],"",0,1)</f>
        <v>No</v>
      </c>
      <c r="U40" s="221">
        <f>_xlfn.XLOOKUP(tblEvntScope[[#This Row],[Hostname]],tblTM[common_assetName],tblTM[device_custom29],"",0,1)</f>
        <v>0</v>
      </c>
      <c r="V40" s="221"/>
      <c r="W40" s="221"/>
      <c r="X40"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40" s="223">
        <f>_xlfn.XLOOKUP(tblEvntScope[[#This Row],[Hostname]],tblTM[common_assetName],tblTM[device_custom17],"",0,1)</f>
        <v>0</v>
      </c>
      <c r="Z40" s="223">
        <f>IFERROR(IF(tblEvntScope[[#This Row],[Target IPs ]]="","",_xlfn.XLOOKUP(tblEvntScope[[#This Row],[Hostname]],tblTM[common_assetName],tblTM[device_custom14],"",0,1)),"")</f>
        <v>0</v>
      </c>
      <c r="AA40" s="223">
        <f>IFERROR(IF(tblEvntScope[[#This Row],[Target IPs ]]="","",_xlfn.XLOOKUP(tblEvntScope[[#This Row],[Hostname]],tblTM[common_assetName],tblTM[device_custom12],"",0,1)),"")</f>
        <v>0</v>
      </c>
      <c r="AB40" s="224">
        <f>IFERROR(_xlfn.XLOOKUP(tblEvntScope[[#This Row],[Hostname]],tblTM[common_assetName],tblTM[device_custom64],"",0)+_xlfn.XLOOKUP(tblEvntScope[[#This Row],[Hostname]],tblTM[common_assetName],tblTM[device_size],"",0),"")</f>
        <v>90.875</v>
      </c>
      <c r="AC40" s="225"/>
      <c r="AD40" s="226">
        <v>569136</v>
      </c>
      <c r="AE40" s="223" t="str">
        <f>CONCATENATE(tblEvntScope[[#This Row],[Application Name]],tblEvntScope[[#This Row],[Hostname]])</f>
        <v>SOA/API - Enterprise Services-Devvaathmr427</v>
      </c>
    </row>
    <row r="41" spans="1:31" ht="15.5" thickTop="1" thickBot="1" x14ac:dyDescent="0.4">
      <c r="A41" s="217" t="str">
        <f>SUBSTITUTE(_xlfn.XLOOKUP(tblEvntScope[[#This Row],[AssetDependencyId]],tblDependencies[AssetDependencyId],tblDependencies[DependentBundle],"",0,1),"AppGroup","ME")</f>
        <v>MEA190</v>
      </c>
      <c r="B41" s="218">
        <f>TMWorkbook!$C$2</f>
        <v>46210</v>
      </c>
      <c r="C41" s="219"/>
      <c r="D41" s="199" t="str">
        <f>_xlfn.XLOOKUP(tblEvntScope[[#This Row],[AssetDependencyId]],tblDependencies[AssetDependencyId],tblDependencies[AssetName],"",0,1)</f>
        <v>SOA/API - Enterprise Services-Dev</v>
      </c>
      <c r="E41" s="199" t="str">
        <f>_xlfn.XLOOKUP(tblEvntScope[[#This Row],[Application Name]],tblApplications[common_assetName],tblApplications[application_appOwner],"",0,1)</f>
        <v/>
      </c>
      <c r="F41" s="199" t="str">
        <f>_xlfn.XLOOKUP(tblEvntScope[[#This Row],[Application Name]],tblApplications[common_assetName],tblApplications[application_custom6],"",0,1)</f>
        <v/>
      </c>
      <c r="G41" s="198" t="str">
        <f>_xlfn.XLOOKUP(tblEvntScope[[#This Row],[Application Name]],tblApplications[common_assetName],tblApplications[application_sme2],"",0,1)</f>
        <v/>
      </c>
      <c r="H41" s="199" t="str">
        <f>LOWER(_xlfn.XLOOKUP(tblEvntScope[[#This Row],[Application Name]],tblApplications[common_assetName],tblApplications[application_custom23],"",0,1))</f>
        <v/>
      </c>
      <c r="I41" s="198" t="str">
        <f>_xlfn.XLOOKUP(tblEvntScope[[#This Row],[AssetDependencyId]],tblDependencies[AssetDependencyId],tblDependencies[DependentName],"",0,1)</f>
        <v>vaathmr433</v>
      </c>
      <c r="J41" s="199" t="str">
        <f>TEXT(_xlfn.XLOOKUP(tblEvntScope[[#This Row],[Hostname]],tblPMView[Hostname],tblPMView[Scope],"",0,1),"")</f>
        <v/>
      </c>
      <c r="K41" s="199" t="str">
        <f>_xlfn.XLOOKUP(tblEvntScope[[#This Row],[Hostname]],tblTM[common_assetName],tblTM[device_ipAddress],"",0,1)</f>
        <v>30.135.64.236</v>
      </c>
      <c r="L41" s="199" t="str">
        <f>_xlfn.LET(_xlpm.loc,LEFT(tblEvntScope[[#This Row],[Hostname]],4),IF(LEFT(LOWER(_xlpm.loc),3)="vaa","Richmond",_xlfn.XLOOKUP(_xlpm.loc,tblLocationCodes[LocAbbr],tblLocationCodes[Location],"",0,1)))</f>
        <v>Richmond</v>
      </c>
      <c r="M41" s="198"/>
      <c r="N41" s="198"/>
      <c r="O41" s="199">
        <f>_xlfn.XLOOKUP(tblEvntScope[[#This Row],[Hostname]],tblTM[common_assetName],tblTM[device_custom35],"",0,1)</f>
        <v>0</v>
      </c>
      <c r="P41" s="199" t="str">
        <f>IF(tblEvntScope[[#This Row],[Device Type]]="Server",_xlfn.XLOOKUP(tblEvntScope[[#This Row],[Hostname]],tblTM[common_assetName],tblTM[device_custom60],"",0,1),"")</f>
        <v/>
      </c>
      <c r="Q41" s="220" t="str">
        <f>_xlfn.XLOOKUP(tblEvntScope[[#This Row],[Hostname]],tblTM[common_assetName],tblTM[common_environment],"",0,1)</f>
        <v>Development</v>
      </c>
      <c r="R41" s="199" t="str">
        <f>_xlfn.XLOOKUP(tblEvntScope[[#This Row],[Hostname]],tblTM[common_assetName],tblTM[device_assetType],"",0,1)</f>
        <v>AIX-LPAR</v>
      </c>
      <c r="S41"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41" s="211" t="str">
        <f>_xlfn.XLOOKUP(tblEvntScope[[#This Row],[Hostname]],tblTM[common_assetName],tblTM[device_custom26],"",0,1)</f>
        <v>No</v>
      </c>
      <c r="U41" s="221">
        <f>_xlfn.XLOOKUP(tblEvntScope[[#This Row],[Hostname]],tblTM[common_assetName],tblTM[device_custom29],"",0,1)</f>
        <v>0</v>
      </c>
      <c r="V41" s="221"/>
      <c r="W41" s="221"/>
      <c r="X41"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41" s="223">
        <f>_xlfn.XLOOKUP(tblEvntScope[[#This Row],[Hostname]],tblTM[common_assetName],tblTM[device_custom17],"",0,1)</f>
        <v>0</v>
      </c>
      <c r="Z41" s="223">
        <f>IFERROR(IF(tblEvntScope[[#This Row],[Target IPs ]]="","",_xlfn.XLOOKUP(tblEvntScope[[#This Row],[Hostname]],tblTM[common_assetName],tblTM[device_custom14],"",0,1)),"")</f>
        <v>0</v>
      </c>
      <c r="AA41" s="223">
        <f>IFERROR(IF(tblEvntScope[[#This Row],[Target IPs ]]="","",_xlfn.XLOOKUP(tblEvntScope[[#This Row],[Hostname]],tblTM[common_assetName],tblTM[device_custom12],"",0,1)),"")</f>
        <v>0</v>
      </c>
      <c r="AB41" s="224">
        <f>IFERROR(_xlfn.XLOOKUP(tblEvntScope[[#This Row],[Hostname]],tblTM[common_assetName],tblTM[device_custom64],"",0)+_xlfn.XLOOKUP(tblEvntScope[[#This Row],[Hostname]],tblTM[common_assetName],tblTM[device_size],"",0),"")</f>
        <v>66.125</v>
      </c>
      <c r="AC41" s="225"/>
      <c r="AD41" s="226">
        <v>569137</v>
      </c>
      <c r="AE41" s="223" t="str">
        <f>CONCATENATE(tblEvntScope[[#This Row],[Application Name]],tblEvntScope[[#This Row],[Hostname]])</f>
        <v>SOA/API - Enterprise Services-Devvaathmr433</v>
      </c>
    </row>
    <row r="42" spans="1:31" ht="15.5" thickTop="1" thickBot="1" x14ac:dyDescent="0.4">
      <c r="A42" s="217" t="str">
        <f>SUBSTITUTE(_xlfn.XLOOKUP(tblEvntScope[[#This Row],[AssetDependencyId]],tblDependencies[AssetDependencyId],tblDependencies[DependentBundle],"",0,1),"AppGroup","ME")</f>
        <v>MEA190</v>
      </c>
      <c r="B42" s="218">
        <f>TMWorkbook!$C$2</f>
        <v>46210</v>
      </c>
      <c r="C42" s="219"/>
      <c r="D42" s="199" t="str">
        <f>_xlfn.XLOOKUP(tblEvntScope[[#This Row],[AssetDependencyId]],tblDependencies[AssetDependencyId],tblDependencies[AssetName],"",0,1)</f>
        <v>SOA/API/DATAPOWER - Enterprise Services-Dev</v>
      </c>
      <c r="E42" s="199" t="str">
        <f>_xlfn.XLOOKUP(tblEvntScope[[#This Row],[Application Name]],tblApplications[common_assetName],tblApplications[application_appOwner],"",0,1)</f>
        <v>Srini Amathi</v>
      </c>
      <c r="F42" s="199" t="str">
        <f>_xlfn.XLOOKUP(tblEvntScope[[#This Row],[Application Name]],tblApplications[common_assetName],tblApplications[application_custom6],"",0,1)</f>
        <v>Chennakesavan, Anand</v>
      </c>
      <c r="G42" s="198">
        <f>_xlfn.XLOOKUP(tblEvntScope[[#This Row],[Application Name]],tblApplications[common_assetName],tblApplications[application_sme2],"",0,1)</f>
        <v>0</v>
      </c>
      <c r="H42" s="199" t="str">
        <f>LOWER(_xlfn.XLOOKUP(tblEvntScope[[#This Row],[Application Name]],tblApplications[common_assetName],tblApplications[application_custom23],"",0,1))</f>
        <v>dl-iasmonitoring@anthem.com; dl-advancedsoamonitoring@anthem.com; dl-soa-changemanagement@anthem.com</v>
      </c>
      <c r="I42" s="198" t="str">
        <f>_xlfn.XLOOKUP(tblEvntScope[[#This Row],[AssetDependencyId]],tblDependencies[AssetDependencyId],tblDependencies[DependentName],"",0,1)</f>
        <v>va10n10144</v>
      </c>
      <c r="J42" s="199" t="str">
        <f>TEXT(_xlfn.XLOOKUP(tblEvntScope[[#This Row],[Hostname]],tblPMView[Hostname],tblPMView[Scope],"",0,1),"")</f>
        <v/>
      </c>
      <c r="K42" s="199" t="str">
        <f>_xlfn.XLOOKUP(tblEvntScope[[#This Row],[Hostname]],tblTM[common_assetName],tblTM[device_ipAddress],"",0,1)</f>
        <v>30.135.106.116,30.135.106.112,30.135.106.113</v>
      </c>
      <c r="L42" s="199" t="str">
        <f>_xlfn.LET(_xlpm.loc,LEFT(tblEvntScope[[#This Row],[Hostname]],4),IF(LEFT(LOWER(_xlpm.loc),3)="vaa","Richmond",_xlfn.XLOOKUP(_xlpm.loc,tblLocationCodes[LocAbbr],tblLocationCodes[Location],"",0,1)))</f>
        <v>Richmond</v>
      </c>
      <c r="M42" s="198"/>
      <c r="N42" s="198"/>
      <c r="O42" s="199" t="str">
        <f>_xlfn.XLOOKUP(tblEvntScope[[#This Row],[Hostname]],tblTM[common_assetName],tblTM[device_custom35],"",0,1)</f>
        <v>MQ</v>
      </c>
      <c r="P42" s="199" t="str">
        <f>IF(tblEvntScope[[#This Row],[Device Type]]="Server",_xlfn.XLOOKUP(tblEvntScope[[#This Row],[Hostname]],tblTM[common_assetName],tblTM[device_custom60],"",0,1),"")</f>
        <v/>
      </c>
      <c r="Q42" s="220" t="str">
        <f>_xlfn.XLOOKUP(tblEvntScope[[#This Row],[Hostname]],tblTM[common_assetName],tblTM[common_environment],"",0,1)</f>
        <v>Development</v>
      </c>
      <c r="R42" s="199" t="str">
        <f>_xlfn.XLOOKUP(tblEvntScope[[#This Row],[Hostname]],tblTM[common_assetName],tblTM[device_assetType],"",0,1)</f>
        <v>AIX-LPAR</v>
      </c>
      <c r="S42"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42" s="211" t="str">
        <f>_xlfn.XLOOKUP(tblEvntScope[[#This Row],[Hostname]],tblTM[common_assetName],tblTM[device_custom26],"",0,1)</f>
        <v>No</v>
      </c>
      <c r="U42" s="221">
        <f>_xlfn.XLOOKUP(tblEvntScope[[#This Row],[Hostname]],tblTM[common_assetName],tblTM[device_custom29],"",0,1)</f>
        <v>0</v>
      </c>
      <c r="V42" s="221"/>
      <c r="W42" s="221"/>
      <c r="X42"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42" s="223">
        <f>_xlfn.XLOOKUP(tblEvntScope[[#This Row],[Hostname]],tblTM[common_assetName],tblTM[device_custom17],"",0,1)</f>
        <v>0</v>
      </c>
      <c r="Z42" s="223">
        <f>IFERROR(IF(tblEvntScope[[#This Row],[Target IPs ]]="","",_xlfn.XLOOKUP(tblEvntScope[[#This Row],[Hostname]],tblTM[common_assetName],tblTM[device_custom14],"",0,1)),"")</f>
        <v>0</v>
      </c>
      <c r="AA42" s="223">
        <f>IFERROR(IF(tblEvntScope[[#This Row],[Target IPs ]]="","",_xlfn.XLOOKUP(tblEvntScope[[#This Row],[Hostname]],tblTM[common_assetName],tblTM[device_custom12],"",0,1)),"")</f>
        <v>0</v>
      </c>
      <c r="AB42" s="224">
        <f>IFERROR(_xlfn.XLOOKUP(tblEvntScope[[#This Row],[Hostname]],tblTM[common_assetName],tblTM[device_custom64],"",0)+_xlfn.XLOOKUP(tblEvntScope[[#This Row],[Hostname]],tblTM[common_assetName],tblTM[device_size],"",0),"")</f>
        <v>266</v>
      </c>
      <c r="AC42" s="225"/>
      <c r="AD42" s="226">
        <v>672376</v>
      </c>
      <c r="AE42" s="223" t="str">
        <f>CONCATENATE(tblEvntScope[[#This Row],[Application Name]],tblEvntScope[[#This Row],[Hostname]])</f>
        <v>SOA/API/DATAPOWER - Enterprise Services-Devva10n10144</v>
      </c>
    </row>
    <row r="43" spans="1:31" ht="15.5" thickTop="1" thickBot="1" x14ac:dyDescent="0.4">
      <c r="A43" s="217" t="str">
        <f>SUBSTITUTE(_xlfn.XLOOKUP(tblEvntScope[[#This Row],[AssetDependencyId]],tblDependencies[AssetDependencyId],tblDependencies[DependentBundle],"",0,1),"AppGroup","ME")</f>
        <v>MEA190</v>
      </c>
      <c r="B43" s="218">
        <f>TMWorkbook!$C$2</f>
        <v>46210</v>
      </c>
      <c r="C43" s="219"/>
      <c r="D43" s="199" t="str">
        <f>_xlfn.XLOOKUP(tblEvntScope[[#This Row],[AssetDependencyId]],tblDependencies[AssetDependencyId],tblDependencies[AssetName],"",0,1)</f>
        <v>SOA/API/DATAPOWER - Enterprise Services-Dev</v>
      </c>
      <c r="E43" s="199" t="str">
        <f>_xlfn.XLOOKUP(tblEvntScope[[#This Row],[Application Name]],tblApplications[common_assetName],tblApplications[application_appOwner],"",0,1)</f>
        <v>Srini Amathi</v>
      </c>
      <c r="F43" s="199" t="str">
        <f>_xlfn.XLOOKUP(tblEvntScope[[#This Row],[Application Name]],tblApplications[common_assetName],tblApplications[application_custom6],"",0,1)</f>
        <v>Chennakesavan, Anand</v>
      </c>
      <c r="G43" s="198">
        <f>_xlfn.XLOOKUP(tblEvntScope[[#This Row],[Application Name]],tblApplications[common_assetName],tblApplications[application_sme2],"",0,1)</f>
        <v>0</v>
      </c>
      <c r="H43" s="199" t="str">
        <f>LOWER(_xlfn.XLOOKUP(tblEvntScope[[#This Row],[Application Name]],tblApplications[common_assetName],tblApplications[application_custom23],"",0,1))</f>
        <v>dl-iasmonitoring@anthem.com; dl-advancedsoamonitoring@anthem.com; dl-soa-changemanagement@anthem.com</v>
      </c>
      <c r="I43" s="198" t="str">
        <f>_xlfn.XLOOKUP(tblEvntScope[[#This Row],[AssetDependencyId]],tblDependencies[AssetDependencyId],tblDependencies[DependentName],"",0,1)</f>
        <v>va10n10145</v>
      </c>
      <c r="J43" s="199" t="str">
        <f>TEXT(_xlfn.XLOOKUP(tblEvntScope[[#This Row],[Hostname]],tblPMView[Hostname],tblPMView[Scope],"",0,1),"")</f>
        <v/>
      </c>
      <c r="K43" s="199" t="str">
        <f>_xlfn.XLOOKUP(tblEvntScope[[#This Row],[Hostname]],tblTM[common_assetName],tblTM[device_ipAddress],"",0,1)</f>
        <v>30.135.106.114,30.135.106.115,30.135.106.117</v>
      </c>
      <c r="L43" s="199" t="str">
        <f>_xlfn.LET(_xlpm.loc,LEFT(tblEvntScope[[#This Row],[Hostname]],4),IF(LEFT(LOWER(_xlpm.loc),3)="vaa","Richmond",_xlfn.XLOOKUP(_xlpm.loc,tblLocationCodes[LocAbbr],tblLocationCodes[Location],"",0,1)))</f>
        <v>Richmond</v>
      </c>
      <c r="M43" s="198"/>
      <c r="N43" s="198"/>
      <c r="O43" s="199" t="str">
        <f>_xlfn.XLOOKUP(tblEvntScope[[#This Row],[Hostname]],tblTM[common_assetName],tblTM[device_custom35],"",0,1)</f>
        <v>MQ</v>
      </c>
      <c r="P43" s="199" t="str">
        <f>IF(tblEvntScope[[#This Row],[Device Type]]="Server",_xlfn.XLOOKUP(tblEvntScope[[#This Row],[Hostname]],tblTM[common_assetName],tblTM[device_custom60],"",0,1),"")</f>
        <v/>
      </c>
      <c r="Q43" s="220" t="str">
        <f>_xlfn.XLOOKUP(tblEvntScope[[#This Row],[Hostname]],tblTM[common_assetName],tblTM[common_environment],"",0,1)</f>
        <v>Development</v>
      </c>
      <c r="R43" s="199" t="str">
        <f>_xlfn.XLOOKUP(tblEvntScope[[#This Row],[Hostname]],tblTM[common_assetName],tblTM[device_assetType],"",0,1)</f>
        <v>AIX-LPAR</v>
      </c>
      <c r="S43"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T43" s="211" t="str">
        <f>_xlfn.XLOOKUP(tblEvntScope[[#This Row],[Hostname]],tblTM[common_assetName],tblTM[device_custom26],"",0,1)</f>
        <v>No</v>
      </c>
      <c r="U43" s="221">
        <f>_xlfn.XLOOKUP(tblEvntScope[[#This Row],[Hostname]],tblTM[common_assetName],tblTM[device_custom29],"",0,1)</f>
        <v>0</v>
      </c>
      <c r="V43" s="221"/>
      <c r="W43" s="221"/>
      <c r="X43"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IBM Cloud Dedicated - Ashburn</v>
      </c>
      <c r="Y43" s="223">
        <f>_xlfn.XLOOKUP(tblEvntScope[[#This Row],[Hostname]],tblTM[common_assetName],tblTM[device_custom17],"",0,1)</f>
        <v>0</v>
      </c>
      <c r="Z43" s="223">
        <f>IFERROR(IF(tblEvntScope[[#This Row],[Target IPs ]]="","",_xlfn.XLOOKUP(tblEvntScope[[#This Row],[Hostname]],tblTM[common_assetName],tblTM[device_custom14],"",0,1)),"")</f>
        <v>0</v>
      </c>
      <c r="AA43" s="223">
        <f>IFERROR(IF(tblEvntScope[[#This Row],[Target IPs ]]="","",_xlfn.XLOOKUP(tblEvntScope[[#This Row],[Hostname]],tblTM[common_assetName],tblTM[device_custom12],"",0,1)),"")</f>
        <v>0</v>
      </c>
      <c r="AB43" s="224">
        <f>IFERROR(_xlfn.XLOOKUP(tblEvntScope[[#This Row],[Hostname]],tblTM[common_assetName],tblTM[device_custom64],"",0)+_xlfn.XLOOKUP(tblEvntScope[[#This Row],[Hostname]],tblTM[common_assetName],tblTM[device_size],"",0),"")</f>
        <v>265.625</v>
      </c>
      <c r="AC43" s="225"/>
      <c r="AD43" s="226">
        <v>672375</v>
      </c>
      <c r="AE43" s="223" t="str">
        <f>CONCATENATE(tblEvntScope[[#This Row],[Application Name]],tblEvntScope[[#This Row],[Hostname]])</f>
        <v>SOA/API/DATAPOWER - Enterprise Services-Devva10n10145</v>
      </c>
    </row>
    <row r="44" spans="1:31" ht="15.5" thickTop="1" thickBot="1" x14ac:dyDescent="0.4">
      <c r="A44" s="217" t="str">
        <f>SUBSTITUTE(_xlfn.XLOOKUP(tblEvntScope[[#This Row],[AssetDependencyId]],tblDependencies[AssetDependencyId],tblDependencies[DependentBundle],"",0,1),"AppGroup","ME")</f>
        <v>MEA190</v>
      </c>
      <c r="B44" s="218">
        <f>TMWorkbook!$C$2</f>
        <v>46210</v>
      </c>
      <c r="C44" s="219"/>
      <c r="D44" s="199" t="str">
        <f>_xlfn.XLOOKUP(tblEvntScope[[#This Row],[AssetDependencyId]],tblDependencies[AssetDependencyId],tblDependencies[AssetName],"",0,1)</f>
        <v>SQL Server System Database-Dev</v>
      </c>
      <c r="E44" s="199" t="str">
        <f>_xlfn.XLOOKUP(tblEvntScope[[#This Row],[Application Name]],tblApplications[common_assetName],tblApplications[application_appOwner],"",0,1)</f>
        <v>Erwin Salazar</v>
      </c>
      <c r="F44" s="199" t="str">
        <f>_xlfn.XLOOKUP(tblEvntScope[[#This Row],[Application Name]],tblApplications[common_assetName],tblApplications[application_custom6],"",0,1)</f>
        <v>Rosenthal, Evan</v>
      </c>
      <c r="G44" s="198" t="str">
        <f>_xlfn.XLOOKUP(tblEvntScope[[#This Row],[Application Name]],tblApplications[common_assetName],tblApplications[application_sme2],"",0,1)</f>
        <v>Boyd Nichols</v>
      </c>
      <c r="H44" s="199" t="str">
        <f>LOWER(_xlfn.XLOOKUP(tblEvntScope[[#This Row],[Application Name]],tblApplications[common_assetName],tblApplications[application_custom23],"",0,1))</f>
        <v>dl-wdbs-sql-dba@anthem.com</v>
      </c>
      <c r="I44" s="198" t="str">
        <f>_xlfn.XLOOKUP(tblEvntScope[[#This Row],[AssetDependencyId]],tblDependencies[AssetDependencyId],tblDependencies[DependentName],"",0,1)</f>
        <v>VA33DWPSQL311A</v>
      </c>
      <c r="J44" s="199" t="str">
        <f>TEXT(_xlfn.XLOOKUP(tblEvntScope[[#This Row],[Hostname]],tblPMView[Hostname],tblPMView[Scope],"",0,1),"")</f>
        <v/>
      </c>
      <c r="K44" s="199" t="str">
        <f>_xlfn.XLOOKUP(tblEvntScope[[#This Row],[Hostname]],tblTM[common_assetName],tblTM[device_ipAddress],"",0,1)</f>
        <v>30.118.198.20</v>
      </c>
      <c r="L44" s="199" t="str">
        <f>_xlfn.LET(_xlpm.loc,LEFT(tblEvntScope[[#This Row],[Hostname]],4),IF(LEFT(LOWER(_xlpm.loc),3)="vaa","Richmond",_xlfn.XLOOKUP(_xlpm.loc,tblLocationCodes[LocAbbr],tblLocationCodes[Location],"",0,1)))</f>
        <v>Harrisonburg</v>
      </c>
      <c r="M44" s="198"/>
      <c r="N44" s="198"/>
      <c r="O44" s="199" t="str">
        <f>_xlfn.XLOOKUP(tblEvntScope[[#This Row],[Hostname]],tblTM[common_assetName],tblTM[device_custom35],"",0,1)</f>
        <v>Database - SQL</v>
      </c>
      <c r="P44" s="199" t="str">
        <f>IF(tblEvntScope[[#This Row],[Device Type]]="Server",_xlfn.XLOOKUP(tblEvntScope[[#This Row],[Hostname]],tblTM[common_assetName],tblTM[device_custom60],"",0,1),"")</f>
        <v>P2V</v>
      </c>
      <c r="Q44" s="220" t="str">
        <f>_xlfn.XLOOKUP(tblEvntScope[[#This Row],[Hostname]],tblTM[common_assetName],tblTM[common_environment],"",0,1)</f>
        <v>Development</v>
      </c>
      <c r="R44" s="199" t="str">
        <f>_xlfn.XLOOKUP(tblEvntScope[[#This Row],[Hostname]],tblTM[common_assetName],tblTM[device_assetType],"",0,1)</f>
        <v>Server</v>
      </c>
      <c r="S44"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T44" s="211" t="str">
        <f>_xlfn.XLOOKUP(tblEvntScope[[#This Row],[Hostname]],tblTM[common_assetName],tblTM[device_custom26],"",0,1)</f>
        <v>No</v>
      </c>
      <c r="U44" s="221">
        <f>_xlfn.XLOOKUP(tblEvntScope[[#This Row],[Hostname]],tblTM[common_assetName],tblTM[device_custom29],"",0,1)</f>
        <v>0</v>
      </c>
      <c r="V44" s="221"/>
      <c r="W44" s="221"/>
      <c r="X44"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44" s="223">
        <f>_xlfn.XLOOKUP(tblEvntScope[[#This Row],[Hostname]],tblTM[common_assetName],tblTM[device_custom17],"",0,1)</f>
        <v>0</v>
      </c>
      <c r="Z44" s="223">
        <f>IFERROR(IF(tblEvntScope[[#This Row],[Target IPs ]]="","",_xlfn.XLOOKUP(tblEvntScope[[#This Row],[Hostname]],tblTM[common_assetName],tblTM[device_custom14],"",0,1)),"")</f>
        <v>0</v>
      </c>
      <c r="AA44" s="223">
        <f>IFERROR(IF(tblEvntScope[[#This Row],[Target IPs ]]="","",_xlfn.XLOOKUP(tblEvntScope[[#This Row],[Hostname]],tblTM[common_assetName],tblTM[device_custom12],"",0,1)),"")</f>
        <v>0</v>
      </c>
      <c r="AB44" s="224">
        <f>IFERROR(_xlfn.XLOOKUP(tblEvntScope[[#This Row],[Hostname]],tblTM[common_assetName],tblTM[device_custom64],"",0)+_xlfn.XLOOKUP(tblEvntScope[[#This Row],[Hostname]],tblTM[common_assetName],tblTM[device_size],"",0),"")</f>
        <v>484.96476749999999</v>
      </c>
      <c r="AC44" s="225"/>
      <c r="AD44" s="226">
        <v>581341</v>
      </c>
      <c r="AE44" s="223" t="str">
        <f>CONCATENATE(tblEvntScope[[#This Row],[Application Name]],tblEvntScope[[#This Row],[Hostname]])</f>
        <v>SQL Server System Database-DevVA33DWPSQL311A</v>
      </c>
    </row>
    <row r="45" spans="1:31" ht="15.5" thickTop="1" thickBot="1" x14ac:dyDescent="0.4">
      <c r="A45" s="217" t="str">
        <f>SUBSTITUTE(_xlfn.XLOOKUP(tblEvntScope[[#This Row],[AssetDependencyId]],tblDependencies[AssetDependencyId],tblDependencies[DependentBundle],"",0,1),"AppGroup","ME")</f>
        <v>MEA190</v>
      </c>
      <c r="B45" s="218">
        <f>TMWorkbook!$C$2</f>
        <v>46210</v>
      </c>
      <c r="C45" s="219"/>
      <c r="D45" s="199" t="str">
        <f>_xlfn.XLOOKUP(tblEvntScope[[#This Row],[AssetDependencyId]],tblDependencies[AssetDependencyId],tblDependencies[AssetName],"",0,1)</f>
        <v>SQL Server System Database-Dev</v>
      </c>
      <c r="E45" s="199" t="str">
        <f>_xlfn.XLOOKUP(tblEvntScope[[#This Row],[Application Name]],tblApplications[common_assetName],tblApplications[application_appOwner],"",0,1)</f>
        <v>Erwin Salazar</v>
      </c>
      <c r="F45" s="199" t="str">
        <f>_xlfn.XLOOKUP(tblEvntScope[[#This Row],[Application Name]],tblApplications[common_assetName],tblApplications[application_custom6],"",0,1)</f>
        <v>Rosenthal, Evan</v>
      </c>
      <c r="G45" s="198" t="str">
        <f>_xlfn.XLOOKUP(tblEvntScope[[#This Row],[Application Name]],tblApplications[common_assetName],tblApplications[application_sme2],"",0,1)</f>
        <v>Boyd Nichols</v>
      </c>
      <c r="H45" s="199" t="str">
        <f>LOWER(_xlfn.XLOOKUP(tblEvntScope[[#This Row],[Application Name]],tblApplications[common_assetName],tblApplications[application_custom23],"",0,1))</f>
        <v>dl-wdbs-sql-dba@anthem.com</v>
      </c>
      <c r="I45" s="198" t="str">
        <f>_xlfn.XLOOKUP(tblEvntScope[[#This Row],[AssetDependencyId]],tblDependencies[AssetDependencyId],tblDependencies[DependentName],"",0,1)</f>
        <v>VA33DWPSQL311B</v>
      </c>
      <c r="J45" s="199" t="str">
        <f>TEXT(_xlfn.XLOOKUP(tblEvntScope[[#This Row],[Hostname]],tblPMView[Hostname],tblPMView[Scope],"",0,1),"")</f>
        <v/>
      </c>
      <c r="K45" s="199" t="str">
        <f>_xlfn.XLOOKUP(tblEvntScope[[#This Row],[Hostname]],tblTM[common_assetName],tblTM[device_ipAddress],"",0,1)</f>
        <v>30.118.198.21,30.118.198.23</v>
      </c>
      <c r="L45" s="199" t="str">
        <f>_xlfn.LET(_xlpm.loc,LEFT(tblEvntScope[[#This Row],[Hostname]],4),IF(LEFT(LOWER(_xlpm.loc),3)="vaa","Richmond",_xlfn.XLOOKUP(_xlpm.loc,tblLocationCodes[LocAbbr],tblLocationCodes[Location],"",0,1)))</f>
        <v>Harrisonburg</v>
      </c>
      <c r="M45" s="198"/>
      <c r="N45" s="198"/>
      <c r="O45" s="199" t="str">
        <f>_xlfn.XLOOKUP(tblEvntScope[[#This Row],[Hostname]],tblTM[common_assetName],tblTM[device_custom35],"",0,1)</f>
        <v>Database - SQL</v>
      </c>
      <c r="P45" s="199" t="str">
        <f>IF(tblEvntScope[[#This Row],[Device Type]]="Server",_xlfn.XLOOKUP(tblEvntScope[[#This Row],[Hostname]],tblTM[common_assetName],tblTM[device_custom60],"",0,1),"")</f>
        <v>P2V</v>
      </c>
      <c r="Q45" s="220" t="str">
        <f>_xlfn.XLOOKUP(tblEvntScope[[#This Row],[Hostname]],tblTM[common_assetName],tblTM[common_environment],"",0,1)</f>
        <v>Development</v>
      </c>
      <c r="R45" s="199" t="str">
        <f>_xlfn.XLOOKUP(tblEvntScope[[#This Row],[Hostname]],tblTM[common_assetName],tblTM[device_assetType],"",0,1)</f>
        <v>Server</v>
      </c>
      <c r="S45"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T45" s="211" t="str">
        <f>_xlfn.XLOOKUP(tblEvntScope[[#This Row],[Hostname]],tblTM[common_assetName],tblTM[device_custom26],"",0,1)</f>
        <v>No</v>
      </c>
      <c r="U45" s="221">
        <f>_xlfn.XLOOKUP(tblEvntScope[[#This Row],[Hostname]],tblTM[common_assetName],tblTM[device_custom29],"",0,1)</f>
        <v>0</v>
      </c>
      <c r="V45" s="221"/>
      <c r="W45" s="221"/>
      <c r="X45"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45" s="223">
        <f>_xlfn.XLOOKUP(tblEvntScope[[#This Row],[Hostname]],tblTM[common_assetName],tblTM[device_custom17],"",0,1)</f>
        <v>0</v>
      </c>
      <c r="Z45" s="223">
        <f>IFERROR(IF(tblEvntScope[[#This Row],[Target IPs ]]="","",_xlfn.XLOOKUP(tblEvntScope[[#This Row],[Hostname]],tblTM[common_assetName],tblTM[device_custom14],"",0,1)),"")</f>
        <v>0</v>
      </c>
      <c r="AA45" s="223">
        <f>IFERROR(IF(tblEvntScope[[#This Row],[Target IPs ]]="","",_xlfn.XLOOKUP(tblEvntScope[[#This Row],[Hostname]],tblTM[common_assetName],tblTM[device_custom12],"",0,1)),"")</f>
        <v>0</v>
      </c>
      <c r="AB45" s="224">
        <f>IFERROR(_xlfn.XLOOKUP(tblEvntScope[[#This Row],[Hostname]],tblTM[common_assetName],tblTM[device_custom64],"",0)+_xlfn.XLOOKUP(tblEvntScope[[#This Row],[Hostname]],tblTM[common_assetName],tblTM[device_size],"",0),"")</f>
        <v>1584.8941500000001</v>
      </c>
      <c r="AC45" s="225"/>
      <c r="AD45" s="226">
        <v>581342</v>
      </c>
      <c r="AE45" s="223" t="str">
        <f>CONCATENATE(tblEvntScope[[#This Row],[Application Name]],tblEvntScope[[#This Row],[Hostname]])</f>
        <v>SQL Server System Database-DevVA33DWPSQL311B</v>
      </c>
    </row>
    <row r="46" spans="1:31" ht="15.5" thickTop="1" thickBot="1" x14ac:dyDescent="0.4">
      <c r="A46" s="217" t="str">
        <f>SUBSTITUTE(_xlfn.XLOOKUP(tblEvntScope[[#This Row],[AssetDependencyId]],tblDependencies[AssetDependencyId],tblDependencies[DependentBundle],"",0,1),"AppGroup","ME")</f>
        <v>MEA190</v>
      </c>
      <c r="B46" s="218">
        <f>TMWorkbook!$C$2</f>
        <v>46210</v>
      </c>
      <c r="C46" s="219"/>
      <c r="D46" s="199" t="str">
        <f>_xlfn.XLOOKUP(tblEvntScope[[#This Row],[AssetDependencyId]],tblDependencies[AssetDependencyId],tblDependencies[AssetName],"",0,1)</f>
        <v>SQL Server System Database-Test</v>
      </c>
      <c r="E46" s="199" t="str">
        <f>_xlfn.XLOOKUP(tblEvntScope[[#This Row],[Application Name]],tblApplications[common_assetName],tblApplications[application_appOwner],"",0,1)</f>
        <v>Erwin Salazar</v>
      </c>
      <c r="F46" s="199" t="str">
        <f>_xlfn.XLOOKUP(tblEvntScope[[#This Row],[Application Name]],tblApplications[common_assetName],tblApplications[application_custom6],"",0,1)</f>
        <v>Rosenthal, Evan</v>
      </c>
      <c r="G46" s="198" t="str">
        <f>_xlfn.XLOOKUP(tblEvntScope[[#This Row],[Application Name]],tblApplications[common_assetName],tblApplications[application_sme2],"",0,1)</f>
        <v>Boyd Nichols</v>
      </c>
      <c r="H46" s="199" t="str">
        <f>LOWER(_xlfn.XLOOKUP(tblEvntScope[[#This Row],[Application Name]],tblApplications[common_assetName],tblApplications[application_custom23],"",0,1))</f>
        <v>dl-wdbs-sql-dba@anthem.com</v>
      </c>
      <c r="I46" s="198" t="str">
        <f>_xlfn.XLOOKUP(tblEvntScope[[#This Row],[AssetDependencyId]],tblDependencies[AssetDependencyId],tblDependencies[DependentName],"",0,1)</f>
        <v>VA33TWPSQL303A</v>
      </c>
      <c r="J46" s="199" t="str">
        <f>TEXT(_xlfn.XLOOKUP(tblEvntScope[[#This Row],[Hostname]],tblPMView[Hostname],tblPMView[Scope],"",0,1),"")</f>
        <v/>
      </c>
      <c r="K46" s="199" t="str">
        <f>_xlfn.XLOOKUP(tblEvntScope[[#This Row],[Hostname]],tblTM[common_assetName],tblTM[device_ipAddress],"",0,1)</f>
        <v>30.118.196.105, 30.118.196.108</v>
      </c>
      <c r="L46" s="199" t="str">
        <f>_xlfn.LET(_xlpm.loc,LEFT(tblEvntScope[[#This Row],[Hostname]],4),IF(LEFT(LOWER(_xlpm.loc),3)="vaa","Richmond",_xlfn.XLOOKUP(_xlpm.loc,tblLocationCodes[LocAbbr],tblLocationCodes[Location],"",0,1)))</f>
        <v>Harrisonburg</v>
      </c>
      <c r="M46" s="198"/>
      <c r="N46" s="198"/>
      <c r="O46" s="199" t="str">
        <f>_xlfn.XLOOKUP(tblEvntScope[[#This Row],[Hostname]],tblTM[common_assetName],tblTM[device_custom35],"",0,1)</f>
        <v>Database - SQL</v>
      </c>
      <c r="P46" s="199" t="str">
        <f>IF(tblEvntScope[[#This Row],[Device Type]]="Server",_xlfn.XLOOKUP(tblEvntScope[[#This Row],[Hostname]],tblTM[common_assetName],tblTM[device_custom60],"",0,1),"")</f>
        <v>P2P-IRF</v>
      </c>
      <c r="Q46" s="220" t="str">
        <f>_xlfn.XLOOKUP(tblEvntScope[[#This Row],[Hostname]],tblTM[common_assetName],tblTM[common_environment],"",0,1)</f>
        <v>Test</v>
      </c>
      <c r="R46" s="199" t="str">
        <f>_xlfn.XLOOKUP(tblEvntScope[[#This Row],[Hostname]],tblTM[common_assetName],tblTM[device_assetType],"",0,1)</f>
        <v>Server</v>
      </c>
      <c r="S46"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T46" s="211" t="str">
        <f>_xlfn.XLOOKUP(tblEvntScope[[#This Row],[Hostname]],tblTM[common_assetName],tblTM[device_custom26],"",0,1)</f>
        <v>No</v>
      </c>
      <c r="U46" s="221">
        <f>_xlfn.XLOOKUP(tblEvntScope[[#This Row],[Hostname]],tblTM[common_assetName],tblTM[device_custom29],"",0,1)</f>
        <v>0</v>
      </c>
      <c r="V46" s="221"/>
      <c r="W46" s="221"/>
      <c r="X46"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46" s="223">
        <f>_xlfn.XLOOKUP(tblEvntScope[[#This Row],[Hostname]],tblTM[common_assetName],tblTM[device_custom17],"",0,1)</f>
        <v>0</v>
      </c>
      <c r="Z46" s="223">
        <f>IFERROR(IF(tblEvntScope[[#This Row],[Target IPs ]]="","",_xlfn.XLOOKUP(tblEvntScope[[#This Row],[Hostname]],tblTM[common_assetName],tblTM[device_custom14],"",0,1)),"")</f>
        <v>0</v>
      </c>
      <c r="AA46" s="223">
        <f>IFERROR(IF(tblEvntScope[[#This Row],[Target IPs ]]="","",_xlfn.XLOOKUP(tblEvntScope[[#This Row],[Hostname]],tblTM[common_assetName],tblTM[device_custom12],"",0,1)),"")</f>
        <v>0</v>
      </c>
      <c r="AB46" s="224">
        <f>IFERROR(_xlfn.XLOOKUP(tblEvntScope[[#This Row],[Hostname]],tblTM[common_assetName],tblTM[device_custom64],"",0)+_xlfn.XLOOKUP(tblEvntScope[[#This Row],[Hostname]],tblTM[common_assetName],tblTM[device_size],"",0),"")</f>
        <v>1770.2046969999999</v>
      </c>
      <c r="AC46" s="225"/>
      <c r="AD46" s="226">
        <v>631245</v>
      </c>
      <c r="AE46" s="223" t="str">
        <f>CONCATENATE(tblEvntScope[[#This Row],[Application Name]],tblEvntScope[[#This Row],[Hostname]])</f>
        <v>SQL Server System Database-TestVA33TWPSQL303A</v>
      </c>
    </row>
    <row r="47" spans="1:31" ht="15.5" thickTop="1" thickBot="1" x14ac:dyDescent="0.4">
      <c r="A47" s="217" t="str">
        <f>SUBSTITUTE(_xlfn.XLOOKUP(tblEvntScope[[#This Row],[AssetDependencyId]],tblDependencies[AssetDependencyId],tblDependencies[DependentBundle],"",0,1),"AppGroup","ME")</f>
        <v>MEA190</v>
      </c>
      <c r="B47" s="218">
        <f>TMWorkbook!$C$2</f>
        <v>46210</v>
      </c>
      <c r="C47" s="219"/>
      <c r="D47" s="199" t="str">
        <f>_xlfn.XLOOKUP(tblEvntScope[[#This Row],[AssetDependencyId]],tblDependencies[AssetDependencyId],tblDependencies[AssetName],"",0,1)</f>
        <v>SQL Server System Database-Test</v>
      </c>
      <c r="E47" s="199" t="str">
        <f>_xlfn.XLOOKUP(tblEvntScope[[#This Row],[Application Name]],tblApplications[common_assetName],tblApplications[application_appOwner],"",0,1)</f>
        <v>Erwin Salazar</v>
      </c>
      <c r="F47" s="199" t="str">
        <f>_xlfn.XLOOKUP(tblEvntScope[[#This Row],[Application Name]],tblApplications[common_assetName],tblApplications[application_custom6],"",0,1)</f>
        <v>Rosenthal, Evan</v>
      </c>
      <c r="G47" s="198" t="str">
        <f>_xlfn.XLOOKUP(tblEvntScope[[#This Row],[Application Name]],tblApplications[common_assetName],tblApplications[application_sme2],"",0,1)</f>
        <v>Boyd Nichols</v>
      </c>
      <c r="H47" s="199" t="str">
        <f>LOWER(_xlfn.XLOOKUP(tblEvntScope[[#This Row],[Application Name]],tblApplications[common_assetName],tblApplications[application_custom23],"",0,1))</f>
        <v>dl-wdbs-sql-dba@anthem.com</v>
      </c>
      <c r="I47" s="198" t="str">
        <f>_xlfn.XLOOKUP(tblEvntScope[[#This Row],[AssetDependencyId]],tblDependencies[AssetDependencyId],tblDependencies[DependentName],"",0,1)</f>
        <v>VA33TWPSQL303B</v>
      </c>
      <c r="J47" s="199" t="str">
        <f>TEXT(_xlfn.XLOOKUP(tblEvntScope[[#This Row],[Hostname]],tblPMView[Hostname],tblPMView[Scope],"",0,1),"")</f>
        <v/>
      </c>
      <c r="K47" s="199" t="str">
        <f>_xlfn.XLOOKUP(tblEvntScope[[#This Row],[Hostname]],tblTM[common_assetName],tblTM[device_ipAddress],"",0,1)</f>
        <v>30.118.196.106,30.118.196.107</v>
      </c>
      <c r="L47" s="199" t="str">
        <f>_xlfn.LET(_xlpm.loc,LEFT(tblEvntScope[[#This Row],[Hostname]],4),IF(LEFT(LOWER(_xlpm.loc),3)="vaa","Richmond",_xlfn.XLOOKUP(_xlpm.loc,tblLocationCodes[LocAbbr],tblLocationCodes[Location],"",0,1)))</f>
        <v>Harrisonburg</v>
      </c>
      <c r="M47" s="198"/>
      <c r="N47" s="198"/>
      <c r="O47" s="199" t="str">
        <f>_xlfn.XLOOKUP(tblEvntScope[[#This Row],[Hostname]],tblTM[common_assetName],tblTM[device_custom35],"",0,1)</f>
        <v>Database - SQL</v>
      </c>
      <c r="P47" s="199" t="str">
        <f>IF(tblEvntScope[[#This Row],[Device Type]]="Server",_xlfn.XLOOKUP(tblEvntScope[[#This Row],[Hostname]],tblTM[common_assetName],tblTM[device_custom60],"",0,1),"")</f>
        <v>P2P-IRF</v>
      </c>
      <c r="Q47" s="220" t="str">
        <f>_xlfn.XLOOKUP(tblEvntScope[[#This Row],[Hostname]],tblTM[common_assetName],tblTM[common_environment],"",0,1)</f>
        <v>Test</v>
      </c>
      <c r="R47" s="199" t="str">
        <f>_xlfn.XLOOKUP(tblEvntScope[[#This Row],[Hostname]],tblTM[common_assetName],tblTM[device_assetType],"",0,1)</f>
        <v>Server</v>
      </c>
      <c r="S47" s="199"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T47" s="211" t="str">
        <f>_xlfn.XLOOKUP(tblEvntScope[[#This Row],[Hostname]],tblTM[common_assetName],tblTM[device_custom26],"",0,1)</f>
        <v>No</v>
      </c>
      <c r="U47" s="221">
        <f>_xlfn.XLOOKUP(tblEvntScope[[#This Row],[Hostname]],tblTM[common_assetName],tblTM[device_custom29],"",0,1)</f>
        <v>0</v>
      </c>
      <c r="V47" s="221"/>
      <c r="W47" s="221"/>
      <c r="X47" s="222"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Dell BMaaS - Ashburn</v>
      </c>
      <c r="Y47" s="223">
        <f>_xlfn.XLOOKUP(tblEvntScope[[#This Row],[Hostname]],tblTM[common_assetName],tblTM[device_custom17],"",0,1)</f>
        <v>0</v>
      </c>
      <c r="Z47" s="223">
        <f>IFERROR(IF(tblEvntScope[[#This Row],[Target IPs ]]="","",_xlfn.XLOOKUP(tblEvntScope[[#This Row],[Hostname]],tblTM[common_assetName],tblTM[device_custom14],"",0,1)),"")</f>
        <v>0</v>
      </c>
      <c r="AA47" s="223">
        <f>IFERROR(IF(tblEvntScope[[#This Row],[Target IPs ]]="","",_xlfn.XLOOKUP(tblEvntScope[[#This Row],[Hostname]],tblTM[common_assetName],tblTM[device_custom12],"",0,1)),"")</f>
        <v>0</v>
      </c>
      <c r="AB47" s="224">
        <f>IFERROR(_xlfn.XLOOKUP(tblEvntScope[[#This Row],[Hostname]],tblTM[common_assetName],tblTM[device_custom64],"",0)+_xlfn.XLOOKUP(tblEvntScope[[#This Row],[Hostname]],tblTM[common_assetName],tblTM[device_size],"",0),"")</f>
        <v>544.96672439999998</v>
      </c>
      <c r="AC47" s="225"/>
      <c r="AD47" s="226">
        <v>670754</v>
      </c>
      <c r="AE47" s="223" t="str">
        <f>CONCATENATE(tblEvntScope[[#This Row],[Application Name]],tblEvntScope[[#This Row],[Hostname]])</f>
        <v>SQL Server System Database-TestVA33TWPSQL303B</v>
      </c>
    </row>
    <row r="48" spans="1:31" ht="15" thickTop="1" x14ac:dyDescent="0.35"/>
  </sheetData>
  <phoneticPr fontId="14" type="noConversion"/>
  <conditionalFormatting sqref="L2:N47">
    <cfRule type="expression" dxfId="80" priority="37">
      <formula>LEFT(INDIRECT("tblEvntScope[@Source Location]"),4)="Virg"</formula>
    </cfRule>
    <cfRule type="expression" dxfId="79" priority="38">
      <formula>LEFT(INDIRECT("tblEvntScope[@Source Location]"),4)="Rich"</formula>
    </cfRule>
    <cfRule type="expression" dxfId="78" priority="39">
      <formula>LEFT(INDIRECT("tblEvntScope[@Source Location]"),4)="Harr"</formula>
    </cfRule>
    <cfRule type="expression" dxfId="77" priority="40">
      <formula>LEFT(INDIRECT("tblEvntScope[@Source Location]"),4)="StLo"</formula>
    </cfRule>
  </conditionalFormatting>
  <conditionalFormatting sqref="Q2:Q47">
    <cfRule type="expression" dxfId="76" priority="34">
      <formula>LEFT(INDIRECT("tblEvntScope[@Environment]"),4)="Deve"</formula>
    </cfRule>
    <cfRule type="expression" dxfId="75" priority="35">
      <formula>LEFT(INDIRECT("tblEvntScope[@Environment]"),4)="Test"</formula>
    </cfRule>
    <cfRule type="expression" dxfId="74" priority="36">
      <formula>LEFT(INDIRECT("tblEvntScope[@Environment]"),4)="Prod"</formula>
    </cfRule>
  </conditionalFormatting>
  <conditionalFormatting sqref="R2:R47">
    <cfRule type="expression" dxfId="73" priority="30">
      <formula>INDIRECT("tblEvntScope[@Device Type]")="Server"</formula>
    </cfRule>
    <cfRule type="expression" dxfId="72" priority="31">
      <formula>LEFT(INDIRECT("tblEvntScope[@Device Type]"),8)="Linux-VM"</formula>
    </cfRule>
    <cfRule type="expression" dxfId="71" priority="32">
      <formula>LEFT(INDIRECT("tblEvntScope[@Device Type]"),3)="AIX"</formula>
    </cfRule>
  </conditionalFormatting>
  <conditionalFormatting sqref="Y2:AE47 A2:S47">
    <cfRule type="expression" dxfId="70" priority="18">
      <formula>INDIRECT("tblEvntScope[@Scope]")="OOS"</formula>
    </cfRule>
  </conditionalFormatting>
  <conditionalFormatting sqref="U2:W47">
    <cfRule type="cellIs" dxfId="69" priority="13" operator="between">
      <formula>"TSM "</formula>
      <formula>"TSMZ"</formula>
    </cfRule>
    <cfRule type="cellIs" dxfId="68" priority="14" operator="equal">
      <formula>"SRM"</formula>
    </cfRule>
    <cfRule type="cellIs" dxfId="67" priority="15" operator="equal">
      <formula>"Global Mirror"</formula>
    </cfRule>
    <cfRule type="cellIs" dxfId="66" priority="16" operator="equal">
      <formula>"Zerto"</formula>
    </cfRule>
  </conditionalFormatting>
  <conditionalFormatting sqref="S2:S47">
    <cfRule type="expression" dxfId="65" priority="23">
      <formula>LEFT(INDIRECT("tblEvntScope[@Operating System]"),6)="MS Win"</formula>
    </cfRule>
    <cfRule type="expression" dxfId="64" priority="24">
      <formula>LEFT(INDIRECT("tblEvntScope[@Operating System]"),4)="RHEL"</formula>
    </cfRule>
    <cfRule type="expression" dxfId="63" priority="25">
      <formula>LEFT(INDIRECT("tblEvntScope[@Operating System]"),4)="UNIX"</formula>
    </cfRule>
    <cfRule type="expression" dxfId="62" priority="26">
      <formula>LEFT(INDIRECT("tblEvntScope[@Operating System]"),4)="OSCP"</formula>
    </cfRule>
    <cfRule type="expression" dxfId="61" priority="27">
      <formula>LEFT(INDIRECT("tblEvntScope[@Operating System]"),6)="PwrLnx"</formula>
    </cfRule>
    <cfRule type="expression" dxfId="60" priority="28">
      <formula>LEFT(INDIRECT("tblEvntScope[@Operating System]"),3)="AIX"</formula>
    </cfRule>
  </conditionalFormatting>
  <conditionalFormatting sqref="K2:K47 T2:T47">
    <cfRule type="expression" dxfId="59" priority="11">
      <formula>INDIRECT("tblEvntScope[@DMZ]")="Yes"</formula>
    </cfRule>
  </conditionalFormatting>
  <conditionalFormatting sqref="C1">
    <cfRule type="cellIs" dxfId="58" priority="6" operator="equal">
      <formula>"???"</formula>
    </cfRule>
  </conditionalFormatting>
  <conditionalFormatting sqref="X2:X47">
    <cfRule type="expression" dxfId="57" priority="5">
      <formula>INDIRECT("tblPMView[@Scope]")="OOS"</formula>
    </cfRule>
  </conditionalFormatting>
  <conditionalFormatting sqref="X2:X47">
    <cfRule type="beginsWith" dxfId="56" priority="2" operator="beginsWith" text="IBM">
      <formula>LEFT(X2,LEN("IBM"))="IBM"</formula>
    </cfRule>
    <cfRule type="beginsWith" dxfId="55" priority="3" operator="beginsWith" text="IBM Cloud Dedicated">
      <formula>LEFT(X2,LEN("IBM Cloud Dedicated"))="IBM Cloud Dedicated"</formula>
    </cfRule>
    <cfRule type="beginsWith" dxfId="54" priority="4" operator="beginsWith" text="Azure">
      <formula>LEFT(X2,LEN("Azure"))="Azure"</formula>
    </cfRule>
  </conditionalFormatting>
  <conditionalFormatting sqref="AD2:AE1048576">
    <cfRule type="duplicateValues" dxfId="53" priority="1"/>
  </conditionalFormatting>
  <conditionalFormatting sqref="AB2:AB47">
    <cfRule type="colorScale" priority="81209">
      <colorScale>
        <cfvo type="min"/>
        <cfvo type="max"/>
        <color theme="5" tint="0.79998168889431442"/>
        <color theme="5" tint="-0.249977111117893"/>
      </colorScale>
    </cfRule>
  </conditionalFormatting>
  <conditionalFormatting sqref="I2:I47">
    <cfRule type="duplicateValues" dxfId="52" priority="81210"/>
  </conditionalFormatting>
  <dataValidations count="1">
    <dataValidation type="list" allowBlank="1" showInputMessage="1" showErrorMessage="1" sqref="C2:C47" xr:uid="{84FABDA1-6A64-4009-AD57-EE524535A8BA}">
      <formula1>"Initial, New,  Deleted"</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821BE-87C4-7C4B-839F-6C845A001447}">
  <sheetPr codeName="Sheet10">
    <tabColor theme="9" tint="-0.499984740745262"/>
  </sheetPr>
  <dimension ref="A1:AV47"/>
  <sheetViews>
    <sheetView topLeftCell="AI1" zoomScale="71" zoomScaleNormal="71" workbookViewId="0">
      <selection activeCell="AN2" sqref="AN2:AN47"/>
    </sheetView>
  </sheetViews>
  <sheetFormatPr defaultColWidth="11" defaultRowHeight="15.5" x14ac:dyDescent="0.35"/>
  <cols>
    <col min="1" max="1" width="13.58203125" style="3" bestFit="1" customWidth="1"/>
    <col min="2" max="2" width="26.08203125" customWidth="1"/>
    <col min="3" max="4" width="13.08203125" bestFit="1" customWidth="1"/>
    <col min="5" max="5" width="14" bestFit="1" customWidth="1"/>
    <col min="6" max="6" width="16.58203125" customWidth="1"/>
    <col min="7" max="7" width="30.58203125" customWidth="1"/>
    <col min="8" max="8" width="16.58203125" customWidth="1"/>
    <col min="9" max="9" width="31.6640625" bestFit="1" customWidth="1"/>
    <col min="10" max="10" width="20.58203125" customWidth="1"/>
    <col min="11" max="11" width="36.58203125" customWidth="1"/>
    <col min="12" max="12" width="23.9140625" bestFit="1" customWidth="1"/>
    <col min="13" max="13" width="8.58203125" customWidth="1"/>
    <col min="14" max="14" width="6.83203125" bestFit="1" customWidth="1"/>
    <col min="15" max="15" width="10.08203125" customWidth="1"/>
    <col min="16" max="16" width="40.58203125" customWidth="1"/>
    <col min="17" max="17" width="42.58203125" customWidth="1"/>
    <col min="21" max="22" width="18.58203125" bestFit="1" customWidth="1"/>
    <col min="23" max="23" width="13.5" bestFit="1" customWidth="1"/>
    <col min="24" max="31" width="18.58203125" bestFit="1" customWidth="1"/>
    <col min="32" max="32" width="18.58203125" customWidth="1"/>
    <col min="33" max="33" width="20.6640625" bestFit="1" customWidth="1"/>
    <col min="34" max="34" width="20.58203125" bestFit="1" customWidth="1"/>
    <col min="35" max="35" width="19.08203125" customWidth="1"/>
    <col min="36" max="36" width="25.33203125" bestFit="1" customWidth="1"/>
    <col min="37" max="38" width="18.6640625" bestFit="1" customWidth="1"/>
    <col min="39" max="39" width="20.1640625" bestFit="1" customWidth="1"/>
    <col min="41" max="41" width="20.58203125" bestFit="1" customWidth="1"/>
    <col min="42" max="43" width="16.58203125" customWidth="1"/>
    <col min="45" max="45" width="21.08203125" bestFit="1" customWidth="1"/>
    <col min="47" max="47" width="11.9140625" bestFit="1" customWidth="1"/>
    <col min="48" max="48" width="20.1640625" bestFit="1" customWidth="1"/>
  </cols>
  <sheetData>
    <row r="1" spans="1:48" s="4" customFormat="1" ht="19.5" customHeight="1" x14ac:dyDescent="0.35">
      <c r="A1" s="3" t="s">
        <v>111</v>
      </c>
      <c r="B1" t="s">
        <v>112</v>
      </c>
      <c r="C1" t="s">
        <v>113</v>
      </c>
      <c r="D1" t="s">
        <v>114</v>
      </c>
      <c r="E1" t="s">
        <v>115</v>
      </c>
      <c r="F1" t="s">
        <v>116</v>
      </c>
      <c r="G1" t="s">
        <v>117</v>
      </c>
      <c r="H1" t="s">
        <v>118</v>
      </c>
      <c r="I1" t="s">
        <v>119</v>
      </c>
      <c r="J1" t="s">
        <v>120</v>
      </c>
      <c r="K1" t="s">
        <v>121</v>
      </c>
      <c r="L1" t="s">
        <v>122</v>
      </c>
      <c r="M1" t="s">
        <v>123</v>
      </c>
      <c r="N1" t="s">
        <v>124</v>
      </c>
      <c r="O1" t="s">
        <v>125</v>
      </c>
      <c r="P1" t="s">
        <v>126</v>
      </c>
      <c r="Q1" t="s">
        <v>127</v>
      </c>
      <c r="R1" t="s">
        <v>128</v>
      </c>
      <c r="S1" t="s">
        <v>129</v>
      </c>
      <c r="T1" t="s">
        <v>130</v>
      </c>
      <c r="U1" t="s">
        <v>131</v>
      </c>
      <c r="V1" t="s">
        <v>132</v>
      </c>
      <c r="W1" t="s">
        <v>133</v>
      </c>
      <c r="X1" t="s">
        <v>134</v>
      </c>
      <c r="Y1" t="s">
        <v>135</v>
      </c>
      <c r="Z1" t="s">
        <v>136</v>
      </c>
      <c r="AA1" s="98" t="s">
        <v>137</v>
      </c>
      <c r="AB1" t="s">
        <v>138</v>
      </c>
      <c r="AC1" t="s">
        <v>139</v>
      </c>
      <c r="AD1" t="s">
        <v>140</v>
      </c>
      <c r="AE1" t="s">
        <v>141</v>
      </c>
      <c r="AF1" t="s">
        <v>142</v>
      </c>
      <c r="AG1" t="s">
        <v>143</v>
      </c>
      <c r="AH1" t="s">
        <v>144</v>
      </c>
      <c r="AI1" t="s">
        <v>149</v>
      </c>
      <c r="AJ1" t="s">
        <v>363</v>
      </c>
      <c r="AK1" t="s">
        <v>150</v>
      </c>
      <c r="AL1" t="s">
        <v>151</v>
      </c>
      <c r="AM1" t="s">
        <v>361</v>
      </c>
      <c r="AN1" t="s">
        <v>88</v>
      </c>
      <c r="AO1" t="s">
        <v>364</v>
      </c>
      <c r="AP1" s="105" t="s">
        <v>145</v>
      </c>
      <c r="AQ1" s="105" t="s">
        <v>146</v>
      </c>
      <c r="AR1" s="105" t="s">
        <v>147</v>
      </c>
      <c r="AS1" s="105" t="s">
        <v>148</v>
      </c>
      <c r="AT1" s="105" t="s">
        <v>414</v>
      </c>
      <c r="AU1" s="105" t="s">
        <v>435</v>
      </c>
      <c r="AV1" s="105" t="s">
        <v>436</v>
      </c>
    </row>
    <row r="2" spans="1:48" x14ac:dyDescent="0.35">
      <c r="A2" s="185">
        <v>335763</v>
      </c>
      <c r="B2" s="186" t="s">
        <v>706</v>
      </c>
      <c r="C2" s="186" t="s">
        <v>478</v>
      </c>
      <c r="D2" s="186" t="s">
        <v>21</v>
      </c>
      <c r="E2" s="186" t="s">
        <v>252</v>
      </c>
      <c r="F2" s="186" t="s">
        <v>277</v>
      </c>
      <c r="G2" s="186">
        <v>8.1</v>
      </c>
      <c r="H2" s="186" t="s">
        <v>597</v>
      </c>
      <c r="I2" s="186" t="s">
        <v>598</v>
      </c>
      <c r="J2" s="187" t="s">
        <v>707</v>
      </c>
      <c r="K2" s="186" t="s">
        <v>708</v>
      </c>
      <c r="L2" s="186"/>
      <c r="M2" s="186"/>
      <c r="N2" s="186" t="s">
        <v>484</v>
      </c>
      <c r="O2" s="186"/>
      <c r="P2" s="186"/>
      <c r="Q2" s="186"/>
      <c r="R2" s="186">
        <v>755.06</v>
      </c>
      <c r="S2" s="186">
        <v>96</v>
      </c>
      <c r="T2" s="186">
        <v>11126.08274</v>
      </c>
      <c r="U2" s="186" t="s">
        <v>52</v>
      </c>
      <c r="V2" s="186"/>
      <c r="W2" s="186"/>
      <c r="X2" s="186"/>
      <c r="Y2" s="186" t="s">
        <v>54</v>
      </c>
      <c r="Z2" s="186" t="s">
        <v>484</v>
      </c>
      <c r="AA2" s="188"/>
      <c r="AB2" s="186"/>
      <c r="AC2" s="186"/>
      <c r="AD2" s="186"/>
      <c r="AE2" s="186"/>
      <c r="AF2" s="40"/>
      <c r="AG2" s="40"/>
      <c r="AH2" s="40"/>
      <c r="AI2" s="186"/>
      <c r="AJ2" s="40"/>
      <c r="AK2" s="186" t="s">
        <v>487</v>
      </c>
      <c r="AL2" s="186" t="s">
        <v>488</v>
      </c>
      <c r="AM2" s="186" t="s">
        <v>709</v>
      </c>
      <c r="AN2" s="189" t="s">
        <v>788</v>
      </c>
      <c r="AO2" s="40"/>
      <c r="AP2" s="160" t="s">
        <v>492</v>
      </c>
      <c r="AQ2" s="190"/>
      <c r="AR2" s="190"/>
      <c r="AS2" s="190"/>
      <c r="AT2" s="190"/>
      <c r="AU2" s="190"/>
      <c r="AV2" s="190"/>
    </row>
    <row r="3" spans="1:48" ht="31" x14ac:dyDescent="0.35">
      <c r="A3" s="185">
        <v>335764</v>
      </c>
      <c r="B3" s="186" t="s">
        <v>702</v>
      </c>
      <c r="C3" s="186" t="s">
        <v>478</v>
      </c>
      <c r="D3" s="186" t="s">
        <v>21</v>
      </c>
      <c r="E3" s="186" t="s">
        <v>252</v>
      </c>
      <c r="F3" s="186" t="s">
        <v>277</v>
      </c>
      <c r="G3" s="186">
        <v>8.1</v>
      </c>
      <c r="H3" s="186" t="s">
        <v>597</v>
      </c>
      <c r="I3" s="186" t="s">
        <v>598</v>
      </c>
      <c r="J3" s="187" t="s">
        <v>703</v>
      </c>
      <c r="K3" s="186" t="s">
        <v>704</v>
      </c>
      <c r="L3" s="186"/>
      <c r="M3" s="186"/>
      <c r="N3" s="186" t="s">
        <v>484</v>
      </c>
      <c r="O3" s="186"/>
      <c r="P3" s="186"/>
      <c r="Q3" s="186"/>
      <c r="R3" s="186">
        <v>755.06</v>
      </c>
      <c r="S3" s="186">
        <v>96</v>
      </c>
      <c r="T3" s="186">
        <v>11126.11204</v>
      </c>
      <c r="U3" s="186" t="s">
        <v>52</v>
      </c>
      <c r="V3" s="186"/>
      <c r="W3" s="186"/>
      <c r="X3" s="186"/>
      <c r="Y3" s="186" t="s">
        <v>54</v>
      </c>
      <c r="Z3" s="186" t="s">
        <v>484</v>
      </c>
      <c r="AA3" s="188"/>
      <c r="AB3" s="186"/>
      <c r="AC3" s="186"/>
      <c r="AD3" s="186"/>
      <c r="AE3" s="186"/>
      <c r="AF3" s="40"/>
      <c r="AG3" s="40"/>
      <c r="AH3" s="40"/>
      <c r="AI3" s="186"/>
      <c r="AJ3" s="40"/>
      <c r="AK3" s="186" t="s">
        <v>487</v>
      </c>
      <c r="AL3" s="186" t="s">
        <v>488</v>
      </c>
      <c r="AM3" s="186" t="s">
        <v>705</v>
      </c>
      <c r="AN3" s="189" t="s">
        <v>788</v>
      </c>
      <c r="AO3" s="40"/>
      <c r="AP3" s="160" t="s">
        <v>492</v>
      </c>
      <c r="AQ3" s="190"/>
      <c r="AR3" s="190"/>
      <c r="AS3" s="190"/>
      <c r="AT3" s="190"/>
      <c r="AU3" s="190"/>
      <c r="AV3" s="190"/>
    </row>
    <row r="4" spans="1:48" x14ac:dyDescent="0.35">
      <c r="A4" s="185">
        <v>335765</v>
      </c>
      <c r="B4" s="186" t="s">
        <v>698</v>
      </c>
      <c r="C4" s="186" t="s">
        <v>478</v>
      </c>
      <c r="D4" s="186" t="s">
        <v>21</v>
      </c>
      <c r="E4" s="186" t="s">
        <v>252</v>
      </c>
      <c r="F4" s="186" t="s">
        <v>277</v>
      </c>
      <c r="G4" s="186">
        <v>8.1</v>
      </c>
      <c r="H4" s="186" t="s">
        <v>597</v>
      </c>
      <c r="I4" s="186" t="s">
        <v>598</v>
      </c>
      <c r="J4" s="187" t="s">
        <v>699</v>
      </c>
      <c r="K4" s="186" t="s">
        <v>700</v>
      </c>
      <c r="L4" s="186"/>
      <c r="M4" s="186"/>
      <c r="N4" s="186" t="s">
        <v>484</v>
      </c>
      <c r="O4" s="186"/>
      <c r="P4" s="186"/>
      <c r="Q4" s="186"/>
      <c r="R4" s="186">
        <v>755.06</v>
      </c>
      <c r="S4" s="186">
        <v>96</v>
      </c>
      <c r="T4" s="186">
        <v>11126.11204</v>
      </c>
      <c r="U4" s="186" t="s">
        <v>52</v>
      </c>
      <c r="V4" s="186"/>
      <c r="W4" s="186"/>
      <c r="X4" s="186"/>
      <c r="Y4" s="186" t="s">
        <v>54</v>
      </c>
      <c r="Z4" s="186" t="s">
        <v>484</v>
      </c>
      <c r="AA4" s="188"/>
      <c r="AB4" s="186"/>
      <c r="AC4" s="186"/>
      <c r="AD4" s="186"/>
      <c r="AE4" s="186"/>
      <c r="AF4" s="40"/>
      <c r="AG4" s="40"/>
      <c r="AH4" s="40"/>
      <c r="AI4" s="186"/>
      <c r="AJ4" s="40"/>
      <c r="AK4" s="186" t="s">
        <v>487</v>
      </c>
      <c r="AL4" s="186" t="s">
        <v>488</v>
      </c>
      <c r="AM4" s="186" t="s">
        <v>701</v>
      </c>
      <c r="AN4" s="189" t="s">
        <v>788</v>
      </c>
      <c r="AO4" s="40"/>
      <c r="AP4" s="160" t="s">
        <v>492</v>
      </c>
      <c r="AQ4" s="190"/>
      <c r="AR4" s="190"/>
      <c r="AS4" s="190"/>
      <c r="AT4" s="190"/>
      <c r="AU4" s="190"/>
      <c r="AV4" s="190"/>
    </row>
    <row r="5" spans="1:48" x14ac:dyDescent="0.35">
      <c r="A5" s="185">
        <v>335766</v>
      </c>
      <c r="B5" s="186" t="s">
        <v>694</v>
      </c>
      <c r="C5" s="186" t="s">
        <v>478</v>
      </c>
      <c r="D5" s="186" t="s">
        <v>21</v>
      </c>
      <c r="E5" s="186" t="s">
        <v>252</v>
      </c>
      <c r="F5" s="186" t="s">
        <v>277</v>
      </c>
      <c r="G5" s="186">
        <v>8.1</v>
      </c>
      <c r="H5" s="186" t="s">
        <v>597</v>
      </c>
      <c r="I5" s="186" t="s">
        <v>598</v>
      </c>
      <c r="J5" s="187" t="s">
        <v>695</v>
      </c>
      <c r="K5" s="186" t="s">
        <v>696</v>
      </c>
      <c r="L5" s="186"/>
      <c r="M5" s="186"/>
      <c r="N5" s="186" t="s">
        <v>484</v>
      </c>
      <c r="O5" s="186"/>
      <c r="P5" s="186"/>
      <c r="Q5" s="186"/>
      <c r="R5" s="186">
        <v>755.06</v>
      </c>
      <c r="S5" s="186">
        <v>96</v>
      </c>
      <c r="T5" s="186">
        <v>11126.11204</v>
      </c>
      <c r="U5" s="186" t="s">
        <v>52</v>
      </c>
      <c r="V5" s="186"/>
      <c r="W5" s="186"/>
      <c r="X5" s="186"/>
      <c r="Y5" s="186" t="s">
        <v>54</v>
      </c>
      <c r="Z5" s="186" t="s">
        <v>484</v>
      </c>
      <c r="AA5" s="188"/>
      <c r="AB5" s="186"/>
      <c r="AC5" s="186"/>
      <c r="AD5" s="186"/>
      <c r="AE5" s="186"/>
      <c r="AF5" s="40"/>
      <c r="AG5" s="40"/>
      <c r="AH5" s="40"/>
      <c r="AI5" s="186"/>
      <c r="AJ5" s="40"/>
      <c r="AK5" s="186" t="s">
        <v>487</v>
      </c>
      <c r="AL5" s="186" t="s">
        <v>488</v>
      </c>
      <c r="AM5" s="186" t="s">
        <v>697</v>
      </c>
      <c r="AN5" s="189" t="s">
        <v>788</v>
      </c>
      <c r="AO5" s="40"/>
      <c r="AP5" s="160" t="s">
        <v>492</v>
      </c>
      <c r="AQ5" s="190"/>
      <c r="AR5" s="190"/>
      <c r="AS5" s="190"/>
      <c r="AT5" s="190"/>
      <c r="AU5" s="190"/>
      <c r="AV5" s="190"/>
    </row>
    <row r="6" spans="1:48" x14ac:dyDescent="0.35">
      <c r="A6" s="185">
        <v>335767</v>
      </c>
      <c r="B6" s="186" t="s">
        <v>690</v>
      </c>
      <c r="C6" s="186" t="s">
        <v>478</v>
      </c>
      <c r="D6" s="186" t="s">
        <v>21</v>
      </c>
      <c r="E6" s="186" t="s">
        <v>252</v>
      </c>
      <c r="F6" s="186" t="s">
        <v>277</v>
      </c>
      <c r="G6" s="186">
        <v>8.1</v>
      </c>
      <c r="H6" s="186" t="s">
        <v>597</v>
      </c>
      <c r="I6" s="186" t="s">
        <v>598</v>
      </c>
      <c r="J6" s="187" t="s">
        <v>691</v>
      </c>
      <c r="K6" s="186" t="s">
        <v>692</v>
      </c>
      <c r="L6" s="186"/>
      <c r="M6" s="186"/>
      <c r="N6" s="186" t="s">
        <v>484</v>
      </c>
      <c r="O6" s="186"/>
      <c r="P6" s="186"/>
      <c r="Q6" s="186"/>
      <c r="R6" s="186">
        <v>755.06</v>
      </c>
      <c r="S6" s="186">
        <v>96</v>
      </c>
      <c r="T6" s="186">
        <v>11126.11204</v>
      </c>
      <c r="U6" s="186" t="s">
        <v>52</v>
      </c>
      <c r="V6" s="186"/>
      <c r="W6" s="186"/>
      <c r="X6" s="186"/>
      <c r="Y6" s="186" t="s">
        <v>54</v>
      </c>
      <c r="Z6" s="186" t="s">
        <v>484</v>
      </c>
      <c r="AA6" s="188"/>
      <c r="AB6" s="186"/>
      <c r="AC6" s="186"/>
      <c r="AD6" s="186"/>
      <c r="AE6" s="186"/>
      <c r="AF6" s="40"/>
      <c r="AG6" s="40"/>
      <c r="AH6" s="40"/>
      <c r="AI6" s="186"/>
      <c r="AJ6" s="40"/>
      <c r="AK6" s="186" t="s">
        <v>487</v>
      </c>
      <c r="AL6" s="186" t="s">
        <v>488</v>
      </c>
      <c r="AM6" s="186" t="s">
        <v>693</v>
      </c>
      <c r="AN6" s="189" t="s">
        <v>788</v>
      </c>
      <c r="AO6" s="40"/>
      <c r="AP6" s="160" t="s">
        <v>492</v>
      </c>
      <c r="AQ6" s="190"/>
      <c r="AR6" s="190"/>
      <c r="AS6" s="190"/>
      <c r="AT6" s="190"/>
      <c r="AU6" s="190"/>
      <c r="AV6" s="190"/>
    </row>
    <row r="7" spans="1:48" ht="31" x14ac:dyDescent="0.35">
      <c r="A7" s="185">
        <v>335768</v>
      </c>
      <c r="B7" s="186" t="s">
        <v>686</v>
      </c>
      <c r="C7" s="186" t="s">
        <v>478</v>
      </c>
      <c r="D7" s="186" t="s">
        <v>21</v>
      </c>
      <c r="E7" s="186" t="s">
        <v>252</v>
      </c>
      <c r="F7" s="186" t="s">
        <v>277</v>
      </c>
      <c r="G7" s="186">
        <v>8.1</v>
      </c>
      <c r="H7" s="186" t="s">
        <v>597</v>
      </c>
      <c r="I7" s="186" t="s">
        <v>598</v>
      </c>
      <c r="J7" s="187" t="s">
        <v>687</v>
      </c>
      <c r="K7" s="186" t="s">
        <v>688</v>
      </c>
      <c r="L7" s="186"/>
      <c r="M7" s="186"/>
      <c r="N7" s="186" t="s">
        <v>484</v>
      </c>
      <c r="O7" s="186"/>
      <c r="P7" s="186"/>
      <c r="Q7" s="186"/>
      <c r="R7" s="186">
        <v>755.06</v>
      </c>
      <c r="S7" s="186">
        <v>96</v>
      </c>
      <c r="T7" s="186">
        <v>11126.11204</v>
      </c>
      <c r="U7" s="186" t="s">
        <v>52</v>
      </c>
      <c r="V7" s="186"/>
      <c r="W7" s="186"/>
      <c r="X7" s="186"/>
      <c r="Y7" s="186" t="s">
        <v>54</v>
      </c>
      <c r="Z7" s="186" t="s">
        <v>484</v>
      </c>
      <c r="AA7" s="188"/>
      <c r="AB7" s="186"/>
      <c r="AC7" s="186"/>
      <c r="AD7" s="186"/>
      <c r="AE7" s="186"/>
      <c r="AF7" s="40"/>
      <c r="AG7" s="40"/>
      <c r="AH7" s="40"/>
      <c r="AI7" s="186"/>
      <c r="AJ7" s="40"/>
      <c r="AK7" s="186" t="s">
        <v>487</v>
      </c>
      <c r="AL7" s="186" t="s">
        <v>488</v>
      </c>
      <c r="AM7" s="186" t="s">
        <v>689</v>
      </c>
      <c r="AN7" s="189" t="s">
        <v>788</v>
      </c>
      <c r="AO7" s="40"/>
      <c r="AP7" s="160" t="s">
        <v>492</v>
      </c>
      <c r="AQ7" s="190"/>
      <c r="AR7" s="190"/>
      <c r="AS7" s="190"/>
      <c r="AT7" s="190"/>
      <c r="AU7" s="190"/>
      <c r="AV7" s="190"/>
    </row>
    <row r="8" spans="1:48" ht="31" x14ac:dyDescent="0.35">
      <c r="A8" s="185">
        <v>335769</v>
      </c>
      <c r="B8" s="186" t="s">
        <v>682</v>
      </c>
      <c r="C8" s="186" t="s">
        <v>478</v>
      </c>
      <c r="D8" s="186" t="s">
        <v>21</v>
      </c>
      <c r="E8" s="186" t="s">
        <v>252</v>
      </c>
      <c r="F8" s="186" t="s">
        <v>277</v>
      </c>
      <c r="G8" s="186">
        <v>8.1</v>
      </c>
      <c r="H8" s="186" t="s">
        <v>597</v>
      </c>
      <c r="I8" s="186" t="s">
        <v>598</v>
      </c>
      <c r="J8" s="187" t="s">
        <v>683</v>
      </c>
      <c r="K8" s="186" t="s">
        <v>684</v>
      </c>
      <c r="L8" s="186"/>
      <c r="M8" s="186"/>
      <c r="N8" s="186" t="s">
        <v>484</v>
      </c>
      <c r="O8" s="186"/>
      <c r="P8" s="186"/>
      <c r="Q8" s="186"/>
      <c r="R8" s="186">
        <v>755.06</v>
      </c>
      <c r="S8" s="186">
        <v>96</v>
      </c>
      <c r="T8" s="186">
        <v>11126.11204</v>
      </c>
      <c r="U8" s="186" t="s">
        <v>52</v>
      </c>
      <c r="V8" s="186"/>
      <c r="W8" s="186"/>
      <c r="X8" s="186"/>
      <c r="Y8" s="186" t="s">
        <v>54</v>
      </c>
      <c r="Z8" s="186" t="s">
        <v>484</v>
      </c>
      <c r="AA8" s="188"/>
      <c r="AB8" s="186"/>
      <c r="AC8" s="186"/>
      <c r="AD8" s="186"/>
      <c r="AE8" s="186"/>
      <c r="AF8" s="40"/>
      <c r="AG8" s="40"/>
      <c r="AH8" s="40"/>
      <c r="AI8" s="186"/>
      <c r="AJ8" s="40"/>
      <c r="AK8" s="186" t="s">
        <v>487</v>
      </c>
      <c r="AL8" s="186" t="s">
        <v>488</v>
      </c>
      <c r="AM8" s="186" t="s">
        <v>685</v>
      </c>
      <c r="AN8" s="189" t="s">
        <v>788</v>
      </c>
      <c r="AO8" s="40"/>
      <c r="AP8" s="160" t="s">
        <v>492</v>
      </c>
      <c r="AQ8" s="190"/>
      <c r="AR8" s="190"/>
      <c r="AS8" s="190"/>
      <c r="AT8" s="190"/>
      <c r="AU8" s="190"/>
      <c r="AV8" s="190"/>
    </row>
    <row r="9" spans="1:48" ht="31" x14ac:dyDescent="0.35">
      <c r="A9" s="185">
        <v>335770</v>
      </c>
      <c r="B9" s="186" t="s">
        <v>678</v>
      </c>
      <c r="C9" s="186" t="s">
        <v>478</v>
      </c>
      <c r="D9" s="186" t="s">
        <v>21</v>
      </c>
      <c r="E9" s="186" t="s">
        <v>252</v>
      </c>
      <c r="F9" s="186" t="s">
        <v>277</v>
      </c>
      <c r="G9" s="186">
        <v>8.1</v>
      </c>
      <c r="H9" s="186" t="s">
        <v>597</v>
      </c>
      <c r="I9" s="186" t="s">
        <v>598</v>
      </c>
      <c r="J9" s="187" t="s">
        <v>679</v>
      </c>
      <c r="K9" s="186" t="s">
        <v>680</v>
      </c>
      <c r="L9" s="186"/>
      <c r="M9" s="186"/>
      <c r="N9" s="186" t="s">
        <v>484</v>
      </c>
      <c r="O9" s="186"/>
      <c r="P9" s="186"/>
      <c r="Q9" s="186"/>
      <c r="R9" s="186">
        <v>755.06</v>
      </c>
      <c r="S9" s="186">
        <v>96</v>
      </c>
      <c r="T9" s="186">
        <v>11126.11204</v>
      </c>
      <c r="U9" s="186" t="s">
        <v>52</v>
      </c>
      <c r="V9" s="186"/>
      <c r="W9" s="186"/>
      <c r="X9" s="186"/>
      <c r="Y9" s="186" t="s">
        <v>54</v>
      </c>
      <c r="Z9" s="186" t="s">
        <v>484</v>
      </c>
      <c r="AA9" s="188"/>
      <c r="AB9" s="186"/>
      <c r="AC9" s="186"/>
      <c r="AD9" s="186"/>
      <c r="AE9" s="186"/>
      <c r="AF9" s="40"/>
      <c r="AG9" s="40"/>
      <c r="AH9" s="40"/>
      <c r="AI9" s="186"/>
      <c r="AJ9" s="40"/>
      <c r="AK9" s="186" t="s">
        <v>487</v>
      </c>
      <c r="AL9" s="186" t="s">
        <v>488</v>
      </c>
      <c r="AM9" s="186" t="s">
        <v>681</v>
      </c>
      <c r="AN9" s="189" t="s">
        <v>788</v>
      </c>
      <c r="AO9" s="40"/>
      <c r="AP9" s="160" t="s">
        <v>492</v>
      </c>
      <c r="AQ9" s="190"/>
      <c r="AR9" s="190"/>
      <c r="AS9" s="190"/>
      <c r="AT9" s="190"/>
      <c r="AU9" s="190"/>
      <c r="AV9" s="190"/>
    </row>
    <row r="10" spans="1:48" ht="31" x14ac:dyDescent="0.35">
      <c r="A10" s="185">
        <v>335771</v>
      </c>
      <c r="B10" s="186" t="s">
        <v>674</v>
      </c>
      <c r="C10" s="186" t="s">
        <v>478</v>
      </c>
      <c r="D10" s="186" t="s">
        <v>21</v>
      </c>
      <c r="E10" s="186" t="s">
        <v>252</v>
      </c>
      <c r="F10" s="186" t="s">
        <v>277</v>
      </c>
      <c r="G10" s="186">
        <v>8.1</v>
      </c>
      <c r="H10" s="186" t="s">
        <v>597</v>
      </c>
      <c r="I10" s="186" t="s">
        <v>598</v>
      </c>
      <c r="J10" s="187" t="s">
        <v>675</v>
      </c>
      <c r="K10" s="186" t="s">
        <v>676</v>
      </c>
      <c r="L10" s="186"/>
      <c r="M10" s="186"/>
      <c r="N10" s="186" t="s">
        <v>484</v>
      </c>
      <c r="O10" s="186"/>
      <c r="P10" s="186"/>
      <c r="Q10" s="186"/>
      <c r="R10" s="186">
        <v>755.06</v>
      </c>
      <c r="S10" s="186">
        <v>96</v>
      </c>
      <c r="T10" s="186">
        <v>10955.14134</v>
      </c>
      <c r="U10" s="186" t="s">
        <v>52</v>
      </c>
      <c r="V10" s="186"/>
      <c r="W10" s="186"/>
      <c r="X10" s="186"/>
      <c r="Y10" s="186" t="s">
        <v>54</v>
      </c>
      <c r="Z10" s="186" t="s">
        <v>484</v>
      </c>
      <c r="AA10" s="188"/>
      <c r="AB10" s="186"/>
      <c r="AC10" s="186"/>
      <c r="AD10" s="186"/>
      <c r="AE10" s="186"/>
      <c r="AF10" s="40"/>
      <c r="AG10" s="40"/>
      <c r="AH10" s="40"/>
      <c r="AI10" s="186"/>
      <c r="AJ10" s="40"/>
      <c r="AK10" s="186" t="s">
        <v>487</v>
      </c>
      <c r="AL10" s="186" t="s">
        <v>488</v>
      </c>
      <c r="AM10" s="186" t="s">
        <v>677</v>
      </c>
      <c r="AN10" s="189" t="s">
        <v>788</v>
      </c>
      <c r="AO10" s="40"/>
      <c r="AP10" s="160" t="s">
        <v>492</v>
      </c>
      <c r="AQ10" s="190"/>
      <c r="AR10" s="190"/>
      <c r="AS10" s="190"/>
      <c r="AT10" s="190"/>
      <c r="AU10" s="190"/>
      <c r="AV10" s="190"/>
    </row>
    <row r="11" spans="1:48" x14ac:dyDescent="0.35">
      <c r="A11" s="185">
        <v>335772</v>
      </c>
      <c r="B11" s="186" t="s">
        <v>670</v>
      </c>
      <c r="C11" s="186" t="s">
        <v>478</v>
      </c>
      <c r="D11" s="186" t="s">
        <v>21</v>
      </c>
      <c r="E11" s="186" t="s">
        <v>252</v>
      </c>
      <c r="F11" s="186" t="s">
        <v>277</v>
      </c>
      <c r="G11" s="186">
        <v>8.1</v>
      </c>
      <c r="H11" s="186" t="s">
        <v>597</v>
      </c>
      <c r="I11" s="186" t="s">
        <v>598</v>
      </c>
      <c r="J11" s="187" t="s">
        <v>671</v>
      </c>
      <c r="K11" s="186" t="s">
        <v>672</v>
      </c>
      <c r="L11" s="186"/>
      <c r="M11" s="186"/>
      <c r="N11" s="186" t="s">
        <v>484</v>
      </c>
      <c r="O11" s="186"/>
      <c r="P11" s="186"/>
      <c r="Q11" s="186"/>
      <c r="R11" s="186">
        <v>755.06</v>
      </c>
      <c r="S11" s="186">
        <v>96</v>
      </c>
      <c r="T11" s="186">
        <v>11126.11204</v>
      </c>
      <c r="U11" s="186" t="s">
        <v>52</v>
      </c>
      <c r="V11" s="186"/>
      <c r="W11" s="186"/>
      <c r="X11" s="186"/>
      <c r="Y11" s="186" t="s">
        <v>54</v>
      </c>
      <c r="Z11" s="186" t="s">
        <v>484</v>
      </c>
      <c r="AA11" s="188"/>
      <c r="AB11" s="186"/>
      <c r="AC11" s="186"/>
      <c r="AD11" s="186"/>
      <c r="AE11" s="186"/>
      <c r="AF11" s="40"/>
      <c r="AG11" s="40"/>
      <c r="AH11" s="40"/>
      <c r="AI11" s="186"/>
      <c r="AJ11" s="40"/>
      <c r="AK11" s="186" t="s">
        <v>487</v>
      </c>
      <c r="AL11" s="186" t="s">
        <v>488</v>
      </c>
      <c r="AM11" s="186" t="s">
        <v>673</v>
      </c>
      <c r="AN11" s="189" t="s">
        <v>788</v>
      </c>
      <c r="AO11" s="40"/>
      <c r="AP11" s="160" t="s">
        <v>492</v>
      </c>
      <c r="AQ11" s="190"/>
      <c r="AR11" s="190"/>
      <c r="AS11" s="190"/>
      <c r="AT11" s="190"/>
      <c r="AU11" s="190"/>
      <c r="AV11" s="190"/>
    </row>
    <row r="12" spans="1:48" x14ac:dyDescent="0.35">
      <c r="A12" s="185">
        <v>335773</v>
      </c>
      <c r="B12" s="186" t="s">
        <v>666</v>
      </c>
      <c r="C12" s="186" t="s">
        <v>478</v>
      </c>
      <c r="D12" s="186" t="s">
        <v>21</v>
      </c>
      <c r="E12" s="186" t="s">
        <v>252</v>
      </c>
      <c r="F12" s="186" t="s">
        <v>277</v>
      </c>
      <c r="G12" s="186">
        <v>8.1</v>
      </c>
      <c r="H12" s="186" t="s">
        <v>597</v>
      </c>
      <c r="I12" s="186" t="s">
        <v>598</v>
      </c>
      <c r="J12" s="187" t="s">
        <v>667</v>
      </c>
      <c r="K12" s="186" t="s">
        <v>668</v>
      </c>
      <c r="L12" s="186"/>
      <c r="M12" s="186"/>
      <c r="N12" s="186" t="s">
        <v>484</v>
      </c>
      <c r="O12" s="186"/>
      <c r="P12" s="186"/>
      <c r="Q12" s="186"/>
      <c r="R12" s="186">
        <v>377.07</v>
      </c>
      <c r="S12" s="186">
        <v>40</v>
      </c>
      <c r="T12" s="186">
        <v>1389.8581349999999</v>
      </c>
      <c r="U12" s="186" t="s">
        <v>52</v>
      </c>
      <c r="V12" s="186"/>
      <c r="W12" s="186"/>
      <c r="X12" s="186"/>
      <c r="Y12" s="186" t="s">
        <v>54</v>
      </c>
      <c r="Z12" s="186" t="s">
        <v>484</v>
      </c>
      <c r="AA12" s="188"/>
      <c r="AB12" s="186"/>
      <c r="AC12" s="186"/>
      <c r="AD12" s="186"/>
      <c r="AE12" s="186"/>
      <c r="AF12" s="40"/>
      <c r="AG12" s="40"/>
      <c r="AH12" s="40"/>
      <c r="AI12" s="186"/>
      <c r="AJ12" s="40"/>
      <c r="AK12" s="186" t="s">
        <v>487</v>
      </c>
      <c r="AL12" s="186" t="s">
        <v>488</v>
      </c>
      <c r="AM12" s="186" t="s">
        <v>669</v>
      </c>
      <c r="AN12" s="189" t="s">
        <v>788</v>
      </c>
      <c r="AO12" s="40"/>
      <c r="AP12" s="160" t="s">
        <v>492</v>
      </c>
      <c r="AQ12" s="190"/>
      <c r="AR12" s="190"/>
      <c r="AS12" s="190"/>
      <c r="AT12" s="190"/>
      <c r="AU12" s="190"/>
      <c r="AV12" s="190"/>
    </row>
    <row r="13" spans="1:48" ht="31" x14ac:dyDescent="0.35">
      <c r="A13" s="185">
        <v>335774</v>
      </c>
      <c r="B13" s="186" t="s">
        <v>662</v>
      </c>
      <c r="C13" s="186" t="s">
        <v>478</v>
      </c>
      <c r="D13" s="186" t="s">
        <v>21</v>
      </c>
      <c r="E13" s="186" t="s">
        <v>252</v>
      </c>
      <c r="F13" s="186" t="s">
        <v>277</v>
      </c>
      <c r="G13" s="186">
        <v>8.1</v>
      </c>
      <c r="H13" s="186" t="s">
        <v>597</v>
      </c>
      <c r="I13" s="186" t="s">
        <v>598</v>
      </c>
      <c r="J13" s="187" t="s">
        <v>663</v>
      </c>
      <c r="K13" s="186" t="s">
        <v>664</v>
      </c>
      <c r="L13" s="186"/>
      <c r="M13" s="186"/>
      <c r="N13" s="186" t="s">
        <v>484</v>
      </c>
      <c r="O13" s="186"/>
      <c r="P13" s="186"/>
      <c r="Q13" s="186"/>
      <c r="R13" s="186">
        <v>377.07</v>
      </c>
      <c r="S13" s="186">
        <v>40</v>
      </c>
      <c r="T13" s="186">
        <v>1489.809307</v>
      </c>
      <c r="U13" s="186" t="s">
        <v>52</v>
      </c>
      <c r="V13" s="186"/>
      <c r="W13" s="186"/>
      <c r="X13" s="186"/>
      <c r="Y13" s="186" t="s">
        <v>54</v>
      </c>
      <c r="Z13" s="186" t="s">
        <v>484</v>
      </c>
      <c r="AA13" s="188"/>
      <c r="AB13" s="186"/>
      <c r="AC13" s="186"/>
      <c r="AD13" s="186"/>
      <c r="AE13" s="186"/>
      <c r="AF13" s="40"/>
      <c r="AG13" s="40"/>
      <c r="AH13" s="40"/>
      <c r="AI13" s="186"/>
      <c r="AJ13" s="40"/>
      <c r="AK13" s="186" t="s">
        <v>487</v>
      </c>
      <c r="AL13" s="186" t="s">
        <v>488</v>
      </c>
      <c r="AM13" s="186" t="s">
        <v>665</v>
      </c>
      <c r="AN13" s="189" t="s">
        <v>788</v>
      </c>
      <c r="AO13" s="40"/>
      <c r="AP13" s="160" t="s">
        <v>492</v>
      </c>
      <c r="AQ13" s="190"/>
      <c r="AR13" s="190"/>
      <c r="AS13" s="190"/>
      <c r="AT13" s="190"/>
      <c r="AU13" s="190"/>
      <c r="AV13" s="190"/>
    </row>
    <row r="14" spans="1:48" x14ac:dyDescent="0.35">
      <c r="A14" s="185">
        <v>335775</v>
      </c>
      <c r="B14" s="186" t="s">
        <v>658</v>
      </c>
      <c r="C14" s="186" t="s">
        <v>478</v>
      </c>
      <c r="D14" s="186" t="s">
        <v>21</v>
      </c>
      <c r="E14" s="186" t="s">
        <v>252</v>
      </c>
      <c r="F14" s="186" t="s">
        <v>277</v>
      </c>
      <c r="G14" s="186">
        <v>8.1</v>
      </c>
      <c r="H14" s="186" t="s">
        <v>597</v>
      </c>
      <c r="I14" s="186" t="s">
        <v>598</v>
      </c>
      <c r="J14" s="187" t="s">
        <v>659</v>
      </c>
      <c r="K14" s="186" t="s">
        <v>660</v>
      </c>
      <c r="L14" s="186"/>
      <c r="M14" s="186"/>
      <c r="N14" s="186" t="s">
        <v>484</v>
      </c>
      <c r="O14" s="186"/>
      <c r="P14" s="186"/>
      <c r="Q14" s="186"/>
      <c r="R14" s="186">
        <v>377.07</v>
      </c>
      <c r="S14" s="186">
        <v>40</v>
      </c>
      <c r="T14" s="186">
        <v>1489.809307</v>
      </c>
      <c r="U14" s="186" t="s">
        <v>52</v>
      </c>
      <c r="V14" s="186"/>
      <c r="W14" s="186"/>
      <c r="X14" s="186"/>
      <c r="Y14" s="186" t="s">
        <v>54</v>
      </c>
      <c r="Z14" s="186" t="s">
        <v>484</v>
      </c>
      <c r="AA14" s="188"/>
      <c r="AB14" s="186"/>
      <c r="AC14" s="186"/>
      <c r="AD14" s="186"/>
      <c r="AE14" s="186"/>
      <c r="AF14" s="40"/>
      <c r="AG14" s="40"/>
      <c r="AH14" s="40"/>
      <c r="AI14" s="186"/>
      <c r="AJ14" s="40"/>
      <c r="AK14" s="186" t="s">
        <v>487</v>
      </c>
      <c r="AL14" s="186" t="s">
        <v>488</v>
      </c>
      <c r="AM14" s="186" t="s">
        <v>661</v>
      </c>
      <c r="AN14" s="189" t="s">
        <v>788</v>
      </c>
      <c r="AO14" s="40"/>
      <c r="AP14" s="160" t="s">
        <v>492</v>
      </c>
      <c r="AQ14" s="190"/>
      <c r="AR14" s="190"/>
      <c r="AS14" s="190"/>
      <c r="AT14" s="190"/>
      <c r="AU14" s="190"/>
      <c r="AV14" s="190"/>
    </row>
    <row r="15" spans="1:48" x14ac:dyDescent="0.35">
      <c r="A15" s="185">
        <v>335776</v>
      </c>
      <c r="B15" s="186" t="s">
        <v>654</v>
      </c>
      <c r="C15" s="186" t="s">
        <v>478</v>
      </c>
      <c r="D15" s="186" t="s">
        <v>21</v>
      </c>
      <c r="E15" s="186" t="s">
        <v>252</v>
      </c>
      <c r="F15" s="186" t="s">
        <v>277</v>
      </c>
      <c r="G15" s="186">
        <v>8.1</v>
      </c>
      <c r="H15" s="186" t="s">
        <v>597</v>
      </c>
      <c r="I15" s="186" t="s">
        <v>598</v>
      </c>
      <c r="J15" s="187" t="s">
        <v>655</v>
      </c>
      <c r="K15" s="186" t="s">
        <v>656</v>
      </c>
      <c r="L15" s="186"/>
      <c r="M15" s="186"/>
      <c r="N15" s="186" t="s">
        <v>484</v>
      </c>
      <c r="O15" s="186"/>
      <c r="P15" s="186"/>
      <c r="Q15" s="186"/>
      <c r="R15" s="186">
        <v>377.07</v>
      </c>
      <c r="S15" s="186">
        <v>40</v>
      </c>
      <c r="T15" s="186">
        <v>1509.809307</v>
      </c>
      <c r="U15" s="186" t="s">
        <v>52</v>
      </c>
      <c r="V15" s="186"/>
      <c r="W15" s="186"/>
      <c r="X15" s="186"/>
      <c r="Y15" s="186" t="s">
        <v>54</v>
      </c>
      <c r="Z15" s="186" t="s">
        <v>484</v>
      </c>
      <c r="AA15" s="188"/>
      <c r="AB15" s="186"/>
      <c r="AC15" s="186"/>
      <c r="AD15" s="186"/>
      <c r="AE15" s="186"/>
      <c r="AF15" s="40"/>
      <c r="AG15" s="40"/>
      <c r="AH15" s="40"/>
      <c r="AI15" s="186"/>
      <c r="AJ15" s="40"/>
      <c r="AK15" s="186" t="s">
        <v>487</v>
      </c>
      <c r="AL15" s="186" t="s">
        <v>488</v>
      </c>
      <c r="AM15" s="186" t="s">
        <v>657</v>
      </c>
      <c r="AN15" s="189" t="s">
        <v>788</v>
      </c>
      <c r="AO15" s="40"/>
      <c r="AP15" s="160" t="s">
        <v>492</v>
      </c>
      <c r="AQ15" s="190"/>
      <c r="AR15" s="190"/>
      <c r="AS15" s="190"/>
      <c r="AT15" s="190"/>
      <c r="AU15" s="190"/>
      <c r="AV15" s="190"/>
    </row>
    <row r="16" spans="1:48" x14ac:dyDescent="0.35">
      <c r="A16" s="185">
        <v>335777</v>
      </c>
      <c r="B16" s="186" t="s">
        <v>650</v>
      </c>
      <c r="C16" s="186" t="s">
        <v>478</v>
      </c>
      <c r="D16" s="186" t="s">
        <v>21</v>
      </c>
      <c r="E16" s="186" t="s">
        <v>252</v>
      </c>
      <c r="F16" s="186" t="s">
        <v>277</v>
      </c>
      <c r="G16" s="186">
        <v>8.1</v>
      </c>
      <c r="H16" s="186" t="s">
        <v>597</v>
      </c>
      <c r="I16" s="186" t="s">
        <v>598</v>
      </c>
      <c r="J16" s="187" t="s">
        <v>651</v>
      </c>
      <c r="K16" s="186" t="s">
        <v>652</v>
      </c>
      <c r="L16" s="186"/>
      <c r="M16" s="186"/>
      <c r="N16" s="186" t="s">
        <v>484</v>
      </c>
      <c r="O16" s="186"/>
      <c r="P16" s="186"/>
      <c r="Q16" s="186"/>
      <c r="R16" s="186">
        <v>377.07</v>
      </c>
      <c r="S16" s="186">
        <v>40</v>
      </c>
      <c r="T16" s="186">
        <v>1489.809307</v>
      </c>
      <c r="U16" s="186" t="s">
        <v>52</v>
      </c>
      <c r="V16" s="186"/>
      <c r="W16" s="186"/>
      <c r="X16" s="186"/>
      <c r="Y16" s="186" t="s">
        <v>54</v>
      </c>
      <c r="Z16" s="186" t="s">
        <v>484</v>
      </c>
      <c r="AA16" s="188"/>
      <c r="AB16" s="186"/>
      <c r="AC16" s="186"/>
      <c r="AD16" s="186"/>
      <c r="AE16" s="186"/>
      <c r="AF16" s="40"/>
      <c r="AG16" s="40"/>
      <c r="AH16" s="40"/>
      <c r="AI16" s="186"/>
      <c r="AJ16" s="40"/>
      <c r="AK16" s="186" t="s">
        <v>487</v>
      </c>
      <c r="AL16" s="186" t="s">
        <v>488</v>
      </c>
      <c r="AM16" s="186" t="s">
        <v>653</v>
      </c>
      <c r="AN16" s="189" t="s">
        <v>788</v>
      </c>
      <c r="AO16" s="40"/>
      <c r="AP16" s="160" t="s">
        <v>492</v>
      </c>
      <c r="AQ16" s="190"/>
      <c r="AR16" s="190"/>
      <c r="AS16" s="190"/>
      <c r="AT16" s="190"/>
      <c r="AU16" s="190"/>
      <c r="AV16" s="190"/>
    </row>
    <row r="17" spans="1:48" x14ac:dyDescent="0.35">
      <c r="A17" s="185">
        <v>335778</v>
      </c>
      <c r="B17" s="186" t="s">
        <v>646</v>
      </c>
      <c r="C17" s="186" t="s">
        <v>478</v>
      </c>
      <c r="D17" s="186" t="s">
        <v>21</v>
      </c>
      <c r="E17" s="186" t="s">
        <v>252</v>
      </c>
      <c r="F17" s="186" t="s">
        <v>277</v>
      </c>
      <c r="G17" s="186">
        <v>8.1</v>
      </c>
      <c r="H17" s="186" t="s">
        <v>597</v>
      </c>
      <c r="I17" s="186" t="s">
        <v>598</v>
      </c>
      <c r="J17" s="187" t="s">
        <v>647</v>
      </c>
      <c r="K17" s="186" t="s">
        <v>648</v>
      </c>
      <c r="L17" s="186"/>
      <c r="M17" s="186"/>
      <c r="N17" s="186" t="s">
        <v>484</v>
      </c>
      <c r="O17" s="186"/>
      <c r="P17" s="186"/>
      <c r="Q17" s="186"/>
      <c r="R17" s="186">
        <v>377.07</v>
      </c>
      <c r="S17" s="186">
        <v>40</v>
      </c>
      <c r="T17" s="186">
        <v>1489.809307</v>
      </c>
      <c r="U17" s="186" t="s">
        <v>52</v>
      </c>
      <c r="V17" s="186"/>
      <c r="W17" s="186"/>
      <c r="X17" s="186"/>
      <c r="Y17" s="186" t="s">
        <v>54</v>
      </c>
      <c r="Z17" s="186" t="s">
        <v>484</v>
      </c>
      <c r="AA17" s="188"/>
      <c r="AB17" s="186"/>
      <c r="AC17" s="186"/>
      <c r="AD17" s="186"/>
      <c r="AE17" s="186"/>
      <c r="AF17" s="40"/>
      <c r="AG17" s="40"/>
      <c r="AH17" s="40"/>
      <c r="AI17" s="186"/>
      <c r="AJ17" s="40"/>
      <c r="AK17" s="186" t="s">
        <v>487</v>
      </c>
      <c r="AL17" s="186" t="s">
        <v>488</v>
      </c>
      <c r="AM17" s="186" t="s">
        <v>649</v>
      </c>
      <c r="AN17" s="189" t="s">
        <v>788</v>
      </c>
      <c r="AO17" s="40"/>
      <c r="AP17" s="160" t="s">
        <v>492</v>
      </c>
      <c r="AQ17" s="190"/>
      <c r="AR17" s="190"/>
      <c r="AS17" s="190"/>
      <c r="AT17" s="190"/>
      <c r="AU17" s="190"/>
      <c r="AV17" s="190"/>
    </row>
    <row r="18" spans="1:48" ht="31" x14ac:dyDescent="0.35">
      <c r="A18" s="185">
        <v>335779</v>
      </c>
      <c r="B18" s="186" t="s">
        <v>642</v>
      </c>
      <c r="C18" s="186" t="s">
        <v>478</v>
      </c>
      <c r="D18" s="186" t="s">
        <v>21</v>
      </c>
      <c r="E18" s="186" t="s">
        <v>252</v>
      </c>
      <c r="F18" s="186" t="s">
        <v>277</v>
      </c>
      <c r="G18" s="186">
        <v>8.1</v>
      </c>
      <c r="H18" s="186" t="s">
        <v>597</v>
      </c>
      <c r="I18" s="186" t="s">
        <v>598</v>
      </c>
      <c r="J18" s="187" t="s">
        <v>643</v>
      </c>
      <c r="K18" s="186" t="s">
        <v>644</v>
      </c>
      <c r="L18" s="186"/>
      <c r="M18" s="186"/>
      <c r="N18" s="186" t="s">
        <v>484</v>
      </c>
      <c r="O18" s="186"/>
      <c r="P18" s="186"/>
      <c r="Q18" s="186"/>
      <c r="R18" s="186">
        <v>125.07</v>
      </c>
      <c r="S18" s="186">
        <v>40</v>
      </c>
      <c r="T18" s="186">
        <v>3076.7262989999999</v>
      </c>
      <c r="U18" s="186" t="s">
        <v>52</v>
      </c>
      <c r="V18" s="186"/>
      <c r="W18" s="186"/>
      <c r="X18" s="186"/>
      <c r="Y18" s="186" t="s">
        <v>54</v>
      </c>
      <c r="Z18" s="186" t="s">
        <v>484</v>
      </c>
      <c r="AA18" s="188"/>
      <c r="AB18" s="186"/>
      <c r="AC18" s="186"/>
      <c r="AD18" s="186"/>
      <c r="AE18" s="186"/>
      <c r="AF18" s="40"/>
      <c r="AG18" s="40"/>
      <c r="AH18" s="40"/>
      <c r="AI18" s="186"/>
      <c r="AJ18" s="40"/>
      <c r="AK18" s="186" t="s">
        <v>487</v>
      </c>
      <c r="AL18" s="186" t="s">
        <v>488</v>
      </c>
      <c r="AM18" s="186" t="s">
        <v>645</v>
      </c>
      <c r="AN18" s="189" t="s">
        <v>788</v>
      </c>
      <c r="AO18" s="40"/>
      <c r="AP18" s="160" t="s">
        <v>492</v>
      </c>
      <c r="AQ18" s="190"/>
      <c r="AR18" s="190"/>
      <c r="AS18" s="190"/>
      <c r="AT18" s="190"/>
      <c r="AU18" s="190"/>
      <c r="AV18" s="190"/>
    </row>
    <row r="19" spans="1:48" ht="31" x14ac:dyDescent="0.35">
      <c r="A19" s="185">
        <v>335780</v>
      </c>
      <c r="B19" s="186" t="s">
        <v>638</v>
      </c>
      <c r="C19" s="186" t="s">
        <v>478</v>
      </c>
      <c r="D19" s="186" t="s">
        <v>21</v>
      </c>
      <c r="E19" s="186" t="s">
        <v>252</v>
      </c>
      <c r="F19" s="186" t="s">
        <v>277</v>
      </c>
      <c r="G19" s="186">
        <v>8.1</v>
      </c>
      <c r="H19" s="186" t="s">
        <v>597</v>
      </c>
      <c r="I19" s="186" t="s">
        <v>598</v>
      </c>
      <c r="J19" s="187" t="s">
        <v>639</v>
      </c>
      <c r="K19" s="186" t="s">
        <v>640</v>
      </c>
      <c r="L19" s="186"/>
      <c r="M19" s="186"/>
      <c r="N19" s="186" t="s">
        <v>484</v>
      </c>
      <c r="O19" s="186"/>
      <c r="P19" s="186"/>
      <c r="Q19" s="186"/>
      <c r="R19" s="186">
        <v>125.07</v>
      </c>
      <c r="S19" s="186">
        <v>40</v>
      </c>
      <c r="T19" s="186">
        <v>2995.0534480000001</v>
      </c>
      <c r="U19" s="186" t="s">
        <v>52</v>
      </c>
      <c r="V19" s="186"/>
      <c r="W19" s="186"/>
      <c r="X19" s="186"/>
      <c r="Y19" s="186" t="s">
        <v>54</v>
      </c>
      <c r="Z19" s="186" t="s">
        <v>484</v>
      </c>
      <c r="AA19" s="188"/>
      <c r="AB19" s="186"/>
      <c r="AC19" s="186"/>
      <c r="AD19" s="186"/>
      <c r="AE19" s="186"/>
      <c r="AF19" s="40"/>
      <c r="AG19" s="40"/>
      <c r="AH19" s="40"/>
      <c r="AI19" s="186"/>
      <c r="AJ19" s="40"/>
      <c r="AK19" s="186" t="s">
        <v>487</v>
      </c>
      <c r="AL19" s="186" t="s">
        <v>488</v>
      </c>
      <c r="AM19" s="186" t="s">
        <v>641</v>
      </c>
      <c r="AN19" s="189" t="s">
        <v>788</v>
      </c>
      <c r="AO19" s="40"/>
      <c r="AP19" s="160" t="s">
        <v>492</v>
      </c>
      <c r="AQ19" s="190"/>
      <c r="AR19" s="190"/>
      <c r="AS19" s="190"/>
      <c r="AT19" s="190"/>
      <c r="AU19" s="190"/>
      <c r="AV19" s="190"/>
    </row>
    <row r="20" spans="1:48" x14ac:dyDescent="0.35">
      <c r="A20" s="185">
        <v>335781</v>
      </c>
      <c r="B20" s="186" t="s">
        <v>634</v>
      </c>
      <c r="C20" s="186" t="s">
        <v>478</v>
      </c>
      <c r="D20" s="186" t="s">
        <v>21</v>
      </c>
      <c r="E20" s="186" t="s">
        <v>252</v>
      </c>
      <c r="F20" s="186" t="s">
        <v>277</v>
      </c>
      <c r="G20" s="186">
        <v>8.1</v>
      </c>
      <c r="H20" s="186" t="s">
        <v>597</v>
      </c>
      <c r="I20" s="186" t="s">
        <v>598</v>
      </c>
      <c r="J20" s="187" t="s">
        <v>635</v>
      </c>
      <c r="K20" s="186" t="s">
        <v>636</v>
      </c>
      <c r="L20" s="186"/>
      <c r="M20" s="186"/>
      <c r="N20" s="186" t="s">
        <v>484</v>
      </c>
      <c r="O20" s="186"/>
      <c r="P20" s="186"/>
      <c r="Q20" s="186"/>
      <c r="R20" s="186">
        <v>125.07</v>
      </c>
      <c r="S20" s="186">
        <v>40</v>
      </c>
      <c r="T20" s="186">
        <v>3037.0534480000001</v>
      </c>
      <c r="U20" s="186" t="s">
        <v>52</v>
      </c>
      <c r="V20" s="186"/>
      <c r="W20" s="186"/>
      <c r="X20" s="186"/>
      <c r="Y20" s="186" t="s">
        <v>54</v>
      </c>
      <c r="Z20" s="186" t="s">
        <v>484</v>
      </c>
      <c r="AA20" s="188"/>
      <c r="AB20" s="186"/>
      <c r="AC20" s="186"/>
      <c r="AD20" s="186"/>
      <c r="AE20" s="186"/>
      <c r="AF20" s="40"/>
      <c r="AG20" s="40"/>
      <c r="AH20" s="40"/>
      <c r="AI20" s="186"/>
      <c r="AJ20" s="40"/>
      <c r="AK20" s="186" t="s">
        <v>487</v>
      </c>
      <c r="AL20" s="186" t="s">
        <v>488</v>
      </c>
      <c r="AM20" s="186" t="s">
        <v>637</v>
      </c>
      <c r="AN20" s="189" t="s">
        <v>788</v>
      </c>
      <c r="AO20" s="40"/>
      <c r="AP20" s="160" t="s">
        <v>492</v>
      </c>
      <c r="AQ20" s="190"/>
      <c r="AR20" s="190"/>
      <c r="AS20" s="190"/>
      <c r="AT20" s="190"/>
      <c r="AU20" s="190"/>
      <c r="AV20" s="190"/>
    </row>
    <row r="21" spans="1:48" x14ac:dyDescent="0.35">
      <c r="A21" s="185">
        <v>335785</v>
      </c>
      <c r="B21" s="186" t="s">
        <v>630</v>
      </c>
      <c r="C21" s="186" t="s">
        <v>478</v>
      </c>
      <c r="D21" s="186" t="s">
        <v>21</v>
      </c>
      <c r="E21" s="186" t="s">
        <v>252</v>
      </c>
      <c r="F21" s="186" t="s">
        <v>277</v>
      </c>
      <c r="G21" s="186">
        <v>8.1</v>
      </c>
      <c r="H21" s="186" t="s">
        <v>597</v>
      </c>
      <c r="I21" s="186" t="s">
        <v>598</v>
      </c>
      <c r="J21" s="187" t="s">
        <v>631</v>
      </c>
      <c r="K21" s="186" t="s">
        <v>632</v>
      </c>
      <c r="L21" s="186"/>
      <c r="M21" s="186"/>
      <c r="N21" s="186" t="s">
        <v>484</v>
      </c>
      <c r="O21" s="186"/>
      <c r="P21" s="186"/>
      <c r="Q21" s="186"/>
      <c r="R21" s="186">
        <v>125.07</v>
      </c>
      <c r="S21" s="186">
        <v>40</v>
      </c>
      <c r="T21" s="186">
        <v>1489.809307</v>
      </c>
      <c r="U21" s="186" t="s">
        <v>52</v>
      </c>
      <c r="V21" s="186"/>
      <c r="W21" s="186"/>
      <c r="X21" s="186"/>
      <c r="Y21" s="186" t="s">
        <v>54</v>
      </c>
      <c r="Z21" s="186" t="s">
        <v>484</v>
      </c>
      <c r="AA21" s="188"/>
      <c r="AB21" s="186"/>
      <c r="AC21" s="186"/>
      <c r="AD21" s="186"/>
      <c r="AE21" s="186"/>
      <c r="AF21" s="40"/>
      <c r="AG21" s="40"/>
      <c r="AH21" s="40"/>
      <c r="AI21" s="186"/>
      <c r="AJ21" s="40"/>
      <c r="AK21" s="186" t="s">
        <v>487</v>
      </c>
      <c r="AL21" s="186" t="s">
        <v>488</v>
      </c>
      <c r="AM21" s="186" t="s">
        <v>633</v>
      </c>
      <c r="AN21" s="189" t="s">
        <v>788</v>
      </c>
      <c r="AO21" s="40"/>
      <c r="AP21" s="160" t="s">
        <v>492</v>
      </c>
      <c r="AQ21" s="190"/>
      <c r="AR21" s="190"/>
      <c r="AS21" s="190"/>
      <c r="AT21" s="190"/>
      <c r="AU21" s="190"/>
      <c r="AV21" s="190"/>
    </row>
    <row r="22" spans="1:48" x14ac:dyDescent="0.35">
      <c r="A22" s="185">
        <v>335786</v>
      </c>
      <c r="B22" s="186" t="s">
        <v>626</v>
      </c>
      <c r="C22" s="186" t="s">
        <v>478</v>
      </c>
      <c r="D22" s="186" t="s">
        <v>21</v>
      </c>
      <c r="E22" s="186" t="s">
        <v>252</v>
      </c>
      <c r="F22" s="186" t="s">
        <v>277</v>
      </c>
      <c r="G22" s="186">
        <v>8.1</v>
      </c>
      <c r="H22" s="186" t="s">
        <v>597</v>
      </c>
      <c r="I22" s="186" t="s">
        <v>598</v>
      </c>
      <c r="J22" s="187" t="s">
        <v>627</v>
      </c>
      <c r="K22" s="186" t="s">
        <v>628</v>
      </c>
      <c r="L22" s="186"/>
      <c r="M22" s="186"/>
      <c r="N22" s="186" t="s">
        <v>484</v>
      </c>
      <c r="O22" s="186"/>
      <c r="P22" s="186"/>
      <c r="Q22" s="186"/>
      <c r="R22" s="186">
        <v>125.07</v>
      </c>
      <c r="S22" s="186">
        <v>40</v>
      </c>
      <c r="T22" s="186">
        <v>1489.809307</v>
      </c>
      <c r="U22" s="186" t="s">
        <v>52</v>
      </c>
      <c r="V22" s="186"/>
      <c r="W22" s="186"/>
      <c r="X22" s="186"/>
      <c r="Y22" s="186" t="s">
        <v>54</v>
      </c>
      <c r="Z22" s="186" t="s">
        <v>484</v>
      </c>
      <c r="AA22" s="188"/>
      <c r="AB22" s="186"/>
      <c r="AC22" s="186"/>
      <c r="AD22" s="186"/>
      <c r="AE22" s="186"/>
      <c r="AF22" s="40"/>
      <c r="AG22" s="40"/>
      <c r="AH22" s="40"/>
      <c r="AI22" s="186"/>
      <c r="AJ22" s="40"/>
      <c r="AK22" s="186" t="s">
        <v>487</v>
      </c>
      <c r="AL22" s="186" t="s">
        <v>488</v>
      </c>
      <c r="AM22" s="186" t="s">
        <v>629</v>
      </c>
      <c r="AN22" s="189" t="s">
        <v>788</v>
      </c>
      <c r="AO22" s="40"/>
      <c r="AP22" s="160" t="s">
        <v>492</v>
      </c>
      <c r="AQ22" s="190"/>
      <c r="AR22" s="190"/>
      <c r="AS22" s="190"/>
      <c r="AT22" s="190"/>
      <c r="AU22" s="190"/>
      <c r="AV22" s="190"/>
    </row>
    <row r="23" spans="1:48" x14ac:dyDescent="0.35">
      <c r="A23" s="185">
        <v>335789</v>
      </c>
      <c r="B23" s="186" t="s">
        <v>622</v>
      </c>
      <c r="C23" s="186" t="s">
        <v>478</v>
      </c>
      <c r="D23" s="186" t="s">
        <v>21</v>
      </c>
      <c r="E23" s="186" t="s">
        <v>252</v>
      </c>
      <c r="F23" s="186" t="s">
        <v>277</v>
      </c>
      <c r="G23" s="186">
        <v>8.1</v>
      </c>
      <c r="H23" s="186" t="s">
        <v>597</v>
      </c>
      <c r="I23" s="186" t="s">
        <v>598</v>
      </c>
      <c r="J23" s="187" t="s">
        <v>623</v>
      </c>
      <c r="K23" s="186" t="s">
        <v>624</v>
      </c>
      <c r="L23" s="186"/>
      <c r="M23" s="186"/>
      <c r="N23" s="186" t="s">
        <v>484</v>
      </c>
      <c r="O23" s="186"/>
      <c r="P23" s="186"/>
      <c r="Q23" s="186"/>
      <c r="R23" s="186">
        <v>125.07</v>
      </c>
      <c r="S23" s="186">
        <v>40</v>
      </c>
      <c r="T23" s="186">
        <v>1489.809307</v>
      </c>
      <c r="U23" s="186" t="s">
        <v>52</v>
      </c>
      <c r="V23" s="186"/>
      <c r="W23" s="186"/>
      <c r="X23" s="186"/>
      <c r="Y23" s="186" t="s">
        <v>54</v>
      </c>
      <c r="Z23" s="186" t="s">
        <v>484</v>
      </c>
      <c r="AA23" s="188"/>
      <c r="AB23" s="186"/>
      <c r="AC23" s="186"/>
      <c r="AD23" s="186"/>
      <c r="AE23" s="186"/>
      <c r="AF23" s="40"/>
      <c r="AG23" s="40"/>
      <c r="AH23" s="40"/>
      <c r="AI23" s="186"/>
      <c r="AJ23" s="40"/>
      <c r="AK23" s="186" t="s">
        <v>487</v>
      </c>
      <c r="AL23" s="186" t="s">
        <v>488</v>
      </c>
      <c r="AM23" s="186" t="s">
        <v>625</v>
      </c>
      <c r="AN23" s="189" t="s">
        <v>788</v>
      </c>
      <c r="AO23" s="40"/>
      <c r="AP23" s="160" t="s">
        <v>492</v>
      </c>
      <c r="AQ23" s="190"/>
      <c r="AR23" s="190"/>
      <c r="AS23" s="190"/>
      <c r="AT23" s="190"/>
      <c r="AU23" s="190"/>
      <c r="AV23" s="190"/>
    </row>
    <row r="24" spans="1:48" x14ac:dyDescent="0.35">
      <c r="A24" s="185">
        <v>335790</v>
      </c>
      <c r="B24" s="186" t="s">
        <v>618</v>
      </c>
      <c r="C24" s="186" t="s">
        <v>478</v>
      </c>
      <c r="D24" s="186" t="s">
        <v>21</v>
      </c>
      <c r="E24" s="186" t="s">
        <v>252</v>
      </c>
      <c r="F24" s="186" t="s">
        <v>277</v>
      </c>
      <c r="G24" s="186">
        <v>8.1</v>
      </c>
      <c r="H24" s="186" t="s">
        <v>597</v>
      </c>
      <c r="I24" s="186" t="s">
        <v>598</v>
      </c>
      <c r="J24" s="187" t="s">
        <v>619</v>
      </c>
      <c r="K24" s="186" t="s">
        <v>620</v>
      </c>
      <c r="L24" s="186"/>
      <c r="M24" s="186"/>
      <c r="N24" s="186" t="s">
        <v>484</v>
      </c>
      <c r="O24" s="186"/>
      <c r="P24" s="186"/>
      <c r="Q24" s="186"/>
      <c r="R24" s="186">
        <v>125.07</v>
      </c>
      <c r="S24" s="186">
        <v>40</v>
      </c>
      <c r="T24" s="186">
        <v>1487.809307</v>
      </c>
      <c r="U24" s="186" t="s">
        <v>52</v>
      </c>
      <c r="V24" s="186"/>
      <c r="W24" s="186"/>
      <c r="X24" s="186"/>
      <c r="Y24" s="186" t="s">
        <v>54</v>
      </c>
      <c r="Z24" s="186" t="s">
        <v>484</v>
      </c>
      <c r="AA24" s="188"/>
      <c r="AB24" s="186"/>
      <c r="AC24" s="186"/>
      <c r="AD24" s="186"/>
      <c r="AE24" s="186"/>
      <c r="AF24" s="40"/>
      <c r="AG24" s="40"/>
      <c r="AH24" s="40"/>
      <c r="AI24" s="186"/>
      <c r="AJ24" s="40"/>
      <c r="AK24" s="186" t="s">
        <v>487</v>
      </c>
      <c r="AL24" s="186" t="s">
        <v>488</v>
      </c>
      <c r="AM24" s="186" t="s">
        <v>621</v>
      </c>
      <c r="AN24" s="189" t="s">
        <v>788</v>
      </c>
      <c r="AO24" s="40"/>
      <c r="AP24" s="160" t="s">
        <v>492</v>
      </c>
      <c r="AQ24" s="190"/>
      <c r="AR24" s="190"/>
      <c r="AS24" s="190"/>
      <c r="AT24" s="190"/>
      <c r="AU24" s="190"/>
      <c r="AV24" s="190"/>
    </row>
    <row r="25" spans="1:48" x14ac:dyDescent="0.35">
      <c r="A25" s="185">
        <v>335798</v>
      </c>
      <c r="B25" s="186" t="s">
        <v>614</v>
      </c>
      <c r="C25" s="186" t="s">
        <v>478</v>
      </c>
      <c r="D25" s="186" t="s">
        <v>21</v>
      </c>
      <c r="E25" s="186" t="s">
        <v>252</v>
      </c>
      <c r="F25" s="186" t="s">
        <v>277</v>
      </c>
      <c r="G25" s="186">
        <v>8.1</v>
      </c>
      <c r="H25" s="186" t="s">
        <v>597</v>
      </c>
      <c r="I25" s="186" t="s">
        <v>598</v>
      </c>
      <c r="J25" s="187" t="s">
        <v>615</v>
      </c>
      <c r="K25" s="186" t="s">
        <v>616</v>
      </c>
      <c r="L25" s="186"/>
      <c r="M25" s="186"/>
      <c r="N25" s="186" t="s">
        <v>484</v>
      </c>
      <c r="O25" s="186"/>
      <c r="P25" s="186"/>
      <c r="Q25" s="186"/>
      <c r="R25" s="186">
        <v>377.07</v>
      </c>
      <c r="S25" s="186">
        <v>40</v>
      </c>
      <c r="T25" s="186">
        <v>1487.809307</v>
      </c>
      <c r="U25" s="186" t="s">
        <v>52</v>
      </c>
      <c r="V25" s="186"/>
      <c r="W25" s="186"/>
      <c r="X25" s="186"/>
      <c r="Y25" s="186" t="s">
        <v>54</v>
      </c>
      <c r="Z25" s="186" t="s">
        <v>484</v>
      </c>
      <c r="AA25" s="188"/>
      <c r="AB25" s="186"/>
      <c r="AC25" s="186"/>
      <c r="AD25" s="186"/>
      <c r="AE25" s="186"/>
      <c r="AF25" s="40"/>
      <c r="AG25" s="40"/>
      <c r="AH25" s="40"/>
      <c r="AI25" s="186"/>
      <c r="AJ25" s="40"/>
      <c r="AK25" s="186" t="s">
        <v>487</v>
      </c>
      <c r="AL25" s="186" t="s">
        <v>488</v>
      </c>
      <c r="AM25" s="186" t="s">
        <v>617</v>
      </c>
      <c r="AN25" s="189" t="s">
        <v>788</v>
      </c>
      <c r="AO25" s="40"/>
      <c r="AP25" s="160" t="s">
        <v>492</v>
      </c>
      <c r="AQ25" s="190"/>
      <c r="AR25" s="190"/>
      <c r="AS25" s="190"/>
      <c r="AT25" s="190"/>
      <c r="AU25" s="190"/>
      <c r="AV25" s="190"/>
    </row>
    <row r="26" spans="1:48" x14ac:dyDescent="0.35">
      <c r="A26" s="185">
        <v>335799</v>
      </c>
      <c r="B26" s="186" t="s">
        <v>610</v>
      </c>
      <c r="C26" s="186" t="s">
        <v>478</v>
      </c>
      <c r="D26" s="186" t="s">
        <v>21</v>
      </c>
      <c r="E26" s="186" t="s">
        <v>252</v>
      </c>
      <c r="F26" s="186" t="s">
        <v>277</v>
      </c>
      <c r="G26" s="186">
        <v>8.1</v>
      </c>
      <c r="H26" s="186" t="s">
        <v>597</v>
      </c>
      <c r="I26" s="186" t="s">
        <v>598</v>
      </c>
      <c r="J26" s="187" t="s">
        <v>611</v>
      </c>
      <c r="K26" s="186" t="s">
        <v>612</v>
      </c>
      <c r="L26" s="186"/>
      <c r="M26" s="186"/>
      <c r="N26" s="186" t="s">
        <v>484</v>
      </c>
      <c r="O26" s="186"/>
      <c r="P26" s="186"/>
      <c r="Q26" s="186"/>
      <c r="R26" s="186">
        <v>377.07</v>
      </c>
      <c r="S26" s="186">
        <v>40</v>
      </c>
      <c r="T26" s="186">
        <v>1489.809307</v>
      </c>
      <c r="U26" s="186" t="s">
        <v>52</v>
      </c>
      <c r="V26" s="186"/>
      <c r="W26" s="186"/>
      <c r="X26" s="186"/>
      <c r="Y26" s="186" t="s">
        <v>54</v>
      </c>
      <c r="Z26" s="186" t="s">
        <v>484</v>
      </c>
      <c r="AA26" s="188"/>
      <c r="AB26" s="186"/>
      <c r="AC26" s="186"/>
      <c r="AD26" s="186"/>
      <c r="AE26" s="186"/>
      <c r="AF26" s="40"/>
      <c r="AG26" s="40"/>
      <c r="AH26" s="40"/>
      <c r="AI26" s="186"/>
      <c r="AJ26" s="40"/>
      <c r="AK26" s="186" t="s">
        <v>487</v>
      </c>
      <c r="AL26" s="186" t="s">
        <v>488</v>
      </c>
      <c r="AM26" s="186" t="s">
        <v>613</v>
      </c>
      <c r="AN26" s="189" t="s">
        <v>788</v>
      </c>
      <c r="AO26" s="40"/>
      <c r="AP26" s="160" t="s">
        <v>492</v>
      </c>
      <c r="AQ26" s="190"/>
      <c r="AR26" s="190"/>
      <c r="AS26" s="190"/>
      <c r="AT26" s="190"/>
      <c r="AU26" s="190"/>
      <c r="AV26" s="190"/>
    </row>
    <row r="27" spans="1:48" x14ac:dyDescent="0.35">
      <c r="A27" s="185">
        <v>335800</v>
      </c>
      <c r="B27" s="186" t="s">
        <v>606</v>
      </c>
      <c r="C27" s="186" t="s">
        <v>478</v>
      </c>
      <c r="D27" s="186" t="s">
        <v>21</v>
      </c>
      <c r="E27" s="186" t="s">
        <v>252</v>
      </c>
      <c r="F27" s="186" t="s">
        <v>277</v>
      </c>
      <c r="G27" s="186">
        <v>8.1</v>
      </c>
      <c r="H27" s="186" t="s">
        <v>597</v>
      </c>
      <c r="I27" s="186" t="s">
        <v>598</v>
      </c>
      <c r="J27" s="187" t="s">
        <v>607</v>
      </c>
      <c r="K27" s="186" t="s">
        <v>608</v>
      </c>
      <c r="L27" s="186"/>
      <c r="M27" s="186"/>
      <c r="N27" s="186" t="s">
        <v>484</v>
      </c>
      <c r="O27" s="186"/>
      <c r="P27" s="186"/>
      <c r="Q27" s="186"/>
      <c r="R27" s="186">
        <v>377.07</v>
      </c>
      <c r="S27" s="186">
        <v>40</v>
      </c>
      <c r="T27" s="186">
        <v>1487.809307</v>
      </c>
      <c r="U27" s="186" t="s">
        <v>52</v>
      </c>
      <c r="V27" s="186"/>
      <c r="W27" s="186"/>
      <c r="X27" s="186"/>
      <c r="Y27" s="186" t="s">
        <v>54</v>
      </c>
      <c r="Z27" s="186" t="s">
        <v>484</v>
      </c>
      <c r="AA27" s="188"/>
      <c r="AB27" s="186"/>
      <c r="AC27" s="186"/>
      <c r="AD27" s="186"/>
      <c r="AE27" s="186"/>
      <c r="AF27" s="40"/>
      <c r="AG27" s="40"/>
      <c r="AH27" s="40"/>
      <c r="AI27" s="186"/>
      <c r="AJ27" s="40"/>
      <c r="AK27" s="186" t="s">
        <v>487</v>
      </c>
      <c r="AL27" s="186" t="s">
        <v>488</v>
      </c>
      <c r="AM27" s="186" t="s">
        <v>609</v>
      </c>
      <c r="AN27" s="189" t="s">
        <v>788</v>
      </c>
      <c r="AO27" s="40"/>
      <c r="AP27" s="160" t="s">
        <v>492</v>
      </c>
      <c r="AQ27" s="190"/>
      <c r="AR27" s="190"/>
      <c r="AS27" s="190"/>
      <c r="AT27" s="190"/>
      <c r="AU27" s="190"/>
      <c r="AV27" s="190"/>
    </row>
    <row r="28" spans="1:48" x14ac:dyDescent="0.35">
      <c r="A28" s="185">
        <v>335801</v>
      </c>
      <c r="B28" s="186" t="s">
        <v>602</v>
      </c>
      <c r="C28" s="186" t="s">
        <v>478</v>
      </c>
      <c r="D28" s="186" t="s">
        <v>21</v>
      </c>
      <c r="E28" s="186" t="s">
        <v>252</v>
      </c>
      <c r="F28" s="186" t="s">
        <v>277</v>
      </c>
      <c r="G28" s="186">
        <v>8.1</v>
      </c>
      <c r="H28" s="186" t="s">
        <v>597</v>
      </c>
      <c r="I28" s="186" t="s">
        <v>598</v>
      </c>
      <c r="J28" s="187" t="s">
        <v>603</v>
      </c>
      <c r="K28" s="186" t="s">
        <v>604</v>
      </c>
      <c r="L28" s="186"/>
      <c r="M28" s="186"/>
      <c r="N28" s="186" t="s">
        <v>484</v>
      </c>
      <c r="O28" s="186"/>
      <c r="P28" s="186"/>
      <c r="Q28" s="186"/>
      <c r="R28" s="186">
        <v>377.07</v>
      </c>
      <c r="S28" s="186">
        <v>40</v>
      </c>
      <c r="T28" s="186">
        <v>1489.809307</v>
      </c>
      <c r="U28" s="186" t="s">
        <v>52</v>
      </c>
      <c r="V28" s="186"/>
      <c r="W28" s="186"/>
      <c r="X28" s="186"/>
      <c r="Y28" s="186" t="s">
        <v>54</v>
      </c>
      <c r="Z28" s="186" t="s">
        <v>484</v>
      </c>
      <c r="AA28" s="188"/>
      <c r="AB28" s="186"/>
      <c r="AC28" s="186"/>
      <c r="AD28" s="186"/>
      <c r="AE28" s="186"/>
      <c r="AF28" s="40"/>
      <c r="AG28" s="40"/>
      <c r="AH28" s="40"/>
      <c r="AI28" s="186"/>
      <c r="AJ28" s="40"/>
      <c r="AK28" s="186" t="s">
        <v>487</v>
      </c>
      <c r="AL28" s="186" t="s">
        <v>488</v>
      </c>
      <c r="AM28" s="186" t="s">
        <v>605</v>
      </c>
      <c r="AN28" s="189" t="s">
        <v>788</v>
      </c>
      <c r="AO28" s="40"/>
      <c r="AP28" s="160" t="s">
        <v>492</v>
      </c>
      <c r="AQ28" s="190"/>
      <c r="AR28" s="190"/>
      <c r="AS28" s="190"/>
      <c r="AT28" s="190"/>
      <c r="AU28" s="190"/>
      <c r="AV28" s="190"/>
    </row>
    <row r="29" spans="1:48" x14ac:dyDescent="0.35">
      <c r="A29" s="185">
        <v>335802</v>
      </c>
      <c r="B29" s="186" t="s">
        <v>596</v>
      </c>
      <c r="C29" s="186" t="s">
        <v>478</v>
      </c>
      <c r="D29" s="186" t="s">
        <v>21</v>
      </c>
      <c r="E29" s="186" t="s">
        <v>252</v>
      </c>
      <c r="F29" s="186" t="s">
        <v>277</v>
      </c>
      <c r="G29" s="186">
        <v>8.1</v>
      </c>
      <c r="H29" s="186" t="s">
        <v>597</v>
      </c>
      <c r="I29" s="186" t="s">
        <v>598</v>
      </c>
      <c r="J29" s="187" t="s">
        <v>599</v>
      </c>
      <c r="K29" s="186" t="s">
        <v>600</v>
      </c>
      <c r="L29" s="186"/>
      <c r="M29" s="186"/>
      <c r="N29" s="186" t="s">
        <v>484</v>
      </c>
      <c r="O29" s="186"/>
      <c r="P29" s="186"/>
      <c r="Q29" s="186"/>
      <c r="R29" s="186">
        <v>377.07</v>
      </c>
      <c r="S29" s="186">
        <v>40</v>
      </c>
      <c r="T29" s="186">
        <v>1489.809307</v>
      </c>
      <c r="U29" s="186" t="s">
        <v>52</v>
      </c>
      <c r="V29" s="186"/>
      <c r="W29" s="186"/>
      <c r="X29" s="186"/>
      <c r="Y29" s="186" t="s">
        <v>54</v>
      </c>
      <c r="Z29" s="186" t="s">
        <v>484</v>
      </c>
      <c r="AA29" s="188"/>
      <c r="AB29" s="186"/>
      <c r="AC29" s="186"/>
      <c r="AD29" s="186"/>
      <c r="AE29" s="186"/>
      <c r="AF29" s="40"/>
      <c r="AG29" s="40"/>
      <c r="AH29" s="40"/>
      <c r="AI29" s="186"/>
      <c r="AJ29" s="40"/>
      <c r="AK29" s="186" t="s">
        <v>487</v>
      </c>
      <c r="AL29" s="186" t="s">
        <v>488</v>
      </c>
      <c r="AM29" s="186" t="s">
        <v>601</v>
      </c>
      <c r="AN29" s="189" t="s">
        <v>788</v>
      </c>
      <c r="AO29" s="40"/>
      <c r="AP29" s="160" t="s">
        <v>492</v>
      </c>
      <c r="AQ29" s="190"/>
      <c r="AR29" s="190"/>
      <c r="AS29" s="190"/>
      <c r="AT29" s="190"/>
      <c r="AU29" s="190"/>
      <c r="AV29" s="190"/>
    </row>
    <row r="30" spans="1:48" x14ac:dyDescent="0.35">
      <c r="A30" s="185">
        <v>191458</v>
      </c>
      <c r="B30" s="186" t="s">
        <v>592</v>
      </c>
      <c r="C30" s="186" t="s">
        <v>478</v>
      </c>
      <c r="D30" s="186" t="s">
        <v>19</v>
      </c>
      <c r="E30" s="186" t="s">
        <v>494</v>
      </c>
      <c r="F30" s="186" t="s">
        <v>24</v>
      </c>
      <c r="G30" s="186" t="s">
        <v>479</v>
      </c>
      <c r="H30" s="186" t="s">
        <v>495</v>
      </c>
      <c r="I30" s="186" t="s">
        <v>481</v>
      </c>
      <c r="J30" s="187" t="s">
        <v>593</v>
      </c>
      <c r="K30" s="186" t="s">
        <v>594</v>
      </c>
      <c r="L30" s="186" t="s">
        <v>520</v>
      </c>
      <c r="M30" s="186"/>
      <c r="N30" s="186" t="s">
        <v>484</v>
      </c>
      <c r="O30" s="186"/>
      <c r="P30" s="186" t="s">
        <v>485</v>
      </c>
      <c r="Q30" s="186" t="s">
        <v>509</v>
      </c>
      <c r="R30" s="186">
        <v>64</v>
      </c>
      <c r="S30" s="186">
        <v>64</v>
      </c>
      <c r="T30" s="186">
        <v>266</v>
      </c>
      <c r="U30" s="186"/>
      <c r="V30" s="186"/>
      <c r="W30" s="186"/>
      <c r="X30" s="186"/>
      <c r="Y30" s="186" t="s">
        <v>54</v>
      </c>
      <c r="Z30" s="186" t="s">
        <v>484</v>
      </c>
      <c r="AA30" s="188"/>
      <c r="AB30" s="186"/>
      <c r="AC30" s="186"/>
      <c r="AD30" s="186"/>
      <c r="AE30" s="186"/>
      <c r="AF30" s="40"/>
      <c r="AG30" s="40"/>
      <c r="AH30" s="40"/>
      <c r="AI30" s="186"/>
      <c r="AJ30" s="40"/>
      <c r="AK30" s="186" t="s">
        <v>487</v>
      </c>
      <c r="AL30" s="186" t="s">
        <v>488</v>
      </c>
      <c r="AM30" s="186" t="s">
        <v>595</v>
      </c>
      <c r="AN30" s="189" t="s">
        <v>788</v>
      </c>
      <c r="AO30" s="40" t="s">
        <v>499</v>
      </c>
      <c r="AP30" s="160" t="s">
        <v>492</v>
      </c>
      <c r="AQ30" s="190"/>
      <c r="AR30" s="190"/>
      <c r="AS30" s="190"/>
      <c r="AT30" s="190"/>
      <c r="AU30" s="190"/>
      <c r="AV30" s="190" t="s">
        <v>504</v>
      </c>
    </row>
    <row r="31" spans="1:48" x14ac:dyDescent="0.35">
      <c r="A31" s="185">
        <v>191485</v>
      </c>
      <c r="B31" s="186" t="s">
        <v>588</v>
      </c>
      <c r="C31" s="186" t="s">
        <v>478</v>
      </c>
      <c r="D31" s="186" t="s">
        <v>19</v>
      </c>
      <c r="E31" s="186" t="s">
        <v>494</v>
      </c>
      <c r="F31" s="186" t="s">
        <v>24</v>
      </c>
      <c r="G31" s="186" t="s">
        <v>479</v>
      </c>
      <c r="H31" s="186" t="s">
        <v>495</v>
      </c>
      <c r="I31" s="186" t="s">
        <v>481</v>
      </c>
      <c r="J31" s="187" t="s">
        <v>589</v>
      </c>
      <c r="K31" s="186" t="s">
        <v>590</v>
      </c>
      <c r="L31" s="186" t="s">
        <v>520</v>
      </c>
      <c r="M31" s="186"/>
      <c r="N31" s="186" t="s">
        <v>484</v>
      </c>
      <c r="O31" s="186"/>
      <c r="P31" s="186" t="s">
        <v>485</v>
      </c>
      <c r="Q31" s="186" t="s">
        <v>509</v>
      </c>
      <c r="R31" s="186">
        <v>32</v>
      </c>
      <c r="S31" s="186">
        <v>64</v>
      </c>
      <c r="T31" s="186">
        <v>265.625</v>
      </c>
      <c r="U31" s="186"/>
      <c r="V31" s="186"/>
      <c r="W31" s="186"/>
      <c r="X31" s="186"/>
      <c r="Y31" s="186" t="s">
        <v>54</v>
      </c>
      <c r="Z31" s="186" t="s">
        <v>484</v>
      </c>
      <c r="AA31" s="188"/>
      <c r="AB31" s="186"/>
      <c r="AC31" s="186"/>
      <c r="AD31" s="186"/>
      <c r="AE31" s="186"/>
      <c r="AF31" s="40"/>
      <c r="AG31" s="40"/>
      <c r="AH31" s="40"/>
      <c r="AI31" s="186"/>
      <c r="AJ31" s="40"/>
      <c r="AK31" s="186" t="s">
        <v>487</v>
      </c>
      <c r="AL31" s="186" t="s">
        <v>488</v>
      </c>
      <c r="AM31" s="186" t="s">
        <v>591</v>
      </c>
      <c r="AN31" s="189" t="s">
        <v>788</v>
      </c>
      <c r="AO31" s="40" t="s">
        <v>499</v>
      </c>
      <c r="AP31" s="160" t="s">
        <v>492</v>
      </c>
      <c r="AQ31" s="190"/>
      <c r="AR31" s="190"/>
      <c r="AS31" s="190"/>
      <c r="AT31" s="190"/>
      <c r="AU31" s="190"/>
      <c r="AV31" s="190" t="s">
        <v>504</v>
      </c>
    </row>
    <row r="32" spans="1:48" x14ac:dyDescent="0.35">
      <c r="A32" s="185">
        <v>191698</v>
      </c>
      <c r="B32" s="186" t="s">
        <v>584</v>
      </c>
      <c r="C32" s="186" t="s">
        <v>478</v>
      </c>
      <c r="D32" s="186" t="s">
        <v>19</v>
      </c>
      <c r="E32" s="186" t="s">
        <v>494</v>
      </c>
      <c r="F32" s="186" t="s">
        <v>24</v>
      </c>
      <c r="G32" s="186" t="s">
        <v>479</v>
      </c>
      <c r="H32" s="186" t="s">
        <v>495</v>
      </c>
      <c r="I32" s="186" t="s">
        <v>481</v>
      </c>
      <c r="J32" s="187" t="s">
        <v>585</v>
      </c>
      <c r="K32" s="186" t="s">
        <v>586</v>
      </c>
      <c r="L32" s="186"/>
      <c r="M32" s="186"/>
      <c r="N32" s="186" t="s">
        <v>484</v>
      </c>
      <c r="O32" s="186" t="s">
        <v>551</v>
      </c>
      <c r="P32" s="186" t="s">
        <v>485</v>
      </c>
      <c r="Q32" s="186" t="s">
        <v>582</v>
      </c>
      <c r="R32" s="186">
        <v>64</v>
      </c>
      <c r="S32" s="186">
        <v>64</v>
      </c>
      <c r="T32" s="186">
        <v>161.875</v>
      </c>
      <c r="U32" s="186"/>
      <c r="V32" s="186"/>
      <c r="W32" s="186"/>
      <c r="X32" s="186"/>
      <c r="Y32" s="186" t="s">
        <v>54</v>
      </c>
      <c r="Z32" s="186" t="s">
        <v>484</v>
      </c>
      <c r="AA32" s="188"/>
      <c r="AB32" s="186"/>
      <c r="AC32" s="186"/>
      <c r="AD32" s="186"/>
      <c r="AE32" s="186"/>
      <c r="AF32" s="40"/>
      <c r="AG32" s="40"/>
      <c r="AH32" s="40"/>
      <c r="AI32" s="186"/>
      <c r="AJ32" s="40"/>
      <c r="AK32" s="186" t="s">
        <v>487</v>
      </c>
      <c r="AL32" s="186" t="s">
        <v>488</v>
      </c>
      <c r="AM32" s="186" t="s">
        <v>587</v>
      </c>
      <c r="AN32" s="189" t="s">
        <v>805</v>
      </c>
      <c r="AO32" s="40" t="s">
        <v>499</v>
      </c>
      <c r="AP32" s="160" t="s">
        <v>492</v>
      </c>
      <c r="AQ32" s="190"/>
      <c r="AR32" s="190"/>
      <c r="AS32" s="190"/>
      <c r="AT32" s="190"/>
      <c r="AU32" s="190"/>
      <c r="AV32" s="190" t="s">
        <v>504</v>
      </c>
    </row>
    <row r="33" spans="1:48" x14ac:dyDescent="0.35">
      <c r="A33" s="185">
        <v>191491</v>
      </c>
      <c r="B33" s="186" t="s">
        <v>579</v>
      </c>
      <c r="C33" s="186" t="s">
        <v>478</v>
      </c>
      <c r="D33" s="186" t="s">
        <v>19</v>
      </c>
      <c r="E33" s="186" t="s">
        <v>494</v>
      </c>
      <c r="F33" s="186" t="s">
        <v>24</v>
      </c>
      <c r="G33" s="186" t="s">
        <v>479</v>
      </c>
      <c r="H33" s="186" t="s">
        <v>495</v>
      </c>
      <c r="I33" s="186" t="s">
        <v>481</v>
      </c>
      <c r="J33" s="187" t="s">
        <v>580</v>
      </c>
      <c r="K33" s="186" t="s">
        <v>581</v>
      </c>
      <c r="L33" s="186"/>
      <c r="M33" s="186"/>
      <c r="N33" s="186" t="s">
        <v>484</v>
      </c>
      <c r="O33" s="186" t="s">
        <v>551</v>
      </c>
      <c r="P33" s="186" t="s">
        <v>485</v>
      </c>
      <c r="Q33" s="186" t="s">
        <v>582</v>
      </c>
      <c r="R33" s="186">
        <v>64</v>
      </c>
      <c r="S33" s="186">
        <v>64</v>
      </c>
      <c r="T33" s="186">
        <v>154.25</v>
      </c>
      <c r="U33" s="186"/>
      <c r="V33" s="186"/>
      <c r="W33" s="186"/>
      <c r="X33" s="186"/>
      <c r="Y33" s="186" t="s">
        <v>54</v>
      </c>
      <c r="Z33" s="186" t="s">
        <v>484</v>
      </c>
      <c r="AA33" s="188"/>
      <c r="AB33" s="186"/>
      <c r="AC33" s="186"/>
      <c r="AD33" s="186"/>
      <c r="AE33" s="186"/>
      <c r="AF33" s="40"/>
      <c r="AG33" s="40"/>
      <c r="AH33" s="40"/>
      <c r="AI33" s="186"/>
      <c r="AJ33" s="40"/>
      <c r="AK33" s="186" t="s">
        <v>487</v>
      </c>
      <c r="AL33" s="186" t="s">
        <v>488</v>
      </c>
      <c r="AM33" s="186" t="s">
        <v>583</v>
      </c>
      <c r="AN33" s="189" t="s">
        <v>805</v>
      </c>
      <c r="AO33" s="40" t="s">
        <v>499</v>
      </c>
      <c r="AP33" s="160" t="s">
        <v>492</v>
      </c>
      <c r="AQ33" s="190"/>
      <c r="AR33" s="190"/>
      <c r="AS33" s="190"/>
      <c r="AT33" s="190"/>
      <c r="AU33" s="190"/>
      <c r="AV33" s="190" t="s">
        <v>504</v>
      </c>
    </row>
    <row r="34" spans="1:48" x14ac:dyDescent="0.35">
      <c r="A34" s="185">
        <v>193202</v>
      </c>
      <c r="B34" s="186" t="s">
        <v>572</v>
      </c>
      <c r="C34" s="186" t="s">
        <v>478</v>
      </c>
      <c r="D34" s="186" t="s">
        <v>19</v>
      </c>
      <c r="E34" s="186" t="s">
        <v>252</v>
      </c>
      <c r="F34" s="186" t="s">
        <v>24</v>
      </c>
      <c r="G34" s="186" t="s">
        <v>479</v>
      </c>
      <c r="H34" s="186" t="s">
        <v>480</v>
      </c>
      <c r="I34" s="186" t="s">
        <v>481</v>
      </c>
      <c r="J34" s="187" t="s">
        <v>573</v>
      </c>
      <c r="K34" s="186" t="s">
        <v>574</v>
      </c>
      <c r="L34" s="186"/>
      <c r="M34" s="186" t="s">
        <v>32</v>
      </c>
      <c r="N34" s="186" t="s">
        <v>484</v>
      </c>
      <c r="O34" s="186"/>
      <c r="P34" s="186" t="s">
        <v>485</v>
      </c>
      <c r="Q34" s="186" t="s">
        <v>575</v>
      </c>
      <c r="R34" s="186">
        <v>48</v>
      </c>
      <c r="S34" s="186">
        <v>48</v>
      </c>
      <c r="T34" s="186">
        <v>2119.125</v>
      </c>
      <c r="U34" s="186"/>
      <c r="V34" s="186"/>
      <c r="W34" s="186"/>
      <c r="X34" s="186"/>
      <c r="Y34" s="186" t="s">
        <v>54</v>
      </c>
      <c r="Z34" s="186" t="s">
        <v>484</v>
      </c>
      <c r="AA34" s="188"/>
      <c r="AB34" s="186"/>
      <c r="AC34" s="186"/>
      <c r="AD34" s="186"/>
      <c r="AE34" s="186"/>
      <c r="AF34" s="40"/>
      <c r="AG34" s="40"/>
      <c r="AH34" s="40"/>
      <c r="AI34" s="186"/>
      <c r="AJ34" s="40"/>
      <c r="AK34" s="186" t="s">
        <v>487</v>
      </c>
      <c r="AL34" s="186" t="s">
        <v>488</v>
      </c>
      <c r="AM34" s="186" t="s">
        <v>576</v>
      </c>
      <c r="AN34" s="189" t="s">
        <v>788</v>
      </c>
      <c r="AO34" s="40" t="s">
        <v>577</v>
      </c>
      <c r="AP34" s="160" t="s">
        <v>492</v>
      </c>
      <c r="AQ34" s="190"/>
      <c r="AR34" s="190"/>
      <c r="AS34" s="190"/>
      <c r="AT34" s="190"/>
      <c r="AU34" s="190"/>
      <c r="AV34" s="190" t="s">
        <v>578</v>
      </c>
    </row>
    <row r="35" spans="1:48" x14ac:dyDescent="0.35">
      <c r="A35" s="185">
        <v>231750</v>
      </c>
      <c r="B35" s="186" t="s">
        <v>568</v>
      </c>
      <c r="C35" s="186" t="s">
        <v>478</v>
      </c>
      <c r="D35" s="186" t="s">
        <v>21</v>
      </c>
      <c r="E35" s="186" t="s">
        <v>494</v>
      </c>
      <c r="F35" s="186" t="s">
        <v>266</v>
      </c>
      <c r="G35" s="186" t="s">
        <v>562</v>
      </c>
      <c r="H35" s="186" t="s">
        <v>528</v>
      </c>
      <c r="I35" s="186" t="s">
        <v>529</v>
      </c>
      <c r="J35" s="187" t="s">
        <v>569</v>
      </c>
      <c r="K35" s="186" t="s">
        <v>570</v>
      </c>
      <c r="L35" s="186" t="s">
        <v>532</v>
      </c>
      <c r="M35" s="186" t="s">
        <v>35</v>
      </c>
      <c r="N35" s="186" t="s">
        <v>484</v>
      </c>
      <c r="O35" s="186"/>
      <c r="P35" s="186"/>
      <c r="Q35" s="186" t="s">
        <v>534</v>
      </c>
      <c r="R35" s="186">
        <v>63.63</v>
      </c>
      <c r="S35" s="186">
        <v>72</v>
      </c>
      <c r="T35" s="186">
        <v>484.96476749999999</v>
      </c>
      <c r="U35" s="186" t="s">
        <v>46</v>
      </c>
      <c r="V35" s="186"/>
      <c r="W35" s="186"/>
      <c r="X35" s="186"/>
      <c r="Y35" s="186" t="s">
        <v>54</v>
      </c>
      <c r="Z35" s="186" t="s">
        <v>484</v>
      </c>
      <c r="AA35" s="188"/>
      <c r="AB35" s="186"/>
      <c r="AC35" s="186"/>
      <c r="AD35" s="186"/>
      <c r="AE35" s="186"/>
      <c r="AF35" s="40"/>
      <c r="AG35" s="40"/>
      <c r="AH35" s="40"/>
      <c r="AI35" s="186"/>
      <c r="AJ35" s="40" t="s">
        <v>565</v>
      </c>
      <c r="AK35" s="186" t="s">
        <v>487</v>
      </c>
      <c r="AL35" s="186" t="s">
        <v>488</v>
      </c>
      <c r="AM35" s="186" t="s">
        <v>571</v>
      </c>
      <c r="AN35" s="189" t="s">
        <v>788</v>
      </c>
      <c r="AO35" s="40" t="s">
        <v>538</v>
      </c>
      <c r="AP35" s="160" t="s">
        <v>492</v>
      </c>
      <c r="AQ35" s="190"/>
      <c r="AR35" s="190"/>
      <c r="AS35" s="190"/>
      <c r="AT35" s="190"/>
      <c r="AU35" s="190"/>
      <c r="AV35" s="190" t="s">
        <v>567</v>
      </c>
    </row>
    <row r="36" spans="1:48" x14ac:dyDescent="0.35">
      <c r="A36" s="185">
        <v>231751</v>
      </c>
      <c r="B36" s="186" t="s">
        <v>561</v>
      </c>
      <c r="C36" s="186" t="s">
        <v>478</v>
      </c>
      <c r="D36" s="186" t="s">
        <v>21</v>
      </c>
      <c r="E36" s="186" t="s">
        <v>494</v>
      </c>
      <c r="F36" s="186" t="s">
        <v>266</v>
      </c>
      <c r="G36" s="186" t="s">
        <v>562</v>
      </c>
      <c r="H36" s="186" t="s">
        <v>528</v>
      </c>
      <c r="I36" s="186" t="s">
        <v>529</v>
      </c>
      <c r="J36" s="187" t="s">
        <v>563</v>
      </c>
      <c r="K36" s="186" t="s">
        <v>564</v>
      </c>
      <c r="L36" s="186" t="s">
        <v>532</v>
      </c>
      <c r="M36" s="186" t="s">
        <v>35</v>
      </c>
      <c r="N36" s="186" t="s">
        <v>484</v>
      </c>
      <c r="O36" s="186"/>
      <c r="P36" s="186"/>
      <c r="Q36" s="186" t="s">
        <v>534</v>
      </c>
      <c r="R36" s="186">
        <v>63.63</v>
      </c>
      <c r="S36" s="186">
        <v>72</v>
      </c>
      <c r="T36" s="186">
        <v>1584.8941500000001</v>
      </c>
      <c r="U36" s="186" t="s">
        <v>46</v>
      </c>
      <c r="V36" s="186"/>
      <c r="W36" s="186"/>
      <c r="X36" s="186"/>
      <c r="Y36" s="186" t="s">
        <v>54</v>
      </c>
      <c r="Z36" s="186" t="s">
        <v>484</v>
      </c>
      <c r="AA36" s="188"/>
      <c r="AB36" s="186"/>
      <c r="AC36" s="186"/>
      <c r="AD36" s="186"/>
      <c r="AE36" s="186"/>
      <c r="AF36" s="40"/>
      <c r="AG36" s="40"/>
      <c r="AH36" s="40"/>
      <c r="AI36" s="186"/>
      <c r="AJ36" s="40" t="s">
        <v>565</v>
      </c>
      <c r="AK36" s="186" t="s">
        <v>487</v>
      </c>
      <c r="AL36" s="186" t="s">
        <v>488</v>
      </c>
      <c r="AM36" s="186" t="s">
        <v>566</v>
      </c>
      <c r="AN36" s="189" t="s">
        <v>788</v>
      </c>
      <c r="AO36" s="40" t="s">
        <v>538</v>
      </c>
      <c r="AP36" s="160" t="s">
        <v>492</v>
      </c>
      <c r="AQ36" s="190"/>
      <c r="AR36" s="190"/>
      <c r="AS36" s="190"/>
      <c r="AT36" s="190"/>
      <c r="AU36" s="190"/>
      <c r="AV36" s="190" t="s">
        <v>567</v>
      </c>
    </row>
    <row r="37" spans="1:48" x14ac:dyDescent="0.35">
      <c r="A37" s="185">
        <v>321553</v>
      </c>
      <c r="B37" s="186" t="s">
        <v>557</v>
      </c>
      <c r="C37" s="186" t="s">
        <v>478</v>
      </c>
      <c r="D37" s="186" t="s">
        <v>22</v>
      </c>
      <c r="E37" s="186" t="s">
        <v>545</v>
      </c>
      <c r="F37" s="186" t="s">
        <v>266</v>
      </c>
      <c r="G37" s="186" t="s">
        <v>546</v>
      </c>
      <c r="H37" s="186" t="s">
        <v>547</v>
      </c>
      <c r="I37" s="186" t="s">
        <v>548</v>
      </c>
      <c r="J37" s="187" t="s">
        <v>558</v>
      </c>
      <c r="K37" s="186" t="s">
        <v>559</v>
      </c>
      <c r="L37" s="186"/>
      <c r="M37" s="186"/>
      <c r="N37" s="186" t="s">
        <v>551</v>
      </c>
      <c r="O37" s="186"/>
      <c r="P37" s="186"/>
      <c r="Q37" s="186" t="s">
        <v>552</v>
      </c>
      <c r="R37" s="186">
        <v>64</v>
      </c>
      <c r="S37" s="186">
        <v>8</v>
      </c>
      <c r="T37" s="186">
        <v>449.99119949999999</v>
      </c>
      <c r="U37" s="186"/>
      <c r="V37" s="186"/>
      <c r="W37" s="186"/>
      <c r="X37" s="186"/>
      <c r="Y37" s="186" t="s">
        <v>54</v>
      </c>
      <c r="Z37" s="186" t="s">
        <v>484</v>
      </c>
      <c r="AA37" s="188"/>
      <c r="AB37" s="186"/>
      <c r="AC37" s="186"/>
      <c r="AD37" s="186"/>
      <c r="AE37" s="186"/>
      <c r="AF37" s="40"/>
      <c r="AG37" s="40"/>
      <c r="AH37" s="40"/>
      <c r="AI37" s="186"/>
      <c r="AJ37" s="40"/>
      <c r="AK37" s="186" t="s">
        <v>553</v>
      </c>
      <c r="AL37" s="186" t="s">
        <v>554</v>
      </c>
      <c r="AM37" s="186" t="s">
        <v>560</v>
      </c>
      <c r="AN37" s="189" t="s">
        <v>806</v>
      </c>
      <c r="AO37" s="40" t="s">
        <v>556</v>
      </c>
      <c r="AP37" s="160" t="s">
        <v>492</v>
      </c>
      <c r="AQ37" s="190"/>
      <c r="AR37" s="190"/>
      <c r="AS37" s="190"/>
      <c r="AT37" s="190"/>
      <c r="AU37" s="190"/>
      <c r="AV37" s="190" t="s">
        <v>478</v>
      </c>
    </row>
    <row r="38" spans="1:48" x14ac:dyDescent="0.35">
      <c r="A38" s="185">
        <v>321554</v>
      </c>
      <c r="B38" s="186" t="s">
        <v>544</v>
      </c>
      <c r="C38" s="186" t="s">
        <v>478</v>
      </c>
      <c r="D38" s="186" t="s">
        <v>22</v>
      </c>
      <c r="E38" s="186" t="s">
        <v>545</v>
      </c>
      <c r="F38" s="186" t="s">
        <v>266</v>
      </c>
      <c r="G38" s="186" t="s">
        <v>546</v>
      </c>
      <c r="H38" s="186" t="s">
        <v>547</v>
      </c>
      <c r="I38" s="186" t="s">
        <v>548</v>
      </c>
      <c r="J38" s="187" t="s">
        <v>549</v>
      </c>
      <c r="K38" s="186" t="s">
        <v>550</v>
      </c>
      <c r="L38" s="186"/>
      <c r="M38" s="186"/>
      <c r="N38" s="186" t="s">
        <v>551</v>
      </c>
      <c r="O38" s="186"/>
      <c r="P38" s="186"/>
      <c r="Q38" s="186" t="s">
        <v>552</v>
      </c>
      <c r="R38" s="186">
        <v>64</v>
      </c>
      <c r="S38" s="186">
        <v>8</v>
      </c>
      <c r="T38" s="186">
        <v>449.99119949999999</v>
      </c>
      <c r="U38" s="186"/>
      <c r="V38" s="186"/>
      <c r="W38" s="186"/>
      <c r="X38" s="186"/>
      <c r="Y38" s="186" t="s">
        <v>54</v>
      </c>
      <c r="Z38" s="186" t="s">
        <v>484</v>
      </c>
      <c r="AA38" s="188"/>
      <c r="AB38" s="186"/>
      <c r="AC38" s="186"/>
      <c r="AD38" s="186"/>
      <c r="AE38" s="186"/>
      <c r="AF38" s="40"/>
      <c r="AG38" s="40"/>
      <c r="AH38" s="40"/>
      <c r="AI38" s="186"/>
      <c r="AJ38" s="40"/>
      <c r="AK38" s="186" t="s">
        <v>553</v>
      </c>
      <c r="AL38" s="186" t="s">
        <v>554</v>
      </c>
      <c r="AM38" s="186" t="s">
        <v>555</v>
      </c>
      <c r="AN38" s="189" t="s">
        <v>807</v>
      </c>
      <c r="AO38" s="40" t="s">
        <v>556</v>
      </c>
      <c r="AP38" s="160" t="s">
        <v>492</v>
      </c>
      <c r="AQ38" s="190"/>
      <c r="AR38" s="190"/>
      <c r="AS38" s="190"/>
      <c r="AT38" s="190"/>
      <c r="AU38" s="190"/>
      <c r="AV38" s="190" t="s">
        <v>478</v>
      </c>
    </row>
    <row r="39" spans="1:48" x14ac:dyDescent="0.35">
      <c r="A39" s="185">
        <v>223360</v>
      </c>
      <c r="B39" s="186" t="s">
        <v>540</v>
      </c>
      <c r="C39" s="186" t="s">
        <v>478</v>
      </c>
      <c r="D39" s="186" t="s">
        <v>21</v>
      </c>
      <c r="E39" s="186" t="s">
        <v>252</v>
      </c>
      <c r="F39" s="186" t="s">
        <v>266</v>
      </c>
      <c r="G39" s="186" t="s">
        <v>527</v>
      </c>
      <c r="H39" s="186" t="s">
        <v>528</v>
      </c>
      <c r="I39" s="186" t="s">
        <v>529</v>
      </c>
      <c r="J39" s="187" t="s">
        <v>541</v>
      </c>
      <c r="K39" s="186" t="s">
        <v>542</v>
      </c>
      <c r="L39" s="186" t="s">
        <v>532</v>
      </c>
      <c r="M39" s="186" t="s">
        <v>35</v>
      </c>
      <c r="N39" s="186" t="s">
        <v>484</v>
      </c>
      <c r="O39" s="186"/>
      <c r="P39" s="186" t="s">
        <v>533</v>
      </c>
      <c r="Q39" s="186" t="s">
        <v>534</v>
      </c>
      <c r="R39" s="186">
        <v>63.63</v>
      </c>
      <c r="S39" s="186">
        <v>32</v>
      </c>
      <c r="T39" s="186">
        <v>1770.2046969999999</v>
      </c>
      <c r="U39" s="186" t="s">
        <v>535</v>
      </c>
      <c r="V39" s="186"/>
      <c r="W39" s="186"/>
      <c r="X39" s="186"/>
      <c r="Y39" s="186" t="s">
        <v>54</v>
      </c>
      <c r="Z39" s="186" t="s">
        <v>484</v>
      </c>
      <c r="AA39" s="188"/>
      <c r="AB39" s="186"/>
      <c r="AC39" s="186"/>
      <c r="AD39" s="186"/>
      <c r="AE39" s="186"/>
      <c r="AF39" s="40"/>
      <c r="AG39" s="40"/>
      <c r="AH39" s="40"/>
      <c r="AI39" s="186"/>
      <c r="AJ39" s="40" t="s">
        <v>536</v>
      </c>
      <c r="AK39" s="186" t="s">
        <v>487</v>
      </c>
      <c r="AL39" s="186" t="s">
        <v>488</v>
      </c>
      <c r="AM39" s="186" t="s">
        <v>543</v>
      </c>
      <c r="AN39" s="189" t="s">
        <v>788</v>
      </c>
      <c r="AO39" s="40" t="s">
        <v>538</v>
      </c>
      <c r="AP39" s="160" t="s">
        <v>492</v>
      </c>
      <c r="AQ39" s="190"/>
      <c r="AR39" s="190"/>
      <c r="AS39" s="190"/>
      <c r="AT39" s="190"/>
      <c r="AU39" s="190"/>
      <c r="AV39" s="190" t="s">
        <v>539</v>
      </c>
    </row>
    <row r="40" spans="1:48" x14ac:dyDescent="0.35">
      <c r="A40" s="185">
        <v>220746</v>
      </c>
      <c r="B40" s="186" t="s">
        <v>526</v>
      </c>
      <c r="C40" s="186" t="s">
        <v>478</v>
      </c>
      <c r="D40" s="186" t="s">
        <v>21</v>
      </c>
      <c r="E40" s="186" t="s">
        <v>252</v>
      </c>
      <c r="F40" s="186" t="s">
        <v>266</v>
      </c>
      <c r="G40" s="186" t="s">
        <v>527</v>
      </c>
      <c r="H40" s="186" t="s">
        <v>528</v>
      </c>
      <c r="I40" s="186" t="s">
        <v>529</v>
      </c>
      <c r="J40" s="187" t="s">
        <v>530</v>
      </c>
      <c r="K40" s="186" t="s">
        <v>531</v>
      </c>
      <c r="L40" s="186" t="s">
        <v>532</v>
      </c>
      <c r="M40" s="186" t="s">
        <v>35</v>
      </c>
      <c r="N40" s="186" t="s">
        <v>484</v>
      </c>
      <c r="O40" s="186"/>
      <c r="P40" s="186" t="s">
        <v>533</v>
      </c>
      <c r="Q40" s="186" t="s">
        <v>534</v>
      </c>
      <c r="R40" s="186">
        <v>63.63</v>
      </c>
      <c r="S40" s="186">
        <v>32</v>
      </c>
      <c r="T40" s="186">
        <v>544.96672439999998</v>
      </c>
      <c r="U40" s="186" t="s">
        <v>535</v>
      </c>
      <c r="V40" s="186"/>
      <c r="W40" s="186"/>
      <c r="X40" s="186"/>
      <c r="Y40" s="186" t="s">
        <v>54</v>
      </c>
      <c r="Z40" s="186" t="s">
        <v>484</v>
      </c>
      <c r="AA40" s="188"/>
      <c r="AB40" s="186"/>
      <c r="AC40" s="186"/>
      <c r="AD40" s="186"/>
      <c r="AE40" s="186"/>
      <c r="AF40" s="40"/>
      <c r="AG40" s="40"/>
      <c r="AH40" s="40"/>
      <c r="AI40" s="186"/>
      <c r="AJ40" s="40" t="s">
        <v>536</v>
      </c>
      <c r="AK40" s="186" t="s">
        <v>487</v>
      </c>
      <c r="AL40" s="186" t="s">
        <v>488</v>
      </c>
      <c r="AM40" s="186" t="s">
        <v>537</v>
      </c>
      <c r="AN40" s="189" t="s">
        <v>788</v>
      </c>
      <c r="AO40" s="40" t="s">
        <v>538</v>
      </c>
      <c r="AP40" s="160" t="s">
        <v>492</v>
      </c>
      <c r="AQ40" s="190"/>
      <c r="AR40" s="190"/>
      <c r="AS40" s="190"/>
      <c r="AT40" s="190"/>
      <c r="AU40" s="190"/>
      <c r="AV40" s="190" t="s">
        <v>539</v>
      </c>
    </row>
    <row r="41" spans="1:48" x14ac:dyDescent="0.35">
      <c r="A41" s="185">
        <v>193792</v>
      </c>
      <c r="B41" s="186" t="s">
        <v>522</v>
      </c>
      <c r="C41" s="186" t="s">
        <v>478</v>
      </c>
      <c r="D41" s="186" t="s">
        <v>19</v>
      </c>
      <c r="E41" s="186" t="s">
        <v>494</v>
      </c>
      <c r="F41" s="186" t="s">
        <v>24</v>
      </c>
      <c r="G41" s="186" t="s">
        <v>479</v>
      </c>
      <c r="H41" s="186" t="s">
        <v>495</v>
      </c>
      <c r="I41" s="186" t="s">
        <v>481</v>
      </c>
      <c r="J41" s="187" t="s">
        <v>523</v>
      </c>
      <c r="K41" s="186" t="s">
        <v>524</v>
      </c>
      <c r="L41" s="186"/>
      <c r="M41" s="186"/>
      <c r="N41" s="186" t="s">
        <v>484</v>
      </c>
      <c r="O41" s="186"/>
      <c r="P41" s="186" t="s">
        <v>485</v>
      </c>
      <c r="Q41" s="186"/>
      <c r="R41" s="186">
        <v>10</v>
      </c>
      <c r="S41" s="186">
        <v>8</v>
      </c>
      <c r="T41" s="186">
        <v>301</v>
      </c>
      <c r="U41" s="186"/>
      <c r="V41" s="186"/>
      <c r="W41" s="186"/>
      <c r="X41" s="186"/>
      <c r="Y41" s="186" t="s">
        <v>54</v>
      </c>
      <c r="Z41" s="186" t="s">
        <v>484</v>
      </c>
      <c r="AA41" s="188"/>
      <c r="AB41" s="186"/>
      <c r="AC41" s="186"/>
      <c r="AD41" s="186"/>
      <c r="AE41" s="186"/>
      <c r="AF41" s="40"/>
      <c r="AG41" s="40"/>
      <c r="AH41" s="40"/>
      <c r="AI41" s="186"/>
      <c r="AJ41" s="40"/>
      <c r="AK41" s="186" t="s">
        <v>487</v>
      </c>
      <c r="AL41" s="186" t="s">
        <v>488</v>
      </c>
      <c r="AM41" s="186" t="s">
        <v>525</v>
      </c>
      <c r="AN41" s="189" t="s">
        <v>788</v>
      </c>
      <c r="AO41" s="40" t="s">
        <v>499</v>
      </c>
      <c r="AP41" s="160" t="s">
        <v>492</v>
      </c>
      <c r="AQ41" s="190"/>
      <c r="AR41" s="190"/>
      <c r="AS41" s="190"/>
      <c r="AT41" s="190"/>
      <c r="AU41" s="190"/>
      <c r="AV41" s="190" t="s">
        <v>478</v>
      </c>
    </row>
    <row r="42" spans="1:48" x14ac:dyDescent="0.35">
      <c r="A42" s="185">
        <v>193394</v>
      </c>
      <c r="B42" s="186" t="s">
        <v>517</v>
      </c>
      <c r="C42" s="186" t="s">
        <v>478</v>
      </c>
      <c r="D42" s="186" t="s">
        <v>19</v>
      </c>
      <c r="E42" s="186" t="s">
        <v>494</v>
      </c>
      <c r="F42" s="186" t="s">
        <v>24</v>
      </c>
      <c r="G42" s="186" t="s">
        <v>479</v>
      </c>
      <c r="H42" s="186" t="s">
        <v>495</v>
      </c>
      <c r="I42" s="186" t="s">
        <v>481</v>
      </c>
      <c r="J42" s="187" t="s">
        <v>518</v>
      </c>
      <c r="K42" s="186" t="s">
        <v>519</v>
      </c>
      <c r="L42" s="186" t="s">
        <v>520</v>
      </c>
      <c r="M42" s="186"/>
      <c r="N42" s="186" t="s">
        <v>484</v>
      </c>
      <c r="O42" s="186"/>
      <c r="P42" s="186" t="s">
        <v>485</v>
      </c>
      <c r="Q42" s="186"/>
      <c r="R42" s="186">
        <v>10</v>
      </c>
      <c r="S42" s="186">
        <v>16</v>
      </c>
      <c r="T42" s="186">
        <v>202.5</v>
      </c>
      <c r="U42" s="186"/>
      <c r="V42" s="186" t="s">
        <v>510</v>
      </c>
      <c r="W42" s="186">
        <v>838</v>
      </c>
      <c r="X42" s="186">
        <v>18</v>
      </c>
      <c r="Y42" s="186" t="s">
        <v>54</v>
      </c>
      <c r="Z42" s="186" t="s">
        <v>484</v>
      </c>
      <c r="AA42" s="188"/>
      <c r="AB42" s="186"/>
      <c r="AC42" s="186"/>
      <c r="AD42" s="186" t="s">
        <v>484</v>
      </c>
      <c r="AE42" s="186"/>
      <c r="AF42" s="40"/>
      <c r="AG42" s="40"/>
      <c r="AH42" s="40"/>
      <c r="AI42" s="186"/>
      <c r="AJ42" s="40"/>
      <c r="AK42" s="186" t="s">
        <v>487</v>
      </c>
      <c r="AL42" s="186" t="s">
        <v>488</v>
      </c>
      <c r="AM42" s="186" t="s">
        <v>521</v>
      </c>
      <c r="AN42" s="189" t="s">
        <v>788</v>
      </c>
      <c r="AO42" s="40" t="s">
        <v>499</v>
      </c>
      <c r="AP42" s="160" t="s">
        <v>492</v>
      </c>
      <c r="AQ42" s="190"/>
      <c r="AR42" s="190"/>
      <c r="AS42" s="190"/>
      <c r="AT42" s="190"/>
      <c r="AU42" s="190"/>
      <c r="AV42" s="190" t="s">
        <v>504</v>
      </c>
    </row>
    <row r="43" spans="1:48" x14ac:dyDescent="0.35">
      <c r="A43" s="185">
        <v>193396</v>
      </c>
      <c r="B43" s="186" t="s">
        <v>513</v>
      </c>
      <c r="C43" s="186" t="s">
        <v>478</v>
      </c>
      <c r="D43" s="186" t="s">
        <v>19</v>
      </c>
      <c r="E43" s="186" t="s">
        <v>494</v>
      </c>
      <c r="F43" s="186" t="s">
        <v>24</v>
      </c>
      <c r="G43" s="186" t="s">
        <v>479</v>
      </c>
      <c r="H43" s="186" t="s">
        <v>495</v>
      </c>
      <c r="I43" s="186" t="s">
        <v>481</v>
      </c>
      <c r="J43" s="187" t="s">
        <v>514</v>
      </c>
      <c r="K43" s="186" t="s">
        <v>515</v>
      </c>
      <c r="L43" s="186"/>
      <c r="M43" s="186"/>
      <c r="N43" s="186" t="s">
        <v>484</v>
      </c>
      <c r="O43" s="186"/>
      <c r="P43" s="186" t="s">
        <v>485</v>
      </c>
      <c r="Q43" s="186"/>
      <c r="R43" s="186">
        <v>2</v>
      </c>
      <c r="S43" s="186">
        <v>4</v>
      </c>
      <c r="T43" s="186">
        <v>90.875</v>
      </c>
      <c r="U43" s="186"/>
      <c r="V43" s="186"/>
      <c r="W43" s="186"/>
      <c r="X43" s="186"/>
      <c r="Y43" s="186" t="s">
        <v>54</v>
      </c>
      <c r="Z43" s="186" t="s">
        <v>484</v>
      </c>
      <c r="AA43" s="188"/>
      <c r="AB43" s="186"/>
      <c r="AC43" s="186"/>
      <c r="AD43" s="186"/>
      <c r="AE43" s="186"/>
      <c r="AF43" s="40"/>
      <c r="AG43" s="40"/>
      <c r="AH43" s="40"/>
      <c r="AI43" s="186"/>
      <c r="AJ43" s="40"/>
      <c r="AK43" s="186" t="s">
        <v>487</v>
      </c>
      <c r="AL43" s="186" t="s">
        <v>488</v>
      </c>
      <c r="AM43" s="186" t="s">
        <v>516</v>
      </c>
      <c r="AN43" s="189" t="s">
        <v>788</v>
      </c>
      <c r="AO43" s="40" t="s">
        <v>499</v>
      </c>
      <c r="AP43" s="160" t="s">
        <v>492</v>
      </c>
      <c r="AQ43" s="190"/>
      <c r="AR43" s="190"/>
      <c r="AS43" s="190"/>
      <c r="AT43" s="190"/>
      <c r="AU43" s="190"/>
      <c r="AV43" s="190" t="s">
        <v>504</v>
      </c>
    </row>
    <row r="44" spans="1:48" x14ac:dyDescent="0.35">
      <c r="A44" s="185">
        <v>193660</v>
      </c>
      <c r="B44" s="186" t="s">
        <v>505</v>
      </c>
      <c r="C44" s="186" t="s">
        <v>478</v>
      </c>
      <c r="D44" s="186" t="s">
        <v>19</v>
      </c>
      <c r="E44" s="186" t="s">
        <v>494</v>
      </c>
      <c r="F44" s="186" t="s">
        <v>24</v>
      </c>
      <c r="G44" s="186" t="s">
        <v>506</v>
      </c>
      <c r="H44" s="186" t="s">
        <v>495</v>
      </c>
      <c r="I44" s="186" t="s">
        <v>481</v>
      </c>
      <c r="J44" s="187" t="s">
        <v>507</v>
      </c>
      <c r="K44" s="186" t="s">
        <v>508</v>
      </c>
      <c r="L44" s="186"/>
      <c r="M44" s="186"/>
      <c r="N44" s="186" t="s">
        <v>484</v>
      </c>
      <c r="O44" s="186"/>
      <c r="P44" s="186" t="s">
        <v>485</v>
      </c>
      <c r="Q44" s="186" t="s">
        <v>509</v>
      </c>
      <c r="R44" s="186"/>
      <c r="S44" s="186"/>
      <c r="T44" s="186"/>
      <c r="U44" s="186"/>
      <c r="V44" s="186" t="s">
        <v>510</v>
      </c>
      <c r="W44" s="186">
        <v>558</v>
      </c>
      <c r="X44" s="186">
        <v>10</v>
      </c>
      <c r="Y44" s="186" t="s">
        <v>65</v>
      </c>
      <c r="Z44" s="186" t="s">
        <v>484</v>
      </c>
      <c r="AA44" s="188"/>
      <c r="AB44" s="186"/>
      <c r="AC44" s="186"/>
      <c r="AD44" s="186" t="s">
        <v>511</v>
      </c>
      <c r="AE44" s="186"/>
      <c r="AF44" s="40"/>
      <c r="AG44" s="40"/>
      <c r="AH44" s="40"/>
      <c r="AI44" s="186"/>
      <c r="AJ44" s="40"/>
      <c r="AK44" s="186" t="s">
        <v>487</v>
      </c>
      <c r="AL44" s="186" t="s">
        <v>488</v>
      </c>
      <c r="AM44" s="186" t="s">
        <v>512</v>
      </c>
      <c r="AN44" s="189" t="s">
        <v>788</v>
      </c>
      <c r="AO44" s="40" t="s">
        <v>499</v>
      </c>
      <c r="AP44" s="160" t="s">
        <v>492</v>
      </c>
      <c r="AQ44" s="190"/>
      <c r="AR44" s="190"/>
      <c r="AS44" s="190"/>
      <c r="AT44" s="190"/>
      <c r="AU44" s="190"/>
      <c r="AV44" s="190" t="s">
        <v>478</v>
      </c>
    </row>
    <row r="45" spans="1:48" x14ac:dyDescent="0.35">
      <c r="A45" s="185">
        <v>193397</v>
      </c>
      <c r="B45" s="186" t="s">
        <v>500</v>
      </c>
      <c r="C45" s="186" t="s">
        <v>478</v>
      </c>
      <c r="D45" s="186" t="s">
        <v>19</v>
      </c>
      <c r="E45" s="186" t="s">
        <v>494</v>
      </c>
      <c r="F45" s="186" t="s">
        <v>24</v>
      </c>
      <c r="G45" s="186" t="s">
        <v>479</v>
      </c>
      <c r="H45" s="186" t="s">
        <v>495</v>
      </c>
      <c r="I45" s="186" t="s">
        <v>481</v>
      </c>
      <c r="J45" s="187" t="s">
        <v>501</v>
      </c>
      <c r="K45" s="186" t="s">
        <v>502</v>
      </c>
      <c r="L45" s="186"/>
      <c r="M45" s="186"/>
      <c r="N45" s="186" t="s">
        <v>484</v>
      </c>
      <c r="O45" s="186"/>
      <c r="P45" s="186" t="s">
        <v>485</v>
      </c>
      <c r="Q45" s="186"/>
      <c r="R45" s="186">
        <v>2</v>
      </c>
      <c r="S45" s="186">
        <v>4</v>
      </c>
      <c r="T45" s="186">
        <v>66.125</v>
      </c>
      <c r="U45" s="186"/>
      <c r="V45" s="186"/>
      <c r="W45" s="186"/>
      <c r="X45" s="186"/>
      <c r="Y45" s="186" t="s">
        <v>54</v>
      </c>
      <c r="Z45" s="186" t="s">
        <v>484</v>
      </c>
      <c r="AA45" s="188"/>
      <c r="AB45" s="186"/>
      <c r="AC45" s="186"/>
      <c r="AD45" s="186"/>
      <c r="AE45" s="186"/>
      <c r="AF45" s="40"/>
      <c r="AG45" s="40"/>
      <c r="AH45" s="40"/>
      <c r="AI45" s="186"/>
      <c r="AJ45" s="40"/>
      <c r="AK45" s="186" t="s">
        <v>487</v>
      </c>
      <c r="AL45" s="186" t="s">
        <v>488</v>
      </c>
      <c r="AM45" s="186" t="s">
        <v>503</v>
      </c>
      <c r="AN45" s="189" t="s">
        <v>788</v>
      </c>
      <c r="AO45" s="40" t="s">
        <v>499</v>
      </c>
      <c r="AP45" s="160" t="s">
        <v>492</v>
      </c>
      <c r="AQ45" s="190"/>
      <c r="AR45" s="190"/>
      <c r="AS45" s="190"/>
      <c r="AT45" s="190"/>
      <c r="AU45" s="190"/>
      <c r="AV45" s="190" t="s">
        <v>504</v>
      </c>
    </row>
    <row r="46" spans="1:48" x14ac:dyDescent="0.35">
      <c r="A46" s="185">
        <v>193582</v>
      </c>
      <c r="B46" s="186" t="s">
        <v>493</v>
      </c>
      <c r="C46" s="186" t="s">
        <v>478</v>
      </c>
      <c r="D46" s="186" t="s">
        <v>19</v>
      </c>
      <c r="E46" s="186" t="s">
        <v>494</v>
      </c>
      <c r="F46" s="186" t="s">
        <v>24</v>
      </c>
      <c r="G46" s="186" t="s">
        <v>479</v>
      </c>
      <c r="H46" s="186" t="s">
        <v>495</v>
      </c>
      <c r="I46" s="186" t="s">
        <v>481</v>
      </c>
      <c r="J46" s="187" t="s">
        <v>496</v>
      </c>
      <c r="K46" s="186" t="s">
        <v>497</v>
      </c>
      <c r="L46" s="186"/>
      <c r="M46" s="186"/>
      <c r="N46" s="186" t="s">
        <v>484</v>
      </c>
      <c r="O46" s="186"/>
      <c r="P46" s="186" t="s">
        <v>485</v>
      </c>
      <c r="Q46" s="186"/>
      <c r="R46" s="186">
        <v>16</v>
      </c>
      <c r="S46" s="186">
        <v>16</v>
      </c>
      <c r="T46" s="186">
        <v>178.4375</v>
      </c>
      <c r="U46" s="186"/>
      <c r="V46" s="186"/>
      <c r="W46" s="186"/>
      <c r="X46" s="186"/>
      <c r="Y46" s="186" t="s">
        <v>54</v>
      </c>
      <c r="Z46" s="186" t="s">
        <v>484</v>
      </c>
      <c r="AA46" s="188"/>
      <c r="AB46" s="186"/>
      <c r="AC46" s="186"/>
      <c r="AD46" s="186"/>
      <c r="AE46" s="186"/>
      <c r="AF46" s="40"/>
      <c r="AG46" s="40"/>
      <c r="AH46" s="40"/>
      <c r="AI46" s="186"/>
      <c r="AJ46" s="40"/>
      <c r="AK46" s="186" t="s">
        <v>487</v>
      </c>
      <c r="AL46" s="186" t="s">
        <v>488</v>
      </c>
      <c r="AM46" s="186" t="s">
        <v>498</v>
      </c>
      <c r="AN46" s="189" t="s">
        <v>788</v>
      </c>
      <c r="AO46" s="40" t="s">
        <v>499</v>
      </c>
      <c r="AP46" s="160" t="s">
        <v>492</v>
      </c>
      <c r="AQ46" s="190"/>
      <c r="AR46" s="190"/>
      <c r="AS46" s="190"/>
      <c r="AT46" s="190"/>
      <c r="AU46" s="190"/>
      <c r="AV46" s="190" t="s">
        <v>478</v>
      </c>
    </row>
    <row r="47" spans="1:48" x14ac:dyDescent="0.35">
      <c r="A47" s="185">
        <v>193663</v>
      </c>
      <c r="B47" s="186" t="s">
        <v>477</v>
      </c>
      <c r="C47" s="186" t="s">
        <v>478</v>
      </c>
      <c r="D47" s="186" t="s">
        <v>19</v>
      </c>
      <c r="E47" s="186" t="s">
        <v>252</v>
      </c>
      <c r="F47" s="186" t="s">
        <v>24</v>
      </c>
      <c r="G47" s="186" t="s">
        <v>479</v>
      </c>
      <c r="H47" s="186" t="s">
        <v>480</v>
      </c>
      <c r="I47" s="186" t="s">
        <v>481</v>
      </c>
      <c r="J47" s="187" t="s">
        <v>482</v>
      </c>
      <c r="K47" s="186" t="s">
        <v>483</v>
      </c>
      <c r="L47" s="186"/>
      <c r="M47" s="186" t="s">
        <v>32</v>
      </c>
      <c r="N47" s="186" t="s">
        <v>484</v>
      </c>
      <c r="O47" s="186"/>
      <c r="P47" s="186" t="s">
        <v>485</v>
      </c>
      <c r="Q47" s="186" t="s">
        <v>486</v>
      </c>
      <c r="R47" s="186">
        <v>12</v>
      </c>
      <c r="S47" s="186">
        <v>8</v>
      </c>
      <c r="T47" s="186">
        <v>85.5</v>
      </c>
      <c r="U47" s="186"/>
      <c r="V47" s="186"/>
      <c r="W47" s="186"/>
      <c r="X47" s="186"/>
      <c r="Y47" s="186" t="s">
        <v>54</v>
      </c>
      <c r="Z47" s="186" t="s">
        <v>484</v>
      </c>
      <c r="AA47" s="188"/>
      <c r="AB47" s="186"/>
      <c r="AC47" s="186"/>
      <c r="AD47" s="186"/>
      <c r="AE47" s="186"/>
      <c r="AF47" s="40"/>
      <c r="AG47" s="40"/>
      <c r="AH47" s="40"/>
      <c r="AI47" s="186"/>
      <c r="AJ47" s="40"/>
      <c r="AK47" s="186" t="s">
        <v>487</v>
      </c>
      <c r="AL47" s="186" t="s">
        <v>488</v>
      </c>
      <c r="AM47" s="186" t="s">
        <v>489</v>
      </c>
      <c r="AN47" s="189" t="s">
        <v>788</v>
      </c>
      <c r="AO47" s="40" t="s">
        <v>490</v>
      </c>
      <c r="AP47" s="160" t="s">
        <v>492</v>
      </c>
      <c r="AQ47" s="190"/>
      <c r="AR47" s="190"/>
      <c r="AS47" s="190"/>
      <c r="AT47" s="190"/>
      <c r="AU47" s="190"/>
      <c r="AV47" s="190" t="s">
        <v>491</v>
      </c>
    </row>
  </sheetData>
  <phoneticPr fontId="14" type="noConversion"/>
  <conditionalFormatting sqref="B1">
    <cfRule type="duplicateValues" dxfId="51" priority="3"/>
  </conditionalFormatting>
  <conditionalFormatting sqref="B1">
    <cfRule type="duplicateValues" dxfId="50" priority="1"/>
    <cfRule type="duplicateValues" dxfId="49" priority="2"/>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C978D-DBB9-45F7-B7A9-343C1CDC5BF3}">
  <sheetPr codeName="Sheet3">
    <tabColor theme="7" tint="0.79998168889431442"/>
  </sheetPr>
  <dimension ref="A1:U5"/>
  <sheetViews>
    <sheetView showGridLines="0" zoomScale="82" zoomScaleNormal="82" workbookViewId="0">
      <pane xSplit="2" ySplit="1" topLeftCell="C2" activePane="bottomRight" state="frozen"/>
      <selection pane="topRight" activeCell="C1" sqref="C1"/>
      <selection pane="bottomLeft" activeCell="A2" sqref="A2"/>
      <selection pane="bottomRight" activeCell="C3" sqref="C3"/>
    </sheetView>
  </sheetViews>
  <sheetFormatPr defaultColWidth="9.33203125" defaultRowHeight="13.5" x14ac:dyDescent="0.3"/>
  <cols>
    <col min="1" max="1" width="7.33203125" style="20" customWidth="1"/>
    <col min="2" max="2" width="45.58203125" style="19" customWidth="1"/>
    <col min="3" max="3" width="26.08203125" style="21" customWidth="1"/>
    <col min="4" max="4" width="9.33203125" style="19" customWidth="1"/>
    <col min="5" max="5" width="21.58203125" style="19" customWidth="1"/>
    <col min="6" max="6" width="23.58203125" style="19" customWidth="1"/>
    <col min="7" max="7" width="24.5" style="19" customWidth="1"/>
    <col min="8" max="8" width="23.83203125" style="19" bestFit="1" customWidth="1"/>
    <col min="9" max="9" width="26.6640625" style="19" customWidth="1"/>
    <col min="10" max="10" width="21.1640625" style="19" customWidth="1"/>
    <col min="11" max="11" width="23.58203125" style="19" bestFit="1" customWidth="1"/>
    <col min="12" max="12" width="36.5" style="19" bestFit="1" customWidth="1"/>
    <col min="13" max="13" width="55" style="19" bestFit="1" customWidth="1"/>
    <col min="14" max="14" width="36" style="19" bestFit="1" customWidth="1"/>
    <col min="15" max="15" width="46.58203125" style="19" bestFit="1" customWidth="1"/>
    <col min="16" max="16" width="36" style="19" bestFit="1" customWidth="1"/>
    <col min="17" max="17" width="46.58203125" style="19" bestFit="1" customWidth="1"/>
    <col min="18" max="18" width="9.33203125" style="19"/>
    <col min="19" max="19" width="50.58203125" style="19" customWidth="1"/>
    <col min="20" max="20" width="18.6640625" style="19" customWidth="1"/>
    <col min="21" max="118" width="9.33203125" style="19"/>
    <col min="119" max="119" width="7.33203125" style="19" customWidth="1"/>
    <col min="120" max="121" width="20.33203125" style="19" customWidth="1"/>
    <col min="122" max="124" width="15.33203125" style="19" customWidth="1"/>
    <col min="125" max="125" width="9.33203125" style="19"/>
    <col min="126" max="126" width="15.33203125" style="19" customWidth="1"/>
    <col min="127" max="127" width="10.33203125" style="19" customWidth="1"/>
    <col min="128" max="128" width="12.83203125" style="19" customWidth="1"/>
    <col min="129" max="129" width="17.33203125" style="19" customWidth="1"/>
    <col min="130" max="135" width="9.33203125" style="19"/>
    <col min="136" max="136" width="13.33203125" style="19" customWidth="1"/>
    <col min="137" max="139" width="12.83203125" style="19" customWidth="1"/>
    <col min="140" max="140" width="9.33203125" style="19"/>
    <col min="141" max="141" width="11.83203125" style="19" customWidth="1"/>
    <col min="142" max="152" width="9.33203125" style="19"/>
    <col min="153" max="153" width="11.33203125" style="19" customWidth="1"/>
    <col min="154" max="154" width="13.33203125" style="19" customWidth="1"/>
    <col min="155" max="155" width="16.08203125" style="19" customWidth="1"/>
    <col min="156" max="156" width="10.33203125" style="19" customWidth="1"/>
    <col min="157" max="157" width="12.83203125" style="19" customWidth="1"/>
    <col min="158" max="158" width="14.33203125" style="19" customWidth="1"/>
    <col min="159" max="159" width="10.83203125" style="19" customWidth="1"/>
    <col min="160" max="160" width="11.83203125" style="19" customWidth="1"/>
    <col min="161" max="161" width="17.58203125" style="19" customWidth="1"/>
    <col min="162" max="374" width="9.33203125" style="19"/>
    <col min="375" max="375" width="7.33203125" style="19" customWidth="1"/>
    <col min="376" max="377" width="20.33203125" style="19" customWidth="1"/>
    <col min="378" max="380" width="15.33203125" style="19" customWidth="1"/>
    <col min="381" max="381" width="9.33203125" style="19"/>
    <col min="382" max="382" width="15.33203125" style="19" customWidth="1"/>
    <col min="383" max="383" width="10.33203125" style="19" customWidth="1"/>
    <col min="384" max="384" width="12.83203125" style="19" customWidth="1"/>
    <col min="385" max="385" width="17.33203125" style="19" customWidth="1"/>
    <col min="386" max="391" width="9.33203125" style="19"/>
    <col min="392" max="392" width="13.33203125" style="19" customWidth="1"/>
    <col min="393" max="395" width="12.83203125" style="19" customWidth="1"/>
    <col min="396" max="396" width="9.33203125" style="19"/>
    <col min="397" max="397" width="11.83203125" style="19" customWidth="1"/>
    <col min="398" max="408" width="9.33203125" style="19"/>
    <col min="409" max="409" width="11.33203125" style="19" customWidth="1"/>
    <col min="410" max="410" width="13.33203125" style="19" customWidth="1"/>
    <col min="411" max="411" width="16.08203125" style="19" customWidth="1"/>
    <col min="412" max="412" width="10.33203125" style="19" customWidth="1"/>
    <col min="413" max="413" width="12.83203125" style="19" customWidth="1"/>
    <col min="414" max="414" width="14.33203125" style="19" customWidth="1"/>
    <col min="415" max="415" width="10.83203125" style="19" customWidth="1"/>
    <col min="416" max="416" width="11.83203125" style="19" customWidth="1"/>
    <col min="417" max="417" width="17.58203125" style="19" customWidth="1"/>
    <col min="418" max="630" width="9.33203125" style="19"/>
    <col min="631" max="631" width="7.33203125" style="19" customWidth="1"/>
    <col min="632" max="633" width="20.33203125" style="19" customWidth="1"/>
    <col min="634" max="636" width="15.33203125" style="19" customWidth="1"/>
    <col min="637" max="637" width="9.33203125" style="19"/>
    <col min="638" max="638" width="15.33203125" style="19" customWidth="1"/>
    <col min="639" max="639" width="10.33203125" style="19" customWidth="1"/>
    <col min="640" max="640" width="12.83203125" style="19" customWidth="1"/>
    <col min="641" max="641" width="17.33203125" style="19" customWidth="1"/>
    <col min="642" max="647" width="9.33203125" style="19"/>
    <col min="648" max="648" width="13.33203125" style="19" customWidth="1"/>
    <col min="649" max="651" width="12.83203125" style="19" customWidth="1"/>
    <col min="652" max="652" width="9.33203125" style="19"/>
    <col min="653" max="653" width="11.83203125" style="19" customWidth="1"/>
    <col min="654" max="664" width="9.33203125" style="19"/>
    <col min="665" max="665" width="11.33203125" style="19" customWidth="1"/>
    <col min="666" max="666" width="13.33203125" style="19" customWidth="1"/>
    <col min="667" max="667" width="16.08203125" style="19" customWidth="1"/>
    <col min="668" max="668" width="10.33203125" style="19" customWidth="1"/>
    <col min="669" max="669" width="12.83203125" style="19" customWidth="1"/>
    <col min="670" max="670" width="14.33203125" style="19" customWidth="1"/>
    <col min="671" max="671" width="10.83203125" style="19" customWidth="1"/>
    <col min="672" max="672" width="11.83203125" style="19" customWidth="1"/>
    <col min="673" max="673" width="17.58203125" style="19" customWidth="1"/>
    <col min="674" max="886" width="9.33203125" style="19"/>
    <col min="887" max="887" width="7.33203125" style="19" customWidth="1"/>
    <col min="888" max="889" width="20.33203125" style="19" customWidth="1"/>
    <col min="890" max="892" width="15.33203125" style="19" customWidth="1"/>
    <col min="893" max="893" width="9.33203125" style="19"/>
    <col min="894" max="894" width="15.33203125" style="19" customWidth="1"/>
    <col min="895" max="895" width="10.33203125" style="19" customWidth="1"/>
    <col min="896" max="896" width="12.83203125" style="19" customWidth="1"/>
    <col min="897" max="897" width="17.33203125" style="19" customWidth="1"/>
    <col min="898" max="903" width="9.33203125" style="19"/>
    <col min="904" max="904" width="13.33203125" style="19" customWidth="1"/>
    <col min="905" max="907" width="12.83203125" style="19" customWidth="1"/>
    <col min="908" max="908" width="9.33203125" style="19"/>
    <col min="909" max="909" width="11.83203125" style="19" customWidth="1"/>
    <col min="910" max="920" width="9.33203125" style="19"/>
    <col min="921" max="921" width="11.33203125" style="19" customWidth="1"/>
    <col min="922" max="922" width="13.33203125" style="19" customWidth="1"/>
    <col min="923" max="923" width="16.08203125" style="19" customWidth="1"/>
    <col min="924" max="924" width="10.33203125" style="19" customWidth="1"/>
    <col min="925" max="925" width="12.83203125" style="19" customWidth="1"/>
    <col min="926" max="926" width="14.33203125" style="19" customWidth="1"/>
    <col min="927" max="927" width="10.83203125" style="19" customWidth="1"/>
    <col min="928" max="928" width="11.83203125" style="19" customWidth="1"/>
    <col min="929" max="929" width="17.58203125" style="19" customWidth="1"/>
    <col min="930" max="1142" width="9.33203125" style="19"/>
    <col min="1143" max="1143" width="7.33203125" style="19" customWidth="1"/>
    <col min="1144" max="1145" width="20.33203125" style="19" customWidth="1"/>
    <col min="1146" max="1148" width="15.33203125" style="19" customWidth="1"/>
    <col min="1149" max="1149" width="9.33203125" style="19"/>
    <col min="1150" max="1150" width="15.33203125" style="19" customWidth="1"/>
    <col min="1151" max="1151" width="10.33203125" style="19" customWidth="1"/>
    <col min="1152" max="1152" width="12.83203125" style="19" customWidth="1"/>
    <col min="1153" max="1153" width="17.33203125" style="19" customWidth="1"/>
    <col min="1154" max="1159" width="9.33203125" style="19"/>
    <col min="1160" max="1160" width="13.33203125" style="19" customWidth="1"/>
    <col min="1161" max="1163" width="12.83203125" style="19" customWidth="1"/>
    <col min="1164" max="1164" width="9.33203125" style="19"/>
    <col min="1165" max="1165" width="11.83203125" style="19" customWidth="1"/>
    <col min="1166" max="1176" width="9.33203125" style="19"/>
    <col min="1177" max="1177" width="11.33203125" style="19" customWidth="1"/>
    <col min="1178" max="1178" width="13.33203125" style="19" customWidth="1"/>
    <col min="1179" max="1179" width="16.08203125" style="19" customWidth="1"/>
    <col min="1180" max="1180" width="10.33203125" style="19" customWidth="1"/>
    <col min="1181" max="1181" width="12.83203125" style="19" customWidth="1"/>
    <col min="1182" max="1182" width="14.33203125" style="19" customWidth="1"/>
    <col min="1183" max="1183" width="10.83203125" style="19" customWidth="1"/>
    <col min="1184" max="1184" width="11.83203125" style="19" customWidth="1"/>
    <col min="1185" max="1185" width="17.58203125" style="19" customWidth="1"/>
    <col min="1186" max="1398" width="9.33203125" style="19"/>
    <col min="1399" max="1399" width="7.33203125" style="19" customWidth="1"/>
    <col min="1400" max="1401" width="20.33203125" style="19" customWidth="1"/>
    <col min="1402" max="1404" width="15.33203125" style="19" customWidth="1"/>
    <col min="1405" max="1405" width="9.33203125" style="19"/>
    <col min="1406" max="1406" width="15.33203125" style="19" customWidth="1"/>
    <col min="1407" max="1407" width="10.33203125" style="19" customWidth="1"/>
    <col min="1408" max="1408" width="12.83203125" style="19" customWidth="1"/>
    <col min="1409" max="1409" width="17.33203125" style="19" customWidth="1"/>
    <col min="1410" max="1415" width="9.33203125" style="19"/>
    <col min="1416" max="1416" width="13.33203125" style="19" customWidth="1"/>
    <col min="1417" max="1419" width="12.83203125" style="19" customWidth="1"/>
    <col min="1420" max="1420" width="9.33203125" style="19"/>
    <col min="1421" max="1421" width="11.83203125" style="19" customWidth="1"/>
    <col min="1422" max="1432" width="9.33203125" style="19"/>
    <col min="1433" max="1433" width="11.33203125" style="19" customWidth="1"/>
    <col min="1434" max="1434" width="13.33203125" style="19" customWidth="1"/>
    <col min="1435" max="1435" width="16.08203125" style="19" customWidth="1"/>
    <col min="1436" max="1436" width="10.33203125" style="19" customWidth="1"/>
    <col min="1437" max="1437" width="12.83203125" style="19" customWidth="1"/>
    <col min="1438" max="1438" width="14.33203125" style="19" customWidth="1"/>
    <col min="1439" max="1439" width="10.83203125" style="19" customWidth="1"/>
    <col min="1440" max="1440" width="11.83203125" style="19" customWidth="1"/>
    <col min="1441" max="1441" width="17.58203125" style="19" customWidth="1"/>
    <col min="1442" max="1654" width="9.33203125" style="19"/>
    <col min="1655" max="1655" width="7.33203125" style="19" customWidth="1"/>
    <col min="1656" max="1657" width="20.33203125" style="19" customWidth="1"/>
    <col min="1658" max="1660" width="15.33203125" style="19" customWidth="1"/>
    <col min="1661" max="1661" width="9.33203125" style="19"/>
    <col min="1662" max="1662" width="15.33203125" style="19" customWidth="1"/>
    <col min="1663" max="1663" width="10.33203125" style="19" customWidth="1"/>
    <col min="1664" max="1664" width="12.83203125" style="19" customWidth="1"/>
    <col min="1665" max="1665" width="17.33203125" style="19" customWidth="1"/>
    <col min="1666" max="1671" width="9.33203125" style="19"/>
    <col min="1672" max="1672" width="13.33203125" style="19" customWidth="1"/>
    <col min="1673" max="1675" width="12.83203125" style="19" customWidth="1"/>
    <col min="1676" max="1676" width="9.33203125" style="19"/>
    <col min="1677" max="1677" width="11.83203125" style="19" customWidth="1"/>
    <col min="1678" max="1688" width="9.33203125" style="19"/>
    <col min="1689" max="1689" width="11.33203125" style="19" customWidth="1"/>
    <col min="1690" max="1690" width="13.33203125" style="19" customWidth="1"/>
    <col min="1691" max="1691" width="16.08203125" style="19" customWidth="1"/>
    <col min="1692" max="1692" width="10.33203125" style="19" customWidth="1"/>
    <col min="1693" max="1693" width="12.83203125" style="19" customWidth="1"/>
    <col min="1694" max="1694" width="14.33203125" style="19" customWidth="1"/>
    <col min="1695" max="1695" width="10.83203125" style="19" customWidth="1"/>
    <col min="1696" max="1696" width="11.83203125" style="19" customWidth="1"/>
    <col min="1697" max="1697" width="17.58203125" style="19" customWidth="1"/>
    <col min="1698" max="1910" width="9.33203125" style="19"/>
    <col min="1911" max="1911" width="7.33203125" style="19" customWidth="1"/>
    <col min="1912" max="1913" width="20.33203125" style="19" customWidth="1"/>
    <col min="1914" max="1916" width="15.33203125" style="19" customWidth="1"/>
    <col min="1917" max="1917" width="9.33203125" style="19"/>
    <col min="1918" max="1918" width="15.33203125" style="19" customWidth="1"/>
    <col min="1919" max="1919" width="10.33203125" style="19" customWidth="1"/>
    <col min="1920" max="1920" width="12.83203125" style="19" customWidth="1"/>
    <col min="1921" max="1921" width="17.33203125" style="19" customWidth="1"/>
    <col min="1922" max="1927" width="9.33203125" style="19"/>
    <col min="1928" max="1928" width="13.33203125" style="19" customWidth="1"/>
    <col min="1929" max="1931" width="12.83203125" style="19" customWidth="1"/>
    <col min="1932" max="1932" width="9.33203125" style="19"/>
    <col min="1933" max="1933" width="11.83203125" style="19" customWidth="1"/>
    <col min="1934" max="1944" width="9.33203125" style="19"/>
    <col min="1945" max="1945" width="11.33203125" style="19" customWidth="1"/>
    <col min="1946" max="1946" width="13.33203125" style="19" customWidth="1"/>
    <col min="1947" max="1947" width="16.08203125" style="19" customWidth="1"/>
    <col min="1948" max="1948" width="10.33203125" style="19" customWidth="1"/>
    <col min="1949" max="1949" width="12.83203125" style="19" customWidth="1"/>
    <col min="1950" max="1950" width="14.33203125" style="19" customWidth="1"/>
    <col min="1951" max="1951" width="10.83203125" style="19" customWidth="1"/>
    <col min="1952" max="1952" width="11.83203125" style="19" customWidth="1"/>
    <col min="1953" max="1953" width="17.58203125" style="19" customWidth="1"/>
    <col min="1954" max="2166" width="9.33203125" style="19"/>
    <col min="2167" max="2167" width="7.33203125" style="19" customWidth="1"/>
    <col min="2168" max="2169" width="20.33203125" style="19" customWidth="1"/>
    <col min="2170" max="2172" width="15.33203125" style="19" customWidth="1"/>
    <col min="2173" max="2173" width="9.33203125" style="19"/>
    <col min="2174" max="2174" width="15.33203125" style="19" customWidth="1"/>
    <col min="2175" max="2175" width="10.33203125" style="19" customWidth="1"/>
    <col min="2176" max="2176" width="12.83203125" style="19" customWidth="1"/>
    <col min="2177" max="2177" width="17.33203125" style="19" customWidth="1"/>
    <col min="2178" max="2183" width="9.33203125" style="19"/>
    <col min="2184" max="2184" width="13.33203125" style="19" customWidth="1"/>
    <col min="2185" max="2187" width="12.83203125" style="19" customWidth="1"/>
    <col min="2188" max="2188" width="9.33203125" style="19"/>
    <col min="2189" max="2189" width="11.83203125" style="19" customWidth="1"/>
    <col min="2190" max="2200" width="9.33203125" style="19"/>
    <col min="2201" max="2201" width="11.33203125" style="19" customWidth="1"/>
    <col min="2202" max="2202" width="13.33203125" style="19" customWidth="1"/>
    <col min="2203" max="2203" width="16.08203125" style="19" customWidth="1"/>
    <col min="2204" max="2204" width="10.33203125" style="19" customWidth="1"/>
    <col min="2205" max="2205" width="12.83203125" style="19" customWidth="1"/>
    <col min="2206" max="2206" width="14.33203125" style="19" customWidth="1"/>
    <col min="2207" max="2207" width="10.83203125" style="19" customWidth="1"/>
    <col min="2208" max="2208" width="11.83203125" style="19" customWidth="1"/>
    <col min="2209" max="2209" width="17.58203125" style="19" customWidth="1"/>
    <col min="2210" max="2422" width="9.33203125" style="19"/>
    <col min="2423" max="2423" width="7.33203125" style="19" customWidth="1"/>
    <col min="2424" max="2425" width="20.33203125" style="19" customWidth="1"/>
    <col min="2426" max="2428" width="15.33203125" style="19" customWidth="1"/>
    <col min="2429" max="2429" width="9.33203125" style="19"/>
    <col min="2430" max="2430" width="15.33203125" style="19" customWidth="1"/>
    <col min="2431" max="2431" width="10.33203125" style="19" customWidth="1"/>
    <col min="2432" max="2432" width="12.83203125" style="19" customWidth="1"/>
    <col min="2433" max="2433" width="17.33203125" style="19" customWidth="1"/>
    <col min="2434" max="2439" width="9.33203125" style="19"/>
    <col min="2440" max="2440" width="13.33203125" style="19" customWidth="1"/>
    <col min="2441" max="2443" width="12.83203125" style="19" customWidth="1"/>
    <col min="2444" max="2444" width="9.33203125" style="19"/>
    <col min="2445" max="2445" width="11.83203125" style="19" customWidth="1"/>
    <col min="2446" max="2456" width="9.33203125" style="19"/>
    <col min="2457" max="2457" width="11.33203125" style="19" customWidth="1"/>
    <col min="2458" max="2458" width="13.33203125" style="19" customWidth="1"/>
    <col min="2459" max="2459" width="16.08203125" style="19" customWidth="1"/>
    <col min="2460" max="2460" width="10.33203125" style="19" customWidth="1"/>
    <col min="2461" max="2461" width="12.83203125" style="19" customWidth="1"/>
    <col min="2462" max="2462" width="14.33203125" style="19" customWidth="1"/>
    <col min="2463" max="2463" width="10.83203125" style="19" customWidth="1"/>
    <col min="2464" max="2464" width="11.83203125" style="19" customWidth="1"/>
    <col min="2465" max="2465" width="17.58203125" style="19" customWidth="1"/>
    <col min="2466" max="2678" width="9.33203125" style="19"/>
    <col min="2679" max="2679" width="7.33203125" style="19" customWidth="1"/>
    <col min="2680" max="2681" width="20.33203125" style="19" customWidth="1"/>
    <col min="2682" max="2684" width="15.33203125" style="19" customWidth="1"/>
    <col min="2685" max="2685" width="9.33203125" style="19"/>
    <col min="2686" max="2686" width="15.33203125" style="19" customWidth="1"/>
    <col min="2687" max="2687" width="10.33203125" style="19" customWidth="1"/>
    <col min="2688" max="2688" width="12.83203125" style="19" customWidth="1"/>
    <col min="2689" max="2689" width="17.33203125" style="19" customWidth="1"/>
    <col min="2690" max="2695" width="9.33203125" style="19"/>
    <col min="2696" max="2696" width="13.33203125" style="19" customWidth="1"/>
    <col min="2697" max="2699" width="12.83203125" style="19" customWidth="1"/>
    <col min="2700" max="2700" width="9.33203125" style="19"/>
    <col min="2701" max="2701" width="11.83203125" style="19" customWidth="1"/>
    <col min="2702" max="2712" width="9.33203125" style="19"/>
    <col min="2713" max="2713" width="11.33203125" style="19" customWidth="1"/>
    <col min="2714" max="2714" width="13.33203125" style="19" customWidth="1"/>
    <col min="2715" max="2715" width="16.08203125" style="19" customWidth="1"/>
    <col min="2716" max="2716" width="10.33203125" style="19" customWidth="1"/>
    <col min="2717" max="2717" width="12.83203125" style="19" customWidth="1"/>
    <col min="2718" max="2718" width="14.33203125" style="19" customWidth="1"/>
    <col min="2719" max="2719" width="10.83203125" style="19" customWidth="1"/>
    <col min="2720" max="2720" width="11.83203125" style="19" customWidth="1"/>
    <col min="2721" max="2721" width="17.58203125" style="19" customWidth="1"/>
    <col min="2722" max="2934" width="9.33203125" style="19"/>
    <col min="2935" max="2935" width="7.33203125" style="19" customWidth="1"/>
    <col min="2936" max="2937" width="20.33203125" style="19" customWidth="1"/>
    <col min="2938" max="2940" width="15.33203125" style="19" customWidth="1"/>
    <col min="2941" max="2941" width="9.33203125" style="19"/>
    <col min="2942" max="2942" width="15.33203125" style="19" customWidth="1"/>
    <col min="2943" max="2943" width="10.33203125" style="19" customWidth="1"/>
    <col min="2944" max="2944" width="12.83203125" style="19" customWidth="1"/>
    <col min="2945" max="2945" width="17.33203125" style="19" customWidth="1"/>
    <col min="2946" max="2951" width="9.33203125" style="19"/>
    <col min="2952" max="2952" width="13.33203125" style="19" customWidth="1"/>
    <col min="2953" max="2955" width="12.83203125" style="19" customWidth="1"/>
    <col min="2956" max="2956" width="9.33203125" style="19"/>
    <col min="2957" max="2957" width="11.83203125" style="19" customWidth="1"/>
    <col min="2958" max="2968" width="9.33203125" style="19"/>
    <col min="2969" max="2969" width="11.33203125" style="19" customWidth="1"/>
    <col min="2970" max="2970" width="13.33203125" style="19" customWidth="1"/>
    <col min="2971" max="2971" width="16.08203125" style="19" customWidth="1"/>
    <col min="2972" max="2972" width="10.33203125" style="19" customWidth="1"/>
    <col min="2973" max="2973" width="12.83203125" style="19" customWidth="1"/>
    <col min="2974" max="2974" width="14.33203125" style="19" customWidth="1"/>
    <col min="2975" max="2975" width="10.83203125" style="19" customWidth="1"/>
    <col min="2976" max="2976" width="11.83203125" style="19" customWidth="1"/>
    <col min="2977" max="2977" width="17.58203125" style="19" customWidth="1"/>
    <col min="2978" max="3190" width="9.33203125" style="19"/>
    <col min="3191" max="3191" width="7.33203125" style="19" customWidth="1"/>
    <col min="3192" max="3193" width="20.33203125" style="19" customWidth="1"/>
    <col min="3194" max="3196" width="15.33203125" style="19" customWidth="1"/>
    <col min="3197" max="3197" width="9.33203125" style="19"/>
    <col min="3198" max="3198" width="15.33203125" style="19" customWidth="1"/>
    <col min="3199" max="3199" width="10.33203125" style="19" customWidth="1"/>
    <col min="3200" max="3200" width="12.83203125" style="19" customWidth="1"/>
    <col min="3201" max="3201" width="17.33203125" style="19" customWidth="1"/>
    <col min="3202" max="3207" width="9.33203125" style="19"/>
    <col min="3208" max="3208" width="13.33203125" style="19" customWidth="1"/>
    <col min="3209" max="3211" width="12.83203125" style="19" customWidth="1"/>
    <col min="3212" max="3212" width="9.33203125" style="19"/>
    <col min="3213" max="3213" width="11.83203125" style="19" customWidth="1"/>
    <col min="3214" max="3224" width="9.33203125" style="19"/>
    <col min="3225" max="3225" width="11.33203125" style="19" customWidth="1"/>
    <col min="3226" max="3226" width="13.33203125" style="19" customWidth="1"/>
    <col min="3227" max="3227" width="16.08203125" style="19" customWidth="1"/>
    <col min="3228" max="3228" width="10.33203125" style="19" customWidth="1"/>
    <col min="3229" max="3229" width="12.83203125" style="19" customWidth="1"/>
    <col min="3230" max="3230" width="14.33203125" style="19" customWidth="1"/>
    <col min="3231" max="3231" width="10.83203125" style="19" customWidth="1"/>
    <col min="3232" max="3232" width="11.83203125" style="19" customWidth="1"/>
    <col min="3233" max="3233" width="17.58203125" style="19" customWidth="1"/>
    <col min="3234" max="3446" width="9.33203125" style="19"/>
    <col min="3447" max="3447" width="7.33203125" style="19" customWidth="1"/>
    <col min="3448" max="3449" width="20.33203125" style="19" customWidth="1"/>
    <col min="3450" max="3452" width="15.33203125" style="19" customWidth="1"/>
    <col min="3453" max="3453" width="9.33203125" style="19"/>
    <col min="3454" max="3454" width="15.33203125" style="19" customWidth="1"/>
    <col min="3455" max="3455" width="10.33203125" style="19" customWidth="1"/>
    <col min="3456" max="3456" width="12.83203125" style="19" customWidth="1"/>
    <col min="3457" max="3457" width="17.33203125" style="19" customWidth="1"/>
    <col min="3458" max="3463" width="9.33203125" style="19"/>
    <col min="3464" max="3464" width="13.33203125" style="19" customWidth="1"/>
    <col min="3465" max="3467" width="12.83203125" style="19" customWidth="1"/>
    <col min="3468" max="3468" width="9.33203125" style="19"/>
    <col min="3469" max="3469" width="11.83203125" style="19" customWidth="1"/>
    <col min="3470" max="3480" width="9.33203125" style="19"/>
    <col min="3481" max="3481" width="11.33203125" style="19" customWidth="1"/>
    <col min="3482" max="3482" width="13.33203125" style="19" customWidth="1"/>
    <col min="3483" max="3483" width="16.08203125" style="19" customWidth="1"/>
    <col min="3484" max="3484" width="10.33203125" style="19" customWidth="1"/>
    <col min="3485" max="3485" width="12.83203125" style="19" customWidth="1"/>
    <col min="3486" max="3486" width="14.33203125" style="19" customWidth="1"/>
    <col min="3487" max="3487" width="10.83203125" style="19" customWidth="1"/>
    <col min="3488" max="3488" width="11.83203125" style="19" customWidth="1"/>
    <col min="3489" max="3489" width="17.58203125" style="19" customWidth="1"/>
    <col min="3490" max="3702" width="9.33203125" style="19"/>
    <col min="3703" max="3703" width="7.33203125" style="19" customWidth="1"/>
    <col min="3704" max="3705" width="20.33203125" style="19" customWidth="1"/>
    <col min="3706" max="3708" width="15.33203125" style="19" customWidth="1"/>
    <col min="3709" max="3709" width="9.33203125" style="19"/>
    <col min="3710" max="3710" width="15.33203125" style="19" customWidth="1"/>
    <col min="3711" max="3711" width="10.33203125" style="19" customWidth="1"/>
    <col min="3712" max="3712" width="12.83203125" style="19" customWidth="1"/>
    <col min="3713" max="3713" width="17.33203125" style="19" customWidth="1"/>
    <col min="3714" max="3719" width="9.33203125" style="19"/>
    <col min="3720" max="3720" width="13.33203125" style="19" customWidth="1"/>
    <col min="3721" max="3723" width="12.83203125" style="19" customWidth="1"/>
    <col min="3724" max="3724" width="9.33203125" style="19"/>
    <col min="3725" max="3725" width="11.83203125" style="19" customWidth="1"/>
    <col min="3726" max="3736" width="9.33203125" style="19"/>
    <col min="3737" max="3737" width="11.33203125" style="19" customWidth="1"/>
    <col min="3738" max="3738" width="13.33203125" style="19" customWidth="1"/>
    <col min="3739" max="3739" width="16.08203125" style="19" customWidth="1"/>
    <col min="3740" max="3740" width="10.33203125" style="19" customWidth="1"/>
    <col min="3741" max="3741" width="12.83203125" style="19" customWidth="1"/>
    <col min="3742" max="3742" width="14.33203125" style="19" customWidth="1"/>
    <col min="3743" max="3743" width="10.83203125" style="19" customWidth="1"/>
    <col min="3744" max="3744" width="11.83203125" style="19" customWidth="1"/>
    <col min="3745" max="3745" width="17.58203125" style="19" customWidth="1"/>
    <col min="3746" max="3958" width="9.33203125" style="19"/>
    <col min="3959" max="3959" width="7.33203125" style="19" customWidth="1"/>
    <col min="3960" max="3961" width="20.33203125" style="19" customWidth="1"/>
    <col min="3962" max="3964" width="15.33203125" style="19" customWidth="1"/>
    <col min="3965" max="3965" width="9.33203125" style="19"/>
    <col min="3966" max="3966" width="15.33203125" style="19" customWidth="1"/>
    <col min="3967" max="3967" width="10.33203125" style="19" customWidth="1"/>
    <col min="3968" max="3968" width="12.83203125" style="19" customWidth="1"/>
    <col min="3969" max="3969" width="17.33203125" style="19" customWidth="1"/>
    <col min="3970" max="3975" width="9.33203125" style="19"/>
    <col min="3976" max="3976" width="13.33203125" style="19" customWidth="1"/>
    <col min="3977" max="3979" width="12.83203125" style="19" customWidth="1"/>
    <col min="3980" max="3980" width="9.33203125" style="19"/>
    <col min="3981" max="3981" width="11.83203125" style="19" customWidth="1"/>
    <col min="3982" max="3992" width="9.33203125" style="19"/>
    <col min="3993" max="3993" width="11.33203125" style="19" customWidth="1"/>
    <col min="3994" max="3994" width="13.33203125" style="19" customWidth="1"/>
    <col min="3995" max="3995" width="16.08203125" style="19" customWidth="1"/>
    <col min="3996" max="3996" width="10.33203125" style="19" customWidth="1"/>
    <col min="3997" max="3997" width="12.83203125" style="19" customWidth="1"/>
    <col min="3998" max="3998" width="14.33203125" style="19" customWidth="1"/>
    <col min="3999" max="3999" width="10.83203125" style="19" customWidth="1"/>
    <col min="4000" max="4000" width="11.83203125" style="19" customWidth="1"/>
    <col min="4001" max="4001" width="17.58203125" style="19" customWidth="1"/>
    <col min="4002" max="4214" width="9.33203125" style="19"/>
    <col min="4215" max="4215" width="7.33203125" style="19" customWidth="1"/>
    <col min="4216" max="4217" width="20.33203125" style="19" customWidth="1"/>
    <col min="4218" max="4220" width="15.33203125" style="19" customWidth="1"/>
    <col min="4221" max="4221" width="9.33203125" style="19"/>
    <col min="4222" max="4222" width="15.33203125" style="19" customWidth="1"/>
    <col min="4223" max="4223" width="10.33203125" style="19" customWidth="1"/>
    <col min="4224" max="4224" width="12.83203125" style="19" customWidth="1"/>
    <col min="4225" max="4225" width="17.33203125" style="19" customWidth="1"/>
    <col min="4226" max="4231" width="9.33203125" style="19"/>
    <col min="4232" max="4232" width="13.33203125" style="19" customWidth="1"/>
    <col min="4233" max="4235" width="12.83203125" style="19" customWidth="1"/>
    <col min="4236" max="4236" width="9.33203125" style="19"/>
    <col min="4237" max="4237" width="11.83203125" style="19" customWidth="1"/>
    <col min="4238" max="4248" width="9.33203125" style="19"/>
    <col min="4249" max="4249" width="11.33203125" style="19" customWidth="1"/>
    <col min="4250" max="4250" width="13.33203125" style="19" customWidth="1"/>
    <col min="4251" max="4251" width="16.08203125" style="19" customWidth="1"/>
    <col min="4252" max="4252" width="10.33203125" style="19" customWidth="1"/>
    <col min="4253" max="4253" width="12.83203125" style="19" customWidth="1"/>
    <col min="4254" max="4254" width="14.33203125" style="19" customWidth="1"/>
    <col min="4255" max="4255" width="10.83203125" style="19" customWidth="1"/>
    <col min="4256" max="4256" width="11.83203125" style="19" customWidth="1"/>
    <col min="4257" max="4257" width="17.58203125" style="19" customWidth="1"/>
    <col min="4258" max="4470" width="9.33203125" style="19"/>
    <col min="4471" max="4471" width="7.33203125" style="19" customWidth="1"/>
    <col min="4472" max="4473" width="20.33203125" style="19" customWidth="1"/>
    <col min="4474" max="4476" width="15.33203125" style="19" customWidth="1"/>
    <col min="4477" max="4477" width="9.33203125" style="19"/>
    <col min="4478" max="4478" width="15.33203125" style="19" customWidth="1"/>
    <col min="4479" max="4479" width="10.33203125" style="19" customWidth="1"/>
    <col min="4480" max="4480" width="12.83203125" style="19" customWidth="1"/>
    <col min="4481" max="4481" width="17.33203125" style="19" customWidth="1"/>
    <col min="4482" max="4487" width="9.33203125" style="19"/>
    <col min="4488" max="4488" width="13.33203125" style="19" customWidth="1"/>
    <col min="4489" max="4491" width="12.83203125" style="19" customWidth="1"/>
    <col min="4492" max="4492" width="9.33203125" style="19"/>
    <col min="4493" max="4493" width="11.83203125" style="19" customWidth="1"/>
    <col min="4494" max="4504" width="9.33203125" style="19"/>
    <col min="4505" max="4505" width="11.33203125" style="19" customWidth="1"/>
    <col min="4506" max="4506" width="13.33203125" style="19" customWidth="1"/>
    <col min="4507" max="4507" width="16.08203125" style="19" customWidth="1"/>
    <col min="4508" max="4508" width="10.33203125" style="19" customWidth="1"/>
    <col min="4509" max="4509" width="12.83203125" style="19" customWidth="1"/>
    <col min="4510" max="4510" width="14.33203125" style="19" customWidth="1"/>
    <col min="4511" max="4511" width="10.83203125" style="19" customWidth="1"/>
    <col min="4512" max="4512" width="11.83203125" style="19" customWidth="1"/>
    <col min="4513" max="4513" width="17.58203125" style="19" customWidth="1"/>
    <col min="4514" max="4726" width="9.33203125" style="19"/>
    <col min="4727" max="4727" width="7.33203125" style="19" customWidth="1"/>
    <col min="4728" max="4729" width="20.33203125" style="19" customWidth="1"/>
    <col min="4730" max="4732" width="15.33203125" style="19" customWidth="1"/>
    <col min="4733" max="4733" width="9.33203125" style="19"/>
    <col min="4734" max="4734" width="15.33203125" style="19" customWidth="1"/>
    <col min="4735" max="4735" width="10.33203125" style="19" customWidth="1"/>
    <col min="4736" max="4736" width="12.83203125" style="19" customWidth="1"/>
    <col min="4737" max="4737" width="17.33203125" style="19" customWidth="1"/>
    <col min="4738" max="4743" width="9.33203125" style="19"/>
    <col min="4744" max="4744" width="13.33203125" style="19" customWidth="1"/>
    <col min="4745" max="4747" width="12.83203125" style="19" customWidth="1"/>
    <col min="4748" max="4748" width="9.33203125" style="19"/>
    <col min="4749" max="4749" width="11.83203125" style="19" customWidth="1"/>
    <col min="4750" max="4760" width="9.33203125" style="19"/>
    <col min="4761" max="4761" width="11.33203125" style="19" customWidth="1"/>
    <col min="4762" max="4762" width="13.33203125" style="19" customWidth="1"/>
    <col min="4763" max="4763" width="16.08203125" style="19" customWidth="1"/>
    <col min="4764" max="4764" width="10.33203125" style="19" customWidth="1"/>
    <col min="4765" max="4765" width="12.83203125" style="19" customWidth="1"/>
    <col min="4766" max="4766" width="14.33203125" style="19" customWidth="1"/>
    <col min="4767" max="4767" width="10.83203125" style="19" customWidth="1"/>
    <col min="4768" max="4768" width="11.83203125" style="19" customWidth="1"/>
    <col min="4769" max="4769" width="17.58203125" style="19" customWidth="1"/>
    <col min="4770" max="4982" width="9.33203125" style="19"/>
    <col min="4983" max="4983" width="7.33203125" style="19" customWidth="1"/>
    <col min="4984" max="4985" width="20.33203125" style="19" customWidth="1"/>
    <col min="4986" max="4988" width="15.33203125" style="19" customWidth="1"/>
    <col min="4989" max="4989" width="9.33203125" style="19"/>
    <col min="4990" max="4990" width="15.33203125" style="19" customWidth="1"/>
    <col min="4991" max="4991" width="10.33203125" style="19" customWidth="1"/>
    <col min="4992" max="4992" width="12.83203125" style="19" customWidth="1"/>
    <col min="4993" max="4993" width="17.33203125" style="19" customWidth="1"/>
    <col min="4994" max="4999" width="9.33203125" style="19"/>
    <col min="5000" max="5000" width="13.33203125" style="19" customWidth="1"/>
    <col min="5001" max="5003" width="12.83203125" style="19" customWidth="1"/>
    <col min="5004" max="5004" width="9.33203125" style="19"/>
    <col min="5005" max="5005" width="11.83203125" style="19" customWidth="1"/>
    <col min="5006" max="5016" width="9.33203125" style="19"/>
    <col min="5017" max="5017" width="11.33203125" style="19" customWidth="1"/>
    <col min="5018" max="5018" width="13.33203125" style="19" customWidth="1"/>
    <col min="5019" max="5019" width="16.08203125" style="19" customWidth="1"/>
    <col min="5020" max="5020" width="10.33203125" style="19" customWidth="1"/>
    <col min="5021" max="5021" width="12.83203125" style="19" customWidth="1"/>
    <col min="5022" max="5022" width="14.33203125" style="19" customWidth="1"/>
    <col min="5023" max="5023" width="10.83203125" style="19" customWidth="1"/>
    <col min="5024" max="5024" width="11.83203125" style="19" customWidth="1"/>
    <col min="5025" max="5025" width="17.58203125" style="19" customWidth="1"/>
    <col min="5026" max="5238" width="9.33203125" style="19"/>
    <col min="5239" max="5239" width="7.33203125" style="19" customWidth="1"/>
    <col min="5240" max="5241" width="20.33203125" style="19" customWidth="1"/>
    <col min="5242" max="5244" width="15.33203125" style="19" customWidth="1"/>
    <col min="5245" max="5245" width="9.33203125" style="19"/>
    <col min="5246" max="5246" width="15.33203125" style="19" customWidth="1"/>
    <col min="5247" max="5247" width="10.33203125" style="19" customWidth="1"/>
    <col min="5248" max="5248" width="12.83203125" style="19" customWidth="1"/>
    <col min="5249" max="5249" width="17.33203125" style="19" customWidth="1"/>
    <col min="5250" max="5255" width="9.33203125" style="19"/>
    <col min="5256" max="5256" width="13.33203125" style="19" customWidth="1"/>
    <col min="5257" max="5259" width="12.83203125" style="19" customWidth="1"/>
    <col min="5260" max="5260" width="9.33203125" style="19"/>
    <col min="5261" max="5261" width="11.83203125" style="19" customWidth="1"/>
    <col min="5262" max="5272" width="9.33203125" style="19"/>
    <col min="5273" max="5273" width="11.33203125" style="19" customWidth="1"/>
    <col min="5274" max="5274" width="13.33203125" style="19" customWidth="1"/>
    <col min="5275" max="5275" width="16.08203125" style="19" customWidth="1"/>
    <col min="5276" max="5276" width="10.33203125" style="19" customWidth="1"/>
    <col min="5277" max="5277" width="12.83203125" style="19" customWidth="1"/>
    <col min="5278" max="5278" width="14.33203125" style="19" customWidth="1"/>
    <col min="5279" max="5279" width="10.83203125" style="19" customWidth="1"/>
    <col min="5280" max="5280" width="11.83203125" style="19" customWidth="1"/>
    <col min="5281" max="5281" width="17.58203125" style="19" customWidth="1"/>
    <col min="5282" max="5494" width="9.33203125" style="19"/>
    <col min="5495" max="5495" width="7.33203125" style="19" customWidth="1"/>
    <col min="5496" max="5497" width="20.33203125" style="19" customWidth="1"/>
    <col min="5498" max="5500" width="15.33203125" style="19" customWidth="1"/>
    <col min="5501" max="5501" width="9.33203125" style="19"/>
    <col min="5502" max="5502" width="15.33203125" style="19" customWidth="1"/>
    <col min="5503" max="5503" width="10.33203125" style="19" customWidth="1"/>
    <col min="5504" max="5504" width="12.83203125" style="19" customWidth="1"/>
    <col min="5505" max="5505" width="17.33203125" style="19" customWidth="1"/>
    <col min="5506" max="5511" width="9.33203125" style="19"/>
    <col min="5512" max="5512" width="13.33203125" style="19" customWidth="1"/>
    <col min="5513" max="5515" width="12.83203125" style="19" customWidth="1"/>
    <col min="5516" max="5516" width="9.33203125" style="19"/>
    <col min="5517" max="5517" width="11.83203125" style="19" customWidth="1"/>
    <col min="5518" max="5528" width="9.33203125" style="19"/>
    <col min="5529" max="5529" width="11.33203125" style="19" customWidth="1"/>
    <col min="5530" max="5530" width="13.33203125" style="19" customWidth="1"/>
    <col min="5531" max="5531" width="16.08203125" style="19" customWidth="1"/>
    <col min="5532" max="5532" width="10.33203125" style="19" customWidth="1"/>
    <col min="5533" max="5533" width="12.83203125" style="19" customWidth="1"/>
    <col min="5534" max="5534" width="14.33203125" style="19" customWidth="1"/>
    <col min="5535" max="5535" width="10.83203125" style="19" customWidth="1"/>
    <col min="5536" max="5536" width="11.83203125" style="19" customWidth="1"/>
    <col min="5537" max="5537" width="17.58203125" style="19" customWidth="1"/>
    <col min="5538" max="5750" width="9.33203125" style="19"/>
    <col min="5751" max="5751" width="7.33203125" style="19" customWidth="1"/>
    <col min="5752" max="5753" width="20.33203125" style="19" customWidth="1"/>
    <col min="5754" max="5756" width="15.33203125" style="19" customWidth="1"/>
    <col min="5757" max="5757" width="9.33203125" style="19"/>
    <col min="5758" max="5758" width="15.33203125" style="19" customWidth="1"/>
    <col min="5759" max="5759" width="10.33203125" style="19" customWidth="1"/>
    <col min="5760" max="5760" width="12.83203125" style="19" customWidth="1"/>
    <col min="5761" max="5761" width="17.33203125" style="19" customWidth="1"/>
    <col min="5762" max="5767" width="9.33203125" style="19"/>
    <col min="5768" max="5768" width="13.33203125" style="19" customWidth="1"/>
    <col min="5769" max="5771" width="12.83203125" style="19" customWidth="1"/>
    <col min="5772" max="5772" width="9.33203125" style="19"/>
    <col min="5773" max="5773" width="11.83203125" style="19" customWidth="1"/>
    <col min="5774" max="5784" width="9.33203125" style="19"/>
    <col min="5785" max="5785" width="11.33203125" style="19" customWidth="1"/>
    <col min="5786" max="5786" width="13.33203125" style="19" customWidth="1"/>
    <col min="5787" max="5787" width="16.08203125" style="19" customWidth="1"/>
    <col min="5788" max="5788" width="10.33203125" style="19" customWidth="1"/>
    <col min="5789" max="5789" width="12.83203125" style="19" customWidth="1"/>
    <col min="5790" max="5790" width="14.33203125" style="19" customWidth="1"/>
    <col min="5791" max="5791" width="10.83203125" style="19" customWidth="1"/>
    <col min="5792" max="5792" width="11.83203125" style="19" customWidth="1"/>
    <col min="5793" max="5793" width="17.58203125" style="19" customWidth="1"/>
    <col min="5794" max="6006" width="9.33203125" style="19"/>
    <col min="6007" max="6007" width="7.33203125" style="19" customWidth="1"/>
    <col min="6008" max="6009" width="20.33203125" style="19" customWidth="1"/>
    <col min="6010" max="6012" width="15.33203125" style="19" customWidth="1"/>
    <col min="6013" max="6013" width="9.33203125" style="19"/>
    <col min="6014" max="6014" width="15.33203125" style="19" customWidth="1"/>
    <col min="6015" max="6015" width="10.33203125" style="19" customWidth="1"/>
    <col min="6016" max="6016" width="12.83203125" style="19" customWidth="1"/>
    <col min="6017" max="6017" width="17.33203125" style="19" customWidth="1"/>
    <col min="6018" max="6023" width="9.33203125" style="19"/>
    <col min="6024" max="6024" width="13.33203125" style="19" customWidth="1"/>
    <col min="6025" max="6027" width="12.83203125" style="19" customWidth="1"/>
    <col min="6028" max="6028" width="9.33203125" style="19"/>
    <col min="6029" max="6029" width="11.83203125" style="19" customWidth="1"/>
    <col min="6030" max="6040" width="9.33203125" style="19"/>
    <col min="6041" max="6041" width="11.33203125" style="19" customWidth="1"/>
    <col min="6042" max="6042" width="13.33203125" style="19" customWidth="1"/>
    <col min="6043" max="6043" width="16.08203125" style="19" customWidth="1"/>
    <col min="6044" max="6044" width="10.33203125" style="19" customWidth="1"/>
    <col min="6045" max="6045" width="12.83203125" style="19" customWidth="1"/>
    <col min="6046" max="6046" width="14.33203125" style="19" customWidth="1"/>
    <col min="6047" max="6047" width="10.83203125" style="19" customWidth="1"/>
    <col min="6048" max="6048" width="11.83203125" style="19" customWidth="1"/>
    <col min="6049" max="6049" width="17.58203125" style="19" customWidth="1"/>
    <col min="6050" max="6262" width="9.33203125" style="19"/>
    <col min="6263" max="6263" width="7.33203125" style="19" customWidth="1"/>
    <col min="6264" max="6265" width="20.33203125" style="19" customWidth="1"/>
    <col min="6266" max="6268" width="15.33203125" style="19" customWidth="1"/>
    <col min="6269" max="6269" width="9.33203125" style="19"/>
    <col min="6270" max="6270" width="15.33203125" style="19" customWidth="1"/>
    <col min="6271" max="6271" width="10.33203125" style="19" customWidth="1"/>
    <col min="6272" max="6272" width="12.83203125" style="19" customWidth="1"/>
    <col min="6273" max="6273" width="17.33203125" style="19" customWidth="1"/>
    <col min="6274" max="6279" width="9.33203125" style="19"/>
    <col min="6280" max="6280" width="13.33203125" style="19" customWidth="1"/>
    <col min="6281" max="6283" width="12.83203125" style="19" customWidth="1"/>
    <col min="6284" max="6284" width="9.33203125" style="19"/>
    <col min="6285" max="6285" width="11.83203125" style="19" customWidth="1"/>
    <col min="6286" max="6296" width="9.33203125" style="19"/>
    <col min="6297" max="6297" width="11.33203125" style="19" customWidth="1"/>
    <col min="6298" max="6298" width="13.33203125" style="19" customWidth="1"/>
    <col min="6299" max="6299" width="16.08203125" style="19" customWidth="1"/>
    <col min="6300" max="6300" width="10.33203125" style="19" customWidth="1"/>
    <col min="6301" max="6301" width="12.83203125" style="19" customWidth="1"/>
    <col min="6302" max="6302" width="14.33203125" style="19" customWidth="1"/>
    <col min="6303" max="6303" width="10.83203125" style="19" customWidth="1"/>
    <col min="6304" max="6304" width="11.83203125" style="19" customWidth="1"/>
    <col min="6305" max="6305" width="17.58203125" style="19" customWidth="1"/>
    <col min="6306" max="6518" width="9.33203125" style="19"/>
    <col min="6519" max="6519" width="7.33203125" style="19" customWidth="1"/>
    <col min="6520" max="6521" width="20.33203125" style="19" customWidth="1"/>
    <col min="6522" max="6524" width="15.33203125" style="19" customWidth="1"/>
    <col min="6525" max="6525" width="9.33203125" style="19"/>
    <col min="6526" max="6526" width="15.33203125" style="19" customWidth="1"/>
    <col min="6527" max="6527" width="10.33203125" style="19" customWidth="1"/>
    <col min="6528" max="6528" width="12.83203125" style="19" customWidth="1"/>
    <col min="6529" max="6529" width="17.33203125" style="19" customWidth="1"/>
    <col min="6530" max="6535" width="9.33203125" style="19"/>
    <col min="6536" max="6536" width="13.33203125" style="19" customWidth="1"/>
    <col min="6537" max="6539" width="12.83203125" style="19" customWidth="1"/>
    <col min="6540" max="6540" width="9.33203125" style="19"/>
    <col min="6541" max="6541" width="11.83203125" style="19" customWidth="1"/>
    <col min="6542" max="6552" width="9.33203125" style="19"/>
    <col min="6553" max="6553" width="11.33203125" style="19" customWidth="1"/>
    <col min="6554" max="6554" width="13.33203125" style="19" customWidth="1"/>
    <col min="6555" max="6555" width="16.08203125" style="19" customWidth="1"/>
    <col min="6556" max="6556" width="10.33203125" style="19" customWidth="1"/>
    <col min="6557" max="6557" width="12.83203125" style="19" customWidth="1"/>
    <col min="6558" max="6558" width="14.33203125" style="19" customWidth="1"/>
    <col min="6559" max="6559" width="10.83203125" style="19" customWidth="1"/>
    <col min="6560" max="6560" width="11.83203125" style="19" customWidth="1"/>
    <col min="6561" max="6561" width="17.58203125" style="19" customWidth="1"/>
    <col min="6562" max="6774" width="9.33203125" style="19"/>
    <col min="6775" max="6775" width="7.33203125" style="19" customWidth="1"/>
    <col min="6776" max="6777" width="20.33203125" style="19" customWidth="1"/>
    <col min="6778" max="6780" width="15.33203125" style="19" customWidth="1"/>
    <col min="6781" max="6781" width="9.33203125" style="19"/>
    <col min="6782" max="6782" width="15.33203125" style="19" customWidth="1"/>
    <col min="6783" max="6783" width="10.33203125" style="19" customWidth="1"/>
    <col min="6784" max="6784" width="12.83203125" style="19" customWidth="1"/>
    <col min="6785" max="6785" width="17.33203125" style="19" customWidth="1"/>
    <col min="6786" max="6791" width="9.33203125" style="19"/>
    <col min="6792" max="6792" width="13.33203125" style="19" customWidth="1"/>
    <col min="6793" max="6795" width="12.83203125" style="19" customWidth="1"/>
    <col min="6796" max="6796" width="9.33203125" style="19"/>
    <col min="6797" max="6797" width="11.83203125" style="19" customWidth="1"/>
    <col min="6798" max="6808" width="9.33203125" style="19"/>
    <col min="6809" max="6809" width="11.33203125" style="19" customWidth="1"/>
    <col min="6810" max="6810" width="13.33203125" style="19" customWidth="1"/>
    <col min="6811" max="6811" width="16.08203125" style="19" customWidth="1"/>
    <col min="6812" max="6812" width="10.33203125" style="19" customWidth="1"/>
    <col min="6813" max="6813" width="12.83203125" style="19" customWidth="1"/>
    <col min="6814" max="6814" width="14.33203125" style="19" customWidth="1"/>
    <col min="6815" max="6815" width="10.83203125" style="19" customWidth="1"/>
    <col min="6816" max="6816" width="11.83203125" style="19" customWidth="1"/>
    <col min="6817" max="6817" width="17.58203125" style="19" customWidth="1"/>
    <col min="6818" max="7030" width="9.33203125" style="19"/>
    <col min="7031" max="7031" width="7.33203125" style="19" customWidth="1"/>
    <col min="7032" max="7033" width="20.33203125" style="19" customWidth="1"/>
    <col min="7034" max="7036" width="15.33203125" style="19" customWidth="1"/>
    <col min="7037" max="7037" width="9.33203125" style="19"/>
    <col min="7038" max="7038" width="15.33203125" style="19" customWidth="1"/>
    <col min="7039" max="7039" width="10.33203125" style="19" customWidth="1"/>
    <col min="7040" max="7040" width="12.83203125" style="19" customWidth="1"/>
    <col min="7041" max="7041" width="17.33203125" style="19" customWidth="1"/>
    <col min="7042" max="7047" width="9.33203125" style="19"/>
    <col min="7048" max="7048" width="13.33203125" style="19" customWidth="1"/>
    <col min="7049" max="7051" width="12.83203125" style="19" customWidth="1"/>
    <col min="7052" max="7052" width="9.33203125" style="19"/>
    <col min="7053" max="7053" width="11.83203125" style="19" customWidth="1"/>
    <col min="7054" max="7064" width="9.33203125" style="19"/>
    <col min="7065" max="7065" width="11.33203125" style="19" customWidth="1"/>
    <col min="7066" max="7066" width="13.33203125" style="19" customWidth="1"/>
    <col min="7067" max="7067" width="16.08203125" style="19" customWidth="1"/>
    <col min="7068" max="7068" width="10.33203125" style="19" customWidth="1"/>
    <col min="7069" max="7069" width="12.83203125" style="19" customWidth="1"/>
    <col min="7070" max="7070" width="14.33203125" style="19" customWidth="1"/>
    <col min="7071" max="7071" width="10.83203125" style="19" customWidth="1"/>
    <col min="7072" max="7072" width="11.83203125" style="19" customWidth="1"/>
    <col min="7073" max="7073" width="17.58203125" style="19" customWidth="1"/>
    <col min="7074" max="7286" width="9.33203125" style="19"/>
    <col min="7287" max="7287" width="7.33203125" style="19" customWidth="1"/>
    <col min="7288" max="7289" width="20.33203125" style="19" customWidth="1"/>
    <col min="7290" max="7292" width="15.33203125" style="19" customWidth="1"/>
    <col min="7293" max="7293" width="9.33203125" style="19"/>
    <col min="7294" max="7294" width="15.33203125" style="19" customWidth="1"/>
    <col min="7295" max="7295" width="10.33203125" style="19" customWidth="1"/>
    <col min="7296" max="7296" width="12.83203125" style="19" customWidth="1"/>
    <col min="7297" max="7297" width="17.33203125" style="19" customWidth="1"/>
    <col min="7298" max="7303" width="9.33203125" style="19"/>
    <col min="7304" max="7304" width="13.33203125" style="19" customWidth="1"/>
    <col min="7305" max="7307" width="12.83203125" style="19" customWidth="1"/>
    <col min="7308" max="7308" width="9.33203125" style="19"/>
    <col min="7309" max="7309" width="11.83203125" style="19" customWidth="1"/>
    <col min="7310" max="7320" width="9.33203125" style="19"/>
    <col min="7321" max="7321" width="11.33203125" style="19" customWidth="1"/>
    <col min="7322" max="7322" width="13.33203125" style="19" customWidth="1"/>
    <col min="7323" max="7323" width="16.08203125" style="19" customWidth="1"/>
    <col min="7324" max="7324" width="10.33203125" style="19" customWidth="1"/>
    <col min="7325" max="7325" width="12.83203125" style="19" customWidth="1"/>
    <col min="7326" max="7326" width="14.33203125" style="19" customWidth="1"/>
    <col min="7327" max="7327" width="10.83203125" style="19" customWidth="1"/>
    <col min="7328" max="7328" width="11.83203125" style="19" customWidth="1"/>
    <col min="7329" max="7329" width="17.58203125" style="19" customWidth="1"/>
    <col min="7330" max="7542" width="9.33203125" style="19"/>
    <col min="7543" max="7543" width="7.33203125" style="19" customWidth="1"/>
    <col min="7544" max="7545" width="20.33203125" style="19" customWidth="1"/>
    <col min="7546" max="7548" width="15.33203125" style="19" customWidth="1"/>
    <col min="7549" max="7549" width="9.33203125" style="19"/>
    <col min="7550" max="7550" width="15.33203125" style="19" customWidth="1"/>
    <col min="7551" max="7551" width="10.33203125" style="19" customWidth="1"/>
    <col min="7552" max="7552" width="12.83203125" style="19" customWidth="1"/>
    <col min="7553" max="7553" width="17.33203125" style="19" customWidth="1"/>
    <col min="7554" max="7559" width="9.33203125" style="19"/>
    <col min="7560" max="7560" width="13.33203125" style="19" customWidth="1"/>
    <col min="7561" max="7563" width="12.83203125" style="19" customWidth="1"/>
    <col min="7564" max="7564" width="9.33203125" style="19"/>
    <col min="7565" max="7565" width="11.83203125" style="19" customWidth="1"/>
    <col min="7566" max="7576" width="9.33203125" style="19"/>
    <col min="7577" max="7577" width="11.33203125" style="19" customWidth="1"/>
    <col min="7578" max="7578" width="13.33203125" style="19" customWidth="1"/>
    <col min="7579" max="7579" width="16.08203125" style="19" customWidth="1"/>
    <col min="7580" max="7580" width="10.33203125" style="19" customWidth="1"/>
    <col min="7581" max="7581" width="12.83203125" style="19" customWidth="1"/>
    <col min="7582" max="7582" width="14.33203125" style="19" customWidth="1"/>
    <col min="7583" max="7583" width="10.83203125" style="19" customWidth="1"/>
    <col min="7584" max="7584" width="11.83203125" style="19" customWidth="1"/>
    <col min="7585" max="7585" width="17.58203125" style="19" customWidth="1"/>
    <col min="7586" max="7798" width="9.33203125" style="19"/>
    <col min="7799" max="7799" width="7.33203125" style="19" customWidth="1"/>
    <col min="7800" max="7801" width="20.33203125" style="19" customWidth="1"/>
    <col min="7802" max="7804" width="15.33203125" style="19" customWidth="1"/>
    <col min="7805" max="7805" width="9.33203125" style="19"/>
    <col min="7806" max="7806" width="15.33203125" style="19" customWidth="1"/>
    <col min="7807" max="7807" width="10.33203125" style="19" customWidth="1"/>
    <col min="7808" max="7808" width="12.83203125" style="19" customWidth="1"/>
    <col min="7809" max="7809" width="17.33203125" style="19" customWidth="1"/>
    <col min="7810" max="7815" width="9.33203125" style="19"/>
    <col min="7816" max="7816" width="13.33203125" style="19" customWidth="1"/>
    <col min="7817" max="7819" width="12.83203125" style="19" customWidth="1"/>
    <col min="7820" max="7820" width="9.33203125" style="19"/>
    <col min="7821" max="7821" width="11.83203125" style="19" customWidth="1"/>
    <col min="7822" max="7832" width="9.33203125" style="19"/>
    <col min="7833" max="7833" width="11.33203125" style="19" customWidth="1"/>
    <col min="7834" max="7834" width="13.33203125" style="19" customWidth="1"/>
    <col min="7835" max="7835" width="16.08203125" style="19" customWidth="1"/>
    <col min="7836" max="7836" width="10.33203125" style="19" customWidth="1"/>
    <col min="7837" max="7837" width="12.83203125" style="19" customWidth="1"/>
    <col min="7838" max="7838" width="14.33203125" style="19" customWidth="1"/>
    <col min="7839" max="7839" width="10.83203125" style="19" customWidth="1"/>
    <col min="7840" max="7840" width="11.83203125" style="19" customWidth="1"/>
    <col min="7841" max="7841" width="17.58203125" style="19" customWidth="1"/>
    <col min="7842" max="8054" width="9.33203125" style="19"/>
    <col min="8055" max="8055" width="7.33203125" style="19" customWidth="1"/>
    <col min="8056" max="8057" width="20.33203125" style="19" customWidth="1"/>
    <col min="8058" max="8060" width="15.33203125" style="19" customWidth="1"/>
    <col min="8061" max="8061" width="9.33203125" style="19"/>
    <col min="8062" max="8062" width="15.33203125" style="19" customWidth="1"/>
    <col min="8063" max="8063" width="10.33203125" style="19" customWidth="1"/>
    <col min="8064" max="8064" width="12.83203125" style="19" customWidth="1"/>
    <col min="8065" max="8065" width="17.33203125" style="19" customWidth="1"/>
    <col min="8066" max="8071" width="9.33203125" style="19"/>
    <col min="8072" max="8072" width="13.33203125" style="19" customWidth="1"/>
    <col min="8073" max="8075" width="12.83203125" style="19" customWidth="1"/>
    <col min="8076" max="8076" width="9.33203125" style="19"/>
    <col min="8077" max="8077" width="11.83203125" style="19" customWidth="1"/>
    <col min="8078" max="8088" width="9.33203125" style="19"/>
    <col min="8089" max="8089" width="11.33203125" style="19" customWidth="1"/>
    <col min="8090" max="8090" width="13.33203125" style="19" customWidth="1"/>
    <col min="8091" max="8091" width="16.08203125" style="19" customWidth="1"/>
    <col min="8092" max="8092" width="10.33203125" style="19" customWidth="1"/>
    <col min="8093" max="8093" width="12.83203125" style="19" customWidth="1"/>
    <col min="8094" max="8094" width="14.33203125" style="19" customWidth="1"/>
    <col min="8095" max="8095" width="10.83203125" style="19" customWidth="1"/>
    <col min="8096" max="8096" width="11.83203125" style="19" customWidth="1"/>
    <col min="8097" max="8097" width="17.58203125" style="19" customWidth="1"/>
    <col min="8098" max="8310" width="9.33203125" style="19"/>
    <col min="8311" max="8311" width="7.33203125" style="19" customWidth="1"/>
    <col min="8312" max="8313" width="20.33203125" style="19" customWidth="1"/>
    <col min="8314" max="8316" width="15.33203125" style="19" customWidth="1"/>
    <col min="8317" max="8317" width="9.33203125" style="19"/>
    <col min="8318" max="8318" width="15.33203125" style="19" customWidth="1"/>
    <col min="8319" max="8319" width="10.33203125" style="19" customWidth="1"/>
    <col min="8320" max="8320" width="12.83203125" style="19" customWidth="1"/>
    <col min="8321" max="8321" width="17.33203125" style="19" customWidth="1"/>
    <col min="8322" max="8327" width="9.33203125" style="19"/>
    <col min="8328" max="8328" width="13.33203125" style="19" customWidth="1"/>
    <col min="8329" max="8331" width="12.83203125" style="19" customWidth="1"/>
    <col min="8332" max="8332" width="9.33203125" style="19"/>
    <col min="8333" max="8333" width="11.83203125" style="19" customWidth="1"/>
    <col min="8334" max="8344" width="9.33203125" style="19"/>
    <col min="8345" max="8345" width="11.33203125" style="19" customWidth="1"/>
    <col min="8346" max="8346" width="13.33203125" style="19" customWidth="1"/>
    <col min="8347" max="8347" width="16.08203125" style="19" customWidth="1"/>
    <col min="8348" max="8348" width="10.33203125" style="19" customWidth="1"/>
    <col min="8349" max="8349" width="12.83203125" style="19" customWidth="1"/>
    <col min="8350" max="8350" width="14.33203125" style="19" customWidth="1"/>
    <col min="8351" max="8351" width="10.83203125" style="19" customWidth="1"/>
    <col min="8352" max="8352" width="11.83203125" style="19" customWidth="1"/>
    <col min="8353" max="8353" width="17.58203125" style="19" customWidth="1"/>
    <col min="8354" max="8566" width="9.33203125" style="19"/>
    <col min="8567" max="8567" width="7.33203125" style="19" customWidth="1"/>
    <col min="8568" max="8569" width="20.33203125" style="19" customWidth="1"/>
    <col min="8570" max="8572" width="15.33203125" style="19" customWidth="1"/>
    <col min="8573" max="8573" width="9.33203125" style="19"/>
    <col min="8574" max="8574" width="15.33203125" style="19" customWidth="1"/>
    <col min="8575" max="8575" width="10.33203125" style="19" customWidth="1"/>
    <col min="8576" max="8576" width="12.83203125" style="19" customWidth="1"/>
    <col min="8577" max="8577" width="17.33203125" style="19" customWidth="1"/>
    <col min="8578" max="8583" width="9.33203125" style="19"/>
    <col min="8584" max="8584" width="13.33203125" style="19" customWidth="1"/>
    <col min="8585" max="8587" width="12.83203125" style="19" customWidth="1"/>
    <col min="8588" max="8588" width="9.33203125" style="19"/>
    <col min="8589" max="8589" width="11.83203125" style="19" customWidth="1"/>
    <col min="8590" max="8600" width="9.33203125" style="19"/>
    <col min="8601" max="8601" width="11.33203125" style="19" customWidth="1"/>
    <col min="8602" max="8602" width="13.33203125" style="19" customWidth="1"/>
    <col min="8603" max="8603" width="16.08203125" style="19" customWidth="1"/>
    <col min="8604" max="8604" width="10.33203125" style="19" customWidth="1"/>
    <col min="8605" max="8605" width="12.83203125" style="19" customWidth="1"/>
    <col min="8606" max="8606" width="14.33203125" style="19" customWidth="1"/>
    <col min="8607" max="8607" width="10.83203125" style="19" customWidth="1"/>
    <col min="8608" max="8608" width="11.83203125" style="19" customWidth="1"/>
    <col min="8609" max="8609" width="17.58203125" style="19" customWidth="1"/>
    <col min="8610" max="8822" width="9.33203125" style="19"/>
    <col min="8823" max="8823" width="7.33203125" style="19" customWidth="1"/>
    <col min="8824" max="8825" width="20.33203125" style="19" customWidth="1"/>
    <col min="8826" max="8828" width="15.33203125" style="19" customWidth="1"/>
    <col min="8829" max="8829" width="9.33203125" style="19"/>
    <col min="8830" max="8830" width="15.33203125" style="19" customWidth="1"/>
    <col min="8831" max="8831" width="10.33203125" style="19" customWidth="1"/>
    <col min="8832" max="8832" width="12.83203125" style="19" customWidth="1"/>
    <col min="8833" max="8833" width="17.33203125" style="19" customWidth="1"/>
    <col min="8834" max="8839" width="9.33203125" style="19"/>
    <col min="8840" max="8840" width="13.33203125" style="19" customWidth="1"/>
    <col min="8841" max="8843" width="12.83203125" style="19" customWidth="1"/>
    <col min="8844" max="8844" width="9.33203125" style="19"/>
    <col min="8845" max="8845" width="11.83203125" style="19" customWidth="1"/>
    <col min="8846" max="8856" width="9.33203125" style="19"/>
    <col min="8857" max="8857" width="11.33203125" style="19" customWidth="1"/>
    <col min="8858" max="8858" width="13.33203125" style="19" customWidth="1"/>
    <col min="8859" max="8859" width="16.08203125" style="19" customWidth="1"/>
    <col min="8860" max="8860" width="10.33203125" style="19" customWidth="1"/>
    <col min="8861" max="8861" width="12.83203125" style="19" customWidth="1"/>
    <col min="8862" max="8862" width="14.33203125" style="19" customWidth="1"/>
    <col min="8863" max="8863" width="10.83203125" style="19" customWidth="1"/>
    <col min="8864" max="8864" width="11.83203125" style="19" customWidth="1"/>
    <col min="8865" max="8865" width="17.58203125" style="19" customWidth="1"/>
    <col min="8866" max="9078" width="9.33203125" style="19"/>
    <col min="9079" max="9079" width="7.33203125" style="19" customWidth="1"/>
    <col min="9080" max="9081" width="20.33203125" style="19" customWidth="1"/>
    <col min="9082" max="9084" width="15.33203125" style="19" customWidth="1"/>
    <col min="9085" max="9085" width="9.33203125" style="19"/>
    <col min="9086" max="9086" width="15.33203125" style="19" customWidth="1"/>
    <col min="9087" max="9087" width="10.33203125" style="19" customWidth="1"/>
    <col min="9088" max="9088" width="12.83203125" style="19" customWidth="1"/>
    <col min="9089" max="9089" width="17.33203125" style="19" customWidth="1"/>
    <col min="9090" max="9095" width="9.33203125" style="19"/>
    <col min="9096" max="9096" width="13.33203125" style="19" customWidth="1"/>
    <col min="9097" max="9099" width="12.83203125" style="19" customWidth="1"/>
    <col min="9100" max="9100" width="9.33203125" style="19"/>
    <col min="9101" max="9101" width="11.83203125" style="19" customWidth="1"/>
    <col min="9102" max="9112" width="9.33203125" style="19"/>
    <col min="9113" max="9113" width="11.33203125" style="19" customWidth="1"/>
    <col min="9114" max="9114" width="13.33203125" style="19" customWidth="1"/>
    <col min="9115" max="9115" width="16.08203125" style="19" customWidth="1"/>
    <col min="9116" max="9116" width="10.33203125" style="19" customWidth="1"/>
    <col min="9117" max="9117" width="12.83203125" style="19" customWidth="1"/>
    <col min="9118" max="9118" width="14.33203125" style="19" customWidth="1"/>
    <col min="9119" max="9119" width="10.83203125" style="19" customWidth="1"/>
    <col min="9120" max="9120" width="11.83203125" style="19" customWidth="1"/>
    <col min="9121" max="9121" width="17.58203125" style="19" customWidth="1"/>
    <col min="9122" max="9334" width="9.33203125" style="19"/>
    <col min="9335" max="9335" width="7.33203125" style="19" customWidth="1"/>
    <col min="9336" max="9337" width="20.33203125" style="19" customWidth="1"/>
    <col min="9338" max="9340" width="15.33203125" style="19" customWidth="1"/>
    <col min="9341" max="9341" width="9.33203125" style="19"/>
    <col min="9342" max="9342" width="15.33203125" style="19" customWidth="1"/>
    <col min="9343" max="9343" width="10.33203125" style="19" customWidth="1"/>
    <col min="9344" max="9344" width="12.83203125" style="19" customWidth="1"/>
    <col min="9345" max="9345" width="17.33203125" style="19" customWidth="1"/>
    <col min="9346" max="9351" width="9.33203125" style="19"/>
    <col min="9352" max="9352" width="13.33203125" style="19" customWidth="1"/>
    <col min="9353" max="9355" width="12.83203125" style="19" customWidth="1"/>
    <col min="9356" max="9356" width="9.33203125" style="19"/>
    <col min="9357" max="9357" width="11.83203125" style="19" customWidth="1"/>
    <col min="9358" max="9368" width="9.33203125" style="19"/>
    <col min="9369" max="9369" width="11.33203125" style="19" customWidth="1"/>
    <col min="9370" max="9370" width="13.33203125" style="19" customWidth="1"/>
    <col min="9371" max="9371" width="16.08203125" style="19" customWidth="1"/>
    <col min="9372" max="9372" width="10.33203125" style="19" customWidth="1"/>
    <col min="9373" max="9373" width="12.83203125" style="19" customWidth="1"/>
    <col min="9374" max="9374" width="14.33203125" style="19" customWidth="1"/>
    <col min="9375" max="9375" width="10.83203125" style="19" customWidth="1"/>
    <col min="9376" max="9376" width="11.83203125" style="19" customWidth="1"/>
    <col min="9377" max="9377" width="17.58203125" style="19" customWidth="1"/>
    <col min="9378" max="9590" width="9.33203125" style="19"/>
    <col min="9591" max="9591" width="7.33203125" style="19" customWidth="1"/>
    <col min="9592" max="9593" width="20.33203125" style="19" customWidth="1"/>
    <col min="9594" max="9596" width="15.33203125" style="19" customWidth="1"/>
    <col min="9597" max="9597" width="9.33203125" style="19"/>
    <col min="9598" max="9598" width="15.33203125" style="19" customWidth="1"/>
    <col min="9599" max="9599" width="10.33203125" style="19" customWidth="1"/>
    <col min="9600" max="9600" width="12.83203125" style="19" customWidth="1"/>
    <col min="9601" max="9601" width="17.33203125" style="19" customWidth="1"/>
    <col min="9602" max="9607" width="9.33203125" style="19"/>
    <col min="9608" max="9608" width="13.33203125" style="19" customWidth="1"/>
    <col min="9609" max="9611" width="12.83203125" style="19" customWidth="1"/>
    <col min="9612" max="9612" width="9.33203125" style="19"/>
    <col min="9613" max="9613" width="11.83203125" style="19" customWidth="1"/>
    <col min="9614" max="9624" width="9.33203125" style="19"/>
    <col min="9625" max="9625" width="11.33203125" style="19" customWidth="1"/>
    <col min="9626" max="9626" width="13.33203125" style="19" customWidth="1"/>
    <col min="9627" max="9627" width="16.08203125" style="19" customWidth="1"/>
    <col min="9628" max="9628" width="10.33203125" style="19" customWidth="1"/>
    <col min="9629" max="9629" width="12.83203125" style="19" customWidth="1"/>
    <col min="9630" max="9630" width="14.33203125" style="19" customWidth="1"/>
    <col min="9631" max="9631" width="10.83203125" style="19" customWidth="1"/>
    <col min="9632" max="9632" width="11.83203125" style="19" customWidth="1"/>
    <col min="9633" max="9633" width="17.58203125" style="19" customWidth="1"/>
    <col min="9634" max="9846" width="9.33203125" style="19"/>
    <col min="9847" max="9847" width="7.33203125" style="19" customWidth="1"/>
    <col min="9848" max="9849" width="20.33203125" style="19" customWidth="1"/>
    <col min="9850" max="9852" width="15.33203125" style="19" customWidth="1"/>
    <col min="9853" max="9853" width="9.33203125" style="19"/>
    <col min="9854" max="9854" width="15.33203125" style="19" customWidth="1"/>
    <col min="9855" max="9855" width="10.33203125" style="19" customWidth="1"/>
    <col min="9856" max="9856" width="12.83203125" style="19" customWidth="1"/>
    <col min="9857" max="9857" width="17.33203125" style="19" customWidth="1"/>
    <col min="9858" max="9863" width="9.33203125" style="19"/>
    <col min="9864" max="9864" width="13.33203125" style="19" customWidth="1"/>
    <col min="9865" max="9867" width="12.83203125" style="19" customWidth="1"/>
    <col min="9868" max="9868" width="9.33203125" style="19"/>
    <col min="9869" max="9869" width="11.83203125" style="19" customWidth="1"/>
    <col min="9870" max="9880" width="9.33203125" style="19"/>
    <col min="9881" max="9881" width="11.33203125" style="19" customWidth="1"/>
    <col min="9882" max="9882" width="13.33203125" style="19" customWidth="1"/>
    <col min="9883" max="9883" width="16.08203125" style="19" customWidth="1"/>
    <col min="9884" max="9884" width="10.33203125" style="19" customWidth="1"/>
    <col min="9885" max="9885" width="12.83203125" style="19" customWidth="1"/>
    <col min="9886" max="9886" width="14.33203125" style="19" customWidth="1"/>
    <col min="9887" max="9887" width="10.83203125" style="19" customWidth="1"/>
    <col min="9888" max="9888" width="11.83203125" style="19" customWidth="1"/>
    <col min="9889" max="9889" width="17.58203125" style="19" customWidth="1"/>
    <col min="9890" max="10102" width="9.33203125" style="19"/>
    <col min="10103" max="10103" width="7.33203125" style="19" customWidth="1"/>
    <col min="10104" max="10105" width="20.33203125" style="19" customWidth="1"/>
    <col min="10106" max="10108" width="15.33203125" style="19" customWidth="1"/>
    <col min="10109" max="10109" width="9.33203125" style="19"/>
    <col min="10110" max="10110" width="15.33203125" style="19" customWidth="1"/>
    <col min="10111" max="10111" width="10.33203125" style="19" customWidth="1"/>
    <col min="10112" max="10112" width="12.83203125" style="19" customWidth="1"/>
    <col min="10113" max="10113" width="17.33203125" style="19" customWidth="1"/>
    <col min="10114" max="10119" width="9.33203125" style="19"/>
    <col min="10120" max="10120" width="13.33203125" style="19" customWidth="1"/>
    <col min="10121" max="10123" width="12.83203125" style="19" customWidth="1"/>
    <col min="10124" max="10124" width="9.33203125" style="19"/>
    <col min="10125" max="10125" width="11.83203125" style="19" customWidth="1"/>
    <col min="10126" max="10136" width="9.33203125" style="19"/>
    <col min="10137" max="10137" width="11.33203125" style="19" customWidth="1"/>
    <col min="10138" max="10138" width="13.33203125" style="19" customWidth="1"/>
    <col min="10139" max="10139" width="16.08203125" style="19" customWidth="1"/>
    <col min="10140" max="10140" width="10.33203125" style="19" customWidth="1"/>
    <col min="10141" max="10141" width="12.83203125" style="19" customWidth="1"/>
    <col min="10142" max="10142" width="14.33203125" style="19" customWidth="1"/>
    <col min="10143" max="10143" width="10.83203125" style="19" customWidth="1"/>
    <col min="10144" max="10144" width="11.83203125" style="19" customWidth="1"/>
    <col min="10145" max="10145" width="17.58203125" style="19" customWidth="1"/>
    <col min="10146" max="10358" width="9.33203125" style="19"/>
    <col min="10359" max="10359" width="7.33203125" style="19" customWidth="1"/>
    <col min="10360" max="10361" width="20.33203125" style="19" customWidth="1"/>
    <col min="10362" max="10364" width="15.33203125" style="19" customWidth="1"/>
    <col min="10365" max="10365" width="9.33203125" style="19"/>
    <col min="10366" max="10366" width="15.33203125" style="19" customWidth="1"/>
    <col min="10367" max="10367" width="10.33203125" style="19" customWidth="1"/>
    <col min="10368" max="10368" width="12.83203125" style="19" customWidth="1"/>
    <col min="10369" max="10369" width="17.33203125" style="19" customWidth="1"/>
    <col min="10370" max="10375" width="9.33203125" style="19"/>
    <col min="10376" max="10376" width="13.33203125" style="19" customWidth="1"/>
    <col min="10377" max="10379" width="12.83203125" style="19" customWidth="1"/>
    <col min="10380" max="10380" width="9.33203125" style="19"/>
    <col min="10381" max="10381" width="11.83203125" style="19" customWidth="1"/>
    <col min="10382" max="10392" width="9.33203125" style="19"/>
    <col min="10393" max="10393" width="11.33203125" style="19" customWidth="1"/>
    <col min="10394" max="10394" width="13.33203125" style="19" customWidth="1"/>
    <col min="10395" max="10395" width="16.08203125" style="19" customWidth="1"/>
    <col min="10396" max="10396" width="10.33203125" style="19" customWidth="1"/>
    <col min="10397" max="10397" width="12.83203125" style="19" customWidth="1"/>
    <col min="10398" max="10398" width="14.33203125" style="19" customWidth="1"/>
    <col min="10399" max="10399" width="10.83203125" style="19" customWidth="1"/>
    <col min="10400" max="10400" width="11.83203125" style="19" customWidth="1"/>
    <col min="10401" max="10401" width="17.58203125" style="19" customWidth="1"/>
    <col min="10402" max="10614" width="9.33203125" style="19"/>
    <col min="10615" max="10615" width="7.33203125" style="19" customWidth="1"/>
    <col min="10616" max="10617" width="20.33203125" style="19" customWidth="1"/>
    <col min="10618" max="10620" width="15.33203125" style="19" customWidth="1"/>
    <col min="10621" max="10621" width="9.33203125" style="19"/>
    <col min="10622" max="10622" width="15.33203125" style="19" customWidth="1"/>
    <col min="10623" max="10623" width="10.33203125" style="19" customWidth="1"/>
    <col min="10624" max="10624" width="12.83203125" style="19" customWidth="1"/>
    <col min="10625" max="10625" width="17.33203125" style="19" customWidth="1"/>
    <col min="10626" max="10631" width="9.33203125" style="19"/>
    <col min="10632" max="10632" width="13.33203125" style="19" customWidth="1"/>
    <col min="10633" max="10635" width="12.83203125" style="19" customWidth="1"/>
    <col min="10636" max="10636" width="9.33203125" style="19"/>
    <col min="10637" max="10637" width="11.83203125" style="19" customWidth="1"/>
    <col min="10638" max="10648" width="9.33203125" style="19"/>
    <col min="10649" max="10649" width="11.33203125" style="19" customWidth="1"/>
    <col min="10650" max="10650" width="13.33203125" style="19" customWidth="1"/>
    <col min="10651" max="10651" width="16.08203125" style="19" customWidth="1"/>
    <col min="10652" max="10652" width="10.33203125" style="19" customWidth="1"/>
    <col min="10653" max="10653" width="12.83203125" style="19" customWidth="1"/>
    <col min="10654" max="10654" width="14.33203125" style="19" customWidth="1"/>
    <col min="10655" max="10655" width="10.83203125" style="19" customWidth="1"/>
    <col min="10656" max="10656" width="11.83203125" style="19" customWidth="1"/>
    <col min="10657" max="10657" width="17.58203125" style="19" customWidth="1"/>
    <col min="10658" max="10870" width="9.33203125" style="19"/>
    <col min="10871" max="10871" width="7.33203125" style="19" customWidth="1"/>
    <col min="10872" max="10873" width="20.33203125" style="19" customWidth="1"/>
    <col min="10874" max="10876" width="15.33203125" style="19" customWidth="1"/>
    <col min="10877" max="10877" width="9.33203125" style="19"/>
    <col min="10878" max="10878" width="15.33203125" style="19" customWidth="1"/>
    <col min="10879" max="10879" width="10.33203125" style="19" customWidth="1"/>
    <col min="10880" max="10880" width="12.83203125" style="19" customWidth="1"/>
    <col min="10881" max="10881" width="17.33203125" style="19" customWidth="1"/>
    <col min="10882" max="10887" width="9.33203125" style="19"/>
    <col min="10888" max="10888" width="13.33203125" style="19" customWidth="1"/>
    <col min="10889" max="10891" width="12.83203125" style="19" customWidth="1"/>
    <col min="10892" max="10892" width="9.33203125" style="19"/>
    <col min="10893" max="10893" width="11.83203125" style="19" customWidth="1"/>
    <col min="10894" max="10904" width="9.33203125" style="19"/>
    <col min="10905" max="10905" width="11.33203125" style="19" customWidth="1"/>
    <col min="10906" max="10906" width="13.33203125" style="19" customWidth="1"/>
    <col min="10907" max="10907" width="16.08203125" style="19" customWidth="1"/>
    <col min="10908" max="10908" width="10.33203125" style="19" customWidth="1"/>
    <col min="10909" max="10909" width="12.83203125" style="19" customWidth="1"/>
    <col min="10910" max="10910" width="14.33203125" style="19" customWidth="1"/>
    <col min="10911" max="10911" width="10.83203125" style="19" customWidth="1"/>
    <col min="10912" max="10912" width="11.83203125" style="19" customWidth="1"/>
    <col min="10913" max="10913" width="17.58203125" style="19" customWidth="1"/>
    <col min="10914" max="11126" width="9.33203125" style="19"/>
    <col min="11127" max="11127" width="7.33203125" style="19" customWidth="1"/>
    <col min="11128" max="11129" width="20.33203125" style="19" customWidth="1"/>
    <col min="11130" max="11132" width="15.33203125" style="19" customWidth="1"/>
    <col min="11133" max="11133" width="9.33203125" style="19"/>
    <col min="11134" max="11134" width="15.33203125" style="19" customWidth="1"/>
    <col min="11135" max="11135" width="10.33203125" style="19" customWidth="1"/>
    <col min="11136" max="11136" width="12.83203125" style="19" customWidth="1"/>
    <col min="11137" max="11137" width="17.33203125" style="19" customWidth="1"/>
    <col min="11138" max="11143" width="9.33203125" style="19"/>
    <col min="11144" max="11144" width="13.33203125" style="19" customWidth="1"/>
    <col min="11145" max="11147" width="12.83203125" style="19" customWidth="1"/>
    <col min="11148" max="11148" width="9.33203125" style="19"/>
    <col min="11149" max="11149" width="11.83203125" style="19" customWidth="1"/>
    <col min="11150" max="11160" width="9.33203125" style="19"/>
    <col min="11161" max="11161" width="11.33203125" style="19" customWidth="1"/>
    <col min="11162" max="11162" width="13.33203125" style="19" customWidth="1"/>
    <col min="11163" max="11163" width="16.08203125" style="19" customWidth="1"/>
    <col min="11164" max="11164" width="10.33203125" style="19" customWidth="1"/>
    <col min="11165" max="11165" width="12.83203125" style="19" customWidth="1"/>
    <col min="11166" max="11166" width="14.33203125" style="19" customWidth="1"/>
    <col min="11167" max="11167" width="10.83203125" style="19" customWidth="1"/>
    <col min="11168" max="11168" width="11.83203125" style="19" customWidth="1"/>
    <col min="11169" max="11169" width="17.58203125" style="19" customWidth="1"/>
    <col min="11170" max="11382" width="9.33203125" style="19"/>
    <col min="11383" max="11383" width="7.33203125" style="19" customWidth="1"/>
    <col min="11384" max="11385" width="20.33203125" style="19" customWidth="1"/>
    <col min="11386" max="11388" width="15.33203125" style="19" customWidth="1"/>
    <col min="11389" max="11389" width="9.33203125" style="19"/>
    <col min="11390" max="11390" width="15.33203125" style="19" customWidth="1"/>
    <col min="11391" max="11391" width="10.33203125" style="19" customWidth="1"/>
    <col min="11392" max="11392" width="12.83203125" style="19" customWidth="1"/>
    <col min="11393" max="11393" width="17.33203125" style="19" customWidth="1"/>
    <col min="11394" max="11399" width="9.33203125" style="19"/>
    <col min="11400" max="11400" width="13.33203125" style="19" customWidth="1"/>
    <col min="11401" max="11403" width="12.83203125" style="19" customWidth="1"/>
    <col min="11404" max="11404" width="9.33203125" style="19"/>
    <col min="11405" max="11405" width="11.83203125" style="19" customWidth="1"/>
    <col min="11406" max="11416" width="9.33203125" style="19"/>
    <col min="11417" max="11417" width="11.33203125" style="19" customWidth="1"/>
    <col min="11418" max="11418" width="13.33203125" style="19" customWidth="1"/>
    <col min="11419" max="11419" width="16.08203125" style="19" customWidth="1"/>
    <col min="11420" max="11420" width="10.33203125" style="19" customWidth="1"/>
    <col min="11421" max="11421" width="12.83203125" style="19" customWidth="1"/>
    <col min="11422" max="11422" width="14.33203125" style="19" customWidth="1"/>
    <col min="11423" max="11423" width="10.83203125" style="19" customWidth="1"/>
    <col min="11424" max="11424" width="11.83203125" style="19" customWidth="1"/>
    <col min="11425" max="11425" width="17.58203125" style="19" customWidth="1"/>
    <col min="11426" max="11638" width="9.33203125" style="19"/>
    <col min="11639" max="11639" width="7.33203125" style="19" customWidth="1"/>
    <col min="11640" max="11641" width="20.33203125" style="19" customWidth="1"/>
    <col min="11642" max="11644" width="15.33203125" style="19" customWidth="1"/>
    <col min="11645" max="11645" width="9.33203125" style="19"/>
    <col min="11646" max="11646" width="15.33203125" style="19" customWidth="1"/>
    <col min="11647" max="11647" width="10.33203125" style="19" customWidth="1"/>
    <col min="11648" max="11648" width="12.83203125" style="19" customWidth="1"/>
    <col min="11649" max="11649" width="17.33203125" style="19" customWidth="1"/>
    <col min="11650" max="11655" width="9.33203125" style="19"/>
    <col min="11656" max="11656" width="13.33203125" style="19" customWidth="1"/>
    <col min="11657" max="11659" width="12.83203125" style="19" customWidth="1"/>
    <col min="11660" max="11660" width="9.33203125" style="19"/>
    <col min="11661" max="11661" width="11.83203125" style="19" customWidth="1"/>
    <col min="11662" max="11672" width="9.33203125" style="19"/>
    <col min="11673" max="11673" width="11.33203125" style="19" customWidth="1"/>
    <col min="11674" max="11674" width="13.33203125" style="19" customWidth="1"/>
    <col min="11675" max="11675" width="16.08203125" style="19" customWidth="1"/>
    <col min="11676" max="11676" width="10.33203125" style="19" customWidth="1"/>
    <col min="11677" max="11677" width="12.83203125" style="19" customWidth="1"/>
    <col min="11678" max="11678" width="14.33203125" style="19" customWidth="1"/>
    <col min="11679" max="11679" width="10.83203125" style="19" customWidth="1"/>
    <col min="11680" max="11680" width="11.83203125" style="19" customWidth="1"/>
    <col min="11681" max="11681" width="17.58203125" style="19" customWidth="1"/>
    <col min="11682" max="11894" width="9.33203125" style="19"/>
    <col min="11895" max="11895" width="7.33203125" style="19" customWidth="1"/>
    <col min="11896" max="11897" width="20.33203125" style="19" customWidth="1"/>
    <col min="11898" max="11900" width="15.33203125" style="19" customWidth="1"/>
    <col min="11901" max="11901" width="9.33203125" style="19"/>
    <col min="11902" max="11902" width="15.33203125" style="19" customWidth="1"/>
    <col min="11903" max="11903" width="10.33203125" style="19" customWidth="1"/>
    <col min="11904" max="11904" width="12.83203125" style="19" customWidth="1"/>
    <col min="11905" max="11905" width="17.33203125" style="19" customWidth="1"/>
    <col min="11906" max="11911" width="9.33203125" style="19"/>
    <col min="11912" max="11912" width="13.33203125" style="19" customWidth="1"/>
    <col min="11913" max="11915" width="12.83203125" style="19" customWidth="1"/>
    <col min="11916" max="11916" width="9.33203125" style="19"/>
    <col min="11917" max="11917" width="11.83203125" style="19" customWidth="1"/>
    <col min="11918" max="11928" width="9.33203125" style="19"/>
    <col min="11929" max="11929" width="11.33203125" style="19" customWidth="1"/>
    <col min="11930" max="11930" width="13.33203125" style="19" customWidth="1"/>
    <col min="11931" max="11931" width="16.08203125" style="19" customWidth="1"/>
    <col min="11932" max="11932" width="10.33203125" style="19" customWidth="1"/>
    <col min="11933" max="11933" width="12.83203125" style="19" customWidth="1"/>
    <col min="11934" max="11934" width="14.33203125" style="19" customWidth="1"/>
    <col min="11935" max="11935" width="10.83203125" style="19" customWidth="1"/>
    <col min="11936" max="11936" width="11.83203125" style="19" customWidth="1"/>
    <col min="11937" max="11937" width="17.58203125" style="19" customWidth="1"/>
    <col min="11938" max="12150" width="9.33203125" style="19"/>
    <col min="12151" max="12151" width="7.33203125" style="19" customWidth="1"/>
    <col min="12152" max="12153" width="20.33203125" style="19" customWidth="1"/>
    <col min="12154" max="12156" width="15.33203125" style="19" customWidth="1"/>
    <col min="12157" max="12157" width="9.33203125" style="19"/>
    <col min="12158" max="12158" width="15.33203125" style="19" customWidth="1"/>
    <col min="12159" max="12159" width="10.33203125" style="19" customWidth="1"/>
    <col min="12160" max="12160" width="12.83203125" style="19" customWidth="1"/>
    <col min="12161" max="12161" width="17.33203125" style="19" customWidth="1"/>
    <col min="12162" max="12167" width="9.33203125" style="19"/>
    <col min="12168" max="12168" width="13.33203125" style="19" customWidth="1"/>
    <col min="12169" max="12171" width="12.83203125" style="19" customWidth="1"/>
    <col min="12172" max="12172" width="9.33203125" style="19"/>
    <col min="12173" max="12173" width="11.83203125" style="19" customWidth="1"/>
    <col min="12174" max="12184" width="9.33203125" style="19"/>
    <col min="12185" max="12185" width="11.33203125" style="19" customWidth="1"/>
    <col min="12186" max="12186" width="13.33203125" style="19" customWidth="1"/>
    <col min="12187" max="12187" width="16.08203125" style="19" customWidth="1"/>
    <col min="12188" max="12188" width="10.33203125" style="19" customWidth="1"/>
    <col min="12189" max="12189" width="12.83203125" style="19" customWidth="1"/>
    <col min="12190" max="12190" width="14.33203125" style="19" customWidth="1"/>
    <col min="12191" max="12191" width="10.83203125" style="19" customWidth="1"/>
    <col min="12192" max="12192" width="11.83203125" style="19" customWidth="1"/>
    <col min="12193" max="12193" width="17.58203125" style="19" customWidth="1"/>
    <col min="12194" max="12406" width="9.33203125" style="19"/>
    <col min="12407" max="12407" width="7.33203125" style="19" customWidth="1"/>
    <col min="12408" max="12409" width="20.33203125" style="19" customWidth="1"/>
    <col min="12410" max="12412" width="15.33203125" style="19" customWidth="1"/>
    <col min="12413" max="12413" width="9.33203125" style="19"/>
    <col min="12414" max="12414" width="15.33203125" style="19" customWidth="1"/>
    <col min="12415" max="12415" width="10.33203125" style="19" customWidth="1"/>
    <col min="12416" max="12416" width="12.83203125" style="19" customWidth="1"/>
    <col min="12417" max="12417" width="17.33203125" style="19" customWidth="1"/>
    <col min="12418" max="12423" width="9.33203125" style="19"/>
    <col min="12424" max="12424" width="13.33203125" style="19" customWidth="1"/>
    <col min="12425" max="12427" width="12.83203125" style="19" customWidth="1"/>
    <col min="12428" max="12428" width="9.33203125" style="19"/>
    <col min="12429" max="12429" width="11.83203125" style="19" customWidth="1"/>
    <col min="12430" max="12440" width="9.33203125" style="19"/>
    <col min="12441" max="12441" width="11.33203125" style="19" customWidth="1"/>
    <col min="12442" max="12442" width="13.33203125" style="19" customWidth="1"/>
    <col min="12443" max="12443" width="16.08203125" style="19" customWidth="1"/>
    <col min="12444" max="12444" width="10.33203125" style="19" customWidth="1"/>
    <col min="12445" max="12445" width="12.83203125" style="19" customWidth="1"/>
    <col min="12446" max="12446" width="14.33203125" style="19" customWidth="1"/>
    <col min="12447" max="12447" width="10.83203125" style="19" customWidth="1"/>
    <col min="12448" max="12448" width="11.83203125" style="19" customWidth="1"/>
    <col min="12449" max="12449" width="17.58203125" style="19" customWidth="1"/>
    <col min="12450" max="12662" width="9.33203125" style="19"/>
    <col min="12663" max="12663" width="7.33203125" style="19" customWidth="1"/>
    <col min="12664" max="12665" width="20.33203125" style="19" customWidth="1"/>
    <col min="12666" max="12668" width="15.33203125" style="19" customWidth="1"/>
    <col min="12669" max="12669" width="9.33203125" style="19"/>
    <col min="12670" max="12670" width="15.33203125" style="19" customWidth="1"/>
    <col min="12671" max="12671" width="10.33203125" style="19" customWidth="1"/>
    <col min="12672" max="12672" width="12.83203125" style="19" customWidth="1"/>
    <col min="12673" max="12673" width="17.33203125" style="19" customWidth="1"/>
    <col min="12674" max="12679" width="9.33203125" style="19"/>
    <col min="12680" max="12680" width="13.33203125" style="19" customWidth="1"/>
    <col min="12681" max="12683" width="12.83203125" style="19" customWidth="1"/>
    <col min="12684" max="12684" width="9.33203125" style="19"/>
    <col min="12685" max="12685" width="11.83203125" style="19" customWidth="1"/>
    <col min="12686" max="12696" width="9.33203125" style="19"/>
    <col min="12697" max="12697" width="11.33203125" style="19" customWidth="1"/>
    <col min="12698" max="12698" width="13.33203125" style="19" customWidth="1"/>
    <col min="12699" max="12699" width="16.08203125" style="19" customWidth="1"/>
    <col min="12700" max="12700" width="10.33203125" style="19" customWidth="1"/>
    <col min="12701" max="12701" width="12.83203125" style="19" customWidth="1"/>
    <col min="12702" max="12702" width="14.33203125" style="19" customWidth="1"/>
    <col min="12703" max="12703" width="10.83203125" style="19" customWidth="1"/>
    <col min="12704" max="12704" width="11.83203125" style="19" customWidth="1"/>
    <col min="12705" max="12705" width="17.58203125" style="19" customWidth="1"/>
    <col min="12706" max="12918" width="9.33203125" style="19"/>
    <col min="12919" max="12919" width="7.33203125" style="19" customWidth="1"/>
    <col min="12920" max="12921" width="20.33203125" style="19" customWidth="1"/>
    <col min="12922" max="12924" width="15.33203125" style="19" customWidth="1"/>
    <col min="12925" max="12925" width="9.33203125" style="19"/>
    <col min="12926" max="12926" width="15.33203125" style="19" customWidth="1"/>
    <col min="12927" max="12927" width="10.33203125" style="19" customWidth="1"/>
    <col min="12928" max="12928" width="12.83203125" style="19" customWidth="1"/>
    <col min="12929" max="12929" width="17.33203125" style="19" customWidth="1"/>
    <col min="12930" max="12935" width="9.33203125" style="19"/>
    <col min="12936" max="12936" width="13.33203125" style="19" customWidth="1"/>
    <col min="12937" max="12939" width="12.83203125" style="19" customWidth="1"/>
    <col min="12940" max="12940" width="9.33203125" style="19"/>
    <col min="12941" max="12941" width="11.83203125" style="19" customWidth="1"/>
    <col min="12942" max="12952" width="9.33203125" style="19"/>
    <col min="12953" max="12953" width="11.33203125" style="19" customWidth="1"/>
    <col min="12954" max="12954" width="13.33203125" style="19" customWidth="1"/>
    <col min="12955" max="12955" width="16.08203125" style="19" customWidth="1"/>
    <col min="12956" max="12956" width="10.33203125" style="19" customWidth="1"/>
    <col min="12957" max="12957" width="12.83203125" style="19" customWidth="1"/>
    <col min="12958" max="12958" width="14.33203125" style="19" customWidth="1"/>
    <col min="12959" max="12959" width="10.83203125" style="19" customWidth="1"/>
    <col min="12960" max="12960" width="11.83203125" style="19" customWidth="1"/>
    <col min="12961" max="12961" width="17.58203125" style="19" customWidth="1"/>
    <col min="12962" max="13174" width="9.33203125" style="19"/>
    <col min="13175" max="13175" width="7.33203125" style="19" customWidth="1"/>
    <col min="13176" max="13177" width="20.33203125" style="19" customWidth="1"/>
    <col min="13178" max="13180" width="15.33203125" style="19" customWidth="1"/>
    <col min="13181" max="13181" width="9.33203125" style="19"/>
    <col min="13182" max="13182" width="15.33203125" style="19" customWidth="1"/>
    <col min="13183" max="13183" width="10.33203125" style="19" customWidth="1"/>
    <col min="13184" max="13184" width="12.83203125" style="19" customWidth="1"/>
    <col min="13185" max="13185" width="17.33203125" style="19" customWidth="1"/>
    <col min="13186" max="13191" width="9.33203125" style="19"/>
    <col min="13192" max="13192" width="13.33203125" style="19" customWidth="1"/>
    <col min="13193" max="13195" width="12.83203125" style="19" customWidth="1"/>
    <col min="13196" max="13196" width="9.33203125" style="19"/>
    <col min="13197" max="13197" width="11.83203125" style="19" customWidth="1"/>
    <col min="13198" max="13208" width="9.33203125" style="19"/>
    <col min="13209" max="13209" width="11.33203125" style="19" customWidth="1"/>
    <col min="13210" max="13210" width="13.33203125" style="19" customWidth="1"/>
    <col min="13211" max="13211" width="16.08203125" style="19" customWidth="1"/>
    <col min="13212" max="13212" width="10.33203125" style="19" customWidth="1"/>
    <col min="13213" max="13213" width="12.83203125" style="19" customWidth="1"/>
    <col min="13214" max="13214" width="14.33203125" style="19" customWidth="1"/>
    <col min="13215" max="13215" width="10.83203125" style="19" customWidth="1"/>
    <col min="13216" max="13216" width="11.83203125" style="19" customWidth="1"/>
    <col min="13217" max="13217" width="17.58203125" style="19" customWidth="1"/>
    <col min="13218" max="13430" width="9.33203125" style="19"/>
    <col min="13431" max="13431" width="7.33203125" style="19" customWidth="1"/>
    <col min="13432" max="13433" width="20.33203125" style="19" customWidth="1"/>
    <col min="13434" max="13436" width="15.33203125" style="19" customWidth="1"/>
    <col min="13437" max="13437" width="9.33203125" style="19"/>
    <col min="13438" max="13438" width="15.33203125" style="19" customWidth="1"/>
    <col min="13439" max="13439" width="10.33203125" style="19" customWidth="1"/>
    <col min="13440" max="13440" width="12.83203125" style="19" customWidth="1"/>
    <col min="13441" max="13441" width="17.33203125" style="19" customWidth="1"/>
    <col min="13442" max="13447" width="9.33203125" style="19"/>
    <col min="13448" max="13448" width="13.33203125" style="19" customWidth="1"/>
    <col min="13449" max="13451" width="12.83203125" style="19" customWidth="1"/>
    <col min="13452" max="13452" width="9.33203125" style="19"/>
    <col min="13453" max="13453" width="11.83203125" style="19" customWidth="1"/>
    <col min="13454" max="13464" width="9.33203125" style="19"/>
    <col min="13465" max="13465" width="11.33203125" style="19" customWidth="1"/>
    <col min="13466" max="13466" width="13.33203125" style="19" customWidth="1"/>
    <col min="13467" max="13467" width="16.08203125" style="19" customWidth="1"/>
    <col min="13468" max="13468" width="10.33203125" style="19" customWidth="1"/>
    <col min="13469" max="13469" width="12.83203125" style="19" customWidth="1"/>
    <col min="13470" max="13470" width="14.33203125" style="19" customWidth="1"/>
    <col min="13471" max="13471" width="10.83203125" style="19" customWidth="1"/>
    <col min="13472" max="13472" width="11.83203125" style="19" customWidth="1"/>
    <col min="13473" max="13473" width="17.58203125" style="19" customWidth="1"/>
    <col min="13474" max="13686" width="9.33203125" style="19"/>
    <col min="13687" max="13687" width="7.33203125" style="19" customWidth="1"/>
    <col min="13688" max="13689" width="20.33203125" style="19" customWidth="1"/>
    <col min="13690" max="13692" width="15.33203125" style="19" customWidth="1"/>
    <col min="13693" max="13693" width="9.33203125" style="19"/>
    <col min="13694" max="13694" width="15.33203125" style="19" customWidth="1"/>
    <col min="13695" max="13695" width="10.33203125" style="19" customWidth="1"/>
    <col min="13696" max="13696" width="12.83203125" style="19" customWidth="1"/>
    <col min="13697" max="13697" width="17.33203125" style="19" customWidth="1"/>
    <col min="13698" max="13703" width="9.33203125" style="19"/>
    <col min="13704" max="13704" width="13.33203125" style="19" customWidth="1"/>
    <col min="13705" max="13707" width="12.83203125" style="19" customWidth="1"/>
    <col min="13708" max="13708" width="9.33203125" style="19"/>
    <col min="13709" max="13709" width="11.83203125" style="19" customWidth="1"/>
    <col min="13710" max="13720" width="9.33203125" style="19"/>
    <col min="13721" max="13721" width="11.33203125" style="19" customWidth="1"/>
    <col min="13722" max="13722" width="13.33203125" style="19" customWidth="1"/>
    <col min="13723" max="13723" width="16.08203125" style="19" customWidth="1"/>
    <col min="13724" max="13724" width="10.33203125" style="19" customWidth="1"/>
    <col min="13725" max="13725" width="12.83203125" style="19" customWidth="1"/>
    <col min="13726" max="13726" width="14.33203125" style="19" customWidth="1"/>
    <col min="13727" max="13727" width="10.83203125" style="19" customWidth="1"/>
    <col min="13728" max="13728" width="11.83203125" style="19" customWidth="1"/>
    <col min="13729" max="13729" width="17.58203125" style="19" customWidth="1"/>
    <col min="13730" max="13942" width="9.33203125" style="19"/>
    <col min="13943" max="13943" width="7.33203125" style="19" customWidth="1"/>
    <col min="13944" max="13945" width="20.33203125" style="19" customWidth="1"/>
    <col min="13946" max="13948" width="15.33203125" style="19" customWidth="1"/>
    <col min="13949" max="13949" width="9.33203125" style="19"/>
    <col min="13950" max="13950" width="15.33203125" style="19" customWidth="1"/>
    <col min="13951" max="13951" width="10.33203125" style="19" customWidth="1"/>
    <col min="13952" max="13952" width="12.83203125" style="19" customWidth="1"/>
    <col min="13953" max="13953" width="17.33203125" style="19" customWidth="1"/>
    <col min="13954" max="13959" width="9.33203125" style="19"/>
    <col min="13960" max="13960" width="13.33203125" style="19" customWidth="1"/>
    <col min="13961" max="13963" width="12.83203125" style="19" customWidth="1"/>
    <col min="13964" max="13964" width="9.33203125" style="19"/>
    <col min="13965" max="13965" width="11.83203125" style="19" customWidth="1"/>
    <col min="13966" max="13976" width="9.33203125" style="19"/>
    <col min="13977" max="13977" width="11.33203125" style="19" customWidth="1"/>
    <col min="13978" max="13978" width="13.33203125" style="19" customWidth="1"/>
    <col min="13979" max="13979" width="16.08203125" style="19" customWidth="1"/>
    <col min="13980" max="13980" width="10.33203125" style="19" customWidth="1"/>
    <col min="13981" max="13981" width="12.83203125" style="19" customWidth="1"/>
    <col min="13982" max="13982" width="14.33203125" style="19" customWidth="1"/>
    <col min="13983" max="13983" width="10.83203125" style="19" customWidth="1"/>
    <col min="13984" max="13984" width="11.83203125" style="19" customWidth="1"/>
    <col min="13985" max="13985" width="17.58203125" style="19" customWidth="1"/>
    <col min="13986" max="14198" width="9.33203125" style="19"/>
    <col min="14199" max="14199" width="7.33203125" style="19" customWidth="1"/>
    <col min="14200" max="14201" width="20.33203125" style="19" customWidth="1"/>
    <col min="14202" max="14204" width="15.33203125" style="19" customWidth="1"/>
    <col min="14205" max="14205" width="9.33203125" style="19"/>
    <col min="14206" max="14206" width="15.33203125" style="19" customWidth="1"/>
    <col min="14207" max="14207" width="10.33203125" style="19" customWidth="1"/>
    <col min="14208" max="14208" width="12.83203125" style="19" customWidth="1"/>
    <col min="14209" max="14209" width="17.33203125" style="19" customWidth="1"/>
    <col min="14210" max="14215" width="9.33203125" style="19"/>
    <col min="14216" max="14216" width="13.33203125" style="19" customWidth="1"/>
    <col min="14217" max="14219" width="12.83203125" style="19" customWidth="1"/>
    <col min="14220" max="14220" width="9.33203125" style="19"/>
    <col min="14221" max="14221" width="11.83203125" style="19" customWidth="1"/>
    <col min="14222" max="14232" width="9.33203125" style="19"/>
    <col min="14233" max="14233" width="11.33203125" style="19" customWidth="1"/>
    <col min="14234" max="14234" width="13.33203125" style="19" customWidth="1"/>
    <col min="14235" max="14235" width="16.08203125" style="19" customWidth="1"/>
    <col min="14236" max="14236" width="10.33203125" style="19" customWidth="1"/>
    <col min="14237" max="14237" width="12.83203125" style="19" customWidth="1"/>
    <col min="14238" max="14238" width="14.33203125" style="19" customWidth="1"/>
    <col min="14239" max="14239" width="10.83203125" style="19" customWidth="1"/>
    <col min="14240" max="14240" width="11.83203125" style="19" customWidth="1"/>
    <col min="14241" max="14241" width="17.58203125" style="19" customWidth="1"/>
    <col min="14242" max="14454" width="9.33203125" style="19"/>
    <col min="14455" max="14455" width="7.33203125" style="19" customWidth="1"/>
    <col min="14456" max="14457" width="20.33203125" style="19" customWidth="1"/>
    <col min="14458" max="14460" width="15.33203125" style="19" customWidth="1"/>
    <col min="14461" max="14461" width="9.33203125" style="19"/>
    <col min="14462" max="14462" width="15.33203125" style="19" customWidth="1"/>
    <col min="14463" max="14463" width="10.33203125" style="19" customWidth="1"/>
    <col min="14464" max="14464" width="12.83203125" style="19" customWidth="1"/>
    <col min="14465" max="14465" width="17.33203125" style="19" customWidth="1"/>
    <col min="14466" max="14471" width="9.33203125" style="19"/>
    <col min="14472" max="14472" width="13.33203125" style="19" customWidth="1"/>
    <col min="14473" max="14475" width="12.83203125" style="19" customWidth="1"/>
    <col min="14476" max="14476" width="9.33203125" style="19"/>
    <col min="14477" max="14477" width="11.83203125" style="19" customWidth="1"/>
    <col min="14478" max="14488" width="9.33203125" style="19"/>
    <col min="14489" max="14489" width="11.33203125" style="19" customWidth="1"/>
    <col min="14490" max="14490" width="13.33203125" style="19" customWidth="1"/>
    <col min="14491" max="14491" width="16.08203125" style="19" customWidth="1"/>
    <col min="14492" max="14492" width="10.33203125" style="19" customWidth="1"/>
    <col min="14493" max="14493" width="12.83203125" style="19" customWidth="1"/>
    <col min="14494" max="14494" width="14.33203125" style="19" customWidth="1"/>
    <col min="14495" max="14495" width="10.83203125" style="19" customWidth="1"/>
    <col min="14496" max="14496" width="11.83203125" style="19" customWidth="1"/>
    <col min="14497" max="14497" width="17.58203125" style="19" customWidth="1"/>
    <col min="14498" max="14710" width="9.33203125" style="19"/>
    <col min="14711" max="14711" width="7.33203125" style="19" customWidth="1"/>
    <col min="14712" max="14713" width="20.33203125" style="19" customWidth="1"/>
    <col min="14714" max="14716" width="15.33203125" style="19" customWidth="1"/>
    <col min="14717" max="14717" width="9.33203125" style="19"/>
    <col min="14718" max="14718" width="15.33203125" style="19" customWidth="1"/>
    <col min="14719" max="14719" width="10.33203125" style="19" customWidth="1"/>
    <col min="14720" max="14720" width="12.83203125" style="19" customWidth="1"/>
    <col min="14721" max="14721" width="17.33203125" style="19" customWidth="1"/>
    <col min="14722" max="14727" width="9.33203125" style="19"/>
    <col min="14728" max="14728" width="13.33203125" style="19" customWidth="1"/>
    <col min="14729" max="14731" width="12.83203125" style="19" customWidth="1"/>
    <col min="14732" max="14732" width="9.33203125" style="19"/>
    <col min="14733" max="14733" width="11.83203125" style="19" customWidth="1"/>
    <col min="14734" max="14744" width="9.33203125" style="19"/>
    <col min="14745" max="14745" width="11.33203125" style="19" customWidth="1"/>
    <col min="14746" max="14746" width="13.33203125" style="19" customWidth="1"/>
    <col min="14747" max="14747" width="16.08203125" style="19" customWidth="1"/>
    <col min="14748" max="14748" width="10.33203125" style="19" customWidth="1"/>
    <col min="14749" max="14749" width="12.83203125" style="19" customWidth="1"/>
    <col min="14750" max="14750" width="14.33203125" style="19" customWidth="1"/>
    <col min="14751" max="14751" width="10.83203125" style="19" customWidth="1"/>
    <col min="14752" max="14752" width="11.83203125" style="19" customWidth="1"/>
    <col min="14753" max="14753" width="17.58203125" style="19" customWidth="1"/>
    <col min="14754" max="14966" width="9.33203125" style="19"/>
    <col min="14967" max="14967" width="7.33203125" style="19" customWidth="1"/>
    <col min="14968" max="14969" width="20.33203125" style="19" customWidth="1"/>
    <col min="14970" max="14972" width="15.33203125" style="19" customWidth="1"/>
    <col min="14973" max="14973" width="9.33203125" style="19"/>
    <col min="14974" max="14974" width="15.33203125" style="19" customWidth="1"/>
    <col min="14975" max="14975" width="10.33203125" style="19" customWidth="1"/>
    <col min="14976" max="14976" width="12.83203125" style="19" customWidth="1"/>
    <col min="14977" max="14977" width="17.33203125" style="19" customWidth="1"/>
    <col min="14978" max="14983" width="9.33203125" style="19"/>
    <col min="14984" max="14984" width="13.33203125" style="19" customWidth="1"/>
    <col min="14985" max="14987" width="12.83203125" style="19" customWidth="1"/>
    <col min="14988" max="14988" width="9.33203125" style="19"/>
    <col min="14989" max="14989" width="11.83203125" style="19" customWidth="1"/>
    <col min="14990" max="15000" width="9.33203125" style="19"/>
    <col min="15001" max="15001" width="11.33203125" style="19" customWidth="1"/>
    <col min="15002" max="15002" width="13.33203125" style="19" customWidth="1"/>
    <col min="15003" max="15003" width="16.08203125" style="19" customWidth="1"/>
    <col min="15004" max="15004" width="10.33203125" style="19" customWidth="1"/>
    <col min="15005" max="15005" width="12.83203125" style="19" customWidth="1"/>
    <col min="15006" max="15006" width="14.33203125" style="19" customWidth="1"/>
    <col min="15007" max="15007" width="10.83203125" style="19" customWidth="1"/>
    <col min="15008" max="15008" width="11.83203125" style="19" customWidth="1"/>
    <col min="15009" max="15009" width="17.58203125" style="19" customWidth="1"/>
    <col min="15010" max="15222" width="9.33203125" style="19"/>
    <col min="15223" max="15223" width="7.33203125" style="19" customWidth="1"/>
    <col min="15224" max="15225" width="20.33203125" style="19" customWidth="1"/>
    <col min="15226" max="15228" width="15.33203125" style="19" customWidth="1"/>
    <col min="15229" max="15229" width="9.33203125" style="19"/>
    <col min="15230" max="15230" width="15.33203125" style="19" customWidth="1"/>
    <col min="15231" max="15231" width="10.33203125" style="19" customWidth="1"/>
    <col min="15232" max="15232" width="12.83203125" style="19" customWidth="1"/>
    <col min="15233" max="15233" width="17.33203125" style="19" customWidth="1"/>
    <col min="15234" max="15239" width="9.33203125" style="19"/>
    <col min="15240" max="15240" width="13.33203125" style="19" customWidth="1"/>
    <col min="15241" max="15243" width="12.83203125" style="19" customWidth="1"/>
    <col min="15244" max="15244" width="9.33203125" style="19"/>
    <col min="15245" max="15245" width="11.83203125" style="19" customWidth="1"/>
    <col min="15246" max="15256" width="9.33203125" style="19"/>
    <col min="15257" max="15257" width="11.33203125" style="19" customWidth="1"/>
    <col min="15258" max="15258" width="13.33203125" style="19" customWidth="1"/>
    <col min="15259" max="15259" width="16.08203125" style="19" customWidth="1"/>
    <col min="15260" max="15260" width="10.33203125" style="19" customWidth="1"/>
    <col min="15261" max="15261" width="12.83203125" style="19" customWidth="1"/>
    <col min="15262" max="15262" width="14.33203125" style="19" customWidth="1"/>
    <col min="15263" max="15263" width="10.83203125" style="19" customWidth="1"/>
    <col min="15264" max="15264" width="11.83203125" style="19" customWidth="1"/>
    <col min="15265" max="15265" width="17.58203125" style="19" customWidth="1"/>
    <col min="15266" max="15478" width="9.33203125" style="19"/>
    <col min="15479" max="15479" width="7.33203125" style="19" customWidth="1"/>
    <col min="15480" max="15481" width="20.33203125" style="19" customWidth="1"/>
    <col min="15482" max="15484" width="15.33203125" style="19" customWidth="1"/>
    <col min="15485" max="15485" width="9.33203125" style="19"/>
    <col min="15486" max="15486" width="15.33203125" style="19" customWidth="1"/>
    <col min="15487" max="15487" width="10.33203125" style="19" customWidth="1"/>
    <col min="15488" max="15488" width="12.83203125" style="19" customWidth="1"/>
    <col min="15489" max="15489" width="17.33203125" style="19" customWidth="1"/>
    <col min="15490" max="15495" width="9.33203125" style="19"/>
    <col min="15496" max="15496" width="13.33203125" style="19" customWidth="1"/>
    <col min="15497" max="15499" width="12.83203125" style="19" customWidth="1"/>
    <col min="15500" max="15500" width="9.33203125" style="19"/>
    <col min="15501" max="15501" width="11.83203125" style="19" customWidth="1"/>
    <col min="15502" max="15512" width="9.33203125" style="19"/>
    <col min="15513" max="15513" width="11.33203125" style="19" customWidth="1"/>
    <col min="15514" max="15514" width="13.33203125" style="19" customWidth="1"/>
    <col min="15515" max="15515" width="16.08203125" style="19" customWidth="1"/>
    <col min="15516" max="15516" width="10.33203125" style="19" customWidth="1"/>
    <col min="15517" max="15517" width="12.83203125" style="19" customWidth="1"/>
    <col min="15518" max="15518" width="14.33203125" style="19" customWidth="1"/>
    <col min="15519" max="15519" width="10.83203125" style="19" customWidth="1"/>
    <col min="15520" max="15520" width="11.83203125" style="19" customWidth="1"/>
    <col min="15521" max="15521" width="17.58203125" style="19" customWidth="1"/>
    <col min="15522" max="15734" width="9.33203125" style="19"/>
    <col min="15735" max="15735" width="7.33203125" style="19" customWidth="1"/>
    <col min="15736" max="15737" width="20.33203125" style="19" customWidth="1"/>
    <col min="15738" max="15740" width="15.33203125" style="19" customWidth="1"/>
    <col min="15741" max="15741" width="9.33203125" style="19"/>
    <col min="15742" max="15742" width="15.33203125" style="19" customWidth="1"/>
    <col min="15743" max="15743" width="10.33203125" style="19" customWidth="1"/>
    <col min="15744" max="15744" width="12.83203125" style="19" customWidth="1"/>
    <col min="15745" max="15745" width="17.33203125" style="19" customWidth="1"/>
    <col min="15746" max="15751" width="9.33203125" style="19"/>
    <col min="15752" max="15752" width="13.33203125" style="19" customWidth="1"/>
    <col min="15753" max="15755" width="12.83203125" style="19" customWidth="1"/>
    <col min="15756" max="15756" width="9.33203125" style="19"/>
    <col min="15757" max="15757" width="11.83203125" style="19" customWidth="1"/>
    <col min="15758" max="15768" width="9.33203125" style="19"/>
    <col min="15769" max="15769" width="11.33203125" style="19" customWidth="1"/>
    <col min="15770" max="15770" width="13.33203125" style="19" customWidth="1"/>
    <col min="15771" max="15771" width="16.08203125" style="19" customWidth="1"/>
    <col min="15772" max="15772" width="10.33203125" style="19" customWidth="1"/>
    <col min="15773" max="15773" width="12.83203125" style="19" customWidth="1"/>
    <col min="15774" max="15774" width="14.33203125" style="19" customWidth="1"/>
    <col min="15775" max="15775" width="10.83203125" style="19" customWidth="1"/>
    <col min="15776" max="15776" width="11.83203125" style="19" customWidth="1"/>
    <col min="15777" max="15777" width="17.58203125" style="19" customWidth="1"/>
    <col min="15778" max="15990" width="9.33203125" style="19"/>
    <col min="15991" max="15991" width="7.33203125" style="19" customWidth="1"/>
    <col min="15992" max="15993" width="20.33203125" style="19" customWidth="1"/>
    <col min="15994" max="15996" width="15.33203125" style="19" customWidth="1"/>
    <col min="15997" max="15997" width="9.33203125" style="19"/>
    <col min="15998" max="15998" width="15.33203125" style="19" customWidth="1"/>
    <col min="15999" max="15999" width="10.33203125" style="19" customWidth="1"/>
    <col min="16000" max="16000" width="12.83203125" style="19" customWidth="1"/>
    <col min="16001" max="16001" width="17.33203125" style="19" customWidth="1"/>
    <col min="16002" max="16007" width="9.33203125" style="19"/>
    <col min="16008" max="16008" width="13.33203125" style="19" customWidth="1"/>
    <col min="16009" max="16011" width="12.83203125" style="19" customWidth="1"/>
    <col min="16012" max="16012" width="9.33203125" style="19"/>
    <col min="16013" max="16013" width="11.83203125" style="19" customWidth="1"/>
    <col min="16014" max="16024" width="9.33203125" style="19"/>
    <col min="16025" max="16025" width="11.33203125" style="19" customWidth="1"/>
    <col min="16026" max="16026" width="13.33203125" style="19" customWidth="1"/>
    <col min="16027" max="16027" width="16.08203125" style="19" customWidth="1"/>
    <col min="16028" max="16028" width="10.33203125" style="19" customWidth="1"/>
    <col min="16029" max="16029" width="12.83203125" style="19" customWidth="1"/>
    <col min="16030" max="16030" width="14.33203125" style="19" customWidth="1"/>
    <col min="16031" max="16031" width="10.83203125" style="19" customWidth="1"/>
    <col min="16032" max="16032" width="11.83203125" style="19" customWidth="1"/>
    <col min="16033" max="16033" width="17.58203125" style="19" customWidth="1"/>
    <col min="16034" max="16384" width="9.33203125" style="19"/>
  </cols>
  <sheetData>
    <row r="1" spans="1:21" s="18" customFormat="1" ht="20.149999999999999" customHeight="1" x14ac:dyDescent="0.3">
      <c r="A1" s="25" t="s">
        <v>111</v>
      </c>
      <c r="B1" s="25" t="s">
        <v>112</v>
      </c>
      <c r="C1" s="108" t="s">
        <v>152</v>
      </c>
      <c r="D1" s="25" t="s">
        <v>153</v>
      </c>
      <c r="E1" s="25" t="s">
        <v>113</v>
      </c>
      <c r="F1" s="25" t="s">
        <v>154</v>
      </c>
      <c r="G1" s="25" t="s">
        <v>155</v>
      </c>
      <c r="H1" s="25" t="s">
        <v>156</v>
      </c>
      <c r="I1" s="25" t="s">
        <v>157</v>
      </c>
      <c r="J1" s="25" t="s">
        <v>158</v>
      </c>
      <c r="K1" s="25" t="s">
        <v>159</v>
      </c>
      <c r="L1" s="25" t="s">
        <v>160</v>
      </c>
      <c r="M1" s="25" t="s">
        <v>161</v>
      </c>
      <c r="N1" s="25" t="s">
        <v>162</v>
      </c>
      <c r="O1" s="25" t="s">
        <v>163</v>
      </c>
      <c r="P1" s="25" t="s">
        <v>164</v>
      </c>
      <c r="Q1" s="109" t="s">
        <v>145</v>
      </c>
      <c r="R1" s="106" t="s">
        <v>146</v>
      </c>
      <c r="S1" s="106" t="s">
        <v>147</v>
      </c>
      <c r="T1" s="106" t="s">
        <v>148</v>
      </c>
      <c r="U1" s="25" t="s">
        <v>150</v>
      </c>
    </row>
    <row r="2" spans="1:21" x14ac:dyDescent="0.3">
      <c r="A2" s="191">
        <v>321048</v>
      </c>
      <c r="B2" s="191" t="s">
        <v>729</v>
      </c>
      <c r="C2" s="191"/>
      <c r="D2" s="191"/>
      <c r="E2" s="191" t="s">
        <v>478</v>
      </c>
      <c r="F2" s="191" t="s">
        <v>730</v>
      </c>
      <c r="G2" s="191" t="s">
        <v>731</v>
      </c>
      <c r="H2" s="192"/>
      <c r="I2" s="191" t="s">
        <v>732</v>
      </c>
      <c r="J2" s="191" t="s">
        <v>733</v>
      </c>
      <c r="K2" s="191" t="s">
        <v>734</v>
      </c>
      <c r="L2" s="191" t="s">
        <v>735</v>
      </c>
      <c r="M2" s="191" t="s">
        <v>736</v>
      </c>
      <c r="N2" s="191"/>
      <c r="O2" s="191" t="s">
        <v>511</v>
      </c>
      <c r="P2" s="191" t="s">
        <v>737</v>
      </c>
      <c r="Q2" s="191" t="s">
        <v>719</v>
      </c>
      <c r="R2" s="191"/>
      <c r="S2" s="191"/>
      <c r="T2" s="191"/>
      <c r="U2" s="191" t="s">
        <v>738</v>
      </c>
    </row>
    <row r="3" spans="1:21" x14ac:dyDescent="0.3">
      <c r="A3" s="191">
        <v>334538</v>
      </c>
      <c r="B3" s="191" t="s">
        <v>721</v>
      </c>
      <c r="C3" s="191"/>
      <c r="D3" s="191"/>
      <c r="E3" s="191" t="s">
        <v>478</v>
      </c>
      <c r="F3" s="191" t="s">
        <v>722</v>
      </c>
      <c r="G3" s="191" t="s">
        <v>723</v>
      </c>
      <c r="H3" s="192"/>
      <c r="I3" s="191" t="s">
        <v>499</v>
      </c>
      <c r="J3" s="191" t="s">
        <v>724</v>
      </c>
      <c r="K3" s="191" t="s">
        <v>725</v>
      </c>
      <c r="L3" s="191" t="s">
        <v>726</v>
      </c>
      <c r="M3" s="191" t="s">
        <v>727</v>
      </c>
      <c r="N3" s="191"/>
      <c r="O3" s="191" t="s">
        <v>511</v>
      </c>
      <c r="P3" s="191" t="s">
        <v>728</v>
      </c>
      <c r="Q3" s="191" t="s">
        <v>719</v>
      </c>
      <c r="R3" s="191"/>
      <c r="S3" s="191"/>
      <c r="T3" s="191"/>
      <c r="U3" s="191" t="s">
        <v>487</v>
      </c>
    </row>
    <row r="4" spans="1:21" x14ac:dyDescent="0.3">
      <c r="A4" s="191">
        <v>316570</v>
      </c>
      <c r="B4" s="191" t="s">
        <v>720</v>
      </c>
      <c r="C4" s="191"/>
      <c r="D4" s="191"/>
      <c r="E4" s="191" t="s">
        <v>478</v>
      </c>
      <c r="F4" s="191" t="s">
        <v>711</v>
      </c>
      <c r="G4" s="191" t="s">
        <v>712</v>
      </c>
      <c r="H4" s="192"/>
      <c r="I4" s="191" t="s">
        <v>538</v>
      </c>
      <c r="J4" s="191" t="s">
        <v>712</v>
      </c>
      <c r="K4" s="191" t="s">
        <v>713</v>
      </c>
      <c r="L4" s="191" t="s">
        <v>714</v>
      </c>
      <c r="M4" s="191" t="s">
        <v>715</v>
      </c>
      <c r="N4" s="191" t="s">
        <v>716</v>
      </c>
      <c r="O4" s="191" t="s">
        <v>717</v>
      </c>
      <c r="P4" s="191" t="s">
        <v>718</v>
      </c>
      <c r="Q4" s="191" t="s">
        <v>719</v>
      </c>
      <c r="R4" s="191"/>
      <c r="S4" s="191"/>
      <c r="T4" s="191"/>
      <c r="U4" s="191" t="s">
        <v>487</v>
      </c>
    </row>
    <row r="5" spans="1:21" x14ac:dyDescent="0.3">
      <c r="A5" s="191">
        <v>316571</v>
      </c>
      <c r="B5" s="191" t="s">
        <v>710</v>
      </c>
      <c r="C5" s="191"/>
      <c r="D5" s="191"/>
      <c r="E5" s="191" t="s">
        <v>478</v>
      </c>
      <c r="F5" s="191" t="s">
        <v>711</v>
      </c>
      <c r="G5" s="191" t="s">
        <v>712</v>
      </c>
      <c r="H5" s="192"/>
      <c r="I5" s="191" t="s">
        <v>538</v>
      </c>
      <c r="J5" s="191" t="s">
        <v>712</v>
      </c>
      <c r="K5" s="191" t="s">
        <v>713</v>
      </c>
      <c r="L5" s="191" t="s">
        <v>714</v>
      </c>
      <c r="M5" s="191" t="s">
        <v>715</v>
      </c>
      <c r="N5" s="191" t="s">
        <v>716</v>
      </c>
      <c r="O5" s="191" t="s">
        <v>717</v>
      </c>
      <c r="P5" s="191" t="s">
        <v>718</v>
      </c>
      <c r="Q5" s="191" t="s">
        <v>719</v>
      </c>
      <c r="R5" s="191"/>
      <c r="S5" s="191"/>
      <c r="T5" s="191"/>
      <c r="U5" s="191" t="s">
        <v>487</v>
      </c>
    </row>
  </sheetData>
  <sheetProtection selectLockedCells="1" selectUnlockedCells="1"/>
  <phoneticPr fontId="14" type="noConversion"/>
  <conditionalFormatting sqref="A2:A1048576">
    <cfRule type="duplicateValues" dxfId="48" priority="7"/>
  </conditionalFormatting>
  <conditionalFormatting sqref="H2:U5">
    <cfRule type="cellIs" dxfId="47" priority="1" operator="equal">
      <formula>"Null"</formula>
    </cfRule>
    <cfRule type="cellIs" dxfId="46" priority="2" operator="equal">
      <formula>""</formula>
    </cfRule>
    <cfRule type="cellIs" dxfId="45" priority="3" operator="equal">
      <formula>"NA"</formula>
    </cfRule>
  </conditionalFormatting>
  <conditionalFormatting sqref="H2:H5">
    <cfRule type="duplicateValues" dxfId="44" priority="81216"/>
  </conditionalFormatting>
  <dataValidations disablePrompts="1" count="1">
    <dataValidation type="list" allowBlank="1" showDropDown="1" showInputMessage="1" showErrorMessage="1" sqref="EO2 OK2 YG2 AIC2 ARY2 BBU2 BLQ2 BVM2 CFI2 CPE2 CZA2 DIW2 DSS2 ECO2 EMK2 EWG2 FGC2 FPY2 FZU2 GJQ2 GTM2 HDI2 HNE2 HXA2 IGW2 IQS2 JAO2 JKK2 JUG2 KEC2 KNY2 KXU2 LHQ2 LRM2 MBI2 MLE2 MVA2 NEW2 NOS2 NYO2 OIK2 OSG2 PCC2 PLY2 PVU2 QFQ2 QPM2 QZI2 RJE2 RTA2 SCW2 SMS2 SWO2 TGK2 TQG2 UAC2 UJY2 UTU2 VDQ2 VNM2 VXI2 WHE2 WRA2 DW65513:DW65538 NS65513:NS65538 XO65513:XO65538 AHK65513:AHK65538 ARG65513:ARG65538 BBC65513:BBC65538 BKY65513:BKY65538 BUU65513:BUU65538 CEQ65513:CEQ65538 COM65513:COM65538 CYI65513:CYI65538 DIE65513:DIE65538 DSA65513:DSA65538 EBW65513:EBW65538 ELS65513:ELS65538 EVO65513:EVO65538 FFK65513:FFK65538 FPG65513:FPG65538 FZC65513:FZC65538 GIY65513:GIY65538 GSU65513:GSU65538 HCQ65513:HCQ65538 HMM65513:HMM65538 HWI65513:HWI65538 IGE65513:IGE65538 IQA65513:IQA65538 IZW65513:IZW65538 JJS65513:JJS65538 JTO65513:JTO65538 KDK65513:KDK65538 KNG65513:KNG65538 KXC65513:KXC65538 LGY65513:LGY65538 LQU65513:LQU65538 MAQ65513:MAQ65538 MKM65513:MKM65538 MUI65513:MUI65538 NEE65513:NEE65538 NOA65513:NOA65538 NXW65513:NXW65538 OHS65513:OHS65538 ORO65513:ORO65538 PBK65513:PBK65538 PLG65513:PLG65538 PVC65513:PVC65538 QEY65513:QEY65538 QOU65513:QOU65538 QYQ65513:QYQ65538 RIM65513:RIM65538 RSI65513:RSI65538 SCE65513:SCE65538 SMA65513:SMA65538 SVW65513:SVW65538 TFS65513:TFS65538 TPO65513:TPO65538 TZK65513:TZK65538 UJG65513:UJG65538 UTC65513:UTC65538 VCY65513:VCY65538 VMU65513:VMU65538 VWQ65513:VWQ65538 WGM65513:WGM65538 WQI65513:WQI65538 DW131049:DW131074 NS131049:NS131074 XO131049:XO131074 AHK131049:AHK131074 ARG131049:ARG131074 BBC131049:BBC131074 BKY131049:BKY131074 BUU131049:BUU131074 CEQ131049:CEQ131074 COM131049:COM131074 CYI131049:CYI131074 DIE131049:DIE131074 DSA131049:DSA131074 EBW131049:EBW131074 ELS131049:ELS131074 EVO131049:EVO131074 FFK131049:FFK131074 FPG131049:FPG131074 FZC131049:FZC131074 GIY131049:GIY131074 GSU131049:GSU131074 HCQ131049:HCQ131074 HMM131049:HMM131074 HWI131049:HWI131074 IGE131049:IGE131074 IQA131049:IQA131074 IZW131049:IZW131074 JJS131049:JJS131074 JTO131049:JTO131074 KDK131049:KDK131074 KNG131049:KNG131074 KXC131049:KXC131074 LGY131049:LGY131074 LQU131049:LQU131074 MAQ131049:MAQ131074 MKM131049:MKM131074 MUI131049:MUI131074 NEE131049:NEE131074 NOA131049:NOA131074 NXW131049:NXW131074 OHS131049:OHS131074 ORO131049:ORO131074 PBK131049:PBK131074 PLG131049:PLG131074 PVC131049:PVC131074 QEY131049:QEY131074 QOU131049:QOU131074 QYQ131049:QYQ131074 RIM131049:RIM131074 RSI131049:RSI131074 SCE131049:SCE131074 SMA131049:SMA131074 SVW131049:SVW131074 TFS131049:TFS131074 TPO131049:TPO131074 TZK131049:TZK131074 UJG131049:UJG131074 UTC131049:UTC131074 VCY131049:VCY131074 VMU131049:VMU131074 VWQ131049:VWQ131074 WGM131049:WGM131074 WQI131049:WQI131074 DW196585:DW196610 NS196585:NS196610 XO196585:XO196610 AHK196585:AHK196610 ARG196585:ARG196610 BBC196585:BBC196610 BKY196585:BKY196610 BUU196585:BUU196610 CEQ196585:CEQ196610 COM196585:COM196610 CYI196585:CYI196610 DIE196585:DIE196610 DSA196585:DSA196610 EBW196585:EBW196610 ELS196585:ELS196610 EVO196585:EVO196610 FFK196585:FFK196610 FPG196585:FPG196610 FZC196585:FZC196610 GIY196585:GIY196610 GSU196585:GSU196610 HCQ196585:HCQ196610 HMM196585:HMM196610 HWI196585:HWI196610 IGE196585:IGE196610 IQA196585:IQA196610 IZW196585:IZW196610 JJS196585:JJS196610 JTO196585:JTO196610 KDK196585:KDK196610 KNG196585:KNG196610 KXC196585:KXC196610 LGY196585:LGY196610 LQU196585:LQU196610 MAQ196585:MAQ196610 MKM196585:MKM196610 MUI196585:MUI196610 NEE196585:NEE196610 NOA196585:NOA196610 NXW196585:NXW196610 OHS196585:OHS196610 ORO196585:ORO196610 PBK196585:PBK196610 PLG196585:PLG196610 PVC196585:PVC196610 QEY196585:QEY196610 QOU196585:QOU196610 QYQ196585:QYQ196610 RIM196585:RIM196610 RSI196585:RSI196610 SCE196585:SCE196610 SMA196585:SMA196610 SVW196585:SVW196610 TFS196585:TFS196610 TPO196585:TPO196610 TZK196585:TZK196610 UJG196585:UJG196610 UTC196585:UTC196610 VCY196585:VCY196610 VMU196585:VMU196610 VWQ196585:VWQ196610 WGM196585:WGM196610 WQI196585:WQI196610 DW262121:DW262146 NS262121:NS262146 XO262121:XO262146 AHK262121:AHK262146 ARG262121:ARG262146 BBC262121:BBC262146 BKY262121:BKY262146 BUU262121:BUU262146 CEQ262121:CEQ262146 COM262121:COM262146 CYI262121:CYI262146 DIE262121:DIE262146 DSA262121:DSA262146 EBW262121:EBW262146 ELS262121:ELS262146 EVO262121:EVO262146 FFK262121:FFK262146 FPG262121:FPG262146 FZC262121:FZC262146 GIY262121:GIY262146 GSU262121:GSU262146 HCQ262121:HCQ262146 HMM262121:HMM262146 HWI262121:HWI262146 IGE262121:IGE262146 IQA262121:IQA262146 IZW262121:IZW262146 JJS262121:JJS262146 JTO262121:JTO262146 KDK262121:KDK262146 KNG262121:KNG262146 KXC262121:KXC262146 LGY262121:LGY262146 LQU262121:LQU262146 MAQ262121:MAQ262146 MKM262121:MKM262146 MUI262121:MUI262146 NEE262121:NEE262146 NOA262121:NOA262146 NXW262121:NXW262146 OHS262121:OHS262146 ORO262121:ORO262146 PBK262121:PBK262146 PLG262121:PLG262146 PVC262121:PVC262146 QEY262121:QEY262146 QOU262121:QOU262146 QYQ262121:QYQ262146 RIM262121:RIM262146 RSI262121:RSI262146 SCE262121:SCE262146 SMA262121:SMA262146 SVW262121:SVW262146 TFS262121:TFS262146 TPO262121:TPO262146 TZK262121:TZK262146 UJG262121:UJG262146 UTC262121:UTC262146 VCY262121:VCY262146 VMU262121:VMU262146 VWQ262121:VWQ262146 WGM262121:WGM262146 WQI262121:WQI262146 DW327657:DW327682 NS327657:NS327682 XO327657:XO327682 AHK327657:AHK327682 ARG327657:ARG327682 BBC327657:BBC327682 BKY327657:BKY327682 BUU327657:BUU327682 CEQ327657:CEQ327682 COM327657:COM327682 CYI327657:CYI327682 DIE327657:DIE327682 DSA327657:DSA327682 EBW327657:EBW327682 ELS327657:ELS327682 EVO327657:EVO327682 FFK327657:FFK327682 FPG327657:FPG327682 FZC327657:FZC327682 GIY327657:GIY327682 GSU327657:GSU327682 HCQ327657:HCQ327682 HMM327657:HMM327682 HWI327657:HWI327682 IGE327657:IGE327682 IQA327657:IQA327682 IZW327657:IZW327682 JJS327657:JJS327682 JTO327657:JTO327682 KDK327657:KDK327682 KNG327657:KNG327682 KXC327657:KXC327682 LGY327657:LGY327682 LQU327657:LQU327682 MAQ327657:MAQ327682 MKM327657:MKM327682 MUI327657:MUI327682 NEE327657:NEE327682 NOA327657:NOA327682 NXW327657:NXW327682 OHS327657:OHS327682 ORO327657:ORO327682 PBK327657:PBK327682 PLG327657:PLG327682 PVC327657:PVC327682 QEY327657:QEY327682 QOU327657:QOU327682 QYQ327657:QYQ327682 RIM327657:RIM327682 RSI327657:RSI327682 SCE327657:SCE327682 SMA327657:SMA327682 SVW327657:SVW327682 TFS327657:TFS327682 TPO327657:TPO327682 TZK327657:TZK327682 UJG327657:UJG327682 UTC327657:UTC327682 VCY327657:VCY327682 VMU327657:VMU327682 VWQ327657:VWQ327682 WGM327657:WGM327682 WQI327657:WQI327682 DW393193:DW393218 NS393193:NS393218 XO393193:XO393218 AHK393193:AHK393218 ARG393193:ARG393218 BBC393193:BBC393218 BKY393193:BKY393218 BUU393193:BUU393218 CEQ393193:CEQ393218 COM393193:COM393218 CYI393193:CYI393218 DIE393193:DIE393218 DSA393193:DSA393218 EBW393193:EBW393218 ELS393193:ELS393218 EVO393193:EVO393218 FFK393193:FFK393218 FPG393193:FPG393218 FZC393193:FZC393218 GIY393193:GIY393218 GSU393193:GSU393218 HCQ393193:HCQ393218 HMM393193:HMM393218 HWI393193:HWI393218 IGE393193:IGE393218 IQA393193:IQA393218 IZW393193:IZW393218 JJS393193:JJS393218 JTO393193:JTO393218 KDK393193:KDK393218 KNG393193:KNG393218 KXC393193:KXC393218 LGY393193:LGY393218 LQU393193:LQU393218 MAQ393193:MAQ393218 MKM393193:MKM393218 MUI393193:MUI393218 NEE393193:NEE393218 NOA393193:NOA393218 NXW393193:NXW393218 OHS393193:OHS393218 ORO393193:ORO393218 PBK393193:PBK393218 PLG393193:PLG393218 PVC393193:PVC393218 QEY393193:QEY393218 QOU393193:QOU393218 QYQ393193:QYQ393218 RIM393193:RIM393218 RSI393193:RSI393218 SCE393193:SCE393218 SMA393193:SMA393218 SVW393193:SVW393218 TFS393193:TFS393218 TPO393193:TPO393218 TZK393193:TZK393218 UJG393193:UJG393218 UTC393193:UTC393218 VCY393193:VCY393218 VMU393193:VMU393218 VWQ393193:VWQ393218 WGM393193:WGM393218 WQI393193:WQI393218 DW458729:DW458754 NS458729:NS458754 XO458729:XO458754 AHK458729:AHK458754 ARG458729:ARG458754 BBC458729:BBC458754 BKY458729:BKY458754 BUU458729:BUU458754 CEQ458729:CEQ458754 COM458729:COM458754 CYI458729:CYI458754 DIE458729:DIE458754 DSA458729:DSA458754 EBW458729:EBW458754 ELS458729:ELS458754 EVO458729:EVO458754 FFK458729:FFK458754 FPG458729:FPG458754 FZC458729:FZC458754 GIY458729:GIY458754 GSU458729:GSU458754 HCQ458729:HCQ458754 HMM458729:HMM458754 HWI458729:HWI458754 IGE458729:IGE458754 IQA458729:IQA458754 IZW458729:IZW458754 JJS458729:JJS458754 JTO458729:JTO458754 KDK458729:KDK458754 KNG458729:KNG458754 KXC458729:KXC458754 LGY458729:LGY458754 LQU458729:LQU458754 MAQ458729:MAQ458754 MKM458729:MKM458754 MUI458729:MUI458754 NEE458729:NEE458754 NOA458729:NOA458754 NXW458729:NXW458754 OHS458729:OHS458754 ORO458729:ORO458754 PBK458729:PBK458754 PLG458729:PLG458754 PVC458729:PVC458754 QEY458729:QEY458754 QOU458729:QOU458754 QYQ458729:QYQ458754 RIM458729:RIM458754 RSI458729:RSI458754 SCE458729:SCE458754 SMA458729:SMA458754 SVW458729:SVW458754 TFS458729:TFS458754 TPO458729:TPO458754 TZK458729:TZK458754 UJG458729:UJG458754 UTC458729:UTC458754 VCY458729:VCY458754 VMU458729:VMU458754 VWQ458729:VWQ458754 WGM458729:WGM458754 WQI458729:WQI458754 DW524265:DW524290 NS524265:NS524290 XO524265:XO524290 AHK524265:AHK524290 ARG524265:ARG524290 BBC524265:BBC524290 BKY524265:BKY524290 BUU524265:BUU524290 CEQ524265:CEQ524290 COM524265:COM524290 CYI524265:CYI524290 DIE524265:DIE524290 DSA524265:DSA524290 EBW524265:EBW524290 ELS524265:ELS524290 EVO524265:EVO524290 FFK524265:FFK524290 FPG524265:FPG524290 FZC524265:FZC524290 GIY524265:GIY524290 GSU524265:GSU524290 HCQ524265:HCQ524290 HMM524265:HMM524290 HWI524265:HWI524290 IGE524265:IGE524290 IQA524265:IQA524290 IZW524265:IZW524290 JJS524265:JJS524290 JTO524265:JTO524290 KDK524265:KDK524290 KNG524265:KNG524290 KXC524265:KXC524290 LGY524265:LGY524290 LQU524265:LQU524290 MAQ524265:MAQ524290 MKM524265:MKM524290 MUI524265:MUI524290 NEE524265:NEE524290 NOA524265:NOA524290 NXW524265:NXW524290 OHS524265:OHS524290 ORO524265:ORO524290 PBK524265:PBK524290 PLG524265:PLG524290 PVC524265:PVC524290 QEY524265:QEY524290 QOU524265:QOU524290 QYQ524265:QYQ524290 RIM524265:RIM524290 RSI524265:RSI524290 SCE524265:SCE524290 SMA524265:SMA524290 SVW524265:SVW524290 TFS524265:TFS524290 TPO524265:TPO524290 TZK524265:TZK524290 UJG524265:UJG524290 UTC524265:UTC524290 VCY524265:VCY524290 VMU524265:VMU524290 VWQ524265:VWQ524290 WGM524265:WGM524290 WQI524265:WQI524290 DW589801:DW589826 NS589801:NS589826 XO589801:XO589826 AHK589801:AHK589826 ARG589801:ARG589826 BBC589801:BBC589826 BKY589801:BKY589826 BUU589801:BUU589826 CEQ589801:CEQ589826 COM589801:COM589826 CYI589801:CYI589826 DIE589801:DIE589826 DSA589801:DSA589826 EBW589801:EBW589826 ELS589801:ELS589826 EVO589801:EVO589826 FFK589801:FFK589826 FPG589801:FPG589826 FZC589801:FZC589826 GIY589801:GIY589826 GSU589801:GSU589826 HCQ589801:HCQ589826 HMM589801:HMM589826 HWI589801:HWI589826 IGE589801:IGE589826 IQA589801:IQA589826 IZW589801:IZW589826 JJS589801:JJS589826 JTO589801:JTO589826 KDK589801:KDK589826 KNG589801:KNG589826 KXC589801:KXC589826 LGY589801:LGY589826 LQU589801:LQU589826 MAQ589801:MAQ589826 MKM589801:MKM589826 MUI589801:MUI589826 NEE589801:NEE589826 NOA589801:NOA589826 NXW589801:NXW589826 OHS589801:OHS589826 ORO589801:ORO589826 PBK589801:PBK589826 PLG589801:PLG589826 PVC589801:PVC589826 QEY589801:QEY589826 QOU589801:QOU589826 QYQ589801:QYQ589826 RIM589801:RIM589826 RSI589801:RSI589826 SCE589801:SCE589826 SMA589801:SMA589826 SVW589801:SVW589826 TFS589801:TFS589826 TPO589801:TPO589826 TZK589801:TZK589826 UJG589801:UJG589826 UTC589801:UTC589826 VCY589801:VCY589826 VMU589801:VMU589826 VWQ589801:VWQ589826 WGM589801:WGM589826 WQI589801:WQI589826 DW655337:DW655362 NS655337:NS655362 XO655337:XO655362 AHK655337:AHK655362 ARG655337:ARG655362 BBC655337:BBC655362 BKY655337:BKY655362 BUU655337:BUU655362 CEQ655337:CEQ655362 COM655337:COM655362 CYI655337:CYI655362 DIE655337:DIE655362 DSA655337:DSA655362 EBW655337:EBW655362 ELS655337:ELS655362 EVO655337:EVO655362 FFK655337:FFK655362 FPG655337:FPG655362 FZC655337:FZC655362 GIY655337:GIY655362 GSU655337:GSU655362 HCQ655337:HCQ655362 HMM655337:HMM655362 HWI655337:HWI655362 IGE655337:IGE655362 IQA655337:IQA655362 IZW655337:IZW655362 JJS655337:JJS655362 JTO655337:JTO655362 KDK655337:KDK655362 KNG655337:KNG655362 KXC655337:KXC655362 LGY655337:LGY655362 LQU655337:LQU655362 MAQ655337:MAQ655362 MKM655337:MKM655362 MUI655337:MUI655362 NEE655337:NEE655362 NOA655337:NOA655362 NXW655337:NXW655362 OHS655337:OHS655362 ORO655337:ORO655362 PBK655337:PBK655362 PLG655337:PLG655362 PVC655337:PVC655362 QEY655337:QEY655362 QOU655337:QOU655362 QYQ655337:QYQ655362 RIM655337:RIM655362 RSI655337:RSI655362 SCE655337:SCE655362 SMA655337:SMA655362 SVW655337:SVW655362 TFS655337:TFS655362 TPO655337:TPO655362 TZK655337:TZK655362 UJG655337:UJG655362 UTC655337:UTC655362 VCY655337:VCY655362 VMU655337:VMU655362 VWQ655337:VWQ655362 WGM655337:WGM655362 WQI655337:WQI655362 DW720873:DW720898 NS720873:NS720898 XO720873:XO720898 AHK720873:AHK720898 ARG720873:ARG720898 BBC720873:BBC720898 BKY720873:BKY720898 BUU720873:BUU720898 CEQ720873:CEQ720898 COM720873:COM720898 CYI720873:CYI720898 DIE720873:DIE720898 DSA720873:DSA720898 EBW720873:EBW720898 ELS720873:ELS720898 EVO720873:EVO720898 FFK720873:FFK720898 FPG720873:FPG720898 FZC720873:FZC720898 GIY720873:GIY720898 GSU720873:GSU720898 HCQ720873:HCQ720898 HMM720873:HMM720898 HWI720873:HWI720898 IGE720873:IGE720898 IQA720873:IQA720898 IZW720873:IZW720898 JJS720873:JJS720898 JTO720873:JTO720898 KDK720873:KDK720898 KNG720873:KNG720898 KXC720873:KXC720898 LGY720873:LGY720898 LQU720873:LQU720898 MAQ720873:MAQ720898 MKM720873:MKM720898 MUI720873:MUI720898 NEE720873:NEE720898 NOA720873:NOA720898 NXW720873:NXW720898 OHS720873:OHS720898 ORO720873:ORO720898 PBK720873:PBK720898 PLG720873:PLG720898 PVC720873:PVC720898 QEY720873:QEY720898 QOU720873:QOU720898 QYQ720873:QYQ720898 RIM720873:RIM720898 RSI720873:RSI720898 SCE720873:SCE720898 SMA720873:SMA720898 SVW720873:SVW720898 TFS720873:TFS720898 TPO720873:TPO720898 TZK720873:TZK720898 UJG720873:UJG720898 UTC720873:UTC720898 VCY720873:VCY720898 VMU720873:VMU720898 VWQ720873:VWQ720898 WGM720873:WGM720898 WQI720873:WQI720898 DW786409:DW786434 NS786409:NS786434 XO786409:XO786434 AHK786409:AHK786434 ARG786409:ARG786434 BBC786409:BBC786434 BKY786409:BKY786434 BUU786409:BUU786434 CEQ786409:CEQ786434 COM786409:COM786434 CYI786409:CYI786434 DIE786409:DIE786434 DSA786409:DSA786434 EBW786409:EBW786434 ELS786409:ELS786434 EVO786409:EVO786434 FFK786409:FFK786434 FPG786409:FPG786434 FZC786409:FZC786434 GIY786409:GIY786434 GSU786409:GSU786434 HCQ786409:HCQ786434 HMM786409:HMM786434 HWI786409:HWI786434 IGE786409:IGE786434 IQA786409:IQA786434 IZW786409:IZW786434 JJS786409:JJS786434 JTO786409:JTO786434 KDK786409:KDK786434 KNG786409:KNG786434 KXC786409:KXC786434 LGY786409:LGY786434 LQU786409:LQU786434 MAQ786409:MAQ786434 MKM786409:MKM786434 MUI786409:MUI786434 NEE786409:NEE786434 NOA786409:NOA786434 NXW786409:NXW786434 OHS786409:OHS786434 ORO786409:ORO786434 PBK786409:PBK786434 PLG786409:PLG786434 PVC786409:PVC786434 QEY786409:QEY786434 QOU786409:QOU786434 QYQ786409:QYQ786434 RIM786409:RIM786434 RSI786409:RSI786434 SCE786409:SCE786434 SMA786409:SMA786434 SVW786409:SVW786434 TFS786409:TFS786434 TPO786409:TPO786434 TZK786409:TZK786434 UJG786409:UJG786434 UTC786409:UTC786434 VCY786409:VCY786434 VMU786409:VMU786434 VWQ786409:VWQ786434 WGM786409:WGM786434 WQI786409:WQI786434 DW851945:DW851970 NS851945:NS851970 XO851945:XO851970 AHK851945:AHK851970 ARG851945:ARG851970 BBC851945:BBC851970 BKY851945:BKY851970 BUU851945:BUU851970 CEQ851945:CEQ851970 COM851945:COM851970 CYI851945:CYI851970 DIE851945:DIE851970 DSA851945:DSA851970 EBW851945:EBW851970 ELS851945:ELS851970 EVO851945:EVO851970 FFK851945:FFK851970 FPG851945:FPG851970 FZC851945:FZC851970 GIY851945:GIY851970 GSU851945:GSU851970 HCQ851945:HCQ851970 HMM851945:HMM851970 HWI851945:HWI851970 IGE851945:IGE851970 IQA851945:IQA851970 IZW851945:IZW851970 JJS851945:JJS851970 JTO851945:JTO851970 KDK851945:KDK851970 KNG851945:KNG851970 KXC851945:KXC851970 LGY851945:LGY851970 LQU851945:LQU851970 MAQ851945:MAQ851970 MKM851945:MKM851970 MUI851945:MUI851970 NEE851945:NEE851970 NOA851945:NOA851970 NXW851945:NXW851970 OHS851945:OHS851970 ORO851945:ORO851970 PBK851945:PBK851970 PLG851945:PLG851970 PVC851945:PVC851970 QEY851945:QEY851970 QOU851945:QOU851970 QYQ851945:QYQ851970 RIM851945:RIM851970 RSI851945:RSI851970 SCE851945:SCE851970 SMA851945:SMA851970 SVW851945:SVW851970 TFS851945:TFS851970 TPO851945:TPO851970 TZK851945:TZK851970 UJG851945:UJG851970 UTC851945:UTC851970 VCY851945:VCY851970 VMU851945:VMU851970 VWQ851945:VWQ851970 WGM851945:WGM851970 WQI851945:WQI851970 DW917481:DW917506 NS917481:NS917506 XO917481:XO917506 AHK917481:AHK917506 ARG917481:ARG917506 BBC917481:BBC917506 BKY917481:BKY917506 BUU917481:BUU917506 CEQ917481:CEQ917506 COM917481:COM917506 CYI917481:CYI917506 DIE917481:DIE917506 DSA917481:DSA917506 EBW917481:EBW917506 ELS917481:ELS917506 EVO917481:EVO917506 FFK917481:FFK917506 FPG917481:FPG917506 FZC917481:FZC917506 GIY917481:GIY917506 GSU917481:GSU917506 HCQ917481:HCQ917506 HMM917481:HMM917506 HWI917481:HWI917506 IGE917481:IGE917506 IQA917481:IQA917506 IZW917481:IZW917506 JJS917481:JJS917506 JTO917481:JTO917506 KDK917481:KDK917506 KNG917481:KNG917506 KXC917481:KXC917506 LGY917481:LGY917506 LQU917481:LQU917506 MAQ917481:MAQ917506 MKM917481:MKM917506 MUI917481:MUI917506 NEE917481:NEE917506 NOA917481:NOA917506 NXW917481:NXW917506 OHS917481:OHS917506 ORO917481:ORO917506 PBK917481:PBK917506 PLG917481:PLG917506 PVC917481:PVC917506 QEY917481:QEY917506 QOU917481:QOU917506 QYQ917481:QYQ917506 RIM917481:RIM917506 RSI917481:RSI917506 SCE917481:SCE917506 SMA917481:SMA917506 SVW917481:SVW917506 TFS917481:TFS917506 TPO917481:TPO917506 TZK917481:TZK917506 UJG917481:UJG917506 UTC917481:UTC917506 VCY917481:VCY917506 VMU917481:VMU917506 VWQ917481:VWQ917506 WGM917481:WGM917506 WQI917481:WQI917506 DW983017:DW983042 NS983017:NS983042 XO983017:XO983042 AHK983017:AHK983042 ARG983017:ARG983042 BBC983017:BBC983042 BKY983017:BKY983042 BUU983017:BUU983042 CEQ983017:CEQ983042 COM983017:COM983042 CYI983017:CYI983042 DIE983017:DIE983042 DSA983017:DSA983042 EBW983017:EBW983042 ELS983017:ELS983042 EVO983017:EVO983042 FFK983017:FFK983042 FPG983017:FPG983042 FZC983017:FZC983042 GIY983017:GIY983042 GSU983017:GSU983042 HCQ983017:HCQ983042 HMM983017:HMM983042 HWI983017:HWI983042 IGE983017:IGE983042 IQA983017:IQA983042 IZW983017:IZW983042 JJS983017:JJS983042 JTO983017:JTO983042 KDK983017:KDK983042 KNG983017:KNG983042 KXC983017:KXC983042 LGY983017:LGY983042 LQU983017:LQU983042 MAQ983017:MAQ983042 MKM983017:MKM983042 MUI983017:MUI983042 NEE983017:NEE983042 NOA983017:NOA983042 NXW983017:NXW983042 OHS983017:OHS983042 ORO983017:ORO983042 PBK983017:PBK983042 PLG983017:PLG983042 PVC983017:PVC983042 QEY983017:QEY983042 QOU983017:QOU983042 QYQ983017:QYQ983042 RIM983017:RIM983042 RSI983017:RSI983042 SCE983017:SCE983042 SMA983017:SMA983042 SVW983017:SVW983042 TFS983017:TFS983042 TPO983017:TPO983042 TZK983017:TZK983042 UJG983017:UJG983042 UTC983017:UTC983042 VCY983017:VCY983042 VMU983017:VMU983042 VWQ983017:VWQ983042 WGM983017:WGM983042 WQI983017:WQI983042 EJ2 OF2 YB2 AHX2 ART2 BBP2 BLL2 BVH2 CFD2 COZ2 CYV2 DIR2 DSN2 ECJ2 EMF2 EWB2 FFX2 FPT2 FZP2 GJL2 GTH2 HDD2 HMZ2 HWV2 IGR2 IQN2 JAJ2 JKF2 JUB2 KDX2 KNT2 KXP2 LHL2 LRH2 MBD2 MKZ2 MUV2 NER2 NON2 NYJ2 OIF2 OSB2 PBX2 PLT2 PVP2 QFL2 QPH2 QZD2 RIZ2 RSV2 SCR2 SMN2 SWJ2 TGF2 TQB2 TZX2 UJT2 UTP2 VDL2 VNH2 VXD2 WGZ2 WQV2 DR65513:DR65538 NN65513:NN65538 XJ65513:XJ65538 AHF65513:AHF65538 ARB65513:ARB65538 BAX65513:BAX65538 BKT65513:BKT65538 BUP65513:BUP65538 CEL65513:CEL65538 COH65513:COH65538 CYD65513:CYD65538 DHZ65513:DHZ65538 DRV65513:DRV65538 EBR65513:EBR65538 ELN65513:ELN65538 EVJ65513:EVJ65538 FFF65513:FFF65538 FPB65513:FPB65538 FYX65513:FYX65538 GIT65513:GIT65538 GSP65513:GSP65538 HCL65513:HCL65538 HMH65513:HMH65538 HWD65513:HWD65538 IFZ65513:IFZ65538 IPV65513:IPV65538 IZR65513:IZR65538 JJN65513:JJN65538 JTJ65513:JTJ65538 KDF65513:KDF65538 KNB65513:KNB65538 KWX65513:KWX65538 LGT65513:LGT65538 LQP65513:LQP65538 MAL65513:MAL65538 MKH65513:MKH65538 MUD65513:MUD65538 NDZ65513:NDZ65538 NNV65513:NNV65538 NXR65513:NXR65538 OHN65513:OHN65538 ORJ65513:ORJ65538 PBF65513:PBF65538 PLB65513:PLB65538 PUX65513:PUX65538 QET65513:QET65538 QOP65513:QOP65538 QYL65513:QYL65538 RIH65513:RIH65538 RSD65513:RSD65538 SBZ65513:SBZ65538 SLV65513:SLV65538 SVR65513:SVR65538 TFN65513:TFN65538 TPJ65513:TPJ65538 TZF65513:TZF65538 UJB65513:UJB65538 USX65513:USX65538 VCT65513:VCT65538 VMP65513:VMP65538 VWL65513:VWL65538 WGH65513:WGH65538 WQD65513:WQD65538 DR131049:DR131074 NN131049:NN131074 XJ131049:XJ131074 AHF131049:AHF131074 ARB131049:ARB131074 BAX131049:BAX131074 BKT131049:BKT131074 BUP131049:BUP131074 CEL131049:CEL131074 COH131049:COH131074 CYD131049:CYD131074 DHZ131049:DHZ131074 DRV131049:DRV131074 EBR131049:EBR131074 ELN131049:ELN131074 EVJ131049:EVJ131074 FFF131049:FFF131074 FPB131049:FPB131074 FYX131049:FYX131074 GIT131049:GIT131074 GSP131049:GSP131074 HCL131049:HCL131074 HMH131049:HMH131074 HWD131049:HWD131074 IFZ131049:IFZ131074 IPV131049:IPV131074 IZR131049:IZR131074 JJN131049:JJN131074 JTJ131049:JTJ131074 KDF131049:KDF131074 KNB131049:KNB131074 KWX131049:KWX131074 LGT131049:LGT131074 LQP131049:LQP131074 MAL131049:MAL131074 MKH131049:MKH131074 MUD131049:MUD131074 NDZ131049:NDZ131074 NNV131049:NNV131074 NXR131049:NXR131074 OHN131049:OHN131074 ORJ131049:ORJ131074 PBF131049:PBF131074 PLB131049:PLB131074 PUX131049:PUX131074 QET131049:QET131074 QOP131049:QOP131074 QYL131049:QYL131074 RIH131049:RIH131074 RSD131049:RSD131074 SBZ131049:SBZ131074 SLV131049:SLV131074 SVR131049:SVR131074 TFN131049:TFN131074 TPJ131049:TPJ131074 TZF131049:TZF131074 UJB131049:UJB131074 USX131049:USX131074 VCT131049:VCT131074 VMP131049:VMP131074 VWL131049:VWL131074 WGH131049:WGH131074 WQD131049:WQD131074 DR196585:DR196610 NN196585:NN196610 XJ196585:XJ196610 AHF196585:AHF196610 ARB196585:ARB196610 BAX196585:BAX196610 BKT196585:BKT196610 BUP196585:BUP196610 CEL196585:CEL196610 COH196585:COH196610 CYD196585:CYD196610 DHZ196585:DHZ196610 DRV196585:DRV196610 EBR196585:EBR196610 ELN196585:ELN196610 EVJ196585:EVJ196610 FFF196585:FFF196610 FPB196585:FPB196610 FYX196585:FYX196610 GIT196585:GIT196610 GSP196585:GSP196610 HCL196585:HCL196610 HMH196585:HMH196610 HWD196585:HWD196610 IFZ196585:IFZ196610 IPV196585:IPV196610 IZR196585:IZR196610 JJN196585:JJN196610 JTJ196585:JTJ196610 KDF196585:KDF196610 KNB196585:KNB196610 KWX196585:KWX196610 LGT196585:LGT196610 LQP196585:LQP196610 MAL196585:MAL196610 MKH196585:MKH196610 MUD196585:MUD196610 NDZ196585:NDZ196610 NNV196585:NNV196610 NXR196585:NXR196610 OHN196585:OHN196610 ORJ196585:ORJ196610 PBF196585:PBF196610 PLB196585:PLB196610 PUX196585:PUX196610 QET196585:QET196610 QOP196585:QOP196610 QYL196585:QYL196610 RIH196585:RIH196610 RSD196585:RSD196610 SBZ196585:SBZ196610 SLV196585:SLV196610 SVR196585:SVR196610 TFN196585:TFN196610 TPJ196585:TPJ196610 TZF196585:TZF196610 UJB196585:UJB196610 USX196585:USX196610 VCT196585:VCT196610 VMP196585:VMP196610 VWL196585:VWL196610 WGH196585:WGH196610 WQD196585:WQD196610 DR262121:DR262146 NN262121:NN262146 XJ262121:XJ262146 AHF262121:AHF262146 ARB262121:ARB262146 BAX262121:BAX262146 BKT262121:BKT262146 BUP262121:BUP262146 CEL262121:CEL262146 COH262121:COH262146 CYD262121:CYD262146 DHZ262121:DHZ262146 DRV262121:DRV262146 EBR262121:EBR262146 ELN262121:ELN262146 EVJ262121:EVJ262146 FFF262121:FFF262146 FPB262121:FPB262146 FYX262121:FYX262146 GIT262121:GIT262146 GSP262121:GSP262146 HCL262121:HCL262146 HMH262121:HMH262146 HWD262121:HWD262146 IFZ262121:IFZ262146 IPV262121:IPV262146 IZR262121:IZR262146 JJN262121:JJN262146 JTJ262121:JTJ262146 KDF262121:KDF262146 KNB262121:KNB262146 KWX262121:KWX262146 LGT262121:LGT262146 LQP262121:LQP262146 MAL262121:MAL262146 MKH262121:MKH262146 MUD262121:MUD262146 NDZ262121:NDZ262146 NNV262121:NNV262146 NXR262121:NXR262146 OHN262121:OHN262146 ORJ262121:ORJ262146 PBF262121:PBF262146 PLB262121:PLB262146 PUX262121:PUX262146 QET262121:QET262146 QOP262121:QOP262146 QYL262121:QYL262146 RIH262121:RIH262146 RSD262121:RSD262146 SBZ262121:SBZ262146 SLV262121:SLV262146 SVR262121:SVR262146 TFN262121:TFN262146 TPJ262121:TPJ262146 TZF262121:TZF262146 UJB262121:UJB262146 USX262121:USX262146 VCT262121:VCT262146 VMP262121:VMP262146 VWL262121:VWL262146 WGH262121:WGH262146 WQD262121:WQD262146 DR327657:DR327682 NN327657:NN327682 XJ327657:XJ327682 AHF327657:AHF327682 ARB327657:ARB327682 BAX327657:BAX327682 BKT327657:BKT327682 BUP327657:BUP327682 CEL327657:CEL327682 COH327657:COH327682 CYD327657:CYD327682 DHZ327657:DHZ327682 DRV327657:DRV327682 EBR327657:EBR327682 ELN327657:ELN327682 EVJ327657:EVJ327682 FFF327657:FFF327682 FPB327657:FPB327682 FYX327657:FYX327682 GIT327657:GIT327682 GSP327657:GSP327682 HCL327657:HCL327682 HMH327657:HMH327682 HWD327657:HWD327682 IFZ327657:IFZ327682 IPV327657:IPV327682 IZR327657:IZR327682 JJN327657:JJN327682 JTJ327657:JTJ327682 KDF327657:KDF327682 KNB327657:KNB327682 KWX327657:KWX327682 LGT327657:LGT327682 LQP327657:LQP327682 MAL327657:MAL327682 MKH327657:MKH327682 MUD327657:MUD327682 NDZ327657:NDZ327682 NNV327657:NNV327682 NXR327657:NXR327682 OHN327657:OHN327682 ORJ327657:ORJ327682 PBF327657:PBF327682 PLB327657:PLB327682 PUX327657:PUX327682 QET327657:QET327682 QOP327657:QOP327682 QYL327657:QYL327682 RIH327657:RIH327682 RSD327657:RSD327682 SBZ327657:SBZ327682 SLV327657:SLV327682 SVR327657:SVR327682 TFN327657:TFN327682 TPJ327657:TPJ327682 TZF327657:TZF327682 UJB327657:UJB327682 USX327657:USX327682 VCT327657:VCT327682 VMP327657:VMP327682 VWL327657:VWL327682 WGH327657:WGH327682 WQD327657:WQD327682 DR393193:DR393218 NN393193:NN393218 XJ393193:XJ393218 AHF393193:AHF393218 ARB393193:ARB393218 BAX393193:BAX393218 BKT393193:BKT393218 BUP393193:BUP393218 CEL393193:CEL393218 COH393193:COH393218 CYD393193:CYD393218 DHZ393193:DHZ393218 DRV393193:DRV393218 EBR393193:EBR393218 ELN393193:ELN393218 EVJ393193:EVJ393218 FFF393193:FFF393218 FPB393193:FPB393218 FYX393193:FYX393218 GIT393193:GIT393218 GSP393193:GSP393218 HCL393193:HCL393218 HMH393193:HMH393218 HWD393193:HWD393218 IFZ393193:IFZ393218 IPV393193:IPV393218 IZR393193:IZR393218 JJN393193:JJN393218 JTJ393193:JTJ393218 KDF393193:KDF393218 KNB393193:KNB393218 KWX393193:KWX393218 LGT393193:LGT393218 LQP393193:LQP393218 MAL393193:MAL393218 MKH393193:MKH393218 MUD393193:MUD393218 NDZ393193:NDZ393218 NNV393193:NNV393218 NXR393193:NXR393218 OHN393193:OHN393218 ORJ393193:ORJ393218 PBF393193:PBF393218 PLB393193:PLB393218 PUX393193:PUX393218 QET393193:QET393218 QOP393193:QOP393218 QYL393193:QYL393218 RIH393193:RIH393218 RSD393193:RSD393218 SBZ393193:SBZ393218 SLV393193:SLV393218 SVR393193:SVR393218 TFN393193:TFN393218 TPJ393193:TPJ393218 TZF393193:TZF393218 UJB393193:UJB393218 USX393193:USX393218 VCT393193:VCT393218 VMP393193:VMP393218 VWL393193:VWL393218 WGH393193:WGH393218 WQD393193:WQD393218 DR458729:DR458754 NN458729:NN458754 XJ458729:XJ458754 AHF458729:AHF458754 ARB458729:ARB458754 BAX458729:BAX458754 BKT458729:BKT458754 BUP458729:BUP458754 CEL458729:CEL458754 COH458729:COH458754 CYD458729:CYD458754 DHZ458729:DHZ458754 DRV458729:DRV458754 EBR458729:EBR458754 ELN458729:ELN458754 EVJ458729:EVJ458754 FFF458729:FFF458754 FPB458729:FPB458754 FYX458729:FYX458754 GIT458729:GIT458754 GSP458729:GSP458754 HCL458729:HCL458754 HMH458729:HMH458754 HWD458729:HWD458754 IFZ458729:IFZ458754 IPV458729:IPV458754 IZR458729:IZR458754 JJN458729:JJN458754 JTJ458729:JTJ458754 KDF458729:KDF458754 KNB458729:KNB458754 KWX458729:KWX458754 LGT458729:LGT458754 LQP458729:LQP458754 MAL458729:MAL458754 MKH458729:MKH458754 MUD458729:MUD458754 NDZ458729:NDZ458754 NNV458729:NNV458754 NXR458729:NXR458754 OHN458729:OHN458754 ORJ458729:ORJ458754 PBF458729:PBF458754 PLB458729:PLB458754 PUX458729:PUX458754 QET458729:QET458754 QOP458729:QOP458754 QYL458729:QYL458754 RIH458729:RIH458754 RSD458729:RSD458754 SBZ458729:SBZ458754 SLV458729:SLV458754 SVR458729:SVR458754 TFN458729:TFN458754 TPJ458729:TPJ458754 TZF458729:TZF458754 UJB458729:UJB458754 USX458729:USX458754 VCT458729:VCT458754 VMP458729:VMP458754 VWL458729:VWL458754 WGH458729:WGH458754 WQD458729:WQD458754 DR524265:DR524290 NN524265:NN524290 XJ524265:XJ524290 AHF524265:AHF524290 ARB524265:ARB524290 BAX524265:BAX524290 BKT524265:BKT524290 BUP524265:BUP524290 CEL524265:CEL524290 COH524265:COH524290 CYD524265:CYD524290 DHZ524265:DHZ524290 DRV524265:DRV524290 EBR524265:EBR524290 ELN524265:ELN524290 EVJ524265:EVJ524290 FFF524265:FFF524290 FPB524265:FPB524290 FYX524265:FYX524290 GIT524265:GIT524290 GSP524265:GSP524290 HCL524265:HCL524290 HMH524265:HMH524290 HWD524265:HWD524290 IFZ524265:IFZ524290 IPV524265:IPV524290 IZR524265:IZR524290 JJN524265:JJN524290 JTJ524265:JTJ524290 KDF524265:KDF524290 KNB524265:KNB524290 KWX524265:KWX524290 LGT524265:LGT524290 LQP524265:LQP524290 MAL524265:MAL524290 MKH524265:MKH524290 MUD524265:MUD524290 NDZ524265:NDZ524290 NNV524265:NNV524290 NXR524265:NXR524290 OHN524265:OHN524290 ORJ524265:ORJ524290 PBF524265:PBF524290 PLB524265:PLB524290 PUX524265:PUX524290 QET524265:QET524290 QOP524265:QOP524290 QYL524265:QYL524290 RIH524265:RIH524290 RSD524265:RSD524290 SBZ524265:SBZ524290 SLV524265:SLV524290 SVR524265:SVR524290 TFN524265:TFN524290 TPJ524265:TPJ524290 TZF524265:TZF524290 UJB524265:UJB524290 USX524265:USX524290 VCT524265:VCT524290 VMP524265:VMP524290 VWL524265:VWL524290 WGH524265:WGH524290 WQD524265:WQD524290 DR589801:DR589826 NN589801:NN589826 XJ589801:XJ589826 AHF589801:AHF589826 ARB589801:ARB589826 BAX589801:BAX589826 BKT589801:BKT589826 BUP589801:BUP589826 CEL589801:CEL589826 COH589801:COH589826 CYD589801:CYD589826 DHZ589801:DHZ589826 DRV589801:DRV589826 EBR589801:EBR589826 ELN589801:ELN589826 EVJ589801:EVJ589826 FFF589801:FFF589826 FPB589801:FPB589826 FYX589801:FYX589826 GIT589801:GIT589826 GSP589801:GSP589826 HCL589801:HCL589826 HMH589801:HMH589826 HWD589801:HWD589826 IFZ589801:IFZ589826 IPV589801:IPV589826 IZR589801:IZR589826 JJN589801:JJN589826 JTJ589801:JTJ589826 KDF589801:KDF589826 KNB589801:KNB589826 KWX589801:KWX589826 LGT589801:LGT589826 LQP589801:LQP589826 MAL589801:MAL589826 MKH589801:MKH589826 MUD589801:MUD589826 NDZ589801:NDZ589826 NNV589801:NNV589826 NXR589801:NXR589826 OHN589801:OHN589826 ORJ589801:ORJ589826 PBF589801:PBF589826 PLB589801:PLB589826 PUX589801:PUX589826 QET589801:QET589826 QOP589801:QOP589826 QYL589801:QYL589826 RIH589801:RIH589826 RSD589801:RSD589826 SBZ589801:SBZ589826 SLV589801:SLV589826 SVR589801:SVR589826 TFN589801:TFN589826 TPJ589801:TPJ589826 TZF589801:TZF589826 UJB589801:UJB589826 USX589801:USX589826 VCT589801:VCT589826 VMP589801:VMP589826 VWL589801:VWL589826 WGH589801:WGH589826 WQD589801:WQD589826 DR655337:DR655362 NN655337:NN655362 XJ655337:XJ655362 AHF655337:AHF655362 ARB655337:ARB655362 BAX655337:BAX655362 BKT655337:BKT655362 BUP655337:BUP655362 CEL655337:CEL655362 COH655337:COH655362 CYD655337:CYD655362 DHZ655337:DHZ655362 DRV655337:DRV655362 EBR655337:EBR655362 ELN655337:ELN655362 EVJ655337:EVJ655362 FFF655337:FFF655362 FPB655337:FPB655362 FYX655337:FYX655362 GIT655337:GIT655362 GSP655337:GSP655362 HCL655337:HCL655362 HMH655337:HMH655362 HWD655337:HWD655362 IFZ655337:IFZ655362 IPV655337:IPV655362 IZR655337:IZR655362 JJN655337:JJN655362 JTJ655337:JTJ655362 KDF655337:KDF655362 KNB655337:KNB655362 KWX655337:KWX655362 LGT655337:LGT655362 LQP655337:LQP655362 MAL655337:MAL655362 MKH655337:MKH655362 MUD655337:MUD655362 NDZ655337:NDZ655362 NNV655337:NNV655362 NXR655337:NXR655362 OHN655337:OHN655362 ORJ655337:ORJ655362 PBF655337:PBF655362 PLB655337:PLB655362 PUX655337:PUX655362 QET655337:QET655362 QOP655337:QOP655362 QYL655337:QYL655362 RIH655337:RIH655362 RSD655337:RSD655362 SBZ655337:SBZ655362 SLV655337:SLV655362 SVR655337:SVR655362 TFN655337:TFN655362 TPJ655337:TPJ655362 TZF655337:TZF655362 UJB655337:UJB655362 USX655337:USX655362 VCT655337:VCT655362 VMP655337:VMP655362 VWL655337:VWL655362 WGH655337:WGH655362 WQD655337:WQD655362 DR720873:DR720898 NN720873:NN720898 XJ720873:XJ720898 AHF720873:AHF720898 ARB720873:ARB720898 BAX720873:BAX720898 BKT720873:BKT720898 BUP720873:BUP720898 CEL720873:CEL720898 COH720873:COH720898 CYD720873:CYD720898 DHZ720873:DHZ720898 DRV720873:DRV720898 EBR720873:EBR720898 ELN720873:ELN720898 EVJ720873:EVJ720898 FFF720873:FFF720898 FPB720873:FPB720898 FYX720873:FYX720898 GIT720873:GIT720898 GSP720873:GSP720898 HCL720873:HCL720898 HMH720873:HMH720898 HWD720873:HWD720898 IFZ720873:IFZ720898 IPV720873:IPV720898 IZR720873:IZR720898 JJN720873:JJN720898 JTJ720873:JTJ720898 KDF720873:KDF720898 KNB720873:KNB720898 KWX720873:KWX720898 LGT720873:LGT720898 LQP720873:LQP720898 MAL720873:MAL720898 MKH720873:MKH720898 MUD720873:MUD720898 NDZ720873:NDZ720898 NNV720873:NNV720898 NXR720873:NXR720898 OHN720873:OHN720898 ORJ720873:ORJ720898 PBF720873:PBF720898 PLB720873:PLB720898 PUX720873:PUX720898 QET720873:QET720898 QOP720873:QOP720898 QYL720873:QYL720898 RIH720873:RIH720898 RSD720873:RSD720898 SBZ720873:SBZ720898 SLV720873:SLV720898 SVR720873:SVR720898 TFN720873:TFN720898 TPJ720873:TPJ720898 TZF720873:TZF720898 UJB720873:UJB720898 USX720873:USX720898 VCT720873:VCT720898 VMP720873:VMP720898 VWL720873:VWL720898 WGH720873:WGH720898 WQD720873:WQD720898 DR786409:DR786434 NN786409:NN786434 XJ786409:XJ786434 AHF786409:AHF786434 ARB786409:ARB786434 BAX786409:BAX786434 BKT786409:BKT786434 BUP786409:BUP786434 CEL786409:CEL786434 COH786409:COH786434 CYD786409:CYD786434 DHZ786409:DHZ786434 DRV786409:DRV786434 EBR786409:EBR786434 ELN786409:ELN786434 EVJ786409:EVJ786434 FFF786409:FFF786434 FPB786409:FPB786434 FYX786409:FYX786434 GIT786409:GIT786434 GSP786409:GSP786434 HCL786409:HCL786434 HMH786409:HMH786434 HWD786409:HWD786434 IFZ786409:IFZ786434 IPV786409:IPV786434 IZR786409:IZR786434 JJN786409:JJN786434 JTJ786409:JTJ786434 KDF786409:KDF786434 KNB786409:KNB786434 KWX786409:KWX786434 LGT786409:LGT786434 LQP786409:LQP786434 MAL786409:MAL786434 MKH786409:MKH786434 MUD786409:MUD786434 NDZ786409:NDZ786434 NNV786409:NNV786434 NXR786409:NXR786434 OHN786409:OHN786434 ORJ786409:ORJ786434 PBF786409:PBF786434 PLB786409:PLB786434 PUX786409:PUX786434 QET786409:QET786434 QOP786409:QOP786434 QYL786409:QYL786434 RIH786409:RIH786434 RSD786409:RSD786434 SBZ786409:SBZ786434 SLV786409:SLV786434 SVR786409:SVR786434 TFN786409:TFN786434 TPJ786409:TPJ786434 TZF786409:TZF786434 UJB786409:UJB786434 USX786409:USX786434 VCT786409:VCT786434 VMP786409:VMP786434 VWL786409:VWL786434 WGH786409:WGH786434 WQD786409:WQD786434 DR851945:DR851970 NN851945:NN851970 XJ851945:XJ851970 AHF851945:AHF851970 ARB851945:ARB851970 BAX851945:BAX851970 BKT851945:BKT851970 BUP851945:BUP851970 CEL851945:CEL851970 COH851945:COH851970 CYD851945:CYD851970 DHZ851945:DHZ851970 DRV851945:DRV851970 EBR851945:EBR851970 ELN851945:ELN851970 EVJ851945:EVJ851970 FFF851945:FFF851970 FPB851945:FPB851970 FYX851945:FYX851970 GIT851945:GIT851970 GSP851945:GSP851970 HCL851945:HCL851970 HMH851945:HMH851970 HWD851945:HWD851970 IFZ851945:IFZ851970 IPV851945:IPV851970 IZR851945:IZR851970 JJN851945:JJN851970 JTJ851945:JTJ851970 KDF851945:KDF851970 KNB851945:KNB851970 KWX851945:KWX851970 LGT851945:LGT851970 LQP851945:LQP851970 MAL851945:MAL851970 MKH851945:MKH851970 MUD851945:MUD851970 NDZ851945:NDZ851970 NNV851945:NNV851970 NXR851945:NXR851970 OHN851945:OHN851970 ORJ851945:ORJ851970 PBF851945:PBF851970 PLB851945:PLB851970 PUX851945:PUX851970 QET851945:QET851970 QOP851945:QOP851970 QYL851945:QYL851970 RIH851945:RIH851970 RSD851945:RSD851970 SBZ851945:SBZ851970 SLV851945:SLV851970 SVR851945:SVR851970 TFN851945:TFN851970 TPJ851945:TPJ851970 TZF851945:TZF851970 UJB851945:UJB851970 USX851945:USX851970 VCT851945:VCT851970 VMP851945:VMP851970 VWL851945:VWL851970 WGH851945:WGH851970 WQD851945:WQD851970 DR917481:DR917506 NN917481:NN917506 XJ917481:XJ917506 AHF917481:AHF917506 ARB917481:ARB917506 BAX917481:BAX917506 BKT917481:BKT917506 BUP917481:BUP917506 CEL917481:CEL917506 COH917481:COH917506 CYD917481:CYD917506 DHZ917481:DHZ917506 DRV917481:DRV917506 EBR917481:EBR917506 ELN917481:ELN917506 EVJ917481:EVJ917506 FFF917481:FFF917506 FPB917481:FPB917506 FYX917481:FYX917506 GIT917481:GIT917506 GSP917481:GSP917506 HCL917481:HCL917506 HMH917481:HMH917506 HWD917481:HWD917506 IFZ917481:IFZ917506 IPV917481:IPV917506 IZR917481:IZR917506 JJN917481:JJN917506 JTJ917481:JTJ917506 KDF917481:KDF917506 KNB917481:KNB917506 KWX917481:KWX917506 LGT917481:LGT917506 LQP917481:LQP917506 MAL917481:MAL917506 MKH917481:MKH917506 MUD917481:MUD917506 NDZ917481:NDZ917506 NNV917481:NNV917506 NXR917481:NXR917506 OHN917481:OHN917506 ORJ917481:ORJ917506 PBF917481:PBF917506 PLB917481:PLB917506 PUX917481:PUX917506 QET917481:QET917506 QOP917481:QOP917506 QYL917481:QYL917506 RIH917481:RIH917506 RSD917481:RSD917506 SBZ917481:SBZ917506 SLV917481:SLV917506 SVR917481:SVR917506 TFN917481:TFN917506 TPJ917481:TPJ917506 TZF917481:TZF917506 UJB917481:UJB917506 USX917481:USX917506 VCT917481:VCT917506 VMP917481:VMP917506 VWL917481:VWL917506 WGH917481:WGH917506 WQD917481:WQD917506 DR983017:DR983042 NN983017:NN983042 XJ983017:XJ983042 AHF983017:AHF983042 ARB983017:ARB983042 BAX983017:BAX983042 BKT983017:BKT983042 BUP983017:BUP983042 CEL983017:CEL983042 COH983017:COH983042 CYD983017:CYD983042 DHZ983017:DHZ983042 DRV983017:DRV983042 EBR983017:EBR983042 ELN983017:ELN983042 EVJ983017:EVJ983042 FFF983017:FFF983042 FPB983017:FPB983042 FYX983017:FYX983042 GIT983017:GIT983042 GSP983017:GSP983042 HCL983017:HCL983042 HMH983017:HMH983042 HWD983017:HWD983042 IFZ983017:IFZ983042 IPV983017:IPV983042 IZR983017:IZR983042 JJN983017:JJN983042 JTJ983017:JTJ983042 KDF983017:KDF983042 KNB983017:KNB983042 KWX983017:KWX983042 LGT983017:LGT983042 LQP983017:LQP983042 MAL983017:MAL983042 MKH983017:MKH983042 MUD983017:MUD983042 NDZ983017:NDZ983042 NNV983017:NNV983042 NXR983017:NXR983042 OHN983017:OHN983042 ORJ983017:ORJ983042 PBF983017:PBF983042 PLB983017:PLB983042 PUX983017:PUX983042 QET983017:QET983042 QOP983017:QOP983042 QYL983017:QYL983042 RIH983017:RIH983042 RSD983017:RSD983042 SBZ983017:SBZ983042 SLV983017:SLV983042 SVR983017:SVR983042 TFN983017:TFN983042 TPJ983017:TPJ983042 TZF983017:TZF983042 UJB983017:UJB983042 USX983017:USX983042 VCT983017:VCT983042 VMP983017:VMP983042 VWL983017:VWL983042 WGH983017:WGH983042 WQD983017:WQD983042" xr:uid="{14A4E4CB-4DCB-444B-B6A8-6DBCE2CFB67A}"/>
  </dataValidations>
  <pageMargins left="0.78749999999999998" right="0.78749999999999998" top="1.0527777777777778" bottom="1.0527777777777778" header="0.78749999999999998" footer="0.78749999999999998"/>
  <pageSetup firstPageNumber="0" orientation="portrait" horizontalDpi="300" verticalDpi="300" r:id="rId1"/>
  <headerFooter alignWithMargins="0">
    <oddHeader>&amp;C&amp;"Times New Roman,Regular"&amp;12&amp;A</oddHead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IntroMsg">
                <anchor moveWithCells="1" sizeWithCells="1">
                  <from>
                    <xdr:col>1</xdr:col>
                    <xdr:colOff>1955800</xdr:colOff>
                    <xdr:row>0</xdr:row>
                    <xdr:rowOff>25400</xdr:rowOff>
                  </from>
                  <to>
                    <xdr:col>1</xdr:col>
                    <xdr:colOff>2882900</xdr:colOff>
                    <xdr:row>0</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110F0-6A84-44BD-82E8-AC8B4AB8A82E}">
  <sheetPr codeName="Sheet11">
    <tabColor rgb="FFFFC7CE"/>
  </sheetPr>
  <dimension ref="A1:Z61"/>
  <sheetViews>
    <sheetView tabSelected="1" zoomScale="71" zoomScaleNormal="71" workbookViewId="0">
      <selection activeCell="C51" sqref="C51:D61"/>
    </sheetView>
  </sheetViews>
  <sheetFormatPr defaultColWidth="11" defaultRowHeight="15.5" x14ac:dyDescent="0.35"/>
  <cols>
    <col min="1" max="1" width="8.1640625" customWidth="1"/>
    <col min="2" max="2" width="9.6640625" bestFit="1" customWidth="1"/>
    <col min="3" max="3" width="49.5" customWidth="1"/>
    <col min="4" max="4" width="15.5" customWidth="1"/>
    <col min="5" max="5" width="18.33203125" customWidth="1"/>
    <col min="6" max="6" width="10.58203125" customWidth="1"/>
    <col min="7" max="7" width="16.58203125" customWidth="1"/>
    <col min="8" max="8" width="13" customWidth="1"/>
    <col min="9" max="9" width="16.58203125" customWidth="1"/>
    <col min="10" max="13" width="11" customWidth="1"/>
    <col min="14" max="14" width="12.58203125" customWidth="1"/>
    <col min="15" max="15" width="6.08203125" customWidth="1"/>
    <col min="16" max="16" width="3.5" customWidth="1"/>
    <col min="17" max="17" width="11" customWidth="1"/>
    <col min="18" max="18" width="8.58203125" customWidth="1"/>
    <col min="19" max="19" width="7.33203125" customWidth="1"/>
    <col min="20" max="20" width="6.6640625" customWidth="1"/>
    <col min="21" max="21" width="14.58203125" customWidth="1"/>
    <col min="22" max="24" width="11" customWidth="1"/>
    <col min="25" max="25" width="19" bestFit="1" customWidth="1"/>
  </cols>
  <sheetData>
    <row r="1" spans="1:26" ht="20.149999999999999" customHeight="1" x14ac:dyDescent="0.35">
      <c r="A1" t="s">
        <v>68</v>
      </c>
      <c r="B1" t="s">
        <v>165</v>
      </c>
      <c r="C1" t="s">
        <v>166</v>
      </c>
      <c r="D1" t="s">
        <v>167</v>
      </c>
      <c r="E1" s="159" t="s">
        <v>168</v>
      </c>
      <c r="F1" t="s">
        <v>169</v>
      </c>
      <c r="G1" t="s">
        <v>170</v>
      </c>
      <c r="H1" t="s">
        <v>171</v>
      </c>
      <c r="I1" s="159" t="s">
        <v>172</v>
      </c>
      <c r="J1" t="s">
        <v>173</v>
      </c>
      <c r="K1" t="s">
        <v>174</v>
      </c>
      <c r="L1" t="s">
        <v>175</v>
      </c>
      <c r="M1" t="s">
        <v>176</v>
      </c>
      <c r="N1" s="159" t="s">
        <v>177</v>
      </c>
      <c r="O1" s="159" t="s">
        <v>79</v>
      </c>
      <c r="P1" t="s">
        <v>178</v>
      </c>
      <c r="Q1" s="159" t="s">
        <v>179</v>
      </c>
      <c r="R1" s="159" t="s">
        <v>180</v>
      </c>
      <c r="S1" s="159" t="s">
        <v>86</v>
      </c>
      <c r="T1" s="159" t="s">
        <v>42</v>
      </c>
      <c r="U1" s="159" t="s">
        <v>181</v>
      </c>
      <c r="V1" t="s">
        <v>182</v>
      </c>
      <c r="W1" t="s">
        <v>73</v>
      </c>
      <c r="X1" s="159" t="s">
        <v>183</v>
      </c>
      <c r="Y1" t="s">
        <v>184</v>
      </c>
      <c r="Z1" t="s">
        <v>185</v>
      </c>
    </row>
    <row r="2" spans="1:26" x14ac:dyDescent="0.35">
      <c r="A2" s="193">
        <v>672040</v>
      </c>
      <c r="B2" s="193">
        <v>321048</v>
      </c>
      <c r="C2" s="193" t="s">
        <v>729</v>
      </c>
      <c r="D2" s="193" t="s">
        <v>43</v>
      </c>
      <c r="E2" s="194" t="str">
        <f>_xlfn.XLOOKUP(tblDependencies[[#This Row],[AssetName]],tblApplications[common_assetName],tblApplications[common_moveBundle],"",0,1)</f>
        <v>AppGroupA190</v>
      </c>
      <c r="F2" s="193">
        <v>335763</v>
      </c>
      <c r="G2" s="193" t="s">
        <v>706</v>
      </c>
      <c r="H2" s="193" t="s">
        <v>739</v>
      </c>
      <c r="I2" s="194" t="str">
        <f>_xlfn.XLOOKUP(tblDependencies[[#This Row],[DependentName]],tblTM[common_assetName],tblTM[common_moveBundle],"",0,1)</f>
        <v>AppGroupA190</v>
      </c>
      <c r="J2" s="193" t="s">
        <v>598</v>
      </c>
      <c r="K2" s="193" t="s">
        <v>598</v>
      </c>
      <c r="L2" s="193" t="s">
        <v>598</v>
      </c>
      <c r="M2" s="193" t="s">
        <v>741</v>
      </c>
      <c r="N2" s="194" t="str">
        <f>CONCATENATE(TEXT(_xlfn.XLOOKUP(tblDependencies[[#This Row],[AssetName]],tblDepApp[Applications],tblDepApp[Servers],"",0),"000"),"-",tblDependencies[[#This Row],[AssetName]])</f>
        <v>028-Kafka-Test</v>
      </c>
      <c r="O2" s="194" t="str">
        <f>TEXT(_xlfn.XLOOKUP(tblDependencies[[#This Row],[DependentName]],tblTM[common_assetName],tblTM[device_os],"r3m0v3m3",0,1),"")</f>
        <v>Red Hat Enterprise Linux</v>
      </c>
      <c r="P2" s="194">
        <f>1</f>
        <v>1</v>
      </c>
      <c r="Q2" s="194" t="str">
        <f>_xlfn.XLOOKUP(tblDependencies[[#This Row],[DependentName]],tblTM[common_assetName],tblTM[common_environment],"",0,1)</f>
        <v>Test</v>
      </c>
      <c r="R2" s="194" t="str">
        <f>TEXT(_xlfn.XLOOKUP(tblDependencies[[#This Row],[DependentName]],tblTM[common_assetName],tblTM[device_assetType],"-",0),"")</f>
        <v>Server</v>
      </c>
      <c r="S2" s="194" t="str">
        <f>LEFT(TEXT(_xlfn.XLOOKUP(tblDependencies[[#This Row],[DependentName]],tblTM[common_assetName],tblTM[device_custom20],"-",0),""),3)</f>
        <v/>
      </c>
      <c r="T2" s="194" t="str">
        <f>IF(LOWER(LEFT(_xlfn.XLOOKUP(tblDependencies[[#This Row],[DependentName]],tblTM[common_assetName],tblTM[device_custom45],"",0,1),1))="y","Yes","No")</f>
        <v>No</v>
      </c>
      <c r="U2" s="194" t="str">
        <f>_xlfn.XLOOKUP(tblDependencies[[#This Row],[DependentName]],tblTM[common_assetName],tblTM[device_ipAddress],"",0,1)</f>
        <v>10.152.28.98</v>
      </c>
      <c r="V2" s="193"/>
      <c r="W2" s="193"/>
      <c r="X2" s="194" t="str">
        <f>_xlfn.XLOOKUP(tblDependencies[[#This Row],[DependentName]],tblTM[common_assetName],tblTM[LB],"",0,1)</f>
        <v/>
      </c>
      <c r="Y2" s="194"/>
      <c r="Z2" s="194"/>
    </row>
    <row r="3" spans="1:26" x14ac:dyDescent="0.35">
      <c r="A3" s="193">
        <v>672039</v>
      </c>
      <c r="B3" s="193">
        <v>321048</v>
      </c>
      <c r="C3" s="193" t="s">
        <v>729</v>
      </c>
      <c r="D3" s="193" t="s">
        <v>43</v>
      </c>
      <c r="E3" s="194" t="str">
        <f>_xlfn.XLOOKUP(tblDependencies[[#This Row],[AssetName]],tblApplications[common_assetName],tblApplications[common_moveBundle],"",0,1)</f>
        <v>AppGroupA190</v>
      </c>
      <c r="F3" s="193">
        <v>335764</v>
      </c>
      <c r="G3" s="193" t="s">
        <v>702</v>
      </c>
      <c r="H3" s="193" t="s">
        <v>739</v>
      </c>
      <c r="I3" s="194" t="str">
        <f>_xlfn.XLOOKUP(tblDependencies[[#This Row],[DependentName]],tblTM[common_assetName],tblTM[common_moveBundle],"",0,1)</f>
        <v>AppGroupA190</v>
      </c>
      <c r="J3" s="193" t="s">
        <v>598</v>
      </c>
      <c r="K3" s="193" t="s">
        <v>598</v>
      </c>
      <c r="L3" s="193" t="s">
        <v>598</v>
      </c>
      <c r="M3" s="193" t="s">
        <v>741</v>
      </c>
      <c r="N3" s="194" t="str">
        <f>CONCATENATE(TEXT(_xlfn.XLOOKUP(tblDependencies[[#This Row],[AssetName]],tblDepApp[Applications],tblDepApp[Servers],"",0),"000"),"-",tblDependencies[[#This Row],[AssetName]])</f>
        <v>028-Kafka-Test</v>
      </c>
      <c r="O3" s="194" t="str">
        <f>TEXT(_xlfn.XLOOKUP(tblDependencies[[#This Row],[DependentName]],tblTM[common_assetName],tblTM[device_os],"r3m0v3m3",0,1),"")</f>
        <v>Red Hat Enterprise Linux</v>
      </c>
      <c r="P3" s="194">
        <f>1</f>
        <v>1</v>
      </c>
      <c r="Q3" s="194" t="str">
        <f>_xlfn.XLOOKUP(tblDependencies[[#This Row],[DependentName]],tblTM[common_assetName],tblTM[common_environment],"",0,1)</f>
        <v>Test</v>
      </c>
      <c r="R3" s="194" t="str">
        <f>TEXT(_xlfn.XLOOKUP(tblDependencies[[#This Row],[DependentName]],tblTM[common_assetName],tblTM[device_assetType],"-",0),"")</f>
        <v>Server</v>
      </c>
      <c r="S3" s="194" t="str">
        <f>LEFT(TEXT(_xlfn.XLOOKUP(tblDependencies[[#This Row],[DependentName]],tblTM[common_assetName],tblTM[device_custom20],"-",0),""),3)</f>
        <v/>
      </c>
      <c r="T3" s="194" t="str">
        <f>IF(LOWER(LEFT(_xlfn.XLOOKUP(tblDependencies[[#This Row],[DependentName]],tblTM[common_assetName],tblTM[device_custom45],"",0,1),1))="y","Yes","No")</f>
        <v>No</v>
      </c>
      <c r="U3" s="194" t="str">
        <f>_xlfn.XLOOKUP(tblDependencies[[#This Row],[DependentName]],tblTM[common_assetName],tblTM[device_ipAddress],"",0,1)</f>
        <v>10.152.28.99</v>
      </c>
      <c r="V3" s="193"/>
      <c r="W3" s="193"/>
      <c r="X3" s="194" t="str">
        <f>_xlfn.XLOOKUP(tblDependencies[[#This Row],[DependentName]],tblTM[common_assetName],tblTM[LB],"",0,1)</f>
        <v/>
      </c>
      <c r="Y3" s="194"/>
      <c r="Z3" s="194"/>
    </row>
    <row r="4" spans="1:26" x14ac:dyDescent="0.35">
      <c r="A4" s="193">
        <v>672038</v>
      </c>
      <c r="B4" s="193">
        <v>321048</v>
      </c>
      <c r="C4" s="193" t="s">
        <v>729</v>
      </c>
      <c r="D4" s="193" t="s">
        <v>43</v>
      </c>
      <c r="E4" s="194" t="str">
        <f>_xlfn.XLOOKUP(tblDependencies[[#This Row],[AssetName]],tblApplications[common_assetName],tblApplications[common_moveBundle],"",0,1)</f>
        <v>AppGroupA190</v>
      </c>
      <c r="F4" s="193">
        <v>335765</v>
      </c>
      <c r="G4" s="193" t="s">
        <v>698</v>
      </c>
      <c r="H4" s="193" t="s">
        <v>739</v>
      </c>
      <c r="I4" s="194" t="str">
        <f>_xlfn.XLOOKUP(tblDependencies[[#This Row],[DependentName]],tblTM[common_assetName],tblTM[common_moveBundle],"",0,1)</f>
        <v>AppGroupA190</v>
      </c>
      <c r="J4" s="193" t="s">
        <v>598</v>
      </c>
      <c r="K4" s="193" t="s">
        <v>598</v>
      </c>
      <c r="L4" s="193" t="s">
        <v>598</v>
      </c>
      <c r="M4" s="193" t="s">
        <v>741</v>
      </c>
      <c r="N4" s="194" t="str">
        <f>CONCATENATE(TEXT(_xlfn.XLOOKUP(tblDependencies[[#This Row],[AssetName]],tblDepApp[Applications],tblDepApp[Servers],"",0),"000"),"-",tblDependencies[[#This Row],[AssetName]])</f>
        <v>028-Kafka-Test</v>
      </c>
      <c r="O4" s="194" t="str">
        <f>TEXT(_xlfn.XLOOKUP(tblDependencies[[#This Row],[DependentName]],tblTM[common_assetName],tblTM[device_os],"r3m0v3m3",0,1),"")</f>
        <v>Red Hat Enterprise Linux</v>
      </c>
      <c r="P4" s="194">
        <f>1</f>
        <v>1</v>
      </c>
      <c r="Q4" s="194" t="str">
        <f>_xlfn.XLOOKUP(tblDependencies[[#This Row],[DependentName]],tblTM[common_assetName],tblTM[common_environment],"",0,1)</f>
        <v>Test</v>
      </c>
      <c r="R4" s="194" t="str">
        <f>TEXT(_xlfn.XLOOKUP(tblDependencies[[#This Row],[DependentName]],tblTM[common_assetName],tblTM[device_assetType],"-",0),"")</f>
        <v>Server</v>
      </c>
      <c r="S4" s="194" t="str">
        <f>LEFT(TEXT(_xlfn.XLOOKUP(tblDependencies[[#This Row],[DependentName]],tblTM[common_assetName],tblTM[device_custom20],"-",0),""),3)</f>
        <v/>
      </c>
      <c r="T4" s="194" t="str">
        <f>IF(LOWER(LEFT(_xlfn.XLOOKUP(tblDependencies[[#This Row],[DependentName]],tblTM[common_assetName],tblTM[device_custom45],"",0,1),1))="y","Yes","No")</f>
        <v>No</v>
      </c>
      <c r="U4" s="194" t="str">
        <f>_xlfn.XLOOKUP(tblDependencies[[#This Row],[DependentName]],tblTM[common_assetName],tblTM[device_ipAddress],"",0,1)</f>
        <v>10.152.28.100</v>
      </c>
      <c r="V4" s="193"/>
      <c r="W4" s="193"/>
      <c r="X4" s="194" t="str">
        <f>_xlfn.XLOOKUP(tblDependencies[[#This Row],[DependentName]],tblTM[common_assetName],tblTM[LB],"",0,1)</f>
        <v/>
      </c>
      <c r="Y4" s="194"/>
      <c r="Z4" s="194"/>
    </row>
    <row r="5" spans="1:26" x14ac:dyDescent="0.35">
      <c r="A5" s="193">
        <v>672037</v>
      </c>
      <c r="B5" s="193">
        <v>321048</v>
      </c>
      <c r="C5" s="193" t="s">
        <v>729</v>
      </c>
      <c r="D5" s="193" t="s">
        <v>43</v>
      </c>
      <c r="E5" s="194" t="str">
        <f>_xlfn.XLOOKUP(tblDependencies[[#This Row],[AssetName]],tblApplications[common_assetName],tblApplications[common_moveBundle],"",0,1)</f>
        <v>AppGroupA190</v>
      </c>
      <c r="F5" s="193">
        <v>335766</v>
      </c>
      <c r="G5" s="193" t="s">
        <v>694</v>
      </c>
      <c r="H5" s="193" t="s">
        <v>739</v>
      </c>
      <c r="I5" s="194" t="str">
        <f>_xlfn.XLOOKUP(tblDependencies[[#This Row],[DependentName]],tblTM[common_assetName],tblTM[common_moveBundle],"",0,1)</f>
        <v>AppGroupA190</v>
      </c>
      <c r="J5" s="193" t="s">
        <v>598</v>
      </c>
      <c r="K5" s="193" t="s">
        <v>598</v>
      </c>
      <c r="L5" s="193" t="s">
        <v>598</v>
      </c>
      <c r="M5" s="193" t="s">
        <v>741</v>
      </c>
      <c r="N5" s="194" t="str">
        <f>CONCATENATE(TEXT(_xlfn.XLOOKUP(tblDependencies[[#This Row],[AssetName]],tblDepApp[Applications],tblDepApp[Servers],"",0),"000"),"-",tblDependencies[[#This Row],[AssetName]])</f>
        <v>028-Kafka-Test</v>
      </c>
      <c r="O5" s="194" t="str">
        <f>TEXT(_xlfn.XLOOKUP(tblDependencies[[#This Row],[DependentName]],tblTM[common_assetName],tblTM[device_os],"r3m0v3m3",0,1),"")</f>
        <v>Red Hat Enterprise Linux</v>
      </c>
      <c r="P5" s="194">
        <f>1</f>
        <v>1</v>
      </c>
      <c r="Q5" s="194" t="str">
        <f>_xlfn.XLOOKUP(tblDependencies[[#This Row],[DependentName]],tblTM[common_assetName],tblTM[common_environment],"",0,1)</f>
        <v>Test</v>
      </c>
      <c r="R5" s="194" t="str">
        <f>TEXT(_xlfn.XLOOKUP(tblDependencies[[#This Row],[DependentName]],tblTM[common_assetName],tblTM[device_assetType],"-",0),"")</f>
        <v>Server</v>
      </c>
      <c r="S5" s="194" t="str">
        <f>LEFT(TEXT(_xlfn.XLOOKUP(tblDependencies[[#This Row],[DependentName]],tblTM[common_assetName],tblTM[device_custom20],"-",0),""),3)</f>
        <v/>
      </c>
      <c r="T5" s="194" t="str">
        <f>IF(LOWER(LEFT(_xlfn.XLOOKUP(tblDependencies[[#This Row],[DependentName]],tblTM[common_assetName],tblTM[device_custom45],"",0,1),1))="y","Yes","No")</f>
        <v>No</v>
      </c>
      <c r="U5" s="194" t="str">
        <f>_xlfn.XLOOKUP(tblDependencies[[#This Row],[DependentName]],tblTM[common_assetName],tblTM[device_ipAddress],"",0,1)</f>
        <v>10.152.28.102</v>
      </c>
      <c r="V5" s="193"/>
      <c r="W5" s="193"/>
      <c r="X5" s="194" t="str">
        <f>_xlfn.XLOOKUP(tblDependencies[[#This Row],[DependentName]],tblTM[common_assetName],tblTM[LB],"",0,1)</f>
        <v/>
      </c>
      <c r="Y5" s="194"/>
      <c r="Z5" s="194"/>
    </row>
    <row r="6" spans="1:26" x14ac:dyDescent="0.35">
      <c r="A6" s="193">
        <v>672036</v>
      </c>
      <c r="B6" s="193">
        <v>321048</v>
      </c>
      <c r="C6" s="193" t="s">
        <v>729</v>
      </c>
      <c r="D6" s="193" t="s">
        <v>43</v>
      </c>
      <c r="E6" s="194" t="str">
        <f>_xlfn.XLOOKUP(tblDependencies[[#This Row],[AssetName]],tblApplications[common_assetName],tblApplications[common_moveBundle],"",0,1)</f>
        <v>AppGroupA190</v>
      </c>
      <c r="F6" s="193">
        <v>335767</v>
      </c>
      <c r="G6" s="193" t="s">
        <v>690</v>
      </c>
      <c r="H6" s="193" t="s">
        <v>739</v>
      </c>
      <c r="I6" s="194" t="str">
        <f>_xlfn.XLOOKUP(tblDependencies[[#This Row],[DependentName]],tblTM[common_assetName],tblTM[common_moveBundle],"",0,1)</f>
        <v>AppGroupA190</v>
      </c>
      <c r="J6" s="193" t="s">
        <v>598</v>
      </c>
      <c r="K6" s="193" t="s">
        <v>598</v>
      </c>
      <c r="L6" s="193" t="s">
        <v>598</v>
      </c>
      <c r="M6" s="193" t="s">
        <v>741</v>
      </c>
      <c r="N6" s="194" t="str">
        <f>CONCATENATE(TEXT(_xlfn.XLOOKUP(tblDependencies[[#This Row],[AssetName]],tblDepApp[Applications],tblDepApp[Servers],"",0),"000"),"-",tblDependencies[[#This Row],[AssetName]])</f>
        <v>028-Kafka-Test</v>
      </c>
      <c r="O6" s="194" t="str">
        <f>TEXT(_xlfn.XLOOKUP(tblDependencies[[#This Row],[DependentName]],tblTM[common_assetName],tblTM[device_os],"r3m0v3m3",0,1),"")</f>
        <v>Red Hat Enterprise Linux</v>
      </c>
      <c r="P6" s="194">
        <f>1</f>
        <v>1</v>
      </c>
      <c r="Q6" s="194" t="str">
        <f>_xlfn.XLOOKUP(tblDependencies[[#This Row],[DependentName]],tblTM[common_assetName],tblTM[common_environment],"",0,1)</f>
        <v>Test</v>
      </c>
      <c r="R6" s="194" t="str">
        <f>TEXT(_xlfn.XLOOKUP(tblDependencies[[#This Row],[DependentName]],tblTM[common_assetName],tblTM[device_assetType],"-",0),"")</f>
        <v>Server</v>
      </c>
      <c r="S6" s="194" t="str">
        <f>LEFT(TEXT(_xlfn.XLOOKUP(tblDependencies[[#This Row],[DependentName]],tblTM[common_assetName],tblTM[device_custom20],"-",0),""),3)</f>
        <v/>
      </c>
      <c r="T6" s="194" t="str">
        <f>IF(LOWER(LEFT(_xlfn.XLOOKUP(tblDependencies[[#This Row],[DependentName]],tblTM[common_assetName],tblTM[device_custom45],"",0,1),1))="y","Yes","No")</f>
        <v>No</v>
      </c>
      <c r="U6" s="194" t="str">
        <f>_xlfn.XLOOKUP(tblDependencies[[#This Row],[DependentName]],tblTM[common_assetName],tblTM[device_ipAddress],"",0,1)</f>
        <v>10.152.28.103</v>
      </c>
      <c r="V6" s="193"/>
      <c r="W6" s="193"/>
      <c r="X6" s="194" t="str">
        <f>_xlfn.XLOOKUP(tblDependencies[[#This Row],[DependentName]],tblTM[common_assetName],tblTM[LB],"",0,1)</f>
        <v/>
      </c>
      <c r="Y6" s="194"/>
      <c r="Z6" s="194"/>
    </row>
    <row r="7" spans="1:26" x14ac:dyDescent="0.35">
      <c r="A7" s="193">
        <v>672035</v>
      </c>
      <c r="B7" s="193">
        <v>321048</v>
      </c>
      <c r="C7" s="193" t="s">
        <v>729</v>
      </c>
      <c r="D7" s="193" t="s">
        <v>43</v>
      </c>
      <c r="E7" s="194" t="str">
        <f>_xlfn.XLOOKUP(tblDependencies[[#This Row],[AssetName]],tblApplications[common_assetName],tblApplications[common_moveBundle],"",0,1)</f>
        <v>AppGroupA190</v>
      </c>
      <c r="F7" s="193">
        <v>335768</v>
      </c>
      <c r="G7" s="193" t="s">
        <v>686</v>
      </c>
      <c r="H7" s="193" t="s">
        <v>739</v>
      </c>
      <c r="I7" s="194" t="str">
        <f>_xlfn.XLOOKUP(tblDependencies[[#This Row],[DependentName]],tblTM[common_assetName],tblTM[common_moveBundle],"",0,1)</f>
        <v>AppGroupA190</v>
      </c>
      <c r="J7" s="193" t="s">
        <v>598</v>
      </c>
      <c r="K7" s="193" t="s">
        <v>598</v>
      </c>
      <c r="L7" s="193" t="s">
        <v>598</v>
      </c>
      <c r="M7" s="193" t="s">
        <v>741</v>
      </c>
      <c r="N7" s="194" t="str">
        <f>CONCATENATE(TEXT(_xlfn.XLOOKUP(tblDependencies[[#This Row],[AssetName]],tblDepApp[Applications],tblDepApp[Servers],"",0),"000"),"-",tblDependencies[[#This Row],[AssetName]])</f>
        <v>028-Kafka-Test</v>
      </c>
      <c r="O7" s="194" t="str">
        <f>TEXT(_xlfn.XLOOKUP(tblDependencies[[#This Row],[DependentName]],tblTM[common_assetName],tblTM[device_os],"r3m0v3m3",0,1),"")</f>
        <v>Red Hat Enterprise Linux</v>
      </c>
      <c r="P7" s="194">
        <f>1</f>
        <v>1</v>
      </c>
      <c r="Q7" s="194" t="str">
        <f>_xlfn.XLOOKUP(tblDependencies[[#This Row],[DependentName]],tblTM[common_assetName],tblTM[common_environment],"",0,1)</f>
        <v>Test</v>
      </c>
      <c r="R7" s="194" t="str">
        <f>TEXT(_xlfn.XLOOKUP(tblDependencies[[#This Row],[DependentName]],tblTM[common_assetName],tblTM[device_assetType],"-",0),"")</f>
        <v>Server</v>
      </c>
      <c r="S7" s="194" t="str">
        <f>LEFT(TEXT(_xlfn.XLOOKUP(tblDependencies[[#This Row],[DependentName]],tblTM[common_assetName],tblTM[device_custom20],"-",0),""),3)</f>
        <v/>
      </c>
      <c r="T7" s="194" t="str">
        <f>IF(LOWER(LEFT(_xlfn.XLOOKUP(tblDependencies[[#This Row],[DependentName]],tblTM[common_assetName],tblTM[device_custom45],"",0,1),1))="y","Yes","No")</f>
        <v>No</v>
      </c>
      <c r="U7" s="194" t="str">
        <f>_xlfn.XLOOKUP(tblDependencies[[#This Row],[DependentName]],tblTM[common_assetName],tblTM[device_ipAddress],"",0,1)</f>
        <v>10.152.28.104</v>
      </c>
      <c r="V7" s="193"/>
      <c r="W7" s="193"/>
      <c r="X7" s="194" t="str">
        <f>_xlfn.XLOOKUP(tblDependencies[[#This Row],[DependentName]],tblTM[common_assetName],tblTM[LB],"",0,1)</f>
        <v/>
      </c>
      <c r="Y7" s="194"/>
      <c r="Z7" s="194"/>
    </row>
    <row r="8" spans="1:26" x14ac:dyDescent="0.35">
      <c r="A8" s="193">
        <v>672034</v>
      </c>
      <c r="B8" s="193">
        <v>321048</v>
      </c>
      <c r="C8" s="193" t="s">
        <v>729</v>
      </c>
      <c r="D8" s="193" t="s">
        <v>43</v>
      </c>
      <c r="E8" s="194" t="str">
        <f>_xlfn.XLOOKUP(tblDependencies[[#This Row],[AssetName]],tblApplications[common_assetName],tblApplications[common_moveBundle],"",0,1)</f>
        <v>AppGroupA190</v>
      </c>
      <c r="F8" s="193">
        <v>335769</v>
      </c>
      <c r="G8" s="193" t="s">
        <v>682</v>
      </c>
      <c r="H8" s="193" t="s">
        <v>739</v>
      </c>
      <c r="I8" s="194" t="str">
        <f>_xlfn.XLOOKUP(tblDependencies[[#This Row],[DependentName]],tblTM[common_assetName],tblTM[common_moveBundle],"",0,1)</f>
        <v>AppGroupA190</v>
      </c>
      <c r="J8" s="193" t="s">
        <v>598</v>
      </c>
      <c r="K8" s="193" t="s">
        <v>598</v>
      </c>
      <c r="L8" s="193" t="s">
        <v>598</v>
      </c>
      <c r="M8" s="193" t="s">
        <v>741</v>
      </c>
      <c r="N8" s="194" t="str">
        <f>CONCATENATE(TEXT(_xlfn.XLOOKUP(tblDependencies[[#This Row],[AssetName]],tblDepApp[Applications],tblDepApp[Servers],"",0),"000"),"-",tblDependencies[[#This Row],[AssetName]])</f>
        <v>028-Kafka-Test</v>
      </c>
      <c r="O8" s="194" t="str">
        <f>TEXT(_xlfn.XLOOKUP(tblDependencies[[#This Row],[DependentName]],tblTM[common_assetName],tblTM[device_os],"r3m0v3m3",0,1),"")</f>
        <v>Red Hat Enterprise Linux</v>
      </c>
      <c r="P8" s="194">
        <f>1</f>
        <v>1</v>
      </c>
      <c r="Q8" s="194" t="str">
        <f>_xlfn.XLOOKUP(tblDependencies[[#This Row],[DependentName]],tblTM[common_assetName],tblTM[common_environment],"",0,1)</f>
        <v>Test</v>
      </c>
      <c r="R8" s="194" t="str">
        <f>TEXT(_xlfn.XLOOKUP(tblDependencies[[#This Row],[DependentName]],tblTM[common_assetName],tblTM[device_assetType],"-",0),"")</f>
        <v>Server</v>
      </c>
      <c r="S8" s="194" t="str">
        <f>LEFT(TEXT(_xlfn.XLOOKUP(tblDependencies[[#This Row],[DependentName]],tblTM[common_assetName],tblTM[device_custom20],"-",0),""),3)</f>
        <v/>
      </c>
      <c r="T8" s="194" t="str">
        <f>IF(LOWER(LEFT(_xlfn.XLOOKUP(tblDependencies[[#This Row],[DependentName]],tblTM[common_assetName],tblTM[device_custom45],"",0,1),1))="y","Yes","No")</f>
        <v>No</v>
      </c>
      <c r="U8" s="194" t="str">
        <f>_xlfn.XLOOKUP(tblDependencies[[#This Row],[DependentName]],tblTM[common_assetName],tblTM[device_ipAddress],"",0,1)</f>
        <v>10.152.28.105</v>
      </c>
      <c r="V8" s="193"/>
      <c r="W8" s="193"/>
      <c r="X8" s="194" t="str">
        <f>_xlfn.XLOOKUP(tblDependencies[[#This Row],[DependentName]],tblTM[common_assetName],tblTM[LB],"",0,1)</f>
        <v/>
      </c>
      <c r="Y8" s="194"/>
      <c r="Z8" s="194"/>
    </row>
    <row r="9" spans="1:26" x14ac:dyDescent="0.35">
      <c r="A9" s="193">
        <v>672033</v>
      </c>
      <c r="B9" s="193">
        <v>321048</v>
      </c>
      <c r="C9" s="193" t="s">
        <v>729</v>
      </c>
      <c r="D9" s="193" t="s">
        <v>43</v>
      </c>
      <c r="E9" s="194" t="str">
        <f>_xlfn.XLOOKUP(tblDependencies[[#This Row],[AssetName]],tblApplications[common_assetName],tblApplications[common_moveBundle],"",0,1)</f>
        <v>AppGroupA190</v>
      </c>
      <c r="F9" s="193">
        <v>335770</v>
      </c>
      <c r="G9" s="193" t="s">
        <v>678</v>
      </c>
      <c r="H9" s="193" t="s">
        <v>739</v>
      </c>
      <c r="I9" s="194" t="str">
        <f>_xlfn.XLOOKUP(tblDependencies[[#This Row],[DependentName]],tblTM[common_assetName],tblTM[common_moveBundle],"",0,1)</f>
        <v>AppGroupA190</v>
      </c>
      <c r="J9" s="193" t="s">
        <v>598</v>
      </c>
      <c r="K9" s="193" t="s">
        <v>598</v>
      </c>
      <c r="L9" s="193" t="s">
        <v>598</v>
      </c>
      <c r="M9" s="193" t="s">
        <v>741</v>
      </c>
      <c r="N9" s="194" t="str">
        <f>CONCATENATE(TEXT(_xlfn.XLOOKUP(tblDependencies[[#This Row],[AssetName]],tblDepApp[Applications],tblDepApp[Servers],"",0),"000"),"-",tblDependencies[[#This Row],[AssetName]])</f>
        <v>028-Kafka-Test</v>
      </c>
      <c r="O9" s="194" t="str">
        <f>TEXT(_xlfn.XLOOKUP(tblDependencies[[#This Row],[DependentName]],tblTM[common_assetName],tblTM[device_os],"r3m0v3m3",0,1),"")</f>
        <v>Red Hat Enterprise Linux</v>
      </c>
      <c r="P9" s="194">
        <f>1</f>
        <v>1</v>
      </c>
      <c r="Q9" s="194" t="str">
        <f>_xlfn.XLOOKUP(tblDependencies[[#This Row],[DependentName]],tblTM[common_assetName],tblTM[common_environment],"",0,1)</f>
        <v>Test</v>
      </c>
      <c r="R9" s="194" t="str">
        <f>TEXT(_xlfn.XLOOKUP(tblDependencies[[#This Row],[DependentName]],tblTM[common_assetName],tblTM[device_assetType],"-",0),"")</f>
        <v>Server</v>
      </c>
      <c r="S9" s="194" t="str">
        <f>LEFT(TEXT(_xlfn.XLOOKUP(tblDependencies[[#This Row],[DependentName]],tblTM[common_assetName],tblTM[device_custom20],"-",0),""),3)</f>
        <v/>
      </c>
      <c r="T9" s="194" t="str">
        <f>IF(LOWER(LEFT(_xlfn.XLOOKUP(tblDependencies[[#This Row],[DependentName]],tblTM[common_assetName],tblTM[device_custom45],"",0,1),1))="y","Yes","No")</f>
        <v>No</v>
      </c>
      <c r="U9" s="194" t="str">
        <f>_xlfn.XLOOKUP(tblDependencies[[#This Row],[DependentName]],tblTM[common_assetName],tblTM[device_ipAddress],"",0,1)</f>
        <v>10.152.28.106</v>
      </c>
      <c r="V9" s="193"/>
      <c r="W9" s="193"/>
      <c r="X9" s="194" t="str">
        <f>_xlfn.XLOOKUP(tblDependencies[[#This Row],[DependentName]],tblTM[common_assetName],tblTM[LB],"",0,1)</f>
        <v/>
      </c>
      <c r="Y9" s="194"/>
      <c r="Z9" s="194"/>
    </row>
    <row r="10" spans="1:26" x14ac:dyDescent="0.35">
      <c r="A10" s="193">
        <v>672032</v>
      </c>
      <c r="B10" s="193">
        <v>321048</v>
      </c>
      <c r="C10" s="193" t="s">
        <v>729</v>
      </c>
      <c r="D10" s="193" t="s">
        <v>43</v>
      </c>
      <c r="E10" s="194" t="str">
        <f>_xlfn.XLOOKUP(tblDependencies[[#This Row],[AssetName]],tblApplications[common_assetName],tblApplications[common_moveBundle],"",0,1)</f>
        <v>AppGroupA190</v>
      </c>
      <c r="F10" s="193">
        <v>335771</v>
      </c>
      <c r="G10" s="193" t="s">
        <v>674</v>
      </c>
      <c r="H10" s="193" t="s">
        <v>739</v>
      </c>
      <c r="I10" s="194" t="str">
        <f>_xlfn.XLOOKUP(tblDependencies[[#This Row],[DependentName]],tblTM[common_assetName],tblTM[common_moveBundle],"",0,1)</f>
        <v>AppGroupA190</v>
      </c>
      <c r="J10" s="193" t="s">
        <v>598</v>
      </c>
      <c r="K10" s="193" t="s">
        <v>598</v>
      </c>
      <c r="L10" s="193" t="s">
        <v>598</v>
      </c>
      <c r="M10" s="193" t="s">
        <v>741</v>
      </c>
      <c r="N10" s="194" t="str">
        <f>CONCATENATE(TEXT(_xlfn.XLOOKUP(tblDependencies[[#This Row],[AssetName]],tblDepApp[Applications],tblDepApp[Servers],"",0),"000"),"-",tblDependencies[[#This Row],[AssetName]])</f>
        <v>028-Kafka-Test</v>
      </c>
      <c r="O10" s="194" t="str">
        <f>TEXT(_xlfn.XLOOKUP(tblDependencies[[#This Row],[DependentName]],tblTM[common_assetName],tblTM[device_os],"r3m0v3m3",0,1),"")</f>
        <v>Red Hat Enterprise Linux</v>
      </c>
      <c r="P10" s="194">
        <f>1</f>
        <v>1</v>
      </c>
      <c r="Q10" s="194" t="str">
        <f>_xlfn.XLOOKUP(tblDependencies[[#This Row],[DependentName]],tblTM[common_assetName],tblTM[common_environment],"",0,1)</f>
        <v>Test</v>
      </c>
      <c r="R10" s="194" t="str">
        <f>TEXT(_xlfn.XLOOKUP(tblDependencies[[#This Row],[DependentName]],tblTM[common_assetName],tblTM[device_assetType],"-",0),"")</f>
        <v>Server</v>
      </c>
      <c r="S10" s="194" t="str">
        <f>LEFT(TEXT(_xlfn.XLOOKUP(tblDependencies[[#This Row],[DependentName]],tblTM[common_assetName],tblTM[device_custom20],"-",0),""),3)</f>
        <v/>
      </c>
      <c r="T10" s="194" t="str">
        <f>IF(LOWER(LEFT(_xlfn.XLOOKUP(tblDependencies[[#This Row],[DependentName]],tblTM[common_assetName],tblTM[device_custom45],"",0,1),1))="y","Yes","No")</f>
        <v>No</v>
      </c>
      <c r="U10" s="194" t="str">
        <f>_xlfn.XLOOKUP(tblDependencies[[#This Row],[DependentName]],tblTM[common_assetName],tblTM[device_ipAddress],"",0,1)</f>
        <v>10.152.28.107</v>
      </c>
      <c r="V10" s="193"/>
      <c r="W10" s="193"/>
      <c r="X10" s="194" t="str">
        <f>_xlfn.XLOOKUP(tblDependencies[[#This Row],[DependentName]],tblTM[common_assetName],tblTM[LB],"",0,1)</f>
        <v/>
      </c>
      <c r="Y10" s="194"/>
      <c r="Z10" s="194"/>
    </row>
    <row r="11" spans="1:26" x14ac:dyDescent="0.35">
      <c r="A11" s="193">
        <v>672031</v>
      </c>
      <c r="B11" s="193">
        <v>321048</v>
      </c>
      <c r="C11" s="193" t="s">
        <v>729</v>
      </c>
      <c r="D11" s="193" t="s">
        <v>43</v>
      </c>
      <c r="E11" s="194" t="str">
        <f>_xlfn.XLOOKUP(tblDependencies[[#This Row],[AssetName]],tblApplications[common_assetName],tblApplications[common_moveBundle],"",0,1)</f>
        <v>AppGroupA190</v>
      </c>
      <c r="F11" s="193">
        <v>335772</v>
      </c>
      <c r="G11" s="193" t="s">
        <v>670</v>
      </c>
      <c r="H11" s="193" t="s">
        <v>739</v>
      </c>
      <c r="I11" s="194" t="str">
        <f>_xlfn.XLOOKUP(tblDependencies[[#This Row],[DependentName]],tblTM[common_assetName],tblTM[common_moveBundle],"",0,1)</f>
        <v>AppGroupA190</v>
      </c>
      <c r="J11" s="193" t="s">
        <v>598</v>
      </c>
      <c r="K11" s="193" t="s">
        <v>598</v>
      </c>
      <c r="L11" s="193" t="s">
        <v>598</v>
      </c>
      <c r="M11" s="193" t="s">
        <v>741</v>
      </c>
      <c r="N11" s="194" t="str">
        <f>CONCATENATE(TEXT(_xlfn.XLOOKUP(tblDependencies[[#This Row],[AssetName]],tblDepApp[Applications],tblDepApp[Servers],"",0),"000"),"-",tblDependencies[[#This Row],[AssetName]])</f>
        <v>028-Kafka-Test</v>
      </c>
      <c r="O11" s="194" t="str">
        <f>TEXT(_xlfn.XLOOKUP(tblDependencies[[#This Row],[DependentName]],tblTM[common_assetName],tblTM[device_os],"r3m0v3m3",0,1),"")</f>
        <v>Red Hat Enterprise Linux</v>
      </c>
      <c r="P11" s="194">
        <f>1</f>
        <v>1</v>
      </c>
      <c r="Q11" s="194" t="str">
        <f>_xlfn.XLOOKUP(tblDependencies[[#This Row],[DependentName]],tblTM[common_assetName],tblTM[common_environment],"",0,1)</f>
        <v>Test</v>
      </c>
      <c r="R11" s="194" t="str">
        <f>TEXT(_xlfn.XLOOKUP(tblDependencies[[#This Row],[DependentName]],tblTM[common_assetName],tblTM[device_assetType],"-",0),"")</f>
        <v>Server</v>
      </c>
      <c r="S11" s="194" t="str">
        <f>LEFT(TEXT(_xlfn.XLOOKUP(tblDependencies[[#This Row],[DependentName]],tblTM[common_assetName],tblTM[device_custom20],"-",0),""),3)</f>
        <v/>
      </c>
      <c r="T11" s="194" t="str">
        <f>IF(LOWER(LEFT(_xlfn.XLOOKUP(tblDependencies[[#This Row],[DependentName]],tblTM[common_assetName],tblTM[device_custom45],"",0,1),1))="y","Yes","No")</f>
        <v>No</v>
      </c>
      <c r="U11" s="194" t="str">
        <f>_xlfn.XLOOKUP(tblDependencies[[#This Row],[DependentName]],tblTM[common_assetName],tblTM[device_ipAddress],"",0,1)</f>
        <v>10.152.28.108</v>
      </c>
      <c r="V11" s="193"/>
      <c r="W11" s="193"/>
      <c r="X11" s="194" t="str">
        <f>_xlfn.XLOOKUP(tblDependencies[[#This Row],[DependentName]],tblTM[common_assetName],tblTM[LB],"",0,1)</f>
        <v/>
      </c>
      <c r="Y11" s="194"/>
      <c r="Z11" s="194"/>
    </row>
    <row r="12" spans="1:26" x14ac:dyDescent="0.35">
      <c r="A12" s="193">
        <v>672030</v>
      </c>
      <c r="B12" s="193">
        <v>321048</v>
      </c>
      <c r="C12" s="193" t="s">
        <v>729</v>
      </c>
      <c r="D12" s="193" t="s">
        <v>43</v>
      </c>
      <c r="E12" s="194" t="str">
        <f>_xlfn.XLOOKUP(tblDependencies[[#This Row],[AssetName]],tblApplications[common_assetName],tblApplications[common_moveBundle],"",0,1)</f>
        <v>AppGroupA190</v>
      </c>
      <c r="F12" s="193">
        <v>335773</v>
      </c>
      <c r="G12" s="193" t="s">
        <v>666</v>
      </c>
      <c r="H12" s="193" t="s">
        <v>739</v>
      </c>
      <c r="I12" s="194" t="str">
        <f>_xlfn.XLOOKUP(tblDependencies[[#This Row],[DependentName]],tblTM[common_assetName],tblTM[common_moveBundle],"",0,1)</f>
        <v>AppGroupA190</v>
      </c>
      <c r="J12" s="193" t="s">
        <v>598</v>
      </c>
      <c r="K12" s="193" t="s">
        <v>598</v>
      </c>
      <c r="L12" s="193" t="s">
        <v>598</v>
      </c>
      <c r="M12" s="193" t="s">
        <v>741</v>
      </c>
      <c r="N12" s="194" t="str">
        <f>CONCATENATE(TEXT(_xlfn.XLOOKUP(tblDependencies[[#This Row],[AssetName]],tblDepApp[Applications],tblDepApp[Servers],"",0),"000"),"-",tblDependencies[[#This Row],[AssetName]])</f>
        <v>028-Kafka-Test</v>
      </c>
      <c r="O12" s="194" t="str">
        <f>TEXT(_xlfn.XLOOKUP(tblDependencies[[#This Row],[DependentName]],tblTM[common_assetName],tblTM[device_os],"r3m0v3m3",0,1),"")</f>
        <v>Red Hat Enterprise Linux</v>
      </c>
      <c r="P12" s="194">
        <f>1</f>
        <v>1</v>
      </c>
      <c r="Q12" s="194" t="str">
        <f>_xlfn.XLOOKUP(tblDependencies[[#This Row],[DependentName]],tblTM[common_assetName],tblTM[common_environment],"",0,1)</f>
        <v>Test</v>
      </c>
      <c r="R12" s="194" t="str">
        <f>TEXT(_xlfn.XLOOKUP(tblDependencies[[#This Row],[DependentName]],tblTM[common_assetName],tblTM[device_assetType],"-",0),"")</f>
        <v>Server</v>
      </c>
      <c r="S12" s="194" t="str">
        <f>LEFT(TEXT(_xlfn.XLOOKUP(tblDependencies[[#This Row],[DependentName]],tblTM[common_assetName],tblTM[device_custom20],"-",0),""),3)</f>
        <v/>
      </c>
      <c r="T12" s="194" t="str">
        <f>IF(LOWER(LEFT(_xlfn.XLOOKUP(tblDependencies[[#This Row],[DependentName]],tblTM[common_assetName],tblTM[device_custom45],"",0,1),1))="y","Yes","No")</f>
        <v>No</v>
      </c>
      <c r="U12" s="194" t="str">
        <f>_xlfn.XLOOKUP(tblDependencies[[#This Row],[DependentName]],tblTM[common_assetName],tblTM[device_ipAddress],"",0,1)</f>
        <v>10.152.28.18</v>
      </c>
      <c r="V12" s="193"/>
      <c r="W12" s="193"/>
      <c r="X12" s="194" t="str">
        <f>_xlfn.XLOOKUP(tblDependencies[[#This Row],[DependentName]],tblTM[common_assetName],tblTM[LB],"",0,1)</f>
        <v/>
      </c>
      <c r="Y12" s="194"/>
      <c r="Z12" s="194"/>
    </row>
    <row r="13" spans="1:26" x14ac:dyDescent="0.35">
      <c r="A13" s="193">
        <v>672029</v>
      </c>
      <c r="B13" s="193">
        <v>321048</v>
      </c>
      <c r="C13" s="193" t="s">
        <v>729</v>
      </c>
      <c r="D13" s="193" t="s">
        <v>43</v>
      </c>
      <c r="E13" s="194" t="str">
        <f>_xlfn.XLOOKUP(tblDependencies[[#This Row],[AssetName]],tblApplications[common_assetName],tblApplications[common_moveBundle],"",0,1)</f>
        <v>AppGroupA190</v>
      </c>
      <c r="F13" s="193">
        <v>335774</v>
      </c>
      <c r="G13" s="193" t="s">
        <v>662</v>
      </c>
      <c r="H13" s="193" t="s">
        <v>739</v>
      </c>
      <c r="I13" s="194" t="str">
        <f>_xlfn.XLOOKUP(tblDependencies[[#This Row],[DependentName]],tblTM[common_assetName],tblTM[common_moveBundle],"",0,1)</f>
        <v>AppGroupA190</v>
      </c>
      <c r="J13" s="193" t="s">
        <v>598</v>
      </c>
      <c r="K13" s="193" t="s">
        <v>598</v>
      </c>
      <c r="L13" s="193" t="s">
        <v>598</v>
      </c>
      <c r="M13" s="193" t="s">
        <v>741</v>
      </c>
      <c r="N13" s="194" t="str">
        <f>CONCATENATE(TEXT(_xlfn.XLOOKUP(tblDependencies[[#This Row],[AssetName]],tblDepApp[Applications],tblDepApp[Servers],"",0),"000"),"-",tblDependencies[[#This Row],[AssetName]])</f>
        <v>028-Kafka-Test</v>
      </c>
      <c r="O13" s="194" t="str">
        <f>TEXT(_xlfn.XLOOKUP(tblDependencies[[#This Row],[DependentName]],tblTM[common_assetName],tblTM[device_os],"r3m0v3m3",0,1),"")</f>
        <v>Red Hat Enterprise Linux</v>
      </c>
      <c r="P13" s="194">
        <f>1</f>
        <v>1</v>
      </c>
      <c r="Q13" s="194" t="str">
        <f>_xlfn.XLOOKUP(tblDependencies[[#This Row],[DependentName]],tblTM[common_assetName],tblTM[common_environment],"",0,1)</f>
        <v>Test</v>
      </c>
      <c r="R13" s="194" t="str">
        <f>TEXT(_xlfn.XLOOKUP(tblDependencies[[#This Row],[DependentName]],tblTM[common_assetName],tblTM[device_assetType],"-",0),"")</f>
        <v>Server</v>
      </c>
      <c r="S13" s="194" t="str">
        <f>LEFT(TEXT(_xlfn.XLOOKUP(tblDependencies[[#This Row],[DependentName]],tblTM[common_assetName],tblTM[device_custom20],"-",0),""),3)</f>
        <v/>
      </c>
      <c r="T13" s="194" t="str">
        <f>IF(LOWER(LEFT(_xlfn.XLOOKUP(tblDependencies[[#This Row],[DependentName]],tblTM[common_assetName],tblTM[device_custom45],"",0,1),1))="y","Yes","No")</f>
        <v>No</v>
      </c>
      <c r="U13" s="194" t="str">
        <f>_xlfn.XLOOKUP(tblDependencies[[#This Row],[DependentName]],tblTM[common_assetName],tblTM[device_ipAddress],"",0,1)</f>
        <v>10.152.28.20</v>
      </c>
      <c r="V13" s="193"/>
      <c r="W13" s="193"/>
      <c r="X13" s="194" t="str">
        <f>_xlfn.XLOOKUP(tblDependencies[[#This Row],[DependentName]],tblTM[common_assetName],tblTM[LB],"",0,1)</f>
        <v/>
      </c>
      <c r="Y13" s="194"/>
      <c r="Z13" s="194"/>
    </row>
    <row r="14" spans="1:26" x14ac:dyDescent="0.35">
      <c r="A14" s="193">
        <v>672028</v>
      </c>
      <c r="B14" s="193">
        <v>321048</v>
      </c>
      <c r="C14" s="193" t="s">
        <v>729</v>
      </c>
      <c r="D14" s="193" t="s">
        <v>43</v>
      </c>
      <c r="E14" s="194" t="str">
        <f>_xlfn.XLOOKUP(tblDependencies[[#This Row],[AssetName]],tblApplications[common_assetName],tblApplications[common_moveBundle],"",0,1)</f>
        <v>AppGroupA190</v>
      </c>
      <c r="F14" s="193">
        <v>335775</v>
      </c>
      <c r="G14" s="193" t="s">
        <v>658</v>
      </c>
      <c r="H14" s="193" t="s">
        <v>739</v>
      </c>
      <c r="I14" s="194" t="str">
        <f>_xlfn.XLOOKUP(tblDependencies[[#This Row],[DependentName]],tblTM[common_assetName],tblTM[common_moveBundle],"",0,1)</f>
        <v>AppGroupA190</v>
      </c>
      <c r="J14" s="193" t="s">
        <v>598</v>
      </c>
      <c r="K14" s="193" t="s">
        <v>598</v>
      </c>
      <c r="L14" s="193" t="s">
        <v>598</v>
      </c>
      <c r="M14" s="193" t="s">
        <v>741</v>
      </c>
      <c r="N14" s="194" t="str">
        <f>CONCATENATE(TEXT(_xlfn.XLOOKUP(tblDependencies[[#This Row],[AssetName]],tblDepApp[Applications],tblDepApp[Servers],"",0),"000"),"-",tblDependencies[[#This Row],[AssetName]])</f>
        <v>028-Kafka-Test</v>
      </c>
      <c r="O14" s="194" t="str">
        <f>TEXT(_xlfn.XLOOKUP(tblDependencies[[#This Row],[DependentName]],tblTM[common_assetName],tblTM[device_os],"r3m0v3m3",0,1),"")</f>
        <v>Red Hat Enterprise Linux</v>
      </c>
      <c r="P14" s="194">
        <f>1</f>
        <v>1</v>
      </c>
      <c r="Q14" s="194" t="str">
        <f>_xlfn.XLOOKUP(tblDependencies[[#This Row],[DependentName]],tblTM[common_assetName],tblTM[common_environment],"",0,1)</f>
        <v>Test</v>
      </c>
      <c r="R14" s="194" t="str">
        <f>TEXT(_xlfn.XLOOKUP(tblDependencies[[#This Row],[DependentName]],tblTM[common_assetName],tblTM[device_assetType],"-",0),"")</f>
        <v>Server</v>
      </c>
      <c r="S14" s="194" t="str">
        <f>LEFT(TEXT(_xlfn.XLOOKUP(tblDependencies[[#This Row],[DependentName]],tblTM[common_assetName],tblTM[device_custom20],"-",0),""),3)</f>
        <v/>
      </c>
      <c r="T14" s="194" t="str">
        <f>IF(LOWER(LEFT(_xlfn.XLOOKUP(tblDependencies[[#This Row],[DependentName]],tblTM[common_assetName],tblTM[device_custom45],"",0,1),1))="y","Yes","No")</f>
        <v>No</v>
      </c>
      <c r="U14" s="194" t="str">
        <f>_xlfn.XLOOKUP(tblDependencies[[#This Row],[DependentName]],tblTM[common_assetName],tblTM[device_ipAddress],"",0,1)</f>
        <v>10.152.28.22</v>
      </c>
      <c r="V14" s="193"/>
      <c r="W14" s="193"/>
      <c r="X14" s="194" t="str">
        <f>_xlfn.XLOOKUP(tblDependencies[[#This Row],[DependentName]],tblTM[common_assetName],tblTM[LB],"",0,1)</f>
        <v/>
      </c>
      <c r="Y14" s="194"/>
      <c r="Z14" s="194"/>
    </row>
    <row r="15" spans="1:26" x14ac:dyDescent="0.35">
      <c r="A15" s="193">
        <v>672027</v>
      </c>
      <c r="B15" s="193">
        <v>321048</v>
      </c>
      <c r="C15" s="193" t="s">
        <v>729</v>
      </c>
      <c r="D15" s="193" t="s">
        <v>43</v>
      </c>
      <c r="E15" s="194" t="str">
        <f>_xlfn.XLOOKUP(tblDependencies[[#This Row],[AssetName]],tblApplications[common_assetName],tblApplications[common_moveBundle],"",0,1)</f>
        <v>AppGroupA190</v>
      </c>
      <c r="F15" s="193">
        <v>335776</v>
      </c>
      <c r="G15" s="193" t="s">
        <v>654</v>
      </c>
      <c r="H15" s="193" t="s">
        <v>739</v>
      </c>
      <c r="I15" s="194" t="str">
        <f>_xlfn.XLOOKUP(tblDependencies[[#This Row],[DependentName]],tblTM[common_assetName],tblTM[common_moveBundle],"",0,1)</f>
        <v>AppGroupA190</v>
      </c>
      <c r="J15" s="193" t="s">
        <v>598</v>
      </c>
      <c r="K15" s="193" t="s">
        <v>598</v>
      </c>
      <c r="L15" s="193" t="s">
        <v>598</v>
      </c>
      <c r="M15" s="193" t="s">
        <v>741</v>
      </c>
      <c r="N15" s="194" t="str">
        <f>CONCATENATE(TEXT(_xlfn.XLOOKUP(tblDependencies[[#This Row],[AssetName]],tblDepApp[Applications],tblDepApp[Servers],"",0),"000"),"-",tblDependencies[[#This Row],[AssetName]])</f>
        <v>028-Kafka-Test</v>
      </c>
      <c r="O15" s="194" t="str">
        <f>TEXT(_xlfn.XLOOKUP(tblDependencies[[#This Row],[DependentName]],tblTM[common_assetName],tblTM[device_os],"r3m0v3m3",0,1),"")</f>
        <v>Red Hat Enterprise Linux</v>
      </c>
      <c r="P15" s="194">
        <f>1</f>
        <v>1</v>
      </c>
      <c r="Q15" s="194" t="str">
        <f>_xlfn.XLOOKUP(tblDependencies[[#This Row],[DependentName]],tblTM[common_assetName],tblTM[common_environment],"",0,1)</f>
        <v>Test</v>
      </c>
      <c r="R15" s="194" t="str">
        <f>TEXT(_xlfn.XLOOKUP(tblDependencies[[#This Row],[DependentName]],tblTM[common_assetName],tblTM[device_assetType],"-",0),"")</f>
        <v>Server</v>
      </c>
      <c r="S15" s="194" t="str">
        <f>LEFT(TEXT(_xlfn.XLOOKUP(tblDependencies[[#This Row],[DependentName]],tblTM[common_assetName],tblTM[device_custom20],"-",0),""),3)</f>
        <v/>
      </c>
      <c r="T15" s="194" t="str">
        <f>IF(LOWER(LEFT(_xlfn.XLOOKUP(tblDependencies[[#This Row],[DependentName]],tblTM[common_assetName],tblTM[device_custom45],"",0,1),1))="y","Yes","No")</f>
        <v>No</v>
      </c>
      <c r="U15" s="194" t="str">
        <f>_xlfn.XLOOKUP(tblDependencies[[#This Row],[DependentName]],tblTM[common_assetName],tblTM[device_ipAddress],"",0,1)</f>
        <v>10.152.28.115</v>
      </c>
      <c r="V15" s="193"/>
      <c r="W15" s="193"/>
      <c r="X15" s="194" t="str">
        <f>_xlfn.XLOOKUP(tblDependencies[[#This Row],[DependentName]],tblTM[common_assetName],tblTM[LB],"",0,1)</f>
        <v/>
      </c>
      <c r="Y15" s="194"/>
      <c r="Z15" s="194"/>
    </row>
    <row r="16" spans="1:26" x14ac:dyDescent="0.35">
      <c r="A16" s="193">
        <v>672026</v>
      </c>
      <c r="B16" s="193">
        <v>321048</v>
      </c>
      <c r="C16" s="193" t="s">
        <v>729</v>
      </c>
      <c r="D16" s="193" t="s">
        <v>43</v>
      </c>
      <c r="E16" s="194" t="str">
        <f>_xlfn.XLOOKUP(tblDependencies[[#This Row],[AssetName]],tblApplications[common_assetName],tblApplications[common_moveBundle],"",0,1)</f>
        <v>AppGroupA190</v>
      </c>
      <c r="F16" s="193">
        <v>335777</v>
      </c>
      <c r="G16" s="193" t="s">
        <v>650</v>
      </c>
      <c r="H16" s="193" t="s">
        <v>739</v>
      </c>
      <c r="I16" s="194" t="str">
        <f>_xlfn.XLOOKUP(tblDependencies[[#This Row],[DependentName]],tblTM[common_assetName],tblTM[common_moveBundle],"",0,1)</f>
        <v>AppGroupA190</v>
      </c>
      <c r="J16" s="193" t="s">
        <v>598</v>
      </c>
      <c r="K16" s="193" t="s">
        <v>598</v>
      </c>
      <c r="L16" s="193" t="s">
        <v>598</v>
      </c>
      <c r="M16" s="193" t="s">
        <v>741</v>
      </c>
      <c r="N16" s="194" t="str">
        <f>CONCATENATE(TEXT(_xlfn.XLOOKUP(tblDependencies[[#This Row],[AssetName]],tblDepApp[Applications],tblDepApp[Servers],"",0),"000"),"-",tblDependencies[[#This Row],[AssetName]])</f>
        <v>028-Kafka-Test</v>
      </c>
      <c r="O16" s="194" t="str">
        <f>TEXT(_xlfn.XLOOKUP(tblDependencies[[#This Row],[DependentName]],tblTM[common_assetName],tblTM[device_os],"r3m0v3m3",0,1),"")</f>
        <v>Red Hat Enterprise Linux</v>
      </c>
      <c r="P16" s="194">
        <f>1</f>
        <v>1</v>
      </c>
      <c r="Q16" s="194" t="str">
        <f>_xlfn.XLOOKUP(tblDependencies[[#This Row],[DependentName]],tblTM[common_assetName],tblTM[common_environment],"",0,1)</f>
        <v>Test</v>
      </c>
      <c r="R16" s="194" t="str">
        <f>TEXT(_xlfn.XLOOKUP(tblDependencies[[#This Row],[DependentName]],tblTM[common_assetName],tblTM[device_assetType],"-",0),"")</f>
        <v>Server</v>
      </c>
      <c r="S16" s="194" t="str">
        <f>LEFT(TEXT(_xlfn.XLOOKUP(tblDependencies[[#This Row],[DependentName]],tblTM[common_assetName],tblTM[device_custom20],"-",0),""),3)</f>
        <v/>
      </c>
      <c r="T16" s="194" t="str">
        <f>IF(LOWER(LEFT(_xlfn.XLOOKUP(tblDependencies[[#This Row],[DependentName]],tblTM[common_assetName],tblTM[device_custom45],"",0,1),1))="y","Yes","No")</f>
        <v>No</v>
      </c>
      <c r="U16" s="194" t="str">
        <f>_xlfn.XLOOKUP(tblDependencies[[#This Row],[DependentName]],tblTM[common_assetName],tblTM[device_ipAddress],"",0,1)</f>
        <v>10.152.28.116</v>
      </c>
      <c r="V16" s="193"/>
      <c r="W16" s="193"/>
      <c r="X16" s="194" t="str">
        <f>_xlfn.XLOOKUP(tblDependencies[[#This Row],[DependentName]],tblTM[common_assetName],tblTM[LB],"",0,1)</f>
        <v/>
      </c>
      <c r="Y16" s="194"/>
      <c r="Z16" s="194"/>
    </row>
    <row r="17" spans="1:26" x14ac:dyDescent="0.35">
      <c r="A17" s="193">
        <v>672025</v>
      </c>
      <c r="B17" s="193">
        <v>321048</v>
      </c>
      <c r="C17" s="193" t="s">
        <v>729</v>
      </c>
      <c r="D17" s="193" t="s">
        <v>43</v>
      </c>
      <c r="E17" s="194" t="str">
        <f>_xlfn.XLOOKUP(tblDependencies[[#This Row],[AssetName]],tblApplications[common_assetName],tblApplications[common_moveBundle],"",0,1)</f>
        <v>AppGroupA190</v>
      </c>
      <c r="F17" s="193">
        <v>335778</v>
      </c>
      <c r="G17" s="193" t="s">
        <v>646</v>
      </c>
      <c r="H17" s="193" t="s">
        <v>739</v>
      </c>
      <c r="I17" s="194" t="str">
        <f>_xlfn.XLOOKUP(tblDependencies[[#This Row],[DependentName]],tblTM[common_assetName],tblTM[common_moveBundle],"",0,1)</f>
        <v>AppGroupA190</v>
      </c>
      <c r="J17" s="193" t="s">
        <v>598</v>
      </c>
      <c r="K17" s="193" t="s">
        <v>598</v>
      </c>
      <c r="L17" s="193" t="s">
        <v>598</v>
      </c>
      <c r="M17" s="193" t="s">
        <v>741</v>
      </c>
      <c r="N17" s="194" t="str">
        <f>CONCATENATE(TEXT(_xlfn.XLOOKUP(tblDependencies[[#This Row],[AssetName]],tblDepApp[Applications],tblDepApp[Servers],"",0),"000"),"-",tblDependencies[[#This Row],[AssetName]])</f>
        <v>028-Kafka-Test</v>
      </c>
      <c r="O17" s="194" t="str">
        <f>TEXT(_xlfn.XLOOKUP(tblDependencies[[#This Row],[DependentName]],tblTM[common_assetName],tblTM[device_os],"r3m0v3m3",0,1),"")</f>
        <v>Red Hat Enterprise Linux</v>
      </c>
      <c r="P17" s="194">
        <f>1</f>
        <v>1</v>
      </c>
      <c r="Q17" s="194" t="str">
        <f>_xlfn.XLOOKUP(tblDependencies[[#This Row],[DependentName]],tblTM[common_assetName],tblTM[common_environment],"",0,1)</f>
        <v>Test</v>
      </c>
      <c r="R17" s="194" t="str">
        <f>TEXT(_xlfn.XLOOKUP(tblDependencies[[#This Row],[DependentName]],tblTM[common_assetName],tblTM[device_assetType],"-",0),"")</f>
        <v>Server</v>
      </c>
      <c r="S17" s="194" t="str">
        <f>LEFT(TEXT(_xlfn.XLOOKUP(tblDependencies[[#This Row],[DependentName]],tblTM[common_assetName],tblTM[device_custom20],"-",0),""),3)</f>
        <v/>
      </c>
      <c r="T17" s="194" t="str">
        <f>IF(LOWER(LEFT(_xlfn.XLOOKUP(tblDependencies[[#This Row],[DependentName]],tblTM[common_assetName],tblTM[device_custom45],"",0,1),1))="y","Yes","No")</f>
        <v>No</v>
      </c>
      <c r="U17" s="194" t="str">
        <f>_xlfn.XLOOKUP(tblDependencies[[#This Row],[DependentName]],tblTM[common_assetName],tblTM[device_ipAddress],"",0,1)</f>
        <v>10.152.28.117</v>
      </c>
      <c r="V17" s="193"/>
      <c r="W17" s="193"/>
      <c r="X17" s="194" t="str">
        <f>_xlfn.XLOOKUP(tblDependencies[[#This Row],[DependentName]],tblTM[common_assetName],tblTM[LB],"",0,1)</f>
        <v/>
      </c>
      <c r="Y17" s="194"/>
      <c r="Z17" s="194"/>
    </row>
    <row r="18" spans="1:26" x14ac:dyDescent="0.35">
      <c r="A18" s="193">
        <v>672024</v>
      </c>
      <c r="B18" s="193">
        <v>321048</v>
      </c>
      <c r="C18" s="193" t="s">
        <v>729</v>
      </c>
      <c r="D18" s="193" t="s">
        <v>43</v>
      </c>
      <c r="E18" s="194" t="str">
        <f>_xlfn.XLOOKUP(tblDependencies[[#This Row],[AssetName]],tblApplications[common_assetName],tblApplications[common_moveBundle],"",0,1)</f>
        <v>AppGroupA190</v>
      </c>
      <c r="F18" s="193">
        <v>335779</v>
      </c>
      <c r="G18" s="193" t="s">
        <v>642</v>
      </c>
      <c r="H18" s="193" t="s">
        <v>739</v>
      </c>
      <c r="I18" s="194" t="str">
        <f>_xlfn.XLOOKUP(tblDependencies[[#This Row],[DependentName]],tblTM[common_assetName],tblTM[common_moveBundle],"",0,1)</f>
        <v>AppGroupA190</v>
      </c>
      <c r="J18" s="193" t="s">
        <v>598</v>
      </c>
      <c r="K18" s="193" t="s">
        <v>598</v>
      </c>
      <c r="L18" s="193" t="s">
        <v>598</v>
      </c>
      <c r="M18" s="193" t="s">
        <v>741</v>
      </c>
      <c r="N18" s="194" t="str">
        <f>CONCATENATE(TEXT(_xlfn.XLOOKUP(tblDependencies[[#This Row],[AssetName]],tblDepApp[Applications],tblDepApp[Servers],"",0),"000"),"-",tblDependencies[[#This Row],[AssetName]])</f>
        <v>028-Kafka-Test</v>
      </c>
      <c r="O18" s="194" t="str">
        <f>TEXT(_xlfn.XLOOKUP(tblDependencies[[#This Row],[DependentName]],tblTM[common_assetName],tblTM[device_os],"r3m0v3m3",0,1),"")</f>
        <v>Red Hat Enterprise Linux</v>
      </c>
      <c r="P18" s="194">
        <f>1</f>
        <v>1</v>
      </c>
      <c r="Q18" s="194" t="str">
        <f>_xlfn.XLOOKUP(tblDependencies[[#This Row],[DependentName]],tblTM[common_assetName],tblTM[common_environment],"",0,1)</f>
        <v>Test</v>
      </c>
      <c r="R18" s="194" t="str">
        <f>TEXT(_xlfn.XLOOKUP(tblDependencies[[#This Row],[DependentName]],tblTM[common_assetName],tblTM[device_assetType],"-",0),"")</f>
        <v>Server</v>
      </c>
      <c r="S18" s="194" t="str">
        <f>LEFT(TEXT(_xlfn.XLOOKUP(tblDependencies[[#This Row],[DependentName]],tblTM[common_assetName],tblTM[device_custom20],"-",0),""),3)</f>
        <v/>
      </c>
      <c r="T18" s="194" t="str">
        <f>IF(LOWER(LEFT(_xlfn.XLOOKUP(tblDependencies[[#This Row],[DependentName]],tblTM[common_assetName],tblTM[device_custom45],"",0,1),1))="y","Yes","No")</f>
        <v>No</v>
      </c>
      <c r="U18" s="194" t="str">
        <f>_xlfn.XLOOKUP(tblDependencies[[#This Row],[DependentName]],tblTM[common_assetName],tblTM[device_ipAddress],"",0,1)</f>
        <v>10.152.28.118</v>
      </c>
      <c r="V18" s="193"/>
      <c r="W18" s="193"/>
      <c r="X18" s="194" t="str">
        <f>_xlfn.XLOOKUP(tblDependencies[[#This Row],[DependentName]],tblTM[common_assetName],tblTM[LB],"",0,1)</f>
        <v/>
      </c>
      <c r="Y18" s="194"/>
      <c r="Z18" s="194"/>
    </row>
    <row r="19" spans="1:26" x14ac:dyDescent="0.35">
      <c r="A19" s="193">
        <v>672023</v>
      </c>
      <c r="B19" s="193">
        <v>321048</v>
      </c>
      <c r="C19" s="193" t="s">
        <v>729</v>
      </c>
      <c r="D19" s="193" t="s">
        <v>43</v>
      </c>
      <c r="E19" s="194" t="str">
        <f>_xlfn.XLOOKUP(tblDependencies[[#This Row],[AssetName]],tblApplications[common_assetName],tblApplications[common_moveBundle],"",0,1)</f>
        <v>AppGroupA190</v>
      </c>
      <c r="F19" s="193">
        <v>335780</v>
      </c>
      <c r="G19" s="193" t="s">
        <v>638</v>
      </c>
      <c r="H19" s="193" t="s">
        <v>739</v>
      </c>
      <c r="I19" s="194" t="str">
        <f>_xlfn.XLOOKUP(tblDependencies[[#This Row],[DependentName]],tblTM[common_assetName],tblTM[common_moveBundle],"",0,1)</f>
        <v>AppGroupA190</v>
      </c>
      <c r="J19" s="193" t="s">
        <v>598</v>
      </c>
      <c r="K19" s="193" t="s">
        <v>598</v>
      </c>
      <c r="L19" s="193" t="s">
        <v>598</v>
      </c>
      <c r="M19" s="193" t="s">
        <v>741</v>
      </c>
      <c r="N19" s="194" t="str">
        <f>CONCATENATE(TEXT(_xlfn.XLOOKUP(tblDependencies[[#This Row],[AssetName]],tblDepApp[Applications],tblDepApp[Servers],"",0),"000"),"-",tblDependencies[[#This Row],[AssetName]])</f>
        <v>028-Kafka-Test</v>
      </c>
      <c r="O19" s="194" t="str">
        <f>TEXT(_xlfn.XLOOKUP(tblDependencies[[#This Row],[DependentName]],tblTM[common_assetName],tblTM[device_os],"r3m0v3m3",0,1),"")</f>
        <v>Red Hat Enterprise Linux</v>
      </c>
      <c r="P19" s="194">
        <f>1</f>
        <v>1</v>
      </c>
      <c r="Q19" s="194" t="str">
        <f>_xlfn.XLOOKUP(tblDependencies[[#This Row],[DependentName]],tblTM[common_assetName],tblTM[common_environment],"",0,1)</f>
        <v>Test</v>
      </c>
      <c r="R19" s="194" t="str">
        <f>TEXT(_xlfn.XLOOKUP(tblDependencies[[#This Row],[DependentName]],tblTM[common_assetName],tblTM[device_assetType],"-",0),"")</f>
        <v>Server</v>
      </c>
      <c r="S19" s="194" t="str">
        <f>LEFT(TEXT(_xlfn.XLOOKUP(tblDependencies[[#This Row],[DependentName]],tblTM[common_assetName],tblTM[device_custom20],"-",0),""),3)</f>
        <v/>
      </c>
      <c r="T19" s="194" t="str">
        <f>IF(LOWER(LEFT(_xlfn.XLOOKUP(tblDependencies[[#This Row],[DependentName]],tblTM[common_assetName],tblTM[device_custom45],"",0,1),1))="y","Yes","No")</f>
        <v>No</v>
      </c>
      <c r="U19" s="194" t="str">
        <f>_xlfn.XLOOKUP(tblDependencies[[#This Row],[DependentName]],tblTM[common_assetName],tblTM[device_ipAddress],"",0,1)</f>
        <v>10.152.28.119</v>
      </c>
      <c r="V19" s="193"/>
      <c r="W19" s="193"/>
      <c r="X19" s="194" t="str">
        <f>_xlfn.XLOOKUP(tblDependencies[[#This Row],[DependentName]],tblTM[common_assetName],tblTM[LB],"",0,1)</f>
        <v/>
      </c>
      <c r="Y19" s="194"/>
      <c r="Z19" s="194"/>
    </row>
    <row r="20" spans="1:26" x14ac:dyDescent="0.35">
      <c r="A20" s="193">
        <v>672022</v>
      </c>
      <c r="B20" s="193">
        <v>321048</v>
      </c>
      <c r="C20" s="193" t="s">
        <v>729</v>
      </c>
      <c r="D20" s="193" t="s">
        <v>43</v>
      </c>
      <c r="E20" s="194" t="str">
        <f>_xlfn.XLOOKUP(tblDependencies[[#This Row],[AssetName]],tblApplications[common_assetName],tblApplications[common_moveBundle],"",0,1)</f>
        <v>AppGroupA190</v>
      </c>
      <c r="F20" s="193">
        <v>335781</v>
      </c>
      <c r="G20" s="193" t="s">
        <v>634</v>
      </c>
      <c r="H20" s="193" t="s">
        <v>739</v>
      </c>
      <c r="I20" s="194" t="str">
        <f>_xlfn.XLOOKUP(tblDependencies[[#This Row],[DependentName]],tblTM[common_assetName],tblTM[common_moveBundle],"",0,1)</f>
        <v>AppGroupA190</v>
      </c>
      <c r="J20" s="193" t="s">
        <v>598</v>
      </c>
      <c r="K20" s="193" t="s">
        <v>598</v>
      </c>
      <c r="L20" s="193" t="s">
        <v>598</v>
      </c>
      <c r="M20" s="193" t="s">
        <v>741</v>
      </c>
      <c r="N20" s="194" t="str">
        <f>CONCATENATE(TEXT(_xlfn.XLOOKUP(tblDependencies[[#This Row],[AssetName]],tblDepApp[Applications],tblDepApp[Servers],"",0),"000"),"-",tblDependencies[[#This Row],[AssetName]])</f>
        <v>028-Kafka-Test</v>
      </c>
      <c r="O20" s="194" t="str">
        <f>TEXT(_xlfn.XLOOKUP(tblDependencies[[#This Row],[DependentName]],tblTM[common_assetName],tblTM[device_os],"r3m0v3m3",0,1),"")</f>
        <v>Red Hat Enterprise Linux</v>
      </c>
      <c r="P20" s="194">
        <f>1</f>
        <v>1</v>
      </c>
      <c r="Q20" s="194" t="str">
        <f>_xlfn.XLOOKUP(tblDependencies[[#This Row],[DependentName]],tblTM[common_assetName],tblTM[common_environment],"",0,1)</f>
        <v>Test</v>
      </c>
      <c r="R20" s="194" t="str">
        <f>TEXT(_xlfn.XLOOKUP(tblDependencies[[#This Row],[DependentName]],tblTM[common_assetName],tblTM[device_assetType],"-",0),"")</f>
        <v>Server</v>
      </c>
      <c r="S20" s="194" t="str">
        <f>LEFT(TEXT(_xlfn.XLOOKUP(tblDependencies[[#This Row],[DependentName]],tblTM[common_assetName],tblTM[device_custom20],"-",0),""),3)</f>
        <v/>
      </c>
      <c r="T20" s="194" t="str">
        <f>IF(LOWER(LEFT(_xlfn.XLOOKUP(tblDependencies[[#This Row],[DependentName]],tblTM[common_assetName],tblTM[device_custom45],"",0,1),1))="y","Yes","No")</f>
        <v>No</v>
      </c>
      <c r="U20" s="194" t="str">
        <f>_xlfn.XLOOKUP(tblDependencies[[#This Row],[DependentName]],tblTM[common_assetName],tblTM[device_ipAddress],"",0,1)</f>
        <v>10.152.28.120</v>
      </c>
      <c r="V20" s="193"/>
      <c r="W20" s="193"/>
      <c r="X20" s="194" t="str">
        <f>_xlfn.XLOOKUP(tblDependencies[[#This Row],[DependentName]],tblTM[common_assetName],tblTM[LB],"",0,1)</f>
        <v/>
      </c>
      <c r="Y20" s="194"/>
      <c r="Z20" s="194"/>
    </row>
    <row r="21" spans="1:26" x14ac:dyDescent="0.35">
      <c r="A21" s="193">
        <v>672018</v>
      </c>
      <c r="B21" s="193">
        <v>321048</v>
      </c>
      <c r="C21" s="193" t="s">
        <v>729</v>
      </c>
      <c r="D21" s="193" t="s">
        <v>43</v>
      </c>
      <c r="E21" s="194" t="str">
        <f>_xlfn.XLOOKUP(tblDependencies[[#This Row],[AssetName]],tblApplications[common_assetName],tblApplications[common_moveBundle],"",0,1)</f>
        <v>AppGroupA190</v>
      </c>
      <c r="F21" s="193">
        <v>335785</v>
      </c>
      <c r="G21" s="193" t="s">
        <v>630</v>
      </c>
      <c r="H21" s="193" t="s">
        <v>739</v>
      </c>
      <c r="I21" s="194" t="str">
        <f>_xlfn.XLOOKUP(tblDependencies[[#This Row],[DependentName]],tblTM[common_assetName],tblTM[common_moveBundle],"",0,1)</f>
        <v>AppGroupA190</v>
      </c>
      <c r="J21" s="193" t="s">
        <v>598</v>
      </c>
      <c r="K21" s="193" t="s">
        <v>598</v>
      </c>
      <c r="L21" s="193" t="s">
        <v>598</v>
      </c>
      <c r="M21" s="193" t="s">
        <v>741</v>
      </c>
      <c r="N21" s="194" t="str">
        <f>CONCATENATE(TEXT(_xlfn.XLOOKUP(tblDependencies[[#This Row],[AssetName]],tblDepApp[Applications],tblDepApp[Servers],"",0),"000"),"-",tblDependencies[[#This Row],[AssetName]])</f>
        <v>028-Kafka-Test</v>
      </c>
      <c r="O21" s="194" t="str">
        <f>TEXT(_xlfn.XLOOKUP(tblDependencies[[#This Row],[DependentName]],tblTM[common_assetName],tblTM[device_os],"r3m0v3m3",0,1),"")</f>
        <v>Red Hat Enterprise Linux</v>
      </c>
      <c r="P21" s="194">
        <f>1</f>
        <v>1</v>
      </c>
      <c r="Q21" s="194" t="str">
        <f>_xlfn.XLOOKUP(tblDependencies[[#This Row],[DependentName]],tblTM[common_assetName],tblTM[common_environment],"",0,1)</f>
        <v>Test</v>
      </c>
      <c r="R21" s="194" t="str">
        <f>TEXT(_xlfn.XLOOKUP(tblDependencies[[#This Row],[DependentName]],tblTM[common_assetName],tblTM[device_assetType],"-",0),"")</f>
        <v>Server</v>
      </c>
      <c r="S21" s="194" t="str">
        <f>LEFT(TEXT(_xlfn.XLOOKUP(tblDependencies[[#This Row],[DependentName]],tblTM[common_assetName],tblTM[device_custom20],"-",0),""),3)</f>
        <v/>
      </c>
      <c r="T21" s="194" t="str">
        <f>IF(LOWER(LEFT(_xlfn.XLOOKUP(tblDependencies[[#This Row],[DependentName]],tblTM[common_assetName],tblTM[device_custom45],"",0,1),1))="y","Yes","No")</f>
        <v>No</v>
      </c>
      <c r="U21" s="194" t="str">
        <f>_xlfn.XLOOKUP(tblDependencies[[#This Row],[DependentName]],tblTM[common_assetName],tblTM[device_ipAddress],"",0,1)</f>
        <v>10.152.28.124</v>
      </c>
      <c r="V21" s="193"/>
      <c r="W21" s="193"/>
      <c r="X21" s="194" t="str">
        <f>_xlfn.XLOOKUP(tblDependencies[[#This Row],[DependentName]],tblTM[common_assetName],tblTM[LB],"",0,1)</f>
        <v/>
      </c>
      <c r="Y21" s="194"/>
      <c r="Z21" s="194"/>
    </row>
    <row r="22" spans="1:26" x14ac:dyDescent="0.35">
      <c r="A22" s="193">
        <v>672017</v>
      </c>
      <c r="B22" s="193">
        <v>321048</v>
      </c>
      <c r="C22" s="193" t="s">
        <v>729</v>
      </c>
      <c r="D22" s="193" t="s">
        <v>43</v>
      </c>
      <c r="E22" s="194" t="str">
        <f>_xlfn.XLOOKUP(tblDependencies[[#This Row],[AssetName]],tblApplications[common_assetName],tblApplications[common_moveBundle],"",0,1)</f>
        <v>AppGroupA190</v>
      </c>
      <c r="F22" s="193">
        <v>335786</v>
      </c>
      <c r="G22" s="193" t="s">
        <v>626</v>
      </c>
      <c r="H22" s="193" t="s">
        <v>739</v>
      </c>
      <c r="I22" s="194" t="str">
        <f>_xlfn.XLOOKUP(tblDependencies[[#This Row],[DependentName]],tblTM[common_assetName],tblTM[common_moveBundle],"",0,1)</f>
        <v>AppGroupA190</v>
      </c>
      <c r="J22" s="193" t="s">
        <v>598</v>
      </c>
      <c r="K22" s="193" t="s">
        <v>598</v>
      </c>
      <c r="L22" s="193" t="s">
        <v>598</v>
      </c>
      <c r="M22" s="193" t="s">
        <v>741</v>
      </c>
      <c r="N22" s="194" t="str">
        <f>CONCATENATE(TEXT(_xlfn.XLOOKUP(tblDependencies[[#This Row],[AssetName]],tblDepApp[Applications],tblDepApp[Servers],"",0),"000"),"-",tblDependencies[[#This Row],[AssetName]])</f>
        <v>028-Kafka-Test</v>
      </c>
      <c r="O22" s="194" t="str">
        <f>TEXT(_xlfn.XLOOKUP(tblDependencies[[#This Row],[DependentName]],tblTM[common_assetName],tblTM[device_os],"r3m0v3m3",0,1),"")</f>
        <v>Red Hat Enterprise Linux</v>
      </c>
      <c r="P22" s="194">
        <f>1</f>
        <v>1</v>
      </c>
      <c r="Q22" s="194" t="str">
        <f>_xlfn.XLOOKUP(tblDependencies[[#This Row],[DependentName]],tblTM[common_assetName],tblTM[common_environment],"",0,1)</f>
        <v>Test</v>
      </c>
      <c r="R22" s="194" t="str">
        <f>TEXT(_xlfn.XLOOKUP(tblDependencies[[#This Row],[DependentName]],tblTM[common_assetName],tblTM[device_assetType],"-",0),"")</f>
        <v>Server</v>
      </c>
      <c r="S22" s="194" t="str">
        <f>LEFT(TEXT(_xlfn.XLOOKUP(tblDependencies[[#This Row],[DependentName]],tblTM[common_assetName],tblTM[device_custom20],"-",0),""),3)</f>
        <v/>
      </c>
      <c r="T22" s="194" t="str">
        <f>IF(LOWER(LEFT(_xlfn.XLOOKUP(tblDependencies[[#This Row],[DependentName]],tblTM[common_assetName],tblTM[device_custom45],"",0,1),1))="y","Yes","No")</f>
        <v>No</v>
      </c>
      <c r="U22" s="194" t="str">
        <f>_xlfn.XLOOKUP(tblDependencies[[#This Row],[DependentName]],tblTM[common_assetName],tblTM[device_ipAddress],"",0,1)</f>
        <v>10.152.28.126</v>
      </c>
      <c r="V22" s="193"/>
      <c r="W22" s="193"/>
      <c r="X22" s="194" t="str">
        <f>_xlfn.XLOOKUP(tblDependencies[[#This Row],[DependentName]],tblTM[common_assetName],tblTM[LB],"",0,1)</f>
        <v/>
      </c>
      <c r="Y22" s="194"/>
      <c r="Z22" s="194"/>
    </row>
    <row r="23" spans="1:26" x14ac:dyDescent="0.35">
      <c r="A23" s="193">
        <v>672014</v>
      </c>
      <c r="B23" s="193">
        <v>321048</v>
      </c>
      <c r="C23" s="193" t="s">
        <v>729</v>
      </c>
      <c r="D23" s="193" t="s">
        <v>43</v>
      </c>
      <c r="E23" s="194" t="str">
        <f>_xlfn.XLOOKUP(tblDependencies[[#This Row],[AssetName]],tblApplications[common_assetName],tblApplications[common_moveBundle],"",0,1)</f>
        <v>AppGroupA190</v>
      </c>
      <c r="F23" s="193">
        <v>335789</v>
      </c>
      <c r="G23" s="193" t="s">
        <v>622</v>
      </c>
      <c r="H23" s="193" t="s">
        <v>739</v>
      </c>
      <c r="I23" s="194" t="str">
        <f>_xlfn.XLOOKUP(tblDependencies[[#This Row],[DependentName]],tblTM[common_assetName],tblTM[common_moveBundle],"",0,1)</f>
        <v>AppGroupA190</v>
      </c>
      <c r="J23" s="193" t="s">
        <v>598</v>
      </c>
      <c r="K23" s="193" t="s">
        <v>598</v>
      </c>
      <c r="L23" s="193" t="s">
        <v>598</v>
      </c>
      <c r="M23" s="193" t="s">
        <v>741</v>
      </c>
      <c r="N23" s="194" t="str">
        <f>CONCATENATE(TEXT(_xlfn.XLOOKUP(tblDependencies[[#This Row],[AssetName]],tblDepApp[Applications],tblDepApp[Servers],"",0),"000"),"-",tblDependencies[[#This Row],[AssetName]])</f>
        <v>028-Kafka-Test</v>
      </c>
      <c r="O23" s="194" t="str">
        <f>TEXT(_xlfn.XLOOKUP(tblDependencies[[#This Row],[DependentName]],tblTM[common_assetName],tblTM[device_os],"r3m0v3m3",0,1),"")</f>
        <v>Red Hat Enterprise Linux</v>
      </c>
      <c r="P23" s="194">
        <f>1</f>
        <v>1</v>
      </c>
      <c r="Q23" s="194" t="str">
        <f>_xlfn.XLOOKUP(tblDependencies[[#This Row],[DependentName]],tblTM[common_assetName],tblTM[common_environment],"",0,1)</f>
        <v>Test</v>
      </c>
      <c r="R23" s="194" t="str">
        <f>TEXT(_xlfn.XLOOKUP(tblDependencies[[#This Row],[DependentName]],tblTM[common_assetName],tblTM[device_assetType],"-",0),"")</f>
        <v>Server</v>
      </c>
      <c r="S23" s="194" t="str">
        <f>LEFT(TEXT(_xlfn.XLOOKUP(tblDependencies[[#This Row],[DependentName]],tblTM[common_assetName],tblTM[device_custom20],"-",0),""),3)</f>
        <v/>
      </c>
      <c r="T23" s="194" t="str">
        <f>IF(LOWER(LEFT(_xlfn.XLOOKUP(tblDependencies[[#This Row],[DependentName]],tblTM[common_assetName],tblTM[device_custom45],"",0,1),1))="y","Yes","No")</f>
        <v>No</v>
      </c>
      <c r="U23" s="194" t="str">
        <f>_xlfn.XLOOKUP(tblDependencies[[#This Row],[DependentName]],tblTM[common_assetName],tblTM[device_ipAddress],"",0,1)</f>
        <v>10.152.28.129</v>
      </c>
      <c r="V23" s="193"/>
      <c r="W23" s="193"/>
      <c r="X23" s="194" t="str">
        <f>_xlfn.XLOOKUP(tblDependencies[[#This Row],[DependentName]],tblTM[common_assetName],tblTM[LB],"",0,1)</f>
        <v/>
      </c>
      <c r="Y23" s="194"/>
      <c r="Z23" s="194"/>
    </row>
    <row r="24" spans="1:26" x14ac:dyDescent="0.35">
      <c r="A24" s="193">
        <v>672013</v>
      </c>
      <c r="B24" s="193">
        <v>321048</v>
      </c>
      <c r="C24" s="193" t="s">
        <v>729</v>
      </c>
      <c r="D24" s="193" t="s">
        <v>43</v>
      </c>
      <c r="E24" s="194" t="str">
        <f>_xlfn.XLOOKUP(tblDependencies[[#This Row],[AssetName]],tblApplications[common_assetName],tblApplications[common_moveBundle],"",0,1)</f>
        <v>AppGroupA190</v>
      </c>
      <c r="F24" s="193">
        <v>335790</v>
      </c>
      <c r="G24" s="193" t="s">
        <v>618</v>
      </c>
      <c r="H24" s="193" t="s">
        <v>739</v>
      </c>
      <c r="I24" s="194" t="str">
        <f>_xlfn.XLOOKUP(tblDependencies[[#This Row],[DependentName]],tblTM[common_assetName],tblTM[common_moveBundle],"",0,1)</f>
        <v>AppGroupA190</v>
      </c>
      <c r="J24" s="193" t="s">
        <v>598</v>
      </c>
      <c r="K24" s="193" t="s">
        <v>598</v>
      </c>
      <c r="L24" s="193" t="s">
        <v>598</v>
      </c>
      <c r="M24" s="193" t="s">
        <v>741</v>
      </c>
      <c r="N24" s="194" t="str">
        <f>CONCATENATE(TEXT(_xlfn.XLOOKUP(tblDependencies[[#This Row],[AssetName]],tblDepApp[Applications],tblDepApp[Servers],"",0),"000"),"-",tblDependencies[[#This Row],[AssetName]])</f>
        <v>028-Kafka-Test</v>
      </c>
      <c r="O24" s="194" t="str">
        <f>TEXT(_xlfn.XLOOKUP(tblDependencies[[#This Row],[DependentName]],tblTM[common_assetName],tblTM[device_os],"r3m0v3m3",0,1),"")</f>
        <v>Red Hat Enterprise Linux</v>
      </c>
      <c r="P24" s="194">
        <f>1</f>
        <v>1</v>
      </c>
      <c r="Q24" s="194" t="str">
        <f>_xlfn.XLOOKUP(tblDependencies[[#This Row],[DependentName]],tblTM[common_assetName],tblTM[common_environment],"",0,1)</f>
        <v>Test</v>
      </c>
      <c r="R24" s="194" t="str">
        <f>TEXT(_xlfn.XLOOKUP(tblDependencies[[#This Row],[DependentName]],tblTM[common_assetName],tblTM[device_assetType],"-",0),"")</f>
        <v>Server</v>
      </c>
      <c r="S24" s="194" t="str">
        <f>LEFT(TEXT(_xlfn.XLOOKUP(tblDependencies[[#This Row],[DependentName]],tblTM[common_assetName],tblTM[device_custom20],"-",0),""),3)</f>
        <v/>
      </c>
      <c r="T24" s="194" t="str">
        <f>IF(LOWER(LEFT(_xlfn.XLOOKUP(tblDependencies[[#This Row],[DependentName]],tblTM[common_assetName],tblTM[device_custom45],"",0,1),1))="y","Yes","No")</f>
        <v>No</v>
      </c>
      <c r="U24" s="194" t="str">
        <f>_xlfn.XLOOKUP(tblDependencies[[#This Row],[DependentName]],tblTM[common_assetName],tblTM[device_ipAddress],"",0,1)</f>
        <v>10.152.28.130</v>
      </c>
      <c r="V24" s="193"/>
      <c r="W24" s="193"/>
      <c r="X24" s="194" t="str">
        <f>_xlfn.XLOOKUP(tblDependencies[[#This Row],[DependentName]],tblTM[common_assetName],tblTM[LB],"",0,1)</f>
        <v/>
      </c>
      <c r="Y24" s="194"/>
      <c r="Z24" s="194"/>
    </row>
    <row r="25" spans="1:26" x14ac:dyDescent="0.35">
      <c r="A25" s="193">
        <v>672005</v>
      </c>
      <c r="B25" s="193">
        <v>321048</v>
      </c>
      <c r="C25" s="193" t="s">
        <v>729</v>
      </c>
      <c r="D25" s="193" t="s">
        <v>43</v>
      </c>
      <c r="E25" s="194" t="str">
        <f>_xlfn.XLOOKUP(tblDependencies[[#This Row],[AssetName]],tblApplications[common_assetName],tblApplications[common_moveBundle],"",0,1)</f>
        <v>AppGroupA190</v>
      </c>
      <c r="F25" s="193">
        <v>335798</v>
      </c>
      <c r="G25" s="193" t="s">
        <v>614</v>
      </c>
      <c r="H25" s="193" t="s">
        <v>739</v>
      </c>
      <c r="I25" s="194" t="str">
        <f>_xlfn.XLOOKUP(tblDependencies[[#This Row],[DependentName]],tblTM[common_assetName],tblTM[common_moveBundle],"",0,1)</f>
        <v>AppGroupA190</v>
      </c>
      <c r="J25" s="193" t="s">
        <v>598</v>
      </c>
      <c r="K25" s="193" t="s">
        <v>598</v>
      </c>
      <c r="L25" s="193" t="s">
        <v>598</v>
      </c>
      <c r="M25" s="193" t="s">
        <v>741</v>
      </c>
      <c r="N25" s="194" t="str">
        <f>CONCATENATE(TEXT(_xlfn.XLOOKUP(tblDependencies[[#This Row],[AssetName]],tblDepApp[Applications],tblDepApp[Servers],"",0),"000"),"-",tblDependencies[[#This Row],[AssetName]])</f>
        <v>028-Kafka-Test</v>
      </c>
      <c r="O25" s="194" t="str">
        <f>TEXT(_xlfn.XLOOKUP(tblDependencies[[#This Row],[DependentName]],tblTM[common_assetName],tblTM[device_os],"r3m0v3m3",0,1),"")</f>
        <v>Red Hat Enterprise Linux</v>
      </c>
      <c r="P25" s="194">
        <f>1</f>
        <v>1</v>
      </c>
      <c r="Q25" s="194" t="str">
        <f>_xlfn.XLOOKUP(tblDependencies[[#This Row],[DependentName]],tblTM[common_assetName],tblTM[common_environment],"",0,1)</f>
        <v>Test</v>
      </c>
      <c r="R25" s="194" t="str">
        <f>TEXT(_xlfn.XLOOKUP(tblDependencies[[#This Row],[DependentName]],tblTM[common_assetName],tblTM[device_assetType],"-",0),"")</f>
        <v>Server</v>
      </c>
      <c r="S25" s="194" t="str">
        <f>LEFT(TEXT(_xlfn.XLOOKUP(tblDependencies[[#This Row],[DependentName]],tblTM[common_assetName],tblTM[device_custom20],"-",0),""),3)</f>
        <v/>
      </c>
      <c r="T25" s="194" t="str">
        <f>IF(LOWER(LEFT(_xlfn.XLOOKUP(tblDependencies[[#This Row],[DependentName]],tblTM[common_assetName],tblTM[device_custom45],"",0,1),1))="y","Yes","No")</f>
        <v>No</v>
      </c>
      <c r="U25" s="194" t="str">
        <f>_xlfn.XLOOKUP(tblDependencies[[#This Row],[DependentName]],tblTM[common_assetName],tblTM[device_ipAddress],"",0,1)</f>
        <v>10.152.28.138</v>
      </c>
      <c r="V25" s="193"/>
      <c r="W25" s="193"/>
      <c r="X25" s="194" t="str">
        <f>_xlfn.XLOOKUP(tblDependencies[[#This Row],[DependentName]],tblTM[common_assetName],tblTM[LB],"",0,1)</f>
        <v/>
      </c>
      <c r="Y25" s="194"/>
      <c r="Z25" s="194"/>
    </row>
    <row r="26" spans="1:26" x14ac:dyDescent="0.35">
      <c r="A26" s="193">
        <v>672004</v>
      </c>
      <c r="B26" s="193">
        <v>321048</v>
      </c>
      <c r="C26" s="193" t="s">
        <v>729</v>
      </c>
      <c r="D26" s="193" t="s">
        <v>43</v>
      </c>
      <c r="E26" s="194" t="str">
        <f>_xlfn.XLOOKUP(tblDependencies[[#This Row],[AssetName]],tblApplications[common_assetName],tblApplications[common_moveBundle],"",0,1)</f>
        <v>AppGroupA190</v>
      </c>
      <c r="F26" s="193">
        <v>335799</v>
      </c>
      <c r="G26" s="193" t="s">
        <v>610</v>
      </c>
      <c r="H26" s="193" t="s">
        <v>739</v>
      </c>
      <c r="I26" s="194" t="str">
        <f>_xlfn.XLOOKUP(tblDependencies[[#This Row],[DependentName]],tblTM[common_assetName],tblTM[common_moveBundle],"",0,1)</f>
        <v>AppGroupA190</v>
      </c>
      <c r="J26" s="193" t="s">
        <v>598</v>
      </c>
      <c r="K26" s="193" t="s">
        <v>598</v>
      </c>
      <c r="L26" s="193" t="s">
        <v>598</v>
      </c>
      <c r="M26" s="193" t="s">
        <v>741</v>
      </c>
      <c r="N26" s="194" t="str">
        <f>CONCATENATE(TEXT(_xlfn.XLOOKUP(tblDependencies[[#This Row],[AssetName]],tblDepApp[Applications],tblDepApp[Servers],"",0),"000"),"-",tblDependencies[[#This Row],[AssetName]])</f>
        <v>028-Kafka-Test</v>
      </c>
      <c r="O26" s="194" t="str">
        <f>TEXT(_xlfn.XLOOKUP(tblDependencies[[#This Row],[DependentName]],tblTM[common_assetName],tblTM[device_os],"r3m0v3m3",0,1),"")</f>
        <v>Red Hat Enterprise Linux</v>
      </c>
      <c r="P26" s="194">
        <f>1</f>
        <v>1</v>
      </c>
      <c r="Q26" s="194" t="str">
        <f>_xlfn.XLOOKUP(tblDependencies[[#This Row],[DependentName]],tblTM[common_assetName],tblTM[common_environment],"",0,1)</f>
        <v>Test</v>
      </c>
      <c r="R26" s="194" t="str">
        <f>TEXT(_xlfn.XLOOKUP(tblDependencies[[#This Row],[DependentName]],tblTM[common_assetName],tblTM[device_assetType],"-",0),"")</f>
        <v>Server</v>
      </c>
      <c r="S26" s="194" t="str">
        <f>LEFT(TEXT(_xlfn.XLOOKUP(tblDependencies[[#This Row],[DependentName]],tblTM[common_assetName],tblTM[device_custom20],"-",0),""),3)</f>
        <v/>
      </c>
      <c r="T26" s="194" t="str">
        <f>IF(LOWER(LEFT(_xlfn.XLOOKUP(tblDependencies[[#This Row],[DependentName]],tblTM[common_assetName],tblTM[device_custom45],"",0,1),1))="y","Yes","No")</f>
        <v>No</v>
      </c>
      <c r="U26" s="194" t="str">
        <f>_xlfn.XLOOKUP(tblDependencies[[#This Row],[DependentName]],tblTM[common_assetName],tblTM[device_ipAddress],"",0,1)</f>
        <v>10.152.28.139</v>
      </c>
      <c r="V26" s="193"/>
      <c r="W26" s="193"/>
      <c r="X26" s="194" t="str">
        <f>_xlfn.XLOOKUP(tblDependencies[[#This Row],[DependentName]],tblTM[common_assetName],tblTM[LB],"",0,1)</f>
        <v/>
      </c>
      <c r="Y26" s="194"/>
      <c r="Z26" s="194"/>
    </row>
    <row r="27" spans="1:26" x14ac:dyDescent="0.35">
      <c r="A27" s="193">
        <v>672003</v>
      </c>
      <c r="B27" s="193">
        <v>321048</v>
      </c>
      <c r="C27" s="193" t="s">
        <v>729</v>
      </c>
      <c r="D27" s="193" t="s">
        <v>43</v>
      </c>
      <c r="E27" s="194" t="str">
        <f>_xlfn.XLOOKUP(tblDependencies[[#This Row],[AssetName]],tblApplications[common_assetName],tblApplications[common_moveBundle],"",0,1)</f>
        <v>AppGroupA190</v>
      </c>
      <c r="F27" s="193">
        <v>335800</v>
      </c>
      <c r="G27" s="193" t="s">
        <v>606</v>
      </c>
      <c r="H27" s="193" t="s">
        <v>739</v>
      </c>
      <c r="I27" s="194" t="str">
        <f>_xlfn.XLOOKUP(tblDependencies[[#This Row],[DependentName]],tblTM[common_assetName],tblTM[common_moveBundle],"",0,1)</f>
        <v>AppGroupA190</v>
      </c>
      <c r="J27" s="193" t="s">
        <v>598</v>
      </c>
      <c r="K27" s="193" t="s">
        <v>598</v>
      </c>
      <c r="L27" s="193" t="s">
        <v>598</v>
      </c>
      <c r="M27" s="193" t="s">
        <v>741</v>
      </c>
      <c r="N27" s="194" t="str">
        <f>CONCATENATE(TEXT(_xlfn.XLOOKUP(tblDependencies[[#This Row],[AssetName]],tblDepApp[Applications],tblDepApp[Servers],"",0),"000"),"-",tblDependencies[[#This Row],[AssetName]])</f>
        <v>028-Kafka-Test</v>
      </c>
      <c r="O27" s="194" t="str">
        <f>TEXT(_xlfn.XLOOKUP(tblDependencies[[#This Row],[DependentName]],tblTM[common_assetName],tblTM[device_os],"r3m0v3m3",0,1),"")</f>
        <v>Red Hat Enterprise Linux</v>
      </c>
      <c r="P27" s="194">
        <f>1</f>
        <v>1</v>
      </c>
      <c r="Q27" s="194" t="str">
        <f>_xlfn.XLOOKUP(tblDependencies[[#This Row],[DependentName]],tblTM[common_assetName],tblTM[common_environment],"",0,1)</f>
        <v>Test</v>
      </c>
      <c r="R27" s="194" t="str">
        <f>TEXT(_xlfn.XLOOKUP(tblDependencies[[#This Row],[DependentName]],tblTM[common_assetName],tblTM[device_assetType],"-",0),"")</f>
        <v>Server</v>
      </c>
      <c r="S27" s="194" t="str">
        <f>LEFT(TEXT(_xlfn.XLOOKUP(tblDependencies[[#This Row],[DependentName]],tblTM[common_assetName],tblTM[device_custom20],"-",0),""),3)</f>
        <v/>
      </c>
      <c r="T27" s="194" t="str">
        <f>IF(LOWER(LEFT(_xlfn.XLOOKUP(tblDependencies[[#This Row],[DependentName]],tblTM[common_assetName],tblTM[device_custom45],"",0,1),1))="y","Yes","No")</f>
        <v>No</v>
      </c>
      <c r="U27" s="194" t="str">
        <f>_xlfn.XLOOKUP(tblDependencies[[#This Row],[DependentName]],tblTM[common_assetName],tblTM[device_ipAddress],"",0,1)</f>
        <v>10.152.28.140</v>
      </c>
      <c r="V27" s="193"/>
      <c r="W27" s="193"/>
      <c r="X27" s="194" t="str">
        <f>_xlfn.XLOOKUP(tblDependencies[[#This Row],[DependentName]],tblTM[common_assetName],tblTM[LB],"",0,1)</f>
        <v/>
      </c>
      <c r="Y27" s="194"/>
      <c r="Z27" s="194"/>
    </row>
    <row r="28" spans="1:26" x14ac:dyDescent="0.35">
      <c r="A28" s="193">
        <v>672002</v>
      </c>
      <c r="B28" s="193">
        <v>321048</v>
      </c>
      <c r="C28" s="193" t="s">
        <v>729</v>
      </c>
      <c r="D28" s="193" t="s">
        <v>43</v>
      </c>
      <c r="E28" s="194" t="str">
        <f>_xlfn.XLOOKUP(tblDependencies[[#This Row],[AssetName]],tblApplications[common_assetName],tblApplications[common_moveBundle],"",0,1)</f>
        <v>AppGroupA190</v>
      </c>
      <c r="F28" s="193">
        <v>335801</v>
      </c>
      <c r="G28" s="193" t="s">
        <v>602</v>
      </c>
      <c r="H28" s="193" t="s">
        <v>739</v>
      </c>
      <c r="I28" s="194" t="str">
        <f>_xlfn.XLOOKUP(tblDependencies[[#This Row],[DependentName]],tblTM[common_assetName],tblTM[common_moveBundle],"",0,1)</f>
        <v>AppGroupA190</v>
      </c>
      <c r="J28" s="193" t="s">
        <v>598</v>
      </c>
      <c r="K28" s="193" t="s">
        <v>598</v>
      </c>
      <c r="L28" s="193" t="s">
        <v>598</v>
      </c>
      <c r="M28" s="193" t="s">
        <v>741</v>
      </c>
      <c r="N28" s="194" t="str">
        <f>CONCATENATE(TEXT(_xlfn.XLOOKUP(tblDependencies[[#This Row],[AssetName]],tblDepApp[Applications],tblDepApp[Servers],"",0),"000"),"-",tblDependencies[[#This Row],[AssetName]])</f>
        <v>028-Kafka-Test</v>
      </c>
      <c r="O28" s="194" t="str">
        <f>TEXT(_xlfn.XLOOKUP(tblDependencies[[#This Row],[DependentName]],tblTM[common_assetName],tblTM[device_os],"r3m0v3m3",0,1),"")</f>
        <v>Red Hat Enterprise Linux</v>
      </c>
      <c r="P28" s="194">
        <f>1</f>
        <v>1</v>
      </c>
      <c r="Q28" s="194" t="str">
        <f>_xlfn.XLOOKUP(tblDependencies[[#This Row],[DependentName]],tblTM[common_assetName],tblTM[common_environment],"",0,1)</f>
        <v>Test</v>
      </c>
      <c r="R28" s="194" t="str">
        <f>TEXT(_xlfn.XLOOKUP(tblDependencies[[#This Row],[DependentName]],tblTM[common_assetName],tblTM[device_assetType],"-",0),"")</f>
        <v>Server</v>
      </c>
      <c r="S28" s="194" t="str">
        <f>LEFT(TEXT(_xlfn.XLOOKUP(tblDependencies[[#This Row],[DependentName]],tblTM[common_assetName],tblTM[device_custom20],"-",0),""),3)</f>
        <v/>
      </c>
      <c r="T28" s="194" t="str">
        <f>IF(LOWER(LEFT(_xlfn.XLOOKUP(tblDependencies[[#This Row],[DependentName]],tblTM[common_assetName],tblTM[device_custom45],"",0,1),1))="y","Yes","No")</f>
        <v>No</v>
      </c>
      <c r="U28" s="194" t="str">
        <f>_xlfn.XLOOKUP(tblDependencies[[#This Row],[DependentName]],tblTM[common_assetName],tblTM[device_ipAddress],"",0,1)</f>
        <v>10.152.28.141</v>
      </c>
      <c r="V28" s="193"/>
      <c r="W28" s="193"/>
      <c r="X28" s="194" t="str">
        <f>_xlfn.XLOOKUP(tblDependencies[[#This Row],[DependentName]],tblTM[common_assetName],tblTM[LB],"",0,1)</f>
        <v/>
      </c>
      <c r="Y28" s="194"/>
      <c r="Z28" s="194"/>
    </row>
    <row r="29" spans="1:26" x14ac:dyDescent="0.35">
      <c r="A29" s="193">
        <v>672001</v>
      </c>
      <c r="B29" s="193">
        <v>321048</v>
      </c>
      <c r="C29" s="193" t="s">
        <v>729</v>
      </c>
      <c r="D29" s="193" t="s">
        <v>43</v>
      </c>
      <c r="E29" s="194" t="str">
        <f>_xlfn.XLOOKUP(tblDependencies[[#This Row],[AssetName]],tblApplications[common_assetName],tblApplications[common_moveBundle],"",0,1)</f>
        <v>AppGroupA190</v>
      </c>
      <c r="F29" s="193">
        <v>335802</v>
      </c>
      <c r="G29" s="193" t="s">
        <v>596</v>
      </c>
      <c r="H29" s="193" t="s">
        <v>739</v>
      </c>
      <c r="I29" s="194" t="str">
        <f>_xlfn.XLOOKUP(tblDependencies[[#This Row],[DependentName]],tblTM[common_assetName],tblTM[common_moveBundle],"",0,1)</f>
        <v>AppGroupA190</v>
      </c>
      <c r="J29" s="193" t="s">
        <v>598</v>
      </c>
      <c r="K29" s="193" t="s">
        <v>598</v>
      </c>
      <c r="L29" s="193" t="s">
        <v>598</v>
      </c>
      <c r="M29" s="193" t="s">
        <v>741</v>
      </c>
      <c r="N29" s="194" t="str">
        <f>CONCATENATE(TEXT(_xlfn.XLOOKUP(tblDependencies[[#This Row],[AssetName]],tblDepApp[Applications],tblDepApp[Servers],"",0),"000"),"-",tblDependencies[[#This Row],[AssetName]])</f>
        <v>028-Kafka-Test</v>
      </c>
      <c r="O29" s="194" t="str">
        <f>TEXT(_xlfn.XLOOKUP(tblDependencies[[#This Row],[DependentName]],tblTM[common_assetName],tblTM[device_os],"r3m0v3m3",0,1),"")</f>
        <v>Red Hat Enterprise Linux</v>
      </c>
      <c r="P29" s="194">
        <f>1</f>
        <v>1</v>
      </c>
      <c r="Q29" s="194" t="str">
        <f>_xlfn.XLOOKUP(tblDependencies[[#This Row],[DependentName]],tblTM[common_assetName],tblTM[common_environment],"",0,1)</f>
        <v>Test</v>
      </c>
      <c r="R29" s="194" t="str">
        <f>TEXT(_xlfn.XLOOKUP(tblDependencies[[#This Row],[DependentName]],tblTM[common_assetName],tblTM[device_assetType],"-",0),"")</f>
        <v>Server</v>
      </c>
      <c r="S29" s="194" t="str">
        <f>LEFT(TEXT(_xlfn.XLOOKUP(tblDependencies[[#This Row],[DependentName]],tblTM[common_assetName],tblTM[device_custom20],"-",0),""),3)</f>
        <v/>
      </c>
      <c r="T29" s="194" t="str">
        <f>IF(LOWER(LEFT(_xlfn.XLOOKUP(tblDependencies[[#This Row],[DependentName]],tblTM[common_assetName],tblTM[device_custom45],"",0,1),1))="y","Yes","No")</f>
        <v>No</v>
      </c>
      <c r="U29" s="194" t="str">
        <f>_xlfn.XLOOKUP(tblDependencies[[#This Row],[DependentName]],tblTM[common_assetName],tblTM[device_ipAddress],"",0,1)</f>
        <v>10.152.28.142</v>
      </c>
      <c r="V29" s="193"/>
      <c r="W29" s="193"/>
      <c r="X29" s="194" t="str">
        <f>_xlfn.XLOOKUP(tblDependencies[[#This Row],[DependentName]],tblTM[common_assetName],tblTM[LB],"",0,1)</f>
        <v/>
      </c>
      <c r="Y29" s="194"/>
      <c r="Z29" s="194"/>
    </row>
    <row r="30" spans="1:26" x14ac:dyDescent="0.35">
      <c r="A30" s="193">
        <v>672376</v>
      </c>
      <c r="B30" s="193">
        <v>334538</v>
      </c>
      <c r="C30" s="193" t="s">
        <v>721</v>
      </c>
      <c r="D30" s="193" t="s">
        <v>43</v>
      </c>
      <c r="E30" s="194" t="str">
        <f>_xlfn.XLOOKUP(tblDependencies[[#This Row],[AssetName]],tblApplications[common_assetName],tblApplications[common_moveBundle],"",0,1)</f>
        <v>AppGroupA190</v>
      </c>
      <c r="F30" s="193">
        <v>191458</v>
      </c>
      <c r="G30" s="193" t="s">
        <v>592</v>
      </c>
      <c r="H30" s="193" t="s">
        <v>739</v>
      </c>
      <c r="I30" s="194" t="str">
        <f>_xlfn.XLOOKUP(tblDependencies[[#This Row],[DependentName]],tblTM[common_assetName],tblTM[common_moveBundle],"",0,1)</f>
        <v>AppGroupA190</v>
      </c>
      <c r="J30" s="193" t="s">
        <v>598</v>
      </c>
      <c r="K30" s="193" t="s">
        <v>598</v>
      </c>
      <c r="L30" s="193" t="s">
        <v>743</v>
      </c>
      <c r="M30" s="193" t="s">
        <v>741</v>
      </c>
      <c r="N30" s="194" t="str">
        <f>CONCATENATE(TEXT(_xlfn.XLOOKUP(tblDependencies[[#This Row],[AssetName]],tblDepApp[Applications],tblDepApp[Servers],"",0),"000"),"-",tblDependencies[[#This Row],[AssetName]])</f>
        <v>002-SOA/API/DATAPOWER - Enterprise Services-Dev</v>
      </c>
      <c r="O30" s="194" t="str">
        <f>TEXT(_xlfn.XLOOKUP(tblDependencies[[#This Row],[DependentName]],tblTM[common_assetName],tblTM[device_os],"r3m0v3m3",0,1),"")</f>
        <v>AIX</v>
      </c>
      <c r="P30" s="194">
        <f>1</f>
        <v>1</v>
      </c>
      <c r="Q30" s="194" t="str">
        <f>_xlfn.XLOOKUP(tblDependencies[[#This Row],[DependentName]],tblTM[common_assetName],tblTM[common_environment],"",0,1)</f>
        <v>Development</v>
      </c>
      <c r="R30" s="194" t="str">
        <f>TEXT(_xlfn.XLOOKUP(tblDependencies[[#This Row],[DependentName]],tblTM[common_assetName],tblTM[device_assetType],"-",0),"")</f>
        <v>AIX-LPAR</v>
      </c>
      <c r="S30" s="194" t="str">
        <f>LEFT(TEXT(_xlfn.XLOOKUP(tblDependencies[[#This Row],[DependentName]],tblTM[common_assetName],tblTM[device_custom20],"-",0),""),3)</f>
        <v/>
      </c>
      <c r="T30" s="194" t="str">
        <f>IF(LOWER(LEFT(_xlfn.XLOOKUP(tblDependencies[[#This Row],[DependentName]],tblTM[common_assetName],tblTM[device_custom45],"",0,1),1))="y","Yes","No")</f>
        <v>No</v>
      </c>
      <c r="U30" s="194" t="str">
        <f>_xlfn.XLOOKUP(tblDependencies[[#This Row],[DependentName]],tblTM[common_assetName],tblTM[device_ipAddress],"",0,1)</f>
        <v>30.135.106.116,30.135.106.112,30.135.106.113</v>
      </c>
      <c r="V30" s="193"/>
      <c r="W30" s="193"/>
      <c r="X30" s="194" t="str">
        <f>_xlfn.XLOOKUP(tblDependencies[[#This Row],[DependentName]],tblTM[common_assetName],tblTM[LB],"",0,1)</f>
        <v/>
      </c>
      <c r="Y30" s="194"/>
      <c r="Z30" s="194"/>
    </row>
    <row r="31" spans="1:26" x14ac:dyDescent="0.35">
      <c r="A31" s="193">
        <v>672375</v>
      </c>
      <c r="B31" s="193">
        <v>334538</v>
      </c>
      <c r="C31" s="193" t="s">
        <v>721</v>
      </c>
      <c r="D31" s="193" t="s">
        <v>43</v>
      </c>
      <c r="E31" s="194" t="str">
        <f>_xlfn.XLOOKUP(tblDependencies[[#This Row],[AssetName]],tblApplications[common_assetName],tblApplications[common_moveBundle],"",0,1)</f>
        <v>AppGroupA190</v>
      </c>
      <c r="F31" s="193">
        <v>191485</v>
      </c>
      <c r="G31" s="193" t="s">
        <v>588</v>
      </c>
      <c r="H31" s="193" t="s">
        <v>739</v>
      </c>
      <c r="I31" s="194" t="str">
        <f>_xlfn.XLOOKUP(tblDependencies[[#This Row],[DependentName]],tblTM[common_assetName],tblTM[common_moveBundle],"",0,1)</f>
        <v>AppGroupA190</v>
      </c>
      <c r="J31" s="193" t="s">
        <v>598</v>
      </c>
      <c r="K31" s="193" t="s">
        <v>598</v>
      </c>
      <c r="L31" s="193" t="s">
        <v>743</v>
      </c>
      <c r="M31" s="193" t="s">
        <v>741</v>
      </c>
      <c r="N31" s="194" t="str">
        <f>CONCATENATE(TEXT(_xlfn.XLOOKUP(tblDependencies[[#This Row],[AssetName]],tblDepApp[Applications],tblDepApp[Servers],"",0),"000"),"-",tblDependencies[[#This Row],[AssetName]])</f>
        <v>002-SOA/API/DATAPOWER - Enterprise Services-Dev</v>
      </c>
      <c r="O31" s="194" t="str">
        <f>TEXT(_xlfn.XLOOKUP(tblDependencies[[#This Row],[DependentName]],tblTM[common_assetName],tblTM[device_os],"r3m0v3m3",0,1),"")</f>
        <v>AIX</v>
      </c>
      <c r="P31" s="194">
        <f>1</f>
        <v>1</v>
      </c>
      <c r="Q31" s="194" t="str">
        <f>_xlfn.XLOOKUP(tblDependencies[[#This Row],[DependentName]],tblTM[common_assetName],tblTM[common_environment],"",0,1)</f>
        <v>Development</v>
      </c>
      <c r="R31" s="194" t="str">
        <f>TEXT(_xlfn.XLOOKUP(tblDependencies[[#This Row],[DependentName]],tblTM[common_assetName],tblTM[device_assetType],"-",0),"")</f>
        <v>AIX-LPAR</v>
      </c>
      <c r="S31" s="194" t="str">
        <f>LEFT(TEXT(_xlfn.XLOOKUP(tblDependencies[[#This Row],[DependentName]],tblTM[common_assetName],tblTM[device_custom20],"-",0),""),3)</f>
        <v/>
      </c>
      <c r="T31" s="194" t="str">
        <f>IF(LOWER(LEFT(_xlfn.XLOOKUP(tblDependencies[[#This Row],[DependentName]],tblTM[common_assetName],tblTM[device_custom45],"",0,1),1))="y","Yes","No")</f>
        <v>No</v>
      </c>
      <c r="U31" s="194" t="str">
        <f>_xlfn.XLOOKUP(tblDependencies[[#This Row],[DependentName]],tblTM[common_assetName],tblTM[device_ipAddress],"",0,1)</f>
        <v>30.135.106.114,30.135.106.115,30.135.106.117</v>
      </c>
      <c r="V31" s="193"/>
      <c r="W31" s="193"/>
      <c r="X31" s="194" t="str">
        <f>_xlfn.XLOOKUP(tblDependencies[[#This Row],[DependentName]],tblTM[common_assetName],tblTM[LB],"",0,1)</f>
        <v/>
      </c>
      <c r="Y31" s="194"/>
      <c r="Z31" s="194"/>
    </row>
    <row r="32" spans="1:26" x14ac:dyDescent="0.35">
      <c r="A32" s="193">
        <v>568514</v>
      </c>
      <c r="B32" s="193">
        <v>316528</v>
      </c>
      <c r="C32" s="193" t="s">
        <v>746</v>
      </c>
      <c r="D32" s="193" t="s">
        <v>43</v>
      </c>
      <c r="E32" s="194" t="s">
        <v>799</v>
      </c>
      <c r="F32" s="193">
        <v>191698</v>
      </c>
      <c r="G32" s="193" t="s">
        <v>584</v>
      </c>
      <c r="H32" s="193" t="s">
        <v>739</v>
      </c>
      <c r="I32" s="194" t="str">
        <f>_xlfn.XLOOKUP(tblDependencies[[#This Row],[DependentName]],tblTM[common_assetName],tblTM[common_moveBundle],"",0,1)</f>
        <v>AppGroupA190</v>
      </c>
      <c r="J32" s="193" t="s">
        <v>598</v>
      </c>
      <c r="K32" s="193" t="s">
        <v>598</v>
      </c>
      <c r="L32" s="193" t="s">
        <v>598</v>
      </c>
      <c r="M32" s="193" t="s">
        <v>741</v>
      </c>
      <c r="N32" s="194" t="str">
        <f>CONCATENATE(TEXT(_xlfn.XLOOKUP(tblDependencies[[#This Row],[AssetName]],tblDepApp[Applications],tblDepApp[Servers],"",0),"000"),"-",tblDependencies[[#This Row],[AssetName]])</f>
        <v>004-SOA/API - Enterprise Services-Dev</v>
      </c>
      <c r="O32" s="194" t="str">
        <f>TEXT(_xlfn.XLOOKUP(tblDependencies[[#This Row],[DependentName]],tblTM[common_assetName],tblTM[device_os],"r3m0v3m3",0,1),"")</f>
        <v>AIX</v>
      </c>
      <c r="P32" s="194">
        <f>1</f>
        <v>1</v>
      </c>
      <c r="Q32" s="194" t="str">
        <f>_xlfn.XLOOKUP(tblDependencies[[#This Row],[DependentName]],tblTM[common_assetName],tblTM[common_environment],"",0,1)</f>
        <v>Development</v>
      </c>
      <c r="R32" s="194" t="str">
        <f>TEXT(_xlfn.XLOOKUP(tblDependencies[[#This Row],[DependentName]],tblTM[common_assetName],tblTM[device_assetType],"-",0),"")</f>
        <v>AIX-LPAR</v>
      </c>
      <c r="S32" s="194" t="str">
        <f>LEFT(TEXT(_xlfn.XLOOKUP(tblDependencies[[#This Row],[DependentName]],tblTM[common_assetName],tblTM[device_custom20],"-",0),""),3)</f>
        <v/>
      </c>
      <c r="T32" s="194" t="str">
        <f>IF(LOWER(LEFT(_xlfn.XLOOKUP(tblDependencies[[#This Row],[DependentName]],tblTM[common_assetName],tblTM[device_custom45],"",0,1),1))="y","Yes","No")</f>
        <v>Yes</v>
      </c>
      <c r="U32" s="194" t="str">
        <f>_xlfn.XLOOKUP(tblDependencies[[#This Row],[DependentName]],tblTM[common_assetName],tblTM[device_ipAddress],"",0,1)</f>
        <v>30.135.106.133</v>
      </c>
      <c r="V32" s="193"/>
      <c r="W32" s="193"/>
      <c r="X32" s="194" t="str">
        <f>_xlfn.XLOOKUP(tblDependencies[[#This Row],[DependentName]],tblTM[common_assetName],tblTM[LB],"",0,1)</f>
        <v>perf-provider.soacoe.wellpoint.com_https,perf-provider.soacoe.wellpoint.com_https</v>
      </c>
      <c r="Y32" s="194"/>
      <c r="Z32" s="194"/>
    </row>
    <row r="33" spans="1:26" x14ac:dyDescent="0.35">
      <c r="A33" s="193">
        <v>568515</v>
      </c>
      <c r="B33" s="193">
        <v>316528</v>
      </c>
      <c r="C33" s="193" t="s">
        <v>746</v>
      </c>
      <c r="D33" s="193" t="s">
        <v>43</v>
      </c>
      <c r="E33" s="194" t="s">
        <v>799</v>
      </c>
      <c r="F33" s="193">
        <v>191491</v>
      </c>
      <c r="G33" s="193" t="s">
        <v>579</v>
      </c>
      <c r="H33" s="193" t="s">
        <v>739</v>
      </c>
      <c r="I33" s="194" t="str">
        <f>_xlfn.XLOOKUP(tblDependencies[[#This Row],[DependentName]],tblTM[common_assetName],tblTM[common_moveBundle],"",0,1)</f>
        <v>AppGroupA190</v>
      </c>
      <c r="J33" s="193" t="s">
        <v>598</v>
      </c>
      <c r="K33" s="193" t="s">
        <v>598</v>
      </c>
      <c r="L33" s="193" t="s">
        <v>598</v>
      </c>
      <c r="M33" s="193" t="s">
        <v>741</v>
      </c>
      <c r="N33" s="194" t="str">
        <f>CONCATENATE(TEXT(_xlfn.XLOOKUP(tblDependencies[[#This Row],[AssetName]],tblDepApp[Applications],tblDepApp[Servers],"",0),"000"),"-",tblDependencies[[#This Row],[AssetName]])</f>
        <v>004-SOA/API - Enterprise Services-Dev</v>
      </c>
      <c r="O33" s="194" t="str">
        <f>TEXT(_xlfn.XLOOKUP(tblDependencies[[#This Row],[DependentName]],tblTM[common_assetName],tblTM[device_os],"r3m0v3m3",0,1),"")</f>
        <v>AIX</v>
      </c>
      <c r="P33" s="194">
        <f>1</f>
        <v>1</v>
      </c>
      <c r="Q33" s="194" t="str">
        <f>_xlfn.XLOOKUP(tblDependencies[[#This Row],[DependentName]],tblTM[common_assetName],tblTM[common_environment],"",0,1)</f>
        <v>Development</v>
      </c>
      <c r="R33" s="194" t="str">
        <f>TEXT(_xlfn.XLOOKUP(tblDependencies[[#This Row],[DependentName]],tblTM[common_assetName],tblTM[device_assetType],"-",0),"")</f>
        <v>AIX-LPAR</v>
      </c>
      <c r="S33" s="194" t="str">
        <f>LEFT(TEXT(_xlfn.XLOOKUP(tblDependencies[[#This Row],[DependentName]],tblTM[common_assetName],tblTM[device_custom20],"-",0),""),3)</f>
        <v/>
      </c>
      <c r="T33" s="194" t="str">
        <f>IF(LOWER(LEFT(_xlfn.XLOOKUP(tblDependencies[[#This Row],[DependentName]],tblTM[common_assetName],tblTM[device_custom45],"",0,1),1))="y","Yes","No")</f>
        <v>Yes</v>
      </c>
      <c r="U33" s="194" t="str">
        <f>_xlfn.XLOOKUP(tblDependencies[[#This Row],[DependentName]],tblTM[common_assetName],tblTM[device_ipAddress],"",0,1)</f>
        <v>30.135.106.134</v>
      </c>
      <c r="V33" s="193"/>
      <c r="W33" s="193"/>
      <c r="X33" s="194" t="str">
        <f>_xlfn.XLOOKUP(tblDependencies[[#This Row],[DependentName]],tblTM[common_assetName],tblTM[LB],"",0,1)</f>
        <v>perf-provider.soacoe.wellpoint.com_https,perf-provider.soacoe.wellpoint.com_https</v>
      </c>
      <c r="Y33" s="194"/>
      <c r="Z33" s="194"/>
    </row>
    <row r="34" spans="1:26" x14ac:dyDescent="0.35">
      <c r="A34" s="193">
        <v>672277</v>
      </c>
      <c r="B34" s="193">
        <v>361626</v>
      </c>
      <c r="C34" s="193" t="s">
        <v>750</v>
      </c>
      <c r="D34" s="193" t="s">
        <v>43</v>
      </c>
      <c r="E34" s="194" t="s">
        <v>803</v>
      </c>
      <c r="F34" s="193">
        <v>193202</v>
      </c>
      <c r="G34" s="193" t="s">
        <v>572</v>
      </c>
      <c r="H34" s="193" t="s">
        <v>739</v>
      </c>
      <c r="I34" s="194" t="str">
        <f>_xlfn.XLOOKUP(tblDependencies[[#This Row],[DependentName]],tblTM[common_assetName],tblTM[common_moveBundle],"",0,1)</f>
        <v>AppGroupA190</v>
      </c>
      <c r="J34" s="193" t="s">
        <v>598</v>
      </c>
      <c r="K34" s="193" t="s">
        <v>598</v>
      </c>
      <c r="L34" s="193" t="s">
        <v>598</v>
      </c>
      <c r="M34" s="193" t="s">
        <v>741</v>
      </c>
      <c r="N34" s="194" t="str">
        <f>CONCATENATE(TEXT(_xlfn.XLOOKUP(tblDependencies[[#This Row],[AssetName]],tblDepApp[Applications],tblDepApp[Servers],"",0),"000"),"-",tblDependencies[[#This Row],[AssetName]])</f>
        <v>001-Provider Care Management Solutions-Test</v>
      </c>
      <c r="O34" s="194" t="str">
        <f>TEXT(_xlfn.XLOOKUP(tblDependencies[[#This Row],[DependentName]],tblTM[common_assetName],tblTM[device_os],"r3m0v3m3",0,1),"")</f>
        <v>AIX</v>
      </c>
      <c r="P34" s="194">
        <f>1</f>
        <v>1</v>
      </c>
      <c r="Q34" s="194" t="str">
        <f>_xlfn.XLOOKUP(tblDependencies[[#This Row],[DependentName]],tblTM[common_assetName],tblTM[common_environment],"",0,1)</f>
        <v>Test</v>
      </c>
      <c r="R34" s="194" t="str">
        <f>TEXT(_xlfn.XLOOKUP(tblDependencies[[#This Row],[DependentName]],tblTM[common_assetName],tblTM[device_assetType],"-",0),"")</f>
        <v>AIX-LPAR</v>
      </c>
      <c r="S34" s="194" t="str">
        <f>LEFT(TEXT(_xlfn.XLOOKUP(tblDependencies[[#This Row],[DependentName]],tblTM[common_assetName],tblTM[device_custom20],"-",0),""),3)</f>
        <v>DB2</v>
      </c>
      <c r="T34" s="194" t="str">
        <f>IF(LOWER(LEFT(_xlfn.XLOOKUP(tblDependencies[[#This Row],[DependentName]],tblTM[common_assetName],tblTM[device_custom45],"",0,1),1))="y","Yes","No")</f>
        <v>No</v>
      </c>
      <c r="U34" s="194" t="str">
        <f>_xlfn.XLOOKUP(tblDependencies[[#This Row],[DependentName]],tblTM[common_assetName],tblTM[device_ipAddress],"",0,1)</f>
        <v>30.135.43.45</v>
      </c>
      <c r="V34" s="193"/>
      <c r="W34" s="193"/>
      <c r="X34" s="194" t="str">
        <f>_xlfn.XLOOKUP(tblDependencies[[#This Row],[DependentName]],tblTM[common_assetName],tblTM[LB],"",0,1)</f>
        <v/>
      </c>
      <c r="Y34" s="194"/>
      <c r="Z34" s="194"/>
    </row>
    <row r="35" spans="1:26" x14ac:dyDescent="0.35">
      <c r="A35" s="193">
        <v>581341</v>
      </c>
      <c r="B35" s="193">
        <v>316570</v>
      </c>
      <c r="C35" s="193" t="s">
        <v>720</v>
      </c>
      <c r="D35" s="193" t="s">
        <v>43</v>
      </c>
      <c r="E35" s="194" t="str">
        <f>_xlfn.XLOOKUP(tblDependencies[[#This Row],[AssetName]],tblApplications[common_assetName],tblApplications[common_moveBundle],"",0,1)</f>
        <v>AppGroupA190</v>
      </c>
      <c r="F35" s="193">
        <v>231750</v>
      </c>
      <c r="G35" s="193" t="s">
        <v>568</v>
      </c>
      <c r="H35" s="193" t="s">
        <v>739</v>
      </c>
      <c r="I35" s="194" t="str">
        <f>_xlfn.XLOOKUP(tblDependencies[[#This Row],[DependentName]],tblTM[common_assetName],tblTM[common_moveBundle],"",0,1)</f>
        <v>AppGroupA190</v>
      </c>
      <c r="J35" s="193" t="s">
        <v>598</v>
      </c>
      <c r="K35" s="193" t="s">
        <v>598</v>
      </c>
      <c r="L35" s="193" t="s">
        <v>740</v>
      </c>
      <c r="M35" s="193" t="s">
        <v>741</v>
      </c>
      <c r="N35" s="194" t="str">
        <f>CONCATENATE(TEXT(_xlfn.XLOOKUP(tblDependencies[[#This Row],[AssetName]],tblDepApp[Applications],tblDepApp[Servers],"",0),"000"),"-",tblDependencies[[#This Row],[AssetName]])</f>
        <v>002-SQL Server System Database-Dev</v>
      </c>
      <c r="O35" s="194" t="str">
        <f>TEXT(_xlfn.XLOOKUP(tblDependencies[[#This Row],[DependentName]],tblTM[common_assetName],tblTM[device_os],"r3m0v3m3",0,1),"")</f>
        <v>Microsoft Windows</v>
      </c>
      <c r="P35" s="194">
        <f>1</f>
        <v>1</v>
      </c>
      <c r="Q35" s="194" t="str">
        <f>_xlfn.XLOOKUP(tblDependencies[[#This Row],[DependentName]],tblTM[common_assetName],tblTM[common_environment],"",0,1)</f>
        <v>Development</v>
      </c>
      <c r="R35" s="194" t="str">
        <f>TEXT(_xlfn.XLOOKUP(tblDependencies[[#This Row],[DependentName]],tblTM[common_assetName],tblTM[device_assetType],"-",0),"")</f>
        <v>Server</v>
      </c>
      <c r="S35" s="194" t="str">
        <f>LEFT(TEXT(_xlfn.XLOOKUP(tblDependencies[[#This Row],[DependentName]],tblTM[common_assetName],tblTM[device_custom20],"-",0),""),3)</f>
        <v>SQL</v>
      </c>
      <c r="T35" s="194" t="str">
        <f>IF(LOWER(LEFT(_xlfn.XLOOKUP(tblDependencies[[#This Row],[DependentName]],tblTM[common_assetName],tblTM[device_custom45],"",0,1),1))="y","Yes","No")</f>
        <v>No</v>
      </c>
      <c r="U35" s="194" t="str">
        <f>_xlfn.XLOOKUP(tblDependencies[[#This Row],[DependentName]],tblTM[common_assetName],tblTM[device_ipAddress],"",0,1)</f>
        <v>30.118.198.20</v>
      </c>
      <c r="V35" s="193"/>
      <c r="W35" s="193"/>
      <c r="X35" s="194" t="str">
        <f>_xlfn.XLOOKUP(tblDependencies[[#This Row],[DependentName]],tblTM[common_assetName],tblTM[LB],"",0,1)</f>
        <v/>
      </c>
      <c r="Y35" s="194"/>
      <c r="Z35" s="194"/>
    </row>
    <row r="36" spans="1:26" x14ac:dyDescent="0.35">
      <c r="A36" s="193">
        <v>581342</v>
      </c>
      <c r="B36" s="193">
        <v>316570</v>
      </c>
      <c r="C36" s="193" t="s">
        <v>720</v>
      </c>
      <c r="D36" s="193" t="s">
        <v>43</v>
      </c>
      <c r="E36" s="194" t="str">
        <f>_xlfn.XLOOKUP(tblDependencies[[#This Row],[AssetName]],tblApplications[common_assetName],tblApplications[common_moveBundle],"",0,1)</f>
        <v>AppGroupA190</v>
      </c>
      <c r="F36" s="193">
        <v>231751</v>
      </c>
      <c r="G36" s="193" t="s">
        <v>561</v>
      </c>
      <c r="H36" s="193" t="s">
        <v>739</v>
      </c>
      <c r="I36" s="194" t="str">
        <f>_xlfn.XLOOKUP(tblDependencies[[#This Row],[DependentName]],tblTM[common_assetName],tblTM[common_moveBundle],"",0,1)</f>
        <v>AppGroupA190</v>
      </c>
      <c r="J36" s="193" t="s">
        <v>598</v>
      </c>
      <c r="K36" s="193" t="s">
        <v>598</v>
      </c>
      <c r="L36" s="193" t="s">
        <v>740</v>
      </c>
      <c r="M36" s="193" t="s">
        <v>741</v>
      </c>
      <c r="N36" s="194" t="str">
        <f>CONCATENATE(TEXT(_xlfn.XLOOKUP(tblDependencies[[#This Row],[AssetName]],tblDepApp[Applications],tblDepApp[Servers],"",0),"000"),"-",tblDependencies[[#This Row],[AssetName]])</f>
        <v>002-SQL Server System Database-Dev</v>
      </c>
      <c r="O36" s="194" t="str">
        <f>TEXT(_xlfn.XLOOKUP(tblDependencies[[#This Row],[DependentName]],tblTM[common_assetName],tblTM[device_os],"r3m0v3m3",0,1),"")</f>
        <v>Microsoft Windows</v>
      </c>
      <c r="P36" s="194">
        <f>1</f>
        <v>1</v>
      </c>
      <c r="Q36" s="194" t="str">
        <f>_xlfn.XLOOKUP(tblDependencies[[#This Row],[DependentName]],tblTM[common_assetName],tblTM[common_environment],"",0,1)</f>
        <v>Development</v>
      </c>
      <c r="R36" s="194" t="str">
        <f>TEXT(_xlfn.XLOOKUP(tblDependencies[[#This Row],[DependentName]],tblTM[common_assetName],tblTM[device_assetType],"-",0),"")</f>
        <v>Server</v>
      </c>
      <c r="S36" s="194" t="str">
        <f>LEFT(TEXT(_xlfn.XLOOKUP(tblDependencies[[#This Row],[DependentName]],tblTM[common_assetName],tblTM[device_custom20],"-",0),""),3)</f>
        <v>SQL</v>
      </c>
      <c r="T36" s="194" t="str">
        <f>IF(LOWER(LEFT(_xlfn.XLOOKUP(tblDependencies[[#This Row],[DependentName]],tblTM[common_assetName],tblTM[device_custom45],"",0,1),1))="y","Yes","No")</f>
        <v>No</v>
      </c>
      <c r="U36" s="194" t="str">
        <f>_xlfn.XLOOKUP(tblDependencies[[#This Row],[DependentName]],tblTM[common_assetName],tblTM[device_ipAddress],"",0,1)</f>
        <v>30.118.198.21,30.118.198.23</v>
      </c>
      <c r="V36" s="193"/>
      <c r="W36" s="193"/>
      <c r="X36" s="194" t="str">
        <f>_xlfn.XLOOKUP(tblDependencies[[#This Row],[DependentName]],tblTM[common_assetName],tblTM[LB],"",0,1)</f>
        <v/>
      </c>
      <c r="Y36" s="194"/>
      <c r="Z36" s="194"/>
    </row>
    <row r="37" spans="1:26" x14ac:dyDescent="0.35">
      <c r="A37" s="193">
        <v>605692</v>
      </c>
      <c r="B37" s="193">
        <v>357359</v>
      </c>
      <c r="C37" s="193" t="s">
        <v>748</v>
      </c>
      <c r="D37" s="193" t="s">
        <v>43</v>
      </c>
      <c r="E37" s="194" t="s">
        <v>801</v>
      </c>
      <c r="F37" s="193">
        <v>321553</v>
      </c>
      <c r="G37" s="193" t="s">
        <v>557</v>
      </c>
      <c r="H37" s="193" t="s">
        <v>742</v>
      </c>
      <c r="I37" s="194" t="str">
        <f>_xlfn.XLOOKUP(tblDependencies[[#This Row],[DependentName]],tblTM[common_assetName],tblTM[common_moveBundle],"",0,1)</f>
        <v>AppGroupA190</v>
      </c>
      <c r="J37" s="193" t="s">
        <v>598</v>
      </c>
      <c r="K37" s="193" t="s">
        <v>598</v>
      </c>
      <c r="L37" s="193" t="s">
        <v>598</v>
      </c>
      <c r="M37" s="193" t="s">
        <v>741</v>
      </c>
      <c r="N37" s="194" t="str">
        <f>CONCATENATE(TEXT(_xlfn.XLOOKUP(tblDependencies[[#This Row],[AssetName]],tblDepApp[Applications],tblDepApp[Servers],"",0),"000"),"-",tblDependencies[[#This Row],[AssetName]])</f>
        <v>002-Axway (GBD)-DR</v>
      </c>
      <c r="O37" s="194" t="str">
        <f>TEXT(_xlfn.XLOOKUP(tblDependencies[[#This Row],[DependentName]],tblTM[common_assetName],tblTM[device_os],"r3m0v3m3",0,1),"")</f>
        <v>Microsoft Windows</v>
      </c>
      <c r="P37" s="194">
        <f>1</f>
        <v>1</v>
      </c>
      <c r="Q37" s="194" t="str">
        <f>_xlfn.XLOOKUP(tblDependencies[[#This Row],[DependentName]],tblTM[common_assetName],tblTM[common_environment],"",0,1)</f>
        <v>Disaster Recovery</v>
      </c>
      <c r="R37" s="194" t="str">
        <f>TEXT(_xlfn.XLOOKUP(tblDependencies[[#This Row],[DependentName]],tblTM[common_assetName],tblTM[device_assetType],"-",0),"")</f>
        <v>VM</v>
      </c>
      <c r="S37" s="194" t="str">
        <f>LEFT(TEXT(_xlfn.XLOOKUP(tblDependencies[[#This Row],[DependentName]],tblTM[common_assetName],tblTM[device_custom20],"-",0),""),3)</f>
        <v/>
      </c>
      <c r="T37" s="194" t="str">
        <f>IF(LOWER(LEFT(_xlfn.XLOOKUP(tblDependencies[[#This Row],[DependentName]],tblTM[common_assetName],tblTM[device_custom45],"",0,1),1))="y","Yes","No")</f>
        <v>No</v>
      </c>
      <c r="U37" s="194" t="str">
        <f>_xlfn.XLOOKUP(tblDependencies[[#This Row],[DependentName]],tblTM[common_assetName],tblTM[device_ipAddress],"",0,1)</f>
        <v>22.112.40.30</v>
      </c>
      <c r="V37" s="193"/>
      <c r="W37" s="193"/>
      <c r="X37" s="194" t="str">
        <f>_xlfn.XLOOKUP(tblDependencies[[#This Row],[DependentName]],tblTM[common_assetName],tblTM[LB],"",0,1)</f>
        <v>ccc6.hb.anthem.com-443-dmz-llb,fxdr.amerigroup.com-8443-dmz-llb,ccc.hb.anthem.com-443-dmz-llb,fxdr.amerigroup.com-8443-dmz-llb,ftp2dr.amerigroup.com-8443-dmz-llb,fxdr.amerigroup.com-22-dmz-llb,ftp2dr.amerigroup.com-8443-dmz-llb,fxdr.amerigroup.com-22-dmz-llb</v>
      </c>
      <c r="Y37" s="194"/>
      <c r="Z37" s="194"/>
    </row>
    <row r="38" spans="1:26" x14ac:dyDescent="0.35">
      <c r="A38" s="193">
        <v>605693</v>
      </c>
      <c r="B38" s="193">
        <v>357359</v>
      </c>
      <c r="C38" s="193" t="s">
        <v>748</v>
      </c>
      <c r="D38" s="193" t="s">
        <v>43</v>
      </c>
      <c r="E38" s="194" t="s">
        <v>801</v>
      </c>
      <c r="F38" s="193">
        <v>321554</v>
      </c>
      <c r="G38" s="193" t="s">
        <v>544</v>
      </c>
      <c r="H38" s="193" t="s">
        <v>742</v>
      </c>
      <c r="I38" s="194" t="str">
        <f>_xlfn.XLOOKUP(tblDependencies[[#This Row],[DependentName]],tblTM[common_assetName],tblTM[common_moveBundle],"",0,1)</f>
        <v>AppGroupA190</v>
      </c>
      <c r="J38" s="193" t="s">
        <v>598</v>
      </c>
      <c r="K38" s="193" t="s">
        <v>598</v>
      </c>
      <c r="L38" s="193" t="s">
        <v>598</v>
      </c>
      <c r="M38" s="193" t="s">
        <v>741</v>
      </c>
      <c r="N38" s="194" t="str">
        <f>CONCATENATE(TEXT(_xlfn.XLOOKUP(tblDependencies[[#This Row],[AssetName]],tblDepApp[Applications],tblDepApp[Servers],"",0),"000"),"-",tblDependencies[[#This Row],[AssetName]])</f>
        <v>002-Axway (GBD)-DR</v>
      </c>
      <c r="O38" s="194" t="str">
        <f>TEXT(_xlfn.XLOOKUP(tblDependencies[[#This Row],[DependentName]],tblTM[common_assetName],tblTM[device_os],"r3m0v3m3",0,1),"")</f>
        <v>Microsoft Windows</v>
      </c>
      <c r="P38" s="194">
        <f>1</f>
        <v>1</v>
      </c>
      <c r="Q38" s="194" t="str">
        <f>_xlfn.XLOOKUP(tblDependencies[[#This Row],[DependentName]],tblTM[common_assetName],tblTM[common_environment],"",0,1)</f>
        <v>Disaster Recovery</v>
      </c>
      <c r="R38" s="194" t="str">
        <f>TEXT(_xlfn.XLOOKUP(tblDependencies[[#This Row],[DependentName]],tblTM[common_assetName],tblTM[device_assetType],"-",0),"")</f>
        <v>VM</v>
      </c>
      <c r="S38" s="194" t="str">
        <f>LEFT(TEXT(_xlfn.XLOOKUP(tblDependencies[[#This Row],[DependentName]],tblTM[common_assetName],tblTM[device_custom20],"-",0),""),3)</f>
        <v/>
      </c>
      <c r="T38" s="194" t="str">
        <f>IF(LOWER(LEFT(_xlfn.XLOOKUP(tblDependencies[[#This Row],[DependentName]],tblTM[common_assetName],tblTM[device_custom45],"",0,1),1))="y","Yes","No")</f>
        <v>No</v>
      </c>
      <c r="U38" s="194" t="str">
        <f>_xlfn.XLOOKUP(tblDependencies[[#This Row],[DependentName]],tblTM[common_assetName],tblTM[device_ipAddress],"",0,1)</f>
        <v>22.112.40.33</v>
      </c>
      <c r="V38" s="193"/>
      <c r="W38" s="193"/>
      <c r="X38" s="194" t="str">
        <f>_xlfn.XLOOKUP(tblDependencies[[#This Row],[DependentName]],tblTM[common_assetName],tblTM[LB],"",0,1)</f>
        <v>fxdr.amerigroup.com-8443-dmz-llb,fxdr.amerigroup.com-8443-dmz-llb,ftp2dr.amerigroup.com-8443-dmz-llb,fxdr.amerigroup.com-22-dmz-llb,fxdr.amerigroup.com-22-dmz-llb,ftp2dr.amerigroup.com-8443-dmz-llb</v>
      </c>
      <c r="Y38" s="194"/>
      <c r="Z38" s="194"/>
    </row>
    <row r="39" spans="1:26" x14ac:dyDescent="0.35">
      <c r="A39" s="193">
        <v>631245</v>
      </c>
      <c r="B39" s="193">
        <v>316571</v>
      </c>
      <c r="C39" s="193" t="s">
        <v>710</v>
      </c>
      <c r="D39" s="193" t="s">
        <v>43</v>
      </c>
      <c r="E39" s="194" t="str">
        <f>_xlfn.XLOOKUP(tblDependencies[[#This Row],[AssetName]],tblApplications[common_assetName],tblApplications[common_moveBundle],"",0,1)</f>
        <v>AppGroupA190</v>
      </c>
      <c r="F39" s="193">
        <v>223360</v>
      </c>
      <c r="G39" s="193" t="s">
        <v>540</v>
      </c>
      <c r="H39" s="193" t="s">
        <v>739</v>
      </c>
      <c r="I39" s="194" t="str">
        <f>_xlfn.XLOOKUP(tblDependencies[[#This Row],[DependentName]],tblTM[common_assetName],tblTM[common_moveBundle],"",0,1)</f>
        <v>AppGroupA190</v>
      </c>
      <c r="J39" s="193" t="s">
        <v>598</v>
      </c>
      <c r="K39" s="193" t="s">
        <v>598</v>
      </c>
      <c r="L39" s="193" t="s">
        <v>743</v>
      </c>
      <c r="M39" s="193" t="s">
        <v>741</v>
      </c>
      <c r="N39" s="194" t="str">
        <f>CONCATENATE(TEXT(_xlfn.XLOOKUP(tblDependencies[[#This Row],[AssetName]],tblDepApp[Applications],tblDepApp[Servers],"",0),"000"),"-",tblDependencies[[#This Row],[AssetName]])</f>
        <v>002-SQL Server System Database-Test</v>
      </c>
      <c r="O39" s="194" t="str">
        <f>TEXT(_xlfn.XLOOKUP(tblDependencies[[#This Row],[DependentName]],tblTM[common_assetName],tblTM[device_os],"r3m0v3m3",0,1),"")</f>
        <v>Microsoft Windows</v>
      </c>
      <c r="P39" s="194">
        <f>1</f>
        <v>1</v>
      </c>
      <c r="Q39" s="194" t="str">
        <f>_xlfn.XLOOKUP(tblDependencies[[#This Row],[DependentName]],tblTM[common_assetName],tblTM[common_environment],"",0,1)</f>
        <v>Test</v>
      </c>
      <c r="R39" s="194" t="str">
        <f>TEXT(_xlfn.XLOOKUP(tblDependencies[[#This Row],[DependentName]],tblTM[common_assetName],tblTM[device_assetType],"-",0),"")</f>
        <v>Server</v>
      </c>
      <c r="S39" s="194" t="str">
        <f>LEFT(TEXT(_xlfn.XLOOKUP(tblDependencies[[#This Row],[DependentName]],tblTM[common_assetName],tblTM[device_custom20],"-",0),""),3)</f>
        <v>SQL</v>
      </c>
      <c r="T39" s="194" t="str">
        <f>IF(LOWER(LEFT(_xlfn.XLOOKUP(tblDependencies[[#This Row],[DependentName]],tblTM[common_assetName],tblTM[device_custom45],"",0,1),1))="y","Yes","No")</f>
        <v>No</v>
      </c>
      <c r="U39" s="194" t="str">
        <f>_xlfn.XLOOKUP(tblDependencies[[#This Row],[DependentName]],tblTM[common_assetName],tblTM[device_ipAddress],"",0,1)</f>
        <v>30.118.196.105, 30.118.196.108</v>
      </c>
      <c r="V39" s="193"/>
      <c r="W39" s="193"/>
      <c r="X39" s="194" t="str">
        <f>_xlfn.XLOOKUP(tblDependencies[[#This Row],[DependentName]],tblTM[common_assetName],tblTM[LB],"",0,1)</f>
        <v/>
      </c>
      <c r="Y39" s="194"/>
      <c r="Z39" s="194"/>
    </row>
    <row r="40" spans="1:26" x14ac:dyDescent="0.35">
      <c r="A40" s="193">
        <v>670754</v>
      </c>
      <c r="B40" s="193">
        <v>316571</v>
      </c>
      <c r="C40" s="193" t="s">
        <v>710</v>
      </c>
      <c r="D40" s="193" t="s">
        <v>43</v>
      </c>
      <c r="E40" s="194" t="str">
        <f>_xlfn.XLOOKUP(tblDependencies[[#This Row],[AssetName]],tblApplications[common_assetName],tblApplications[common_moveBundle],"",0,1)</f>
        <v>AppGroupA190</v>
      </c>
      <c r="F40" s="193">
        <v>220746</v>
      </c>
      <c r="G40" s="193" t="s">
        <v>526</v>
      </c>
      <c r="H40" s="193" t="s">
        <v>739</v>
      </c>
      <c r="I40" s="194" t="str">
        <f>_xlfn.XLOOKUP(tblDependencies[[#This Row],[DependentName]],tblTM[common_assetName],tblTM[common_moveBundle],"",0,1)</f>
        <v>AppGroupA190</v>
      </c>
      <c r="J40" s="193" t="s">
        <v>598</v>
      </c>
      <c r="K40" s="193" t="s">
        <v>598</v>
      </c>
      <c r="L40" s="193" t="s">
        <v>743</v>
      </c>
      <c r="M40" s="193" t="s">
        <v>741</v>
      </c>
      <c r="N40" s="194" t="str">
        <f>CONCATENATE(TEXT(_xlfn.XLOOKUP(tblDependencies[[#This Row],[AssetName]],tblDepApp[Applications],tblDepApp[Servers],"",0),"000"),"-",tblDependencies[[#This Row],[AssetName]])</f>
        <v>002-SQL Server System Database-Test</v>
      </c>
      <c r="O40" s="194" t="str">
        <f>TEXT(_xlfn.XLOOKUP(tblDependencies[[#This Row],[DependentName]],tblTM[common_assetName],tblTM[device_os],"r3m0v3m3",0,1),"")</f>
        <v>Microsoft Windows</v>
      </c>
      <c r="P40" s="194">
        <f>1</f>
        <v>1</v>
      </c>
      <c r="Q40" s="194" t="str">
        <f>_xlfn.XLOOKUP(tblDependencies[[#This Row],[DependentName]],tblTM[common_assetName],tblTM[common_environment],"",0,1)</f>
        <v>Test</v>
      </c>
      <c r="R40" s="194" t="str">
        <f>TEXT(_xlfn.XLOOKUP(tblDependencies[[#This Row],[DependentName]],tblTM[common_assetName],tblTM[device_assetType],"-",0),"")</f>
        <v>Server</v>
      </c>
      <c r="S40" s="194" t="str">
        <f>LEFT(TEXT(_xlfn.XLOOKUP(tblDependencies[[#This Row],[DependentName]],tblTM[common_assetName],tblTM[device_custom20],"-",0),""),3)</f>
        <v>SQL</v>
      </c>
      <c r="T40" s="194" t="str">
        <f>IF(LOWER(LEFT(_xlfn.XLOOKUP(tblDependencies[[#This Row],[DependentName]],tblTM[common_assetName],tblTM[device_custom45],"",0,1),1))="y","Yes","No")</f>
        <v>No</v>
      </c>
      <c r="U40" s="194" t="str">
        <f>_xlfn.XLOOKUP(tblDependencies[[#This Row],[DependentName]],tblTM[common_assetName],tblTM[device_ipAddress],"",0,1)</f>
        <v>30.118.196.106,30.118.196.107</v>
      </c>
      <c r="V40" s="193"/>
      <c r="W40" s="193"/>
      <c r="X40" s="194" t="str">
        <f>_xlfn.XLOOKUP(tblDependencies[[#This Row],[DependentName]],tblTM[common_assetName],tblTM[LB],"",0,1)</f>
        <v/>
      </c>
      <c r="Y40" s="194"/>
      <c r="Z40" s="194"/>
    </row>
    <row r="41" spans="1:26" x14ac:dyDescent="0.35">
      <c r="A41" s="193">
        <v>568455</v>
      </c>
      <c r="B41" s="193">
        <v>316522</v>
      </c>
      <c r="C41" s="193" t="s">
        <v>745</v>
      </c>
      <c r="D41" s="193" t="s">
        <v>43</v>
      </c>
      <c r="E41" s="194" t="s">
        <v>798</v>
      </c>
      <c r="F41" s="193">
        <v>193792</v>
      </c>
      <c r="G41" s="193" t="s">
        <v>522</v>
      </c>
      <c r="H41" s="193" t="s">
        <v>739</v>
      </c>
      <c r="I41" s="194" t="str">
        <f>_xlfn.XLOOKUP(tblDependencies[[#This Row],[DependentName]],tblTM[common_assetName],tblTM[common_moveBundle],"",0,1)</f>
        <v>AppGroupA190</v>
      </c>
      <c r="J41" s="193" t="s">
        <v>598</v>
      </c>
      <c r="K41" s="193" t="s">
        <v>598</v>
      </c>
      <c r="L41" s="193" t="s">
        <v>740</v>
      </c>
      <c r="M41" s="193" t="s">
        <v>741</v>
      </c>
      <c r="N41" s="194" t="str">
        <f>CONCATENATE(TEXT(_xlfn.XLOOKUP(tblDependencies[[#This Row],[AssetName]],tblDepApp[Applications],tblDepApp[Servers],"",0),"000"),"-",tblDependencies[[#This Row],[AssetName]])</f>
        <v>002-SOA Atomic Services-Dev</v>
      </c>
      <c r="O41" s="194" t="str">
        <f>TEXT(_xlfn.XLOOKUP(tblDependencies[[#This Row],[DependentName]],tblTM[common_assetName],tblTM[device_os],"r3m0v3m3",0,1),"")</f>
        <v>AIX</v>
      </c>
      <c r="P41" s="194">
        <f>1</f>
        <v>1</v>
      </c>
      <c r="Q41" s="194" t="str">
        <f>_xlfn.XLOOKUP(tblDependencies[[#This Row],[DependentName]],tblTM[common_assetName],tblTM[common_environment],"",0,1)</f>
        <v>Development</v>
      </c>
      <c r="R41" s="194" t="str">
        <f>TEXT(_xlfn.XLOOKUP(tblDependencies[[#This Row],[DependentName]],tblTM[common_assetName],tblTM[device_assetType],"-",0),"")</f>
        <v>AIX-LPAR</v>
      </c>
      <c r="S41" s="194" t="str">
        <f>LEFT(TEXT(_xlfn.XLOOKUP(tblDependencies[[#This Row],[DependentName]],tblTM[common_assetName],tblTM[device_custom20],"-",0),""),3)</f>
        <v/>
      </c>
      <c r="T41" s="194" t="str">
        <f>IF(LOWER(LEFT(_xlfn.XLOOKUP(tblDependencies[[#This Row],[DependentName]],tblTM[common_assetName],tblTM[device_custom45],"",0,1),1))="y","Yes","No")</f>
        <v>No</v>
      </c>
      <c r="U41" s="194" t="str">
        <f>_xlfn.XLOOKUP(tblDependencies[[#This Row],[DependentName]],tblTM[common_assetName],tblTM[device_ipAddress],"",0,1)</f>
        <v>30.135.64.220,30.135.64.221,30.135.64.26</v>
      </c>
      <c r="V41" s="193"/>
      <c r="W41" s="193"/>
      <c r="X41" s="194" t="str">
        <f>_xlfn.XLOOKUP(tblDependencies[[#This Row],[DependentName]],tblTM[common_assetName],tblTM[LB],"",0,1)</f>
        <v/>
      </c>
      <c r="Y41" s="194"/>
      <c r="Z41" s="194"/>
    </row>
    <row r="42" spans="1:26" x14ac:dyDescent="0.35">
      <c r="A42" s="193">
        <v>577301</v>
      </c>
      <c r="B42" s="193">
        <v>316950</v>
      </c>
      <c r="C42" s="193" t="s">
        <v>747</v>
      </c>
      <c r="D42" s="193" t="s">
        <v>43</v>
      </c>
      <c r="E42" s="194" t="s">
        <v>800</v>
      </c>
      <c r="F42" s="193">
        <v>193394</v>
      </c>
      <c r="G42" s="193" t="s">
        <v>517</v>
      </c>
      <c r="H42" s="193" t="s">
        <v>739</v>
      </c>
      <c r="I42" s="194" t="str">
        <f>_xlfn.XLOOKUP(tblDependencies[[#This Row],[DependentName]],tblTM[common_assetName],tblTM[common_moveBundle],"",0,1)</f>
        <v>AppGroupA190</v>
      </c>
      <c r="J42" s="193" t="s">
        <v>598</v>
      </c>
      <c r="K42" s="193" t="s">
        <v>598</v>
      </c>
      <c r="L42" s="193" t="s">
        <v>740</v>
      </c>
      <c r="M42" s="193" t="s">
        <v>741</v>
      </c>
      <c r="N42" s="194" t="str">
        <f>CONCATENATE(TEXT(_xlfn.XLOOKUP(tblDependencies[[#This Row],[AssetName]],tblDepApp[Applications],tblDepApp[Servers],"",0),"000"),"-",tblDependencies[[#This Row],[AssetName]])</f>
        <v>001-eHub - Enterprise Master Person Index (EMPI)-Dev</v>
      </c>
      <c r="O42" s="194" t="str">
        <f>TEXT(_xlfn.XLOOKUP(tblDependencies[[#This Row],[DependentName]],tblTM[common_assetName],tblTM[device_os],"r3m0v3m3",0,1),"")</f>
        <v>AIX</v>
      </c>
      <c r="P42" s="194">
        <f>1</f>
        <v>1</v>
      </c>
      <c r="Q42" s="194" t="str">
        <f>_xlfn.XLOOKUP(tblDependencies[[#This Row],[DependentName]],tblTM[common_assetName],tblTM[common_environment],"",0,1)</f>
        <v>Development</v>
      </c>
      <c r="R42" s="194" t="str">
        <f>TEXT(_xlfn.XLOOKUP(tblDependencies[[#This Row],[DependentName]],tblTM[common_assetName],tblTM[device_assetType],"-",0),"")</f>
        <v>AIX-LPAR</v>
      </c>
      <c r="S42" s="194" t="str">
        <f>LEFT(TEXT(_xlfn.XLOOKUP(tblDependencies[[#This Row],[DependentName]],tblTM[common_assetName],tblTM[device_custom20],"-",0),""),3)</f>
        <v/>
      </c>
      <c r="T42" s="194" t="str">
        <f>IF(LOWER(LEFT(_xlfn.XLOOKUP(tblDependencies[[#This Row],[DependentName]],tblTM[common_assetName],tblTM[device_custom45],"",0,1),1))="y","Yes","No")</f>
        <v>No</v>
      </c>
      <c r="U42" s="194" t="str">
        <f>_xlfn.XLOOKUP(tblDependencies[[#This Row],[DependentName]],tblTM[common_assetName],tblTM[device_ipAddress],"",0,1)</f>
        <v>30.135.64.223,30.135.64.222,30.135.64.27</v>
      </c>
      <c r="V42" s="193"/>
      <c r="W42" s="193"/>
      <c r="X42" s="194" t="str">
        <f>_xlfn.XLOOKUP(tblDependencies[[#This Row],[DependentName]],tblTM[common_assetName],tblTM[LB],"",0,1)</f>
        <v/>
      </c>
      <c r="Y42" s="194"/>
      <c r="Z42" s="194"/>
    </row>
    <row r="43" spans="1:26" x14ac:dyDescent="0.35">
      <c r="A43" s="193">
        <v>569136</v>
      </c>
      <c r="B43" s="193">
        <v>316528</v>
      </c>
      <c r="C43" s="193" t="s">
        <v>746</v>
      </c>
      <c r="D43" s="193" t="s">
        <v>43</v>
      </c>
      <c r="E43" s="194" t="s">
        <v>799</v>
      </c>
      <c r="F43" s="193">
        <v>193396</v>
      </c>
      <c r="G43" s="193" t="s">
        <v>513</v>
      </c>
      <c r="H43" s="193" t="s">
        <v>739</v>
      </c>
      <c r="I43" s="194" t="str">
        <f>_xlfn.XLOOKUP(tblDependencies[[#This Row],[DependentName]],tblTM[common_assetName],tblTM[common_moveBundle],"",0,1)</f>
        <v>AppGroupA190</v>
      </c>
      <c r="J43" s="193" t="s">
        <v>598</v>
      </c>
      <c r="K43" s="193" t="s">
        <v>598</v>
      </c>
      <c r="L43" s="193" t="s">
        <v>598</v>
      </c>
      <c r="M43" s="193" t="s">
        <v>741</v>
      </c>
      <c r="N43" s="194" t="str">
        <f>CONCATENATE(TEXT(_xlfn.XLOOKUP(tblDependencies[[#This Row],[AssetName]],tblDepApp[Applications],tblDepApp[Servers],"",0),"000"),"-",tblDependencies[[#This Row],[AssetName]])</f>
        <v>004-SOA/API - Enterprise Services-Dev</v>
      </c>
      <c r="O43" s="194" t="str">
        <f>TEXT(_xlfn.XLOOKUP(tblDependencies[[#This Row],[DependentName]],tblTM[common_assetName],tblTM[device_os],"r3m0v3m3",0,1),"")</f>
        <v>AIX</v>
      </c>
      <c r="P43" s="194">
        <f>1</f>
        <v>1</v>
      </c>
      <c r="Q43" s="194" t="str">
        <f>_xlfn.XLOOKUP(tblDependencies[[#This Row],[DependentName]],tblTM[common_assetName],tblTM[common_environment],"",0,1)</f>
        <v>Development</v>
      </c>
      <c r="R43" s="194" t="str">
        <f>TEXT(_xlfn.XLOOKUP(tblDependencies[[#This Row],[DependentName]],tblTM[common_assetName],tblTM[device_assetType],"-",0),"")</f>
        <v>AIX-LPAR</v>
      </c>
      <c r="S43" s="194" t="str">
        <f>LEFT(TEXT(_xlfn.XLOOKUP(tblDependencies[[#This Row],[DependentName]],tblTM[common_assetName],tblTM[device_custom20],"-",0),""),3)</f>
        <v/>
      </c>
      <c r="T43" s="194" t="str">
        <f>IF(LOWER(LEFT(_xlfn.XLOOKUP(tblDependencies[[#This Row],[DependentName]],tblTM[common_assetName],tblTM[device_custom45],"",0,1),1))="y","Yes","No")</f>
        <v>No</v>
      </c>
      <c r="U43" s="194" t="str">
        <f>_xlfn.XLOOKUP(tblDependencies[[#This Row],[DependentName]],tblTM[common_assetName],tblTM[device_ipAddress],"",0,1)</f>
        <v>30.135.64.230</v>
      </c>
      <c r="V43" s="193"/>
      <c r="W43" s="193"/>
      <c r="X43" s="194" t="str">
        <f>_xlfn.XLOOKUP(tblDependencies[[#This Row],[DependentName]],tblTM[common_assetName],tblTM[LB],"",0,1)</f>
        <v/>
      </c>
      <c r="Y43" s="194"/>
      <c r="Z43" s="194"/>
    </row>
    <row r="44" spans="1:26" x14ac:dyDescent="0.35">
      <c r="A44" s="193">
        <v>568402</v>
      </c>
      <c r="B44" s="193">
        <v>316519</v>
      </c>
      <c r="C44" s="193" t="s">
        <v>744</v>
      </c>
      <c r="D44" s="193" t="s">
        <v>43</v>
      </c>
      <c r="E44" s="194" t="s">
        <v>798</v>
      </c>
      <c r="F44" s="193">
        <v>193660</v>
      </c>
      <c r="G44" s="193" t="s">
        <v>505</v>
      </c>
      <c r="H44" s="193" t="s">
        <v>739</v>
      </c>
      <c r="I44" s="194" t="str">
        <f>_xlfn.XLOOKUP(tblDependencies[[#This Row],[DependentName]],tblTM[common_assetName],tblTM[common_moveBundle],"",0,1)</f>
        <v>AppGroupA190</v>
      </c>
      <c r="J44" s="193" t="s">
        <v>598</v>
      </c>
      <c r="K44" s="193" t="s">
        <v>598</v>
      </c>
      <c r="L44" s="193" t="s">
        <v>740</v>
      </c>
      <c r="M44" s="193" t="s">
        <v>741</v>
      </c>
      <c r="N44" s="194" t="str">
        <f>CONCATENATE(TEXT(_xlfn.XLOOKUP(tblDependencies[[#This Row],[AssetName]],tblDepApp[Applications],tblDepApp[Servers],"",0),"000"),"-",tblDependencies[[#This Row],[AssetName]])</f>
        <v>001-SOA - Enterprise 27X HIPAA Application-Dev</v>
      </c>
      <c r="O44" s="194" t="str">
        <f>TEXT(_xlfn.XLOOKUP(tblDependencies[[#This Row],[DependentName]],tblTM[common_assetName],tblTM[device_os],"r3m0v3m3",0,1),"")</f>
        <v>AIX</v>
      </c>
      <c r="P44" s="194">
        <f>1</f>
        <v>1</v>
      </c>
      <c r="Q44" s="194" t="str">
        <f>_xlfn.XLOOKUP(tblDependencies[[#This Row],[DependentName]],tblTM[common_assetName],tblTM[common_environment],"",0,1)</f>
        <v>Development</v>
      </c>
      <c r="R44" s="194" t="str">
        <f>TEXT(_xlfn.XLOOKUP(tblDependencies[[#This Row],[DependentName]],tblTM[common_assetName],tblTM[device_assetType],"-",0),"")</f>
        <v>AIX-LPAR</v>
      </c>
      <c r="S44" s="194" t="str">
        <f>LEFT(TEXT(_xlfn.XLOOKUP(tblDependencies[[#This Row],[DependentName]],tblTM[common_assetName],tblTM[device_custom20],"-",0),""),3)</f>
        <v/>
      </c>
      <c r="T44" s="194" t="str">
        <f>IF(LOWER(LEFT(_xlfn.XLOOKUP(tblDependencies[[#This Row],[DependentName]],tblTM[common_assetName],tblTM[device_custom45],"",0,1),1))="y","Yes","No")</f>
        <v>No</v>
      </c>
      <c r="U44" s="194" t="str">
        <f>_xlfn.XLOOKUP(tblDependencies[[#This Row],[DependentName]],tblTM[common_assetName],tblTM[device_ipAddress],"",0,1)</f>
        <v>30.135.64.235</v>
      </c>
      <c r="V44" s="193"/>
      <c r="W44" s="193"/>
      <c r="X44" s="194" t="str">
        <f>_xlfn.XLOOKUP(tblDependencies[[#This Row],[DependentName]],tblTM[common_assetName],tblTM[LB],"",0,1)</f>
        <v/>
      </c>
      <c r="Y44" s="194"/>
      <c r="Z44" s="194"/>
    </row>
    <row r="45" spans="1:26" x14ac:dyDescent="0.35">
      <c r="A45" s="193">
        <v>569137</v>
      </c>
      <c r="B45" s="193">
        <v>316528</v>
      </c>
      <c r="C45" s="193" t="s">
        <v>746</v>
      </c>
      <c r="D45" s="193" t="s">
        <v>43</v>
      </c>
      <c r="E45" s="194" t="s">
        <v>799</v>
      </c>
      <c r="F45" s="193">
        <v>193397</v>
      </c>
      <c r="G45" s="193" t="s">
        <v>500</v>
      </c>
      <c r="H45" s="193" t="s">
        <v>739</v>
      </c>
      <c r="I45" s="194" t="str">
        <f>_xlfn.XLOOKUP(tblDependencies[[#This Row],[DependentName]],tblTM[common_assetName],tblTM[common_moveBundle],"",0,1)</f>
        <v>AppGroupA190</v>
      </c>
      <c r="J45" s="193" t="s">
        <v>598</v>
      </c>
      <c r="K45" s="193" t="s">
        <v>598</v>
      </c>
      <c r="L45" s="193" t="s">
        <v>598</v>
      </c>
      <c r="M45" s="193" t="s">
        <v>741</v>
      </c>
      <c r="N45" s="194" t="str">
        <f>CONCATENATE(TEXT(_xlfn.XLOOKUP(tblDependencies[[#This Row],[AssetName]],tblDepApp[Applications],tblDepApp[Servers],"",0),"000"),"-",tblDependencies[[#This Row],[AssetName]])</f>
        <v>004-SOA/API - Enterprise Services-Dev</v>
      </c>
      <c r="O45" s="194" t="str">
        <f>TEXT(_xlfn.XLOOKUP(tblDependencies[[#This Row],[DependentName]],tblTM[common_assetName],tblTM[device_os],"r3m0v3m3",0,1),"")</f>
        <v>AIX</v>
      </c>
      <c r="P45" s="194">
        <f>1</f>
        <v>1</v>
      </c>
      <c r="Q45" s="194" t="str">
        <f>_xlfn.XLOOKUP(tblDependencies[[#This Row],[DependentName]],tblTM[common_assetName],tblTM[common_environment],"",0,1)</f>
        <v>Development</v>
      </c>
      <c r="R45" s="194" t="str">
        <f>TEXT(_xlfn.XLOOKUP(tblDependencies[[#This Row],[DependentName]],tblTM[common_assetName],tblTM[device_assetType],"-",0),"")</f>
        <v>AIX-LPAR</v>
      </c>
      <c r="S45" s="194" t="str">
        <f>LEFT(TEXT(_xlfn.XLOOKUP(tblDependencies[[#This Row],[DependentName]],tblTM[common_assetName],tblTM[device_custom20],"-",0),""),3)</f>
        <v/>
      </c>
      <c r="T45" s="194" t="str">
        <f>IF(LOWER(LEFT(_xlfn.XLOOKUP(tblDependencies[[#This Row],[DependentName]],tblTM[common_assetName],tblTM[device_custom45],"",0,1),1))="y","Yes","No")</f>
        <v>No</v>
      </c>
      <c r="U45" s="194" t="str">
        <f>_xlfn.XLOOKUP(tblDependencies[[#This Row],[DependentName]],tblTM[common_assetName],tblTM[device_ipAddress],"",0,1)</f>
        <v>30.135.64.236</v>
      </c>
      <c r="V45" s="193"/>
      <c r="W45" s="193"/>
      <c r="X45" s="194" t="str">
        <f>_xlfn.XLOOKUP(tblDependencies[[#This Row],[DependentName]],tblTM[common_assetName],tblTM[LB],"",0,1)</f>
        <v/>
      </c>
      <c r="Y45" s="194"/>
      <c r="Z45" s="194"/>
    </row>
    <row r="46" spans="1:26" x14ac:dyDescent="0.35">
      <c r="A46" s="193">
        <v>568456</v>
      </c>
      <c r="B46" s="193">
        <v>316522</v>
      </c>
      <c r="C46" s="193" t="s">
        <v>745</v>
      </c>
      <c r="D46" s="193" t="s">
        <v>43</v>
      </c>
      <c r="E46" s="194" t="s">
        <v>798</v>
      </c>
      <c r="F46" s="193">
        <v>193582</v>
      </c>
      <c r="G46" s="193" t="s">
        <v>493</v>
      </c>
      <c r="H46" s="193" t="s">
        <v>739</v>
      </c>
      <c r="I46" s="194" t="str">
        <f>_xlfn.XLOOKUP(tblDependencies[[#This Row],[DependentName]],tblTM[common_assetName],tblTM[common_moveBundle],"",0,1)</f>
        <v>AppGroupA190</v>
      </c>
      <c r="J46" s="193" t="s">
        <v>598</v>
      </c>
      <c r="K46" s="193" t="s">
        <v>598</v>
      </c>
      <c r="L46" s="193" t="s">
        <v>740</v>
      </c>
      <c r="M46" s="193" t="s">
        <v>741</v>
      </c>
      <c r="N46" s="194" t="str">
        <f>CONCATENATE(TEXT(_xlfn.XLOOKUP(tblDependencies[[#This Row],[AssetName]],tblDepApp[Applications],tblDepApp[Servers],"",0),"000"),"-",tblDependencies[[#This Row],[AssetName]])</f>
        <v>002-SOA Atomic Services-Dev</v>
      </c>
      <c r="O46" s="194" t="str">
        <f>TEXT(_xlfn.XLOOKUP(tblDependencies[[#This Row],[DependentName]],tblTM[common_assetName],tblTM[device_os],"r3m0v3m3",0,1),"")</f>
        <v>AIX</v>
      </c>
      <c r="P46" s="194">
        <f>1</f>
        <v>1</v>
      </c>
      <c r="Q46" s="194" t="str">
        <f>_xlfn.XLOOKUP(tblDependencies[[#This Row],[DependentName]],tblTM[common_assetName],tblTM[common_environment],"",0,1)</f>
        <v>Development</v>
      </c>
      <c r="R46" s="194" t="str">
        <f>TEXT(_xlfn.XLOOKUP(tblDependencies[[#This Row],[DependentName]],tblTM[common_assetName],tblTM[device_assetType],"-",0),"")</f>
        <v>AIX-LPAR</v>
      </c>
      <c r="S46" s="194" t="str">
        <f>LEFT(TEXT(_xlfn.XLOOKUP(tblDependencies[[#This Row],[DependentName]],tblTM[common_assetName],tblTM[device_custom20],"-",0),""),3)</f>
        <v/>
      </c>
      <c r="T46" s="194" t="str">
        <f>IF(LOWER(LEFT(_xlfn.XLOOKUP(tblDependencies[[#This Row],[DependentName]],tblTM[common_assetName],tblTM[device_custom45],"",0,1),1))="y","Yes","No")</f>
        <v>No</v>
      </c>
      <c r="U46" s="194" t="str">
        <f>_xlfn.XLOOKUP(tblDependencies[[#This Row],[DependentName]],tblTM[common_assetName],tblTM[device_ipAddress],"",0,1)</f>
        <v>30.135.64.238,30.135.64.40</v>
      </c>
      <c r="V46" s="193"/>
      <c r="W46" s="193"/>
      <c r="X46" s="194" t="str">
        <f>_xlfn.XLOOKUP(tblDependencies[[#This Row],[DependentName]],tblTM[common_assetName],tblTM[LB],"",0,1)</f>
        <v/>
      </c>
      <c r="Y46" s="194"/>
      <c r="Z46" s="194"/>
    </row>
    <row r="47" spans="1:26" x14ac:dyDescent="0.35">
      <c r="A47" s="193">
        <v>672249</v>
      </c>
      <c r="B47" s="193">
        <v>356455</v>
      </c>
      <c r="C47" s="193" t="s">
        <v>749</v>
      </c>
      <c r="D47" s="193" t="s">
        <v>43</v>
      </c>
      <c r="E47" s="194" t="s">
        <v>802</v>
      </c>
      <c r="F47" s="193">
        <v>193663</v>
      </c>
      <c r="G47" s="193" t="s">
        <v>477</v>
      </c>
      <c r="H47" s="193" t="s">
        <v>739</v>
      </c>
      <c r="I47" s="194" t="str">
        <f>_xlfn.XLOOKUP(tblDependencies[[#This Row],[DependentName]],tblTM[common_assetName],tblTM[common_moveBundle],"",0,1)</f>
        <v>AppGroupA190</v>
      </c>
      <c r="J47" s="193" t="s">
        <v>598</v>
      </c>
      <c r="K47" s="193" t="s">
        <v>598</v>
      </c>
      <c r="L47" s="193" t="s">
        <v>598</v>
      </c>
      <c r="M47" s="193" t="s">
        <v>741</v>
      </c>
      <c r="N47" s="194" t="str">
        <f>CONCATENATE(TEXT(_xlfn.XLOOKUP(tblDependencies[[#This Row],[AssetName]],tblDepApp[Applications],tblDepApp[Servers],"",0),"000"),"-",tblDependencies[[#This Row],[AssetName]])</f>
        <v>001-Legacy Provider Finder-Test</v>
      </c>
      <c r="O47" s="194" t="str">
        <f>TEXT(_xlfn.XLOOKUP(tblDependencies[[#This Row],[DependentName]],tblTM[common_assetName],tblTM[device_os],"r3m0v3m3",0,1),"")</f>
        <v>AIX</v>
      </c>
      <c r="P47" s="194">
        <f>1</f>
        <v>1</v>
      </c>
      <c r="Q47" s="194" t="str">
        <f>_xlfn.XLOOKUP(tblDependencies[[#This Row],[DependentName]],tblTM[common_assetName],tblTM[common_environment],"",0,1)</f>
        <v>Test</v>
      </c>
      <c r="R47" s="194" t="str">
        <f>TEXT(_xlfn.XLOOKUP(tblDependencies[[#This Row],[DependentName]],tblTM[common_assetName],tblTM[device_assetType],"-",0),"")</f>
        <v>AIX-LPAR</v>
      </c>
      <c r="S47" s="194" t="str">
        <f>LEFT(TEXT(_xlfn.XLOOKUP(tblDependencies[[#This Row],[DependentName]],tblTM[common_assetName],tblTM[device_custom20],"-",0),""),3)</f>
        <v>DB2</v>
      </c>
      <c r="T47" s="194" t="str">
        <f>IF(LOWER(LEFT(_xlfn.XLOOKUP(tblDependencies[[#This Row],[DependentName]],tblTM[common_assetName],tblTM[device_custom45],"",0,1),1))="y","Yes","No")</f>
        <v>No</v>
      </c>
      <c r="U47" s="194" t="str">
        <f>_xlfn.XLOOKUP(tblDependencies[[#This Row],[DependentName]],tblTM[common_assetName],tblTM[device_ipAddress],"",0,1)</f>
        <v>30.135.64.125</v>
      </c>
      <c r="V47" s="193"/>
      <c r="W47" s="193"/>
      <c r="X47" s="194" t="str">
        <f>_xlfn.XLOOKUP(tblDependencies[[#This Row],[DependentName]],tblTM[common_assetName],tblTM[LB],"",0,1)</f>
        <v/>
      </c>
      <c r="Y47" s="194"/>
      <c r="Z47" s="194"/>
    </row>
    <row r="50" spans="3:4" x14ac:dyDescent="0.35">
      <c r="C50" t="s">
        <v>43</v>
      </c>
      <c r="D50" t="s">
        <v>186</v>
      </c>
    </row>
    <row r="51" spans="3:4" x14ac:dyDescent="0.35">
      <c r="C51" s="172" t="s">
        <v>748</v>
      </c>
      <c r="D51" s="184">
        <f>_xlfn.LET(_xlpm.AppCount,COUNTIFS(tblDependencies[Scope],"",tblDependencies[AssetName],tblDepApp[[#This Row],[Applications]]),IF(_xlpm.AppCount=0,"",_xlpm.AppCount))</f>
        <v>2</v>
      </c>
    </row>
    <row r="52" spans="3:4" x14ac:dyDescent="0.35">
      <c r="C52" s="215" t="s">
        <v>747</v>
      </c>
      <c r="D52" s="184">
        <f>_xlfn.LET(_xlpm.AppCount,COUNTIFS(tblDependencies[Scope],"",tblDependencies[AssetName],tblDepApp[[#This Row],[Applications]]),IF(_xlpm.AppCount=0,"",_xlpm.AppCount))</f>
        <v>1</v>
      </c>
    </row>
    <row r="53" spans="3:4" x14ac:dyDescent="0.35">
      <c r="C53" s="164" t="s">
        <v>729</v>
      </c>
      <c r="D53" s="184">
        <f>_xlfn.LET(_xlpm.AppCount,COUNTIFS(tblDependencies[Scope],"",tblDependencies[AssetName],tblDepApp[[#This Row],[Applications]]),IF(_xlpm.AppCount=0,"",_xlpm.AppCount))</f>
        <v>28</v>
      </c>
    </row>
    <row r="54" spans="3:4" x14ac:dyDescent="0.35">
      <c r="C54" s="215" t="s">
        <v>749</v>
      </c>
      <c r="D54" s="184">
        <f>_xlfn.LET(_xlpm.AppCount,COUNTIFS(tblDependencies[Scope],"",tblDependencies[AssetName],tblDepApp[[#This Row],[Applications]]),IF(_xlpm.AppCount=0,"",_xlpm.AppCount))</f>
        <v>1</v>
      </c>
    </row>
    <row r="55" spans="3:4" x14ac:dyDescent="0.35">
      <c r="C55" s="215" t="s">
        <v>750</v>
      </c>
      <c r="D55" s="184">
        <f>_xlfn.LET(_xlpm.AppCount,COUNTIFS(tblDependencies[Scope],"",tblDependencies[AssetName],tblDepApp[[#This Row],[Applications]]),IF(_xlpm.AppCount=0,"",_xlpm.AppCount))</f>
        <v>1</v>
      </c>
    </row>
    <row r="56" spans="3:4" x14ac:dyDescent="0.35">
      <c r="C56" s="215" t="s">
        <v>744</v>
      </c>
      <c r="D56" s="184">
        <f>_xlfn.LET(_xlpm.AppCount,COUNTIFS(tblDependencies[Scope],"",tblDependencies[AssetName],tblDepApp[[#This Row],[Applications]]),IF(_xlpm.AppCount=0,"",_xlpm.AppCount))</f>
        <v>1</v>
      </c>
    </row>
    <row r="57" spans="3:4" x14ac:dyDescent="0.35">
      <c r="C57" s="173" t="s">
        <v>745</v>
      </c>
      <c r="D57" s="184">
        <f>_xlfn.LET(_xlpm.AppCount,COUNTIFS(tblDependencies[Scope],"",tblDependencies[AssetName],tblDepApp[[#This Row],[Applications]]),IF(_xlpm.AppCount=0,"",_xlpm.AppCount))</f>
        <v>2</v>
      </c>
    </row>
    <row r="58" spans="3:4" x14ac:dyDescent="0.35">
      <c r="C58" s="171" t="s">
        <v>746</v>
      </c>
      <c r="D58" s="184">
        <f>_xlfn.LET(_xlpm.AppCount,COUNTIFS(tblDependencies[Scope],"",tblDependencies[AssetName],tblDepApp[[#This Row],[Applications]]),IF(_xlpm.AppCount=0,"",_xlpm.AppCount))</f>
        <v>4</v>
      </c>
    </row>
    <row r="59" spans="3:4" x14ac:dyDescent="0.35">
      <c r="C59" s="174" t="s">
        <v>721</v>
      </c>
      <c r="D59" s="184">
        <f>_xlfn.LET(_xlpm.AppCount,COUNTIFS(tblDependencies[Scope],"",tblDependencies[AssetName],tblDepApp[[#This Row],[Applications]]),IF(_xlpm.AppCount=0,"",_xlpm.AppCount))</f>
        <v>2</v>
      </c>
    </row>
    <row r="60" spans="3:4" x14ac:dyDescent="0.35">
      <c r="C60" s="175" t="s">
        <v>720</v>
      </c>
      <c r="D60">
        <f>_xlfn.LET(_xlpm.AppCount,COUNTIFS(tblDependencies[Scope],"",tblDependencies[AssetName],tblDepApp[[#This Row],[Applications]]),IF(_xlpm.AppCount=0,"",_xlpm.AppCount))</f>
        <v>2</v>
      </c>
    </row>
    <row r="61" spans="3:4" x14ac:dyDescent="0.35">
      <c r="C61" s="176" t="s">
        <v>710</v>
      </c>
      <c r="D61" s="184">
        <f>_xlfn.LET(_xlpm.AppCount,COUNTIFS(tblDependencies[Scope],"",tblDependencies[AssetName],tblDepApp[[#This Row],[Applications]]),IF(_xlpm.AppCount=0,"",_xlpm.AppCount))</f>
        <v>2</v>
      </c>
    </row>
  </sheetData>
  <phoneticPr fontId="14" type="noConversion"/>
  <conditionalFormatting sqref="C2:E47">
    <cfRule type="expression" dxfId="43" priority="3">
      <formula>INDIRECT("tblDependencies[@AssetBundle]")&lt;&gt;INDIRECT("tblDependencies[@DependentBundle]")</formula>
    </cfRule>
  </conditionalFormatting>
  <conditionalFormatting sqref="A2:X47">
    <cfRule type="expression" dxfId="42" priority="2">
      <formula>INDIRECT("tblDependencies[@Scope]")="OOS"</formula>
    </cfRule>
  </conditionalFormatting>
  <conditionalFormatting sqref="Z2:Z47">
    <cfRule type="cellIs" dxfId="41" priority="1" operator="equal">
      <formula>FALSE</formula>
    </cfRule>
  </conditionalFormatting>
  <conditionalFormatting sqref="G2:G47">
    <cfRule type="duplicateValues" dxfId="40" priority="81150"/>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AAQDepPM">
                <anchor moveWithCells="1" sizeWithCells="1">
                  <from>
                    <xdr:col>2</xdr:col>
                    <xdr:colOff>1422400</xdr:colOff>
                    <xdr:row>0</xdr:row>
                    <xdr:rowOff>31750</xdr:rowOff>
                  </from>
                  <to>
                    <xdr:col>2</xdr:col>
                    <xdr:colOff>3130550</xdr:colOff>
                    <xdr:row>0</xdr:row>
                    <xdr:rowOff>203200</xdr:rowOff>
                  </to>
                </anchor>
              </controlPr>
            </control>
          </mc:Choice>
        </mc:AlternateContent>
      </controls>
    </mc:Choice>
  </mc:AlternateContent>
  <tableParts count="2">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8D72A-17B9-4E65-AFB7-1AEDAA154F03}">
  <sheetPr codeName="Sheet26">
    <tabColor rgb="FFFFC7CE"/>
  </sheetPr>
  <dimension ref="A2:B58"/>
  <sheetViews>
    <sheetView workbookViewId="0"/>
  </sheetViews>
  <sheetFormatPr defaultColWidth="8.83203125" defaultRowHeight="15.5" x14ac:dyDescent="0.35"/>
  <cols>
    <col min="1" max="1" width="20.58203125" customWidth="1"/>
    <col min="2" max="2" width="16.5" customWidth="1"/>
    <col min="3" max="10" width="20.5" customWidth="1"/>
    <col min="11" max="12" width="15.5" customWidth="1"/>
  </cols>
  <sheetData>
    <row r="2" spans="1:2" x14ac:dyDescent="0.35">
      <c r="A2" s="215" t="s">
        <v>706</v>
      </c>
      <c r="B2" s="164" t="s">
        <v>808</v>
      </c>
    </row>
    <row r="3" spans="1:2" x14ac:dyDescent="0.35">
      <c r="A3" s="215" t="s">
        <v>702</v>
      </c>
      <c r="B3" s="164" t="s">
        <v>808</v>
      </c>
    </row>
    <row r="4" spans="1:2" x14ac:dyDescent="0.35">
      <c r="A4" s="215" t="s">
        <v>698</v>
      </c>
      <c r="B4" s="164" t="s">
        <v>808</v>
      </c>
    </row>
    <row r="5" spans="1:2" x14ac:dyDescent="0.35">
      <c r="A5" s="215" t="s">
        <v>694</v>
      </c>
      <c r="B5" s="164" t="s">
        <v>808</v>
      </c>
    </row>
    <row r="6" spans="1:2" x14ac:dyDescent="0.35">
      <c r="A6" s="215" t="s">
        <v>690</v>
      </c>
      <c r="B6" s="164" t="s">
        <v>808</v>
      </c>
    </row>
    <row r="7" spans="1:2" x14ac:dyDescent="0.35">
      <c r="A7" s="215" t="s">
        <v>686</v>
      </c>
      <c r="B7" s="164" t="s">
        <v>808</v>
      </c>
    </row>
    <row r="8" spans="1:2" x14ac:dyDescent="0.35">
      <c r="A8" s="215" t="s">
        <v>682</v>
      </c>
      <c r="B8" s="164" t="s">
        <v>808</v>
      </c>
    </row>
    <row r="9" spans="1:2" x14ac:dyDescent="0.35">
      <c r="A9" s="215" t="s">
        <v>678</v>
      </c>
      <c r="B9" s="164" t="s">
        <v>808</v>
      </c>
    </row>
    <row r="10" spans="1:2" x14ac:dyDescent="0.35">
      <c r="A10" s="215" t="s">
        <v>674</v>
      </c>
      <c r="B10" s="164" t="s">
        <v>808</v>
      </c>
    </row>
    <row r="11" spans="1:2" x14ac:dyDescent="0.35">
      <c r="A11" s="215" t="s">
        <v>670</v>
      </c>
      <c r="B11" s="164" t="s">
        <v>808</v>
      </c>
    </row>
    <row r="12" spans="1:2" x14ac:dyDescent="0.35">
      <c r="A12" s="215" t="s">
        <v>666</v>
      </c>
      <c r="B12" s="164" t="s">
        <v>808</v>
      </c>
    </row>
    <row r="13" spans="1:2" x14ac:dyDescent="0.35">
      <c r="A13" s="215" t="s">
        <v>662</v>
      </c>
      <c r="B13" s="164" t="s">
        <v>808</v>
      </c>
    </row>
    <row r="14" spans="1:2" x14ac:dyDescent="0.35">
      <c r="A14" s="215" t="s">
        <v>658</v>
      </c>
      <c r="B14" s="164" t="s">
        <v>808</v>
      </c>
    </row>
    <row r="15" spans="1:2" x14ac:dyDescent="0.35">
      <c r="A15" s="215" t="s">
        <v>654</v>
      </c>
      <c r="B15" s="164" t="s">
        <v>808</v>
      </c>
    </row>
    <row r="16" spans="1:2" x14ac:dyDescent="0.35">
      <c r="A16" s="215" t="s">
        <v>650</v>
      </c>
      <c r="B16" s="164" t="s">
        <v>808</v>
      </c>
    </row>
    <row r="17" spans="1:2" x14ac:dyDescent="0.35">
      <c r="A17" s="215" t="s">
        <v>646</v>
      </c>
      <c r="B17" s="164" t="s">
        <v>808</v>
      </c>
    </row>
    <row r="18" spans="1:2" x14ac:dyDescent="0.35">
      <c r="A18" s="215" t="s">
        <v>642</v>
      </c>
      <c r="B18" s="164" t="s">
        <v>808</v>
      </c>
    </row>
    <row r="19" spans="1:2" x14ac:dyDescent="0.35">
      <c r="A19" s="215" t="s">
        <v>638</v>
      </c>
      <c r="B19" s="164" t="s">
        <v>808</v>
      </c>
    </row>
    <row r="20" spans="1:2" x14ac:dyDescent="0.35">
      <c r="A20" s="215" t="s">
        <v>634</v>
      </c>
      <c r="B20" s="164" t="s">
        <v>808</v>
      </c>
    </row>
    <row r="21" spans="1:2" x14ac:dyDescent="0.35">
      <c r="A21" s="215" t="s">
        <v>630</v>
      </c>
      <c r="B21" s="164" t="s">
        <v>808</v>
      </c>
    </row>
    <row r="22" spans="1:2" x14ac:dyDescent="0.35">
      <c r="A22" s="215" t="s">
        <v>626</v>
      </c>
      <c r="B22" s="164" t="s">
        <v>808</v>
      </c>
    </row>
    <row r="23" spans="1:2" x14ac:dyDescent="0.35">
      <c r="A23" s="215" t="s">
        <v>622</v>
      </c>
      <c r="B23" s="164" t="s">
        <v>808</v>
      </c>
    </row>
    <row r="24" spans="1:2" x14ac:dyDescent="0.35">
      <c r="A24" s="215" t="s">
        <v>618</v>
      </c>
      <c r="B24" s="164" t="s">
        <v>808</v>
      </c>
    </row>
    <row r="25" spans="1:2" x14ac:dyDescent="0.35">
      <c r="A25" s="215" t="s">
        <v>614</v>
      </c>
      <c r="B25" s="164" t="s">
        <v>808</v>
      </c>
    </row>
    <row r="26" spans="1:2" x14ac:dyDescent="0.35">
      <c r="A26" s="215" t="s">
        <v>610</v>
      </c>
      <c r="B26" s="164" t="s">
        <v>808</v>
      </c>
    </row>
    <row r="27" spans="1:2" x14ac:dyDescent="0.35">
      <c r="A27" s="215" t="s">
        <v>606</v>
      </c>
      <c r="B27" s="164" t="s">
        <v>808</v>
      </c>
    </row>
    <row r="28" spans="1:2" x14ac:dyDescent="0.35">
      <c r="A28" s="215" t="s">
        <v>602</v>
      </c>
      <c r="B28" s="164" t="s">
        <v>808</v>
      </c>
    </row>
    <row r="29" spans="1:2" x14ac:dyDescent="0.35">
      <c r="A29" s="215" t="s">
        <v>596</v>
      </c>
      <c r="B29" s="164" t="s">
        <v>808</v>
      </c>
    </row>
    <row r="30" spans="1:2" x14ac:dyDescent="0.35">
      <c r="A30" s="215"/>
      <c r="B30" s="215"/>
    </row>
    <row r="31" spans="1:2" x14ac:dyDescent="0.35">
      <c r="A31" s="215" t="s">
        <v>584</v>
      </c>
      <c r="B31" s="171" t="s">
        <v>809</v>
      </c>
    </row>
    <row r="32" spans="1:2" x14ac:dyDescent="0.35">
      <c r="A32" s="215" t="s">
        <v>579</v>
      </c>
      <c r="B32" s="171" t="s">
        <v>809</v>
      </c>
    </row>
    <row r="33" spans="1:2" x14ac:dyDescent="0.35">
      <c r="A33" s="215" t="s">
        <v>513</v>
      </c>
      <c r="B33" s="171" t="s">
        <v>809</v>
      </c>
    </row>
    <row r="34" spans="1:2" x14ac:dyDescent="0.35">
      <c r="A34" s="215" t="s">
        <v>500</v>
      </c>
      <c r="B34" s="171" t="s">
        <v>809</v>
      </c>
    </row>
    <row r="35" spans="1:2" x14ac:dyDescent="0.35">
      <c r="A35" s="215"/>
      <c r="B35" s="215"/>
    </row>
    <row r="36" spans="1:2" x14ac:dyDescent="0.35">
      <c r="A36" s="215" t="s">
        <v>557</v>
      </c>
      <c r="B36" s="172" t="s">
        <v>810</v>
      </c>
    </row>
    <row r="37" spans="1:2" x14ac:dyDescent="0.35">
      <c r="A37" s="215" t="s">
        <v>544</v>
      </c>
      <c r="B37" s="172" t="s">
        <v>810</v>
      </c>
    </row>
    <row r="38" spans="1:2" x14ac:dyDescent="0.35">
      <c r="A38" s="215"/>
      <c r="B38" s="215"/>
    </row>
    <row r="39" spans="1:2" x14ac:dyDescent="0.35">
      <c r="A39" s="215" t="s">
        <v>522</v>
      </c>
      <c r="B39" s="173" t="s">
        <v>811</v>
      </c>
    </row>
    <row r="40" spans="1:2" x14ac:dyDescent="0.35">
      <c r="A40" s="215" t="s">
        <v>493</v>
      </c>
      <c r="B40" s="173" t="s">
        <v>811</v>
      </c>
    </row>
    <row r="41" spans="1:2" x14ac:dyDescent="0.35">
      <c r="A41" s="215"/>
      <c r="B41" s="215"/>
    </row>
    <row r="42" spans="1:2" x14ac:dyDescent="0.35">
      <c r="A42" s="215" t="s">
        <v>592</v>
      </c>
      <c r="B42" s="174" t="s">
        <v>812</v>
      </c>
    </row>
    <row r="43" spans="1:2" x14ac:dyDescent="0.35">
      <c r="A43" s="215" t="s">
        <v>588</v>
      </c>
      <c r="B43" s="174" t="s">
        <v>812</v>
      </c>
    </row>
    <row r="44" spans="1:2" x14ac:dyDescent="0.35">
      <c r="A44" s="215"/>
      <c r="B44" s="215"/>
    </row>
    <row r="45" spans="1:2" x14ac:dyDescent="0.35">
      <c r="A45" s="215" t="s">
        <v>568</v>
      </c>
      <c r="B45" s="175" t="s">
        <v>813</v>
      </c>
    </row>
    <row r="46" spans="1:2" x14ac:dyDescent="0.35">
      <c r="A46" s="215" t="s">
        <v>561</v>
      </c>
      <c r="B46" s="175" t="s">
        <v>813</v>
      </c>
    </row>
    <row r="47" spans="1:2" x14ac:dyDescent="0.35">
      <c r="A47" s="215"/>
      <c r="B47" s="215"/>
    </row>
    <row r="48" spans="1:2" x14ac:dyDescent="0.35">
      <c r="A48" s="215" t="s">
        <v>540</v>
      </c>
      <c r="B48" s="176" t="s">
        <v>814</v>
      </c>
    </row>
    <row r="49" spans="1:2" x14ac:dyDescent="0.35">
      <c r="A49" s="215" t="s">
        <v>526</v>
      </c>
      <c r="B49" s="176" t="s">
        <v>814</v>
      </c>
    </row>
    <row r="50" spans="1:2" x14ac:dyDescent="0.35">
      <c r="A50" s="215"/>
      <c r="B50" s="215"/>
    </row>
    <row r="51" spans="1:2" x14ac:dyDescent="0.35">
      <c r="A51" s="215" t="s">
        <v>517</v>
      </c>
      <c r="B51" s="215" t="s">
        <v>815</v>
      </c>
    </row>
    <row r="52" spans="1:2" x14ac:dyDescent="0.35">
      <c r="A52" s="215"/>
      <c r="B52" s="215"/>
    </row>
    <row r="53" spans="1:2" x14ac:dyDescent="0.35">
      <c r="A53" s="215" t="s">
        <v>477</v>
      </c>
      <c r="B53" s="215" t="s">
        <v>816</v>
      </c>
    </row>
    <row r="54" spans="1:2" x14ac:dyDescent="0.35">
      <c r="A54" s="215"/>
      <c r="B54" s="215"/>
    </row>
    <row r="55" spans="1:2" x14ac:dyDescent="0.35">
      <c r="A55" s="215" t="s">
        <v>572</v>
      </c>
      <c r="B55" s="215" t="s">
        <v>817</v>
      </c>
    </row>
    <row r="56" spans="1:2" x14ac:dyDescent="0.35">
      <c r="A56" s="215"/>
      <c r="B56" s="215"/>
    </row>
    <row r="57" spans="1:2" x14ac:dyDescent="0.35">
      <c r="A57" s="215" t="s">
        <v>505</v>
      </c>
      <c r="B57" s="215" t="s">
        <v>818</v>
      </c>
    </row>
    <row r="58" spans="1:2" x14ac:dyDescent="0.35">
      <c r="A58" s="215"/>
      <c r="B58" s="215"/>
    </row>
  </sheetData>
  <conditionalFormatting sqref="B400:B1048576">
    <cfRule type="duplicateValues" dxfId="39" priority="66086"/>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Affinities">
                <anchor moveWithCells="1" sizeWithCells="1">
                  <from>
                    <xdr:col>0</xdr:col>
                    <xdr:colOff>63500</xdr:colOff>
                    <xdr:row>0</xdr:row>
                    <xdr:rowOff>63500</xdr:rowOff>
                  </from>
                  <to>
                    <xdr:col>0</xdr:col>
                    <xdr:colOff>1098550</xdr:colOff>
                    <xdr:row>0</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01275-5347-4EC9-8CD3-E65CBE5E35D4}">
  <sheetPr codeName="Sheet20"/>
  <dimension ref="A3:B61"/>
  <sheetViews>
    <sheetView workbookViewId="0">
      <selection activeCell="A95" sqref="A95"/>
    </sheetView>
  </sheetViews>
  <sheetFormatPr defaultColWidth="9" defaultRowHeight="15.5" x14ac:dyDescent="0.35"/>
  <cols>
    <col min="1" max="1" width="45" bestFit="1" customWidth="1"/>
    <col min="2" max="2" width="8.25" bestFit="1" customWidth="1"/>
  </cols>
  <sheetData>
    <row r="3" spans="1:2" x14ac:dyDescent="0.35">
      <c r="A3" s="34" t="s">
        <v>187</v>
      </c>
      <c r="B3" t="s">
        <v>188</v>
      </c>
    </row>
    <row r="4" spans="1:2" x14ac:dyDescent="0.35">
      <c r="A4" s="26" t="s">
        <v>729</v>
      </c>
      <c r="B4" s="184">
        <v>28</v>
      </c>
    </row>
    <row r="5" spans="1:2" x14ac:dyDescent="0.35">
      <c r="A5" s="35" t="s">
        <v>706</v>
      </c>
      <c r="B5" s="184">
        <v>1</v>
      </c>
    </row>
    <row r="6" spans="1:2" x14ac:dyDescent="0.35">
      <c r="A6" s="35" t="s">
        <v>702</v>
      </c>
      <c r="B6" s="184">
        <v>1</v>
      </c>
    </row>
    <row r="7" spans="1:2" x14ac:dyDescent="0.35">
      <c r="A7" s="35" t="s">
        <v>698</v>
      </c>
      <c r="B7" s="184">
        <v>1</v>
      </c>
    </row>
    <row r="8" spans="1:2" x14ac:dyDescent="0.35">
      <c r="A8" s="35" t="s">
        <v>694</v>
      </c>
      <c r="B8" s="184">
        <v>1</v>
      </c>
    </row>
    <row r="9" spans="1:2" x14ac:dyDescent="0.35">
      <c r="A9" s="35" t="s">
        <v>690</v>
      </c>
      <c r="B9" s="184">
        <v>1</v>
      </c>
    </row>
    <row r="10" spans="1:2" x14ac:dyDescent="0.35">
      <c r="A10" s="35" t="s">
        <v>686</v>
      </c>
      <c r="B10" s="184">
        <v>1</v>
      </c>
    </row>
    <row r="11" spans="1:2" x14ac:dyDescent="0.35">
      <c r="A11" s="35" t="s">
        <v>682</v>
      </c>
      <c r="B11" s="184">
        <v>1</v>
      </c>
    </row>
    <row r="12" spans="1:2" x14ac:dyDescent="0.35">
      <c r="A12" s="35" t="s">
        <v>678</v>
      </c>
      <c r="B12" s="184">
        <v>1</v>
      </c>
    </row>
    <row r="13" spans="1:2" x14ac:dyDescent="0.35">
      <c r="A13" s="35" t="s">
        <v>674</v>
      </c>
      <c r="B13" s="184">
        <v>1</v>
      </c>
    </row>
    <row r="14" spans="1:2" x14ac:dyDescent="0.35">
      <c r="A14" s="35" t="s">
        <v>670</v>
      </c>
      <c r="B14" s="184">
        <v>1</v>
      </c>
    </row>
    <row r="15" spans="1:2" x14ac:dyDescent="0.35">
      <c r="A15" s="35" t="s">
        <v>666</v>
      </c>
      <c r="B15" s="184">
        <v>1</v>
      </c>
    </row>
    <row r="16" spans="1:2" x14ac:dyDescent="0.35">
      <c r="A16" s="35" t="s">
        <v>662</v>
      </c>
      <c r="B16" s="184">
        <v>1</v>
      </c>
    </row>
    <row r="17" spans="1:2" x14ac:dyDescent="0.35">
      <c r="A17" s="35" t="s">
        <v>658</v>
      </c>
      <c r="B17" s="184">
        <v>1</v>
      </c>
    </row>
    <row r="18" spans="1:2" x14ac:dyDescent="0.35">
      <c r="A18" s="35" t="s">
        <v>654</v>
      </c>
      <c r="B18" s="184">
        <v>1</v>
      </c>
    </row>
    <row r="19" spans="1:2" x14ac:dyDescent="0.35">
      <c r="A19" s="35" t="s">
        <v>650</v>
      </c>
      <c r="B19" s="184">
        <v>1</v>
      </c>
    </row>
    <row r="20" spans="1:2" x14ac:dyDescent="0.35">
      <c r="A20" s="35" t="s">
        <v>646</v>
      </c>
      <c r="B20" s="184">
        <v>1</v>
      </c>
    </row>
    <row r="21" spans="1:2" x14ac:dyDescent="0.35">
      <c r="A21" s="35" t="s">
        <v>642</v>
      </c>
      <c r="B21" s="184">
        <v>1</v>
      </c>
    </row>
    <row r="22" spans="1:2" x14ac:dyDescent="0.35">
      <c r="A22" s="35" t="s">
        <v>638</v>
      </c>
      <c r="B22" s="184">
        <v>1</v>
      </c>
    </row>
    <row r="23" spans="1:2" x14ac:dyDescent="0.35">
      <c r="A23" s="35" t="s">
        <v>634</v>
      </c>
      <c r="B23" s="184">
        <v>1</v>
      </c>
    </row>
    <row r="24" spans="1:2" x14ac:dyDescent="0.35">
      <c r="A24" s="35" t="s">
        <v>630</v>
      </c>
      <c r="B24" s="184">
        <v>1</v>
      </c>
    </row>
    <row r="25" spans="1:2" x14ac:dyDescent="0.35">
      <c r="A25" s="35" t="s">
        <v>626</v>
      </c>
      <c r="B25" s="184">
        <v>1</v>
      </c>
    </row>
    <row r="26" spans="1:2" x14ac:dyDescent="0.35">
      <c r="A26" s="35" t="s">
        <v>622</v>
      </c>
      <c r="B26" s="184">
        <v>1</v>
      </c>
    </row>
    <row r="27" spans="1:2" x14ac:dyDescent="0.35">
      <c r="A27" s="35" t="s">
        <v>618</v>
      </c>
      <c r="B27" s="184">
        <v>1</v>
      </c>
    </row>
    <row r="28" spans="1:2" x14ac:dyDescent="0.35">
      <c r="A28" s="35" t="s">
        <v>614</v>
      </c>
      <c r="B28" s="184">
        <v>1</v>
      </c>
    </row>
    <row r="29" spans="1:2" x14ac:dyDescent="0.35">
      <c r="A29" s="35" t="s">
        <v>610</v>
      </c>
      <c r="B29" s="184">
        <v>1</v>
      </c>
    </row>
    <row r="30" spans="1:2" x14ac:dyDescent="0.35">
      <c r="A30" s="35" t="s">
        <v>606</v>
      </c>
      <c r="B30" s="184">
        <v>1</v>
      </c>
    </row>
    <row r="31" spans="1:2" x14ac:dyDescent="0.35">
      <c r="A31" s="35" t="s">
        <v>602</v>
      </c>
      <c r="B31" s="184">
        <v>1</v>
      </c>
    </row>
    <row r="32" spans="1:2" x14ac:dyDescent="0.35">
      <c r="A32" s="35" t="s">
        <v>596</v>
      </c>
      <c r="B32" s="184">
        <v>1</v>
      </c>
    </row>
    <row r="33" spans="1:2" x14ac:dyDescent="0.35">
      <c r="A33" s="26" t="s">
        <v>745</v>
      </c>
      <c r="B33" s="184">
        <v>2</v>
      </c>
    </row>
    <row r="34" spans="1:2" x14ac:dyDescent="0.35">
      <c r="A34" s="35" t="s">
        <v>493</v>
      </c>
      <c r="B34" s="184">
        <v>1</v>
      </c>
    </row>
    <row r="35" spans="1:2" x14ac:dyDescent="0.35">
      <c r="A35" s="35" t="s">
        <v>522</v>
      </c>
      <c r="B35" s="184">
        <v>1</v>
      </c>
    </row>
    <row r="36" spans="1:2" x14ac:dyDescent="0.35">
      <c r="A36" s="26" t="s">
        <v>747</v>
      </c>
      <c r="B36" s="184">
        <v>1</v>
      </c>
    </row>
    <row r="37" spans="1:2" x14ac:dyDescent="0.35">
      <c r="A37" s="35" t="s">
        <v>517</v>
      </c>
      <c r="B37" s="184">
        <v>1</v>
      </c>
    </row>
    <row r="38" spans="1:2" x14ac:dyDescent="0.35">
      <c r="A38" s="26" t="s">
        <v>746</v>
      </c>
      <c r="B38" s="184">
        <v>4</v>
      </c>
    </row>
    <row r="39" spans="1:2" x14ac:dyDescent="0.35">
      <c r="A39" s="35" t="s">
        <v>513</v>
      </c>
      <c r="B39" s="184">
        <v>1</v>
      </c>
    </row>
    <row r="40" spans="1:2" x14ac:dyDescent="0.35">
      <c r="A40" s="35" t="s">
        <v>500</v>
      </c>
      <c r="B40" s="184">
        <v>1</v>
      </c>
    </row>
    <row r="41" spans="1:2" x14ac:dyDescent="0.35">
      <c r="A41" s="35" t="s">
        <v>584</v>
      </c>
      <c r="B41" s="184">
        <v>1</v>
      </c>
    </row>
    <row r="42" spans="1:2" x14ac:dyDescent="0.35">
      <c r="A42" s="35" t="s">
        <v>579</v>
      </c>
      <c r="B42" s="184">
        <v>1</v>
      </c>
    </row>
    <row r="43" spans="1:2" x14ac:dyDescent="0.35">
      <c r="A43" s="26" t="s">
        <v>720</v>
      </c>
      <c r="B43" s="184">
        <v>2</v>
      </c>
    </row>
    <row r="44" spans="1:2" x14ac:dyDescent="0.35">
      <c r="A44" s="35" t="s">
        <v>568</v>
      </c>
      <c r="B44" s="184">
        <v>1</v>
      </c>
    </row>
    <row r="45" spans="1:2" x14ac:dyDescent="0.35">
      <c r="A45" s="35" t="s">
        <v>561</v>
      </c>
      <c r="B45" s="184">
        <v>1</v>
      </c>
    </row>
    <row r="46" spans="1:2" x14ac:dyDescent="0.35">
      <c r="A46" s="26" t="s">
        <v>721</v>
      </c>
      <c r="B46" s="184">
        <v>2</v>
      </c>
    </row>
    <row r="47" spans="1:2" x14ac:dyDescent="0.35">
      <c r="A47" s="35" t="s">
        <v>592</v>
      </c>
      <c r="B47" s="184">
        <v>1</v>
      </c>
    </row>
    <row r="48" spans="1:2" x14ac:dyDescent="0.35">
      <c r="A48" s="35" t="s">
        <v>588</v>
      </c>
      <c r="B48" s="184">
        <v>1</v>
      </c>
    </row>
    <row r="49" spans="1:2" x14ac:dyDescent="0.35">
      <c r="A49" s="26" t="s">
        <v>750</v>
      </c>
      <c r="B49" s="184">
        <v>1</v>
      </c>
    </row>
    <row r="50" spans="1:2" x14ac:dyDescent="0.35">
      <c r="A50" s="35" t="s">
        <v>572</v>
      </c>
      <c r="B50" s="184">
        <v>1</v>
      </c>
    </row>
    <row r="51" spans="1:2" x14ac:dyDescent="0.35">
      <c r="A51" s="26" t="s">
        <v>748</v>
      </c>
      <c r="B51" s="184">
        <v>2</v>
      </c>
    </row>
    <row r="52" spans="1:2" x14ac:dyDescent="0.35">
      <c r="A52" s="35" t="s">
        <v>557</v>
      </c>
      <c r="B52" s="184">
        <v>1</v>
      </c>
    </row>
    <row r="53" spans="1:2" x14ac:dyDescent="0.35">
      <c r="A53" s="35" t="s">
        <v>544</v>
      </c>
      <c r="B53" s="184">
        <v>1</v>
      </c>
    </row>
    <row r="54" spans="1:2" x14ac:dyDescent="0.35">
      <c r="A54" s="26" t="s">
        <v>710</v>
      </c>
      <c r="B54" s="184">
        <v>2</v>
      </c>
    </row>
    <row r="55" spans="1:2" x14ac:dyDescent="0.35">
      <c r="A55" s="35" t="s">
        <v>540</v>
      </c>
      <c r="B55" s="184">
        <v>1</v>
      </c>
    </row>
    <row r="56" spans="1:2" x14ac:dyDescent="0.35">
      <c r="A56" s="35" t="s">
        <v>526</v>
      </c>
      <c r="B56" s="184">
        <v>1</v>
      </c>
    </row>
    <row r="57" spans="1:2" x14ac:dyDescent="0.35">
      <c r="A57" s="26" t="s">
        <v>744</v>
      </c>
      <c r="B57" s="184">
        <v>1</v>
      </c>
    </row>
    <row r="58" spans="1:2" x14ac:dyDescent="0.35">
      <c r="A58" s="35" t="s">
        <v>505</v>
      </c>
      <c r="B58" s="184">
        <v>1</v>
      </c>
    </row>
    <row r="59" spans="1:2" x14ac:dyDescent="0.35">
      <c r="A59" s="26" t="s">
        <v>749</v>
      </c>
      <c r="B59" s="184">
        <v>1</v>
      </c>
    </row>
    <row r="60" spans="1:2" x14ac:dyDescent="0.35">
      <c r="A60" s="35" t="s">
        <v>477</v>
      </c>
      <c r="B60" s="184">
        <v>1</v>
      </c>
    </row>
    <row r="61" spans="1:2" x14ac:dyDescent="0.35">
      <c r="A61" s="26" t="s">
        <v>189</v>
      </c>
      <c r="B61" s="184">
        <v>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48E59-9170-48A4-A717-C52B2DEA0F5F}">
  <sheetPr codeName="Sheet4"/>
  <dimension ref="A3:A17"/>
  <sheetViews>
    <sheetView workbookViewId="0">
      <selection activeCell="A13" sqref="A13"/>
    </sheetView>
  </sheetViews>
  <sheetFormatPr defaultRowHeight="15.5" x14ac:dyDescent="0.35"/>
  <cols>
    <col min="1" max="1" width="47.58203125" bestFit="1" customWidth="1"/>
  </cols>
  <sheetData>
    <row r="3" spans="1:1" x14ac:dyDescent="0.35">
      <c r="A3" s="34" t="s">
        <v>190</v>
      </c>
    </row>
    <row r="4" spans="1:1" x14ac:dyDescent="0.35">
      <c r="A4" s="26" t="s">
        <v>538</v>
      </c>
    </row>
    <row r="5" spans="1:1" x14ac:dyDescent="0.35">
      <c r="A5" s="35" t="s">
        <v>714</v>
      </c>
    </row>
    <row r="6" spans="1:1" x14ac:dyDescent="0.35">
      <c r="A6" s="70" t="s">
        <v>716</v>
      </c>
    </row>
    <row r="7" spans="1:1" x14ac:dyDescent="0.35">
      <c r="A7" s="71" t="s">
        <v>710</v>
      </c>
    </row>
    <row r="8" spans="1:1" x14ac:dyDescent="0.35">
      <c r="A8" s="71" t="s">
        <v>720</v>
      </c>
    </row>
    <row r="9" spans="1:1" x14ac:dyDescent="0.35">
      <c r="A9" s="26" t="s">
        <v>499</v>
      </c>
    </row>
    <row r="10" spans="1:1" x14ac:dyDescent="0.35">
      <c r="A10" s="35" t="s">
        <v>726</v>
      </c>
    </row>
    <row r="11" spans="1:1" x14ac:dyDescent="0.35">
      <c r="A11" s="70" t="s">
        <v>424</v>
      </c>
    </row>
    <row r="12" spans="1:1" x14ac:dyDescent="0.35">
      <c r="A12" s="71" t="s">
        <v>721</v>
      </c>
    </row>
    <row r="13" spans="1:1" x14ac:dyDescent="0.35">
      <c r="A13" s="26" t="s">
        <v>732</v>
      </c>
    </row>
    <row r="14" spans="1:1" x14ac:dyDescent="0.35">
      <c r="A14" s="35" t="s">
        <v>735</v>
      </c>
    </row>
    <row r="15" spans="1:1" x14ac:dyDescent="0.35">
      <c r="A15" s="70" t="s">
        <v>424</v>
      </c>
    </row>
    <row r="16" spans="1:1" x14ac:dyDescent="0.35">
      <c r="A16" s="71" t="s">
        <v>729</v>
      </c>
    </row>
    <row r="17" spans="1:1" x14ac:dyDescent="0.35">
      <c r="A17" s="26" t="s">
        <v>189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7D8D6-1088-43EA-A155-B40B2A32E5FF}">
  <sheetPr codeName="Sheet2">
    <tabColor rgb="FF8EA9DB"/>
  </sheetPr>
  <dimension ref="A1:B13"/>
  <sheetViews>
    <sheetView workbookViewId="0">
      <selection activeCell="B8" sqref="B8"/>
    </sheetView>
  </sheetViews>
  <sheetFormatPr defaultRowHeight="15.5" x14ac:dyDescent="0.35"/>
  <cols>
    <col min="1" max="1" width="14.58203125" style="40" customWidth="1"/>
    <col min="2" max="2" width="100.58203125" style="40" customWidth="1"/>
  </cols>
  <sheetData>
    <row r="1" spans="1:2" ht="16" thickBot="1" x14ac:dyDescent="0.4">
      <c r="A1" s="180" t="s">
        <v>191</v>
      </c>
      <c r="B1" s="181"/>
    </row>
    <row r="2" spans="1:2" x14ac:dyDescent="0.35">
      <c r="A2" s="49"/>
      <c r="B2" s="50"/>
    </row>
    <row r="3" spans="1:2" x14ac:dyDescent="0.35">
      <c r="A3" s="52" t="s">
        <v>192</v>
      </c>
      <c r="B3" s="53" t="s">
        <v>193</v>
      </c>
    </row>
    <row r="4" spans="1:2" x14ac:dyDescent="0.35">
      <c r="A4" s="42" t="s">
        <v>194</v>
      </c>
      <c r="B4" s="43" t="s">
        <v>195</v>
      </c>
    </row>
    <row r="5" spans="1:2" x14ac:dyDescent="0.35">
      <c r="A5" s="52" t="s">
        <v>192</v>
      </c>
      <c r="B5" s="53" t="s">
        <v>94</v>
      </c>
    </row>
    <row r="6" spans="1:2" ht="77.5" x14ac:dyDescent="0.35">
      <c r="A6" s="42" t="s">
        <v>196</v>
      </c>
      <c r="B6" s="44" t="s">
        <v>197</v>
      </c>
    </row>
    <row r="7" spans="1:2" ht="62" x14ac:dyDescent="0.35">
      <c r="A7" s="52" t="s">
        <v>192</v>
      </c>
      <c r="B7" s="53" t="s">
        <v>198</v>
      </c>
    </row>
    <row r="8" spans="1:2" ht="139.5" x14ac:dyDescent="0.35">
      <c r="A8" s="42" t="s">
        <v>199</v>
      </c>
      <c r="B8" s="44" t="s">
        <v>434</v>
      </c>
    </row>
    <row r="9" spans="1:2" x14ac:dyDescent="0.35">
      <c r="A9" s="42" t="s">
        <v>200</v>
      </c>
      <c r="B9" s="107">
        <f>TMWorkbook!C2-(7*7)</f>
        <v>46161</v>
      </c>
    </row>
    <row r="10" spans="1:2" ht="31" x14ac:dyDescent="0.35">
      <c r="A10" s="42" t="s">
        <v>201</v>
      </c>
      <c r="B10" s="44" t="s">
        <v>202</v>
      </c>
    </row>
    <row r="11" spans="1:2" x14ac:dyDescent="0.35">
      <c r="A11" s="52" t="s">
        <v>192</v>
      </c>
      <c r="B11" s="53" t="s">
        <v>203</v>
      </c>
    </row>
    <row r="12" spans="1:2" ht="31" x14ac:dyDescent="0.35">
      <c r="A12" s="42" t="s">
        <v>204</v>
      </c>
      <c r="B12" s="44" t="s">
        <v>205</v>
      </c>
    </row>
    <row r="13" spans="1:2" x14ac:dyDescent="0.35">
      <c r="A13" s="52" t="s">
        <v>192</v>
      </c>
      <c r="B13" s="53" t="s">
        <v>206</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IntroMsgTst">
                <anchor moveWithCells="1" sizeWithCells="1">
                  <from>
                    <xdr:col>0</xdr:col>
                    <xdr:colOff>25400</xdr:colOff>
                    <xdr:row>1</xdr:row>
                    <xdr:rowOff>31750</xdr:rowOff>
                  </from>
                  <to>
                    <xdr:col>0</xdr:col>
                    <xdr:colOff>1022350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0C879-C900-4B17-813A-F713F70CBEBA}">
  <sheetPr codeName="Sheet5">
    <tabColor rgb="FFC6E0B4"/>
  </sheetPr>
  <dimension ref="A1:B8"/>
  <sheetViews>
    <sheetView workbookViewId="0">
      <selection sqref="A1:B1"/>
    </sheetView>
  </sheetViews>
  <sheetFormatPr defaultRowHeight="15.5" x14ac:dyDescent="0.35"/>
  <cols>
    <col min="1" max="1" width="13.5" style="40" customWidth="1"/>
    <col min="2" max="2" width="100.58203125" style="40" customWidth="1"/>
  </cols>
  <sheetData>
    <row r="1" spans="1:2" x14ac:dyDescent="0.35">
      <c r="A1" s="182" t="s">
        <v>191</v>
      </c>
      <c r="B1" s="183"/>
    </row>
    <row r="2" spans="1:2" x14ac:dyDescent="0.35">
      <c r="A2" s="46"/>
      <c r="B2" s="43"/>
    </row>
    <row r="3" spans="1:2" x14ac:dyDescent="0.35">
      <c r="A3" s="51" t="s">
        <v>192</v>
      </c>
      <c r="B3" s="55" t="s">
        <v>207</v>
      </c>
    </row>
    <row r="4" spans="1:2" x14ac:dyDescent="0.35">
      <c r="A4" s="46" t="s">
        <v>194</v>
      </c>
      <c r="B4" s="43" t="s">
        <v>208</v>
      </c>
    </row>
    <row r="5" spans="1:2" x14ac:dyDescent="0.35">
      <c r="A5" s="46" t="s">
        <v>209</v>
      </c>
      <c r="B5" s="48">
        <f>TMWorkbook!C2-(7*4)</f>
        <v>46182</v>
      </c>
    </row>
    <row r="6" spans="1:2" ht="186" x14ac:dyDescent="0.35">
      <c r="A6" s="46" t="s">
        <v>196</v>
      </c>
      <c r="B6" s="44" t="s">
        <v>210</v>
      </c>
    </row>
    <row r="7" spans="1:2" ht="31.5" thickBot="1" x14ac:dyDescent="0.4">
      <c r="A7" s="47" t="s">
        <v>204</v>
      </c>
      <c r="B7" s="45" t="s">
        <v>205</v>
      </c>
    </row>
    <row r="8" spans="1:2" x14ac:dyDescent="0.35">
      <c r="A8" s="54" t="s">
        <v>192</v>
      </c>
      <c r="B8" s="56" t="s">
        <v>206</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AAQMsgTst">
                <anchor moveWithCells="1" sizeWithCells="1">
                  <from>
                    <xdr:col>0</xdr:col>
                    <xdr:colOff>25400</xdr:colOff>
                    <xdr:row>1</xdr:row>
                    <xdr:rowOff>31750</xdr:rowOff>
                  </from>
                  <to>
                    <xdr:col>0</xdr:col>
                    <xdr:colOff>1022350</xdr:colOff>
                    <xdr:row>2</xdr:row>
                    <xdr:rowOff>6350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8574-0E11-3E48-B598-037909BD72E9}">
  <sheetPr codeName="Sheet14"/>
  <dimension ref="A1:AI28"/>
  <sheetViews>
    <sheetView workbookViewId="0">
      <selection activeCell="G2" sqref="G2"/>
    </sheetView>
  </sheetViews>
  <sheetFormatPr defaultColWidth="11" defaultRowHeight="15.5" x14ac:dyDescent="0.35"/>
  <cols>
    <col min="1" max="1" width="18.58203125" customWidth="1"/>
    <col min="2" max="2" width="21.83203125" customWidth="1"/>
    <col min="3" max="3" width="1.58203125" customWidth="1"/>
    <col min="4" max="4" width="14.5" bestFit="1" customWidth="1"/>
    <col min="5" max="5" width="1.58203125" customWidth="1"/>
    <col min="6" max="7" width="31.83203125" customWidth="1"/>
    <col min="8" max="8" width="1.58203125" customWidth="1"/>
    <col min="11" max="11" width="1.58203125" customWidth="1"/>
    <col min="13" max="13" width="14.33203125" customWidth="1"/>
    <col min="14" max="14" width="1.83203125" customWidth="1"/>
    <col min="16" max="16" width="10.58203125" customWidth="1"/>
    <col min="17" max="17" width="1.58203125" customWidth="1"/>
    <col min="19" max="19" width="13.5" customWidth="1"/>
    <col min="20" max="20" width="1.5" customWidth="1"/>
    <col min="23" max="25" width="1.58203125" customWidth="1"/>
    <col min="26" max="26" width="11.08203125" style="5" bestFit="1" customWidth="1"/>
    <col min="27" max="27" width="11.58203125" style="5" customWidth="1"/>
    <col min="28" max="28" width="1.58203125" customWidth="1"/>
  </cols>
  <sheetData>
    <row r="1" spans="1:35" x14ac:dyDescent="0.35">
      <c r="A1" t="s">
        <v>211</v>
      </c>
      <c r="B1" t="s">
        <v>212</v>
      </c>
      <c r="D1" t="s">
        <v>76</v>
      </c>
      <c r="F1" t="s">
        <v>213</v>
      </c>
      <c r="G1" t="s">
        <v>459</v>
      </c>
      <c r="I1" t="s">
        <v>214</v>
      </c>
      <c r="J1" t="s">
        <v>215</v>
      </c>
      <c r="L1" t="s">
        <v>216</v>
      </c>
      <c r="M1" t="s">
        <v>217</v>
      </c>
      <c r="O1" t="s">
        <v>218</v>
      </c>
      <c r="P1" t="s">
        <v>74</v>
      </c>
      <c r="R1" t="s">
        <v>219</v>
      </c>
      <c r="S1" t="s">
        <v>220</v>
      </c>
      <c r="U1" t="s">
        <v>221</v>
      </c>
      <c r="V1" t="s">
        <v>176</v>
      </c>
      <c r="Z1" s="96" t="s">
        <v>222</v>
      </c>
      <c r="AA1" s="96" t="s">
        <v>223</v>
      </c>
      <c r="AC1" s="7" t="s">
        <v>73</v>
      </c>
      <c r="AD1" s="7" t="s">
        <v>220</v>
      </c>
      <c r="AE1" s="7" t="s">
        <v>86</v>
      </c>
      <c r="AF1" s="6" t="s">
        <v>79</v>
      </c>
      <c r="AG1" s="96" t="s">
        <v>368</v>
      </c>
      <c r="AH1" t="s">
        <v>369</v>
      </c>
      <c r="AI1" t="s">
        <v>370</v>
      </c>
    </row>
    <row r="2" spans="1:35" x14ac:dyDescent="0.35">
      <c r="A2" t="s">
        <v>24</v>
      </c>
      <c r="B2" t="s">
        <v>224</v>
      </c>
      <c r="D2" t="s">
        <v>22</v>
      </c>
      <c r="F2" s="120" t="s">
        <v>366</v>
      </c>
      <c r="G2" s="121" t="s">
        <v>460</v>
      </c>
      <c r="I2" t="s">
        <v>225</v>
      </c>
      <c r="J2" t="s">
        <v>226</v>
      </c>
      <c r="L2" t="s">
        <v>456</v>
      </c>
      <c r="M2" t="s">
        <v>359</v>
      </c>
      <c r="O2" t="s">
        <v>229</v>
      </c>
      <c r="P2" t="s">
        <v>180</v>
      </c>
      <c r="R2" t="s">
        <v>230</v>
      </c>
      <c r="S2" t="s">
        <v>231</v>
      </c>
      <c r="U2" t="s">
        <v>232</v>
      </c>
      <c r="V2" t="s">
        <v>233</v>
      </c>
      <c r="Z2" s="5" t="s">
        <v>234</v>
      </c>
      <c r="AA2" s="97">
        <v>44271</v>
      </c>
      <c r="AC2" s="8" t="s">
        <v>53</v>
      </c>
      <c r="AD2" s="8" t="s">
        <v>235</v>
      </c>
      <c r="AE2" s="8" t="s">
        <v>32</v>
      </c>
      <c r="AF2" s="8" t="s">
        <v>24</v>
      </c>
      <c r="AG2" t="s">
        <v>371</v>
      </c>
      <c r="AH2" t="s">
        <v>372</v>
      </c>
      <c r="AI2" t="s">
        <v>373</v>
      </c>
    </row>
    <row r="3" spans="1:35" x14ac:dyDescent="0.35">
      <c r="A3" t="s">
        <v>26</v>
      </c>
      <c r="B3" t="s">
        <v>224</v>
      </c>
      <c r="D3" t="s">
        <v>21</v>
      </c>
      <c r="F3" s="121" t="s">
        <v>426</v>
      </c>
      <c r="G3" s="121" t="s">
        <v>461</v>
      </c>
      <c r="I3" t="s">
        <v>236</v>
      </c>
      <c r="J3" t="s">
        <v>237</v>
      </c>
      <c r="L3" t="s">
        <v>457</v>
      </c>
      <c r="M3" t="s">
        <v>458</v>
      </c>
      <c r="O3" t="s">
        <v>232</v>
      </c>
      <c r="P3" t="s">
        <v>240</v>
      </c>
      <c r="R3" t="s">
        <v>241</v>
      </c>
      <c r="S3" t="s">
        <v>242</v>
      </c>
      <c r="U3" t="s">
        <v>243</v>
      </c>
      <c r="V3" t="s">
        <v>244</v>
      </c>
      <c r="AC3" s="8"/>
      <c r="AD3" s="8" t="s">
        <v>232</v>
      </c>
      <c r="AE3" s="8" t="s">
        <v>245</v>
      </c>
      <c r="AF3" s="8" t="s">
        <v>26</v>
      </c>
      <c r="AG3" t="s">
        <v>374</v>
      </c>
      <c r="AH3" t="s">
        <v>372</v>
      </c>
      <c r="AI3" t="s">
        <v>375</v>
      </c>
    </row>
    <row r="4" spans="1:35" x14ac:dyDescent="0.35">
      <c r="A4" t="s">
        <v>246</v>
      </c>
      <c r="B4" t="s">
        <v>224</v>
      </c>
      <c r="D4" t="s">
        <v>19</v>
      </c>
      <c r="F4" s="120" t="s">
        <v>367</v>
      </c>
      <c r="G4" s="121" t="s">
        <v>462</v>
      </c>
      <c r="I4" t="s">
        <v>248</v>
      </c>
      <c r="J4" t="s">
        <v>249</v>
      </c>
      <c r="L4" t="s">
        <v>227</v>
      </c>
      <c r="M4" t="s">
        <v>228</v>
      </c>
      <c r="O4" t="s">
        <v>251</v>
      </c>
      <c r="P4" t="s">
        <v>252</v>
      </c>
      <c r="R4" t="s">
        <v>253</v>
      </c>
      <c r="S4" t="s">
        <v>254</v>
      </c>
      <c r="AC4" s="5"/>
      <c r="AD4" s="8" t="s">
        <v>255</v>
      </c>
      <c r="AE4" s="8" t="s">
        <v>256</v>
      </c>
      <c r="AF4" s="8" t="s">
        <v>27</v>
      </c>
      <c r="AG4" t="s">
        <v>376</v>
      </c>
      <c r="AH4" t="s">
        <v>372</v>
      </c>
      <c r="AI4" t="s">
        <v>377</v>
      </c>
    </row>
    <row r="5" spans="1:35" x14ac:dyDescent="0.35">
      <c r="A5" t="s">
        <v>257</v>
      </c>
      <c r="B5" t="s">
        <v>224</v>
      </c>
      <c r="D5" t="s">
        <v>258</v>
      </c>
      <c r="F5" s="121" t="s">
        <v>438</v>
      </c>
      <c r="G5" s="121" t="s">
        <v>438</v>
      </c>
      <c r="L5" t="s">
        <v>238</v>
      </c>
      <c r="M5" t="s">
        <v>239</v>
      </c>
      <c r="O5" t="s">
        <v>262</v>
      </c>
      <c r="P5" t="s">
        <v>263</v>
      </c>
      <c r="R5" t="s">
        <v>264</v>
      </c>
      <c r="S5" t="s">
        <v>26</v>
      </c>
      <c r="AC5" s="5"/>
      <c r="AD5" s="5"/>
      <c r="AE5" s="8" t="s">
        <v>265</v>
      </c>
      <c r="AF5" s="8" t="s">
        <v>29</v>
      </c>
      <c r="AG5" t="s">
        <v>378</v>
      </c>
      <c r="AH5" t="s">
        <v>372</v>
      </c>
      <c r="AI5" t="s">
        <v>379</v>
      </c>
    </row>
    <row r="6" spans="1:35" x14ac:dyDescent="0.35">
      <c r="A6" t="s">
        <v>266</v>
      </c>
      <c r="B6" t="s">
        <v>224</v>
      </c>
      <c r="D6" t="s">
        <v>267</v>
      </c>
      <c r="F6" s="120" t="s">
        <v>439</v>
      </c>
      <c r="G6" s="121" t="s">
        <v>463</v>
      </c>
      <c r="L6" t="s">
        <v>416</v>
      </c>
      <c r="M6" t="s">
        <v>250</v>
      </c>
      <c r="R6" t="s">
        <v>232</v>
      </c>
      <c r="S6" t="s">
        <v>44</v>
      </c>
      <c r="AC6" s="5"/>
      <c r="AD6" s="5"/>
      <c r="AE6" s="8" t="s">
        <v>35</v>
      </c>
      <c r="AF6" s="8" t="s">
        <v>270</v>
      </c>
      <c r="AG6" t="s">
        <v>380</v>
      </c>
      <c r="AH6" t="s">
        <v>372</v>
      </c>
      <c r="AI6" t="s">
        <v>381</v>
      </c>
    </row>
    <row r="7" spans="1:35" x14ac:dyDescent="0.35">
      <c r="A7" t="s">
        <v>271</v>
      </c>
      <c r="B7" t="s">
        <v>224</v>
      </c>
      <c r="F7" s="121" t="s">
        <v>440</v>
      </c>
      <c r="G7" s="121" t="s">
        <v>464</v>
      </c>
      <c r="L7" t="s">
        <v>260</v>
      </c>
      <c r="M7" t="s">
        <v>261</v>
      </c>
      <c r="R7" t="s">
        <v>273</v>
      </c>
      <c r="S7" t="s">
        <v>274</v>
      </c>
      <c r="AF7" s="8" t="s">
        <v>28</v>
      </c>
      <c r="AG7" t="s">
        <v>382</v>
      </c>
      <c r="AH7" t="s">
        <v>372</v>
      </c>
      <c r="AI7" t="s">
        <v>383</v>
      </c>
    </row>
    <row r="8" spans="1:35" x14ac:dyDescent="0.35">
      <c r="A8" t="s">
        <v>44</v>
      </c>
      <c r="B8" t="s">
        <v>224</v>
      </c>
      <c r="F8" s="121" t="s">
        <v>247</v>
      </c>
      <c r="G8" s="121" t="s">
        <v>465</v>
      </c>
      <c r="L8" t="s">
        <v>269</v>
      </c>
      <c r="M8" t="s">
        <v>239</v>
      </c>
      <c r="R8" t="s">
        <v>275</v>
      </c>
      <c r="S8" t="s">
        <v>276</v>
      </c>
      <c r="AG8" t="s">
        <v>384</v>
      </c>
      <c r="AH8" t="s">
        <v>372</v>
      </c>
      <c r="AI8" t="s">
        <v>385</v>
      </c>
    </row>
    <row r="9" spans="1:35" x14ac:dyDescent="0.35">
      <c r="A9" t="s">
        <v>277</v>
      </c>
      <c r="B9" t="s">
        <v>224</v>
      </c>
      <c r="F9" t="s">
        <v>441</v>
      </c>
      <c r="G9" t="s">
        <v>466</v>
      </c>
      <c r="R9" t="s">
        <v>278</v>
      </c>
      <c r="S9" t="s">
        <v>279</v>
      </c>
      <c r="AG9" t="s">
        <v>386</v>
      </c>
      <c r="AH9" t="s">
        <v>372</v>
      </c>
      <c r="AI9" t="s">
        <v>387</v>
      </c>
    </row>
    <row r="10" spans="1:35" x14ac:dyDescent="0.35">
      <c r="A10" t="s">
        <v>365</v>
      </c>
      <c r="B10" t="s">
        <v>224</v>
      </c>
      <c r="F10" t="s">
        <v>259</v>
      </c>
      <c r="G10" t="s">
        <v>467</v>
      </c>
      <c r="R10" t="s">
        <v>235</v>
      </c>
      <c r="S10" t="s">
        <v>281</v>
      </c>
      <c r="AG10" t="s">
        <v>388</v>
      </c>
      <c r="AH10" t="s">
        <v>372</v>
      </c>
      <c r="AI10" t="s">
        <v>389</v>
      </c>
    </row>
    <row r="11" spans="1:35" x14ac:dyDescent="0.35">
      <c r="A11" t="s">
        <v>279</v>
      </c>
      <c r="B11" t="s">
        <v>224</v>
      </c>
      <c r="F11" t="s">
        <v>268</v>
      </c>
      <c r="G11" t="s">
        <v>468</v>
      </c>
      <c r="R11" t="s">
        <v>255</v>
      </c>
      <c r="S11" t="s">
        <v>283</v>
      </c>
      <c r="AG11" t="s">
        <v>390</v>
      </c>
      <c r="AH11" t="s">
        <v>372</v>
      </c>
      <c r="AI11" t="s">
        <v>391</v>
      </c>
    </row>
    <row r="12" spans="1:35" x14ac:dyDescent="0.35">
      <c r="A12" t="s">
        <v>280</v>
      </c>
      <c r="B12" t="s">
        <v>224</v>
      </c>
      <c r="F12" t="s">
        <v>272</v>
      </c>
      <c r="G12" t="s">
        <v>467</v>
      </c>
      <c r="AG12" t="s">
        <v>392</v>
      </c>
      <c r="AH12" t="s">
        <v>393</v>
      </c>
      <c r="AI12" t="s">
        <v>394</v>
      </c>
    </row>
    <row r="13" spans="1:35" x14ac:dyDescent="0.35">
      <c r="A13" t="s">
        <v>282</v>
      </c>
      <c r="B13" t="s">
        <v>224</v>
      </c>
      <c r="AH13" t="s">
        <v>393</v>
      </c>
      <c r="AI13" t="s">
        <v>395</v>
      </c>
    </row>
    <row r="14" spans="1:35" x14ac:dyDescent="0.35">
      <c r="A14" t="s">
        <v>284</v>
      </c>
      <c r="B14" t="s">
        <v>224</v>
      </c>
      <c r="AH14" t="s">
        <v>393</v>
      </c>
      <c r="AI14" t="s">
        <v>396</v>
      </c>
    </row>
    <row r="15" spans="1:35" x14ac:dyDescent="0.35">
      <c r="A15" t="s">
        <v>417</v>
      </c>
      <c r="B15" t="s">
        <v>224</v>
      </c>
      <c r="AH15" t="s">
        <v>393</v>
      </c>
      <c r="AI15" t="s">
        <v>397</v>
      </c>
    </row>
    <row r="16" spans="1:35" x14ac:dyDescent="0.35">
      <c r="A16" t="s">
        <v>285</v>
      </c>
      <c r="B16" t="s">
        <v>224</v>
      </c>
      <c r="AH16" t="s">
        <v>393</v>
      </c>
      <c r="AI16" t="s">
        <v>398</v>
      </c>
    </row>
    <row r="17" spans="1:35" x14ac:dyDescent="0.35">
      <c r="A17" t="s">
        <v>418</v>
      </c>
      <c r="B17" t="s">
        <v>224</v>
      </c>
      <c r="AH17" t="s">
        <v>393</v>
      </c>
      <c r="AI17" t="s">
        <v>399</v>
      </c>
    </row>
    <row r="18" spans="1:35" x14ac:dyDescent="0.35">
      <c r="A18" t="s">
        <v>419</v>
      </c>
      <c r="B18" t="s">
        <v>224</v>
      </c>
      <c r="AH18" t="s">
        <v>400</v>
      </c>
      <c r="AI18" t="s">
        <v>401</v>
      </c>
    </row>
    <row r="19" spans="1:35" x14ac:dyDescent="0.35">
      <c r="A19" t="s">
        <v>420</v>
      </c>
      <c r="B19" t="s">
        <v>224</v>
      </c>
      <c r="AH19" t="s">
        <v>400</v>
      </c>
      <c r="AI19" t="s">
        <v>402</v>
      </c>
    </row>
    <row r="20" spans="1:35" x14ac:dyDescent="0.35">
      <c r="A20" t="s">
        <v>286</v>
      </c>
      <c r="B20" t="s">
        <v>224</v>
      </c>
      <c r="AH20" t="s">
        <v>400</v>
      </c>
      <c r="AI20" t="s">
        <v>403</v>
      </c>
    </row>
    <row r="21" spans="1:35" x14ac:dyDescent="0.35">
      <c r="A21" t="s">
        <v>421</v>
      </c>
      <c r="B21" t="s">
        <v>224</v>
      </c>
      <c r="AH21" t="s">
        <v>400</v>
      </c>
      <c r="AI21" t="s">
        <v>399</v>
      </c>
    </row>
    <row r="22" spans="1:35" x14ac:dyDescent="0.35">
      <c r="A22" t="s">
        <v>422</v>
      </c>
      <c r="B22" t="s">
        <v>224</v>
      </c>
      <c r="AH22" t="s">
        <v>400</v>
      </c>
      <c r="AI22" t="s">
        <v>404</v>
      </c>
    </row>
    <row r="23" spans="1:35" x14ac:dyDescent="0.35">
      <c r="A23" t="s">
        <v>287</v>
      </c>
      <c r="B23" t="s">
        <v>224</v>
      </c>
      <c r="AH23" t="s">
        <v>400</v>
      </c>
      <c r="AI23" t="s">
        <v>405</v>
      </c>
    </row>
    <row r="24" spans="1:35" x14ac:dyDescent="0.35">
      <c r="A24" t="s">
        <v>423</v>
      </c>
      <c r="B24" t="s">
        <v>224</v>
      </c>
      <c r="AH24" t="s">
        <v>400</v>
      </c>
      <c r="AI24" t="s">
        <v>406</v>
      </c>
    </row>
    <row r="25" spans="1:35" x14ac:dyDescent="0.35">
      <c r="AH25" t="s">
        <v>400</v>
      </c>
      <c r="AI25" t="s">
        <v>407</v>
      </c>
    </row>
    <row r="26" spans="1:35" x14ac:dyDescent="0.35">
      <c r="AH26" t="s">
        <v>400</v>
      </c>
      <c r="AI26" t="s">
        <v>408</v>
      </c>
    </row>
    <row r="27" spans="1:35" x14ac:dyDescent="0.35">
      <c r="AH27" t="s">
        <v>400</v>
      </c>
      <c r="AI27" t="s">
        <v>409</v>
      </c>
    </row>
    <row r="28" spans="1:35" x14ac:dyDescent="0.35">
      <c r="AH28" t="s">
        <v>400</v>
      </c>
      <c r="AI28" t="s">
        <v>410</v>
      </c>
    </row>
  </sheetData>
  <sortState xmlns:xlrd2="http://schemas.microsoft.com/office/spreadsheetml/2017/richdata2" ref="Z2:AA2">
    <sortCondition ref="Z2"/>
  </sortState>
  <pageMargins left="0.7" right="0.7" top="0.75" bottom="0.75" header="0.3" footer="0.3"/>
  <pageSetup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8FEFF-7607-4EA4-839A-B991B0E78EA3}">
  <sheetPr codeName="Sheet8">
    <tabColor rgb="FFB4C6E7"/>
  </sheetPr>
  <dimension ref="A1:J12"/>
  <sheetViews>
    <sheetView workbookViewId="0">
      <pane xSplit="2" ySplit="1" topLeftCell="C2" activePane="bottomRight" state="frozen"/>
      <selection pane="topRight" activeCell="C1" sqref="C1"/>
      <selection pane="bottomLeft" activeCell="A2" sqref="A2"/>
      <selection pane="bottomRight" activeCell="D2" sqref="D2:D12"/>
    </sheetView>
  </sheetViews>
  <sheetFormatPr defaultColWidth="8.08203125" defaultRowHeight="14.5" x14ac:dyDescent="0.35"/>
  <cols>
    <col min="1" max="1" width="5.6640625" style="112" bestFit="1" customWidth="1"/>
    <col min="2" max="2" width="8.58203125" style="112" customWidth="1"/>
    <col min="3" max="3" width="25.33203125" style="118" customWidth="1"/>
    <col min="4" max="4" width="41.58203125" style="112" customWidth="1"/>
    <col min="5" max="5" width="9.83203125" style="117" bestFit="1" customWidth="1"/>
    <col min="6" max="6" width="49.1640625" style="112" customWidth="1"/>
    <col min="7" max="7" width="16" style="112" customWidth="1"/>
    <col min="8" max="8" width="25.58203125" style="113" bestFit="1" customWidth="1"/>
    <col min="9" max="9" width="60.58203125" style="111" customWidth="1"/>
    <col min="10" max="10" width="38.5" style="112" customWidth="1"/>
    <col min="11" max="16384" width="8.08203125" style="112"/>
  </cols>
  <sheetData>
    <row r="1" spans="1:10" s="119" customFormat="1" x14ac:dyDescent="0.35">
      <c r="A1" s="131" t="s">
        <v>296</v>
      </c>
      <c r="B1" s="131" t="s">
        <v>297</v>
      </c>
      <c r="C1" s="132" t="s">
        <v>298</v>
      </c>
      <c r="D1" s="133" t="s">
        <v>299</v>
      </c>
      <c r="E1" s="131" t="s">
        <v>186</v>
      </c>
      <c r="F1" s="131" t="s">
        <v>300</v>
      </c>
      <c r="G1" s="131" t="s">
        <v>301</v>
      </c>
      <c r="H1" s="134" t="s">
        <v>302</v>
      </c>
      <c r="I1" s="131" t="s">
        <v>303</v>
      </c>
      <c r="J1" s="131" t="s">
        <v>92</v>
      </c>
    </row>
    <row r="2" spans="1:10" x14ac:dyDescent="0.35">
      <c r="A2" s="129"/>
      <c r="B2" s="129" t="str">
        <f t="shared" ref="B2" si="0">MigrationEventCode</f>
        <v>MEA190</v>
      </c>
      <c r="C2" s="135">
        <f>TMWorkbook!$C$2</f>
        <v>46210</v>
      </c>
      <c r="D2" s="136" t="s">
        <v>729</v>
      </c>
      <c r="E2" s="137">
        <f>_xlfn.XLOOKUP(tblAppLvl[[#This Row],[App]],tblDepApp[Applications],tblDepApp[Servers],"",0,1)</f>
        <v>28</v>
      </c>
      <c r="F2" s="129" t="str">
        <f>CONCATENATE(_xlfn.XLOOKUP(tblAppLvl[[#This Row],[App]],tblApplications[common_assetName],tblApplications[application_appOwner],"",0,1),", ",_xlfn.XLOOKUP(tblAppLvl[[#This Row],[App]],tblApplications[common_assetName],tblApplications[application_custom10],"",0,1))</f>
        <v>Srihari Koduri, srihari.koduri@elevancehealth.com</v>
      </c>
      <c r="G2" s="129"/>
      <c r="H2" s="135"/>
      <c r="I2" s="138" t="str">
        <f>_xlfn.TEXTJOIN(", ",TRUE,tblPMs[PMs Names])</f>
        <v>Palaksha Talkerappa, Andrew Pappas</v>
      </c>
      <c r="J2" s="129"/>
    </row>
    <row r="3" spans="1:10" x14ac:dyDescent="0.35">
      <c r="A3" s="129"/>
      <c r="B3" s="129" t="str">
        <f>MigrationEventCode</f>
        <v>MEA190</v>
      </c>
      <c r="C3" s="135">
        <f>TMWorkbook!$C$2</f>
        <v>46210</v>
      </c>
      <c r="D3" s="216" t="s">
        <v>746</v>
      </c>
      <c r="E3" s="137">
        <f>_xlfn.XLOOKUP(tblAppLvl[[#This Row],[App]],tblDepApp[Applications],tblDepApp[Servers],"",0,1)</f>
        <v>4</v>
      </c>
      <c r="F3" s="129" t="str">
        <f>CONCATENATE(_xlfn.XLOOKUP(tblAppLvl[[#This Row],[App]],tblApplications[common_assetName],tblApplications[application_appOwner],"",0,1),", ",_xlfn.XLOOKUP(tblAppLvl[[#This Row],[App]],tblApplications[common_assetName],tblApplications[application_custom10],"",0,1))</f>
        <v xml:space="preserve">, </v>
      </c>
      <c r="G3" s="129"/>
      <c r="H3" s="135"/>
      <c r="I3" s="138" t="str">
        <f>_xlfn.TEXTJOIN(", ",TRUE,tblPMs[PMs Names])</f>
        <v>Palaksha Talkerappa, Andrew Pappas</v>
      </c>
      <c r="J3" s="129"/>
    </row>
    <row r="4" spans="1:10" x14ac:dyDescent="0.35">
      <c r="A4" s="129"/>
      <c r="B4" s="129" t="str">
        <f>MigrationEventCode</f>
        <v>MEA190</v>
      </c>
      <c r="C4" s="135">
        <f>TMWorkbook!$C$2</f>
        <v>46210</v>
      </c>
      <c r="D4" s="216" t="s">
        <v>748</v>
      </c>
      <c r="E4" s="137">
        <f>_xlfn.XLOOKUP(tblAppLvl[[#This Row],[App]],tblDepApp[Applications],tblDepApp[Servers],"",0,1)</f>
        <v>2</v>
      </c>
      <c r="F4" s="129" t="str">
        <f>CONCATENATE(_xlfn.XLOOKUP(tblAppLvl[[#This Row],[App]],tblApplications[common_assetName],tblApplications[application_appOwner],"",0,1),", ",_xlfn.XLOOKUP(tblAppLvl[[#This Row],[App]],tblApplications[common_assetName],tblApplications[application_custom10],"",0,1))</f>
        <v xml:space="preserve">, </v>
      </c>
      <c r="G4" s="129"/>
      <c r="H4" s="135"/>
      <c r="I4" s="138" t="str">
        <f>_xlfn.TEXTJOIN(", ",TRUE,tblPMs[PMs Names])</f>
        <v>Palaksha Talkerappa, Andrew Pappas</v>
      </c>
      <c r="J4" s="129"/>
    </row>
    <row r="5" spans="1:10" x14ac:dyDescent="0.35">
      <c r="A5" s="129"/>
      <c r="B5" s="129" t="str">
        <f>MigrationEventCode</f>
        <v>MEA190</v>
      </c>
      <c r="C5" s="135">
        <f>TMWorkbook!$C$2</f>
        <v>46210</v>
      </c>
      <c r="D5" s="216" t="s">
        <v>745</v>
      </c>
      <c r="E5" s="137">
        <f>_xlfn.XLOOKUP(tblAppLvl[[#This Row],[App]],tblDepApp[Applications],tblDepApp[Servers],"",0,1)</f>
        <v>2</v>
      </c>
      <c r="F5" s="129" t="str">
        <f>CONCATENATE(_xlfn.XLOOKUP(tblAppLvl[[#This Row],[App]],tblApplications[common_assetName],tblApplications[application_appOwner],"",0,1),", ",_xlfn.XLOOKUP(tblAppLvl[[#This Row],[App]],tblApplications[common_assetName],tblApplications[application_custom10],"",0,1))</f>
        <v xml:space="preserve">, </v>
      </c>
      <c r="G5" s="129"/>
      <c r="H5" s="135"/>
      <c r="I5" s="138" t="str">
        <f>_xlfn.TEXTJOIN(", ",TRUE,tblPMs[PMs Names])</f>
        <v>Palaksha Talkerappa, Andrew Pappas</v>
      </c>
      <c r="J5" s="129"/>
    </row>
    <row r="6" spans="1:10" x14ac:dyDescent="0.35">
      <c r="A6" s="129"/>
      <c r="B6" s="129" t="str">
        <f>MigrationEventCode</f>
        <v>MEA190</v>
      </c>
      <c r="C6" s="135">
        <f>TMWorkbook!$C$2</f>
        <v>46210</v>
      </c>
      <c r="D6" s="216" t="s">
        <v>721</v>
      </c>
      <c r="E6" s="137">
        <f>_xlfn.XLOOKUP(tblAppLvl[[#This Row],[App]],tblDepApp[Applications],tblDepApp[Servers],"",0,1)</f>
        <v>2</v>
      </c>
      <c r="F6" s="129" t="str">
        <f>CONCATENATE(_xlfn.XLOOKUP(tblAppLvl[[#This Row],[App]],tblApplications[common_assetName],tblApplications[application_appOwner],"",0,1),", ",_xlfn.XLOOKUP(tblAppLvl[[#This Row],[App]],tblApplications[common_assetName],tblApplications[application_custom10],"",0,1))</f>
        <v>Srini Amathi, srini.amathi@elevancehealth.com</v>
      </c>
      <c r="G6" s="129"/>
      <c r="H6" s="135"/>
      <c r="I6" s="138" t="str">
        <f>_xlfn.TEXTJOIN(", ",TRUE,tblPMs[PMs Names])</f>
        <v>Palaksha Talkerappa, Andrew Pappas</v>
      </c>
      <c r="J6" s="129"/>
    </row>
    <row r="7" spans="1:10" x14ac:dyDescent="0.35">
      <c r="A7" s="129"/>
      <c r="B7" s="129" t="str">
        <f>MigrationEventCode</f>
        <v>MEA190</v>
      </c>
      <c r="C7" s="135">
        <f>TMWorkbook!$C$2</f>
        <v>46210</v>
      </c>
      <c r="D7" s="216" t="s">
        <v>720</v>
      </c>
      <c r="E7" s="137">
        <f>_xlfn.XLOOKUP(tblAppLvl[[#This Row],[App]],tblDepApp[Applications],tblDepApp[Servers],"",0,1)</f>
        <v>2</v>
      </c>
      <c r="F7" s="129" t="str">
        <f>CONCATENATE(_xlfn.XLOOKUP(tblAppLvl[[#This Row],[App]],tblApplications[common_assetName],tblApplications[application_appOwner],"",0,1),", ",_xlfn.XLOOKUP(tblAppLvl[[#This Row],[App]],tblApplications[common_assetName],tblApplications[application_custom10],"",0,1))</f>
        <v>Erwin Salazar, Erwin.Salazar@kyndryl.com</v>
      </c>
      <c r="G7" s="129"/>
      <c r="H7" s="135"/>
      <c r="I7" s="138" t="str">
        <f>_xlfn.TEXTJOIN(", ",TRUE,tblPMs[PMs Names])</f>
        <v>Palaksha Talkerappa, Andrew Pappas</v>
      </c>
      <c r="J7" s="129"/>
    </row>
    <row r="8" spans="1:10" x14ac:dyDescent="0.35">
      <c r="A8" s="129"/>
      <c r="B8" s="129" t="str">
        <f>MigrationEventCode</f>
        <v>MEA190</v>
      </c>
      <c r="C8" s="135">
        <f>TMWorkbook!$C$2</f>
        <v>46210</v>
      </c>
      <c r="D8" s="216" t="s">
        <v>710</v>
      </c>
      <c r="E8" s="137">
        <f>_xlfn.XLOOKUP(tblAppLvl[[#This Row],[App]],tblDepApp[Applications],tblDepApp[Servers],"",0,1)</f>
        <v>2</v>
      </c>
      <c r="F8" s="129" t="str">
        <f>CONCATENATE(_xlfn.XLOOKUP(tblAppLvl[[#This Row],[App]],tblApplications[common_assetName],tblApplications[application_appOwner],"",0,1),", ",_xlfn.XLOOKUP(tblAppLvl[[#This Row],[App]],tblApplications[common_assetName],tblApplications[application_custom10],"",0,1))</f>
        <v>Erwin Salazar, Erwin.Salazar@kyndryl.com</v>
      </c>
      <c r="G8" s="129"/>
      <c r="H8" s="135"/>
      <c r="I8" s="138" t="str">
        <f>_xlfn.TEXTJOIN(", ",TRUE,tblPMs[PMs Names])</f>
        <v>Palaksha Talkerappa, Andrew Pappas</v>
      </c>
      <c r="J8" s="129"/>
    </row>
    <row r="9" spans="1:10" x14ac:dyDescent="0.35">
      <c r="A9" s="129"/>
      <c r="B9" s="129" t="str">
        <f>MigrationEventCode</f>
        <v>MEA190</v>
      </c>
      <c r="C9" s="135">
        <f>TMWorkbook!$C$2</f>
        <v>46210</v>
      </c>
      <c r="D9" s="216" t="s">
        <v>747</v>
      </c>
      <c r="E9" s="137">
        <f>_xlfn.XLOOKUP(tblAppLvl[[#This Row],[App]],tblDepApp[Applications],tblDepApp[Servers],"",0,1)</f>
        <v>1</v>
      </c>
      <c r="F9" s="129" t="str">
        <f>CONCATENATE(_xlfn.XLOOKUP(tblAppLvl[[#This Row],[App]],tblApplications[common_assetName],tblApplications[application_appOwner],"",0,1),", ",_xlfn.XLOOKUP(tblAppLvl[[#This Row],[App]],tblApplications[common_assetName],tblApplications[application_custom10],"",0,1))</f>
        <v xml:space="preserve">, </v>
      </c>
      <c r="G9" s="129"/>
      <c r="H9" s="135"/>
      <c r="I9" s="138" t="str">
        <f>_xlfn.TEXTJOIN(", ",TRUE,tblPMs[PMs Names])</f>
        <v>Palaksha Talkerappa, Andrew Pappas</v>
      </c>
      <c r="J9" s="129"/>
    </row>
    <row r="10" spans="1:10" x14ac:dyDescent="0.35">
      <c r="A10" s="129"/>
      <c r="B10" s="129" t="str">
        <f>MigrationEventCode</f>
        <v>MEA190</v>
      </c>
      <c r="C10" s="135">
        <f>TMWorkbook!$C$2</f>
        <v>46210</v>
      </c>
      <c r="D10" s="216" t="s">
        <v>749</v>
      </c>
      <c r="E10" s="137">
        <f>_xlfn.XLOOKUP(tblAppLvl[[#This Row],[App]],tblDepApp[Applications],tblDepApp[Servers],"",0,1)</f>
        <v>1</v>
      </c>
      <c r="F10" s="129" t="str">
        <f>CONCATENATE(_xlfn.XLOOKUP(tblAppLvl[[#This Row],[App]],tblApplications[common_assetName],tblApplications[application_appOwner],"",0,1),", ",_xlfn.XLOOKUP(tblAppLvl[[#This Row],[App]],tblApplications[common_assetName],tblApplications[application_custom10],"",0,1))</f>
        <v xml:space="preserve">, </v>
      </c>
      <c r="G10" s="129"/>
      <c r="H10" s="135"/>
      <c r="I10" s="138" t="str">
        <f>_xlfn.TEXTJOIN(", ",TRUE,tblPMs[PMs Names])</f>
        <v>Palaksha Talkerappa, Andrew Pappas</v>
      </c>
      <c r="J10" s="129"/>
    </row>
    <row r="11" spans="1:10" x14ac:dyDescent="0.35">
      <c r="A11" s="129"/>
      <c r="B11" s="129" t="str">
        <f>MigrationEventCode</f>
        <v>MEA190</v>
      </c>
      <c r="C11" s="135">
        <f>TMWorkbook!$C$2</f>
        <v>46210</v>
      </c>
      <c r="D11" s="216" t="s">
        <v>750</v>
      </c>
      <c r="E11" s="137">
        <f>_xlfn.XLOOKUP(tblAppLvl[[#This Row],[App]],tblDepApp[Applications],tblDepApp[Servers],"",0,1)</f>
        <v>1</v>
      </c>
      <c r="F11" s="129" t="str">
        <f>CONCATENATE(_xlfn.XLOOKUP(tblAppLvl[[#This Row],[App]],tblApplications[common_assetName],tblApplications[application_appOwner],"",0,1),", ",_xlfn.XLOOKUP(tblAppLvl[[#This Row],[App]],tblApplications[common_assetName],tblApplications[application_custom10],"",0,1))</f>
        <v xml:space="preserve">, </v>
      </c>
      <c r="G11" s="129"/>
      <c r="H11" s="135"/>
      <c r="I11" s="138" t="str">
        <f>_xlfn.TEXTJOIN(", ",TRUE,tblPMs[PMs Names])</f>
        <v>Palaksha Talkerappa, Andrew Pappas</v>
      </c>
      <c r="J11" s="129"/>
    </row>
    <row r="12" spans="1:10" x14ac:dyDescent="0.35">
      <c r="A12" s="129"/>
      <c r="B12" s="129" t="str">
        <f>MigrationEventCode</f>
        <v>MEA190</v>
      </c>
      <c r="C12" s="135">
        <f>TMWorkbook!$C$2</f>
        <v>46210</v>
      </c>
      <c r="D12" s="216" t="s">
        <v>744</v>
      </c>
      <c r="E12" s="137">
        <f>_xlfn.XLOOKUP(tblAppLvl[[#This Row],[App]],tblDepApp[Applications],tblDepApp[Servers],"",0,1)</f>
        <v>1</v>
      </c>
      <c r="F12" s="129" t="str">
        <f>CONCATENATE(_xlfn.XLOOKUP(tblAppLvl[[#This Row],[App]],tblApplications[common_assetName],tblApplications[application_appOwner],"",0,1),", ",_xlfn.XLOOKUP(tblAppLvl[[#This Row],[App]],tblApplications[common_assetName],tblApplications[application_custom10],"",0,1))</f>
        <v xml:space="preserve">, </v>
      </c>
      <c r="G12" s="129"/>
      <c r="H12" s="135"/>
      <c r="I12" s="138" t="str">
        <f>_xlfn.TEXTJOIN(", ",TRUE,tblPMs[PMs Names])</f>
        <v>Palaksha Talkerappa, Andrew Pappas</v>
      </c>
      <c r="J12" s="129"/>
    </row>
  </sheetData>
  <dataValidations count="1">
    <dataValidation type="list" allowBlank="1" showInputMessage="1" showErrorMessage="1" sqref="G2:G12" xr:uid="{0EEE54AA-61B7-4997-A226-0E4B7FDF1410}">
      <formula1>"Completed, Retired, Rolled Back"</formula1>
    </dataValidation>
  </dataValidation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1FB40-50F9-431F-9B10-279CABBAA4D7}">
  <sheetPr codeName="Sheet9">
    <tabColor rgb="FFACB9CA"/>
  </sheetPr>
  <dimension ref="A1:W47"/>
  <sheetViews>
    <sheetView zoomScale="98" zoomScaleNormal="98" workbookViewId="0">
      <pane xSplit="3" ySplit="1" topLeftCell="R2" activePane="bottomRight" state="frozen"/>
      <selection pane="topRight" activeCell="D1" sqref="D1"/>
      <selection pane="bottomLeft" activeCell="A2" sqref="A2"/>
      <selection pane="bottomRight" activeCell="V3" sqref="V3"/>
    </sheetView>
  </sheetViews>
  <sheetFormatPr defaultColWidth="7.83203125" defaultRowHeight="14.5" x14ac:dyDescent="0.35"/>
  <cols>
    <col min="1" max="1" width="8.33203125" style="114" bestFit="1" customWidth="1"/>
    <col min="2" max="2" width="14.33203125" style="114" customWidth="1"/>
    <col min="3" max="3" width="8.58203125" style="114" customWidth="1"/>
    <col min="4" max="4" width="21.83203125" style="114" customWidth="1"/>
    <col min="5" max="5" width="46.6640625" style="114" customWidth="1"/>
    <col min="6" max="6" width="45.33203125" style="114" customWidth="1"/>
    <col min="7" max="7" width="25.08203125" style="114" customWidth="1"/>
    <col min="8" max="8" width="16.58203125" style="114" customWidth="1"/>
    <col min="9" max="9" width="27.5" style="114" bestFit="1" customWidth="1"/>
    <col min="10" max="10" width="18.08203125" style="114" customWidth="1"/>
    <col min="11" max="11" width="14.83203125" style="114" customWidth="1"/>
    <col min="12" max="12" width="17.5" style="114" customWidth="1"/>
    <col min="13" max="13" width="14.58203125" style="114" customWidth="1"/>
    <col min="14" max="14" width="23.58203125" style="114" customWidth="1"/>
    <col min="15" max="15" width="23.83203125" style="114" bestFit="1" customWidth="1"/>
    <col min="16" max="16" width="16.58203125" style="114" customWidth="1"/>
    <col min="17" max="19" width="16.58203125" style="117" customWidth="1"/>
    <col min="20" max="20" width="19.83203125" style="114" customWidth="1"/>
    <col min="21" max="21" width="21.83203125" style="114" customWidth="1"/>
    <col min="22" max="22" width="44.6640625" style="114" bestFit="1" customWidth="1"/>
    <col min="23" max="23" width="15.58203125" style="114" customWidth="1"/>
    <col min="24" max="16384" width="7.83203125" style="114"/>
  </cols>
  <sheetData>
    <row r="1" spans="1:23" x14ac:dyDescent="0.35">
      <c r="A1" s="139" t="s">
        <v>304</v>
      </c>
      <c r="B1" s="139" t="s">
        <v>305</v>
      </c>
      <c r="C1" s="139" t="s">
        <v>93</v>
      </c>
      <c r="D1" s="140" t="s">
        <v>94</v>
      </c>
      <c r="E1" s="139" t="s">
        <v>96</v>
      </c>
      <c r="F1" s="139" t="s">
        <v>97</v>
      </c>
      <c r="G1" s="139" t="s">
        <v>306</v>
      </c>
      <c r="H1" s="139" t="s">
        <v>101</v>
      </c>
      <c r="I1" s="139" t="s">
        <v>307</v>
      </c>
      <c r="J1" s="139" t="s">
        <v>308</v>
      </c>
      <c r="K1" s="139" t="s">
        <v>74</v>
      </c>
      <c r="L1" s="141" t="s">
        <v>76</v>
      </c>
      <c r="M1" s="139" t="s">
        <v>103</v>
      </c>
      <c r="N1" s="139" t="s">
        <v>309</v>
      </c>
      <c r="O1" s="139" t="s">
        <v>105</v>
      </c>
      <c r="P1" s="142" t="s">
        <v>72</v>
      </c>
      <c r="Q1" s="142" t="s">
        <v>106</v>
      </c>
      <c r="R1" s="142" t="s">
        <v>107</v>
      </c>
      <c r="S1" s="142" t="s">
        <v>108</v>
      </c>
      <c r="T1" s="139" t="s">
        <v>310</v>
      </c>
      <c r="U1" s="139" t="s">
        <v>311</v>
      </c>
      <c r="V1" s="139" t="s">
        <v>92</v>
      </c>
      <c r="W1" s="143" t="s">
        <v>68</v>
      </c>
    </row>
    <row r="2" spans="1:23" x14ac:dyDescent="0.35">
      <c r="A2" s="144"/>
      <c r="B2" s="213" t="str">
        <f>_xlfn.LET(_xlpm.MigSt,_xlfn.XLOOKUP(tblSignOff[[#This Row],[Hostname]],tblUnqSvr[Hostname],tblUnqSvr[Migration Status],"",0,1),IF(_xlpm.MigSt=0,"",_xlpm.MigSt))</f>
        <v/>
      </c>
      <c r="C2" s="137" t="str">
        <f>MigrationEventCode</f>
        <v>MEA190</v>
      </c>
      <c r="D2" s="145">
        <f>TMWorkbook!$C$2</f>
        <v>46210</v>
      </c>
      <c r="E2" s="144" t="str">
        <f>_xlfn.XLOOKUP(tblSignOff[[#This Row],[AssetDependencyId]],tblEvntScope[AssetDependencyId],tblEvntScope[Application Name],"",0,1)</f>
        <v>SQL Server System Database-Dev</v>
      </c>
      <c r="F2" s="144" t="str">
        <f>_xlfn.XLOOKUP(tblSignOff[[#This Row],[AssetDependencyId]],tblEvntScope[AssetDependencyId],tblEvntScope[Application Owner],"",0,1)</f>
        <v>Erwin Salazar</v>
      </c>
      <c r="G2" s="144" t="str">
        <f>CONCATENATE(tblSignOff[[#This Row],[Hostname]],"-cmold")</f>
        <v>VA33DWPSQL311A-cmold</v>
      </c>
      <c r="H2" s="144" t="str">
        <f>_xlfn.XLOOKUP(tblSignOff[[#This Row],[AssetDependencyId]],tblEvntScope[AssetDependencyId],tblEvntScope[Source IP Address],"",0,1)</f>
        <v>30.118.198.20</v>
      </c>
      <c r="I2" s="213" t="str">
        <f>_xlfn.LET(_xlpm.DCLoc,_xlfn.XLOOKUP(tblSignOff[[#This Row],[Hostname]],tblUnqSvr[Hostname],tblUnqSvr[EH DataCenter Location],"",0,1), IF(_xlpm.DCLoc=0,"",_xlpm.DCLoc))</f>
        <v>VA-HARRISONBURG 1175 N MAIN ST</v>
      </c>
      <c r="J2" s="144" t="str">
        <f>_xlfn.XLOOKUP(tblSignOff[[#This Row],[AssetDependencyId]],tblEvntScope[AssetDependencyId],tblEvntScope[Type
App/DB],"",0,1)</f>
        <v>Database - SQL</v>
      </c>
      <c r="K2" s="197" t="str">
        <f>_xlfn.XLOOKUP(tblSignOff[[#This Row],[AssetDependencyId]],tblEvntScope[AssetDependencyId],tblEvntScope[Environment],"",0,1)</f>
        <v>Development</v>
      </c>
      <c r="L2" s="198" t="str">
        <f>_xlfn.XLOOKUP(tblSignOff[[#This Row],[Hostname]],tblTM[common_assetName],tblTM[device_assetType],"",0,1)</f>
        <v>Server</v>
      </c>
      <c r="M2"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2" s="213" t="str">
        <f>_xlfn.LET(_xlpm.PhySN,_xlfn.XLOOKUP(tblSignOff[[#This Row],[Hostname]],tblUnqSvr[Hostname],tblUnqSvr[Source Physical Server Serial Number],"",0,1), IF(_xlpm.PhySN=0,"", _xlpm.PhySN))</f>
        <v>7V958B3</v>
      </c>
      <c r="O2" s="213" t="str">
        <f>_xlfn.XLOOKUP(tblSignOff[[#This Row],[Hostname]],tblUnqSvr[Hostname],tblUnqSvr[Target Data Center],"",0,1)</f>
        <v>Dell BMaaS - Ashburn</v>
      </c>
      <c r="P2" s="144" t="str">
        <f>_xlfn.XLOOKUP(tblSignOff[[#This Row],[AssetDependencyId]],tblDependencies[AssetDependencyId],tblDependencies[DependentName],"",0,1)</f>
        <v>VA33DWPSQL311A</v>
      </c>
      <c r="Q2" s="125">
        <f>_xlfn.XLOOKUP(tblSignOff[[#This Row],[Hostname]],tblTM[common_assetName],tblTM[device_custom17],"",0,1)</f>
        <v>0</v>
      </c>
      <c r="R2" s="125">
        <f>_xlfn.XLOOKUP(tblSignOff[[#This Row],[Hostname]],tblTM[common_assetName],tblTM[device_custom14],"",0,1)</f>
        <v>0</v>
      </c>
      <c r="S2" s="125">
        <f>_xlfn.XLOOKUP(tblSignOff[[#This Row],[Hostname]],tblTM[common_assetName],tblTM[device_custom12],"",0,1)</f>
        <v>0</v>
      </c>
      <c r="T2" s="213">
        <f>_xlfn.XLOOKUP(tblSignOff[[#This Row],[Hostname]],tblUnqSvr[Hostname],tblUnqSvr[Cutover Change number],"",0,1)</f>
        <v>0</v>
      </c>
      <c r="U2" s="213">
        <f>_xlfn.XLOOKUP(tblSignOff[[#This Row],[Hostname]],tblUnqSvr[Hostname],tblUnqSvr[Plan Status "Moved" in TM],"",0,1)</f>
        <v>0</v>
      </c>
      <c r="V2" s="144"/>
      <c r="W2" s="214">
        <v>581341</v>
      </c>
    </row>
    <row r="3" spans="1:23" x14ac:dyDescent="0.35">
      <c r="A3" s="144"/>
      <c r="B3" s="213" t="str">
        <f>_xlfn.LET(_xlpm.MigSt,_xlfn.XLOOKUP(tblSignOff[[#This Row],[Hostname]],tblUnqSvr[Hostname],tblUnqSvr[Migration Status],"",0,1),IF(_xlpm.MigSt=0,"",_xlpm.MigSt))</f>
        <v/>
      </c>
      <c r="C3" s="137" t="str">
        <f>MigrationEventCode</f>
        <v>MEA190</v>
      </c>
      <c r="D3" s="145">
        <f>TMWorkbook!$C$2</f>
        <v>46210</v>
      </c>
      <c r="E3" s="144" t="str">
        <f>_xlfn.XLOOKUP(tblSignOff[[#This Row],[AssetDependencyId]],tblEvntScope[AssetDependencyId],tblEvntScope[Application Name],"",0,1)</f>
        <v>SQL Server System Database-Dev</v>
      </c>
      <c r="F3" s="144" t="str">
        <f>_xlfn.XLOOKUP(tblSignOff[[#This Row],[AssetDependencyId]],tblEvntScope[AssetDependencyId],tblEvntScope[Application Owner],"",0,1)</f>
        <v>Erwin Salazar</v>
      </c>
      <c r="G3" s="144" t="str">
        <f>CONCATENATE(tblSignOff[[#This Row],[Hostname]],"-cmold")</f>
        <v>VA33DWPSQL311B-cmold</v>
      </c>
      <c r="H3" s="144" t="str">
        <f>_xlfn.XLOOKUP(tblSignOff[[#This Row],[AssetDependencyId]],tblEvntScope[AssetDependencyId],tblEvntScope[Source IP Address],"",0,1)</f>
        <v>30.118.198.21,30.118.198.23</v>
      </c>
      <c r="I3" s="213" t="str">
        <f>_xlfn.LET(_xlpm.DCLoc,_xlfn.XLOOKUP(tblSignOff[[#This Row],[Hostname]],tblUnqSvr[Hostname],tblUnqSvr[EH DataCenter Location],"",0,1), IF(_xlpm.DCLoc=0,"",_xlpm.DCLoc))</f>
        <v>VA-HARRISONBURG 1175 N MAIN ST</v>
      </c>
      <c r="J3" s="144" t="str">
        <f>_xlfn.XLOOKUP(tblSignOff[[#This Row],[AssetDependencyId]],tblEvntScope[AssetDependencyId],tblEvntScope[Type
App/DB],"",0,1)</f>
        <v>Database - SQL</v>
      </c>
      <c r="K3" s="197" t="str">
        <f>_xlfn.XLOOKUP(tblSignOff[[#This Row],[AssetDependencyId]],tblEvntScope[AssetDependencyId],tblEvntScope[Environment],"",0,1)</f>
        <v>Development</v>
      </c>
      <c r="L3" s="198" t="str">
        <f>_xlfn.XLOOKUP(tblSignOff[[#This Row],[Hostname]],tblTM[common_assetName],tblTM[device_assetType],"",0,1)</f>
        <v>Server</v>
      </c>
      <c r="M3"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3" s="213" t="str">
        <f>_xlfn.LET(_xlpm.PhySN,_xlfn.XLOOKUP(tblSignOff[[#This Row],[Hostname]],tblUnqSvr[Hostname],tblUnqSvr[Source Physical Server Serial Number],"",0,1), IF(_xlpm.PhySN=0,"", _xlpm.PhySN))</f>
        <v>7V988B3</v>
      </c>
      <c r="O3" s="213" t="str">
        <f>_xlfn.XLOOKUP(tblSignOff[[#This Row],[Hostname]],tblUnqSvr[Hostname],tblUnqSvr[Target Data Center],"",0,1)</f>
        <v>Dell BMaaS - Ashburn</v>
      </c>
      <c r="P3" s="144" t="str">
        <f>_xlfn.XLOOKUP(tblSignOff[[#This Row],[AssetDependencyId]],tblDependencies[AssetDependencyId],tblDependencies[DependentName],"",0,1)</f>
        <v>VA33DWPSQL311B</v>
      </c>
      <c r="Q3" s="125">
        <f>_xlfn.XLOOKUP(tblSignOff[[#This Row],[Hostname]],tblTM[common_assetName],tblTM[device_custom17],"",0,1)</f>
        <v>0</v>
      </c>
      <c r="R3" s="125">
        <f>_xlfn.XLOOKUP(tblSignOff[[#This Row],[Hostname]],tblTM[common_assetName],tblTM[device_custom14],"",0,1)</f>
        <v>0</v>
      </c>
      <c r="S3" s="125">
        <f>_xlfn.XLOOKUP(tblSignOff[[#This Row],[Hostname]],tblTM[common_assetName],tblTM[device_custom12],"",0,1)</f>
        <v>0</v>
      </c>
      <c r="T3" s="213">
        <f>_xlfn.XLOOKUP(tblSignOff[[#This Row],[Hostname]],tblUnqSvr[Hostname],tblUnqSvr[Cutover Change number],"",0,1)</f>
        <v>0</v>
      </c>
      <c r="U3" s="213">
        <f>_xlfn.XLOOKUP(tblSignOff[[#This Row],[Hostname]],tblUnqSvr[Hostname],tblUnqSvr[Plan Status "Moved" in TM],"",0,1)</f>
        <v>0</v>
      </c>
      <c r="V3" s="144"/>
      <c r="W3" s="214">
        <v>581342</v>
      </c>
    </row>
    <row r="4" spans="1:23" x14ac:dyDescent="0.35">
      <c r="A4" s="144"/>
      <c r="B4" s="213" t="str">
        <f>_xlfn.LET(_xlpm.MigSt,_xlfn.XLOOKUP(tblSignOff[[#This Row],[Hostname]],tblUnqSvr[Hostname],tblUnqSvr[Migration Status],"",0,1),IF(_xlpm.MigSt=0,"",_xlpm.MigSt))</f>
        <v/>
      </c>
      <c r="C4" s="137" t="str">
        <f>MigrationEventCode</f>
        <v>MEA190</v>
      </c>
      <c r="D4" s="145">
        <f>TMWorkbook!$C$2</f>
        <v>46210</v>
      </c>
      <c r="E4" s="144" t="str">
        <f>_xlfn.XLOOKUP(tblSignOff[[#This Row],[AssetDependencyId]],tblEvntScope[AssetDependencyId],tblEvntScope[Application Name],"",0,1)</f>
        <v>SQL Server System Database-Test</v>
      </c>
      <c r="F4" s="144" t="str">
        <f>_xlfn.XLOOKUP(tblSignOff[[#This Row],[AssetDependencyId]],tblEvntScope[AssetDependencyId],tblEvntScope[Application Owner],"",0,1)</f>
        <v>Erwin Salazar</v>
      </c>
      <c r="G4" s="144" t="str">
        <f>CONCATENATE(tblSignOff[[#This Row],[Hostname]],"-cmold")</f>
        <v>VA33TWPSQL303A-cmold</v>
      </c>
      <c r="H4" s="144" t="str">
        <f>_xlfn.XLOOKUP(tblSignOff[[#This Row],[AssetDependencyId]],tblEvntScope[AssetDependencyId],tblEvntScope[Source IP Address],"",0,1)</f>
        <v>30.118.196.105, 30.118.196.108</v>
      </c>
      <c r="I4" s="213" t="str">
        <f>_xlfn.LET(_xlpm.DCLoc,_xlfn.XLOOKUP(tblSignOff[[#This Row],[Hostname]],tblUnqSvr[Hostname],tblUnqSvr[EH DataCenter Location],"",0,1), IF(_xlpm.DCLoc=0,"",_xlpm.DCLoc))</f>
        <v>VA-HARRISONBURG 1175 N MAIN ST</v>
      </c>
      <c r="J4" s="144" t="str">
        <f>_xlfn.XLOOKUP(tblSignOff[[#This Row],[AssetDependencyId]],tblEvntScope[AssetDependencyId],tblEvntScope[Type
App/DB],"",0,1)</f>
        <v>Database - SQL</v>
      </c>
      <c r="K4" s="197" t="str">
        <f>_xlfn.XLOOKUP(tblSignOff[[#This Row],[AssetDependencyId]],tblEvntScope[AssetDependencyId],tblEvntScope[Environment],"",0,1)</f>
        <v>Test</v>
      </c>
      <c r="L4" s="198" t="str">
        <f>_xlfn.XLOOKUP(tblSignOff[[#This Row],[Hostname]],tblTM[common_assetName],tblTM[device_assetType],"",0,1)</f>
        <v>Server</v>
      </c>
      <c r="M4"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4" s="213" t="str">
        <f>_xlfn.LET(_xlpm.PhySN,_xlfn.XLOOKUP(tblSignOff[[#This Row],[Hostname]],tblUnqSvr[Hostname],tblUnqSvr[Source Physical Server Serial Number],"",0,1), IF(_xlpm.PhySN=0,"", _xlpm.PhySN))</f>
        <v>HNTWCS2</v>
      </c>
      <c r="O4" s="213" t="str">
        <f>_xlfn.XLOOKUP(tblSignOff[[#This Row],[Hostname]],tblUnqSvr[Hostname],tblUnqSvr[Target Data Center],"",0,1)</f>
        <v>Dell BMaaS - Ashburn</v>
      </c>
      <c r="P4" s="144" t="str">
        <f>_xlfn.XLOOKUP(tblSignOff[[#This Row],[AssetDependencyId]],tblDependencies[AssetDependencyId],tblDependencies[DependentName],"",0,1)</f>
        <v>VA33TWPSQL303A</v>
      </c>
      <c r="Q4" s="125">
        <f>_xlfn.XLOOKUP(tblSignOff[[#This Row],[Hostname]],tblTM[common_assetName],tblTM[device_custom17],"",0,1)</f>
        <v>0</v>
      </c>
      <c r="R4" s="125">
        <f>_xlfn.XLOOKUP(tblSignOff[[#This Row],[Hostname]],tblTM[common_assetName],tblTM[device_custom14],"",0,1)</f>
        <v>0</v>
      </c>
      <c r="S4" s="125">
        <f>_xlfn.XLOOKUP(tblSignOff[[#This Row],[Hostname]],tblTM[common_assetName],tblTM[device_custom12],"",0,1)</f>
        <v>0</v>
      </c>
      <c r="T4" s="213">
        <f>_xlfn.XLOOKUP(tblSignOff[[#This Row],[Hostname]],tblUnqSvr[Hostname],tblUnqSvr[Cutover Change number],"",0,1)</f>
        <v>0</v>
      </c>
      <c r="U4" s="213">
        <f>_xlfn.XLOOKUP(tblSignOff[[#This Row],[Hostname]],tblUnqSvr[Hostname],tblUnqSvr[Plan Status "Moved" in TM],"",0,1)</f>
        <v>0</v>
      </c>
      <c r="V4" s="144"/>
      <c r="W4" s="214">
        <v>631245</v>
      </c>
    </row>
    <row r="5" spans="1:23" x14ac:dyDescent="0.35">
      <c r="A5" s="144"/>
      <c r="B5" s="213" t="str">
        <f>_xlfn.LET(_xlpm.MigSt,_xlfn.XLOOKUP(tblSignOff[[#This Row],[Hostname]],tblUnqSvr[Hostname],tblUnqSvr[Migration Status],"",0,1),IF(_xlpm.MigSt=0,"",_xlpm.MigSt))</f>
        <v/>
      </c>
      <c r="C5" s="137" t="str">
        <f>MigrationEventCode</f>
        <v>MEA190</v>
      </c>
      <c r="D5" s="145">
        <f>TMWorkbook!$C$2</f>
        <v>46210</v>
      </c>
      <c r="E5" s="144" t="str">
        <f>_xlfn.XLOOKUP(tblSignOff[[#This Row],[AssetDependencyId]],tblEvntScope[AssetDependencyId],tblEvntScope[Application Name],"",0,1)</f>
        <v>SQL Server System Database-Test</v>
      </c>
      <c r="F5" s="144" t="str">
        <f>_xlfn.XLOOKUP(tblSignOff[[#This Row],[AssetDependencyId]],tblEvntScope[AssetDependencyId],tblEvntScope[Application Owner],"",0,1)</f>
        <v>Erwin Salazar</v>
      </c>
      <c r="G5" s="144" t="str">
        <f>CONCATENATE(tblSignOff[[#This Row],[Hostname]],"-cmold")</f>
        <v>VA33TWPSQL303B-cmold</v>
      </c>
      <c r="H5" s="144" t="str">
        <f>_xlfn.XLOOKUP(tblSignOff[[#This Row],[AssetDependencyId]],tblEvntScope[AssetDependencyId],tblEvntScope[Source IP Address],"",0,1)</f>
        <v>30.118.196.106,30.118.196.107</v>
      </c>
      <c r="I5" s="213" t="str">
        <f>_xlfn.LET(_xlpm.DCLoc,_xlfn.XLOOKUP(tblSignOff[[#This Row],[Hostname]],tblUnqSvr[Hostname],tblUnqSvr[EH DataCenter Location],"",0,1), IF(_xlpm.DCLoc=0,"",_xlpm.DCLoc))</f>
        <v>VA-HARRISONBURG 1175 N MAIN ST</v>
      </c>
      <c r="J5" s="144" t="str">
        <f>_xlfn.XLOOKUP(tblSignOff[[#This Row],[AssetDependencyId]],tblEvntScope[AssetDependencyId],tblEvntScope[Type
App/DB],"",0,1)</f>
        <v>Database - SQL</v>
      </c>
      <c r="K5" s="197" t="str">
        <f>_xlfn.XLOOKUP(tblSignOff[[#This Row],[AssetDependencyId]],tblEvntScope[AssetDependencyId],tblEvntScope[Environment],"",0,1)</f>
        <v>Test</v>
      </c>
      <c r="L5" s="198" t="str">
        <f>_xlfn.XLOOKUP(tblSignOff[[#This Row],[Hostname]],tblTM[common_assetName],tblTM[device_assetType],"",0,1)</f>
        <v>Server</v>
      </c>
      <c r="M5"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5" s="213" t="str">
        <f>_xlfn.LET(_xlpm.PhySN,_xlfn.XLOOKUP(tblSignOff[[#This Row],[Hostname]],tblUnqSvr[Hostname],tblUnqSvr[Source Physical Server Serial Number],"",0,1), IF(_xlpm.PhySN=0,"", _xlpm.PhySN))</f>
        <v>HNT1DS2</v>
      </c>
      <c r="O5" s="213" t="str">
        <f>_xlfn.XLOOKUP(tblSignOff[[#This Row],[Hostname]],tblUnqSvr[Hostname],tblUnqSvr[Target Data Center],"",0,1)</f>
        <v>Dell BMaaS - Ashburn</v>
      </c>
      <c r="P5" s="144" t="str">
        <f>_xlfn.XLOOKUP(tblSignOff[[#This Row],[AssetDependencyId]],tblDependencies[AssetDependencyId],tblDependencies[DependentName],"",0,1)</f>
        <v>VA33TWPSQL303B</v>
      </c>
      <c r="Q5" s="125">
        <f>_xlfn.XLOOKUP(tblSignOff[[#This Row],[Hostname]],tblTM[common_assetName],tblTM[device_custom17],"",0,1)</f>
        <v>0</v>
      </c>
      <c r="R5" s="125">
        <f>_xlfn.XLOOKUP(tblSignOff[[#This Row],[Hostname]],tblTM[common_assetName],tblTM[device_custom14],"",0,1)</f>
        <v>0</v>
      </c>
      <c r="S5" s="125">
        <f>_xlfn.XLOOKUP(tblSignOff[[#This Row],[Hostname]],tblTM[common_assetName],tblTM[device_custom12],"",0,1)</f>
        <v>0</v>
      </c>
      <c r="T5" s="213">
        <f>_xlfn.XLOOKUP(tblSignOff[[#This Row],[Hostname]],tblUnqSvr[Hostname],tblUnqSvr[Cutover Change number],"",0,1)</f>
        <v>0</v>
      </c>
      <c r="U5" s="213">
        <f>_xlfn.XLOOKUP(tblSignOff[[#This Row],[Hostname]],tblUnqSvr[Hostname],tblUnqSvr[Plan Status "Moved" in TM],"",0,1)</f>
        <v>0</v>
      </c>
      <c r="V5" s="144"/>
      <c r="W5" s="214">
        <v>670754</v>
      </c>
    </row>
    <row r="6" spans="1:23" x14ac:dyDescent="0.35">
      <c r="A6" s="144"/>
      <c r="B6" s="213" t="str">
        <f>_xlfn.LET(_xlpm.MigSt,_xlfn.XLOOKUP(tblSignOff[[#This Row],[Hostname]],tblUnqSvr[Hostname],tblUnqSvr[Migration Status],"",0,1),IF(_xlpm.MigSt=0,"",_xlpm.MigSt))</f>
        <v/>
      </c>
      <c r="C6" s="137" t="str">
        <f>MigrationEventCode</f>
        <v>MEA190</v>
      </c>
      <c r="D6" s="145">
        <f>TMWorkbook!$C$2</f>
        <v>46210</v>
      </c>
      <c r="E6" s="144" t="str">
        <f>_xlfn.XLOOKUP(tblSignOff[[#This Row],[AssetDependencyId]],tblEvntScope[AssetDependencyId],tblEvntScope[Application Name],"",0,1)</f>
        <v>Kafka-Test</v>
      </c>
      <c r="F6" s="144" t="str">
        <f>_xlfn.XLOOKUP(tblSignOff[[#This Row],[AssetDependencyId]],tblEvntScope[AssetDependencyId],tblEvntScope[Application Owner],"",0,1)</f>
        <v>Srihari Koduri</v>
      </c>
      <c r="G6" s="144" t="str">
        <f>CONCATENATE(tblSignOff[[#This Row],[Hostname]],"-cmold")</f>
        <v>dc04tlpkaf450-cmold</v>
      </c>
      <c r="H6" s="144" t="str">
        <f>_xlfn.XLOOKUP(tblSignOff[[#This Row],[AssetDependencyId]],tblEvntScope[AssetDependencyId],tblEvntScope[Source IP Address],"",0,1)</f>
        <v>10.152.28.142</v>
      </c>
      <c r="I6" s="213" t="str">
        <f>_xlfn.LET(_xlpm.DCLoc,_xlfn.XLOOKUP(tblSignOff[[#This Row],[Hostname]],tblUnqSvr[Hostname],tblUnqSvr[EH DataCenter Location],"",0,1), IF(_xlpm.DCLoc=0,"",_xlpm.DCLoc))</f>
        <v>IBM-Cloud Services US East</v>
      </c>
      <c r="J6" s="144">
        <f>_xlfn.XLOOKUP(tblSignOff[[#This Row],[AssetDependencyId]],tblEvntScope[AssetDependencyId],tblEvntScope[Type
App/DB],"",0,1)</f>
        <v>0</v>
      </c>
      <c r="K6" s="197" t="str">
        <f>_xlfn.XLOOKUP(tblSignOff[[#This Row],[AssetDependencyId]],tblEvntScope[AssetDependencyId],tblEvntScope[Environment],"",0,1)</f>
        <v>Test</v>
      </c>
      <c r="L6" s="198" t="str">
        <f>_xlfn.XLOOKUP(tblSignOff[[#This Row],[Hostname]],tblTM[common_assetName],tblTM[device_assetType],"",0,1)</f>
        <v>Server</v>
      </c>
      <c r="M6"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6" s="213" t="str">
        <f>_xlfn.LET(_xlpm.PhySN,_xlfn.XLOOKUP(tblSignOff[[#This Row],[Hostname]],tblUnqSvr[Hostname],tblUnqSvr[Source Physical Server Serial Number],"",0,1), IF(_xlpm.PhySN=0,"", _xlpm.PhySN))</f>
        <v>J101WTLA</v>
      </c>
      <c r="O6" s="213" t="str">
        <f>_xlfn.XLOOKUP(tblSignOff[[#This Row],[Hostname]],tblUnqSvr[Hostname],tblUnqSvr[Target Data Center],"",0,1)</f>
        <v>Dell BMaaS - Ashburn</v>
      </c>
      <c r="P6" s="144" t="str">
        <f>_xlfn.XLOOKUP(tblSignOff[[#This Row],[AssetDependencyId]],tblDependencies[AssetDependencyId],tblDependencies[DependentName],"",0,1)</f>
        <v>dc04tlpkaf450</v>
      </c>
      <c r="Q6" s="125">
        <f>_xlfn.XLOOKUP(tblSignOff[[#This Row],[Hostname]],tblTM[common_assetName],tblTM[device_custom17],"",0,1)</f>
        <v>0</v>
      </c>
      <c r="R6" s="125">
        <f>_xlfn.XLOOKUP(tblSignOff[[#This Row],[Hostname]],tblTM[common_assetName],tblTM[device_custom14],"",0,1)</f>
        <v>0</v>
      </c>
      <c r="S6" s="125">
        <f>_xlfn.XLOOKUP(tblSignOff[[#This Row],[Hostname]],tblTM[common_assetName],tblTM[device_custom12],"",0,1)</f>
        <v>0</v>
      </c>
      <c r="T6" s="213">
        <f>_xlfn.XLOOKUP(tblSignOff[[#This Row],[Hostname]],tblUnqSvr[Hostname],tblUnqSvr[Cutover Change number],"",0,1)</f>
        <v>0</v>
      </c>
      <c r="U6" s="213">
        <f>_xlfn.XLOOKUP(tblSignOff[[#This Row],[Hostname]],tblUnqSvr[Hostname],tblUnqSvr[Plan Status "Moved" in TM],"",0,1)</f>
        <v>0</v>
      </c>
      <c r="V6" s="144"/>
      <c r="W6" s="214">
        <v>672001</v>
      </c>
    </row>
    <row r="7" spans="1:23" x14ac:dyDescent="0.35">
      <c r="A7" s="144"/>
      <c r="B7" s="213" t="str">
        <f>_xlfn.LET(_xlpm.MigSt,_xlfn.XLOOKUP(tblSignOff[[#This Row],[Hostname]],tblUnqSvr[Hostname],tblUnqSvr[Migration Status],"",0,1),IF(_xlpm.MigSt=0,"",_xlpm.MigSt))</f>
        <v/>
      </c>
      <c r="C7" s="137" t="str">
        <f>MigrationEventCode</f>
        <v>MEA190</v>
      </c>
      <c r="D7" s="145">
        <f>TMWorkbook!$C$2</f>
        <v>46210</v>
      </c>
      <c r="E7" s="144" t="str">
        <f>_xlfn.XLOOKUP(tblSignOff[[#This Row],[AssetDependencyId]],tblEvntScope[AssetDependencyId],tblEvntScope[Application Name],"",0,1)</f>
        <v>Kafka-Test</v>
      </c>
      <c r="F7" s="144" t="str">
        <f>_xlfn.XLOOKUP(tblSignOff[[#This Row],[AssetDependencyId]],tblEvntScope[AssetDependencyId],tblEvntScope[Application Owner],"",0,1)</f>
        <v>Srihari Koduri</v>
      </c>
      <c r="G7" s="144" t="str">
        <f>CONCATENATE(tblSignOff[[#This Row],[Hostname]],"-cmold")</f>
        <v>dc04tlpkaf449-cmold</v>
      </c>
      <c r="H7" s="144" t="str">
        <f>_xlfn.XLOOKUP(tblSignOff[[#This Row],[AssetDependencyId]],tblEvntScope[AssetDependencyId],tblEvntScope[Source IP Address],"",0,1)</f>
        <v>10.152.28.141</v>
      </c>
      <c r="I7" s="213" t="str">
        <f>_xlfn.LET(_xlpm.DCLoc,_xlfn.XLOOKUP(tblSignOff[[#This Row],[Hostname]],tblUnqSvr[Hostname],tblUnqSvr[EH DataCenter Location],"",0,1), IF(_xlpm.DCLoc=0,"",_xlpm.DCLoc))</f>
        <v>IBM-Cloud Services US East</v>
      </c>
      <c r="J7" s="144">
        <f>_xlfn.XLOOKUP(tblSignOff[[#This Row],[AssetDependencyId]],tblEvntScope[AssetDependencyId],tblEvntScope[Type
App/DB],"",0,1)</f>
        <v>0</v>
      </c>
      <c r="K7" s="197" t="str">
        <f>_xlfn.XLOOKUP(tblSignOff[[#This Row],[AssetDependencyId]],tblEvntScope[AssetDependencyId],tblEvntScope[Environment],"",0,1)</f>
        <v>Test</v>
      </c>
      <c r="L7" s="198" t="str">
        <f>_xlfn.XLOOKUP(tblSignOff[[#This Row],[Hostname]],tblTM[common_assetName],tblTM[device_assetType],"",0,1)</f>
        <v>Server</v>
      </c>
      <c r="M7"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7" s="213" t="str">
        <f>_xlfn.LET(_xlpm.PhySN,_xlfn.XLOOKUP(tblSignOff[[#This Row],[Hostname]],tblUnqSvr[Hostname],tblUnqSvr[Source Physical Server Serial Number],"",0,1), IF(_xlpm.PhySN=0,"", _xlpm.PhySN))</f>
        <v>J101WTM2</v>
      </c>
      <c r="O7" s="213" t="str">
        <f>_xlfn.XLOOKUP(tblSignOff[[#This Row],[Hostname]],tblUnqSvr[Hostname],tblUnqSvr[Target Data Center],"",0,1)</f>
        <v>Dell BMaaS - Ashburn</v>
      </c>
      <c r="P7" s="144" t="str">
        <f>_xlfn.XLOOKUP(tblSignOff[[#This Row],[AssetDependencyId]],tblDependencies[AssetDependencyId],tblDependencies[DependentName],"",0,1)</f>
        <v>dc04tlpkaf449</v>
      </c>
      <c r="Q7" s="125">
        <f>_xlfn.XLOOKUP(tblSignOff[[#This Row],[Hostname]],tblTM[common_assetName],tblTM[device_custom17],"",0,1)</f>
        <v>0</v>
      </c>
      <c r="R7" s="125">
        <f>_xlfn.XLOOKUP(tblSignOff[[#This Row],[Hostname]],tblTM[common_assetName],tblTM[device_custom14],"",0,1)</f>
        <v>0</v>
      </c>
      <c r="S7" s="125">
        <f>_xlfn.XLOOKUP(tblSignOff[[#This Row],[Hostname]],tblTM[common_assetName],tblTM[device_custom12],"",0,1)</f>
        <v>0</v>
      </c>
      <c r="T7" s="213">
        <f>_xlfn.XLOOKUP(tblSignOff[[#This Row],[Hostname]],tblUnqSvr[Hostname],tblUnqSvr[Cutover Change number],"",0,1)</f>
        <v>0</v>
      </c>
      <c r="U7" s="213">
        <f>_xlfn.XLOOKUP(tblSignOff[[#This Row],[Hostname]],tblUnqSvr[Hostname],tblUnqSvr[Plan Status "Moved" in TM],"",0,1)</f>
        <v>0</v>
      </c>
      <c r="V7" s="144"/>
      <c r="W7" s="214">
        <v>672002</v>
      </c>
    </row>
    <row r="8" spans="1:23" x14ac:dyDescent="0.35">
      <c r="A8" s="144"/>
      <c r="B8" s="213" t="str">
        <f>_xlfn.LET(_xlpm.MigSt,_xlfn.XLOOKUP(tblSignOff[[#This Row],[Hostname]],tblUnqSvr[Hostname],tblUnqSvr[Migration Status],"",0,1),IF(_xlpm.MigSt=0,"",_xlpm.MigSt))</f>
        <v/>
      </c>
      <c r="C8" s="137" t="str">
        <f>MigrationEventCode</f>
        <v>MEA190</v>
      </c>
      <c r="D8" s="145">
        <f>TMWorkbook!$C$2</f>
        <v>46210</v>
      </c>
      <c r="E8" s="144" t="str">
        <f>_xlfn.XLOOKUP(tblSignOff[[#This Row],[AssetDependencyId]],tblEvntScope[AssetDependencyId],tblEvntScope[Application Name],"",0,1)</f>
        <v>Kafka-Test</v>
      </c>
      <c r="F8" s="144" t="str">
        <f>_xlfn.XLOOKUP(tblSignOff[[#This Row],[AssetDependencyId]],tblEvntScope[AssetDependencyId],tblEvntScope[Application Owner],"",0,1)</f>
        <v>Srihari Koduri</v>
      </c>
      <c r="G8" s="144" t="str">
        <f>CONCATENATE(tblSignOff[[#This Row],[Hostname]],"-cmold")</f>
        <v>dc04tlpkaf448-cmold</v>
      </c>
      <c r="H8" s="144" t="str">
        <f>_xlfn.XLOOKUP(tblSignOff[[#This Row],[AssetDependencyId]],tblEvntScope[AssetDependencyId],tblEvntScope[Source IP Address],"",0,1)</f>
        <v>10.152.28.140</v>
      </c>
      <c r="I8" s="213" t="str">
        <f>_xlfn.LET(_xlpm.DCLoc,_xlfn.XLOOKUP(tblSignOff[[#This Row],[Hostname]],tblUnqSvr[Hostname],tblUnqSvr[EH DataCenter Location],"",0,1), IF(_xlpm.DCLoc=0,"",_xlpm.DCLoc))</f>
        <v>IBM-Cloud Services US East</v>
      </c>
      <c r="J8" s="144">
        <f>_xlfn.XLOOKUP(tblSignOff[[#This Row],[AssetDependencyId]],tblEvntScope[AssetDependencyId],tblEvntScope[Type
App/DB],"",0,1)</f>
        <v>0</v>
      </c>
      <c r="K8" s="197" t="str">
        <f>_xlfn.XLOOKUP(tblSignOff[[#This Row],[AssetDependencyId]],tblEvntScope[AssetDependencyId],tblEvntScope[Environment],"",0,1)</f>
        <v>Test</v>
      </c>
      <c r="L8" s="198" t="str">
        <f>_xlfn.XLOOKUP(tblSignOff[[#This Row],[Hostname]],tblTM[common_assetName],tblTM[device_assetType],"",0,1)</f>
        <v>Server</v>
      </c>
      <c r="M8"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8" s="213" t="str">
        <f>_xlfn.LET(_xlpm.PhySN,_xlfn.XLOOKUP(tblSignOff[[#This Row],[Hostname]],tblUnqSvr[Hostname],tblUnqSvr[Source Physical Server Serial Number],"",0,1), IF(_xlpm.PhySN=0,"", _xlpm.PhySN))</f>
        <v>J101VGFY</v>
      </c>
      <c r="O8" s="213" t="str">
        <f>_xlfn.XLOOKUP(tblSignOff[[#This Row],[Hostname]],tblUnqSvr[Hostname],tblUnqSvr[Target Data Center],"",0,1)</f>
        <v>Dell BMaaS - Ashburn</v>
      </c>
      <c r="P8" s="144" t="str">
        <f>_xlfn.XLOOKUP(tblSignOff[[#This Row],[AssetDependencyId]],tblDependencies[AssetDependencyId],tblDependencies[DependentName],"",0,1)</f>
        <v>dc04tlpkaf448</v>
      </c>
      <c r="Q8" s="125">
        <f>_xlfn.XLOOKUP(tblSignOff[[#This Row],[Hostname]],tblTM[common_assetName],tblTM[device_custom17],"",0,1)</f>
        <v>0</v>
      </c>
      <c r="R8" s="125">
        <f>_xlfn.XLOOKUP(tblSignOff[[#This Row],[Hostname]],tblTM[common_assetName],tblTM[device_custom14],"",0,1)</f>
        <v>0</v>
      </c>
      <c r="S8" s="125">
        <f>_xlfn.XLOOKUP(tblSignOff[[#This Row],[Hostname]],tblTM[common_assetName],tblTM[device_custom12],"",0,1)</f>
        <v>0</v>
      </c>
      <c r="T8" s="213">
        <f>_xlfn.XLOOKUP(tblSignOff[[#This Row],[Hostname]],tblUnqSvr[Hostname],tblUnqSvr[Cutover Change number],"",0,1)</f>
        <v>0</v>
      </c>
      <c r="U8" s="213">
        <f>_xlfn.XLOOKUP(tblSignOff[[#This Row],[Hostname]],tblUnqSvr[Hostname],tblUnqSvr[Plan Status "Moved" in TM],"",0,1)</f>
        <v>0</v>
      </c>
      <c r="V8" s="144"/>
      <c r="W8" s="214">
        <v>672003</v>
      </c>
    </row>
    <row r="9" spans="1:23" x14ac:dyDescent="0.35">
      <c r="A9" s="144"/>
      <c r="B9" s="213" t="str">
        <f>_xlfn.LET(_xlpm.MigSt,_xlfn.XLOOKUP(tblSignOff[[#This Row],[Hostname]],tblUnqSvr[Hostname],tblUnqSvr[Migration Status],"",0,1),IF(_xlpm.MigSt=0,"",_xlpm.MigSt))</f>
        <v/>
      </c>
      <c r="C9" s="137" t="str">
        <f>MigrationEventCode</f>
        <v>MEA190</v>
      </c>
      <c r="D9" s="145">
        <f>TMWorkbook!$C$2</f>
        <v>46210</v>
      </c>
      <c r="E9" s="144" t="str">
        <f>_xlfn.XLOOKUP(tblSignOff[[#This Row],[AssetDependencyId]],tblEvntScope[AssetDependencyId],tblEvntScope[Application Name],"",0,1)</f>
        <v>Kafka-Test</v>
      </c>
      <c r="F9" s="144" t="str">
        <f>_xlfn.XLOOKUP(tblSignOff[[#This Row],[AssetDependencyId]],tblEvntScope[AssetDependencyId],tblEvntScope[Application Owner],"",0,1)</f>
        <v>Srihari Koduri</v>
      </c>
      <c r="G9" s="144" t="str">
        <f>CONCATENATE(tblSignOff[[#This Row],[Hostname]],"-cmold")</f>
        <v>dc04tlpkaf447-cmold</v>
      </c>
      <c r="H9" s="144" t="str">
        <f>_xlfn.XLOOKUP(tblSignOff[[#This Row],[AssetDependencyId]],tblEvntScope[AssetDependencyId],tblEvntScope[Source IP Address],"",0,1)</f>
        <v>10.152.28.139</v>
      </c>
      <c r="I9" s="213" t="str">
        <f>_xlfn.LET(_xlpm.DCLoc,_xlfn.XLOOKUP(tblSignOff[[#This Row],[Hostname]],tblUnqSvr[Hostname],tblUnqSvr[EH DataCenter Location],"",0,1), IF(_xlpm.DCLoc=0,"",_xlpm.DCLoc))</f>
        <v>IBM-Cloud Services US East</v>
      </c>
      <c r="J9" s="144">
        <f>_xlfn.XLOOKUP(tblSignOff[[#This Row],[AssetDependencyId]],tblEvntScope[AssetDependencyId],tblEvntScope[Type
App/DB],"",0,1)</f>
        <v>0</v>
      </c>
      <c r="K9" s="197" t="str">
        <f>_xlfn.XLOOKUP(tblSignOff[[#This Row],[AssetDependencyId]],tblEvntScope[AssetDependencyId],tblEvntScope[Environment],"",0,1)</f>
        <v>Test</v>
      </c>
      <c r="L9" s="198" t="str">
        <f>_xlfn.XLOOKUP(tblSignOff[[#This Row],[Hostname]],tblTM[common_assetName],tblTM[device_assetType],"",0,1)</f>
        <v>Server</v>
      </c>
      <c r="M9"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9" s="213" t="str">
        <f>_xlfn.LET(_xlpm.PhySN,_xlfn.XLOOKUP(tblSignOff[[#This Row],[Hostname]],tblUnqSvr[Hostname],tblUnqSvr[Source Physical Server Serial Number],"",0,1), IF(_xlpm.PhySN=0,"", _xlpm.PhySN))</f>
        <v>J101VGG1</v>
      </c>
      <c r="O9" s="213" t="str">
        <f>_xlfn.XLOOKUP(tblSignOff[[#This Row],[Hostname]],tblUnqSvr[Hostname],tblUnqSvr[Target Data Center],"",0,1)</f>
        <v>Dell BMaaS - Ashburn</v>
      </c>
      <c r="P9" s="144" t="str">
        <f>_xlfn.XLOOKUP(tblSignOff[[#This Row],[AssetDependencyId]],tblDependencies[AssetDependencyId],tblDependencies[DependentName],"",0,1)</f>
        <v>dc04tlpkaf447</v>
      </c>
      <c r="Q9" s="125">
        <f>_xlfn.XLOOKUP(tblSignOff[[#This Row],[Hostname]],tblTM[common_assetName],tblTM[device_custom17],"",0,1)</f>
        <v>0</v>
      </c>
      <c r="R9" s="125">
        <f>_xlfn.XLOOKUP(tblSignOff[[#This Row],[Hostname]],tblTM[common_assetName],tblTM[device_custom14],"",0,1)</f>
        <v>0</v>
      </c>
      <c r="S9" s="125">
        <f>_xlfn.XLOOKUP(tblSignOff[[#This Row],[Hostname]],tblTM[common_assetName],tblTM[device_custom12],"",0,1)</f>
        <v>0</v>
      </c>
      <c r="T9" s="213">
        <f>_xlfn.XLOOKUP(tblSignOff[[#This Row],[Hostname]],tblUnqSvr[Hostname],tblUnqSvr[Cutover Change number],"",0,1)</f>
        <v>0</v>
      </c>
      <c r="U9" s="213">
        <f>_xlfn.XLOOKUP(tblSignOff[[#This Row],[Hostname]],tblUnqSvr[Hostname],tblUnqSvr[Plan Status "Moved" in TM],"",0,1)</f>
        <v>0</v>
      </c>
      <c r="V9" s="144"/>
      <c r="W9" s="214">
        <v>672004</v>
      </c>
    </row>
    <row r="10" spans="1:23" x14ac:dyDescent="0.35">
      <c r="A10" s="144"/>
      <c r="B10" s="213" t="str">
        <f>_xlfn.LET(_xlpm.MigSt,_xlfn.XLOOKUP(tblSignOff[[#This Row],[Hostname]],tblUnqSvr[Hostname],tblUnqSvr[Migration Status],"",0,1),IF(_xlpm.MigSt=0,"",_xlpm.MigSt))</f>
        <v/>
      </c>
      <c r="C10" s="137" t="str">
        <f>MigrationEventCode</f>
        <v>MEA190</v>
      </c>
      <c r="D10" s="145">
        <f>TMWorkbook!$C$2</f>
        <v>46210</v>
      </c>
      <c r="E10" s="144" t="str">
        <f>_xlfn.XLOOKUP(tblSignOff[[#This Row],[AssetDependencyId]],tblEvntScope[AssetDependencyId],tblEvntScope[Application Name],"",0,1)</f>
        <v>Kafka-Test</v>
      </c>
      <c r="F10" s="144" t="str">
        <f>_xlfn.XLOOKUP(tblSignOff[[#This Row],[AssetDependencyId]],tblEvntScope[AssetDependencyId],tblEvntScope[Application Owner],"",0,1)</f>
        <v>Srihari Koduri</v>
      </c>
      <c r="G10" s="144" t="str">
        <f>CONCATENATE(tblSignOff[[#This Row],[Hostname]],"-cmold")</f>
        <v>dc04tlpkaf446-cmold</v>
      </c>
      <c r="H10" s="144" t="str">
        <f>_xlfn.XLOOKUP(tblSignOff[[#This Row],[AssetDependencyId]],tblEvntScope[AssetDependencyId],tblEvntScope[Source IP Address],"",0,1)</f>
        <v>10.152.28.138</v>
      </c>
      <c r="I10" s="213" t="str">
        <f>_xlfn.LET(_xlpm.DCLoc,_xlfn.XLOOKUP(tblSignOff[[#This Row],[Hostname]],tblUnqSvr[Hostname],tblUnqSvr[EH DataCenter Location],"",0,1), IF(_xlpm.DCLoc=0,"",_xlpm.DCLoc))</f>
        <v>IBM-Cloud Services US East</v>
      </c>
      <c r="J10" s="144">
        <f>_xlfn.XLOOKUP(tblSignOff[[#This Row],[AssetDependencyId]],tblEvntScope[AssetDependencyId],tblEvntScope[Type
App/DB],"",0,1)</f>
        <v>0</v>
      </c>
      <c r="K10" s="197" t="str">
        <f>_xlfn.XLOOKUP(tblSignOff[[#This Row],[AssetDependencyId]],tblEvntScope[AssetDependencyId],tblEvntScope[Environment],"",0,1)</f>
        <v>Test</v>
      </c>
      <c r="L10" s="198" t="str">
        <f>_xlfn.XLOOKUP(tblSignOff[[#This Row],[Hostname]],tblTM[common_assetName],tblTM[device_assetType],"",0,1)</f>
        <v>Server</v>
      </c>
      <c r="M10"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0" s="213" t="str">
        <f>_xlfn.LET(_xlpm.PhySN,_xlfn.XLOOKUP(tblSignOff[[#This Row],[Hostname]],tblUnqSvr[Hostname],tblUnqSvr[Source Physical Server Serial Number],"",0,1), IF(_xlpm.PhySN=0,"", _xlpm.PhySN))</f>
        <v>J101VGFT</v>
      </c>
      <c r="O10" s="213" t="str">
        <f>_xlfn.XLOOKUP(tblSignOff[[#This Row],[Hostname]],tblUnqSvr[Hostname],tblUnqSvr[Target Data Center],"",0,1)</f>
        <v>Dell BMaaS - Ashburn</v>
      </c>
      <c r="P10" s="144" t="str">
        <f>_xlfn.XLOOKUP(tblSignOff[[#This Row],[AssetDependencyId]],tblDependencies[AssetDependencyId],tblDependencies[DependentName],"",0,1)</f>
        <v>dc04tlpkaf446</v>
      </c>
      <c r="Q10" s="125">
        <f>_xlfn.XLOOKUP(tblSignOff[[#This Row],[Hostname]],tblTM[common_assetName],tblTM[device_custom17],"",0,1)</f>
        <v>0</v>
      </c>
      <c r="R10" s="125">
        <f>_xlfn.XLOOKUP(tblSignOff[[#This Row],[Hostname]],tblTM[common_assetName],tblTM[device_custom14],"",0,1)</f>
        <v>0</v>
      </c>
      <c r="S10" s="125">
        <f>_xlfn.XLOOKUP(tblSignOff[[#This Row],[Hostname]],tblTM[common_assetName],tblTM[device_custom12],"",0,1)</f>
        <v>0</v>
      </c>
      <c r="T10" s="213">
        <f>_xlfn.XLOOKUP(tblSignOff[[#This Row],[Hostname]],tblUnqSvr[Hostname],tblUnqSvr[Cutover Change number],"",0,1)</f>
        <v>0</v>
      </c>
      <c r="U10" s="213">
        <f>_xlfn.XLOOKUP(tblSignOff[[#This Row],[Hostname]],tblUnqSvr[Hostname],tblUnqSvr[Plan Status "Moved" in TM],"",0,1)</f>
        <v>0</v>
      </c>
      <c r="V10" s="144"/>
      <c r="W10" s="214">
        <v>672005</v>
      </c>
    </row>
    <row r="11" spans="1:23" x14ac:dyDescent="0.35">
      <c r="A11" s="144"/>
      <c r="B11" s="213" t="str">
        <f>_xlfn.LET(_xlpm.MigSt,_xlfn.XLOOKUP(tblSignOff[[#This Row],[Hostname]],tblUnqSvr[Hostname],tblUnqSvr[Migration Status],"",0,1),IF(_xlpm.MigSt=0,"",_xlpm.MigSt))</f>
        <v/>
      </c>
      <c r="C11" s="137" t="str">
        <f>MigrationEventCode</f>
        <v>MEA190</v>
      </c>
      <c r="D11" s="145">
        <f>TMWorkbook!$C$2</f>
        <v>46210</v>
      </c>
      <c r="E11" s="144" t="str">
        <f>_xlfn.XLOOKUP(tblSignOff[[#This Row],[AssetDependencyId]],tblEvntScope[AssetDependencyId],tblEvntScope[Application Name],"",0,1)</f>
        <v>Kafka-Test</v>
      </c>
      <c r="F11" s="144" t="str">
        <f>_xlfn.XLOOKUP(tblSignOff[[#This Row],[AssetDependencyId]],tblEvntScope[AssetDependencyId],tblEvntScope[Application Owner],"",0,1)</f>
        <v>Srihari Koduri</v>
      </c>
      <c r="G11" s="144" t="str">
        <f>CONCATENATE(tblSignOff[[#This Row],[Hostname]],"-cmold")</f>
        <v>dc04tlpkaf438-cmold</v>
      </c>
      <c r="H11" s="144" t="str">
        <f>_xlfn.XLOOKUP(tblSignOff[[#This Row],[AssetDependencyId]],tblEvntScope[AssetDependencyId],tblEvntScope[Source IP Address],"",0,1)</f>
        <v>10.152.28.130</v>
      </c>
      <c r="I11" s="213" t="str">
        <f>_xlfn.LET(_xlpm.DCLoc,_xlfn.XLOOKUP(tblSignOff[[#This Row],[Hostname]],tblUnqSvr[Hostname],tblUnqSvr[EH DataCenter Location],"",0,1), IF(_xlpm.DCLoc=0,"",_xlpm.DCLoc))</f>
        <v>IBM-Cloud Services US East</v>
      </c>
      <c r="J11" s="144">
        <f>_xlfn.XLOOKUP(tblSignOff[[#This Row],[AssetDependencyId]],tblEvntScope[AssetDependencyId],tblEvntScope[Type
App/DB],"",0,1)</f>
        <v>0</v>
      </c>
      <c r="K11" s="197" t="str">
        <f>_xlfn.XLOOKUP(tblSignOff[[#This Row],[AssetDependencyId]],tblEvntScope[AssetDependencyId],tblEvntScope[Environment],"",0,1)</f>
        <v>Test</v>
      </c>
      <c r="L11" s="198" t="str">
        <f>_xlfn.XLOOKUP(tblSignOff[[#This Row],[Hostname]],tblTM[common_assetName],tblTM[device_assetType],"",0,1)</f>
        <v>Server</v>
      </c>
      <c r="M11"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1" s="213" t="str">
        <f>_xlfn.LET(_xlpm.PhySN,_xlfn.XLOOKUP(tblSignOff[[#This Row],[Hostname]],tblUnqSvr[Hostname],tblUnqSvr[Source Physical Server Serial Number],"",0,1), IF(_xlpm.PhySN=0,"", _xlpm.PhySN))</f>
        <v>J101VGFL</v>
      </c>
      <c r="O11" s="213" t="str">
        <f>_xlfn.XLOOKUP(tblSignOff[[#This Row],[Hostname]],tblUnqSvr[Hostname],tblUnqSvr[Target Data Center],"",0,1)</f>
        <v>Dell BMaaS - Ashburn</v>
      </c>
      <c r="P11" s="144" t="str">
        <f>_xlfn.XLOOKUP(tblSignOff[[#This Row],[AssetDependencyId]],tblDependencies[AssetDependencyId],tblDependencies[DependentName],"",0,1)</f>
        <v>dc04tlpkaf438</v>
      </c>
      <c r="Q11" s="125">
        <f>_xlfn.XLOOKUP(tblSignOff[[#This Row],[Hostname]],tblTM[common_assetName],tblTM[device_custom17],"",0,1)</f>
        <v>0</v>
      </c>
      <c r="R11" s="125">
        <f>_xlfn.XLOOKUP(tblSignOff[[#This Row],[Hostname]],tblTM[common_assetName],tblTM[device_custom14],"",0,1)</f>
        <v>0</v>
      </c>
      <c r="S11" s="125">
        <f>_xlfn.XLOOKUP(tblSignOff[[#This Row],[Hostname]],tblTM[common_assetName],tblTM[device_custom12],"",0,1)</f>
        <v>0</v>
      </c>
      <c r="T11" s="213">
        <f>_xlfn.XLOOKUP(tblSignOff[[#This Row],[Hostname]],tblUnqSvr[Hostname],tblUnqSvr[Cutover Change number],"",0,1)</f>
        <v>0</v>
      </c>
      <c r="U11" s="213">
        <f>_xlfn.XLOOKUP(tblSignOff[[#This Row],[Hostname]],tblUnqSvr[Hostname],tblUnqSvr[Plan Status "Moved" in TM],"",0,1)</f>
        <v>0</v>
      </c>
      <c r="V11" s="144"/>
      <c r="W11" s="214">
        <v>672013</v>
      </c>
    </row>
    <row r="12" spans="1:23" x14ac:dyDescent="0.35">
      <c r="A12" s="144"/>
      <c r="B12" s="213" t="str">
        <f>_xlfn.LET(_xlpm.MigSt,_xlfn.XLOOKUP(tblSignOff[[#This Row],[Hostname]],tblUnqSvr[Hostname],tblUnqSvr[Migration Status],"",0,1),IF(_xlpm.MigSt=0,"",_xlpm.MigSt))</f>
        <v/>
      </c>
      <c r="C12" s="137" t="str">
        <f>MigrationEventCode</f>
        <v>MEA190</v>
      </c>
      <c r="D12" s="145">
        <f>TMWorkbook!$C$2</f>
        <v>46210</v>
      </c>
      <c r="E12" s="144" t="str">
        <f>_xlfn.XLOOKUP(tblSignOff[[#This Row],[AssetDependencyId]],tblEvntScope[AssetDependencyId],tblEvntScope[Application Name],"",0,1)</f>
        <v>Kafka-Test</v>
      </c>
      <c r="F12" s="144" t="str">
        <f>_xlfn.XLOOKUP(tblSignOff[[#This Row],[AssetDependencyId]],tblEvntScope[AssetDependencyId],tblEvntScope[Application Owner],"",0,1)</f>
        <v>Srihari Koduri</v>
      </c>
      <c r="G12" s="144" t="str">
        <f>CONCATENATE(tblSignOff[[#This Row],[Hostname]],"-cmold")</f>
        <v>dc04tlpkaf437-cmold</v>
      </c>
      <c r="H12" s="144" t="str">
        <f>_xlfn.XLOOKUP(tblSignOff[[#This Row],[AssetDependencyId]],tblEvntScope[AssetDependencyId],tblEvntScope[Source IP Address],"",0,1)</f>
        <v>10.152.28.129</v>
      </c>
      <c r="I12" s="213" t="str">
        <f>_xlfn.LET(_xlpm.DCLoc,_xlfn.XLOOKUP(tblSignOff[[#This Row],[Hostname]],tblUnqSvr[Hostname],tblUnqSvr[EH DataCenter Location],"",0,1), IF(_xlpm.DCLoc=0,"",_xlpm.DCLoc))</f>
        <v>IBM-Cloud Services US East</v>
      </c>
      <c r="J12" s="144">
        <f>_xlfn.XLOOKUP(tblSignOff[[#This Row],[AssetDependencyId]],tblEvntScope[AssetDependencyId],tblEvntScope[Type
App/DB],"",0,1)</f>
        <v>0</v>
      </c>
      <c r="K12" s="197" t="str">
        <f>_xlfn.XLOOKUP(tblSignOff[[#This Row],[AssetDependencyId]],tblEvntScope[AssetDependencyId],tblEvntScope[Environment],"",0,1)</f>
        <v>Test</v>
      </c>
      <c r="L12" s="198" t="str">
        <f>_xlfn.XLOOKUP(tblSignOff[[#This Row],[Hostname]],tblTM[common_assetName],tblTM[device_assetType],"",0,1)</f>
        <v>Server</v>
      </c>
      <c r="M12"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2" s="213" t="str">
        <f>_xlfn.LET(_xlpm.PhySN,_xlfn.XLOOKUP(tblSignOff[[#This Row],[Hostname]],tblUnqSvr[Hostname],tblUnqSvr[Source Physical Server Serial Number],"",0,1), IF(_xlpm.PhySN=0,"", _xlpm.PhySN))</f>
        <v>J101VGG4</v>
      </c>
      <c r="O12" s="213" t="str">
        <f>_xlfn.XLOOKUP(tblSignOff[[#This Row],[Hostname]],tblUnqSvr[Hostname],tblUnqSvr[Target Data Center],"",0,1)</f>
        <v>Dell BMaaS - Ashburn</v>
      </c>
      <c r="P12" s="144" t="str">
        <f>_xlfn.XLOOKUP(tblSignOff[[#This Row],[AssetDependencyId]],tblDependencies[AssetDependencyId],tblDependencies[DependentName],"",0,1)</f>
        <v>dc04tlpkaf437</v>
      </c>
      <c r="Q12" s="125">
        <f>_xlfn.XLOOKUP(tblSignOff[[#This Row],[Hostname]],tblTM[common_assetName],tblTM[device_custom17],"",0,1)</f>
        <v>0</v>
      </c>
      <c r="R12" s="125">
        <f>_xlfn.XLOOKUP(tblSignOff[[#This Row],[Hostname]],tblTM[common_assetName],tblTM[device_custom14],"",0,1)</f>
        <v>0</v>
      </c>
      <c r="S12" s="125">
        <f>_xlfn.XLOOKUP(tblSignOff[[#This Row],[Hostname]],tblTM[common_assetName],tblTM[device_custom12],"",0,1)</f>
        <v>0</v>
      </c>
      <c r="T12" s="213">
        <f>_xlfn.XLOOKUP(tblSignOff[[#This Row],[Hostname]],tblUnqSvr[Hostname],tblUnqSvr[Cutover Change number],"",0,1)</f>
        <v>0</v>
      </c>
      <c r="U12" s="213">
        <f>_xlfn.XLOOKUP(tblSignOff[[#This Row],[Hostname]],tblUnqSvr[Hostname],tblUnqSvr[Plan Status "Moved" in TM],"",0,1)</f>
        <v>0</v>
      </c>
      <c r="V12" s="144"/>
      <c r="W12" s="214">
        <v>672014</v>
      </c>
    </row>
    <row r="13" spans="1:23" x14ac:dyDescent="0.35">
      <c r="A13" s="144"/>
      <c r="B13" s="213" t="str">
        <f>_xlfn.LET(_xlpm.MigSt,_xlfn.XLOOKUP(tblSignOff[[#This Row],[Hostname]],tblUnqSvr[Hostname],tblUnqSvr[Migration Status],"",0,1),IF(_xlpm.MigSt=0,"",_xlpm.MigSt))</f>
        <v/>
      </c>
      <c r="C13" s="137" t="str">
        <f>MigrationEventCode</f>
        <v>MEA190</v>
      </c>
      <c r="D13" s="145">
        <f>TMWorkbook!$C$2</f>
        <v>46210</v>
      </c>
      <c r="E13" s="144" t="str">
        <f>_xlfn.XLOOKUP(tblSignOff[[#This Row],[AssetDependencyId]],tblEvntScope[AssetDependencyId],tblEvntScope[Application Name],"",0,1)</f>
        <v>Kafka-Test</v>
      </c>
      <c r="F13" s="144" t="str">
        <f>_xlfn.XLOOKUP(tblSignOff[[#This Row],[AssetDependencyId]],tblEvntScope[AssetDependencyId],tblEvntScope[Application Owner],"",0,1)</f>
        <v>Srihari Koduri</v>
      </c>
      <c r="G13" s="144" t="str">
        <f>CONCATENATE(tblSignOff[[#This Row],[Hostname]],"-cmold")</f>
        <v>dc04tlpkaf434-cmold</v>
      </c>
      <c r="H13" s="144" t="str">
        <f>_xlfn.XLOOKUP(tblSignOff[[#This Row],[AssetDependencyId]],tblEvntScope[AssetDependencyId],tblEvntScope[Source IP Address],"",0,1)</f>
        <v>10.152.28.126</v>
      </c>
      <c r="I13" s="213" t="str">
        <f>_xlfn.LET(_xlpm.DCLoc,_xlfn.XLOOKUP(tblSignOff[[#This Row],[Hostname]],tblUnqSvr[Hostname],tblUnqSvr[EH DataCenter Location],"",0,1), IF(_xlpm.DCLoc=0,"",_xlpm.DCLoc))</f>
        <v>IBM-Cloud Services US East</v>
      </c>
      <c r="J13" s="144">
        <f>_xlfn.XLOOKUP(tblSignOff[[#This Row],[AssetDependencyId]],tblEvntScope[AssetDependencyId],tblEvntScope[Type
App/DB],"",0,1)</f>
        <v>0</v>
      </c>
      <c r="K13" s="197" t="str">
        <f>_xlfn.XLOOKUP(tblSignOff[[#This Row],[AssetDependencyId]],tblEvntScope[AssetDependencyId],tblEvntScope[Environment],"",0,1)</f>
        <v>Test</v>
      </c>
      <c r="L13" s="198" t="str">
        <f>_xlfn.XLOOKUP(tblSignOff[[#This Row],[Hostname]],tblTM[common_assetName],tblTM[device_assetType],"",0,1)</f>
        <v>Server</v>
      </c>
      <c r="M13"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3" s="213" t="str">
        <f>_xlfn.LET(_xlpm.PhySN,_xlfn.XLOOKUP(tblSignOff[[#This Row],[Hostname]],tblUnqSvr[Hostname],tblUnqSvr[Source Physical Server Serial Number],"",0,1), IF(_xlpm.PhySN=0,"", _xlpm.PhySN))</f>
        <v>J101WTLR</v>
      </c>
      <c r="O13" s="213" t="str">
        <f>_xlfn.XLOOKUP(tblSignOff[[#This Row],[Hostname]],tblUnqSvr[Hostname],tblUnqSvr[Target Data Center],"",0,1)</f>
        <v>Dell BMaaS - Ashburn</v>
      </c>
      <c r="P13" s="144" t="str">
        <f>_xlfn.XLOOKUP(tblSignOff[[#This Row],[AssetDependencyId]],tblDependencies[AssetDependencyId],tblDependencies[DependentName],"",0,1)</f>
        <v>dc04tlpkaf434</v>
      </c>
      <c r="Q13" s="125">
        <f>_xlfn.XLOOKUP(tblSignOff[[#This Row],[Hostname]],tblTM[common_assetName],tblTM[device_custom17],"",0,1)</f>
        <v>0</v>
      </c>
      <c r="R13" s="125">
        <f>_xlfn.XLOOKUP(tblSignOff[[#This Row],[Hostname]],tblTM[common_assetName],tblTM[device_custom14],"",0,1)</f>
        <v>0</v>
      </c>
      <c r="S13" s="125">
        <f>_xlfn.XLOOKUP(tblSignOff[[#This Row],[Hostname]],tblTM[common_assetName],tblTM[device_custom12],"",0,1)</f>
        <v>0</v>
      </c>
      <c r="T13" s="213">
        <f>_xlfn.XLOOKUP(tblSignOff[[#This Row],[Hostname]],tblUnqSvr[Hostname],tblUnqSvr[Cutover Change number],"",0,1)</f>
        <v>0</v>
      </c>
      <c r="U13" s="213">
        <f>_xlfn.XLOOKUP(tblSignOff[[#This Row],[Hostname]],tblUnqSvr[Hostname],tblUnqSvr[Plan Status "Moved" in TM],"",0,1)</f>
        <v>0</v>
      </c>
      <c r="V13" s="144"/>
      <c r="W13" s="214">
        <v>672017</v>
      </c>
    </row>
    <row r="14" spans="1:23" x14ac:dyDescent="0.35">
      <c r="A14" s="144"/>
      <c r="B14" s="213" t="str">
        <f>_xlfn.LET(_xlpm.MigSt,_xlfn.XLOOKUP(tblSignOff[[#This Row],[Hostname]],tblUnqSvr[Hostname],tblUnqSvr[Migration Status],"",0,1),IF(_xlpm.MigSt=0,"",_xlpm.MigSt))</f>
        <v/>
      </c>
      <c r="C14" s="137" t="str">
        <f>MigrationEventCode</f>
        <v>MEA190</v>
      </c>
      <c r="D14" s="145">
        <f>TMWorkbook!$C$2</f>
        <v>46210</v>
      </c>
      <c r="E14" s="144" t="str">
        <f>_xlfn.XLOOKUP(tblSignOff[[#This Row],[AssetDependencyId]],tblEvntScope[AssetDependencyId],tblEvntScope[Application Name],"",0,1)</f>
        <v>Kafka-Test</v>
      </c>
      <c r="F14" s="144" t="str">
        <f>_xlfn.XLOOKUP(tblSignOff[[#This Row],[AssetDependencyId]],tblEvntScope[AssetDependencyId],tblEvntScope[Application Owner],"",0,1)</f>
        <v>Srihari Koduri</v>
      </c>
      <c r="G14" s="144" t="str">
        <f>CONCATENATE(tblSignOff[[#This Row],[Hostname]],"-cmold")</f>
        <v>dc04tlpkaf432-cmold</v>
      </c>
      <c r="H14" s="144" t="str">
        <f>_xlfn.XLOOKUP(tblSignOff[[#This Row],[AssetDependencyId]],tblEvntScope[AssetDependencyId],tblEvntScope[Source IP Address],"",0,1)</f>
        <v>10.152.28.124</v>
      </c>
      <c r="I14" s="213" t="str">
        <f>_xlfn.LET(_xlpm.DCLoc,_xlfn.XLOOKUP(tblSignOff[[#This Row],[Hostname]],tblUnqSvr[Hostname],tblUnqSvr[EH DataCenter Location],"",0,1), IF(_xlpm.DCLoc=0,"",_xlpm.DCLoc))</f>
        <v>IBM-Cloud Services US East</v>
      </c>
      <c r="J14" s="144">
        <f>_xlfn.XLOOKUP(tblSignOff[[#This Row],[AssetDependencyId]],tblEvntScope[AssetDependencyId],tblEvntScope[Type
App/DB],"",0,1)</f>
        <v>0</v>
      </c>
      <c r="K14" s="197" t="str">
        <f>_xlfn.XLOOKUP(tblSignOff[[#This Row],[AssetDependencyId]],tblEvntScope[AssetDependencyId],tblEvntScope[Environment],"",0,1)</f>
        <v>Test</v>
      </c>
      <c r="L14" s="198" t="str">
        <f>_xlfn.XLOOKUP(tblSignOff[[#This Row],[Hostname]],tblTM[common_assetName],tblTM[device_assetType],"",0,1)</f>
        <v>Server</v>
      </c>
      <c r="M14"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4" s="213" t="str">
        <f>_xlfn.LET(_xlpm.PhySN,_xlfn.XLOOKUP(tblSignOff[[#This Row],[Hostname]],tblUnqSvr[Hostname],tblUnqSvr[Source Physical Server Serial Number],"",0,1), IF(_xlpm.PhySN=0,"", _xlpm.PhySN))</f>
        <v>J101WTLM</v>
      </c>
      <c r="O14" s="213" t="str">
        <f>_xlfn.XLOOKUP(tblSignOff[[#This Row],[Hostname]],tblUnqSvr[Hostname],tblUnqSvr[Target Data Center],"",0,1)</f>
        <v>Dell BMaaS - Ashburn</v>
      </c>
      <c r="P14" s="144" t="str">
        <f>_xlfn.XLOOKUP(tblSignOff[[#This Row],[AssetDependencyId]],tblDependencies[AssetDependencyId],tblDependencies[DependentName],"",0,1)</f>
        <v>dc04tlpkaf432</v>
      </c>
      <c r="Q14" s="125">
        <f>_xlfn.XLOOKUP(tblSignOff[[#This Row],[Hostname]],tblTM[common_assetName],tblTM[device_custom17],"",0,1)</f>
        <v>0</v>
      </c>
      <c r="R14" s="125">
        <f>_xlfn.XLOOKUP(tblSignOff[[#This Row],[Hostname]],tblTM[common_assetName],tblTM[device_custom14],"",0,1)</f>
        <v>0</v>
      </c>
      <c r="S14" s="125">
        <f>_xlfn.XLOOKUP(tblSignOff[[#This Row],[Hostname]],tblTM[common_assetName],tblTM[device_custom12],"",0,1)</f>
        <v>0</v>
      </c>
      <c r="T14" s="213">
        <f>_xlfn.XLOOKUP(tblSignOff[[#This Row],[Hostname]],tblUnqSvr[Hostname],tblUnqSvr[Cutover Change number],"",0,1)</f>
        <v>0</v>
      </c>
      <c r="U14" s="213">
        <f>_xlfn.XLOOKUP(tblSignOff[[#This Row],[Hostname]],tblUnqSvr[Hostname],tblUnqSvr[Plan Status "Moved" in TM],"",0,1)</f>
        <v>0</v>
      </c>
      <c r="V14" s="144"/>
      <c r="W14" s="214">
        <v>672018</v>
      </c>
    </row>
    <row r="15" spans="1:23" x14ac:dyDescent="0.35">
      <c r="A15" s="144"/>
      <c r="B15" s="213" t="str">
        <f>_xlfn.LET(_xlpm.MigSt,_xlfn.XLOOKUP(tblSignOff[[#This Row],[Hostname]],tblUnqSvr[Hostname],tblUnqSvr[Migration Status],"",0,1),IF(_xlpm.MigSt=0,"",_xlpm.MigSt))</f>
        <v/>
      </c>
      <c r="C15" s="137" t="str">
        <f>MigrationEventCode</f>
        <v>MEA190</v>
      </c>
      <c r="D15" s="145">
        <f>TMWorkbook!$C$2</f>
        <v>46210</v>
      </c>
      <c r="E15" s="144" t="str">
        <f>_xlfn.XLOOKUP(tblSignOff[[#This Row],[AssetDependencyId]],tblEvntScope[AssetDependencyId],tblEvntScope[Application Name],"",0,1)</f>
        <v>Kafka-Test</v>
      </c>
      <c r="F15" s="144" t="str">
        <f>_xlfn.XLOOKUP(tblSignOff[[#This Row],[AssetDependencyId]],tblEvntScope[AssetDependencyId],tblEvntScope[Application Owner],"",0,1)</f>
        <v>Srihari Koduri</v>
      </c>
      <c r="G15" s="144" t="str">
        <f>CONCATENATE(tblSignOff[[#This Row],[Hostname]],"-cmold")</f>
        <v>dc04tlpkaf428-cmold</v>
      </c>
      <c r="H15" s="144" t="str">
        <f>_xlfn.XLOOKUP(tblSignOff[[#This Row],[AssetDependencyId]],tblEvntScope[AssetDependencyId],tblEvntScope[Source IP Address],"",0,1)</f>
        <v>10.152.28.120</v>
      </c>
      <c r="I15" s="213" t="str">
        <f>_xlfn.LET(_xlpm.DCLoc,_xlfn.XLOOKUP(tblSignOff[[#This Row],[Hostname]],tblUnqSvr[Hostname],tblUnqSvr[EH DataCenter Location],"",0,1), IF(_xlpm.DCLoc=0,"",_xlpm.DCLoc))</f>
        <v>IBM-Cloud Services US East</v>
      </c>
      <c r="J15" s="144">
        <f>_xlfn.XLOOKUP(tblSignOff[[#This Row],[AssetDependencyId]],tblEvntScope[AssetDependencyId],tblEvntScope[Type
App/DB],"",0,1)</f>
        <v>0</v>
      </c>
      <c r="K15" s="197" t="str">
        <f>_xlfn.XLOOKUP(tblSignOff[[#This Row],[AssetDependencyId]],tblEvntScope[AssetDependencyId],tblEvntScope[Environment],"",0,1)</f>
        <v>Test</v>
      </c>
      <c r="L15" s="198" t="str">
        <f>_xlfn.XLOOKUP(tblSignOff[[#This Row],[Hostname]],tblTM[common_assetName],tblTM[device_assetType],"",0,1)</f>
        <v>Server</v>
      </c>
      <c r="M15"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5" s="213" t="str">
        <f>_xlfn.LET(_xlpm.PhySN,_xlfn.XLOOKUP(tblSignOff[[#This Row],[Hostname]],tblUnqSvr[Hostname],tblUnqSvr[Source Physical Server Serial Number],"",0,1), IF(_xlpm.PhySN=0,"", _xlpm.PhySN))</f>
        <v>J10224H4</v>
      </c>
      <c r="O15" s="213" t="str">
        <f>_xlfn.XLOOKUP(tblSignOff[[#This Row],[Hostname]],tblUnqSvr[Hostname],tblUnqSvr[Target Data Center],"",0,1)</f>
        <v>Dell BMaaS - Ashburn</v>
      </c>
      <c r="P15" s="144" t="str">
        <f>_xlfn.XLOOKUP(tblSignOff[[#This Row],[AssetDependencyId]],tblDependencies[AssetDependencyId],tblDependencies[DependentName],"",0,1)</f>
        <v>dc04tlpkaf428</v>
      </c>
      <c r="Q15" s="125">
        <f>_xlfn.XLOOKUP(tblSignOff[[#This Row],[Hostname]],tblTM[common_assetName],tblTM[device_custom17],"",0,1)</f>
        <v>0</v>
      </c>
      <c r="R15" s="125">
        <f>_xlfn.XLOOKUP(tblSignOff[[#This Row],[Hostname]],tblTM[common_assetName],tblTM[device_custom14],"",0,1)</f>
        <v>0</v>
      </c>
      <c r="S15" s="125">
        <f>_xlfn.XLOOKUP(tblSignOff[[#This Row],[Hostname]],tblTM[common_assetName],tblTM[device_custom12],"",0,1)</f>
        <v>0</v>
      </c>
      <c r="T15" s="213">
        <f>_xlfn.XLOOKUP(tblSignOff[[#This Row],[Hostname]],tblUnqSvr[Hostname],tblUnqSvr[Cutover Change number],"",0,1)</f>
        <v>0</v>
      </c>
      <c r="U15" s="213">
        <f>_xlfn.XLOOKUP(tblSignOff[[#This Row],[Hostname]],tblUnqSvr[Hostname],tblUnqSvr[Plan Status "Moved" in TM],"",0,1)</f>
        <v>0</v>
      </c>
      <c r="V15" s="144"/>
      <c r="W15" s="214">
        <v>672022</v>
      </c>
    </row>
    <row r="16" spans="1:23" x14ac:dyDescent="0.35">
      <c r="A16" s="144"/>
      <c r="B16" s="213" t="str">
        <f>_xlfn.LET(_xlpm.MigSt,_xlfn.XLOOKUP(tblSignOff[[#This Row],[Hostname]],tblUnqSvr[Hostname],tblUnqSvr[Migration Status],"",0,1),IF(_xlpm.MigSt=0,"",_xlpm.MigSt))</f>
        <v/>
      </c>
      <c r="C16" s="137" t="str">
        <f>MigrationEventCode</f>
        <v>MEA190</v>
      </c>
      <c r="D16" s="145">
        <f>TMWorkbook!$C$2</f>
        <v>46210</v>
      </c>
      <c r="E16" s="144" t="str">
        <f>_xlfn.XLOOKUP(tblSignOff[[#This Row],[AssetDependencyId]],tblEvntScope[AssetDependencyId],tblEvntScope[Application Name],"",0,1)</f>
        <v>Kafka-Test</v>
      </c>
      <c r="F16" s="144" t="str">
        <f>_xlfn.XLOOKUP(tblSignOff[[#This Row],[AssetDependencyId]],tblEvntScope[AssetDependencyId],tblEvntScope[Application Owner],"",0,1)</f>
        <v>Srihari Koduri</v>
      </c>
      <c r="G16" s="144" t="str">
        <f>CONCATENATE(tblSignOff[[#This Row],[Hostname]],"-cmold")</f>
        <v>dc04tlpkaf427-cmold</v>
      </c>
      <c r="H16" s="144" t="str">
        <f>_xlfn.XLOOKUP(tblSignOff[[#This Row],[AssetDependencyId]],tblEvntScope[AssetDependencyId],tblEvntScope[Source IP Address],"",0,1)</f>
        <v>10.152.28.119</v>
      </c>
      <c r="I16" s="213" t="str">
        <f>_xlfn.LET(_xlpm.DCLoc,_xlfn.XLOOKUP(tblSignOff[[#This Row],[Hostname]],tblUnqSvr[Hostname],tblUnqSvr[EH DataCenter Location],"",0,1), IF(_xlpm.DCLoc=0,"",_xlpm.DCLoc))</f>
        <v>IBM-Cloud Services US East</v>
      </c>
      <c r="J16" s="144">
        <f>_xlfn.XLOOKUP(tblSignOff[[#This Row],[AssetDependencyId]],tblEvntScope[AssetDependencyId],tblEvntScope[Type
App/DB],"",0,1)</f>
        <v>0</v>
      </c>
      <c r="K16" s="197" t="str">
        <f>_xlfn.XLOOKUP(tblSignOff[[#This Row],[AssetDependencyId]],tblEvntScope[AssetDependencyId],tblEvntScope[Environment],"",0,1)</f>
        <v>Test</v>
      </c>
      <c r="L16" s="198" t="str">
        <f>_xlfn.XLOOKUP(tblSignOff[[#This Row],[Hostname]],tblTM[common_assetName],tblTM[device_assetType],"",0,1)</f>
        <v>Server</v>
      </c>
      <c r="M16"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6" s="213" t="str">
        <f>_xlfn.LET(_xlpm.PhySN,_xlfn.XLOOKUP(tblSignOff[[#This Row],[Hostname]],tblUnqSvr[Hostname],tblUnqSvr[Source Physical Server Serial Number],"",0,1), IF(_xlpm.PhySN=0,"", _xlpm.PhySN))</f>
        <v>J10224GH</v>
      </c>
      <c r="O16" s="213" t="str">
        <f>_xlfn.XLOOKUP(tblSignOff[[#This Row],[Hostname]],tblUnqSvr[Hostname],tblUnqSvr[Target Data Center],"",0,1)</f>
        <v>Dell BMaaS - Ashburn</v>
      </c>
      <c r="P16" s="144" t="str">
        <f>_xlfn.XLOOKUP(tblSignOff[[#This Row],[AssetDependencyId]],tblDependencies[AssetDependencyId],tblDependencies[DependentName],"",0,1)</f>
        <v>dc04tlpkaf427</v>
      </c>
      <c r="Q16" s="125">
        <f>_xlfn.XLOOKUP(tblSignOff[[#This Row],[Hostname]],tblTM[common_assetName],tblTM[device_custom17],"",0,1)</f>
        <v>0</v>
      </c>
      <c r="R16" s="125">
        <f>_xlfn.XLOOKUP(tblSignOff[[#This Row],[Hostname]],tblTM[common_assetName],tblTM[device_custom14],"",0,1)</f>
        <v>0</v>
      </c>
      <c r="S16" s="125">
        <f>_xlfn.XLOOKUP(tblSignOff[[#This Row],[Hostname]],tblTM[common_assetName],tblTM[device_custom12],"",0,1)</f>
        <v>0</v>
      </c>
      <c r="T16" s="213">
        <f>_xlfn.XLOOKUP(tblSignOff[[#This Row],[Hostname]],tblUnqSvr[Hostname],tblUnqSvr[Cutover Change number],"",0,1)</f>
        <v>0</v>
      </c>
      <c r="U16" s="213">
        <f>_xlfn.XLOOKUP(tblSignOff[[#This Row],[Hostname]],tblUnqSvr[Hostname],tblUnqSvr[Plan Status "Moved" in TM],"",0,1)</f>
        <v>0</v>
      </c>
      <c r="V16" s="144"/>
      <c r="W16" s="214">
        <v>672023</v>
      </c>
    </row>
    <row r="17" spans="1:23" x14ac:dyDescent="0.35">
      <c r="A17" s="144"/>
      <c r="B17" s="213" t="str">
        <f>_xlfn.LET(_xlpm.MigSt,_xlfn.XLOOKUP(tblSignOff[[#This Row],[Hostname]],tblUnqSvr[Hostname],tblUnqSvr[Migration Status],"",0,1),IF(_xlpm.MigSt=0,"",_xlpm.MigSt))</f>
        <v/>
      </c>
      <c r="C17" s="137" t="str">
        <f>MigrationEventCode</f>
        <v>MEA190</v>
      </c>
      <c r="D17" s="145">
        <f>TMWorkbook!$C$2</f>
        <v>46210</v>
      </c>
      <c r="E17" s="144" t="str">
        <f>_xlfn.XLOOKUP(tblSignOff[[#This Row],[AssetDependencyId]],tblEvntScope[AssetDependencyId],tblEvntScope[Application Name],"",0,1)</f>
        <v>Kafka-Test</v>
      </c>
      <c r="F17" s="144" t="str">
        <f>_xlfn.XLOOKUP(tblSignOff[[#This Row],[AssetDependencyId]],tblEvntScope[AssetDependencyId],tblEvntScope[Application Owner],"",0,1)</f>
        <v>Srihari Koduri</v>
      </c>
      <c r="G17" s="144" t="str">
        <f>CONCATENATE(tblSignOff[[#This Row],[Hostname]],"-cmold")</f>
        <v>dc04tlpkaf426-cmold</v>
      </c>
      <c r="H17" s="144" t="str">
        <f>_xlfn.XLOOKUP(tblSignOff[[#This Row],[AssetDependencyId]],tblEvntScope[AssetDependencyId],tblEvntScope[Source IP Address],"",0,1)</f>
        <v>10.152.28.118</v>
      </c>
      <c r="I17" s="213" t="str">
        <f>_xlfn.LET(_xlpm.DCLoc,_xlfn.XLOOKUP(tblSignOff[[#This Row],[Hostname]],tblUnqSvr[Hostname],tblUnqSvr[EH DataCenter Location],"",0,1), IF(_xlpm.DCLoc=0,"",_xlpm.DCLoc))</f>
        <v>IBM-Cloud Services US East</v>
      </c>
      <c r="J17" s="144">
        <f>_xlfn.XLOOKUP(tblSignOff[[#This Row],[AssetDependencyId]],tblEvntScope[AssetDependencyId],tblEvntScope[Type
App/DB],"",0,1)</f>
        <v>0</v>
      </c>
      <c r="K17" s="197" t="str">
        <f>_xlfn.XLOOKUP(tblSignOff[[#This Row],[AssetDependencyId]],tblEvntScope[AssetDependencyId],tblEvntScope[Environment],"",0,1)</f>
        <v>Test</v>
      </c>
      <c r="L17" s="198" t="str">
        <f>_xlfn.XLOOKUP(tblSignOff[[#This Row],[Hostname]],tblTM[common_assetName],tblTM[device_assetType],"",0,1)</f>
        <v>Server</v>
      </c>
      <c r="M17"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7" s="213" t="str">
        <f>_xlfn.LET(_xlpm.PhySN,_xlfn.XLOOKUP(tblSignOff[[#This Row],[Hostname]],tblUnqSvr[Hostname],tblUnqSvr[Source Physical Server Serial Number],"",0,1), IF(_xlpm.PhySN=0,"", _xlpm.PhySN))</f>
        <v>J10224H0</v>
      </c>
      <c r="O17" s="213" t="str">
        <f>_xlfn.XLOOKUP(tblSignOff[[#This Row],[Hostname]],tblUnqSvr[Hostname],tblUnqSvr[Target Data Center],"",0,1)</f>
        <v>Dell BMaaS - Ashburn</v>
      </c>
      <c r="P17" s="144" t="str">
        <f>_xlfn.XLOOKUP(tblSignOff[[#This Row],[AssetDependencyId]],tblDependencies[AssetDependencyId],tblDependencies[DependentName],"",0,1)</f>
        <v>dc04tlpkaf426</v>
      </c>
      <c r="Q17" s="125">
        <f>_xlfn.XLOOKUP(tblSignOff[[#This Row],[Hostname]],tblTM[common_assetName],tblTM[device_custom17],"",0,1)</f>
        <v>0</v>
      </c>
      <c r="R17" s="125">
        <f>_xlfn.XLOOKUP(tblSignOff[[#This Row],[Hostname]],tblTM[common_assetName],tblTM[device_custom14],"",0,1)</f>
        <v>0</v>
      </c>
      <c r="S17" s="125">
        <f>_xlfn.XLOOKUP(tblSignOff[[#This Row],[Hostname]],tblTM[common_assetName],tblTM[device_custom12],"",0,1)</f>
        <v>0</v>
      </c>
      <c r="T17" s="213">
        <f>_xlfn.XLOOKUP(tblSignOff[[#This Row],[Hostname]],tblUnqSvr[Hostname],tblUnqSvr[Cutover Change number],"",0,1)</f>
        <v>0</v>
      </c>
      <c r="U17" s="213">
        <f>_xlfn.XLOOKUP(tblSignOff[[#This Row],[Hostname]],tblUnqSvr[Hostname],tblUnqSvr[Plan Status "Moved" in TM],"",0,1)</f>
        <v>0</v>
      </c>
      <c r="V17" s="144"/>
      <c r="W17" s="214">
        <v>672024</v>
      </c>
    </row>
    <row r="18" spans="1:23" x14ac:dyDescent="0.35">
      <c r="A18" s="144"/>
      <c r="B18" s="213" t="str">
        <f>_xlfn.LET(_xlpm.MigSt,_xlfn.XLOOKUP(tblSignOff[[#This Row],[Hostname]],tblUnqSvr[Hostname],tblUnqSvr[Migration Status],"",0,1),IF(_xlpm.MigSt=0,"",_xlpm.MigSt))</f>
        <v/>
      </c>
      <c r="C18" s="137" t="str">
        <f>MigrationEventCode</f>
        <v>MEA190</v>
      </c>
      <c r="D18" s="145">
        <f>TMWorkbook!$C$2</f>
        <v>46210</v>
      </c>
      <c r="E18" s="144" t="str">
        <f>_xlfn.XLOOKUP(tblSignOff[[#This Row],[AssetDependencyId]],tblEvntScope[AssetDependencyId],tblEvntScope[Application Name],"",0,1)</f>
        <v>Kafka-Test</v>
      </c>
      <c r="F18" s="144" t="str">
        <f>_xlfn.XLOOKUP(tblSignOff[[#This Row],[AssetDependencyId]],tblEvntScope[AssetDependencyId],tblEvntScope[Application Owner],"",0,1)</f>
        <v>Srihari Koduri</v>
      </c>
      <c r="G18" s="144" t="str">
        <f>CONCATENATE(tblSignOff[[#This Row],[Hostname]],"-cmold")</f>
        <v>dc04tlpkaf425-cmold</v>
      </c>
      <c r="H18" s="144" t="str">
        <f>_xlfn.XLOOKUP(tblSignOff[[#This Row],[AssetDependencyId]],tblEvntScope[AssetDependencyId],tblEvntScope[Source IP Address],"",0,1)</f>
        <v>10.152.28.117</v>
      </c>
      <c r="I18" s="213" t="str">
        <f>_xlfn.LET(_xlpm.DCLoc,_xlfn.XLOOKUP(tblSignOff[[#This Row],[Hostname]],tblUnqSvr[Hostname],tblUnqSvr[EH DataCenter Location],"",0,1), IF(_xlpm.DCLoc=0,"",_xlpm.DCLoc))</f>
        <v>IBM-Cloud Services US East</v>
      </c>
      <c r="J18" s="144">
        <f>_xlfn.XLOOKUP(tblSignOff[[#This Row],[AssetDependencyId]],tblEvntScope[AssetDependencyId],tblEvntScope[Type
App/DB],"",0,1)</f>
        <v>0</v>
      </c>
      <c r="K18" s="197" t="str">
        <f>_xlfn.XLOOKUP(tblSignOff[[#This Row],[AssetDependencyId]],tblEvntScope[AssetDependencyId],tblEvntScope[Environment],"",0,1)</f>
        <v>Test</v>
      </c>
      <c r="L18" s="198" t="str">
        <f>_xlfn.XLOOKUP(tblSignOff[[#This Row],[Hostname]],tblTM[common_assetName],tblTM[device_assetType],"",0,1)</f>
        <v>Server</v>
      </c>
      <c r="M18"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8" s="213" t="str">
        <f>_xlfn.LET(_xlpm.PhySN,_xlfn.XLOOKUP(tblSignOff[[#This Row],[Hostname]],tblUnqSvr[Hostname],tblUnqSvr[Source Physical Server Serial Number],"",0,1), IF(_xlpm.PhySN=0,"", _xlpm.PhySN))</f>
        <v>J101VGG7</v>
      </c>
      <c r="O18" s="213" t="str">
        <f>_xlfn.XLOOKUP(tblSignOff[[#This Row],[Hostname]],tblUnqSvr[Hostname],tblUnqSvr[Target Data Center],"",0,1)</f>
        <v>Dell BMaaS - Ashburn</v>
      </c>
      <c r="P18" s="144" t="str">
        <f>_xlfn.XLOOKUP(tblSignOff[[#This Row],[AssetDependencyId]],tblDependencies[AssetDependencyId],tblDependencies[DependentName],"",0,1)</f>
        <v>dc04tlpkaf425</v>
      </c>
      <c r="Q18" s="125">
        <f>_xlfn.XLOOKUP(tblSignOff[[#This Row],[Hostname]],tblTM[common_assetName],tblTM[device_custom17],"",0,1)</f>
        <v>0</v>
      </c>
      <c r="R18" s="125">
        <f>_xlfn.XLOOKUP(tblSignOff[[#This Row],[Hostname]],tblTM[common_assetName],tblTM[device_custom14],"",0,1)</f>
        <v>0</v>
      </c>
      <c r="S18" s="125">
        <f>_xlfn.XLOOKUP(tblSignOff[[#This Row],[Hostname]],tblTM[common_assetName],tblTM[device_custom12],"",0,1)</f>
        <v>0</v>
      </c>
      <c r="T18" s="213">
        <f>_xlfn.XLOOKUP(tblSignOff[[#This Row],[Hostname]],tblUnqSvr[Hostname],tblUnqSvr[Cutover Change number],"",0,1)</f>
        <v>0</v>
      </c>
      <c r="U18" s="213">
        <f>_xlfn.XLOOKUP(tblSignOff[[#This Row],[Hostname]],tblUnqSvr[Hostname],tblUnqSvr[Plan Status "Moved" in TM],"",0,1)</f>
        <v>0</v>
      </c>
      <c r="V18" s="144"/>
      <c r="W18" s="214">
        <v>672025</v>
      </c>
    </row>
    <row r="19" spans="1:23" x14ac:dyDescent="0.35">
      <c r="A19" s="144"/>
      <c r="B19" s="213" t="str">
        <f>_xlfn.LET(_xlpm.MigSt,_xlfn.XLOOKUP(tblSignOff[[#This Row],[Hostname]],tblUnqSvr[Hostname],tblUnqSvr[Migration Status],"",0,1),IF(_xlpm.MigSt=0,"",_xlpm.MigSt))</f>
        <v/>
      </c>
      <c r="C19" s="137" t="str">
        <f>MigrationEventCode</f>
        <v>MEA190</v>
      </c>
      <c r="D19" s="145">
        <f>TMWorkbook!$C$2</f>
        <v>46210</v>
      </c>
      <c r="E19" s="144" t="str">
        <f>_xlfn.XLOOKUP(tblSignOff[[#This Row],[AssetDependencyId]],tblEvntScope[AssetDependencyId],tblEvntScope[Application Name],"",0,1)</f>
        <v>Kafka-Test</v>
      </c>
      <c r="F19" s="144" t="str">
        <f>_xlfn.XLOOKUP(tblSignOff[[#This Row],[AssetDependencyId]],tblEvntScope[AssetDependencyId],tblEvntScope[Application Owner],"",0,1)</f>
        <v>Srihari Koduri</v>
      </c>
      <c r="G19" s="144" t="str">
        <f>CONCATENATE(tblSignOff[[#This Row],[Hostname]],"-cmold")</f>
        <v>dc04tlpkaf424-cmold</v>
      </c>
      <c r="H19" s="144" t="str">
        <f>_xlfn.XLOOKUP(tblSignOff[[#This Row],[AssetDependencyId]],tblEvntScope[AssetDependencyId],tblEvntScope[Source IP Address],"",0,1)</f>
        <v>10.152.28.116</v>
      </c>
      <c r="I19" s="213" t="str">
        <f>_xlfn.LET(_xlpm.DCLoc,_xlfn.XLOOKUP(tblSignOff[[#This Row],[Hostname]],tblUnqSvr[Hostname],tblUnqSvr[EH DataCenter Location],"",0,1), IF(_xlpm.DCLoc=0,"",_xlpm.DCLoc))</f>
        <v>IBM-Cloud Services US East</v>
      </c>
      <c r="J19" s="144">
        <f>_xlfn.XLOOKUP(tblSignOff[[#This Row],[AssetDependencyId]],tblEvntScope[AssetDependencyId],tblEvntScope[Type
App/DB],"",0,1)</f>
        <v>0</v>
      </c>
      <c r="K19" s="197" t="str">
        <f>_xlfn.XLOOKUP(tblSignOff[[#This Row],[AssetDependencyId]],tblEvntScope[AssetDependencyId],tblEvntScope[Environment],"",0,1)</f>
        <v>Test</v>
      </c>
      <c r="L19" s="198" t="str">
        <f>_xlfn.XLOOKUP(tblSignOff[[#This Row],[Hostname]],tblTM[common_assetName],tblTM[device_assetType],"",0,1)</f>
        <v>Server</v>
      </c>
      <c r="M19"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19" s="213" t="str">
        <f>_xlfn.LET(_xlpm.PhySN,_xlfn.XLOOKUP(tblSignOff[[#This Row],[Hostname]],tblUnqSvr[Hostname],tblUnqSvr[Source Physical Server Serial Number],"",0,1), IF(_xlpm.PhySN=0,"", _xlpm.PhySN))</f>
        <v>J10224G9</v>
      </c>
      <c r="O19" s="213" t="str">
        <f>_xlfn.XLOOKUP(tblSignOff[[#This Row],[Hostname]],tblUnqSvr[Hostname],tblUnqSvr[Target Data Center],"",0,1)</f>
        <v>Dell BMaaS - Ashburn</v>
      </c>
      <c r="P19" s="144" t="str">
        <f>_xlfn.XLOOKUP(tblSignOff[[#This Row],[AssetDependencyId]],tblDependencies[AssetDependencyId],tblDependencies[DependentName],"",0,1)</f>
        <v>dc04tlpkaf424</v>
      </c>
      <c r="Q19" s="125">
        <f>_xlfn.XLOOKUP(tblSignOff[[#This Row],[Hostname]],tblTM[common_assetName],tblTM[device_custom17],"",0,1)</f>
        <v>0</v>
      </c>
      <c r="R19" s="125">
        <f>_xlfn.XLOOKUP(tblSignOff[[#This Row],[Hostname]],tblTM[common_assetName],tblTM[device_custom14],"",0,1)</f>
        <v>0</v>
      </c>
      <c r="S19" s="125">
        <f>_xlfn.XLOOKUP(tblSignOff[[#This Row],[Hostname]],tblTM[common_assetName],tblTM[device_custom12],"",0,1)</f>
        <v>0</v>
      </c>
      <c r="T19" s="213">
        <f>_xlfn.XLOOKUP(tblSignOff[[#This Row],[Hostname]],tblUnqSvr[Hostname],tblUnqSvr[Cutover Change number],"",0,1)</f>
        <v>0</v>
      </c>
      <c r="U19" s="213">
        <f>_xlfn.XLOOKUP(tblSignOff[[#This Row],[Hostname]],tblUnqSvr[Hostname],tblUnqSvr[Plan Status "Moved" in TM],"",0,1)</f>
        <v>0</v>
      </c>
      <c r="V19" s="144"/>
      <c r="W19" s="214">
        <v>672026</v>
      </c>
    </row>
    <row r="20" spans="1:23" x14ac:dyDescent="0.35">
      <c r="A20" s="144"/>
      <c r="B20" s="213" t="str">
        <f>_xlfn.LET(_xlpm.MigSt,_xlfn.XLOOKUP(tblSignOff[[#This Row],[Hostname]],tblUnqSvr[Hostname],tblUnqSvr[Migration Status],"",0,1),IF(_xlpm.MigSt=0,"",_xlpm.MigSt))</f>
        <v/>
      </c>
      <c r="C20" s="137" t="str">
        <f>MigrationEventCode</f>
        <v>MEA190</v>
      </c>
      <c r="D20" s="145">
        <f>TMWorkbook!$C$2</f>
        <v>46210</v>
      </c>
      <c r="E20" s="144" t="str">
        <f>_xlfn.XLOOKUP(tblSignOff[[#This Row],[AssetDependencyId]],tblEvntScope[AssetDependencyId],tblEvntScope[Application Name],"",0,1)</f>
        <v>Kafka-Test</v>
      </c>
      <c r="F20" s="144" t="str">
        <f>_xlfn.XLOOKUP(tblSignOff[[#This Row],[AssetDependencyId]],tblEvntScope[AssetDependencyId],tblEvntScope[Application Owner],"",0,1)</f>
        <v>Srihari Koduri</v>
      </c>
      <c r="G20" s="144" t="str">
        <f>CONCATENATE(tblSignOff[[#This Row],[Hostname]],"-cmold")</f>
        <v>dc04tlpkaf423-cmold</v>
      </c>
      <c r="H20" s="144" t="str">
        <f>_xlfn.XLOOKUP(tblSignOff[[#This Row],[AssetDependencyId]],tblEvntScope[AssetDependencyId],tblEvntScope[Source IP Address],"",0,1)</f>
        <v>10.152.28.115</v>
      </c>
      <c r="I20" s="213" t="str">
        <f>_xlfn.LET(_xlpm.DCLoc,_xlfn.XLOOKUP(tblSignOff[[#This Row],[Hostname]],tblUnqSvr[Hostname],tblUnqSvr[EH DataCenter Location],"",0,1), IF(_xlpm.DCLoc=0,"",_xlpm.DCLoc))</f>
        <v>IBM-Cloud Services US East</v>
      </c>
      <c r="J20" s="144">
        <f>_xlfn.XLOOKUP(tblSignOff[[#This Row],[AssetDependencyId]],tblEvntScope[AssetDependencyId],tblEvntScope[Type
App/DB],"",0,1)</f>
        <v>0</v>
      </c>
      <c r="K20" s="197" t="str">
        <f>_xlfn.XLOOKUP(tblSignOff[[#This Row],[AssetDependencyId]],tblEvntScope[AssetDependencyId],tblEvntScope[Environment],"",0,1)</f>
        <v>Test</v>
      </c>
      <c r="L20" s="198" t="str">
        <f>_xlfn.XLOOKUP(tblSignOff[[#This Row],[Hostname]],tblTM[common_assetName],tblTM[device_assetType],"",0,1)</f>
        <v>Server</v>
      </c>
      <c r="M20"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0" s="213" t="str">
        <f>_xlfn.LET(_xlpm.PhySN,_xlfn.XLOOKUP(tblSignOff[[#This Row],[Hostname]],tblUnqSvr[Hostname],tblUnqSvr[Source Physical Server Serial Number],"",0,1), IF(_xlpm.PhySN=0,"", _xlpm.PhySN))</f>
        <v>J10224HM</v>
      </c>
      <c r="O20" s="213" t="str">
        <f>_xlfn.XLOOKUP(tblSignOff[[#This Row],[Hostname]],tblUnqSvr[Hostname],tblUnqSvr[Target Data Center],"",0,1)</f>
        <v>Dell BMaaS - Ashburn</v>
      </c>
      <c r="P20" s="144" t="str">
        <f>_xlfn.XLOOKUP(tblSignOff[[#This Row],[AssetDependencyId]],tblDependencies[AssetDependencyId],tblDependencies[DependentName],"",0,1)</f>
        <v>dc04tlpkaf423</v>
      </c>
      <c r="Q20" s="125">
        <f>_xlfn.XLOOKUP(tblSignOff[[#This Row],[Hostname]],tblTM[common_assetName],tblTM[device_custom17],"",0,1)</f>
        <v>0</v>
      </c>
      <c r="R20" s="125">
        <f>_xlfn.XLOOKUP(tblSignOff[[#This Row],[Hostname]],tblTM[common_assetName],tblTM[device_custom14],"",0,1)</f>
        <v>0</v>
      </c>
      <c r="S20" s="125">
        <f>_xlfn.XLOOKUP(tblSignOff[[#This Row],[Hostname]],tblTM[common_assetName],tblTM[device_custom12],"",0,1)</f>
        <v>0</v>
      </c>
      <c r="T20" s="213">
        <f>_xlfn.XLOOKUP(tblSignOff[[#This Row],[Hostname]],tblUnqSvr[Hostname],tblUnqSvr[Cutover Change number],"",0,1)</f>
        <v>0</v>
      </c>
      <c r="U20" s="213">
        <f>_xlfn.XLOOKUP(tblSignOff[[#This Row],[Hostname]],tblUnqSvr[Hostname],tblUnqSvr[Plan Status "Moved" in TM],"",0,1)</f>
        <v>0</v>
      </c>
      <c r="V20" s="144"/>
      <c r="W20" s="214">
        <v>672027</v>
      </c>
    </row>
    <row r="21" spans="1:23" x14ac:dyDescent="0.35">
      <c r="A21" s="144"/>
      <c r="B21" s="213" t="str">
        <f>_xlfn.LET(_xlpm.MigSt,_xlfn.XLOOKUP(tblSignOff[[#This Row],[Hostname]],tblUnqSvr[Hostname],tblUnqSvr[Migration Status],"",0,1),IF(_xlpm.MigSt=0,"",_xlpm.MigSt))</f>
        <v/>
      </c>
      <c r="C21" s="137" t="str">
        <f>MigrationEventCode</f>
        <v>MEA190</v>
      </c>
      <c r="D21" s="145">
        <f>TMWorkbook!$C$2</f>
        <v>46210</v>
      </c>
      <c r="E21" s="144" t="str">
        <f>_xlfn.XLOOKUP(tblSignOff[[#This Row],[AssetDependencyId]],tblEvntScope[AssetDependencyId],tblEvntScope[Application Name],"",0,1)</f>
        <v>Kafka-Test</v>
      </c>
      <c r="F21" s="144" t="str">
        <f>_xlfn.XLOOKUP(tblSignOff[[#This Row],[AssetDependencyId]],tblEvntScope[AssetDependencyId],tblEvntScope[Application Owner],"",0,1)</f>
        <v>Srihari Koduri</v>
      </c>
      <c r="G21" s="144" t="str">
        <f>CONCATENATE(tblSignOff[[#This Row],[Hostname]],"-cmold")</f>
        <v>dc04tlpkaf421-cmold</v>
      </c>
      <c r="H21" s="144" t="str">
        <f>_xlfn.XLOOKUP(tblSignOff[[#This Row],[AssetDependencyId]],tblEvntScope[AssetDependencyId],tblEvntScope[Source IP Address],"",0,1)</f>
        <v>10.152.28.22</v>
      </c>
      <c r="I21" s="213" t="str">
        <f>_xlfn.LET(_xlpm.DCLoc,_xlfn.XLOOKUP(tblSignOff[[#This Row],[Hostname]],tblUnqSvr[Hostname],tblUnqSvr[EH DataCenter Location],"",0,1), IF(_xlpm.DCLoc=0,"",_xlpm.DCLoc))</f>
        <v>IBM-Cloud Services US East</v>
      </c>
      <c r="J21" s="144">
        <f>_xlfn.XLOOKUP(tblSignOff[[#This Row],[AssetDependencyId]],tblEvntScope[AssetDependencyId],tblEvntScope[Type
App/DB],"",0,1)</f>
        <v>0</v>
      </c>
      <c r="K21" s="197" t="str">
        <f>_xlfn.XLOOKUP(tblSignOff[[#This Row],[AssetDependencyId]],tblEvntScope[AssetDependencyId],tblEvntScope[Environment],"",0,1)</f>
        <v>Test</v>
      </c>
      <c r="L21" s="198" t="str">
        <f>_xlfn.XLOOKUP(tblSignOff[[#This Row],[Hostname]],tblTM[common_assetName],tblTM[device_assetType],"",0,1)</f>
        <v>Server</v>
      </c>
      <c r="M21"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1" s="213" t="str">
        <f>_xlfn.LET(_xlpm.PhySN,_xlfn.XLOOKUP(tblSignOff[[#This Row],[Hostname]],tblUnqSvr[Hostname],tblUnqSvr[Source Physical Server Serial Number],"",0,1), IF(_xlpm.PhySN=0,"", _xlpm.PhySN))</f>
        <v>J101VGFH</v>
      </c>
      <c r="O21" s="213" t="str">
        <f>_xlfn.XLOOKUP(tblSignOff[[#This Row],[Hostname]],tblUnqSvr[Hostname],tblUnqSvr[Target Data Center],"",0,1)</f>
        <v>Dell BMaaS - Ashburn</v>
      </c>
      <c r="P21" s="144" t="str">
        <f>_xlfn.XLOOKUP(tblSignOff[[#This Row],[AssetDependencyId]],tblDependencies[AssetDependencyId],tblDependencies[DependentName],"",0,1)</f>
        <v>dc04tlpkaf421</v>
      </c>
      <c r="Q21" s="125">
        <f>_xlfn.XLOOKUP(tblSignOff[[#This Row],[Hostname]],tblTM[common_assetName],tblTM[device_custom17],"",0,1)</f>
        <v>0</v>
      </c>
      <c r="R21" s="125">
        <f>_xlfn.XLOOKUP(tblSignOff[[#This Row],[Hostname]],tblTM[common_assetName],tblTM[device_custom14],"",0,1)</f>
        <v>0</v>
      </c>
      <c r="S21" s="125">
        <f>_xlfn.XLOOKUP(tblSignOff[[#This Row],[Hostname]],tblTM[common_assetName],tblTM[device_custom12],"",0,1)</f>
        <v>0</v>
      </c>
      <c r="T21" s="213">
        <f>_xlfn.XLOOKUP(tblSignOff[[#This Row],[Hostname]],tblUnqSvr[Hostname],tblUnqSvr[Cutover Change number],"",0,1)</f>
        <v>0</v>
      </c>
      <c r="U21" s="213">
        <f>_xlfn.XLOOKUP(tblSignOff[[#This Row],[Hostname]],tblUnqSvr[Hostname],tblUnqSvr[Plan Status "Moved" in TM],"",0,1)</f>
        <v>0</v>
      </c>
      <c r="V21" s="144"/>
      <c r="W21" s="214">
        <v>672028</v>
      </c>
    </row>
    <row r="22" spans="1:23" x14ac:dyDescent="0.35">
      <c r="A22" s="144"/>
      <c r="B22" s="213" t="str">
        <f>_xlfn.LET(_xlpm.MigSt,_xlfn.XLOOKUP(tblSignOff[[#This Row],[Hostname]],tblUnqSvr[Hostname],tblUnqSvr[Migration Status],"",0,1),IF(_xlpm.MigSt=0,"",_xlpm.MigSt))</f>
        <v/>
      </c>
      <c r="C22" s="137" t="str">
        <f>MigrationEventCode</f>
        <v>MEA190</v>
      </c>
      <c r="D22" s="145">
        <f>TMWorkbook!$C$2</f>
        <v>46210</v>
      </c>
      <c r="E22" s="144" t="str">
        <f>_xlfn.XLOOKUP(tblSignOff[[#This Row],[AssetDependencyId]],tblEvntScope[AssetDependencyId],tblEvntScope[Application Name],"",0,1)</f>
        <v>Kafka-Test</v>
      </c>
      <c r="F22" s="144" t="str">
        <f>_xlfn.XLOOKUP(tblSignOff[[#This Row],[AssetDependencyId]],tblEvntScope[AssetDependencyId],tblEvntScope[Application Owner],"",0,1)</f>
        <v>Srihari Koduri</v>
      </c>
      <c r="G22" s="144" t="str">
        <f>CONCATENATE(tblSignOff[[#This Row],[Hostname]],"-cmold")</f>
        <v>dc04tlpkaf419-cmold</v>
      </c>
      <c r="H22" s="144" t="str">
        <f>_xlfn.XLOOKUP(tblSignOff[[#This Row],[AssetDependencyId]],tblEvntScope[AssetDependencyId],tblEvntScope[Source IP Address],"",0,1)</f>
        <v>10.152.28.20</v>
      </c>
      <c r="I22" s="213" t="str">
        <f>_xlfn.LET(_xlpm.DCLoc,_xlfn.XLOOKUP(tblSignOff[[#This Row],[Hostname]],tblUnqSvr[Hostname],tblUnqSvr[EH DataCenter Location],"",0,1), IF(_xlpm.DCLoc=0,"",_xlpm.DCLoc))</f>
        <v>IBM-Cloud Services US East</v>
      </c>
      <c r="J22" s="144">
        <f>_xlfn.XLOOKUP(tblSignOff[[#This Row],[AssetDependencyId]],tblEvntScope[AssetDependencyId],tblEvntScope[Type
App/DB],"",0,1)</f>
        <v>0</v>
      </c>
      <c r="K22" s="197" t="str">
        <f>_xlfn.XLOOKUP(tblSignOff[[#This Row],[AssetDependencyId]],tblEvntScope[AssetDependencyId],tblEvntScope[Environment],"",0,1)</f>
        <v>Test</v>
      </c>
      <c r="L22" s="198" t="str">
        <f>_xlfn.XLOOKUP(tblSignOff[[#This Row],[Hostname]],tblTM[common_assetName],tblTM[device_assetType],"",0,1)</f>
        <v>Server</v>
      </c>
      <c r="M22"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2" s="213" t="str">
        <f>_xlfn.LET(_xlpm.PhySN,_xlfn.XLOOKUP(tblSignOff[[#This Row],[Hostname]],tblUnqSvr[Hostname],tblUnqSvr[Source Physical Server Serial Number],"",0,1), IF(_xlpm.PhySN=0,"", _xlpm.PhySN))</f>
        <v>J10224GB</v>
      </c>
      <c r="O22" s="213" t="str">
        <f>_xlfn.XLOOKUP(tblSignOff[[#This Row],[Hostname]],tblUnqSvr[Hostname],tblUnqSvr[Target Data Center],"",0,1)</f>
        <v>Dell BMaaS - Ashburn</v>
      </c>
      <c r="P22" s="144" t="str">
        <f>_xlfn.XLOOKUP(tblSignOff[[#This Row],[AssetDependencyId]],tblDependencies[AssetDependencyId],tblDependencies[DependentName],"",0,1)</f>
        <v>dc04tlpkaf419</v>
      </c>
      <c r="Q22" s="125">
        <f>_xlfn.XLOOKUP(tblSignOff[[#This Row],[Hostname]],tblTM[common_assetName],tblTM[device_custom17],"",0,1)</f>
        <v>0</v>
      </c>
      <c r="R22" s="125">
        <f>_xlfn.XLOOKUP(tblSignOff[[#This Row],[Hostname]],tblTM[common_assetName],tblTM[device_custom14],"",0,1)</f>
        <v>0</v>
      </c>
      <c r="S22" s="125">
        <f>_xlfn.XLOOKUP(tblSignOff[[#This Row],[Hostname]],tblTM[common_assetName],tblTM[device_custom12],"",0,1)</f>
        <v>0</v>
      </c>
      <c r="T22" s="213">
        <f>_xlfn.XLOOKUP(tblSignOff[[#This Row],[Hostname]],tblUnqSvr[Hostname],tblUnqSvr[Cutover Change number],"",0,1)</f>
        <v>0</v>
      </c>
      <c r="U22" s="213">
        <f>_xlfn.XLOOKUP(tblSignOff[[#This Row],[Hostname]],tblUnqSvr[Hostname],tblUnqSvr[Plan Status "Moved" in TM],"",0,1)</f>
        <v>0</v>
      </c>
      <c r="V22" s="144"/>
      <c r="W22" s="214">
        <v>672029</v>
      </c>
    </row>
    <row r="23" spans="1:23" x14ac:dyDescent="0.35">
      <c r="A23" s="144"/>
      <c r="B23" s="213" t="str">
        <f>_xlfn.LET(_xlpm.MigSt,_xlfn.XLOOKUP(tblSignOff[[#This Row],[Hostname]],tblUnqSvr[Hostname],tblUnqSvr[Migration Status],"",0,1),IF(_xlpm.MigSt=0,"",_xlpm.MigSt))</f>
        <v/>
      </c>
      <c r="C23" s="137" t="str">
        <f>MigrationEventCode</f>
        <v>MEA190</v>
      </c>
      <c r="D23" s="145">
        <f>TMWorkbook!$C$2</f>
        <v>46210</v>
      </c>
      <c r="E23" s="144" t="str">
        <f>_xlfn.XLOOKUP(tblSignOff[[#This Row],[AssetDependencyId]],tblEvntScope[AssetDependencyId],tblEvntScope[Application Name],"",0,1)</f>
        <v>Kafka-Test</v>
      </c>
      <c r="F23" s="144" t="str">
        <f>_xlfn.XLOOKUP(tblSignOff[[#This Row],[AssetDependencyId]],tblEvntScope[AssetDependencyId],tblEvntScope[Application Owner],"",0,1)</f>
        <v>Srihari Koduri</v>
      </c>
      <c r="G23" s="144" t="str">
        <f>CONCATENATE(tblSignOff[[#This Row],[Hostname]],"-cmold")</f>
        <v>dc04tlpkaf417-cmold</v>
      </c>
      <c r="H23" s="144" t="str">
        <f>_xlfn.XLOOKUP(tblSignOff[[#This Row],[AssetDependencyId]],tblEvntScope[AssetDependencyId],tblEvntScope[Source IP Address],"",0,1)</f>
        <v>10.152.28.18</v>
      </c>
      <c r="I23" s="213" t="str">
        <f>_xlfn.LET(_xlpm.DCLoc,_xlfn.XLOOKUP(tblSignOff[[#This Row],[Hostname]],tblUnqSvr[Hostname],tblUnqSvr[EH DataCenter Location],"",0,1), IF(_xlpm.DCLoc=0,"",_xlpm.DCLoc))</f>
        <v>IBM-Cloud Services US East</v>
      </c>
      <c r="J23" s="144">
        <f>_xlfn.XLOOKUP(tblSignOff[[#This Row],[AssetDependencyId]],tblEvntScope[AssetDependencyId],tblEvntScope[Type
App/DB],"",0,1)</f>
        <v>0</v>
      </c>
      <c r="K23" s="197" t="str">
        <f>_xlfn.XLOOKUP(tblSignOff[[#This Row],[AssetDependencyId]],tblEvntScope[AssetDependencyId],tblEvntScope[Environment],"",0,1)</f>
        <v>Test</v>
      </c>
      <c r="L23" s="198" t="str">
        <f>_xlfn.XLOOKUP(tblSignOff[[#This Row],[Hostname]],tblTM[common_assetName],tblTM[device_assetType],"",0,1)</f>
        <v>Server</v>
      </c>
      <c r="M23"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3" s="213" t="str">
        <f>_xlfn.LET(_xlpm.PhySN,_xlfn.XLOOKUP(tblSignOff[[#This Row],[Hostname]],tblUnqSvr[Hostname],tblUnqSvr[Source Physical Server Serial Number],"",0,1), IF(_xlpm.PhySN=0,"", _xlpm.PhySN))</f>
        <v>J101VGG5</v>
      </c>
      <c r="O23" s="213" t="str">
        <f>_xlfn.XLOOKUP(tblSignOff[[#This Row],[Hostname]],tblUnqSvr[Hostname],tblUnqSvr[Target Data Center],"",0,1)</f>
        <v>Dell BMaaS - Ashburn</v>
      </c>
      <c r="P23" s="144" t="str">
        <f>_xlfn.XLOOKUP(tblSignOff[[#This Row],[AssetDependencyId]],tblDependencies[AssetDependencyId],tblDependencies[DependentName],"",0,1)</f>
        <v>dc04tlpkaf417</v>
      </c>
      <c r="Q23" s="125">
        <f>_xlfn.XLOOKUP(tblSignOff[[#This Row],[Hostname]],tblTM[common_assetName],tblTM[device_custom17],"",0,1)</f>
        <v>0</v>
      </c>
      <c r="R23" s="125">
        <f>_xlfn.XLOOKUP(tblSignOff[[#This Row],[Hostname]],tblTM[common_assetName],tblTM[device_custom14],"",0,1)</f>
        <v>0</v>
      </c>
      <c r="S23" s="125">
        <f>_xlfn.XLOOKUP(tblSignOff[[#This Row],[Hostname]],tblTM[common_assetName],tblTM[device_custom12],"",0,1)</f>
        <v>0</v>
      </c>
      <c r="T23" s="213">
        <f>_xlfn.XLOOKUP(tblSignOff[[#This Row],[Hostname]],tblUnqSvr[Hostname],tblUnqSvr[Cutover Change number],"",0,1)</f>
        <v>0</v>
      </c>
      <c r="U23" s="213">
        <f>_xlfn.XLOOKUP(tblSignOff[[#This Row],[Hostname]],tblUnqSvr[Hostname],tblUnqSvr[Plan Status "Moved" in TM],"",0,1)</f>
        <v>0</v>
      </c>
      <c r="V23" s="144"/>
      <c r="W23" s="214">
        <v>672030</v>
      </c>
    </row>
    <row r="24" spans="1:23" x14ac:dyDescent="0.35">
      <c r="A24" s="144"/>
      <c r="B24" s="213" t="str">
        <f>_xlfn.LET(_xlpm.MigSt,_xlfn.XLOOKUP(tblSignOff[[#This Row],[Hostname]],tblUnqSvr[Hostname],tblUnqSvr[Migration Status],"",0,1),IF(_xlpm.MigSt=0,"",_xlpm.MigSt))</f>
        <v/>
      </c>
      <c r="C24" s="137" t="str">
        <f>MigrationEventCode</f>
        <v>MEA190</v>
      </c>
      <c r="D24" s="145">
        <f>TMWorkbook!$C$2</f>
        <v>46210</v>
      </c>
      <c r="E24" s="144" t="str">
        <f>_xlfn.XLOOKUP(tblSignOff[[#This Row],[AssetDependencyId]],tblEvntScope[AssetDependencyId],tblEvntScope[Application Name],"",0,1)</f>
        <v>Kafka-Test</v>
      </c>
      <c r="F24" s="144" t="str">
        <f>_xlfn.XLOOKUP(tblSignOff[[#This Row],[AssetDependencyId]],tblEvntScope[AssetDependencyId],tblEvntScope[Application Owner],"",0,1)</f>
        <v>Srihari Koduri</v>
      </c>
      <c r="G24" s="144" t="str">
        <f>CONCATENATE(tblSignOff[[#This Row],[Hostname]],"-cmold")</f>
        <v>dc04tlpkaf410-cmold</v>
      </c>
      <c r="H24" s="144" t="str">
        <f>_xlfn.XLOOKUP(tblSignOff[[#This Row],[AssetDependencyId]],tblEvntScope[AssetDependencyId],tblEvntScope[Source IP Address],"",0,1)</f>
        <v>10.152.28.108</v>
      </c>
      <c r="I24" s="213" t="str">
        <f>_xlfn.LET(_xlpm.DCLoc,_xlfn.XLOOKUP(tblSignOff[[#This Row],[Hostname]],tblUnqSvr[Hostname],tblUnqSvr[EH DataCenter Location],"",0,1), IF(_xlpm.DCLoc=0,"",_xlpm.DCLoc))</f>
        <v>IBM-Cloud Services US East</v>
      </c>
      <c r="J24" s="144">
        <f>_xlfn.XLOOKUP(tblSignOff[[#This Row],[AssetDependencyId]],tblEvntScope[AssetDependencyId],tblEvntScope[Type
App/DB],"",0,1)</f>
        <v>0</v>
      </c>
      <c r="K24" s="197" t="str">
        <f>_xlfn.XLOOKUP(tblSignOff[[#This Row],[AssetDependencyId]],tblEvntScope[AssetDependencyId],tblEvntScope[Environment],"",0,1)</f>
        <v>Test</v>
      </c>
      <c r="L24" s="198" t="str">
        <f>_xlfn.XLOOKUP(tblSignOff[[#This Row],[Hostname]],tblTM[common_assetName],tblTM[device_assetType],"",0,1)</f>
        <v>Server</v>
      </c>
      <c r="M24"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4" s="213" t="str">
        <f>_xlfn.LET(_xlpm.PhySN,_xlfn.XLOOKUP(tblSignOff[[#This Row],[Hostname]],tblUnqSvr[Hostname],tblUnqSvr[Source Physical Server Serial Number],"",0,1), IF(_xlpm.PhySN=0,"", _xlpm.PhySN))</f>
        <v>J1013YVZ</v>
      </c>
      <c r="O24" s="213" t="str">
        <f>_xlfn.XLOOKUP(tblSignOff[[#This Row],[Hostname]],tblUnqSvr[Hostname],tblUnqSvr[Target Data Center],"",0,1)</f>
        <v>Dell BMaaS - Ashburn</v>
      </c>
      <c r="P24" s="144" t="str">
        <f>_xlfn.XLOOKUP(tblSignOff[[#This Row],[AssetDependencyId]],tblDependencies[AssetDependencyId],tblDependencies[DependentName],"",0,1)</f>
        <v>dc04tlpkaf410</v>
      </c>
      <c r="Q24" s="125">
        <f>_xlfn.XLOOKUP(tblSignOff[[#This Row],[Hostname]],tblTM[common_assetName],tblTM[device_custom17],"",0,1)</f>
        <v>0</v>
      </c>
      <c r="R24" s="125">
        <f>_xlfn.XLOOKUP(tblSignOff[[#This Row],[Hostname]],tblTM[common_assetName],tblTM[device_custom14],"",0,1)</f>
        <v>0</v>
      </c>
      <c r="S24" s="125">
        <f>_xlfn.XLOOKUP(tblSignOff[[#This Row],[Hostname]],tblTM[common_assetName],tblTM[device_custom12],"",0,1)</f>
        <v>0</v>
      </c>
      <c r="T24" s="213">
        <f>_xlfn.XLOOKUP(tblSignOff[[#This Row],[Hostname]],tblUnqSvr[Hostname],tblUnqSvr[Cutover Change number],"",0,1)</f>
        <v>0</v>
      </c>
      <c r="U24" s="213">
        <f>_xlfn.XLOOKUP(tblSignOff[[#This Row],[Hostname]],tblUnqSvr[Hostname],tblUnqSvr[Plan Status "Moved" in TM],"",0,1)</f>
        <v>0</v>
      </c>
      <c r="V24" s="144"/>
      <c r="W24" s="214">
        <v>672031</v>
      </c>
    </row>
    <row r="25" spans="1:23" x14ac:dyDescent="0.35">
      <c r="A25" s="144"/>
      <c r="B25" s="213" t="str">
        <f>_xlfn.LET(_xlpm.MigSt,_xlfn.XLOOKUP(tblSignOff[[#This Row],[Hostname]],tblUnqSvr[Hostname],tblUnqSvr[Migration Status],"",0,1),IF(_xlpm.MigSt=0,"",_xlpm.MigSt))</f>
        <v/>
      </c>
      <c r="C25" s="137" t="str">
        <f>MigrationEventCode</f>
        <v>MEA190</v>
      </c>
      <c r="D25" s="145">
        <f>TMWorkbook!$C$2</f>
        <v>46210</v>
      </c>
      <c r="E25" s="144" t="str">
        <f>_xlfn.XLOOKUP(tblSignOff[[#This Row],[AssetDependencyId]],tblEvntScope[AssetDependencyId],tblEvntScope[Application Name],"",0,1)</f>
        <v>Kafka-Test</v>
      </c>
      <c r="F25" s="144" t="str">
        <f>_xlfn.XLOOKUP(tblSignOff[[#This Row],[AssetDependencyId]],tblEvntScope[AssetDependencyId],tblEvntScope[Application Owner],"",0,1)</f>
        <v>Srihari Koduri</v>
      </c>
      <c r="G25" s="144" t="str">
        <f>CONCATENATE(tblSignOff[[#This Row],[Hostname]],"-cmold")</f>
        <v>dc04tlpkaf409-cmold</v>
      </c>
      <c r="H25" s="144" t="str">
        <f>_xlfn.XLOOKUP(tblSignOff[[#This Row],[AssetDependencyId]],tblEvntScope[AssetDependencyId],tblEvntScope[Source IP Address],"",0,1)</f>
        <v>10.152.28.107</v>
      </c>
      <c r="I25" s="213" t="str">
        <f>_xlfn.LET(_xlpm.DCLoc,_xlfn.XLOOKUP(tblSignOff[[#This Row],[Hostname]],tblUnqSvr[Hostname],tblUnqSvr[EH DataCenter Location],"",0,1), IF(_xlpm.DCLoc=0,"",_xlpm.DCLoc))</f>
        <v>IBM-Cloud Services US East</v>
      </c>
      <c r="J25" s="144">
        <f>_xlfn.XLOOKUP(tblSignOff[[#This Row],[AssetDependencyId]],tblEvntScope[AssetDependencyId],tblEvntScope[Type
App/DB],"",0,1)</f>
        <v>0</v>
      </c>
      <c r="K25" s="197" t="str">
        <f>_xlfn.XLOOKUP(tblSignOff[[#This Row],[AssetDependencyId]],tblEvntScope[AssetDependencyId],tblEvntScope[Environment],"",0,1)</f>
        <v>Test</v>
      </c>
      <c r="L25" s="198" t="str">
        <f>_xlfn.XLOOKUP(tblSignOff[[#This Row],[Hostname]],tblTM[common_assetName],tblTM[device_assetType],"",0,1)</f>
        <v>Server</v>
      </c>
      <c r="M25"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5" s="213" t="str">
        <f>_xlfn.LET(_xlpm.PhySN,_xlfn.XLOOKUP(tblSignOff[[#This Row],[Hostname]],tblUnqSvr[Hostname],tblUnqSvr[Source Physical Server Serial Number],"",0,1), IF(_xlpm.PhySN=0,"", _xlpm.PhySN))</f>
        <v>J1013Y95</v>
      </c>
      <c r="O25" s="213" t="str">
        <f>_xlfn.XLOOKUP(tblSignOff[[#This Row],[Hostname]],tblUnqSvr[Hostname],tblUnqSvr[Target Data Center],"",0,1)</f>
        <v>Dell BMaaS - Ashburn</v>
      </c>
      <c r="P25" s="144" t="str">
        <f>_xlfn.XLOOKUP(tblSignOff[[#This Row],[AssetDependencyId]],tblDependencies[AssetDependencyId],tblDependencies[DependentName],"",0,1)</f>
        <v>dc04tlpkaf409</v>
      </c>
      <c r="Q25" s="125">
        <f>_xlfn.XLOOKUP(tblSignOff[[#This Row],[Hostname]],tblTM[common_assetName],tblTM[device_custom17],"",0,1)</f>
        <v>0</v>
      </c>
      <c r="R25" s="125">
        <f>_xlfn.XLOOKUP(tblSignOff[[#This Row],[Hostname]],tblTM[common_assetName],tblTM[device_custom14],"",0,1)</f>
        <v>0</v>
      </c>
      <c r="S25" s="125">
        <f>_xlfn.XLOOKUP(tblSignOff[[#This Row],[Hostname]],tblTM[common_assetName],tblTM[device_custom12],"",0,1)</f>
        <v>0</v>
      </c>
      <c r="T25" s="213">
        <f>_xlfn.XLOOKUP(tblSignOff[[#This Row],[Hostname]],tblUnqSvr[Hostname],tblUnqSvr[Cutover Change number],"",0,1)</f>
        <v>0</v>
      </c>
      <c r="U25" s="213">
        <f>_xlfn.XLOOKUP(tblSignOff[[#This Row],[Hostname]],tblUnqSvr[Hostname],tblUnqSvr[Plan Status "Moved" in TM],"",0,1)</f>
        <v>0</v>
      </c>
      <c r="V25" s="144"/>
      <c r="W25" s="214">
        <v>672032</v>
      </c>
    </row>
    <row r="26" spans="1:23" x14ac:dyDescent="0.35">
      <c r="A26" s="144"/>
      <c r="B26" s="213" t="str">
        <f>_xlfn.LET(_xlpm.MigSt,_xlfn.XLOOKUP(tblSignOff[[#This Row],[Hostname]],tblUnqSvr[Hostname],tblUnqSvr[Migration Status],"",0,1),IF(_xlpm.MigSt=0,"",_xlpm.MigSt))</f>
        <v/>
      </c>
      <c r="C26" s="137" t="str">
        <f>MigrationEventCode</f>
        <v>MEA190</v>
      </c>
      <c r="D26" s="145">
        <f>TMWorkbook!$C$2</f>
        <v>46210</v>
      </c>
      <c r="E26" s="144" t="str">
        <f>_xlfn.XLOOKUP(tblSignOff[[#This Row],[AssetDependencyId]],tblEvntScope[AssetDependencyId],tblEvntScope[Application Name],"",0,1)</f>
        <v>Kafka-Test</v>
      </c>
      <c r="F26" s="144" t="str">
        <f>_xlfn.XLOOKUP(tblSignOff[[#This Row],[AssetDependencyId]],tblEvntScope[AssetDependencyId],tblEvntScope[Application Owner],"",0,1)</f>
        <v>Srihari Koduri</v>
      </c>
      <c r="G26" s="144" t="str">
        <f>CONCATENATE(tblSignOff[[#This Row],[Hostname]],"-cmold")</f>
        <v>dc04tlpkaf408-cmold</v>
      </c>
      <c r="H26" s="144" t="str">
        <f>_xlfn.XLOOKUP(tblSignOff[[#This Row],[AssetDependencyId]],tblEvntScope[AssetDependencyId],tblEvntScope[Source IP Address],"",0,1)</f>
        <v>10.152.28.106</v>
      </c>
      <c r="I26" s="213" t="str">
        <f>_xlfn.LET(_xlpm.DCLoc,_xlfn.XLOOKUP(tblSignOff[[#This Row],[Hostname]],tblUnqSvr[Hostname],tblUnqSvr[EH DataCenter Location],"",0,1), IF(_xlpm.DCLoc=0,"",_xlpm.DCLoc))</f>
        <v>IBM-Cloud Services US East</v>
      </c>
      <c r="J26" s="144">
        <f>_xlfn.XLOOKUP(tblSignOff[[#This Row],[AssetDependencyId]],tblEvntScope[AssetDependencyId],tblEvntScope[Type
App/DB],"",0,1)</f>
        <v>0</v>
      </c>
      <c r="K26" s="197" t="str">
        <f>_xlfn.XLOOKUP(tblSignOff[[#This Row],[AssetDependencyId]],tblEvntScope[AssetDependencyId],tblEvntScope[Environment],"",0,1)</f>
        <v>Test</v>
      </c>
      <c r="L26" s="198" t="str">
        <f>_xlfn.XLOOKUP(tblSignOff[[#This Row],[Hostname]],tblTM[common_assetName],tblTM[device_assetType],"",0,1)</f>
        <v>Server</v>
      </c>
      <c r="M26"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6" s="213" t="str">
        <f>_xlfn.LET(_xlpm.PhySN,_xlfn.XLOOKUP(tblSignOff[[#This Row],[Hostname]],tblUnqSvr[Hostname],tblUnqSvr[Source Physical Server Serial Number],"",0,1), IF(_xlpm.PhySN=0,"", _xlpm.PhySN))</f>
        <v>J102262D</v>
      </c>
      <c r="O26" s="213" t="str">
        <f>_xlfn.XLOOKUP(tblSignOff[[#This Row],[Hostname]],tblUnqSvr[Hostname],tblUnqSvr[Target Data Center],"",0,1)</f>
        <v>Dell BMaaS - Ashburn</v>
      </c>
      <c r="P26" s="144" t="str">
        <f>_xlfn.XLOOKUP(tblSignOff[[#This Row],[AssetDependencyId]],tblDependencies[AssetDependencyId],tblDependencies[DependentName],"",0,1)</f>
        <v>dc04tlpkaf408</v>
      </c>
      <c r="Q26" s="125">
        <f>_xlfn.XLOOKUP(tblSignOff[[#This Row],[Hostname]],tblTM[common_assetName],tblTM[device_custom17],"",0,1)</f>
        <v>0</v>
      </c>
      <c r="R26" s="125">
        <f>_xlfn.XLOOKUP(tblSignOff[[#This Row],[Hostname]],tblTM[common_assetName],tblTM[device_custom14],"",0,1)</f>
        <v>0</v>
      </c>
      <c r="S26" s="125">
        <f>_xlfn.XLOOKUP(tblSignOff[[#This Row],[Hostname]],tblTM[common_assetName],tblTM[device_custom12],"",0,1)</f>
        <v>0</v>
      </c>
      <c r="T26" s="213">
        <f>_xlfn.XLOOKUP(tblSignOff[[#This Row],[Hostname]],tblUnqSvr[Hostname],tblUnqSvr[Cutover Change number],"",0,1)</f>
        <v>0</v>
      </c>
      <c r="U26" s="213">
        <f>_xlfn.XLOOKUP(tblSignOff[[#This Row],[Hostname]],tblUnqSvr[Hostname],tblUnqSvr[Plan Status "Moved" in TM],"",0,1)</f>
        <v>0</v>
      </c>
      <c r="V26" s="144"/>
      <c r="W26" s="214">
        <v>672033</v>
      </c>
    </row>
    <row r="27" spans="1:23" x14ac:dyDescent="0.35">
      <c r="A27" s="144"/>
      <c r="B27" s="213" t="str">
        <f>_xlfn.LET(_xlpm.MigSt,_xlfn.XLOOKUP(tblSignOff[[#This Row],[Hostname]],tblUnqSvr[Hostname],tblUnqSvr[Migration Status],"",0,1),IF(_xlpm.MigSt=0,"",_xlpm.MigSt))</f>
        <v/>
      </c>
      <c r="C27" s="137" t="str">
        <f>MigrationEventCode</f>
        <v>MEA190</v>
      </c>
      <c r="D27" s="145">
        <f>TMWorkbook!$C$2</f>
        <v>46210</v>
      </c>
      <c r="E27" s="144" t="str">
        <f>_xlfn.XLOOKUP(tblSignOff[[#This Row],[AssetDependencyId]],tblEvntScope[AssetDependencyId],tblEvntScope[Application Name],"",0,1)</f>
        <v>Kafka-Test</v>
      </c>
      <c r="F27" s="144" t="str">
        <f>_xlfn.XLOOKUP(tblSignOff[[#This Row],[AssetDependencyId]],tblEvntScope[AssetDependencyId],tblEvntScope[Application Owner],"",0,1)</f>
        <v>Srihari Koduri</v>
      </c>
      <c r="G27" s="144" t="str">
        <f>CONCATENATE(tblSignOff[[#This Row],[Hostname]],"-cmold")</f>
        <v>dc04tlpkaf407-cmold</v>
      </c>
      <c r="H27" s="144" t="str">
        <f>_xlfn.XLOOKUP(tblSignOff[[#This Row],[AssetDependencyId]],tblEvntScope[AssetDependencyId],tblEvntScope[Source IP Address],"",0,1)</f>
        <v>10.152.28.105</v>
      </c>
      <c r="I27" s="213" t="str">
        <f>_xlfn.LET(_xlpm.DCLoc,_xlfn.XLOOKUP(tblSignOff[[#This Row],[Hostname]],tblUnqSvr[Hostname],tblUnqSvr[EH DataCenter Location],"",0,1), IF(_xlpm.DCLoc=0,"",_xlpm.DCLoc))</f>
        <v>IBM-Cloud Services US East</v>
      </c>
      <c r="J27" s="144">
        <f>_xlfn.XLOOKUP(tblSignOff[[#This Row],[AssetDependencyId]],tblEvntScope[AssetDependencyId],tblEvntScope[Type
App/DB],"",0,1)</f>
        <v>0</v>
      </c>
      <c r="K27" s="197" t="str">
        <f>_xlfn.XLOOKUP(tblSignOff[[#This Row],[AssetDependencyId]],tblEvntScope[AssetDependencyId],tblEvntScope[Environment],"",0,1)</f>
        <v>Test</v>
      </c>
      <c r="L27" s="198" t="str">
        <f>_xlfn.XLOOKUP(tblSignOff[[#This Row],[Hostname]],tblTM[common_assetName],tblTM[device_assetType],"",0,1)</f>
        <v>Server</v>
      </c>
      <c r="M27"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7" s="213" t="str">
        <f>_xlfn.LET(_xlpm.PhySN,_xlfn.XLOOKUP(tblSignOff[[#This Row],[Hostname]],tblUnqSvr[Hostname],tblUnqSvr[Source Physical Server Serial Number],"",0,1), IF(_xlpm.PhySN=0,"", _xlpm.PhySN))</f>
        <v>J101VB4R</v>
      </c>
      <c r="O27" s="213" t="str">
        <f>_xlfn.XLOOKUP(tblSignOff[[#This Row],[Hostname]],tblUnqSvr[Hostname],tblUnqSvr[Target Data Center],"",0,1)</f>
        <v>Dell BMaaS - Ashburn</v>
      </c>
      <c r="P27" s="144" t="str">
        <f>_xlfn.XLOOKUP(tblSignOff[[#This Row],[AssetDependencyId]],tblDependencies[AssetDependencyId],tblDependencies[DependentName],"",0,1)</f>
        <v>dc04tlpkaf407</v>
      </c>
      <c r="Q27" s="125">
        <f>_xlfn.XLOOKUP(tblSignOff[[#This Row],[Hostname]],tblTM[common_assetName],tblTM[device_custom17],"",0,1)</f>
        <v>0</v>
      </c>
      <c r="R27" s="125">
        <f>_xlfn.XLOOKUP(tblSignOff[[#This Row],[Hostname]],tblTM[common_assetName],tblTM[device_custom14],"",0,1)</f>
        <v>0</v>
      </c>
      <c r="S27" s="125">
        <f>_xlfn.XLOOKUP(tblSignOff[[#This Row],[Hostname]],tblTM[common_assetName],tblTM[device_custom12],"",0,1)</f>
        <v>0</v>
      </c>
      <c r="T27" s="213">
        <f>_xlfn.XLOOKUP(tblSignOff[[#This Row],[Hostname]],tblUnqSvr[Hostname],tblUnqSvr[Cutover Change number],"",0,1)</f>
        <v>0</v>
      </c>
      <c r="U27" s="213">
        <f>_xlfn.XLOOKUP(tblSignOff[[#This Row],[Hostname]],tblUnqSvr[Hostname],tblUnqSvr[Plan Status "Moved" in TM],"",0,1)</f>
        <v>0</v>
      </c>
      <c r="V27" s="144"/>
      <c r="W27" s="214">
        <v>672034</v>
      </c>
    </row>
    <row r="28" spans="1:23" x14ac:dyDescent="0.35">
      <c r="A28" s="144"/>
      <c r="B28" s="213" t="str">
        <f>_xlfn.LET(_xlpm.MigSt,_xlfn.XLOOKUP(tblSignOff[[#This Row],[Hostname]],tblUnqSvr[Hostname],tblUnqSvr[Migration Status],"",0,1),IF(_xlpm.MigSt=0,"",_xlpm.MigSt))</f>
        <v/>
      </c>
      <c r="C28" s="137" t="str">
        <f>MigrationEventCode</f>
        <v>MEA190</v>
      </c>
      <c r="D28" s="145">
        <f>TMWorkbook!$C$2</f>
        <v>46210</v>
      </c>
      <c r="E28" s="144" t="str">
        <f>_xlfn.XLOOKUP(tblSignOff[[#This Row],[AssetDependencyId]],tblEvntScope[AssetDependencyId],tblEvntScope[Application Name],"",0,1)</f>
        <v>Kafka-Test</v>
      </c>
      <c r="F28" s="144" t="str">
        <f>_xlfn.XLOOKUP(tblSignOff[[#This Row],[AssetDependencyId]],tblEvntScope[AssetDependencyId],tblEvntScope[Application Owner],"",0,1)</f>
        <v>Srihari Koduri</v>
      </c>
      <c r="G28" s="144" t="str">
        <f>CONCATENATE(tblSignOff[[#This Row],[Hostname]],"-cmold")</f>
        <v>dc04tlpkaf406-cmold</v>
      </c>
      <c r="H28" s="144" t="str">
        <f>_xlfn.XLOOKUP(tblSignOff[[#This Row],[AssetDependencyId]],tblEvntScope[AssetDependencyId],tblEvntScope[Source IP Address],"",0,1)</f>
        <v>10.152.28.104</v>
      </c>
      <c r="I28" s="213" t="str">
        <f>_xlfn.LET(_xlpm.DCLoc,_xlfn.XLOOKUP(tblSignOff[[#This Row],[Hostname]],tblUnqSvr[Hostname],tblUnqSvr[EH DataCenter Location],"",0,1), IF(_xlpm.DCLoc=0,"",_xlpm.DCLoc))</f>
        <v>IBM-Cloud Services US East</v>
      </c>
      <c r="J28" s="144">
        <f>_xlfn.XLOOKUP(tblSignOff[[#This Row],[AssetDependencyId]],tblEvntScope[AssetDependencyId],tblEvntScope[Type
App/DB],"",0,1)</f>
        <v>0</v>
      </c>
      <c r="K28" s="197" t="str">
        <f>_xlfn.XLOOKUP(tblSignOff[[#This Row],[AssetDependencyId]],tblEvntScope[AssetDependencyId],tblEvntScope[Environment],"",0,1)</f>
        <v>Test</v>
      </c>
      <c r="L28" s="198" t="str">
        <f>_xlfn.XLOOKUP(tblSignOff[[#This Row],[Hostname]],tblTM[common_assetName],tblTM[device_assetType],"",0,1)</f>
        <v>Server</v>
      </c>
      <c r="M28"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8" s="213" t="str">
        <f>_xlfn.LET(_xlpm.PhySN,_xlfn.XLOOKUP(tblSignOff[[#This Row],[Hostname]],tblUnqSvr[Hostname],tblUnqSvr[Source Physical Server Serial Number],"",0,1), IF(_xlpm.PhySN=0,"", _xlpm.PhySN))</f>
        <v>J101VB4T</v>
      </c>
      <c r="O28" s="213" t="str">
        <f>_xlfn.XLOOKUP(tblSignOff[[#This Row],[Hostname]],tblUnqSvr[Hostname],tblUnqSvr[Target Data Center],"",0,1)</f>
        <v>Dell BMaaS - Ashburn</v>
      </c>
      <c r="P28" s="144" t="str">
        <f>_xlfn.XLOOKUP(tblSignOff[[#This Row],[AssetDependencyId]],tblDependencies[AssetDependencyId],tblDependencies[DependentName],"",0,1)</f>
        <v>dc04tlpkaf406</v>
      </c>
      <c r="Q28" s="125">
        <f>_xlfn.XLOOKUP(tblSignOff[[#This Row],[Hostname]],tblTM[common_assetName],tblTM[device_custom17],"",0,1)</f>
        <v>0</v>
      </c>
      <c r="R28" s="125">
        <f>_xlfn.XLOOKUP(tblSignOff[[#This Row],[Hostname]],tblTM[common_assetName],tblTM[device_custom14],"",0,1)</f>
        <v>0</v>
      </c>
      <c r="S28" s="125">
        <f>_xlfn.XLOOKUP(tblSignOff[[#This Row],[Hostname]],tblTM[common_assetName],tblTM[device_custom12],"",0,1)</f>
        <v>0</v>
      </c>
      <c r="T28" s="213">
        <f>_xlfn.XLOOKUP(tblSignOff[[#This Row],[Hostname]],tblUnqSvr[Hostname],tblUnqSvr[Cutover Change number],"",0,1)</f>
        <v>0</v>
      </c>
      <c r="U28" s="213">
        <f>_xlfn.XLOOKUP(tblSignOff[[#This Row],[Hostname]],tblUnqSvr[Hostname],tblUnqSvr[Plan Status "Moved" in TM],"",0,1)</f>
        <v>0</v>
      </c>
      <c r="V28" s="144"/>
      <c r="W28" s="214">
        <v>672035</v>
      </c>
    </row>
    <row r="29" spans="1:23" x14ac:dyDescent="0.35">
      <c r="A29" s="144"/>
      <c r="B29" s="213" t="str">
        <f>_xlfn.LET(_xlpm.MigSt,_xlfn.XLOOKUP(tblSignOff[[#This Row],[Hostname]],tblUnqSvr[Hostname],tblUnqSvr[Migration Status],"",0,1),IF(_xlpm.MigSt=0,"",_xlpm.MigSt))</f>
        <v/>
      </c>
      <c r="C29" s="137" t="str">
        <f>MigrationEventCode</f>
        <v>MEA190</v>
      </c>
      <c r="D29" s="145">
        <f>TMWorkbook!$C$2</f>
        <v>46210</v>
      </c>
      <c r="E29" s="144" t="str">
        <f>_xlfn.XLOOKUP(tblSignOff[[#This Row],[AssetDependencyId]],tblEvntScope[AssetDependencyId],tblEvntScope[Application Name],"",0,1)</f>
        <v>Kafka-Test</v>
      </c>
      <c r="F29" s="144" t="str">
        <f>_xlfn.XLOOKUP(tblSignOff[[#This Row],[AssetDependencyId]],tblEvntScope[AssetDependencyId],tblEvntScope[Application Owner],"",0,1)</f>
        <v>Srihari Koduri</v>
      </c>
      <c r="G29" s="144" t="str">
        <f>CONCATENATE(tblSignOff[[#This Row],[Hostname]],"-cmold")</f>
        <v>dc04tlpkaf405-cmold</v>
      </c>
      <c r="H29" s="144" t="str">
        <f>_xlfn.XLOOKUP(tblSignOff[[#This Row],[AssetDependencyId]],tblEvntScope[AssetDependencyId],tblEvntScope[Source IP Address],"",0,1)</f>
        <v>10.152.28.103</v>
      </c>
      <c r="I29" s="213" t="str">
        <f>_xlfn.LET(_xlpm.DCLoc,_xlfn.XLOOKUP(tblSignOff[[#This Row],[Hostname]],tblUnqSvr[Hostname],tblUnqSvr[EH DataCenter Location],"",0,1), IF(_xlpm.DCLoc=0,"",_xlpm.DCLoc))</f>
        <v>IBM-Cloud Services US East</v>
      </c>
      <c r="J29" s="144">
        <f>_xlfn.XLOOKUP(tblSignOff[[#This Row],[AssetDependencyId]],tblEvntScope[AssetDependencyId],tblEvntScope[Type
App/DB],"",0,1)</f>
        <v>0</v>
      </c>
      <c r="K29" s="197" t="str">
        <f>_xlfn.XLOOKUP(tblSignOff[[#This Row],[AssetDependencyId]],tblEvntScope[AssetDependencyId],tblEvntScope[Environment],"",0,1)</f>
        <v>Test</v>
      </c>
      <c r="L29" s="198" t="str">
        <f>_xlfn.XLOOKUP(tblSignOff[[#This Row],[Hostname]],tblTM[common_assetName],tblTM[device_assetType],"",0,1)</f>
        <v>Server</v>
      </c>
      <c r="M29"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29" s="213" t="str">
        <f>_xlfn.LET(_xlpm.PhySN,_xlfn.XLOOKUP(tblSignOff[[#This Row],[Hostname]],tblUnqSvr[Hostname],tblUnqSvr[Source Physical Server Serial Number],"",0,1), IF(_xlpm.PhySN=0,"", _xlpm.PhySN))</f>
        <v>J101VB44</v>
      </c>
      <c r="O29" s="213" t="str">
        <f>_xlfn.XLOOKUP(tblSignOff[[#This Row],[Hostname]],tblUnqSvr[Hostname],tblUnqSvr[Target Data Center],"",0,1)</f>
        <v>Dell BMaaS - Ashburn</v>
      </c>
      <c r="P29" s="144" t="str">
        <f>_xlfn.XLOOKUP(tblSignOff[[#This Row],[AssetDependencyId]],tblDependencies[AssetDependencyId],tblDependencies[DependentName],"",0,1)</f>
        <v>dc04tlpkaf405</v>
      </c>
      <c r="Q29" s="125">
        <f>_xlfn.XLOOKUP(tblSignOff[[#This Row],[Hostname]],tblTM[common_assetName],tblTM[device_custom17],"",0,1)</f>
        <v>0</v>
      </c>
      <c r="R29" s="125">
        <f>_xlfn.XLOOKUP(tblSignOff[[#This Row],[Hostname]],tblTM[common_assetName],tblTM[device_custom14],"",0,1)</f>
        <v>0</v>
      </c>
      <c r="S29" s="125">
        <f>_xlfn.XLOOKUP(tblSignOff[[#This Row],[Hostname]],tblTM[common_assetName],tblTM[device_custom12],"",0,1)</f>
        <v>0</v>
      </c>
      <c r="T29" s="213">
        <f>_xlfn.XLOOKUP(tblSignOff[[#This Row],[Hostname]],tblUnqSvr[Hostname],tblUnqSvr[Cutover Change number],"",0,1)</f>
        <v>0</v>
      </c>
      <c r="U29" s="213">
        <f>_xlfn.XLOOKUP(tblSignOff[[#This Row],[Hostname]],tblUnqSvr[Hostname],tblUnqSvr[Plan Status "Moved" in TM],"",0,1)</f>
        <v>0</v>
      </c>
      <c r="V29" s="144"/>
      <c r="W29" s="214">
        <v>672036</v>
      </c>
    </row>
    <row r="30" spans="1:23" x14ac:dyDescent="0.35">
      <c r="A30" s="144"/>
      <c r="B30" s="213" t="str">
        <f>_xlfn.LET(_xlpm.MigSt,_xlfn.XLOOKUP(tblSignOff[[#This Row],[Hostname]],tblUnqSvr[Hostname],tblUnqSvr[Migration Status],"",0,1),IF(_xlpm.MigSt=0,"",_xlpm.MigSt))</f>
        <v/>
      </c>
      <c r="C30" s="137" t="str">
        <f>MigrationEventCode</f>
        <v>MEA190</v>
      </c>
      <c r="D30" s="145">
        <f>TMWorkbook!$C$2</f>
        <v>46210</v>
      </c>
      <c r="E30" s="144" t="str">
        <f>_xlfn.XLOOKUP(tblSignOff[[#This Row],[AssetDependencyId]],tblEvntScope[AssetDependencyId],tblEvntScope[Application Name],"",0,1)</f>
        <v>Kafka-Test</v>
      </c>
      <c r="F30" s="144" t="str">
        <f>_xlfn.XLOOKUP(tblSignOff[[#This Row],[AssetDependencyId]],tblEvntScope[AssetDependencyId],tblEvntScope[Application Owner],"",0,1)</f>
        <v>Srihari Koduri</v>
      </c>
      <c r="G30" s="144" t="str">
        <f>CONCATENATE(tblSignOff[[#This Row],[Hostname]],"-cmold")</f>
        <v>dc04tlpkaf404-cmold</v>
      </c>
      <c r="H30" s="144" t="str">
        <f>_xlfn.XLOOKUP(tblSignOff[[#This Row],[AssetDependencyId]],tblEvntScope[AssetDependencyId],tblEvntScope[Source IP Address],"",0,1)</f>
        <v>10.152.28.102</v>
      </c>
      <c r="I30" s="213" t="str">
        <f>_xlfn.LET(_xlpm.DCLoc,_xlfn.XLOOKUP(tblSignOff[[#This Row],[Hostname]],tblUnqSvr[Hostname],tblUnqSvr[EH DataCenter Location],"",0,1), IF(_xlpm.DCLoc=0,"",_xlpm.DCLoc))</f>
        <v>IBM-Cloud Services US East</v>
      </c>
      <c r="J30" s="144">
        <f>_xlfn.XLOOKUP(tblSignOff[[#This Row],[AssetDependencyId]],tblEvntScope[AssetDependencyId],tblEvntScope[Type
App/DB],"",0,1)</f>
        <v>0</v>
      </c>
      <c r="K30" s="197" t="str">
        <f>_xlfn.XLOOKUP(tblSignOff[[#This Row],[AssetDependencyId]],tblEvntScope[AssetDependencyId],tblEvntScope[Environment],"",0,1)</f>
        <v>Test</v>
      </c>
      <c r="L30" s="198" t="str">
        <f>_xlfn.XLOOKUP(tblSignOff[[#This Row],[Hostname]],tblTM[common_assetName],tblTM[device_assetType],"",0,1)</f>
        <v>Server</v>
      </c>
      <c r="M30"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0" s="213" t="str">
        <f>_xlfn.LET(_xlpm.PhySN,_xlfn.XLOOKUP(tblSignOff[[#This Row],[Hostname]],tblUnqSvr[Hostname],tblUnqSvr[Source Physical Server Serial Number],"",0,1), IF(_xlpm.PhySN=0,"", _xlpm.PhySN))</f>
        <v>J101VB42</v>
      </c>
      <c r="O30" s="213" t="str">
        <f>_xlfn.XLOOKUP(tblSignOff[[#This Row],[Hostname]],tblUnqSvr[Hostname],tblUnqSvr[Target Data Center],"",0,1)</f>
        <v>Dell BMaaS - Ashburn</v>
      </c>
      <c r="P30" s="144" t="str">
        <f>_xlfn.XLOOKUP(tblSignOff[[#This Row],[AssetDependencyId]],tblDependencies[AssetDependencyId],tblDependencies[DependentName],"",0,1)</f>
        <v>dc04tlpkaf404</v>
      </c>
      <c r="Q30" s="125">
        <f>_xlfn.XLOOKUP(tblSignOff[[#This Row],[Hostname]],tblTM[common_assetName],tblTM[device_custom17],"",0,1)</f>
        <v>0</v>
      </c>
      <c r="R30" s="125">
        <f>_xlfn.XLOOKUP(tblSignOff[[#This Row],[Hostname]],tblTM[common_assetName],tblTM[device_custom14],"",0,1)</f>
        <v>0</v>
      </c>
      <c r="S30" s="125">
        <f>_xlfn.XLOOKUP(tblSignOff[[#This Row],[Hostname]],tblTM[common_assetName],tblTM[device_custom12],"",0,1)</f>
        <v>0</v>
      </c>
      <c r="T30" s="213">
        <f>_xlfn.XLOOKUP(tblSignOff[[#This Row],[Hostname]],tblUnqSvr[Hostname],tblUnqSvr[Cutover Change number],"",0,1)</f>
        <v>0</v>
      </c>
      <c r="U30" s="213">
        <f>_xlfn.XLOOKUP(tblSignOff[[#This Row],[Hostname]],tblUnqSvr[Hostname],tblUnqSvr[Plan Status "Moved" in TM],"",0,1)</f>
        <v>0</v>
      </c>
      <c r="V30" s="144"/>
      <c r="W30" s="214">
        <v>672037</v>
      </c>
    </row>
    <row r="31" spans="1:23" x14ac:dyDescent="0.35">
      <c r="A31" s="144"/>
      <c r="B31" s="213" t="str">
        <f>_xlfn.LET(_xlpm.MigSt,_xlfn.XLOOKUP(tblSignOff[[#This Row],[Hostname]],tblUnqSvr[Hostname],tblUnqSvr[Migration Status],"",0,1),IF(_xlpm.MigSt=0,"",_xlpm.MigSt))</f>
        <v/>
      </c>
      <c r="C31" s="137" t="str">
        <f>MigrationEventCode</f>
        <v>MEA190</v>
      </c>
      <c r="D31" s="145">
        <f>TMWorkbook!$C$2</f>
        <v>46210</v>
      </c>
      <c r="E31" s="144" t="str">
        <f>_xlfn.XLOOKUP(tblSignOff[[#This Row],[AssetDependencyId]],tblEvntScope[AssetDependencyId],tblEvntScope[Application Name],"",0,1)</f>
        <v>Kafka-Test</v>
      </c>
      <c r="F31" s="144" t="str">
        <f>_xlfn.XLOOKUP(tblSignOff[[#This Row],[AssetDependencyId]],tblEvntScope[AssetDependencyId],tblEvntScope[Application Owner],"",0,1)</f>
        <v>Srihari Koduri</v>
      </c>
      <c r="G31" s="144" t="str">
        <f>CONCATENATE(tblSignOff[[#This Row],[Hostname]],"-cmold")</f>
        <v>dc04tlpkaf402-cmold</v>
      </c>
      <c r="H31" s="144" t="str">
        <f>_xlfn.XLOOKUP(tblSignOff[[#This Row],[AssetDependencyId]],tblEvntScope[AssetDependencyId],tblEvntScope[Source IP Address],"",0,1)</f>
        <v>10.152.28.100</v>
      </c>
      <c r="I31" s="213" t="str">
        <f>_xlfn.LET(_xlpm.DCLoc,_xlfn.XLOOKUP(tblSignOff[[#This Row],[Hostname]],tblUnqSvr[Hostname],tblUnqSvr[EH DataCenter Location],"",0,1), IF(_xlpm.DCLoc=0,"",_xlpm.DCLoc))</f>
        <v>IBM-Cloud Services US East</v>
      </c>
      <c r="J31" s="144">
        <f>_xlfn.XLOOKUP(tblSignOff[[#This Row],[AssetDependencyId]],tblEvntScope[AssetDependencyId],tblEvntScope[Type
App/DB],"",0,1)</f>
        <v>0</v>
      </c>
      <c r="K31" s="197" t="str">
        <f>_xlfn.XLOOKUP(tblSignOff[[#This Row],[AssetDependencyId]],tblEvntScope[AssetDependencyId],tblEvntScope[Environment],"",0,1)</f>
        <v>Test</v>
      </c>
      <c r="L31" s="198" t="str">
        <f>_xlfn.XLOOKUP(tblSignOff[[#This Row],[Hostname]],tblTM[common_assetName],tblTM[device_assetType],"",0,1)</f>
        <v>Server</v>
      </c>
      <c r="M31"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1" s="213" t="str">
        <f>_xlfn.LET(_xlpm.PhySN,_xlfn.XLOOKUP(tblSignOff[[#This Row],[Hostname]],tblUnqSvr[Hostname],tblUnqSvr[Source Physical Server Serial Number],"",0,1), IF(_xlpm.PhySN=0,"", _xlpm.PhySN))</f>
        <v>J101TZP5</v>
      </c>
      <c r="O31" s="213" t="str">
        <f>_xlfn.XLOOKUP(tblSignOff[[#This Row],[Hostname]],tblUnqSvr[Hostname],tblUnqSvr[Target Data Center],"",0,1)</f>
        <v>Dell BMaaS - Ashburn</v>
      </c>
      <c r="P31" s="144" t="str">
        <f>_xlfn.XLOOKUP(tblSignOff[[#This Row],[AssetDependencyId]],tblDependencies[AssetDependencyId],tblDependencies[DependentName],"",0,1)</f>
        <v>dc04tlpkaf402</v>
      </c>
      <c r="Q31" s="125">
        <f>_xlfn.XLOOKUP(tblSignOff[[#This Row],[Hostname]],tblTM[common_assetName],tblTM[device_custom17],"",0,1)</f>
        <v>0</v>
      </c>
      <c r="R31" s="125">
        <f>_xlfn.XLOOKUP(tblSignOff[[#This Row],[Hostname]],tblTM[common_assetName],tblTM[device_custom14],"",0,1)</f>
        <v>0</v>
      </c>
      <c r="S31" s="125">
        <f>_xlfn.XLOOKUP(tblSignOff[[#This Row],[Hostname]],tblTM[common_assetName],tblTM[device_custom12],"",0,1)</f>
        <v>0</v>
      </c>
      <c r="T31" s="213">
        <f>_xlfn.XLOOKUP(tblSignOff[[#This Row],[Hostname]],tblUnqSvr[Hostname],tblUnqSvr[Cutover Change number],"",0,1)</f>
        <v>0</v>
      </c>
      <c r="U31" s="213">
        <f>_xlfn.XLOOKUP(tblSignOff[[#This Row],[Hostname]],tblUnqSvr[Hostname],tblUnqSvr[Plan Status "Moved" in TM],"",0,1)</f>
        <v>0</v>
      </c>
      <c r="V31" s="144"/>
      <c r="W31" s="214">
        <v>672038</v>
      </c>
    </row>
    <row r="32" spans="1:23" x14ac:dyDescent="0.35">
      <c r="A32" s="144"/>
      <c r="B32" s="213" t="str">
        <f>_xlfn.LET(_xlpm.MigSt,_xlfn.XLOOKUP(tblSignOff[[#This Row],[Hostname]],tblUnqSvr[Hostname],tblUnqSvr[Migration Status],"",0,1),IF(_xlpm.MigSt=0,"",_xlpm.MigSt))</f>
        <v/>
      </c>
      <c r="C32" s="137" t="str">
        <f>MigrationEventCode</f>
        <v>MEA190</v>
      </c>
      <c r="D32" s="145">
        <f>TMWorkbook!$C$2</f>
        <v>46210</v>
      </c>
      <c r="E32" s="144" t="str">
        <f>_xlfn.XLOOKUP(tblSignOff[[#This Row],[AssetDependencyId]],tblEvntScope[AssetDependencyId],tblEvntScope[Application Name],"",0,1)</f>
        <v>Kafka-Test</v>
      </c>
      <c r="F32" s="144" t="str">
        <f>_xlfn.XLOOKUP(tblSignOff[[#This Row],[AssetDependencyId]],tblEvntScope[AssetDependencyId],tblEvntScope[Application Owner],"",0,1)</f>
        <v>Srihari Koduri</v>
      </c>
      <c r="G32" s="144" t="str">
        <f>CONCATENATE(tblSignOff[[#This Row],[Hostname]],"-cmold")</f>
        <v>dc04tlpkaf401-cmold</v>
      </c>
      <c r="H32" s="144" t="str">
        <f>_xlfn.XLOOKUP(tblSignOff[[#This Row],[AssetDependencyId]],tblEvntScope[AssetDependencyId],tblEvntScope[Source IP Address],"",0,1)</f>
        <v>10.152.28.99</v>
      </c>
      <c r="I32" s="213" t="str">
        <f>_xlfn.LET(_xlpm.DCLoc,_xlfn.XLOOKUP(tblSignOff[[#This Row],[Hostname]],tblUnqSvr[Hostname],tblUnqSvr[EH DataCenter Location],"",0,1), IF(_xlpm.DCLoc=0,"",_xlpm.DCLoc))</f>
        <v>IBM-Cloud Services US East</v>
      </c>
      <c r="J32" s="144">
        <f>_xlfn.XLOOKUP(tblSignOff[[#This Row],[AssetDependencyId]],tblEvntScope[AssetDependencyId],tblEvntScope[Type
App/DB],"",0,1)</f>
        <v>0</v>
      </c>
      <c r="K32" s="197" t="str">
        <f>_xlfn.XLOOKUP(tblSignOff[[#This Row],[AssetDependencyId]],tblEvntScope[AssetDependencyId],tblEvntScope[Environment],"",0,1)</f>
        <v>Test</v>
      </c>
      <c r="L32" s="198" t="str">
        <f>_xlfn.XLOOKUP(tblSignOff[[#This Row],[Hostname]],tblTM[common_assetName],tblTM[device_assetType],"",0,1)</f>
        <v>Server</v>
      </c>
      <c r="M32"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2" s="213" t="str">
        <f>_xlfn.LET(_xlpm.PhySN,_xlfn.XLOOKUP(tblSignOff[[#This Row],[Hostname]],tblUnqSvr[Hostname],tblUnqSvr[Source Physical Server Serial Number],"",0,1), IF(_xlpm.PhySN=0,"", _xlpm.PhySN))</f>
        <v>J1013Y6V</v>
      </c>
      <c r="O32" s="213" t="str">
        <f>_xlfn.XLOOKUP(tblSignOff[[#This Row],[Hostname]],tblUnqSvr[Hostname],tblUnqSvr[Target Data Center],"",0,1)</f>
        <v>Dell BMaaS - Ashburn</v>
      </c>
      <c r="P32" s="144" t="str">
        <f>_xlfn.XLOOKUP(tblSignOff[[#This Row],[AssetDependencyId]],tblDependencies[AssetDependencyId],tblDependencies[DependentName],"",0,1)</f>
        <v>dc04tlpkaf401</v>
      </c>
      <c r="Q32" s="125">
        <f>_xlfn.XLOOKUP(tblSignOff[[#This Row],[Hostname]],tblTM[common_assetName],tblTM[device_custom17],"",0,1)</f>
        <v>0</v>
      </c>
      <c r="R32" s="125">
        <f>_xlfn.XLOOKUP(tblSignOff[[#This Row],[Hostname]],tblTM[common_assetName],tblTM[device_custom14],"",0,1)</f>
        <v>0</v>
      </c>
      <c r="S32" s="125">
        <f>_xlfn.XLOOKUP(tblSignOff[[#This Row],[Hostname]],tblTM[common_assetName],tblTM[device_custom12],"",0,1)</f>
        <v>0</v>
      </c>
      <c r="T32" s="213">
        <f>_xlfn.XLOOKUP(tblSignOff[[#This Row],[Hostname]],tblUnqSvr[Hostname],tblUnqSvr[Cutover Change number],"",0,1)</f>
        <v>0</v>
      </c>
      <c r="U32" s="213">
        <f>_xlfn.XLOOKUP(tblSignOff[[#This Row],[Hostname]],tblUnqSvr[Hostname],tblUnqSvr[Plan Status "Moved" in TM],"",0,1)</f>
        <v>0</v>
      </c>
      <c r="V32" s="144"/>
      <c r="W32" s="214">
        <v>672039</v>
      </c>
    </row>
    <row r="33" spans="1:23" x14ac:dyDescent="0.35">
      <c r="A33" s="144"/>
      <c r="B33" s="213" t="str">
        <f>_xlfn.LET(_xlpm.MigSt,_xlfn.XLOOKUP(tblSignOff[[#This Row],[Hostname]],tblUnqSvr[Hostname],tblUnqSvr[Migration Status],"",0,1),IF(_xlpm.MigSt=0,"",_xlpm.MigSt))</f>
        <v/>
      </c>
      <c r="C33" s="137" t="str">
        <f>MigrationEventCode</f>
        <v>MEA190</v>
      </c>
      <c r="D33" s="145">
        <f>TMWorkbook!$C$2</f>
        <v>46210</v>
      </c>
      <c r="E33" s="144" t="str">
        <f>_xlfn.XLOOKUP(tblSignOff[[#This Row],[AssetDependencyId]],tblEvntScope[AssetDependencyId],tblEvntScope[Application Name],"",0,1)</f>
        <v>Kafka-Test</v>
      </c>
      <c r="F33" s="144" t="str">
        <f>_xlfn.XLOOKUP(tblSignOff[[#This Row],[AssetDependencyId]],tblEvntScope[AssetDependencyId],tblEvntScope[Application Owner],"",0,1)</f>
        <v>Srihari Koduri</v>
      </c>
      <c r="G33" s="144" t="str">
        <f>CONCATENATE(tblSignOff[[#This Row],[Hostname]],"-cmold")</f>
        <v>dc04tlpkaf400-cmold</v>
      </c>
      <c r="H33" s="144" t="str">
        <f>_xlfn.XLOOKUP(tblSignOff[[#This Row],[AssetDependencyId]],tblEvntScope[AssetDependencyId],tblEvntScope[Source IP Address],"",0,1)</f>
        <v>10.152.28.98</v>
      </c>
      <c r="I33" s="213" t="str">
        <f>_xlfn.LET(_xlpm.DCLoc,_xlfn.XLOOKUP(tblSignOff[[#This Row],[Hostname]],tblUnqSvr[Hostname],tblUnqSvr[EH DataCenter Location],"",0,1), IF(_xlpm.DCLoc=0,"",_xlpm.DCLoc))</f>
        <v>IBM-Cloud Services US East</v>
      </c>
      <c r="J33" s="144">
        <f>_xlfn.XLOOKUP(tblSignOff[[#This Row],[AssetDependencyId]],tblEvntScope[AssetDependencyId],tblEvntScope[Type
App/DB],"",0,1)</f>
        <v>0</v>
      </c>
      <c r="K33" s="197" t="str">
        <f>_xlfn.XLOOKUP(tblSignOff[[#This Row],[AssetDependencyId]],tblEvntScope[AssetDependencyId],tblEvntScope[Environment],"",0,1)</f>
        <v>Test</v>
      </c>
      <c r="L33" s="198" t="str">
        <f>_xlfn.XLOOKUP(tblSignOff[[#This Row],[Hostname]],tblTM[common_assetName],tblTM[device_assetType],"",0,1)</f>
        <v>Server</v>
      </c>
      <c r="M33"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N33" s="213" t="str">
        <f>_xlfn.LET(_xlpm.PhySN,_xlfn.XLOOKUP(tblSignOff[[#This Row],[Hostname]],tblUnqSvr[Hostname],tblUnqSvr[Source Physical Server Serial Number],"",0,1), IF(_xlpm.PhySN=0,"", _xlpm.PhySN))</f>
        <v>J1013YWD</v>
      </c>
      <c r="O33" s="213" t="str">
        <f>_xlfn.XLOOKUP(tblSignOff[[#This Row],[Hostname]],tblUnqSvr[Hostname],tblUnqSvr[Target Data Center],"",0,1)</f>
        <v>Dell BMaaS - Ashburn</v>
      </c>
      <c r="P33" s="144" t="str">
        <f>_xlfn.XLOOKUP(tblSignOff[[#This Row],[AssetDependencyId]],tblDependencies[AssetDependencyId],tblDependencies[DependentName],"",0,1)</f>
        <v>dc04tlpkaf400</v>
      </c>
      <c r="Q33" s="125">
        <f>_xlfn.XLOOKUP(tblSignOff[[#This Row],[Hostname]],tblTM[common_assetName],tblTM[device_custom17],"",0,1)</f>
        <v>0</v>
      </c>
      <c r="R33" s="125">
        <f>_xlfn.XLOOKUP(tblSignOff[[#This Row],[Hostname]],tblTM[common_assetName],tblTM[device_custom14],"",0,1)</f>
        <v>0</v>
      </c>
      <c r="S33" s="125">
        <f>_xlfn.XLOOKUP(tblSignOff[[#This Row],[Hostname]],tblTM[common_assetName],tblTM[device_custom12],"",0,1)</f>
        <v>0</v>
      </c>
      <c r="T33" s="213">
        <f>_xlfn.XLOOKUP(tblSignOff[[#This Row],[Hostname]],tblUnqSvr[Hostname],tblUnqSvr[Cutover Change number],"",0,1)</f>
        <v>0</v>
      </c>
      <c r="U33" s="213">
        <f>_xlfn.XLOOKUP(tblSignOff[[#This Row],[Hostname]],tblUnqSvr[Hostname],tblUnqSvr[Plan Status "Moved" in TM],"",0,1)</f>
        <v>0</v>
      </c>
      <c r="V33" s="144"/>
      <c r="W33" s="214">
        <v>672040</v>
      </c>
    </row>
    <row r="34" spans="1:23" x14ac:dyDescent="0.35">
      <c r="A34" s="144"/>
      <c r="B34" s="213" t="str">
        <f>_xlfn.LET(_xlpm.MigSt,_xlfn.XLOOKUP(tblSignOff[[#This Row],[Hostname]],tblUnqSvr[Hostname],tblUnqSvr[Migration Status],"",0,1),IF(_xlpm.MigSt=0,"",_xlpm.MigSt))</f>
        <v/>
      </c>
      <c r="C34" s="137" t="str">
        <f>MigrationEventCode</f>
        <v>MEA190</v>
      </c>
      <c r="D34" s="145">
        <f>TMWorkbook!$C$2</f>
        <v>46210</v>
      </c>
      <c r="E34" s="144" t="str">
        <f>_xlfn.XLOOKUP(tblSignOff[[#This Row],[AssetDependencyId]],tblEvntScope[AssetDependencyId],tblEvntScope[Application Name],"",0,1)</f>
        <v>SOA/API/DATAPOWER - Enterprise Services-Dev</v>
      </c>
      <c r="F34" s="144" t="str">
        <f>_xlfn.XLOOKUP(tblSignOff[[#This Row],[AssetDependencyId]],tblEvntScope[AssetDependencyId],tblEvntScope[Application Owner],"",0,1)</f>
        <v>Srini Amathi</v>
      </c>
      <c r="G34" s="144" t="str">
        <f>CONCATENATE(tblSignOff[[#This Row],[Hostname]],"-cmold")</f>
        <v>va10n10145-cmold</v>
      </c>
      <c r="H34" s="144" t="str">
        <f>_xlfn.XLOOKUP(tblSignOff[[#This Row],[AssetDependencyId]],tblEvntScope[AssetDependencyId],tblEvntScope[Source IP Address],"",0,1)</f>
        <v>30.135.106.114,30.135.106.115,30.135.106.117</v>
      </c>
      <c r="I34" s="213" t="str">
        <f>_xlfn.LET(_xlpm.DCLoc,_xlfn.XLOOKUP(tblSignOff[[#This Row],[Hostname]],tblUnqSvr[Hostname],tblUnqSvr[EH DataCenter Location],"",0,1), IF(_xlpm.DCLoc=0,"",_xlpm.DCLoc))</f>
        <v>VA-RICHMOND 2103 STAPLES MILL RD</v>
      </c>
      <c r="J34" s="144" t="str">
        <f>_xlfn.XLOOKUP(tblSignOff[[#This Row],[AssetDependencyId]],tblEvntScope[AssetDependencyId],tblEvntScope[Type
App/DB],"",0,1)</f>
        <v>MQ</v>
      </c>
      <c r="K34" s="197" t="str">
        <f>_xlfn.XLOOKUP(tblSignOff[[#This Row],[AssetDependencyId]],tblEvntScope[AssetDependencyId],tblEvntScope[Environment],"",0,1)</f>
        <v>Development</v>
      </c>
      <c r="L34" s="198" t="str">
        <f>_xlfn.XLOOKUP(tblSignOff[[#This Row],[Hostname]],tblTM[common_assetName],tblTM[device_assetType],"",0,1)</f>
        <v>AIX-LPAR</v>
      </c>
      <c r="M34"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4" s="213" t="str">
        <f>_xlfn.LET(_xlpm.PhySN,_xlfn.XLOOKUP(tblSignOff[[#This Row],[Hostname]],tblUnqSvr[Hostname],tblUnqSvr[Source Physical Server Serial Number],"",0,1), IF(_xlpm.PhySN=0,"", _xlpm.PhySN))</f>
        <v>0278B2EDX_55</v>
      </c>
      <c r="O34" s="213" t="str">
        <f>_xlfn.XLOOKUP(tblSignOff[[#This Row],[Hostname]],tblUnqSvr[Hostname],tblUnqSvr[Target Data Center],"",0,1)</f>
        <v>IBM Cloud Dedicated - Ashburn</v>
      </c>
      <c r="P34" s="144" t="str">
        <f>_xlfn.XLOOKUP(tblSignOff[[#This Row],[AssetDependencyId]],tblDependencies[AssetDependencyId],tblDependencies[DependentName],"",0,1)</f>
        <v>va10n10145</v>
      </c>
      <c r="Q34" s="125">
        <f>_xlfn.XLOOKUP(tblSignOff[[#This Row],[Hostname]],tblTM[common_assetName],tblTM[device_custom17],"",0,1)</f>
        <v>0</v>
      </c>
      <c r="R34" s="125">
        <f>_xlfn.XLOOKUP(tblSignOff[[#This Row],[Hostname]],tblTM[common_assetName],tblTM[device_custom14],"",0,1)</f>
        <v>0</v>
      </c>
      <c r="S34" s="125">
        <f>_xlfn.XLOOKUP(tblSignOff[[#This Row],[Hostname]],tblTM[common_assetName],tblTM[device_custom12],"",0,1)</f>
        <v>0</v>
      </c>
      <c r="T34" s="213">
        <f>_xlfn.XLOOKUP(tblSignOff[[#This Row],[Hostname]],tblUnqSvr[Hostname],tblUnqSvr[Cutover Change number],"",0,1)</f>
        <v>0</v>
      </c>
      <c r="U34" s="213">
        <f>_xlfn.XLOOKUP(tblSignOff[[#This Row],[Hostname]],tblUnqSvr[Hostname],tblUnqSvr[Plan Status "Moved" in TM],"",0,1)</f>
        <v>0</v>
      </c>
      <c r="V34" s="144"/>
      <c r="W34" s="214">
        <v>672375</v>
      </c>
    </row>
    <row r="35" spans="1:23" x14ac:dyDescent="0.35">
      <c r="A35" s="144"/>
      <c r="B35" s="213" t="str">
        <f>_xlfn.LET(_xlpm.MigSt,_xlfn.XLOOKUP(tblSignOff[[#This Row],[Hostname]],tblUnqSvr[Hostname],tblUnqSvr[Migration Status],"",0,1),IF(_xlpm.MigSt=0,"",_xlpm.MigSt))</f>
        <v/>
      </c>
      <c r="C35" s="137" t="str">
        <f>MigrationEventCode</f>
        <v>MEA190</v>
      </c>
      <c r="D35" s="145">
        <f>TMWorkbook!$C$2</f>
        <v>46210</v>
      </c>
      <c r="E35" s="144" t="str">
        <f>_xlfn.XLOOKUP(tblSignOff[[#This Row],[AssetDependencyId]],tblEvntScope[AssetDependencyId],tblEvntScope[Application Name],"",0,1)</f>
        <v>SOA/API/DATAPOWER - Enterprise Services-Dev</v>
      </c>
      <c r="F35" s="144" t="str">
        <f>_xlfn.XLOOKUP(tblSignOff[[#This Row],[AssetDependencyId]],tblEvntScope[AssetDependencyId],tblEvntScope[Application Owner],"",0,1)</f>
        <v>Srini Amathi</v>
      </c>
      <c r="G35" s="144" t="str">
        <f>CONCATENATE(tblSignOff[[#This Row],[Hostname]],"-cmold")</f>
        <v>va10n10144-cmold</v>
      </c>
      <c r="H35" s="144" t="str">
        <f>_xlfn.XLOOKUP(tblSignOff[[#This Row],[AssetDependencyId]],tblEvntScope[AssetDependencyId],tblEvntScope[Source IP Address],"",0,1)</f>
        <v>30.135.106.116,30.135.106.112,30.135.106.113</v>
      </c>
      <c r="I35" s="213" t="str">
        <f>_xlfn.LET(_xlpm.DCLoc,_xlfn.XLOOKUP(tblSignOff[[#This Row],[Hostname]],tblUnqSvr[Hostname],tblUnqSvr[EH DataCenter Location],"",0,1), IF(_xlpm.DCLoc=0,"",_xlpm.DCLoc))</f>
        <v>VA-RICHMOND 2103 STAPLES MILL RD</v>
      </c>
      <c r="J35" s="144" t="str">
        <f>_xlfn.XLOOKUP(tblSignOff[[#This Row],[AssetDependencyId]],tblEvntScope[AssetDependencyId],tblEvntScope[Type
App/DB],"",0,1)</f>
        <v>MQ</v>
      </c>
      <c r="K35" s="197" t="str">
        <f>_xlfn.XLOOKUP(tblSignOff[[#This Row],[AssetDependencyId]],tblEvntScope[AssetDependencyId],tblEvntScope[Environment],"",0,1)</f>
        <v>Development</v>
      </c>
      <c r="L35" s="198" t="str">
        <f>_xlfn.XLOOKUP(tblSignOff[[#This Row],[Hostname]],tblTM[common_assetName],tblTM[device_assetType],"",0,1)</f>
        <v>AIX-LPAR</v>
      </c>
      <c r="M35"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5" s="213" t="str">
        <f>_xlfn.LET(_xlpm.PhySN,_xlfn.XLOOKUP(tblSignOff[[#This Row],[Hostname]],tblUnqSvr[Hostname],tblUnqSvr[Source Physical Server Serial Number],"",0,1), IF(_xlpm.PhySN=0,"", _xlpm.PhySN))</f>
        <v>0278B475X_16</v>
      </c>
      <c r="O35" s="213" t="str">
        <f>_xlfn.XLOOKUP(tblSignOff[[#This Row],[Hostname]],tblUnqSvr[Hostname],tblUnqSvr[Target Data Center],"",0,1)</f>
        <v>IBM Cloud Dedicated - Ashburn</v>
      </c>
      <c r="P35" s="144" t="str">
        <f>_xlfn.XLOOKUP(tblSignOff[[#This Row],[AssetDependencyId]],tblDependencies[AssetDependencyId],tblDependencies[DependentName],"",0,1)</f>
        <v>va10n10144</v>
      </c>
      <c r="Q35" s="125">
        <f>_xlfn.XLOOKUP(tblSignOff[[#This Row],[Hostname]],tblTM[common_assetName],tblTM[device_custom17],"",0,1)</f>
        <v>0</v>
      </c>
      <c r="R35" s="125">
        <f>_xlfn.XLOOKUP(tblSignOff[[#This Row],[Hostname]],tblTM[common_assetName],tblTM[device_custom14],"",0,1)</f>
        <v>0</v>
      </c>
      <c r="S35" s="125">
        <f>_xlfn.XLOOKUP(tblSignOff[[#This Row],[Hostname]],tblTM[common_assetName],tblTM[device_custom12],"",0,1)</f>
        <v>0</v>
      </c>
      <c r="T35" s="213">
        <f>_xlfn.XLOOKUP(tblSignOff[[#This Row],[Hostname]],tblUnqSvr[Hostname],tblUnqSvr[Cutover Change number],"",0,1)</f>
        <v>0</v>
      </c>
      <c r="U35" s="213">
        <f>_xlfn.XLOOKUP(tblSignOff[[#This Row],[Hostname]],tblUnqSvr[Hostname],tblUnqSvr[Plan Status "Moved" in TM],"",0,1)</f>
        <v>0</v>
      </c>
      <c r="V35" s="144"/>
      <c r="W35" s="214">
        <v>672376</v>
      </c>
    </row>
    <row r="36" spans="1:23" x14ac:dyDescent="0.35">
      <c r="A36" s="144"/>
      <c r="B36" s="213" t="str">
        <f>_xlfn.LET(_xlpm.MigSt,_xlfn.XLOOKUP(tblSignOff[[#This Row],[Hostname]],tblUnqSvr[Hostname],tblUnqSvr[Migration Status],"",0,1),IF(_xlpm.MigSt=0,"",_xlpm.MigSt))</f>
        <v/>
      </c>
      <c r="C36" s="137" t="str">
        <f>MigrationEventCode</f>
        <v>MEA190</v>
      </c>
      <c r="D36" s="145">
        <f>TMWorkbook!$C$2</f>
        <v>46210</v>
      </c>
      <c r="E36" s="144" t="str">
        <f>_xlfn.XLOOKUP(tblSignOff[[#This Row],[AssetDependencyId]],tblEvntScope[AssetDependencyId],tblEvntScope[Application Name],"",0,1)</f>
        <v>SOA - Enterprise 27X HIPAA Application-Dev</v>
      </c>
      <c r="F36" s="144" t="str">
        <f>_xlfn.XLOOKUP(tblSignOff[[#This Row],[AssetDependencyId]],tblEvntScope[AssetDependencyId],tblEvntScope[Application Owner],"",0,1)</f>
        <v/>
      </c>
      <c r="G36" s="144" t="str">
        <f>CONCATENATE(tblSignOff[[#This Row],[Hostname]],"-cmold")</f>
        <v>vaathmr431-cmold</v>
      </c>
      <c r="H36" s="144" t="str">
        <f>_xlfn.XLOOKUP(tblSignOff[[#This Row],[AssetDependencyId]],tblEvntScope[AssetDependencyId],tblEvntScope[Source IP Address],"",0,1)</f>
        <v>30.135.64.235</v>
      </c>
      <c r="I36" s="213" t="str">
        <f>_xlfn.LET(_xlpm.DCLoc,_xlfn.XLOOKUP(tblSignOff[[#This Row],[Hostname]],tblUnqSvr[Hostname],tblUnqSvr[EH DataCenter Location],"",0,1), IF(_xlpm.DCLoc=0,"",_xlpm.DCLoc))</f>
        <v>VA-RICHMOND 2103 STAPLES MILL RD</v>
      </c>
      <c r="J36" s="144" t="str">
        <f>_xlfn.XLOOKUP(tblSignOff[[#This Row],[AssetDependencyId]],tblEvntScope[AssetDependencyId],tblEvntScope[Type
App/DB],"",0,1)</f>
        <v>MQ</v>
      </c>
      <c r="K36" s="197" t="str">
        <f>_xlfn.XLOOKUP(tblSignOff[[#This Row],[AssetDependencyId]],tblEvntScope[AssetDependencyId],tblEvntScope[Environment],"",0,1)</f>
        <v>Development</v>
      </c>
      <c r="L36" s="198" t="str">
        <f>_xlfn.XLOOKUP(tblSignOff[[#This Row],[Hostname]],tblTM[common_assetName],tblTM[device_assetType],"",0,1)</f>
        <v>AIX-LPAR</v>
      </c>
      <c r="M36"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6" s="213" t="str">
        <f>_xlfn.LET(_xlpm.PhySN,_xlfn.XLOOKUP(tblSignOff[[#This Row],[Hostname]],tblUnqSvr[Hostname],tblUnqSvr[Source Physical Server Serial Number],"",0,1), IF(_xlpm.PhySN=0,"", _xlpm.PhySN))</f>
        <v>06784C400_44</v>
      </c>
      <c r="O36" s="213" t="str">
        <f>_xlfn.XLOOKUP(tblSignOff[[#This Row],[Hostname]],tblUnqSvr[Hostname],tblUnqSvr[Target Data Center],"",0,1)</f>
        <v>IBM Cloud Dedicated - Ashburn</v>
      </c>
      <c r="P36" s="144" t="str">
        <f>_xlfn.XLOOKUP(tblSignOff[[#This Row],[AssetDependencyId]],tblDependencies[AssetDependencyId],tblDependencies[DependentName],"",0,1)</f>
        <v>vaathmr431</v>
      </c>
      <c r="Q36" s="125">
        <f>_xlfn.XLOOKUP(tblSignOff[[#This Row],[Hostname]],tblTM[common_assetName],tblTM[device_custom17],"",0,1)</f>
        <v>0</v>
      </c>
      <c r="R36" s="125">
        <f>_xlfn.XLOOKUP(tblSignOff[[#This Row],[Hostname]],tblTM[common_assetName],tblTM[device_custom14],"",0,1)</f>
        <v>0</v>
      </c>
      <c r="S36" s="125">
        <f>_xlfn.XLOOKUP(tblSignOff[[#This Row],[Hostname]],tblTM[common_assetName],tblTM[device_custom12],"",0,1)</f>
        <v>0</v>
      </c>
      <c r="T36" s="213">
        <f>_xlfn.XLOOKUP(tblSignOff[[#This Row],[Hostname]],tblUnqSvr[Hostname],tblUnqSvr[Cutover Change number],"",0,1)</f>
        <v>0</v>
      </c>
      <c r="U36" s="213">
        <f>_xlfn.XLOOKUP(tblSignOff[[#This Row],[Hostname]],tblUnqSvr[Hostname],tblUnqSvr[Plan Status "Moved" in TM],"",0,1)</f>
        <v>0</v>
      </c>
      <c r="V36" s="144"/>
      <c r="W36" s="214">
        <v>568402</v>
      </c>
    </row>
    <row r="37" spans="1:23" x14ac:dyDescent="0.35">
      <c r="A37" s="144"/>
      <c r="B37" s="213" t="str">
        <f>_xlfn.LET(_xlpm.MigSt,_xlfn.XLOOKUP(tblSignOff[[#This Row],[Hostname]],tblUnqSvr[Hostname],tblUnqSvr[Migration Status],"",0,1),IF(_xlpm.MigSt=0,"",_xlpm.MigSt))</f>
        <v/>
      </c>
      <c r="C37" s="137" t="str">
        <f>MigrationEventCode</f>
        <v>MEA190</v>
      </c>
      <c r="D37" s="145">
        <f>TMWorkbook!$C$2</f>
        <v>46210</v>
      </c>
      <c r="E37" s="144" t="str">
        <f>_xlfn.XLOOKUP(tblSignOff[[#This Row],[AssetDependencyId]],tblEvntScope[AssetDependencyId],tblEvntScope[Application Name],"",0,1)</f>
        <v>SOA Atomic Services-Dev</v>
      </c>
      <c r="F37" s="144" t="str">
        <f>_xlfn.XLOOKUP(tblSignOff[[#This Row],[AssetDependencyId]],tblEvntScope[AssetDependencyId],tblEvntScope[Application Owner],"",0,1)</f>
        <v/>
      </c>
      <c r="G37" s="144" t="str">
        <f>CONCATENATE(tblSignOff[[#This Row],[Hostname]],"-cmold")</f>
        <v>vaathmr421-cmold</v>
      </c>
      <c r="H37" s="144" t="str">
        <f>_xlfn.XLOOKUP(tblSignOff[[#This Row],[AssetDependencyId]],tblEvntScope[AssetDependencyId],tblEvntScope[Source IP Address],"",0,1)</f>
        <v>30.135.64.220,30.135.64.221,30.135.64.26</v>
      </c>
      <c r="I37" s="213" t="str">
        <f>_xlfn.LET(_xlpm.DCLoc,_xlfn.XLOOKUP(tblSignOff[[#This Row],[Hostname]],tblUnqSvr[Hostname],tblUnqSvr[EH DataCenter Location],"",0,1), IF(_xlpm.DCLoc=0,"",_xlpm.DCLoc))</f>
        <v>VA-RICHMOND 2103 STAPLES MILL RD</v>
      </c>
      <c r="J37" s="144">
        <f>_xlfn.XLOOKUP(tblSignOff[[#This Row],[AssetDependencyId]],tblEvntScope[AssetDependencyId],tblEvntScope[Type
App/DB],"",0,1)</f>
        <v>0</v>
      </c>
      <c r="K37" s="197" t="str">
        <f>_xlfn.XLOOKUP(tblSignOff[[#This Row],[AssetDependencyId]],tblEvntScope[AssetDependencyId],tblEvntScope[Environment],"",0,1)</f>
        <v>Development</v>
      </c>
      <c r="L37" s="198" t="str">
        <f>_xlfn.XLOOKUP(tblSignOff[[#This Row],[Hostname]],tblTM[common_assetName],tblTM[device_assetType],"",0,1)</f>
        <v>AIX-LPAR</v>
      </c>
      <c r="M37"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7" s="213" t="str">
        <f>_xlfn.LET(_xlpm.PhySN,_xlfn.XLOOKUP(tblSignOff[[#This Row],[Hostname]],tblUnqSvr[Hostname],tblUnqSvr[Source Physical Server Serial Number],"",0,1), IF(_xlpm.PhySN=0,"", _xlpm.PhySN))</f>
        <v>0278FD337_49</v>
      </c>
      <c r="O37" s="213" t="str">
        <f>_xlfn.XLOOKUP(tblSignOff[[#This Row],[Hostname]],tblUnqSvr[Hostname],tblUnqSvr[Target Data Center],"",0,1)</f>
        <v>IBM Cloud Dedicated - Ashburn</v>
      </c>
      <c r="P37" s="144" t="str">
        <f>_xlfn.XLOOKUP(tblSignOff[[#This Row],[AssetDependencyId]],tblDependencies[AssetDependencyId],tblDependencies[DependentName],"",0,1)</f>
        <v>vaathmr421</v>
      </c>
      <c r="Q37" s="125">
        <f>_xlfn.XLOOKUP(tblSignOff[[#This Row],[Hostname]],tblTM[common_assetName],tblTM[device_custom17],"",0,1)</f>
        <v>0</v>
      </c>
      <c r="R37" s="125">
        <f>_xlfn.XLOOKUP(tblSignOff[[#This Row],[Hostname]],tblTM[common_assetName],tblTM[device_custom14],"",0,1)</f>
        <v>0</v>
      </c>
      <c r="S37" s="125">
        <f>_xlfn.XLOOKUP(tblSignOff[[#This Row],[Hostname]],tblTM[common_assetName],tblTM[device_custom12],"",0,1)</f>
        <v>0</v>
      </c>
      <c r="T37" s="213">
        <f>_xlfn.XLOOKUP(tblSignOff[[#This Row],[Hostname]],tblUnqSvr[Hostname],tblUnqSvr[Cutover Change number],"",0,1)</f>
        <v>0</v>
      </c>
      <c r="U37" s="213">
        <f>_xlfn.XLOOKUP(tblSignOff[[#This Row],[Hostname]],tblUnqSvr[Hostname],tblUnqSvr[Plan Status "Moved" in TM],"",0,1)</f>
        <v>0</v>
      </c>
      <c r="V37" s="144"/>
      <c r="W37" s="214">
        <v>568455</v>
      </c>
    </row>
    <row r="38" spans="1:23" x14ac:dyDescent="0.35">
      <c r="A38" s="144"/>
      <c r="B38" s="213" t="str">
        <f>_xlfn.LET(_xlpm.MigSt,_xlfn.XLOOKUP(tblSignOff[[#This Row],[Hostname]],tblUnqSvr[Hostname],tblUnqSvr[Migration Status],"",0,1),IF(_xlpm.MigSt=0,"",_xlpm.MigSt))</f>
        <v/>
      </c>
      <c r="C38" s="137" t="str">
        <f>MigrationEventCode</f>
        <v>MEA190</v>
      </c>
      <c r="D38" s="145">
        <f>TMWorkbook!$C$2</f>
        <v>46210</v>
      </c>
      <c r="E38" s="144" t="str">
        <f>_xlfn.XLOOKUP(tblSignOff[[#This Row],[AssetDependencyId]],tblEvntScope[AssetDependencyId],tblEvntScope[Application Name],"",0,1)</f>
        <v>SOA Atomic Services-Dev</v>
      </c>
      <c r="F38" s="144" t="str">
        <f>_xlfn.XLOOKUP(tblSignOff[[#This Row],[AssetDependencyId]],tblEvntScope[AssetDependencyId],tblEvntScope[Application Owner],"",0,1)</f>
        <v/>
      </c>
      <c r="G38" s="144" t="str">
        <f>CONCATENATE(tblSignOff[[#This Row],[Hostname]],"-cmold")</f>
        <v>vaathmr435-cmold</v>
      </c>
      <c r="H38" s="144" t="str">
        <f>_xlfn.XLOOKUP(tblSignOff[[#This Row],[AssetDependencyId]],tblEvntScope[AssetDependencyId],tblEvntScope[Source IP Address],"",0,1)</f>
        <v>30.135.64.238,30.135.64.40</v>
      </c>
      <c r="I38" s="213" t="str">
        <f>_xlfn.LET(_xlpm.DCLoc,_xlfn.XLOOKUP(tblSignOff[[#This Row],[Hostname]],tblUnqSvr[Hostname],tblUnqSvr[EH DataCenter Location],"",0,1), IF(_xlpm.DCLoc=0,"",_xlpm.DCLoc))</f>
        <v>VA-RICHMOND 2103 STAPLES MILL RD</v>
      </c>
      <c r="J38" s="144">
        <f>_xlfn.XLOOKUP(tblSignOff[[#This Row],[AssetDependencyId]],tblEvntScope[AssetDependencyId],tblEvntScope[Type
App/DB],"",0,1)</f>
        <v>0</v>
      </c>
      <c r="K38" s="197" t="str">
        <f>_xlfn.XLOOKUP(tblSignOff[[#This Row],[AssetDependencyId]],tblEvntScope[AssetDependencyId],tblEvntScope[Environment],"",0,1)</f>
        <v>Development</v>
      </c>
      <c r="L38" s="198" t="str">
        <f>_xlfn.XLOOKUP(tblSignOff[[#This Row],[Hostname]],tblTM[common_assetName],tblTM[device_assetType],"",0,1)</f>
        <v>AIX-LPAR</v>
      </c>
      <c r="M38"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8" s="213" t="str">
        <f>_xlfn.LET(_xlpm.PhySN,_xlfn.XLOOKUP(tblSignOff[[#This Row],[Hostname]],tblUnqSvr[Hostname],tblUnqSvr[Source Physical Server Serial Number],"",0,1), IF(_xlpm.PhySN=0,"", _xlpm.PhySN))</f>
        <v>06784C400_61</v>
      </c>
      <c r="O38" s="213" t="str">
        <f>_xlfn.XLOOKUP(tblSignOff[[#This Row],[Hostname]],tblUnqSvr[Hostname],tblUnqSvr[Target Data Center],"",0,1)</f>
        <v>IBM Cloud Dedicated - Ashburn</v>
      </c>
      <c r="P38" s="144" t="str">
        <f>_xlfn.XLOOKUP(tblSignOff[[#This Row],[AssetDependencyId]],tblDependencies[AssetDependencyId],tblDependencies[DependentName],"",0,1)</f>
        <v>vaathmr435</v>
      </c>
      <c r="Q38" s="125">
        <f>_xlfn.XLOOKUP(tblSignOff[[#This Row],[Hostname]],tblTM[common_assetName],tblTM[device_custom17],"",0,1)</f>
        <v>0</v>
      </c>
      <c r="R38" s="125">
        <f>_xlfn.XLOOKUP(tblSignOff[[#This Row],[Hostname]],tblTM[common_assetName],tblTM[device_custom14],"",0,1)</f>
        <v>0</v>
      </c>
      <c r="S38" s="125">
        <f>_xlfn.XLOOKUP(tblSignOff[[#This Row],[Hostname]],tblTM[common_assetName],tblTM[device_custom12],"",0,1)</f>
        <v>0</v>
      </c>
      <c r="T38" s="213">
        <f>_xlfn.XLOOKUP(tblSignOff[[#This Row],[Hostname]],tblUnqSvr[Hostname],tblUnqSvr[Cutover Change number],"",0,1)</f>
        <v>0</v>
      </c>
      <c r="U38" s="213">
        <f>_xlfn.XLOOKUP(tblSignOff[[#This Row],[Hostname]],tblUnqSvr[Hostname],tblUnqSvr[Plan Status "Moved" in TM],"",0,1)</f>
        <v>0</v>
      </c>
      <c r="V38" s="144"/>
      <c r="W38" s="214">
        <v>568456</v>
      </c>
    </row>
    <row r="39" spans="1:23" x14ac:dyDescent="0.35">
      <c r="A39" s="144"/>
      <c r="B39" s="213" t="str">
        <f>_xlfn.LET(_xlpm.MigSt,_xlfn.XLOOKUP(tblSignOff[[#This Row],[Hostname]],tblUnqSvr[Hostname],tblUnqSvr[Migration Status],"",0,1),IF(_xlpm.MigSt=0,"",_xlpm.MigSt))</f>
        <v/>
      </c>
      <c r="C39" s="137" t="str">
        <f>MigrationEventCode</f>
        <v>MEA190</v>
      </c>
      <c r="D39" s="145">
        <f>TMWorkbook!$C$2</f>
        <v>46210</v>
      </c>
      <c r="E39" s="144" t="str">
        <f>_xlfn.XLOOKUP(tblSignOff[[#This Row],[AssetDependencyId]],tblEvntScope[AssetDependencyId],tblEvntScope[Application Name],"",0,1)</f>
        <v>SOA/API - Enterprise Services-Dev</v>
      </c>
      <c r="F39" s="144" t="str">
        <f>_xlfn.XLOOKUP(tblSignOff[[#This Row],[AssetDependencyId]],tblEvntScope[AssetDependencyId],tblEvntScope[Application Owner],"",0,1)</f>
        <v/>
      </c>
      <c r="G39" s="144" t="str">
        <f>CONCATENATE(tblSignOff[[#This Row],[Hostname]],"-cmold")</f>
        <v>va10n10180-cmold</v>
      </c>
      <c r="H39" s="144" t="str">
        <f>_xlfn.XLOOKUP(tblSignOff[[#This Row],[AssetDependencyId]],tblEvntScope[AssetDependencyId],tblEvntScope[Source IP Address],"",0,1)</f>
        <v>30.135.106.133</v>
      </c>
      <c r="I39" s="213" t="str">
        <f>_xlfn.LET(_xlpm.DCLoc,_xlfn.XLOOKUP(tblSignOff[[#This Row],[Hostname]],tblUnqSvr[Hostname],tblUnqSvr[EH DataCenter Location],"",0,1), IF(_xlpm.DCLoc=0,"",_xlpm.DCLoc))</f>
        <v>VA-RICHMOND 2103 STAPLES MILL RD</v>
      </c>
      <c r="J39" s="144" t="str">
        <f>_xlfn.XLOOKUP(tblSignOff[[#This Row],[AssetDependencyId]],tblEvntScope[AssetDependencyId],tblEvntScope[Type
App/DB],"",0,1)</f>
        <v>WebSphere</v>
      </c>
      <c r="K39" s="197" t="str">
        <f>_xlfn.XLOOKUP(tblSignOff[[#This Row],[AssetDependencyId]],tblEvntScope[AssetDependencyId],tblEvntScope[Environment],"",0,1)</f>
        <v>Development</v>
      </c>
      <c r="L39" s="198" t="str">
        <f>_xlfn.XLOOKUP(tblSignOff[[#This Row],[Hostname]],tblTM[common_assetName],tblTM[device_assetType],"",0,1)</f>
        <v>AIX-LPAR</v>
      </c>
      <c r="M39"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39" s="213" t="str">
        <f>_xlfn.LET(_xlpm.PhySN,_xlfn.XLOOKUP(tblSignOff[[#This Row],[Hostname]],tblUnqSvr[Hostname],tblUnqSvr[Source Physical Server Serial Number],"",0,1), IF(_xlpm.PhySN=0,"", _xlpm.PhySN))</f>
        <v>0278DA55X_5</v>
      </c>
      <c r="O39" s="213" t="str">
        <f>_xlfn.XLOOKUP(tblSignOff[[#This Row],[Hostname]],tblUnqSvr[Hostname],tblUnqSvr[Target Data Center],"",0,1)</f>
        <v>IBM Cloud Dedicated - Ashburn</v>
      </c>
      <c r="P39" s="144" t="str">
        <f>_xlfn.XLOOKUP(tblSignOff[[#This Row],[AssetDependencyId]],tblDependencies[AssetDependencyId],tblDependencies[DependentName],"",0,1)</f>
        <v>va10n10180</v>
      </c>
      <c r="Q39" s="125">
        <f>_xlfn.XLOOKUP(tblSignOff[[#This Row],[Hostname]],tblTM[common_assetName],tblTM[device_custom17],"",0,1)</f>
        <v>0</v>
      </c>
      <c r="R39" s="125">
        <f>_xlfn.XLOOKUP(tblSignOff[[#This Row],[Hostname]],tblTM[common_assetName],tblTM[device_custom14],"",0,1)</f>
        <v>0</v>
      </c>
      <c r="S39" s="125">
        <f>_xlfn.XLOOKUP(tblSignOff[[#This Row],[Hostname]],tblTM[common_assetName],tblTM[device_custom12],"",0,1)</f>
        <v>0</v>
      </c>
      <c r="T39" s="213">
        <f>_xlfn.XLOOKUP(tblSignOff[[#This Row],[Hostname]],tblUnqSvr[Hostname],tblUnqSvr[Cutover Change number],"",0,1)</f>
        <v>0</v>
      </c>
      <c r="U39" s="213">
        <f>_xlfn.XLOOKUP(tblSignOff[[#This Row],[Hostname]],tblUnqSvr[Hostname],tblUnqSvr[Plan Status "Moved" in TM],"",0,1)</f>
        <v>0</v>
      </c>
      <c r="V39" s="144"/>
      <c r="W39" s="214">
        <v>568514</v>
      </c>
    </row>
    <row r="40" spans="1:23" x14ac:dyDescent="0.35">
      <c r="A40" s="144"/>
      <c r="B40" s="213" t="str">
        <f>_xlfn.LET(_xlpm.MigSt,_xlfn.XLOOKUP(tblSignOff[[#This Row],[Hostname]],tblUnqSvr[Hostname],tblUnqSvr[Migration Status],"",0,1),IF(_xlpm.MigSt=0,"",_xlpm.MigSt))</f>
        <v/>
      </c>
      <c r="C40" s="137" t="str">
        <f>MigrationEventCode</f>
        <v>MEA190</v>
      </c>
      <c r="D40" s="145">
        <f>TMWorkbook!$C$2</f>
        <v>46210</v>
      </c>
      <c r="E40" s="144" t="str">
        <f>_xlfn.XLOOKUP(tblSignOff[[#This Row],[AssetDependencyId]],tblEvntScope[AssetDependencyId],tblEvntScope[Application Name],"",0,1)</f>
        <v>SOA/API - Enterprise Services-Dev</v>
      </c>
      <c r="F40" s="144" t="str">
        <f>_xlfn.XLOOKUP(tblSignOff[[#This Row],[AssetDependencyId]],tblEvntScope[AssetDependencyId],tblEvntScope[Application Owner],"",0,1)</f>
        <v/>
      </c>
      <c r="G40" s="144" t="str">
        <f>CONCATENATE(tblSignOff[[#This Row],[Hostname]],"-cmold")</f>
        <v>va10n10181-cmold</v>
      </c>
      <c r="H40" s="144" t="str">
        <f>_xlfn.XLOOKUP(tblSignOff[[#This Row],[AssetDependencyId]],tblEvntScope[AssetDependencyId],tblEvntScope[Source IP Address],"",0,1)</f>
        <v>30.135.106.134</v>
      </c>
      <c r="I40" s="213" t="str">
        <f>_xlfn.LET(_xlpm.DCLoc,_xlfn.XLOOKUP(tblSignOff[[#This Row],[Hostname]],tblUnqSvr[Hostname],tblUnqSvr[EH DataCenter Location],"",0,1), IF(_xlpm.DCLoc=0,"",_xlpm.DCLoc))</f>
        <v>VA-RICHMOND 2103 STAPLES MILL RD</v>
      </c>
      <c r="J40" s="144" t="str">
        <f>_xlfn.XLOOKUP(tblSignOff[[#This Row],[AssetDependencyId]],tblEvntScope[AssetDependencyId],tblEvntScope[Type
App/DB],"",0,1)</f>
        <v>WebSphere</v>
      </c>
      <c r="K40" s="197" t="str">
        <f>_xlfn.XLOOKUP(tblSignOff[[#This Row],[AssetDependencyId]],tblEvntScope[AssetDependencyId],tblEvntScope[Environment],"",0,1)</f>
        <v>Development</v>
      </c>
      <c r="L40" s="198" t="str">
        <f>_xlfn.XLOOKUP(tblSignOff[[#This Row],[Hostname]],tblTM[common_assetName],tblTM[device_assetType],"",0,1)</f>
        <v>AIX-LPAR</v>
      </c>
      <c r="M40"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0" s="213" t="str">
        <f>_xlfn.LET(_xlpm.PhySN,_xlfn.XLOOKUP(tblSignOff[[#This Row],[Hostname]],tblUnqSvr[Hostname],tblUnqSvr[Source Physical Server Serial Number],"",0,1), IF(_xlpm.PhySN=0,"", _xlpm.PhySN))</f>
        <v>0278DA55X_28</v>
      </c>
      <c r="O40" s="213" t="str">
        <f>_xlfn.XLOOKUP(tblSignOff[[#This Row],[Hostname]],tblUnqSvr[Hostname],tblUnqSvr[Target Data Center],"",0,1)</f>
        <v>IBM Cloud Dedicated - Ashburn</v>
      </c>
      <c r="P40" s="144" t="str">
        <f>_xlfn.XLOOKUP(tblSignOff[[#This Row],[AssetDependencyId]],tblDependencies[AssetDependencyId],tblDependencies[DependentName],"",0,1)</f>
        <v>va10n10181</v>
      </c>
      <c r="Q40" s="125">
        <f>_xlfn.XLOOKUP(tblSignOff[[#This Row],[Hostname]],tblTM[common_assetName],tblTM[device_custom17],"",0,1)</f>
        <v>0</v>
      </c>
      <c r="R40" s="125">
        <f>_xlfn.XLOOKUP(tblSignOff[[#This Row],[Hostname]],tblTM[common_assetName],tblTM[device_custom14],"",0,1)</f>
        <v>0</v>
      </c>
      <c r="S40" s="125">
        <f>_xlfn.XLOOKUP(tblSignOff[[#This Row],[Hostname]],tblTM[common_assetName],tblTM[device_custom12],"",0,1)</f>
        <v>0</v>
      </c>
      <c r="T40" s="213">
        <f>_xlfn.XLOOKUP(tblSignOff[[#This Row],[Hostname]],tblUnqSvr[Hostname],tblUnqSvr[Cutover Change number],"",0,1)</f>
        <v>0</v>
      </c>
      <c r="U40" s="213">
        <f>_xlfn.XLOOKUP(tblSignOff[[#This Row],[Hostname]],tblUnqSvr[Hostname],tblUnqSvr[Plan Status "Moved" in TM],"",0,1)</f>
        <v>0</v>
      </c>
      <c r="V40" s="144"/>
      <c r="W40" s="214">
        <v>568515</v>
      </c>
    </row>
    <row r="41" spans="1:23" x14ac:dyDescent="0.35">
      <c r="A41" s="144"/>
      <c r="B41" s="213" t="str">
        <f>_xlfn.LET(_xlpm.MigSt,_xlfn.XLOOKUP(tblSignOff[[#This Row],[Hostname]],tblUnqSvr[Hostname],tblUnqSvr[Migration Status],"",0,1),IF(_xlpm.MigSt=0,"",_xlpm.MigSt))</f>
        <v/>
      </c>
      <c r="C41" s="137" t="str">
        <f>MigrationEventCode</f>
        <v>MEA190</v>
      </c>
      <c r="D41" s="145">
        <f>TMWorkbook!$C$2</f>
        <v>46210</v>
      </c>
      <c r="E41" s="144" t="str">
        <f>_xlfn.XLOOKUP(tblSignOff[[#This Row],[AssetDependencyId]],tblEvntScope[AssetDependencyId],tblEvntScope[Application Name],"",0,1)</f>
        <v>SOA/API - Enterprise Services-Dev</v>
      </c>
      <c r="F41" s="144" t="str">
        <f>_xlfn.XLOOKUP(tblSignOff[[#This Row],[AssetDependencyId]],tblEvntScope[AssetDependencyId],tblEvntScope[Application Owner],"",0,1)</f>
        <v/>
      </c>
      <c r="G41" s="144" t="str">
        <f>CONCATENATE(tblSignOff[[#This Row],[Hostname]],"-cmold")</f>
        <v>vaathmr427-cmold</v>
      </c>
      <c r="H41" s="144" t="str">
        <f>_xlfn.XLOOKUP(tblSignOff[[#This Row],[AssetDependencyId]],tblEvntScope[AssetDependencyId],tblEvntScope[Source IP Address],"",0,1)</f>
        <v>30.135.64.230</v>
      </c>
      <c r="I41" s="213" t="str">
        <f>_xlfn.LET(_xlpm.DCLoc,_xlfn.XLOOKUP(tblSignOff[[#This Row],[Hostname]],tblUnqSvr[Hostname],tblUnqSvr[EH DataCenter Location],"",0,1), IF(_xlpm.DCLoc=0,"",_xlpm.DCLoc))</f>
        <v>VA-RICHMOND 2103 STAPLES MILL RD</v>
      </c>
      <c r="J41" s="144">
        <f>_xlfn.XLOOKUP(tblSignOff[[#This Row],[AssetDependencyId]],tblEvntScope[AssetDependencyId],tblEvntScope[Type
App/DB],"",0,1)</f>
        <v>0</v>
      </c>
      <c r="K41" s="197" t="str">
        <f>_xlfn.XLOOKUP(tblSignOff[[#This Row],[AssetDependencyId]],tblEvntScope[AssetDependencyId],tblEvntScope[Environment],"",0,1)</f>
        <v>Development</v>
      </c>
      <c r="L41" s="198" t="str">
        <f>_xlfn.XLOOKUP(tblSignOff[[#This Row],[Hostname]],tblTM[common_assetName],tblTM[device_assetType],"",0,1)</f>
        <v>AIX-LPAR</v>
      </c>
      <c r="M41"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1" s="213" t="str">
        <f>_xlfn.LET(_xlpm.PhySN,_xlfn.XLOOKUP(tblSignOff[[#This Row],[Hostname]],tblUnqSvr[Hostname],tblUnqSvr[Source Physical Server Serial Number],"",0,1), IF(_xlpm.PhySN=0,"", _xlpm.PhySN))</f>
        <v>0221AB22W_22</v>
      </c>
      <c r="O41" s="213" t="str">
        <f>_xlfn.XLOOKUP(tblSignOff[[#This Row],[Hostname]],tblUnqSvr[Hostname],tblUnqSvr[Target Data Center],"",0,1)</f>
        <v>IBM Cloud Dedicated - Ashburn</v>
      </c>
      <c r="P41" s="144" t="str">
        <f>_xlfn.XLOOKUP(tblSignOff[[#This Row],[AssetDependencyId]],tblDependencies[AssetDependencyId],tblDependencies[DependentName],"",0,1)</f>
        <v>vaathmr427</v>
      </c>
      <c r="Q41" s="125">
        <f>_xlfn.XLOOKUP(tblSignOff[[#This Row],[Hostname]],tblTM[common_assetName],tblTM[device_custom17],"",0,1)</f>
        <v>0</v>
      </c>
      <c r="R41" s="125">
        <f>_xlfn.XLOOKUP(tblSignOff[[#This Row],[Hostname]],tblTM[common_assetName],tblTM[device_custom14],"",0,1)</f>
        <v>0</v>
      </c>
      <c r="S41" s="125">
        <f>_xlfn.XLOOKUP(tblSignOff[[#This Row],[Hostname]],tblTM[common_assetName],tblTM[device_custom12],"",0,1)</f>
        <v>0</v>
      </c>
      <c r="T41" s="213">
        <f>_xlfn.XLOOKUP(tblSignOff[[#This Row],[Hostname]],tblUnqSvr[Hostname],tblUnqSvr[Cutover Change number],"",0,1)</f>
        <v>0</v>
      </c>
      <c r="U41" s="213">
        <f>_xlfn.XLOOKUP(tblSignOff[[#This Row],[Hostname]],tblUnqSvr[Hostname],tblUnqSvr[Plan Status "Moved" in TM],"",0,1)</f>
        <v>0</v>
      </c>
      <c r="V41" s="144"/>
      <c r="W41" s="214">
        <v>569136</v>
      </c>
    </row>
    <row r="42" spans="1:23" x14ac:dyDescent="0.35">
      <c r="A42" s="144"/>
      <c r="B42" s="213" t="str">
        <f>_xlfn.LET(_xlpm.MigSt,_xlfn.XLOOKUP(tblSignOff[[#This Row],[Hostname]],tblUnqSvr[Hostname],tblUnqSvr[Migration Status],"",0,1),IF(_xlpm.MigSt=0,"",_xlpm.MigSt))</f>
        <v/>
      </c>
      <c r="C42" s="137" t="str">
        <f>MigrationEventCode</f>
        <v>MEA190</v>
      </c>
      <c r="D42" s="145">
        <f>TMWorkbook!$C$2</f>
        <v>46210</v>
      </c>
      <c r="E42" s="144" t="str">
        <f>_xlfn.XLOOKUP(tblSignOff[[#This Row],[AssetDependencyId]],tblEvntScope[AssetDependencyId],tblEvntScope[Application Name],"",0,1)</f>
        <v>SOA/API - Enterprise Services-Dev</v>
      </c>
      <c r="F42" s="144" t="str">
        <f>_xlfn.XLOOKUP(tblSignOff[[#This Row],[AssetDependencyId]],tblEvntScope[AssetDependencyId],tblEvntScope[Application Owner],"",0,1)</f>
        <v/>
      </c>
      <c r="G42" s="144" t="str">
        <f>CONCATENATE(tblSignOff[[#This Row],[Hostname]],"-cmold")</f>
        <v>vaathmr433-cmold</v>
      </c>
      <c r="H42" s="144" t="str">
        <f>_xlfn.XLOOKUP(tblSignOff[[#This Row],[AssetDependencyId]],tblEvntScope[AssetDependencyId],tblEvntScope[Source IP Address],"",0,1)</f>
        <v>30.135.64.236</v>
      </c>
      <c r="I42" s="213" t="str">
        <f>_xlfn.LET(_xlpm.DCLoc,_xlfn.XLOOKUP(tblSignOff[[#This Row],[Hostname]],tblUnqSvr[Hostname],tblUnqSvr[EH DataCenter Location],"",0,1), IF(_xlpm.DCLoc=0,"",_xlpm.DCLoc))</f>
        <v>VA-RICHMOND 2103 STAPLES MILL RD</v>
      </c>
      <c r="J42" s="144">
        <f>_xlfn.XLOOKUP(tblSignOff[[#This Row],[AssetDependencyId]],tblEvntScope[AssetDependencyId],tblEvntScope[Type
App/DB],"",0,1)</f>
        <v>0</v>
      </c>
      <c r="K42" s="197" t="str">
        <f>_xlfn.XLOOKUP(tblSignOff[[#This Row],[AssetDependencyId]],tblEvntScope[AssetDependencyId],tblEvntScope[Environment],"",0,1)</f>
        <v>Development</v>
      </c>
      <c r="L42" s="198" t="str">
        <f>_xlfn.XLOOKUP(tblSignOff[[#This Row],[Hostname]],tblTM[common_assetName],tblTM[device_assetType],"",0,1)</f>
        <v>AIX-LPAR</v>
      </c>
      <c r="M42"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2" s="213" t="str">
        <f>_xlfn.LET(_xlpm.PhySN,_xlfn.XLOOKUP(tblSignOff[[#This Row],[Hostname]],tblUnqSvr[Hostname],tblUnqSvr[Source Physical Server Serial Number],"",0,1), IF(_xlpm.PhySN=0,"", _xlpm.PhySN))</f>
        <v>0221AB22W_63</v>
      </c>
      <c r="O42" s="213" t="str">
        <f>_xlfn.XLOOKUP(tblSignOff[[#This Row],[Hostname]],tblUnqSvr[Hostname],tblUnqSvr[Target Data Center],"",0,1)</f>
        <v>IBM Cloud Dedicated - Ashburn</v>
      </c>
      <c r="P42" s="144" t="str">
        <f>_xlfn.XLOOKUP(tblSignOff[[#This Row],[AssetDependencyId]],tblDependencies[AssetDependencyId],tblDependencies[DependentName],"",0,1)</f>
        <v>vaathmr433</v>
      </c>
      <c r="Q42" s="125">
        <f>_xlfn.XLOOKUP(tblSignOff[[#This Row],[Hostname]],tblTM[common_assetName],tblTM[device_custom17],"",0,1)</f>
        <v>0</v>
      </c>
      <c r="R42" s="125">
        <f>_xlfn.XLOOKUP(tblSignOff[[#This Row],[Hostname]],tblTM[common_assetName],tblTM[device_custom14],"",0,1)</f>
        <v>0</v>
      </c>
      <c r="S42" s="125">
        <f>_xlfn.XLOOKUP(tblSignOff[[#This Row],[Hostname]],tblTM[common_assetName],tblTM[device_custom12],"",0,1)</f>
        <v>0</v>
      </c>
      <c r="T42" s="213">
        <f>_xlfn.XLOOKUP(tblSignOff[[#This Row],[Hostname]],tblUnqSvr[Hostname],tblUnqSvr[Cutover Change number],"",0,1)</f>
        <v>0</v>
      </c>
      <c r="U42" s="213">
        <f>_xlfn.XLOOKUP(tblSignOff[[#This Row],[Hostname]],tblUnqSvr[Hostname],tblUnqSvr[Plan Status "Moved" in TM],"",0,1)</f>
        <v>0</v>
      </c>
      <c r="V42" s="144"/>
      <c r="W42" s="214">
        <v>569137</v>
      </c>
    </row>
    <row r="43" spans="1:23" x14ac:dyDescent="0.35">
      <c r="A43" s="144"/>
      <c r="B43" s="213" t="str">
        <f>_xlfn.LET(_xlpm.MigSt,_xlfn.XLOOKUP(tblSignOff[[#This Row],[Hostname]],tblUnqSvr[Hostname],tblUnqSvr[Migration Status],"",0,1),IF(_xlpm.MigSt=0,"",_xlpm.MigSt))</f>
        <v/>
      </c>
      <c r="C43" s="137" t="str">
        <f>MigrationEventCode</f>
        <v>MEA190</v>
      </c>
      <c r="D43" s="145">
        <f>TMWorkbook!$C$2</f>
        <v>46210</v>
      </c>
      <c r="E43" s="144" t="str">
        <f>_xlfn.XLOOKUP(tblSignOff[[#This Row],[AssetDependencyId]],tblEvntScope[AssetDependencyId],tblEvntScope[Application Name],"",0,1)</f>
        <v>eHub - Enterprise Master Person Index (EMPI)-Dev</v>
      </c>
      <c r="F43" s="144" t="str">
        <f>_xlfn.XLOOKUP(tblSignOff[[#This Row],[AssetDependencyId]],tblEvntScope[AssetDependencyId],tblEvntScope[Application Owner],"",0,1)</f>
        <v/>
      </c>
      <c r="G43" s="144" t="str">
        <f>CONCATENATE(tblSignOff[[#This Row],[Hostname]],"-cmold")</f>
        <v>vaathmr423-cmold</v>
      </c>
      <c r="H43" s="144" t="str">
        <f>_xlfn.XLOOKUP(tblSignOff[[#This Row],[AssetDependencyId]],tblEvntScope[AssetDependencyId],tblEvntScope[Source IP Address],"",0,1)</f>
        <v>30.135.64.223,30.135.64.222,30.135.64.27</v>
      </c>
      <c r="I43" s="213" t="str">
        <f>_xlfn.LET(_xlpm.DCLoc,_xlfn.XLOOKUP(tblSignOff[[#This Row],[Hostname]],tblUnqSvr[Hostname],tblUnqSvr[EH DataCenter Location],"",0,1), IF(_xlpm.DCLoc=0,"",_xlpm.DCLoc))</f>
        <v>VA-RICHMOND 2103 STAPLES MILL RD</v>
      </c>
      <c r="J43" s="144">
        <f>_xlfn.XLOOKUP(tblSignOff[[#This Row],[AssetDependencyId]],tblEvntScope[AssetDependencyId],tblEvntScope[Type
App/DB],"",0,1)</f>
        <v>0</v>
      </c>
      <c r="K43" s="197" t="str">
        <f>_xlfn.XLOOKUP(tblSignOff[[#This Row],[AssetDependencyId]],tblEvntScope[AssetDependencyId],tblEvntScope[Environment],"",0,1)</f>
        <v>Development</v>
      </c>
      <c r="L43" s="198" t="str">
        <f>_xlfn.XLOOKUP(tblSignOff[[#This Row],[Hostname]],tblTM[common_assetName],tblTM[device_assetType],"",0,1)</f>
        <v>AIX-LPAR</v>
      </c>
      <c r="M43"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3" s="213" t="str">
        <f>_xlfn.LET(_xlpm.PhySN,_xlfn.XLOOKUP(tblSignOff[[#This Row],[Hostname]],tblUnqSvr[Hostname],tblUnqSvr[Source Physical Server Serial Number],"",0,1), IF(_xlpm.PhySN=0,"", _xlpm.PhySN))</f>
        <v>06785B4D0_58</v>
      </c>
      <c r="O43" s="213" t="str">
        <f>_xlfn.XLOOKUP(tblSignOff[[#This Row],[Hostname]],tblUnqSvr[Hostname],tblUnqSvr[Target Data Center],"",0,1)</f>
        <v>IBM Cloud Dedicated - Ashburn</v>
      </c>
      <c r="P43" s="144" t="str">
        <f>_xlfn.XLOOKUP(tblSignOff[[#This Row],[AssetDependencyId]],tblDependencies[AssetDependencyId],tblDependencies[DependentName],"",0,1)</f>
        <v>vaathmr423</v>
      </c>
      <c r="Q43" s="125">
        <f>_xlfn.XLOOKUP(tblSignOff[[#This Row],[Hostname]],tblTM[common_assetName],tblTM[device_custom17],"",0,1)</f>
        <v>0</v>
      </c>
      <c r="R43" s="125">
        <f>_xlfn.XLOOKUP(tblSignOff[[#This Row],[Hostname]],tblTM[common_assetName],tblTM[device_custom14],"",0,1)</f>
        <v>0</v>
      </c>
      <c r="S43" s="125">
        <f>_xlfn.XLOOKUP(tblSignOff[[#This Row],[Hostname]],tblTM[common_assetName],tblTM[device_custom12],"",0,1)</f>
        <v>0</v>
      </c>
      <c r="T43" s="213">
        <f>_xlfn.XLOOKUP(tblSignOff[[#This Row],[Hostname]],tblUnqSvr[Hostname],tblUnqSvr[Cutover Change number],"",0,1)</f>
        <v>0</v>
      </c>
      <c r="U43" s="213">
        <f>_xlfn.XLOOKUP(tblSignOff[[#This Row],[Hostname]],tblUnqSvr[Hostname],tblUnqSvr[Plan Status "Moved" in TM],"",0,1)</f>
        <v>0</v>
      </c>
      <c r="V43" s="144"/>
      <c r="W43" s="214">
        <v>577301</v>
      </c>
    </row>
    <row r="44" spans="1:23" x14ac:dyDescent="0.35">
      <c r="A44" s="144"/>
      <c r="B44" s="213" t="str">
        <f>_xlfn.LET(_xlpm.MigSt,_xlfn.XLOOKUP(tblSignOff[[#This Row],[Hostname]],tblUnqSvr[Hostname],tblUnqSvr[Migration Status],"",0,1),IF(_xlpm.MigSt=0,"",_xlpm.MigSt))</f>
        <v/>
      </c>
      <c r="C44" s="137" t="str">
        <f>MigrationEventCode</f>
        <v>MEA190</v>
      </c>
      <c r="D44" s="145">
        <f>TMWorkbook!$C$2</f>
        <v>46210</v>
      </c>
      <c r="E44" s="144" t="str">
        <f>_xlfn.XLOOKUP(tblSignOff[[#This Row],[AssetDependencyId]],tblEvntScope[AssetDependencyId],tblEvntScope[Application Name],"",0,1)</f>
        <v>Axway (GBD)-DR</v>
      </c>
      <c r="F44" s="144" t="str">
        <f>_xlfn.XLOOKUP(tblSignOff[[#This Row],[AssetDependencyId]],tblEvntScope[AssetDependencyId],tblEvntScope[Application Owner],"",0,1)</f>
        <v/>
      </c>
      <c r="G44" s="144" t="str">
        <f>CONCATENATE(tblSignOff[[#This Row],[Hostname]],"-cmold")</f>
        <v>VA33PWVAXY003-cmold</v>
      </c>
      <c r="H44" s="144" t="str">
        <f>_xlfn.XLOOKUP(tblSignOff[[#This Row],[AssetDependencyId]],tblEvntScope[AssetDependencyId],tblEvntScope[Source IP Address],"",0,1)</f>
        <v>22.112.40.30</v>
      </c>
      <c r="I44" s="213" t="str">
        <f>_xlfn.LET(_xlpm.DCLoc,_xlfn.XLOOKUP(tblSignOff[[#This Row],[Hostname]],tblUnqSvr[Hostname],tblUnqSvr[EH DataCenter Location],"",0,1), IF(_xlpm.DCLoc=0,"",_xlpm.DCLoc))</f>
        <v>VA-HARRISONBURG 1175 N MAIN ST</v>
      </c>
      <c r="J44" s="144" t="str">
        <f>_xlfn.XLOOKUP(tblSignOff[[#This Row],[AssetDependencyId]],tblEvntScope[AssetDependencyId],tblEvntScope[Type
App/DB],"",0,1)</f>
        <v>Application/Utility</v>
      </c>
      <c r="K44" s="197" t="str">
        <f>_xlfn.XLOOKUP(tblSignOff[[#This Row],[AssetDependencyId]],tblEvntScope[AssetDependencyId],tblEvntScope[Environment],"",0,1)</f>
        <v>Disaster Recovery</v>
      </c>
      <c r="L44" s="198" t="str">
        <f>_xlfn.XLOOKUP(tblSignOff[[#This Row],[Hostname]],tblTM[common_assetName],tblTM[device_assetType],"",0,1)</f>
        <v>VM</v>
      </c>
      <c r="M44"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44" s="213" t="str">
        <f>_xlfn.LET(_xlpm.PhySN,_xlfn.XLOOKUP(tblSignOff[[#This Row],[Hostname]],tblUnqSvr[Hostname],tblUnqSvr[Source Physical Server Serial Number],"",0,1), IF(_xlpm.PhySN=0,"", _xlpm.PhySN))</f>
        <v/>
      </c>
      <c r="O44" s="213" t="str">
        <f>_xlfn.XLOOKUP(tblSignOff[[#This Row],[Hostname]],tblUnqSvr[Hostname],tblUnqSvr[Target Data Center],"",0,1)</f>
        <v>IBM Cloud Dedicated - Ashburn</v>
      </c>
      <c r="P44" s="144" t="str">
        <f>_xlfn.XLOOKUP(tblSignOff[[#This Row],[AssetDependencyId]],tblDependencies[AssetDependencyId],tblDependencies[DependentName],"",0,1)</f>
        <v>VA33PWVAXY003</v>
      </c>
      <c r="Q44" s="125">
        <f>_xlfn.XLOOKUP(tblSignOff[[#This Row],[Hostname]],tblTM[common_assetName],tblTM[device_custom17],"",0,1)</f>
        <v>0</v>
      </c>
      <c r="R44" s="125">
        <f>_xlfn.XLOOKUP(tblSignOff[[#This Row],[Hostname]],tblTM[common_assetName],tblTM[device_custom14],"",0,1)</f>
        <v>0</v>
      </c>
      <c r="S44" s="125">
        <f>_xlfn.XLOOKUP(tblSignOff[[#This Row],[Hostname]],tblTM[common_assetName],tblTM[device_custom12],"",0,1)</f>
        <v>0</v>
      </c>
      <c r="T44" s="213">
        <f>_xlfn.XLOOKUP(tblSignOff[[#This Row],[Hostname]],tblUnqSvr[Hostname],tblUnqSvr[Cutover Change number],"",0,1)</f>
        <v>0</v>
      </c>
      <c r="U44" s="213">
        <f>_xlfn.XLOOKUP(tblSignOff[[#This Row],[Hostname]],tblUnqSvr[Hostname],tblUnqSvr[Plan Status "Moved" in TM],"",0,1)</f>
        <v>0</v>
      </c>
      <c r="V44" s="144"/>
      <c r="W44" s="214">
        <v>605692</v>
      </c>
    </row>
    <row r="45" spans="1:23" x14ac:dyDescent="0.35">
      <c r="A45" s="144"/>
      <c r="B45" s="213" t="str">
        <f>_xlfn.LET(_xlpm.MigSt,_xlfn.XLOOKUP(tblSignOff[[#This Row],[Hostname]],tblUnqSvr[Hostname],tblUnqSvr[Migration Status],"",0,1),IF(_xlpm.MigSt=0,"",_xlpm.MigSt))</f>
        <v/>
      </c>
      <c r="C45" s="137" t="str">
        <f>MigrationEventCode</f>
        <v>MEA190</v>
      </c>
      <c r="D45" s="145">
        <f>TMWorkbook!$C$2</f>
        <v>46210</v>
      </c>
      <c r="E45" s="144" t="str">
        <f>_xlfn.XLOOKUP(tblSignOff[[#This Row],[AssetDependencyId]],tblEvntScope[AssetDependencyId],tblEvntScope[Application Name],"",0,1)</f>
        <v>Axway (GBD)-DR</v>
      </c>
      <c r="F45" s="144" t="str">
        <f>_xlfn.XLOOKUP(tblSignOff[[#This Row],[AssetDependencyId]],tblEvntScope[AssetDependencyId],tblEvntScope[Application Owner],"",0,1)</f>
        <v/>
      </c>
      <c r="G45" s="144" t="str">
        <f>CONCATENATE(tblSignOff[[#This Row],[Hostname]],"-cmold")</f>
        <v>VA33PWVAXY004-cmold</v>
      </c>
      <c r="H45" s="144" t="str">
        <f>_xlfn.XLOOKUP(tblSignOff[[#This Row],[AssetDependencyId]],tblEvntScope[AssetDependencyId],tblEvntScope[Source IP Address],"",0,1)</f>
        <v>22.112.40.33</v>
      </c>
      <c r="I45" s="213" t="str">
        <f>_xlfn.LET(_xlpm.DCLoc,_xlfn.XLOOKUP(tblSignOff[[#This Row],[Hostname]],tblUnqSvr[Hostname],tblUnqSvr[EH DataCenter Location],"",0,1), IF(_xlpm.DCLoc=0,"",_xlpm.DCLoc))</f>
        <v>VA-HARRISONBURG 1175 N MAIN ST</v>
      </c>
      <c r="J45" s="144" t="str">
        <f>_xlfn.XLOOKUP(tblSignOff[[#This Row],[AssetDependencyId]],tblEvntScope[AssetDependencyId],tblEvntScope[Type
App/DB],"",0,1)</f>
        <v>Application/Utility</v>
      </c>
      <c r="K45" s="197" t="str">
        <f>_xlfn.XLOOKUP(tblSignOff[[#This Row],[AssetDependencyId]],tblEvntScope[AssetDependencyId],tblEvntScope[Environment],"",0,1)</f>
        <v>Disaster Recovery</v>
      </c>
      <c r="L45" s="198" t="str">
        <f>_xlfn.XLOOKUP(tblSignOff[[#This Row],[Hostname]],tblTM[common_assetName],tblTM[device_assetType],"",0,1)</f>
        <v>VM</v>
      </c>
      <c r="M45"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N45" s="213" t="str">
        <f>_xlfn.LET(_xlpm.PhySN,_xlfn.XLOOKUP(tblSignOff[[#This Row],[Hostname]],tblUnqSvr[Hostname],tblUnqSvr[Source Physical Server Serial Number],"",0,1), IF(_xlpm.PhySN=0,"", _xlpm.PhySN))</f>
        <v/>
      </c>
      <c r="O45" s="213" t="str">
        <f>_xlfn.XLOOKUP(tblSignOff[[#This Row],[Hostname]],tblUnqSvr[Hostname],tblUnqSvr[Target Data Center],"",0,1)</f>
        <v>IBM Cloud Dedicated - Ashburn</v>
      </c>
      <c r="P45" s="144" t="str">
        <f>_xlfn.XLOOKUP(tblSignOff[[#This Row],[AssetDependencyId]],tblDependencies[AssetDependencyId],tblDependencies[DependentName],"",0,1)</f>
        <v>VA33PWVAXY004</v>
      </c>
      <c r="Q45" s="125">
        <f>_xlfn.XLOOKUP(tblSignOff[[#This Row],[Hostname]],tblTM[common_assetName],tblTM[device_custom17],"",0,1)</f>
        <v>0</v>
      </c>
      <c r="R45" s="125">
        <f>_xlfn.XLOOKUP(tblSignOff[[#This Row],[Hostname]],tblTM[common_assetName],tblTM[device_custom14],"",0,1)</f>
        <v>0</v>
      </c>
      <c r="S45" s="125">
        <f>_xlfn.XLOOKUP(tblSignOff[[#This Row],[Hostname]],tblTM[common_assetName],tblTM[device_custom12],"",0,1)</f>
        <v>0</v>
      </c>
      <c r="T45" s="213">
        <f>_xlfn.XLOOKUP(tblSignOff[[#This Row],[Hostname]],tblUnqSvr[Hostname],tblUnqSvr[Cutover Change number],"",0,1)</f>
        <v>0</v>
      </c>
      <c r="U45" s="213">
        <f>_xlfn.XLOOKUP(tblSignOff[[#This Row],[Hostname]],tblUnqSvr[Hostname],tblUnqSvr[Plan Status "Moved" in TM],"",0,1)</f>
        <v>0</v>
      </c>
      <c r="V45" s="144"/>
      <c r="W45" s="214">
        <v>605693</v>
      </c>
    </row>
    <row r="46" spans="1:23" x14ac:dyDescent="0.35">
      <c r="A46" s="144"/>
      <c r="B46" s="213" t="str">
        <f>_xlfn.LET(_xlpm.MigSt,_xlfn.XLOOKUP(tblSignOff[[#This Row],[Hostname]],tblUnqSvr[Hostname],tblUnqSvr[Migration Status],"",0,1),IF(_xlpm.MigSt=0,"",_xlpm.MigSt))</f>
        <v/>
      </c>
      <c r="C46" s="137" t="str">
        <f>MigrationEventCode</f>
        <v>MEA190</v>
      </c>
      <c r="D46" s="145">
        <f>TMWorkbook!$C$2</f>
        <v>46210</v>
      </c>
      <c r="E46" s="144" t="str">
        <f>_xlfn.XLOOKUP(tblSignOff[[#This Row],[AssetDependencyId]],tblEvntScope[AssetDependencyId],tblEvntScope[Application Name],"",0,1)</f>
        <v>Legacy Provider Finder-Test</v>
      </c>
      <c r="F46" s="144" t="str">
        <f>_xlfn.XLOOKUP(tblSignOff[[#This Row],[AssetDependencyId]],tblEvntScope[AssetDependencyId],tblEvntScope[Application Owner],"",0,1)</f>
        <v/>
      </c>
      <c r="G46" s="144" t="str">
        <f>CONCATENATE(tblSignOff[[#This Row],[Hostname]],"-cmold")</f>
        <v>vaathmr672-cmold</v>
      </c>
      <c r="H46" s="144" t="str">
        <f>_xlfn.XLOOKUP(tblSignOff[[#This Row],[AssetDependencyId]],tblEvntScope[AssetDependencyId],tblEvntScope[Source IP Address],"",0,1)</f>
        <v>30.135.64.125</v>
      </c>
      <c r="I46" s="213" t="str">
        <f>_xlfn.LET(_xlpm.DCLoc,_xlfn.XLOOKUP(tblSignOff[[#This Row],[Hostname]],tblUnqSvr[Hostname],tblUnqSvr[EH DataCenter Location],"",0,1), IF(_xlpm.DCLoc=0,"",_xlpm.DCLoc))</f>
        <v>VA-RICHMOND 2103 STAPLES MILL RD</v>
      </c>
      <c r="J46" s="144" t="str">
        <f>_xlfn.XLOOKUP(tblSignOff[[#This Row],[AssetDependencyId]],tblEvntScope[AssetDependencyId],tblEvntScope[Type
App/DB],"",0,1)</f>
        <v>WebSphere and MQ server</v>
      </c>
      <c r="K46" s="197" t="str">
        <f>_xlfn.XLOOKUP(tblSignOff[[#This Row],[AssetDependencyId]],tblEvntScope[AssetDependencyId],tblEvntScope[Environment],"",0,1)</f>
        <v>Test</v>
      </c>
      <c r="L46" s="198" t="str">
        <f>_xlfn.XLOOKUP(tblSignOff[[#This Row],[Hostname]],tblTM[common_assetName],tblTM[device_assetType],"",0,1)</f>
        <v>AIX-LPAR</v>
      </c>
      <c r="M46"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6" s="213" t="str">
        <f>_xlfn.LET(_xlpm.PhySN,_xlfn.XLOOKUP(tblSignOff[[#This Row],[Hostname]],tblUnqSvr[Hostname],tblUnqSvr[Source Physical Server Serial Number],"",0,1), IF(_xlpm.PhySN=0,"", _xlpm.PhySN))</f>
        <v>0278D2B9X_14</v>
      </c>
      <c r="O46" s="213" t="str">
        <f>_xlfn.XLOOKUP(tblSignOff[[#This Row],[Hostname]],tblUnqSvr[Hostname],tblUnqSvr[Target Data Center],"",0,1)</f>
        <v>IBM Cloud Dedicated - Ashburn</v>
      </c>
      <c r="P46" s="144" t="str">
        <f>_xlfn.XLOOKUP(tblSignOff[[#This Row],[AssetDependencyId]],tblDependencies[AssetDependencyId],tblDependencies[DependentName],"",0,1)</f>
        <v>vaathmr672</v>
      </c>
      <c r="Q46" s="125">
        <f>_xlfn.XLOOKUP(tblSignOff[[#This Row],[Hostname]],tblTM[common_assetName],tblTM[device_custom17],"",0,1)</f>
        <v>0</v>
      </c>
      <c r="R46" s="125">
        <f>_xlfn.XLOOKUP(tblSignOff[[#This Row],[Hostname]],tblTM[common_assetName],tblTM[device_custom14],"",0,1)</f>
        <v>0</v>
      </c>
      <c r="S46" s="125">
        <f>_xlfn.XLOOKUP(tblSignOff[[#This Row],[Hostname]],tblTM[common_assetName],tblTM[device_custom12],"",0,1)</f>
        <v>0</v>
      </c>
      <c r="T46" s="213">
        <f>_xlfn.XLOOKUP(tblSignOff[[#This Row],[Hostname]],tblUnqSvr[Hostname],tblUnqSvr[Cutover Change number],"",0,1)</f>
        <v>0</v>
      </c>
      <c r="U46" s="213">
        <f>_xlfn.XLOOKUP(tblSignOff[[#This Row],[Hostname]],tblUnqSvr[Hostname],tblUnqSvr[Plan Status "Moved" in TM],"",0,1)</f>
        <v>0</v>
      </c>
      <c r="V46" s="144"/>
      <c r="W46" s="214">
        <v>672249</v>
      </c>
    </row>
    <row r="47" spans="1:23" x14ac:dyDescent="0.35">
      <c r="A47" s="144"/>
      <c r="B47" s="213" t="str">
        <f>_xlfn.LET(_xlpm.MigSt,_xlfn.XLOOKUP(tblSignOff[[#This Row],[Hostname]],tblUnqSvr[Hostname],tblUnqSvr[Migration Status],"",0,1),IF(_xlpm.MigSt=0,"",_xlpm.MigSt))</f>
        <v/>
      </c>
      <c r="C47" s="137" t="str">
        <f>MigrationEventCode</f>
        <v>MEA190</v>
      </c>
      <c r="D47" s="145">
        <f>TMWorkbook!$C$2</f>
        <v>46210</v>
      </c>
      <c r="E47" s="144" t="str">
        <f>_xlfn.XLOOKUP(tblSignOff[[#This Row],[AssetDependencyId]],tblEvntScope[AssetDependencyId],tblEvntScope[Application Name],"",0,1)</f>
        <v>Provider Care Management Solutions-Test</v>
      </c>
      <c r="F47" s="144" t="str">
        <f>_xlfn.XLOOKUP(tblSignOff[[#This Row],[AssetDependencyId]],tblEvntScope[AssetDependencyId],tblEvntScope[Application Owner],"",0,1)</f>
        <v/>
      </c>
      <c r="G47" s="144" t="str">
        <f>CONCATENATE(tblSignOff[[#This Row],[Hostname]],"-cmold")</f>
        <v>va10tuvdb2020-cmold</v>
      </c>
      <c r="H47" s="144" t="str">
        <f>_xlfn.XLOOKUP(tblSignOff[[#This Row],[AssetDependencyId]],tblEvntScope[AssetDependencyId],tblEvntScope[Source IP Address],"",0,1)</f>
        <v>30.135.43.45</v>
      </c>
      <c r="I47" s="213" t="str">
        <f>_xlfn.LET(_xlpm.DCLoc,_xlfn.XLOOKUP(tblSignOff[[#This Row],[Hostname]],tblUnqSvr[Hostname],tblUnqSvr[EH DataCenter Location],"",0,1), IF(_xlpm.DCLoc=0,"",_xlpm.DCLoc))</f>
        <v>VA-RICHMOND 2103 STAPLES MILL RD</v>
      </c>
      <c r="J47" s="144" t="str">
        <f>_xlfn.XLOOKUP(tblSignOff[[#This Row],[AssetDependencyId]],tblEvntScope[AssetDependencyId],tblEvntScope[Type
App/DB],"",0,1)</f>
        <v>Database - DB2/UDB</v>
      </c>
      <c r="K47" s="197" t="str">
        <f>_xlfn.XLOOKUP(tblSignOff[[#This Row],[AssetDependencyId]],tblEvntScope[AssetDependencyId],tblEvntScope[Environment],"",0,1)</f>
        <v>Test</v>
      </c>
      <c r="L47" s="198" t="str">
        <f>_xlfn.XLOOKUP(tblSignOff[[#This Row],[Hostname]],tblTM[common_assetName],tblTM[device_assetType],"",0,1)</f>
        <v>AIX-LPAR</v>
      </c>
      <c r="M47" s="199"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N47" s="213" t="str">
        <f>_xlfn.LET(_xlpm.PhySN,_xlfn.XLOOKUP(tblSignOff[[#This Row],[Hostname]],tblUnqSvr[Hostname],tblUnqSvr[Source Physical Server Serial Number],"",0,1), IF(_xlpm.PhySN=0,"", _xlpm.PhySN))</f>
        <v>0278DE69X_46</v>
      </c>
      <c r="O47" s="213" t="str">
        <f>_xlfn.XLOOKUP(tblSignOff[[#This Row],[Hostname]],tblUnqSvr[Hostname],tblUnqSvr[Target Data Center],"",0,1)</f>
        <v>IBM Cloud Dedicated - Ashburn</v>
      </c>
      <c r="P47" s="144" t="str">
        <f>_xlfn.XLOOKUP(tblSignOff[[#This Row],[AssetDependencyId]],tblDependencies[AssetDependencyId],tblDependencies[DependentName],"",0,1)</f>
        <v>va10tuvdb2020</v>
      </c>
      <c r="Q47" s="125">
        <f>_xlfn.XLOOKUP(tblSignOff[[#This Row],[Hostname]],tblTM[common_assetName],tblTM[device_custom17],"",0,1)</f>
        <v>0</v>
      </c>
      <c r="R47" s="125">
        <f>_xlfn.XLOOKUP(tblSignOff[[#This Row],[Hostname]],tblTM[common_assetName],tblTM[device_custom14],"",0,1)</f>
        <v>0</v>
      </c>
      <c r="S47" s="125">
        <f>_xlfn.XLOOKUP(tblSignOff[[#This Row],[Hostname]],tblTM[common_assetName],tblTM[device_custom12],"",0,1)</f>
        <v>0</v>
      </c>
      <c r="T47" s="213">
        <f>_xlfn.XLOOKUP(tblSignOff[[#This Row],[Hostname]],tblUnqSvr[Hostname],tblUnqSvr[Cutover Change number],"",0,1)</f>
        <v>0</v>
      </c>
      <c r="U47" s="213">
        <f>_xlfn.XLOOKUP(tblSignOff[[#This Row],[Hostname]],tblUnqSvr[Hostname],tblUnqSvr[Plan Status "Moved" in TM],"",0,1)</f>
        <v>0</v>
      </c>
      <c r="V47" s="144"/>
      <c r="W47" s="214">
        <v>672277</v>
      </c>
    </row>
  </sheetData>
  <conditionalFormatting sqref="W2:W47 K2:M47">
    <cfRule type="expression" dxfId="38" priority="16">
      <formula>INDIRECT("tblEvntScope[@Scope]")="OOS"</formula>
    </cfRule>
  </conditionalFormatting>
  <conditionalFormatting sqref="M2:M47">
    <cfRule type="expression" dxfId="37" priority="10">
      <formula>LEFT(INDIRECT("tblSignOff[@Operating System]"),6)="MS Win"</formula>
    </cfRule>
    <cfRule type="expression" dxfId="36" priority="11">
      <formula>LEFT(INDIRECT("tblSignOff[@Operating System]"),4)="RHEL"</formula>
    </cfRule>
    <cfRule type="expression" dxfId="35" priority="12">
      <formula>LEFT(INDIRECT("tblSignOff[@Operating System]"),4)="UNIX"</formula>
    </cfRule>
    <cfRule type="expression" dxfId="34" priority="13">
      <formula>LEFT(INDIRECT("tblSignOff[@Operating System]"),4)="OSCP"</formula>
    </cfRule>
    <cfRule type="expression" dxfId="33" priority="14">
      <formula>LEFT(INDIRECT("tblSignOff[@Operating System]"),6)="PwrLnx"</formula>
    </cfRule>
    <cfRule type="expression" dxfId="32" priority="15">
      <formula>LEFT(INDIRECT("tblSignOff[@Operating System]"),3)="AIX"</formula>
    </cfRule>
  </conditionalFormatting>
  <conditionalFormatting sqref="L2:L47">
    <cfRule type="expression" dxfId="31" priority="6">
      <formula>INDIRECT("tblSignOff[@Device Type]")="Server"</formula>
    </cfRule>
    <cfRule type="expression" dxfId="30" priority="7">
      <formula>LEFT(INDIRECT("tblSignOff[@Device Type]"),8)="Linux-VM"</formula>
    </cfRule>
    <cfRule type="expression" dxfId="29" priority="8">
      <formula>LEFT(INDIRECT("tblSignOff[@Device Type]"),3)="AIX"</formula>
    </cfRule>
  </conditionalFormatting>
  <conditionalFormatting sqref="K2:K47">
    <cfRule type="expression" dxfId="28" priority="2">
      <formula>LEFT(INDIRECT("tblSignOff[@Environment]"),4)="Deve"</formula>
    </cfRule>
    <cfRule type="expression" dxfId="27" priority="3">
      <formula>LEFT(INDIRECT("tblSignOff[@Environment]"),4)="Test"</formula>
    </cfRule>
    <cfRule type="expression" dxfId="26" priority="4">
      <formula>LEFT(INDIRECT("tblSignOff[@Environment]"),4)="Prod"</formula>
    </cfRule>
  </conditionalFormatting>
  <dataValidations count="1">
    <dataValidation type="list" allowBlank="1" showInputMessage="1" showErrorMessage="1" sqref="O2:O47" xr:uid="{9A8CD489-297B-43FF-B76B-2737A667E8BC}">
      <formula1>INDIRECT("tblTargetPlatformList")</formula1>
    </dataValidation>
  </dataValidations>
  <pageMargins left="0.7" right="0.7" top="0.75" bottom="0.75" header="0.3" footer="0.3"/>
  <pageSetup orientation="portrait" horizontalDpi="360" verticalDpi="360"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63C6-12FD-484E-85AE-D9E339534C2B}">
  <sheetPr codeName="Sheet12">
    <tabColor theme="9" tint="0.59999389629810485"/>
  </sheetPr>
  <dimension ref="A1:X47"/>
  <sheetViews>
    <sheetView workbookViewId="0">
      <pane xSplit="3" ySplit="1" topLeftCell="I2" activePane="bottomRight" state="frozen"/>
      <selection pane="topRight" activeCell="D1" sqref="D1"/>
      <selection pane="bottomLeft" activeCell="A2" sqref="A2"/>
      <selection pane="bottomRight" activeCell="L2" sqref="L2:L47"/>
    </sheetView>
  </sheetViews>
  <sheetFormatPr defaultColWidth="8.58203125" defaultRowHeight="14.5" x14ac:dyDescent="0.35"/>
  <cols>
    <col min="1" max="1" width="8.58203125" style="112"/>
    <col min="2" max="2" width="14.08203125" style="112" customWidth="1"/>
    <col min="3" max="3" width="8.58203125" style="112" customWidth="1"/>
    <col min="4" max="4" width="25.83203125" style="112" customWidth="1"/>
    <col min="5" max="5" width="25.08203125" style="112" customWidth="1"/>
    <col min="6" max="6" width="20.33203125" style="112" customWidth="1"/>
    <col min="7" max="7" width="29.83203125" style="112" customWidth="1"/>
    <col min="8" max="8" width="22.6640625" style="112" customWidth="1"/>
    <col min="9" max="9" width="11.33203125" style="112" bestFit="1" customWidth="1"/>
    <col min="10" max="10" width="17.1640625" style="112" customWidth="1"/>
    <col min="11" max="11" width="14.58203125" style="112" customWidth="1"/>
    <col min="12" max="12" width="28.33203125" style="112" customWidth="1"/>
    <col min="13" max="13" width="24.08203125" style="112" customWidth="1"/>
    <col min="14" max="14" width="17.33203125" style="112" customWidth="1"/>
    <col min="15" max="17" width="16.58203125" style="112" customWidth="1"/>
    <col min="18" max="18" width="19.58203125" style="112" customWidth="1"/>
    <col min="19" max="19" width="21.58203125" style="115" customWidth="1"/>
    <col min="20" max="20" width="17.08203125" style="112" customWidth="1"/>
    <col min="21" max="21" width="13.1640625" style="112" bestFit="1" customWidth="1"/>
    <col min="22" max="22" width="16.5" style="112" customWidth="1"/>
    <col min="23" max="23" width="14.83203125" style="112" customWidth="1"/>
    <col min="24" max="24" width="39.83203125" style="112" customWidth="1"/>
    <col min="25" max="16384" width="8.58203125" style="112"/>
  </cols>
  <sheetData>
    <row r="1" spans="1:24" x14ac:dyDescent="0.35">
      <c r="A1" s="146" t="s">
        <v>304</v>
      </c>
      <c r="B1" s="146" t="s">
        <v>305</v>
      </c>
      <c r="C1" s="146" t="s">
        <v>93</v>
      </c>
      <c r="D1" s="147" t="s">
        <v>312</v>
      </c>
      <c r="E1" s="148" t="s">
        <v>313</v>
      </c>
      <c r="F1" s="149" t="s">
        <v>101</v>
      </c>
      <c r="G1" s="149" t="s">
        <v>314</v>
      </c>
      <c r="H1" s="150" t="s">
        <v>308</v>
      </c>
      <c r="I1" s="149" t="s">
        <v>74</v>
      </c>
      <c r="J1" s="149" t="s">
        <v>76</v>
      </c>
      <c r="K1" s="149" t="s">
        <v>103</v>
      </c>
      <c r="L1" s="150" t="s">
        <v>315</v>
      </c>
      <c r="M1" s="149" t="s">
        <v>105</v>
      </c>
      <c r="N1" s="151" t="s">
        <v>72</v>
      </c>
      <c r="O1" s="151" t="s">
        <v>106</v>
      </c>
      <c r="P1" s="151" t="s">
        <v>107</v>
      </c>
      <c r="Q1" s="151" t="s">
        <v>108</v>
      </c>
      <c r="R1" s="146" t="s">
        <v>310</v>
      </c>
      <c r="S1" s="146" t="s">
        <v>311</v>
      </c>
      <c r="T1" s="146" t="s">
        <v>316</v>
      </c>
      <c r="U1" s="146" t="s">
        <v>317</v>
      </c>
      <c r="V1" s="146" t="s">
        <v>318</v>
      </c>
      <c r="W1" s="146" t="s">
        <v>319</v>
      </c>
      <c r="X1" s="146" t="s">
        <v>92</v>
      </c>
    </row>
    <row r="2" spans="1:24" x14ac:dyDescent="0.35">
      <c r="A2" s="152"/>
      <c r="B2" s="125"/>
      <c r="C2" s="125" t="str">
        <f t="shared" ref="C2" si="0">MigrationEventCode</f>
        <v>MEA190</v>
      </c>
      <c r="D2" s="126">
        <f>TMWorkbook!$C$2</f>
        <v>46210</v>
      </c>
      <c r="E2" s="125" t="str">
        <f>CONCATENATE(tblUnqSvr[[#This Row],[Hostname]],"-cmold")</f>
        <v>dc04tlpkaf400-cmold</v>
      </c>
      <c r="F2" s="125" t="str">
        <f>_xlfn.XLOOKUP(tblUnqSvr[[#This Row],[Hostname]],tblTM[common_assetName],tblTM[device_ipAddress],"",0,1)</f>
        <v>10.152.28.98</v>
      </c>
      <c r="G2" s="125" t="s">
        <v>455</v>
      </c>
      <c r="H2" s="127">
        <f>_xlfn.XLOOKUP(tblUnqSvr[[#This Row],[Hostname]],tblTM[common_assetName],tblTM[device_custom35],"",0,1)</f>
        <v>0</v>
      </c>
      <c r="I2" s="123" t="str">
        <f>_xlfn.XLOOKUP(tblUnqSvr[[#This Row],[Hostname]],tblTM[common_assetName],tblTM[common_environment],"",0,1)</f>
        <v>Test</v>
      </c>
      <c r="J2" s="124" t="str">
        <f>_xlfn.XLOOKUP(tblUnqSvr[[#This Row],[Hostname]],tblTM[common_assetName],tblTM[device_assetType],"",0,1)</f>
        <v>Server</v>
      </c>
      <c r="K2" s="124"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 s="129" t="s">
        <v>753</v>
      </c>
      <c r="M2" s="128" t="str">
        <f>_xlfn.XLOOKUP(tblUnqSvr[[#This Row],[Hostname]],tblEvntScope[Hostname],tblEvntScope[Target Data Center],"",0,1)</f>
        <v>Dell BMaaS - Ashburn</v>
      </c>
      <c r="N2" s="129" t="s">
        <v>706</v>
      </c>
      <c r="O2" s="125">
        <f>_xlfn.XLOOKUP(tblUnqSvr[[#This Row],[Hostname]],tblTM[common_assetName],tblTM[device_custom17],"",0,1)</f>
        <v>0</v>
      </c>
      <c r="P2" s="125">
        <f>_xlfn.XLOOKUP(tblUnqSvr[[#This Row],[Hostname]],tblTM[common_assetName],tblTM[device_custom14],"",0,1)</f>
        <v>0</v>
      </c>
      <c r="Q2" s="125">
        <f>_xlfn.XLOOKUP(tblUnqSvr[[#This Row],[Hostname]],tblTM[common_assetName],tblTM[device_custom12],"",0,1)</f>
        <v>0</v>
      </c>
      <c r="R2" s="130"/>
      <c r="S2" s="130"/>
      <c r="T2" s="127"/>
      <c r="U2" s="127"/>
      <c r="V2" s="127"/>
      <c r="W2" s="127"/>
      <c r="X2" s="127"/>
    </row>
    <row r="3" spans="1:24" x14ac:dyDescent="0.35">
      <c r="A3" s="195"/>
      <c r="B3" s="125"/>
      <c r="C3" s="125" t="str">
        <f>MigrationEventCode</f>
        <v>MEA190</v>
      </c>
      <c r="D3" s="126">
        <f>TMWorkbook!$C$2</f>
        <v>46210</v>
      </c>
      <c r="E3" s="125" t="str">
        <f>CONCATENATE(tblUnqSvr[[#This Row],[Hostname]],"-cmold")</f>
        <v>dc04tlpkaf401-cmold</v>
      </c>
      <c r="F3" s="125" t="str">
        <f>_xlfn.XLOOKUP(tblUnqSvr[[#This Row],[Hostname]],tblTM[common_assetName],tblTM[device_ipAddress],"",0,1)</f>
        <v>10.152.28.99</v>
      </c>
      <c r="G3" s="196" t="s">
        <v>455</v>
      </c>
      <c r="H3" s="127">
        <f>_xlfn.XLOOKUP(tblUnqSvr[[#This Row],[Hostname]],tblTM[common_assetName],tblTM[device_custom35],"",0,1)</f>
        <v>0</v>
      </c>
      <c r="I3" s="197" t="str">
        <f>_xlfn.XLOOKUP(tblUnqSvr[[#This Row],[Hostname]],tblTM[common_assetName],tblTM[common_environment],"",0,1)</f>
        <v>Test</v>
      </c>
      <c r="J3" s="198" t="str">
        <f>_xlfn.XLOOKUP(tblUnqSvr[[#This Row],[Hostname]],tblTM[common_assetName],tblTM[device_assetType],"",0,1)</f>
        <v>Server</v>
      </c>
      <c r="K3"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3" s="200" t="s">
        <v>754</v>
      </c>
      <c r="M3" s="128" t="str">
        <f>_xlfn.XLOOKUP(tblUnqSvr[[#This Row],[Hostname]],tblEvntScope[Hostname],tblEvntScope[Target Data Center],"",0,1)</f>
        <v>Dell BMaaS - Ashburn</v>
      </c>
      <c r="N3" s="129" t="s">
        <v>702</v>
      </c>
      <c r="O3" s="125">
        <f>_xlfn.XLOOKUP(tblUnqSvr[[#This Row],[Hostname]],tblTM[common_assetName],tblTM[device_custom17],"",0,1)</f>
        <v>0</v>
      </c>
      <c r="P3" s="125">
        <f>_xlfn.XLOOKUP(tblUnqSvr[[#This Row],[Hostname]],tblTM[common_assetName],tblTM[device_custom14],"",0,1)</f>
        <v>0</v>
      </c>
      <c r="Q3" s="125">
        <f>_xlfn.XLOOKUP(tblUnqSvr[[#This Row],[Hostname]],tblTM[common_assetName],tblTM[device_custom12],"",0,1)</f>
        <v>0</v>
      </c>
      <c r="R3" s="130"/>
      <c r="S3" s="130"/>
      <c r="T3" s="127"/>
      <c r="U3" s="127"/>
      <c r="V3" s="127"/>
      <c r="W3" s="127"/>
      <c r="X3" s="127"/>
    </row>
    <row r="4" spans="1:24" x14ac:dyDescent="0.35">
      <c r="A4" s="195"/>
      <c r="B4" s="125"/>
      <c r="C4" s="125" t="str">
        <f>MigrationEventCode</f>
        <v>MEA190</v>
      </c>
      <c r="D4" s="126">
        <f>TMWorkbook!$C$2</f>
        <v>46210</v>
      </c>
      <c r="E4" s="125" t="str">
        <f>CONCATENATE(tblUnqSvr[[#This Row],[Hostname]],"-cmold")</f>
        <v>dc04tlpkaf402-cmold</v>
      </c>
      <c r="F4" s="125" t="str">
        <f>_xlfn.XLOOKUP(tblUnqSvr[[#This Row],[Hostname]],tblTM[common_assetName],tblTM[device_ipAddress],"",0,1)</f>
        <v>10.152.28.100</v>
      </c>
      <c r="G4" s="196" t="s">
        <v>455</v>
      </c>
      <c r="H4" s="127">
        <f>_xlfn.XLOOKUP(tblUnqSvr[[#This Row],[Hostname]],tblTM[common_assetName],tblTM[device_custom35],"",0,1)</f>
        <v>0</v>
      </c>
      <c r="I4" s="197" t="str">
        <f>_xlfn.XLOOKUP(tblUnqSvr[[#This Row],[Hostname]],tblTM[common_assetName],tblTM[common_environment],"",0,1)</f>
        <v>Test</v>
      </c>
      <c r="J4" s="198" t="str">
        <f>_xlfn.XLOOKUP(tblUnqSvr[[#This Row],[Hostname]],tblTM[common_assetName],tblTM[device_assetType],"",0,1)</f>
        <v>Server</v>
      </c>
      <c r="K4"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4" s="200" t="s">
        <v>755</v>
      </c>
      <c r="M4" s="128" t="str">
        <f>_xlfn.XLOOKUP(tblUnqSvr[[#This Row],[Hostname]],tblEvntScope[Hostname],tblEvntScope[Target Data Center],"",0,1)</f>
        <v>Dell BMaaS - Ashburn</v>
      </c>
      <c r="N4" s="129" t="s">
        <v>698</v>
      </c>
      <c r="O4" s="125">
        <f>_xlfn.XLOOKUP(tblUnqSvr[[#This Row],[Hostname]],tblTM[common_assetName],tblTM[device_custom17],"",0,1)</f>
        <v>0</v>
      </c>
      <c r="P4" s="125">
        <f>_xlfn.XLOOKUP(tblUnqSvr[[#This Row],[Hostname]],tblTM[common_assetName],tblTM[device_custom14],"",0,1)</f>
        <v>0</v>
      </c>
      <c r="Q4" s="125">
        <f>_xlfn.XLOOKUP(tblUnqSvr[[#This Row],[Hostname]],tblTM[common_assetName],tblTM[device_custom12],"",0,1)</f>
        <v>0</v>
      </c>
      <c r="R4" s="130"/>
      <c r="S4" s="130"/>
      <c r="T4" s="127"/>
      <c r="U4" s="127"/>
      <c r="V4" s="127"/>
      <c r="W4" s="127"/>
      <c r="X4" s="127"/>
    </row>
    <row r="5" spans="1:24" x14ac:dyDescent="0.35">
      <c r="A5" s="195"/>
      <c r="B5" s="125"/>
      <c r="C5" s="125" t="str">
        <f>MigrationEventCode</f>
        <v>MEA190</v>
      </c>
      <c r="D5" s="126">
        <f>TMWorkbook!$C$2</f>
        <v>46210</v>
      </c>
      <c r="E5" s="125" t="str">
        <f>CONCATENATE(tblUnqSvr[[#This Row],[Hostname]],"-cmold")</f>
        <v>dc04tlpkaf404-cmold</v>
      </c>
      <c r="F5" s="125" t="str">
        <f>_xlfn.XLOOKUP(tblUnqSvr[[#This Row],[Hostname]],tblTM[common_assetName],tblTM[device_ipAddress],"",0,1)</f>
        <v>10.152.28.102</v>
      </c>
      <c r="G5" s="196" t="s">
        <v>455</v>
      </c>
      <c r="H5" s="127">
        <f>_xlfn.XLOOKUP(tblUnqSvr[[#This Row],[Hostname]],tblTM[common_assetName],tblTM[device_custom35],"",0,1)</f>
        <v>0</v>
      </c>
      <c r="I5" s="197" t="str">
        <f>_xlfn.XLOOKUP(tblUnqSvr[[#This Row],[Hostname]],tblTM[common_assetName],tblTM[common_environment],"",0,1)</f>
        <v>Test</v>
      </c>
      <c r="J5" s="198" t="str">
        <f>_xlfn.XLOOKUP(tblUnqSvr[[#This Row],[Hostname]],tblTM[common_assetName],tblTM[device_assetType],"",0,1)</f>
        <v>Server</v>
      </c>
      <c r="K5"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5" s="200" t="s">
        <v>756</v>
      </c>
      <c r="M5" s="128" t="str">
        <f>_xlfn.XLOOKUP(tblUnqSvr[[#This Row],[Hostname]],tblEvntScope[Hostname],tblEvntScope[Target Data Center],"",0,1)</f>
        <v>Dell BMaaS - Ashburn</v>
      </c>
      <c r="N5" s="129" t="s">
        <v>694</v>
      </c>
      <c r="O5" s="125">
        <f>_xlfn.XLOOKUP(tblUnqSvr[[#This Row],[Hostname]],tblTM[common_assetName],tblTM[device_custom17],"",0,1)</f>
        <v>0</v>
      </c>
      <c r="P5" s="125">
        <f>_xlfn.XLOOKUP(tblUnqSvr[[#This Row],[Hostname]],tblTM[common_assetName],tblTM[device_custom14],"",0,1)</f>
        <v>0</v>
      </c>
      <c r="Q5" s="125">
        <f>_xlfn.XLOOKUP(tblUnqSvr[[#This Row],[Hostname]],tblTM[common_assetName],tblTM[device_custom12],"",0,1)</f>
        <v>0</v>
      </c>
      <c r="R5" s="130"/>
      <c r="S5" s="130"/>
      <c r="T5" s="127"/>
      <c r="U5" s="127"/>
      <c r="V5" s="127"/>
      <c r="W5" s="127"/>
      <c r="X5" s="127"/>
    </row>
    <row r="6" spans="1:24" x14ac:dyDescent="0.35">
      <c r="A6" s="195"/>
      <c r="B6" s="125"/>
      <c r="C6" s="125" t="str">
        <f>MigrationEventCode</f>
        <v>MEA190</v>
      </c>
      <c r="D6" s="126">
        <f>TMWorkbook!$C$2</f>
        <v>46210</v>
      </c>
      <c r="E6" s="125" t="str">
        <f>CONCATENATE(tblUnqSvr[[#This Row],[Hostname]],"-cmold")</f>
        <v>dc04tlpkaf405-cmold</v>
      </c>
      <c r="F6" s="125" t="str">
        <f>_xlfn.XLOOKUP(tblUnqSvr[[#This Row],[Hostname]],tblTM[common_assetName],tblTM[device_ipAddress],"",0,1)</f>
        <v>10.152.28.103</v>
      </c>
      <c r="G6" s="196" t="s">
        <v>455</v>
      </c>
      <c r="H6" s="127">
        <f>_xlfn.XLOOKUP(tblUnqSvr[[#This Row],[Hostname]],tblTM[common_assetName],tblTM[device_custom35],"",0,1)</f>
        <v>0</v>
      </c>
      <c r="I6" s="197" t="str">
        <f>_xlfn.XLOOKUP(tblUnqSvr[[#This Row],[Hostname]],tblTM[common_assetName],tblTM[common_environment],"",0,1)</f>
        <v>Test</v>
      </c>
      <c r="J6" s="198" t="str">
        <f>_xlfn.XLOOKUP(tblUnqSvr[[#This Row],[Hostname]],tblTM[common_assetName],tblTM[device_assetType],"",0,1)</f>
        <v>Server</v>
      </c>
      <c r="K6"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6" s="200" t="s">
        <v>757</v>
      </c>
      <c r="M6" s="128" t="str">
        <f>_xlfn.XLOOKUP(tblUnqSvr[[#This Row],[Hostname]],tblEvntScope[Hostname],tblEvntScope[Target Data Center],"",0,1)</f>
        <v>Dell BMaaS - Ashburn</v>
      </c>
      <c r="N6" s="129" t="s">
        <v>690</v>
      </c>
      <c r="O6" s="125">
        <f>_xlfn.XLOOKUP(tblUnqSvr[[#This Row],[Hostname]],tblTM[common_assetName],tblTM[device_custom17],"",0,1)</f>
        <v>0</v>
      </c>
      <c r="P6" s="125">
        <f>_xlfn.XLOOKUP(tblUnqSvr[[#This Row],[Hostname]],tblTM[common_assetName],tblTM[device_custom14],"",0,1)</f>
        <v>0</v>
      </c>
      <c r="Q6" s="125">
        <f>_xlfn.XLOOKUP(tblUnqSvr[[#This Row],[Hostname]],tblTM[common_assetName],tblTM[device_custom12],"",0,1)</f>
        <v>0</v>
      </c>
      <c r="R6" s="130"/>
      <c r="S6" s="130"/>
      <c r="T6" s="127"/>
      <c r="U6" s="127"/>
      <c r="V6" s="127"/>
      <c r="W6" s="127"/>
      <c r="X6" s="127"/>
    </row>
    <row r="7" spans="1:24" x14ac:dyDescent="0.35">
      <c r="A7" s="195"/>
      <c r="B7" s="125"/>
      <c r="C7" s="125" t="str">
        <f>MigrationEventCode</f>
        <v>MEA190</v>
      </c>
      <c r="D7" s="126">
        <f>TMWorkbook!$C$2</f>
        <v>46210</v>
      </c>
      <c r="E7" s="125" t="str">
        <f>CONCATENATE(tblUnqSvr[[#This Row],[Hostname]],"-cmold")</f>
        <v>dc04tlpkaf406-cmold</v>
      </c>
      <c r="F7" s="125" t="str">
        <f>_xlfn.XLOOKUP(tblUnqSvr[[#This Row],[Hostname]],tblTM[common_assetName],tblTM[device_ipAddress],"",0,1)</f>
        <v>10.152.28.104</v>
      </c>
      <c r="G7" s="196" t="s">
        <v>455</v>
      </c>
      <c r="H7" s="127">
        <f>_xlfn.XLOOKUP(tblUnqSvr[[#This Row],[Hostname]],tblTM[common_assetName],tblTM[device_custom35],"",0,1)</f>
        <v>0</v>
      </c>
      <c r="I7" s="197" t="str">
        <f>_xlfn.XLOOKUP(tblUnqSvr[[#This Row],[Hostname]],tblTM[common_assetName],tblTM[common_environment],"",0,1)</f>
        <v>Test</v>
      </c>
      <c r="J7" s="198" t="str">
        <f>_xlfn.XLOOKUP(tblUnqSvr[[#This Row],[Hostname]],tblTM[common_assetName],tblTM[device_assetType],"",0,1)</f>
        <v>Server</v>
      </c>
      <c r="K7"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7" s="200" t="s">
        <v>758</v>
      </c>
      <c r="M7" s="128" t="str">
        <f>_xlfn.XLOOKUP(tblUnqSvr[[#This Row],[Hostname]],tblEvntScope[Hostname],tblEvntScope[Target Data Center],"",0,1)</f>
        <v>Dell BMaaS - Ashburn</v>
      </c>
      <c r="N7" s="129" t="s">
        <v>686</v>
      </c>
      <c r="O7" s="125">
        <f>_xlfn.XLOOKUP(tblUnqSvr[[#This Row],[Hostname]],tblTM[common_assetName],tblTM[device_custom17],"",0,1)</f>
        <v>0</v>
      </c>
      <c r="P7" s="125">
        <f>_xlfn.XLOOKUP(tblUnqSvr[[#This Row],[Hostname]],tblTM[common_assetName],tblTM[device_custom14],"",0,1)</f>
        <v>0</v>
      </c>
      <c r="Q7" s="125">
        <f>_xlfn.XLOOKUP(tblUnqSvr[[#This Row],[Hostname]],tblTM[common_assetName],tblTM[device_custom12],"",0,1)</f>
        <v>0</v>
      </c>
      <c r="R7" s="130"/>
      <c r="S7" s="130"/>
      <c r="T7" s="127"/>
      <c r="U7" s="127"/>
      <c r="V7" s="127"/>
      <c r="W7" s="127"/>
      <c r="X7" s="127"/>
    </row>
    <row r="8" spans="1:24" x14ac:dyDescent="0.35">
      <c r="A8" s="195"/>
      <c r="B8" s="125"/>
      <c r="C8" s="125" t="str">
        <f>MigrationEventCode</f>
        <v>MEA190</v>
      </c>
      <c r="D8" s="126">
        <f>TMWorkbook!$C$2</f>
        <v>46210</v>
      </c>
      <c r="E8" s="125" t="str">
        <f>CONCATENATE(tblUnqSvr[[#This Row],[Hostname]],"-cmold")</f>
        <v>dc04tlpkaf407-cmold</v>
      </c>
      <c r="F8" s="125" t="str">
        <f>_xlfn.XLOOKUP(tblUnqSvr[[#This Row],[Hostname]],tblTM[common_assetName],tblTM[device_ipAddress],"",0,1)</f>
        <v>10.152.28.105</v>
      </c>
      <c r="G8" s="196" t="s">
        <v>455</v>
      </c>
      <c r="H8" s="127">
        <f>_xlfn.XLOOKUP(tblUnqSvr[[#This Row],[Hostname]],tblTM[common_assetName],tblTM[device_custom35],"",0,1)</f>
        <v>0</v>
      </c>
      <c r="I8" s="197" t="str">
        <f>_xlfn.XLOOKUP(tblUnqSvr[[#This Row],[Hostname]],tblTM[common_assetName],tblTM[common_environment],"",0,1)</f>
        <v>Test</v>
      </c>
      <c r="J8" s="198" t="str">
        <f>_xlfn.XLOOKUP(tblUnqSvr[[#This Row],[Hostname]],tblTM[common_assetName],tblTM[device_assetType],"",0,1)</f>
        <v>Server</v>
      </c>
      <c r="K8"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8" s="200" t="s">
        <v>759</v>
      </c>
      <c r="M8" s="128" t="str">
        <f>_xlfn.XLOOKUP(tblUnqSvr[[#This Row],[Hostname]],tblEvntScope[Hostname],tblEvntScope[Target Data Center],"",0,1)</f>
        <v>Dell BMaaS - Ashburn</v>
      </c>
      <c r="N8" s="129" t="s">
        <v>682</v>
      </c>
      <c r="O8" s="125">
        <f>_xlfn.XLOOKUP(tblUnqSvr[[#This Row],[Hostname]],tblTM[common_assetName],tblTM[device_custom17],"",0,1)</f>
        <v>0</v>
      </c>
      <c r="P8" s="125">
        <f>_xlfn.XLOOKUP(tblUnqSvr[[#This Row],[Hostname]],tblTM[common_assetName],tblTM[device_custom14],"",0,1)</f>
        <v>0</v>
      </c>
      <c r="Q8" s="125">
        <f>_xlfn.XLOOKUP(tblUnqSvr[[#This Row],[Hostname]],tblTM[common_assetName],tblTM[device_custom12],"",0,1)</f>
        <v>0</v>
      </c>
      <c r="R8" s="130"/>
      <c r="S8" s="130"/>
      <c r="T8" s="127"/>
      <c r="U8" s="127"/>
      <c r="V8" s="127"/>
      <c r="W8" s="127"/>
      <c r="X8" s="127"/>
    </row>
    <row r="9" spans="1:24" x14ac:dyDescent="0.35">
      <c r="A9" s="195"/>
      <c r="B9" s="125"/>
      <c r="C9" s="125" t="str">
        <f>MigrationEventCode</f>
        <v>MEA190</v>
      </c>
      <c r="D9" s="126">
        <f>TMWorkbook!$C$2</f>
        <v>46210</v>
      </c>
      <c r="E9" s="125" t="str">
        <f>CONCATENATE(tblUnqSvr[[#This Row],[Hostname]],"-cmold")</f>
        <v>dc04tlpkaf408-cmold</v>
      </c>
      <c r="F9" s="125" t="str">
        <f>_xlfn.XLOOKUP(tblUnqSvr[[#This Row],[Hostname]],tblTM[common_assetName],tblTM[device_ipAddress],"",0,1)</f>
        <v>10.152.28.106</v>
      </c>
      <c r="G9" s="196" t="s">
        <v>455</v>
      </c>
      <c r="H9" s="127">
        <f>_xlfn.XLOOKUP(tblUnqSvr[[#This Row],[Hostname]],tblTM[common_assetName],tblTM[device_custom35],"",0,1)</f>
        <v>0</v>
      </c>
      <c r="I9" s="197" t="str">
        <f>_xlfn.XLOOKUP(tblUnqSvr[[#This Row],[Hostname]],tblTM[common_assetName],tblTM[common_environment],"",0,1)</f>
        <v>Test</v>
      </c>
      <c r="J9" s="198" t="str">
        <f>_xlfn.XLOOKUP(tblUnqSvr[[#This Row],[Hostname]],tblTM[common_assetName],tblTM[device_assetType],"",0,1)</f>
        <v>Server</v>
      </c>
      <c r="K9"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9" s="200" t="s">
        <v>760</v>
      </c>
      <c r="M9" s="128" t="str">
        <f>_xlfn.XLOOKUP(tblUnqSvr[[#This Row],[Hostname]],tblEvntScope[Hostname],tblEvntScope[Target Data Center],"",0,1)</f>
        <v>Dell BMaaS - Ashburn</v>
      </c>
      <c r="N9" s="129" t="s">
        <v>678</v>
      </c>
      <c r="O9" s="125">
        <f>_xlfn.XLOOKUP(tblUnqSvr[[#This Row],[Hostname]],tblTM[common_assetName],tblTM[device_custom17],"",0,1)</f>
        <v>0</v>
      </c>
      <c r="P9" s="125">
        <f>_xlfn.XLOOKUP(tblUnqSvr[[#This Row],[Hostname]],tblTM[common_assetName],tblTM[device_custom14],"",0,1)</f>
        <v>0</v>
      </c>
      <c r="Q9" s="125">
        <f>_xlfn.XLOOKUP(tblUnqSvr[[#This Row],[Hostname]],tblTM[common_assetName],tblTM[device_custom12],"",0,1)</f>
        <v>0</v>
      </c>
      <c r="R9" s="130"/>
      <c r="S9" s="130"/>
      <c r="T9" s="127"/>
      <c r="U9" s="127"/>
      <c r="V9" s="127"/>
      <c r="W9" s="127"/>
      <c r="X9" s="127"/>
    </row>
    <row r="10" spans="1:24" x14ac:dyDescent="0.35">
      <c r="A10" s="195"/>
      <c r="B10" s="125"/>
      <c r="C10" s="125" t="str">
        <f>MigrationEventCode</f>
        <v>MEA190</v>
      </c>
      <c r="D10" s="126">
        <f>TMWorkbook!$C$2</f>
        <v>46210</v>
      </c>
      <c r="E10" s="125" t="str">
        <f>CONCATENATE(tblUnqSvr[[#This Row],[Hostname]],"-cmold")</f>
        <v>dc04tlpkaf409-cmold</v>
      </c>
      <c r="F10" s="125" t="str">
        <f>_xlfn.XLOOKUP(tblUnqSvr[[#This Row],[Hostname]],tblTM[common_assetName],tblTM[device_ipAddress],"",0,1)</f>
        <v>10.152.28.107</v>
      </c>
      <c r="G10" s="196" t="s">
        <v>455</v>
      </c>
      <c r="H10" s="127">
        <f>_xlfn.XLOOKUP(tblUnqSvr[[#This Row],[Hostname]],tblTM[common_assetName],tblTM[device_custom35],"",0,1)</f>
        <v>0</v>
      </c>
      <c r="I10" s="197" t="str">
        <f>_xlfn.XLOOKUP(tblUnqSvr[[#This Row],[Hostname]],tblTM[common_assetName],tblTM[common_environment],"",0,1)</f>
        <v>Test</v>
      </c>
      <c r="J10" s="198" t="str">
        <f>_xlfn.XLOOKUP(tblUnqSvr[[#This Row],[Hostname]],tblTM[common_assetName],tblTM[device_assetType],"",0,1)</f>
        <v>Server</v>
      </c>
      <c r="K10"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0" s="200" t="s">
        <v>761</v>
      </c>
      <c r="M10" s="128" t="str">
        <f>_xlfn.XLOOKUP(tblUnqSvr[[#This Row],[Hostname]],tblEvntScope[Hostname],tblEvntScope[Target Data Center],"",0,1)</f>
        <v>Dell BMaaS - Ashburn</v>
      </c>
      <c r="N10" s="129" t="s">
        <v>674</v>
      </c>
      <c r="O10" s="125">
        <f>_xlfn.XLOOKUP(tblUnqSvr[[#This Row],[Hostname]],tblTM[common_assetName],tblTM[device_custom17],"",0,1)</f>
        <v>0</v>
      </c>
      <c r="P10" s="125">
        <f>_xlfn.XLOOKUP(tblUnqSvr[[#This Row],[Hostname]],tblTM[common_assetName],tblTM[device_custom14],"",0,1)</f>
        <v>0</v>
      </c>
      <c r="Q10" s="125">
        <f>_xlfn.XLOOKUP(tblUnqSvr[[#This Row],[Hostname]],tblTM[common_assetName],tblTM[device_custom12],"",0,1)</f>
        <v>0</v>
      </c>
      <c r="R10" s="130"/>
      <c r="S10" s="130"/>
      <c r="T10" s="127"/>
      <c r="U10" s="127"/>
      <c r="V10" s="127"/>
      <c r="W10" s="127"/>
      <c r="X10" s="127"/>
    </row>
    <row r="11" spans="1:24" x14ac:dyDescent="0.35">
      <c r="A11" s="195"/>
      <c r="B11" s="125"/>
      <c r="C11" s="125" t="str">
        <f>MigrationEventCode</f>
        <v>MEA190</v>
      </c>
      <c r="D11" s="126">
        <f>TMWorkbook!$C$2</f>
        <v>46210</v>
      </c>
      <c r="E11" s="125" t="str">
        <f>CONCATENATE(tblUnqSvr[[#This Row],[Hostname]],"-cmold")</f>
        <v>dc04tlpkaf410-cmold</v>
      </c>
      <c r="F11" s="125" t="str">
        <f>_xlfn.XLOOKUP(tblUnqSvr[[#This Row],[Hostname]],tblTM[common_assetName],tblTM[device_ipAddress],"",0,1)</f>
        <v>10.152.28.108</v>
      </c>
      <c r="G11" s="196" t="s">
        <v>455</v>
      </c>
      <c r="H11" s="127">
        <f>_xlfn.XLOOKUP(tblUnqSvr[[#This Row],[Hostname]],tblTM[common_assetName],tblTM[device_custom35],"",0,1)</f>
        <v>0</v>
      </c>
      <c r="I11" s="197" t="str">
        <f>_xlfn.XLOOKUP(tblUnqSvr[[#This Row],[Hostname]],tblTM[common_assetName],tblTM[common_environment],"",0,1)</f>
        <v>Test</v>
      </c>
      <c r="J11" s="198" t="str">
        <f>_xlfn.XLOOKUP(tblUnqSvr[[#This Row],[Hostname]],tblTM[common_assetName],tblTM[device_assetType],"",0,1)</f>
        <v>Server</v>
      </c>
      <c r="K11"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1" s="200" t="s">
        <v>762</v>
      </c>
      <c r="M11" s="128" t="str">
        <f>_xlfn.XLOOKUP(tblUnqSvr[[#This Row],[Hostname]],tblEvntScope[Hostname],tblEvntScope[Target Data Center],"",0,1)</f>
        <v>Dell BMaaS - Ashburn</v>
      </c>
      <c r="N11" s="129" t="s">
        <v>670</v>
      </c>
      <c r="O11" s="125">
        <f>_xlfn.XLOOKUP(tblUnqSvr[[#This Row],[Hostname]],tblTM[common_assetName],tblTM[device_custom17],"",0,1)</f>
        <v>0</v>
      </c>
      <c r="P11" s="125">
        <f>_xlfn.XLOOKUP(tblUnqSvr[[#This Row],[Hostname]],tblTM[common_assetName],tblTM[device_custom14],"",0,1)</f>
        <v>0</v>
      </c>
      <c r="Q11" s="125">
        <f>_xlfn.XLOOKUP(tblUnqSvr[[#This Row],[Hostname]],tblTM[common_assetName],tblTM[device_custom12],"",0,1)</f>
        <v>0</v>
      </c>
      <c r="R11" s="130"/>
      <c r="S11" s="130"/>
      <c r="T11" s="127"/>
      <c r="U11" s="127"/>
      <c r="V11" s="127"/>
      <c r="W11" s="127"/>
      <c r="X11" s="127"/>
    </row>
    <row r="12" spans="1:24" x14ac:dyDescent="0.35">
      <c r="A12" s="195"/>
      <c r="B12" s="125"/>
      <c r="C12" s="125" t="str">
        <f>MigrationEventCode</f>
        <v>MEA190</v>
      </c>
      <c r="D12" s="126">
        <f>TMWorkbook!$C$2</f>
        <v>46210</v>
      </c>
      <c r="E12" s="125" t="str">
        <f>CONCATENATE(tblUnqSvr[[#This Row],[Hostname]],"-cmold")</f>
        <v>dc04tlpkaf417-cmold</v>
      </c>
      <c r="F12" s="125" t="str">
        <f>_xlfn.XLOOKUP(tblUnqSvr[[#This Row],[Hostname]],tblTM[common_assetName],tblTM[device_ipAddress],"",0,1)</f>
        <v>10.152.28.18</v>
      </c>
      <c r="G12" s="196" t="s">
        <v>455</v>
      </c>
      <c r="H12" s="127">
        <f>_xlfn.XLOOKUP(tblUnqSvr[[#This Row],[Hostname]],tblTM[common_assetName],tblTM[device_custom35],"",0,1)</f>
        <v>0</v>
      </c>
      <c r="I12" s="197" t="str">
        <f>_xlfn.XLOOKUP(tblUnqSvr[[#This Row],[Hostname]],tblTM[common_assetName],tblTM[common_environment],"",0,1)</f>
        <v>Test</v>
      </c>
      <c r="J12" s="198" t="str">
        <f>_xlfn.XLOOKUP(tblUnqSvr[[#This Row],[Hostname]],tblTM[common_assetName],tblTM[device_assetType],"",0,1)</f>
        <v>Server</v>
      </c>
      <c r="K12"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2" s="200" t="s">
        <v>763</v>
      </c>
      <c r="M12" s="128" t="str">
        <f>_xlfn.XLOOKUP(tblUnqSvr[[#This Row],[Hostname]],tblEvntScope[Hostname],tblEvntScope[Target Data Center],"",0,1)</f>
        <v>Dell BMaaS - Ashburn</v>
      </c>
      <c r="N12" s="129" t="s">
        <v>666</v>
      </c>
      <c r="O12" s="125">
        <f>_xlfn.XLOOKUP(tblUnqSvr[[#This Row],[Hostname]],tblTM[common_assetName],tblTM[device_custom17],"",0,1)</f>
        <v>0</v>
      </c>
      <c r="P12" s="125">
        <f>_xlfn.XLOOKUP(tblUnqSvr[[#This Row],[Hostname]],tblTM[common_assetName],tblTM[device_custom14],"",0,1)</f>
        <v>0</v>
      </c>
      <c r="Q12" s="125">
        <f>_xlfn.XLOOKUP(tblUnqSvr[[#This Row],[Hostname]],tblTM[common_assetName],tblTM[device_custom12],"",0,1)</f>
        <v>0</v>
      </c>
      <c r="R12" s="130"/>
      <c r="S12" s="130"/>
      <c r="T12" s="127"/>
      <c r="U12" s="127"/>
      <c r="V12" s="127"/>
      <c r="W12" s="127"/>
      <c r="X12" s="127"/>
    </row>
    <row r="13" spans="1:24" x14ac:dyDescent="0.35">
      <c r="A13" s="195"/>
      <c r="B13" s="125"/>
      <c r="C13" s="125" t="str">
        <f>MigrationEventCode</f>
        <v>MEA190</v>
      </c>
      <c r="D13" s="126">
        <f>TMWorkbook!$C$2</f>
        <v>46210</v>
      </c>
      <c r="E13" s="125" t="str">
        <f>CONCATENATE(tblUnqSvr[[#This Row],[Hostname]],"-cmold")</f>
        <v>dc04tlpkaf419-cmold</v>
      </c>
      <c r="F13" s="125" t="str">
        <f>_xlfn.XLOOKUP(tblUnqSvr[[#This Row],[Hostname]],tblTM[common_assetName],tblTM[device_ipAddress],"",0,1)</f>
        <v>10.152.28.20</v>
      </c>
      <c r="G13" s="196" t="s">
        <v>455</v>
      </c>
      <c r="H13" s="127">
        <f>_xlfn.XLOOKUP(tblUnqSvr[[#This Row],[Hostname]],tblTM[common_assetName],tblTM[device_custom35],"",0,1)</f>
        <v>0</v>
      </c>
      <c r="I13" s="197" t="str">
        <f>_xlfn.XLOOKUP(tblUnqSvr[[#This Row],[Hostname]],tblTM[common_assetName],tblTM[common_environment],"",0,1)</f>
        <v>Test</v>
      </c>
      <c r="J13" s="198" t="str">
        <f>_xlfn.XLOOKUP(tblUnqSvr[[#This Row],[Hostname]],tblTM[common_assetName],tblTM[device_assetType],"",0,1)</f>
        <v>Server</v>
      </c>
      <c r="K13"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3" s="200" t="s">
        <v>764</v>
      </c>
      <c r="M13" s="128" t="str">
        <f>_xlfn.XLOOKUP(tblUnqSvr[[#This Row],[Hostname]],tblEvntScope[Hostname],tblEvntScope[Target Data Center],"",0,1)</f>
        <v>Dell BMaaS - Ashburn</v>
      </c>
      <c r="N13" s="129" t="s">
        <v>662</v>
      </c>
      <c r="O13" s="125">
        <f>_xlfn.XLOOKUP(tblUnqSvr[[#This Row],[Hostname]],tblTM[common_assetName],tblTM[device_custom17],"",0,1)</f>
        <v>0</v>
      </c>
      <c r="P13" s="125">
        <f>_xlfn.XLOOKUP(tblUnqSvr[[#This Row],[Hostname]],tblTM[common_assetName],tblTM[device_custom14],"",0,1)</f>
        <v>0</v>
      </c>
      <c r="Q13" s="125">
        <f>_xlfn.XLOOKUP(tblUnqSvr[[#This Row],[Hostname]],tblTM[common_assetName],tblTM[device_custom12],"",0,1)</f>
        <v>0</v>
      </c>
      <c r="R13" s="130"/>
      <c r="S13" s="130"/>
      <c r="T13" s="127"/>
      <c r="U13" s="127"/>
      <c r="V13" s="127"/>
      <c r="W13" s="127"/>
      <c r="X13" s="127"/>
    </row>
    <row r="14" spans="1:24" x14ac:dyDescent="0.35">
      <c r="A14" s="195"/>
      <c r="B14" s="125"/>
      <c r="C14" s="125" t="str">
        <f>MigrationEventCode</f>
        <v>MEA190</v>
      </c>
      <c r="D14" s="126">
        <f>TMWorkbook!$C$2</f>
        <v>46210</v>
      </c>
      <c r="E14" s="125" t="str">
        <f>CONCATENATE(tblUnqSvr[[#This Row],[Hostname]],"-cmold")</f>
        <v>dc04tlpkaf421-cmold</v>
      </c>
      <c r="F14" s="125" t="str">
        <f>_xlfn.XLOOKUP(tblUnqSvr[[#This Row],[Hostname]],tblTM[common_assetName],tblTM[device_ipAddress],"",0,1)</f>
        <v>10.152.28.22</v>
      </c>
      <c r="G14" s="196" t="s">
        <v>455</v>
      </c>
      <c r="H14" s="127">
        <f>_xlfn.XLOOKUP(tblUnqSvr[[#This Row],[Hostname]],tblTM[common_assetName],tblTM[device_custom35],"",0,1)</f>
        <v>0</v>
      </c>
      <c r="I14" s="197" t="str">
        <f>_xlfn.XLOOKUP(tblUnqSvr[[#This Row],[Hostname]],tblTM[common_assetName],tblTM[common_environment],"",0,1)</f>
        <v>Test</v>
      </c>
      <c r="J14" s="198" t="str">
        <f>_xlfn.XLOOKUP(tblUnqSvr[[#This Row],[Hostname]],tblTM[common_assetName],tblTM[device_assetType],"",0,1)</f>
        <v>Server</v>
      </c>
      <c r="K14"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4" s="200" t="s">
        <v>765</v>
      </c>
      <c r="M14" s="128" t="str">
        <f>_xlfn.XLOOKUP(tblUnqSvr[[#This Row],[Hostname]],tblEvntScope[Hostname],tblEvntScope[Target Data Center],"",0,1)</f>
        <v>Dell BMaaS - Ashburn</v>
      </c>
      <c r="N14" s="129" t="s">
        <v>658</v>
      </c>
      <c r="O14" s="125">
        <f>_xlfn.XLOOKUP(tblUnqSvr[[#This Row],[Hostname]],tblTM[common_assetName],tblTM[device_custom17],"",0,1)</f>
        <v>0</v>
      </c>
      <c r="P14" s="125">
        <f>_xlfn.XLOOKUP(tblUnqSvr[[#This Row],[Hostname]],tblTM[common_assetName],tblTM[device_custom14],"",0,1)</f>
        <v>0</v>
      </c>
      <c r="Q14" s="125">
        <f>_xlfn.XLOOKUP(tblUnqSvr[[#This Row],[Hostname]],tblTM[common_assetName],tblTM[device_custom12],"",0,1)</f>
        <v>0</v>
      </c>
      <c r="R14" s="130"/>
      <c r="S14" s="130"/>
      <c r="T14" s="127"/>
      <c r="U14" s="127"/>
      <c r="V14" s="127"/>
      <c r="W14" s="127"/>
      <c r="X14" s="127"/>
    </row>
    <row r="15" spans="1:24" x14ac:dyDescent="0.35">
      <c r="A15" s="195"/>
      <c r="B15" s="125"/>
      <c r="C15" s="125" t="str">
        <f>MigrationEventCode</f>
        <v>MEA190</v>
      </c>
      <c r="D15" s="126">
        <f>TMWorkbook!$C$2</f>
        <v>46210</v>
      </c>
      <c r="E15" s="125" t="str">
        <f>CONCATENATE(tblUnqSvr[[#This Row],[Hostname]],"-cmold")</f>
        <v>dc04tlpkaf423-cmold</v>
      </c>
      <c r="F15" s="125" t="str">
        <f>_xlfn.XLOOKUP(tblUnqSvr[[#This Row],[Hostname]],tblTM[common_assetName],tblTM[device_ipAddress],"",0,1)</f>
        <v>10.152.28.115</v>
      </c>
      <c r="G15" s="196" t="s">
        <v>455</v>
      </c>
      <c r="H15" s="127">
        <f>_xlfn.XLOOKUP(tblUnqSvr[[#This Row],[Hostname]],tblTM[common_assetName],tblTM[device_custom35],"",0,1)</f>
        <v>0</v>
      </c>
      <c r="I15" s="197" t="str">
        <f>_xlfn.XLOOKUP(tblUnqSvr[[#This Row],[Hostname]],tblTM[common_assetName],tblTM[common_environment],"",0,1)</f>
        <v>Test</v>
      </c>
      <c r="J15" s="198" t="str">
        <f>_xlfn.XLOOKUP(tblUnqSvr[[#This Row],[Hostname]],tblTM[common_assetName],tblTM[device_assetType],"",0,1)</f>
        <v>Server</v>
      </c>
      <c r="K15"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5" s="200" t="s">
        <v>766</v>
      </c>
      <c r="M15" s="128" t="str">
        <f>_xlfn.XLOOKUP(tblUnqSvr[[#This Row],[Hostname]],tblEvntScope[Hostname],tblEvntScope[Target Data Center],"",0,1)</f>
        <v>Dell BMaaS - Ashburn</v>
      </c>
      <c r="N15" s="129" t="s">
        <v>654</v>
      </c>
      <c r="O15" s="125">
        <f>_xlfn.XLOOKUP(tblUnqSvr[[#This Row],[Hostname]],tblTM[common_assetName],tblTM[device_custom17],"",0,1)</f>
        <v>0</v>
      </c>
      <c r="P15" s="125">
        <f>_xlfn.XLOOKUP(tblUnqSvr[[#This Row],[Hostname]],tblTM[common_assetName],tblTM[device_custom14],"",0,1)</f>
        <v>0</v>
      </c>
      <c r="Q15" s="125">
        <f>_xlfn.XLOOKUP(tblUnqSvr[[#This Row],[Hostname]],tblTM[common_assetName],tblTM[device_custom12],"",0,1)</f>
        <v>0</v>
      </c>
      <c r="R15" s="130"/>
      <c r="S15" s="130"/>
      <c r="T15" s="127"/>
      <c r="U15" s="127"/>
      <c r="V15" s="127"/>
      <c r="W15" s="127"/>
      <c r="X15" s="127"/>
    </row>
    <row r="16" spans="1:24" x14ac:dyDescent="0.35">
      <c r="A16" s="195"/>
      <c r="B16" s="125"/>
      <c r="C16" s="125" t="str">
        <f>MigrationEventCode</f>
        <v>MEA190</v>
      </c>
      <c r="D16" s="126">
        <f>TMWorkbook!$C$2</f>
        <v>46210</v>
      </c>
      <c r="E16" s="125" t="str">
        <f>CONCATENATE(tblUnqSvr[[#This Row],[Hostname]],"-cmold")</f>
        <v>dc04tlpkaf424-cmold</v>
      </c>
      <c r="F16" s="125" t="str">
        <f>_xlfn.XLOOKUP(tblUnqSvr[[#This Row],[Hostname]],tblTM[common_assetName],tblTM[device_ipAddress],"",0,1)</f>
        <v>10.152.28.116</v>
      </c>
      <c r="G16" s="196" t="s">
        <v>455</v>
      </c>
      <c r="H16" s="127">
        <f>_xlfn.XLOOKUP(tblUnqSvr[[#This Row],[Hostname]],tblTM[common_assetName],tblTM[device_custom35],"",0,1)</f>
        <v>0</v>
      </c>
      <c r="I16" s="197" t="str">
        <f>_xlfn.XLOOKUP(tblUnqSvr[[#This Row],[Hostname]],tblTM[common_assetName],tblTM[common_environment],"",0,1)</f>
        <v>Test</v>
      </c>
      <c r="J16" s="198" t="str">
        <f>_xlfn.XLOOKUP(tblUnqSvr[[#This Row],[Hostname]],tblTM[common_assetName],tblTM[device_assetType],"",0,1)</f>
        <v>Server</v>
      </c>
      <c r="K16"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6" s="200" t="s">
        <v>767</v>
      </c>
      <c r="M16" s="128" t="str">
        <f>_xlfn.XLOOKUP(tblUnqSvr[[#This Row],[Hostname]],tblEvntScope[Hostname],tblEvntScope[Target Data Center],"",0,1)</f>
        <v>Dell BMaaS - Ashburn</v>
      </c>
      <c r="N16" s="129" t="s">
        <v>650</v>
      </c>
      <c r="O16" s="125">
        <f>_xlfn.XLOOKUP(tblUnqSvr[[#This Row],[Hostname]],tblTM[common_assetName],tblTM[device_custom17],"",0,1)</f>
        <v>0</v>
      </c>
      <c r="P16" s="125">
        <f>_xlfn.XLOOKUP(tblUnqSvr[[#This Row],[Hostname]],tblTM[common_assetName],tblTM[device_custom14],"",0,1)</f>
        <v>0</v>
      </c>
      <c r="Q16" s="125">
        <f>_xlfn.XLOOKUP(tblUnqSvr[[#This Row],[Hostname]],tblTM[common_assetName],tblTM[device_custom12],"",0,1)</f>
        <v>0</v>
      </c>
      <c r="R16" s="130"/>
      <c r="S16" s="130"/>
      <c r="T16" s="127"/>
      <c r="U16" s="127"/>
      <c r="V16" s="127"/>
      <c r="W16" s="127"/>
      <c r="X16" s="127"/>
    </row>
    <row r="17" spans="1:24" x14ac:dyDescent="0.35">
      <c r="A17" s="195"/>
      <c r="B17" s="125"/>
      <c r="C17" s="125" t="str">
        <f>MigrationEventCode</f>
        <v>MEA190</v>
      </c>
      <c r="D17" s="126">
        <f>TMWorkbook!$C$2</f>
        <v>46210</v>
      </c>
      <c r="E17" s="125" t="str">
        <f>CONCATENATE(tblUnqSvr[[#This Row],[Hostname]],"-cmold")</f>
        <v>dc04tlpkaf425-cmold</v>
      </c>
      <c r="F17" s="125" t="str">
        <f>_xlfn.XLOOKUP(tblUnqSvr[[#This Row],[Hostname]],tblTM[common_assetName],tblTM[device_ipAddress],"",0,1)</f>
        <v>10.152.28.117</v>
      </c>
      <c r="G17" s="196" t="s">
        <v>455</v>
      </c>
      <c r="H17" s="127">
        <f>_xlfn.XLOOKUP(tblUnqSvr[[#This Row],[Hostname]],tblTM[common_assetName],tblTM[device_custom35],"",0,1)</f>
        <v>0</v>
      </c>
      <c r="I17" s="197" t="str">
        <f>_xlfn.XLOOKUP(tblUnqSvr[[#This Row],[Hostname]],tblTM[common_assetName],tblTM[common_environment],"",0,1)</f>
        <v>Test</v>
      </c>
      <c r="J17" s="198" t="str">
        <f>_xlfn.XLOOKUP(tblUnqSvr[[#This Row],[Hostname]],tblTM[common_assetName],tblTM[device_assetType],"",0,1)</f>
        <v>Server</v>
      </c>
      <c r="K17"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7" s="200" t="s">
        <v>768</v>
      </c>
      <c r="M17" s="128" t="str">
        <f>_xlfn.XLOOKUP(tblUnqSvr[[#This Row],[Hostname]],tblEvntScope[Hostname],tblEvntScope[Target Data Center],"",0,1)</f>
        <v>Dell BMaaS - Ashburn</v>
      </c>
      <c r="N17" s="129" t="s">
        <v>646</v>
      </c>
      <c r="O17" s="125">
        <f>_xlfn.XLOOKUP(tblUnqSvr[[#This Row],[Hostname]],tblTM[common_assetName],tblTM[device_custom17],"",0,1)</f>
        <v>0</v>
      </c>
      <c r="P17" s="125">
        <f>_xlfn.XLOOKUP(tblUnqSvr[[#This Row],[Hostname]],tblTM[common_assetName],tblTM[device_custom14],"",0,1)</f>
        <v>0</v>
      </c>
      <c r="Q17" s="125">
        <f>_xlfn.XLOOKUP(tblUnqSvr[[#This Row],[Hostname]],tblTM[common_assetName],tblTM[device_custom12],"",0,1)</f>
        <v>0</v>
      </c>
      <c r="R17" s="130"/>
      <c r="S17" s="130"/>
      <c r="T17" s="127"/>
      <c r="U17" s="127"/>
      <c r="V17" s="127"/>
      <c r="W17" s="127"/>
      <c r="X17" s="127"/>
    </row>
    <row r="18" spans="1:24" x14ac:dyDescent="0.35">
      <c r="A18" s="195"/>
      <c r="B18" s="125"/>
      <c r="C18" s="125" t="str">
        <f>MigrationEventCode</f>
        <v>MEA190</v>
      </c>
      <c r="D18" s="126">
        <f>TMWorkbook!$C$2</f>
        <v>46210</v>
      </c>
      <c r="E18" s="125" t="str">
        <f>CONCATENATE(tblUnqSvr[[#This Row],[Hostname]],"-cmold")</f>
        <v>dc04tlpkaf426-cmold</v>
      </c>
      <c r="F18" s="125" t="str">
        <f>_xlfn.XLOOKUP(tblUnqSvr[[#This Row],[Hostname]],tblTM[common_assetName],tblTM[device_ipAddress],"",0,1)</f>
        <v>10.152.28.118</v>
      </c>
      <c r="G18" s="196" t="s">
        <v>455</v>
      </c>
      <c r="H18" s="127">
        <f>_xlfn.XLOOKUP(tblUnqSvr[[#This Row],[Hostname]],tblTM[common_assetName],tblTM[device_custom35],"",0,1)</f>
        <v>0</v>
      </c>
      <c r="I18" s="197" t="str">
        <f>_xlfn.XLOOKUP(tblUnqSvr[[#This Row],[Hostname]],tblTM[common_assetName],tblTM[common_environment],"",0,1)</f>
        <v>Test</v>
      </c>
      <c r="J18" s="198" t="str">
        <f>_xlfn.XLOOKUP(tblUnqSvr[[#This Row],[Hostname]],tblTM[common_assetName],tblTM[device_assetType],"",0,1)</f>
        <v>Server</v>
      </c>
      <c r="K18"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8" s="200" t="s">
        <v>769</v>
      </c>
      <c r="M18" s="128" t="str">
        <f>_xlfn.XLOOKUP(tblUnqSvr[[#This Row],[Hostname]],tblEvntScope[Hostname],tblEvntScope[Target Data Center],"",0,1)</f>
        <v>Dell BMaaS - Ashburn</v>
      </c>
      <c r="N18" s="129" t="s">
        <v>642</v>
      </c>
      <c r="O18" s="125">
        <f>_xlfn.XLOOKUP(tblUnqSvr[[#This Row],[Hostname]],tblTM[common_assetName],tblTM[device_custom17],"",0,1)</f>
        <v>0</v>
      </c>
      <c r="P18" s="125">
        <f>_xlfn.XLOOKUP(tblUnqSvr[[#This Row],[Hostname]],tblTM[common_assetName],tblTM[device_custom14],"",0,1)</f>
        <v>0</v>
      </c>
      <c r="Q18" s="125">
        <f>_xlfn.XLOOKUP(tblUnqSvr[[#This Row],[Hostname]],tblTM[common_assetName],tblTM[device_custom12],"",0,1)</f>
        <v>0</v>
      </c>
      <c r="R18" s="130"/>
      <c r="S18" s="130"/>
      <c r="T18" s="127"/>
      <c r="U18" s="127"/>
      <c r="V18" s="127"/>
      <c r="W18" s="127"/>
      <c r="X18" s="127"/>
    </row>
    <row r="19" spans="1:24" x14ac:dyDescent="0.35">
      <c r="A19" s="195"/>
      <c r="B19" s="125"/>
      <c r="C19" s="125" t="str">
        <f>MigrationEventCode</f>
        <v>MEA190</v>
      </c>
      <c r="D19" s="126">
        <f>TMWorkbook!$C$2</f>
        <v>46210</v>
      </c>
      <c r="E19" s="125" t="str">
        <f>CONCATENATE(tblUnqSvr[[#This Row],[Hostname]],"-cmold")</f>
        <v>dc04tlpkaf427-cmold</v>
      </c>
      <c r="F19" s="125" t="str">
        <f>_xlfn.XLOOKUP(tblUnqSvr[[#This Row],[Hostname]],tblTM[common_assetName],tblTM[device_ipAddress],"",0,1)</f>
        <v>10.152.28.119</v>
      </c>
      <c r="G19" s="196" t="s">
        <v>455</v>
      </c>
      <c r="H19" s="127">
        <f>_xlfn.XLOOKUP(tblUnqSvr[[#This Row],[Hostname]],tblTM[common_assetName],tblTM[device_custom35],"",0,1)</f>
        <v>0</v>
      </c>
      <c r="I19" s="197" t="str">
        <f>_xlfn.XLOOKUP(tblUnqSvr[[#This Row],[Hostname]],tblTM[common_assetName],tblTM[common_environment],"",0,1)</f>
        <v>Test</v>
      </c>
      <c r="J19" s="198" t="str">
        <f>_xlfn.XLOOKUP(tblUnqSvr[[#This Row],[Hostname]],tblTM[common_assetName],tblTM[device_assetType],"",0,1)</f>
        <v>Server</v>
      </c>
      <c r="K19"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9" s="200" t="s">
        <v>770</v>
      </c>
      <c r="M19" s="128" t="str">
        <f>_xlfn.XLOOKUP(tblUnqSvr[[#This Row],[Hostname]],tblEvntScope[Hostname],tblEvntScope[Target Data Center],"",0,1)</f>
        <v>Dell BMaaS - Ashburn</v>
      </c>
      <c r="N19" s="129" t="s">
        <v>638</v>
      </c>
      <c r="O19" s="125">
        <f>_xlfn.XLOOKUP(tblUnqSvr[[#This Row],[Hostname]],tblTM[common_assetName],tblTM[device_custom17],"",0,1)</f>
        <v>0</v>
      </c>
      <c r="P19" s="125">
        <f>_xlfn.XLOOKUP(tblUnqSvr[[#This Row],[Hostname]],tblTM[common_assetName],tblTM[device_custom14],"",0,1)</f>
        <v>0</v>
      </c>
      <c r="Q19" s="125">
        <f>_xlfn.XLOOKUP(tblUnqSvr[[#This Row],[Hostname]],tblTM[common_assetName],tblTM[device_custom12],"",0,1)</f>
        <v>0</v>
      </c>
      <c r="R19" s="130"/>
      <c r="S19" s="130"/>
      <c r="T19" s="127"/>
      <c r="U19" s="127"/>
      <c r="V19" s="127"/>
      <c r="W19" s="127"/>
      <c r="X19" s="127"/>
    </row>
    <row r="20" spans="1:24" x14ac:dyDescent="0.35">
      <c r="A20" s="195"/>
      <c r="B20" s="125"/>
      <c r="C20" s="125" t="str">
        <f>MigrationEventCode</f>
        <v>MEA190</v>
      </c>
      <c r="D20" s="126">
        <f>TMWorkbook!$C$2</f>
        <v>46210</v>
      </c>
      <c r="E20" s="125" t="str">
        <f>CONCATENATE(tblUnqSvr[[#This Row],[Hostname]],"-cmold")</f>
        <v>dc04tlpkaf428-cmold</v>
      </c>
      <c r="F20" s="125" t="str">
        <f>_xlfn.XLOOKUP(tblUnqSvr[[#This Row],[Hostname]],tblTM[common_assetName],tblTM[device_ipAddress],"",0,1)</f>
        <v>10.152.28.120</v>
      </c>
      <c r="G20" s="196" t="s">
        <v>455</v>
      </c>
      <c r="H20" s="127">
        <f>_xlfn.XLOOKUP(tblUnqSvr[[#This Row],[Hostname]],tblTM[common_assetName],tblTM[device_custom35],"",0,1)</f>
        <v>0</v>
      </c>
      <c r="I20" s="197" t="str">
        <f>_xlfn.XLOOKUP(tblUnqSvr[[#This Row],[Hostname]],tblTM[common_assetName],tblTM[common_environment],"",0,1)</f>
        <v>Test</v>
      </c>
      <c r="J20" s="198" t="str">
        <f>_xlfn.XLOOKUP(tblUnqSvr[[#This Row],[Hostname]],tblTM[common_assetName],tblTM[device_assetType],"",0,1)</f>
        <v>Server</v>
      </c>
      <c r="K20"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0" s="200" t="s">
        <v>771</v>
      </c>
      <c r="M20" s="128" t="str">
        <f>_xlfn.XLOOKUP(tblUnqSvr[[#This Row],[Hostname]],tblEvntScope[Hostname],tblEvntScope[Target Data Center],"",0,1)</f>
        <v>Dell BMaaS - Ashburn</v>
      </c>
      <c r="N20" s="129" t="s">
        <v>634</v>
      </c>
      <c r="O20" s="125">
        <f>_xlfn.XLOOKUP(tblUnqSvr[[#This Row],[Hostname]],tblTM[common_assetName],tblTM[device_custom17],"",0,1)</f>
        <v>0</v>
      </c>
      <c r="P20" s="125">
        <f>_xlfn.XLOOKUP(tblUnqSvr[[#This Row],[Hostname]],tblTM[common_assetName],tblTM[device_custom14],"",0,1)</f>
        <v>0</v>
      </c>
      <c r="Q20" s="125">
        <f>_xlfn.XLOOKUP(tblUnqSvr[[#This Row],[Hostname]],tblTM[common_assetName],tblTM[device_custom12],"",0,1)</f>
        <v>0</v>
      </c>
      <c r="R20" s="130"/>
      <c r="S20" s="130"/>
      <c r="T20" s="127"/>
      <c r="U20" s="127"/>
      <c r="V20" s="127"/>
      <c r="W20" s="127"/>
      <c r="X20" s="127"/>
    </row>
    <row r="21" spans="1:24" x14ac:dyDescent="0.35">
      <c r="A21" s="195"/>
      <c r="B21" s="125"/>
      <c r="C21" s="125" t="str">
        <f>MigrationEventCode</f>
        <v>MEA190</v>
      </c>
      <c r="D21" s="126">
        <f>TMWorkbook!$C$2</f>
        <v>46210</v>
      </c>
      <c r="E21" s="125" t="str">
        <f>CONCATENATE(tblUnqSvr[[#This Row],[Hostname]],"-cmold")</f>
        <v>dc04tlpkaf432-cmold</v>
      </c>
      <c r="F21" s="125" t="str">
        <f>_xlfn.XLOOKUP(tblUnqSvr[[#This Row],[Hostname]],tblTM[common_assetName],tblTM[device_ipAddress],"",0,1)</f>
        <v>10.152.28.124</v>
      </c>
      <c r="G21" s="196" t="s">
        <v>455</v>
      </c>
      <c r="H21" s="127">
        <f>_xlfn.XLOOKUP(tblUnqSvr[[#This Row],[Hostname]],tblTM[common_assetName],tblTM[device_custom35],"",0,1)</f>
        <v>0</v>
      </c>
      <c r="I21" s="197" t="str">
        <f>_xlfn.XLOOKUP(tblUnqSvr[[#This Row],[Hostname]],tblTM[common_assetName],tblTM[common_environment],"",0,1)</f>
        <v>Test</v>
      </c>
      <c r="J21" s="198" t="str">
        <f>_xlfn.XLOOKUP(tblUnqSvr[[#This Row],[Hostname]],tblTM[common_assetName],tblTM[device_assetType],"",0,1)</f>
        <v>Server</v>
      </c>
      <c r="K21"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1" s="200" t="s">
        <v>772</v>
      </c>
      <c r="M21" s="128" t="str">
        <f>_xlfn.XLOOKUP(tblUnqSvr[[#This Row],[Hostname]],tblEvntScope[Hostname],tblEvntScope[Target Data Center],"",0,1)</f>
        <v>Dell BMaaS - Ashburn</v>
      </c>
      <c r="N21" s="129" t="s">
        <v>630</v>
      </c>
      <c r="O21" s="125">
        <f>_xlfn.XLOOKUP(tblUnqSvr[[#This Row],[Hostname]],tblTM[common_assetName],tblTM[device_custom17],"",0,1)</f>
        <v>0</v>
      </c>
      <c r="P21" s="125">
        <f>_xlfn.XLOOKUP(tblUnqSvr[[#This Row],[Hostname]],tblTM[common_assetName],tblTM[device_custom14],"",0,1)</f>
        <v>0</v>
      </c>
      <c r="Q21" s="125">
        <f>_xlfn.XLOOKUP(tblUnqSvr[[#This Row],[Hostname]],tblTM[common_assetName],tblTM[device_custom12],"",0,1)</f>
        <v>0</v>
      </c>
      <c r="R21" s="130"/>
      <c r="S21" s="130"/>
      <c r="T21" s="127"/>
      <c r="U21" s="127"/>
      <c r="V21" s="127"/>
      <c r="W21" s="127"/>
      <c r="X21" s="127"/>
    </row>
    <row r="22" spans="1:24" x14ac:dyDescent="0.35">
      <c r="A22" s="195"/>
      <c r="B22" s="125"/>
      <c r="C22" s="125" t="str">
        <f>MigrationEventCode</f>
        <v>MEA190</v>
      </c>
      <c r="D22" s="126">
        <f>TMWorkbook!$C$2</f>
        <v>46210</v>
      </c>
      <c r="E22" s="125" t="str">
        <f>CONCATENATE(tblUnqSvr[[#This Row],[Hostname]],"-cmold")</f>
        <v>dc04tlpkaf434-cmold</v>
      </c>
      <c r="F22" s="125" t="str">
        <f>_xlfn.XLOOKUP(tblUnqSvr[[#This Row],[Hostname]],tblTM[common_assetName],tblTM[device_ipAddress],"",0,1)</f>
        <v>10.152.28.126</v>
      </c>
      <c r="G22" s="196" t="s">
        <v>455</v>
      </c>
      <c r="H22" s="127">
        <f>_xlfn.XLOOKUP(tblUnqSvr[[#This Row],[Hostname]],tblTM[common_assetName],tblTM[device_custom35],"",0,1)</f>
        <v>0</v>
      </c>
      <c r="I22" s="197" t="str">
        <f>_xlfn.XLOOKUP(tblUnqSvr[[#This Row],[Hostname]],tblTM[common_assetName],tblTM[common_environment],"",0,1)</f>
        <v>Test</v>
      </c>
      <c r="J22" s="198" t="str">
        <f>_xlfn.XLOOKUP(tblUnqSvr[[#This Row],[Hostname]],tblTM[common_assetName],tblTM[device_assetType],"",0,1)</f>
        <v>Server</v>
      </c>
      <c r="K22"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2" s="200" t="s">
        <v>773</v>
      </c>
      <c r="M22" s="128" t="str">
        <f>_xlfn.XLOOKUP(tblUnqSvr[[#This Row],[Hostname]],tblEvntScope[Hostname],tblEvntScope[Target Data Center],"",0,1)</f>
        <v>Dell BMaaS - Ashburn</v>
      </c>
      <c r="N22" s="129" t="s">
        <v>626</v>
      </c>
      <c r="O22" s="125">
        <f>_xlfn.XLOOKUP(tblUnqSvr[[#This Row],[Hostname]],tblTM[common_assetName],tblTM[device_custom17],"",0,1)</f>
        <v>0</v>
      </c>
      <c r="P22" s="125">
        <f>_xlfn.XLOOKUP(tblUnqSvr[[#This Row],[Hostname]],tblTM[common_assetName],tblTM[device_custom14],"",0,1)</f>
        <v>0</v>
      </c>
      <c r="Q22" s="125">
        <f>_xlfn.XLOOKUP(tblUnqSvr[[#This Row],[Hostname]],tblTM[common_assetName],tblTM[device_custom12],"",0,1)</f>
        <v>0</v>
      </c>
      <c r="R22" s="130"/>
      <c r="S22" s="130"/>
      <c r="T22" s="127"/>
      <c r="U22" s="127"/>
      <c r="V22" s="127"/>
      <c r="W22" s="127"/>
      <c r="X22" s="127"/>
    </row>
    <row r="23" spans="1:24" x14ac:dyDescent="0.35">
      <c r="A23" s="195"/>
      <c r="B23" s="125"/>
      <c r="C23" s="125" t="str">
        <f>MigrationEventCode</f>
        <v>MEA190</v>
      </c>
      <c r="D23" s="126">
        <f>TMWorkbook!$C$2</f>
        <v>46210</v>
      </c>
      <c r="E23" s="125" t="str">
        <f>CONCATENATE(tblUnqSvr[[#This Row],[Hostname]],"-cmold")</f>
        <v>dc04tlpkaf437-cmold</v>
      </c>
      <c r="F23" s="125" t="str">
        <f>_xlfn.XLOOKUP(tblUnqSvr[[#This Row],[Hostname]],tblTM[common_assetName],tblTM[device_ipAddress],"",0,1)</f>
        <v>10.152.28.129</v>
      </c>
      <c r="G23" s="196" t="s">
        <v>455</v>
      </c>
      <c r="H23" s="127">
        <f>_xlfn.XLOOKUP(tblUnqSvr[[#This Row],[Hostname]],tblTM[common_assetName],tblTM[device_custom35],"",0,1)</f>
        <v>0</v>
      </c>
      <c r="I23" s="197" t="str">
        <f>_xlfn.XLOOKUP(tblUnqSvr[[#This Row],[Hostname]],tblTM[common_assetName],tblTM[common_environment],"",0,1)</f>
        <v>Test</v>
      </c>
      <c r="J23" s="198" t="str">
        <f>_xlfn.XLOOKUP(tblUnqSvr[[#This Row],[Hostname]],tblTM[common_assetName],tblTM[device_assetType],"",0,1)</f>
        <v>Server</v>
      </c>
      <c r="K23"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3" s="200" t="s">
        <v>774</v>
      </c>
      <c r="M23" s="128" t="str">
        <f>_xlfn.XLOOKUP(tblUnqSvr[[#This Row],[Hostname]],tblEvntScope[Hostname],tblEvntScope[Target Data Center],"",0,1)</f>
        <v>Dell BMaaS - Ashburn</v>
      </c>
      <c r="N23" s="129" t="s">
        <v>622</v>
      </c>
      <c r="O23" s="125">
        <f>_xlfn.XLOOKUP(tblUnqSvr[[#This Row],[Hostname]],tblTM[common_assetName],tblTM[device_custom17],"",0,1)</f>
        <v>0</v>
      </c>
      <c r="P23" s="125">
        <f>_xlfn.XLOOKUP(tblUnqSvr[[#This Row],[Hostname]],tblTM[common_assetName],tblTM[device_custom14],"",0,1)</f>
        <v>0</v>
      </c>
      <c r="Q23" s="125">
        <f>_xlfn.XLOOKUP(tblUnqSvr[[#This Row],[Hostname]],tblTM[common_assetName],tblTM[device_custom12],"",0,1)</f>
        <v>0</v>
      </c>
      <c r="R23" s="130"/>
      <c r="S23" s="130"/>
      <c r="T23" s="127"/>
      <c r="U23" s="127"/>
      <c r="V23" s="127"/>
      <c r="W23" s="127"/>
      <c r="X23" s="127"/>
    </row>
    <row r="24" spans="1:24" x14ac:dyDescent="0.35">
      <c r="A24" s="195"/>
      <c r="B24" s="125"/>
      <c r="C24" s="125" t="str">
        <f>MigrationEventCode</f>
        <v>MEA190</v>
      </c>
      <c r="D24" s="126">
        <f>TMWorkbook!$C$2</f>
        <v>46210</v>
      </c>
      <c r="E24" s="125" t="str">
        <f>CONCATENATE(tblUnqSvr[[#This Row],[Hostname]],"-cmold")</f>
        <v>dc04tlpkaf438-cmold</v>
      </c>
      <c r="F24" s="125" t="str">
        <f>_xlfn.XLOOKUP(tblUnqSvr[[#This Row],[Hostname]],tblTM[common_assetName],tblTM[device_ipAddress],"",0,1)</f>
        <v>10.152.28.130</v>
      </c>
      <c r="G24" s="196" t="s">
        <v>455</v>
      </c>
      <c r="H24" s="127">
        <f>_xlfn.XLOOKUP(tblUnqSvr[[#This Row],[Hostname]],tblTM[common_assetName],tblTM[device_custom35],"",0,1)</f>
        <v>0</v>
      </c>
      <c r="I24" s="197" t="str">
        <f>_xlfn.XLOOKUP(tblUnqSvr[[#This Row],[Hostname]],tblTM[common_assetName],tblTM[common_environment],"",0,1)</f>
        <v>Test</v>
      </c>
      <c r="J24" s="198" t="str">
        <f>_xlfn.XLOOKUP(tblUnqSvr[[#This Row],[Hostname]],tblTM[common_assetName],tblTM[device_assetType],"",0,1)</f>
        <v>Server</v>
      </c>
      <c r="K24"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4" s="200" t="s">
        <v>775</v>
      </c>
      <c r="M24" s="128" t="str">
        <f>_xlfn.XLOOKUP(tblUnqSvr[[#This Row],[Hostname]],tblEvntScope[Hostname],tblEvntScope[Target Data Center],"",0,1)</f>
        <v>Dell BMaaS - Ashburn</v>
      </c>
      <c r="N24" s="129" t="s">
        <v>618</v>
      </c>
      <c r="O24" s="125">
        <f>_xlfn.XLOOKUP(tblUnqSvr[[#This Row],[Hostname]],tblTM[common_assetName],tblTM[device_custom17],"",0,1)</f>
        <v>0</v>
      </c>
      <c r="P24" s="125">
        <f>_xlfn.XLOOKUP(tblUnqSvr[[#This Row],[Hostname]],tblTM[common_assetName],tblTM[device_custom14],"",0,1)</f>
        <v>0</v>
      </c>
      <c r="Q24" s="125">
        <f>_xlfn.XLOOKUP(tblUnqSvr[[#This Row],[Hostname]],tblTM[common_assetName],tblTM[device_custom12],"",0,1)</f>
        <v>0</v>
      </c>
      <c r="R24" s="130"/>
      <c r="S24" s="130"/>
      <c r="T24" s="127"/>
      <c r="U24" s="127"/>
      <c r="V24" s="127"/>
      <c r="W24" s="127"/>
      <c r="X24" s="127"/>
    </row>
    <row r="25" spans="1:24" x14ac:dyDescent="0.35">
      <c r="A25" s="195"/>
      <c r="B25" s="125"/>
      <c r="C25" s="125" t="str">
        <f>MigrationEventCode</f>
        <v>MEA190</v>
      </c>
      <c r="D25" s="126">
        <f>TMWorkbook!$C$2</f>
        <v>46210</v>
      </c>
      <c r="E25" s="125" t="str">
        <f>CONCATENATE(tblUnqSvr[[#This Row],[Hostname]],"-cmold")</f>
        <v>dc04tlpkaf446-cmold</v>
      </c>
      <c r="F25" s="125" t="str">
        <f>_xlfn.XLOOKUP(tblUnqSvr[[#This Row],[Hostname]],tblTM[common_assetName],tblTM[device_ipAddress],"",0,1)</f>
        <v>10.152.28.138</v>
      </c>
      <c r="G25" s="196" t="s">
        <v>455</v>
      </c>
      <c r="H25" s="127">
        <f>_xlfn.XLOOKUP(tblUnqSvr[[#This Row],[Hostname]],tblTM[common_assetName],tblTM[device_custom35],"",0,1)</f>
        <v>0</v>
      </c>
      <c r="I25" s="197" t="str">
        <f>_xlfn.XLOOKUP(tblUnqSvr[[#This Row],[Hostname]],tblTM[common_assetName],tblTM[common_environment],"",0,1)</f>
        <v>Test</v>
      </c>
      <c r="J25" s="198" t="str">
        <f>_xlfn.XLOOKUP(tblUnqSvr[[#This Row],[Hostname]],tblTM[common_assetName],tblTM[device_assetType],"",0,1)</f>
        <v>Server</v>
      </c>
      <c r="K25"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5" s="200" t="s">
        <v>776</v>
      </c>
      <c r="M25" s="128" t="str">
        <f>_xlfn.XLOOKUP(tblUnqSvr[[#This Row],[Hostname]],tblEvntScope[Hostname],tblEvntScope[Target Data Center],"",0,1)</f>
        <v>Dell BMaaS - Ashburn</v>
      </c>
      <c r="N25" s="129" t="s">
        <v>614</v>
      </c>
      <c r="O25" s="125">
        <f>_xlfn.XLOOKUP(tblUnqSvr[[#This Row],[Hostname]],tblTM[common_assetName],tblTM[device_custom17],"",0,1)</f>
        <v>0</v>
      </c>
      <c r="P25" s="125">
        <f>_xlfn.XLOOKUP(tblUnqSvr[[#This Row],[Hostname]],tblTM[common_assetName],tblTM[device_custom14],"",0,1)</f>
        <v>0</v>
      </c>
      <c r="Q25" s="125">
        <f>_xlfn.XLOOKUP(tblUnqSvr[[#This Row],[Hostname]],tblTM[common_assetName],tblTM[device_custom12],"",0,1)</f>
        <v>0</v>
      </c>
      <c r="R25" s="130"/>
      <c r="S25" s="130"/>
      <c r="T25" s="127"/>
      <c r="U25" s="127"/>
      <c r="V25" s="127"/>
      <c r="W25" s="127"/>
      <c r="X25" s="127"/>
    </row>
    <row r="26" spans="1:24" x14ac:dyDescent="0.35">
      <c r="A26" s="195"/>
      <c r="B26" s="125"/>
      <c r="C26" s="125" t="str">
        <f>MigrationEventCode</f>
        <v>MEA190</v>
      </c>
      <c r="D26" s="126">
        <f>TMWorkbook!$C$2</f>
        <v>46210</v>
      </c>
      <c r="E26" s="125" t="str">
        <f>CONCATENATE(tblUnqSvr[[#This Row],[Hostname]],"-cmold")</f>
        <v>dc04tlpkaf447-cmold</v>
      </c>
      <c r="F26" s="125" t="str">
        <f>_xlfn.XLOOKUP(tblUnqSvr[[#This Row],[Hostname]],tblTM[common_assetName],tblTM[device_ipAddress],"",0,1)</f>
        <v>10.152.28.139</v>
      </c>
      <c r="G26" s="196" t="s">
        <v>455</v>
      </c>
      <c r="H26" s="127">
        <f>_xlfn.XLOOKUP(tblUnqSvr[[#This Row],[Hostname]],tblTM[common_assetName],tblTM[device_custom35],"",0,1)</f>
        <v>0</v>
      </c>
      <c r="I26" s="197" t="str">
        <f>_xlfn.XLOOKUP(tblUnqSvr[[#This Row],[Hostname]],tblTM[common_assetName],tblTM[common_environment],"",0,1)</f>
        <v>Test</v>
      </c>
      <c r="J26" s="198" t="str">
        <f>_xlfn.XLOOKUP(tblUnqSvr[[#This Row],[Hostname]],tblTM[common_assetName],tblTM[device_assetType],"",0,1)</f>
        <v>Server</v>
      </c>
      <c r="K26"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6" s="200" t="s">
        <v>777</v>
      </c>
      <c r="M26" s="128" t="str">
        <f>_xlfn.XLOOKUP(tblUnqSvr[[#This Row],[Hostname]],tblEvntScope[Hostname],tblEvntScope[Target Data Center],"",0,1)</f>
        <v>Dell BMaaS - Ashburn</v>
      </c>
      <c r="N26" s="129" t="s">
        <v>610</v>
      </c>
      <c r="O26" s="125">
        <f>_xlfn.XLOOKUP(tblUnqSvr[[#This Row],[Hostname]],tblTM[common_assetName],tblTM[device_custom17],"",0,1)</f>
        <v>0</v>
      </c>
      <c r="P26" s="125">
        <f>_xlfn.XLOOKUP(tblUnqSvr[[#This Row],[Hostname]],tblTM[common_assetName],tblTM[device_custom14],"",0,1)</f>
        <v>0</v>
      </c>
      <c r="Q26" s="125">
        <f>_xlfn.XLOOKUP(tblUnqSvr[[#This Row],[Hostname]],tblTM[common_assetName],tblTM[device_custom12],"",0,1)</f>
        <v>0</v>
      </c>
      <c r="R26" s="130"/>
      <c r="S26" s="130"/>
      <c r="T26" s="127"/>
      <c r="U26" s="127"/>
      <c r="V26" s="127"/>
      <c r="W26" s="127"/>
      <c r="X26" s="127"/>
    </row>
    <row r="27" spans="1:24" x14ac:dyDescent="0.35">
      <c r="A27" s="195"/>
      <c r="B27" s="125"/>
      <c r="C27" s="125" t="str">
        <f>MigrationEventCode</f>
        <v>MEA190</v>
      </c>
      <c r="D27" s="126">
        <f>TMWorkbook!$C$2</f>
        <v>46210</v>
      </c>
      <c r="E27" s="125" t="str">
        <f>CONCATENATE(tblUnqSvr[[#This Row],[Hostname]],"-cmold")</f>
        <v>dc04tlpkaf448-cmold</v>
      </c>
      <c r="F27" s="125" t="str">
        <f>_xlfn.XLOOKUP(tblUnqSvr[[#This Row],[Hostname]],tblTM[common_assetName],tblTM[device_ipAddress],"",0,1)</f>
        <v>10.152.28.140</v>
      </c>
      <c r="G27" s="196" t="s">
        <v>455</v>
      </c>
      <c r="H27" s="127">
        <f>_xlfn.XLOOKUP(tblUnqSvr[[#This Row],[Hostname]],tblTM[common_assetName],tblTM[device_custom35],"",0,1)</f>
        <v>0</v>
      </c>
      <c r="I27" s="197" t="str">
        <f>_xlfn.XLOOKUP(tblUnqSvr[[#This Row],[Hostname]],tblTM[common_assetName],tblTM[common_environment],"",0,1)</f>
        <v>Test</v>
      </c>
      <c r="J27" s="198" t="str">
        <f>_xlfn.XLOOKUP(tblUnqSvr[[#This Row],[Hostname]],tblTM[common_assetName],tblTM[device_assetType],"",0,1)</f>
        <v>Server</v>
      </c>
      <c r="K27"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7" s="200" t="s">
        <v>778</v>
      </c>
      <c r="M27" s="128" t="str">
        <f>_xlfn.XLOOKUP(tblUnqSvr[[#This Row],[Hostname]],tblEvntScope[Hostname],tblEvntScope[Target Data Center],"",0,1)</f>
        <v>Dell BMaaS - Ashburn</v>
      </c>
      <c r="N27" s="129" t="s">
        <v>606</v>
      </c>
      <c r="O27" s="125">
        <f>_xlfn.XLOOKUP(tblUnqSvr[[#This Row],[Hostname]],tblTM[common_assetName],tblTM[device_custom17],"",0,1)</f>
        <v>0</v>
      </c>
      <c r="P27" s="125">
        <f>_xlfn.XLOOKUP(tblUnqSvr[[#This Row],[Hostname]],tblTM[common_assetName],tblTM[device_custom14],"",0,1)</f>
        <v>0</v>
      </c>
      <c r="Q27" s="125">
        <f>_xlfn.XLOOKUP(tblUnqSvr[[#This Row],[Hostname]],tblTM[common_assetName],tblTM[device_custom12],"",0,1)</f>
        <v>0</v>
      </c>
      <c r="R27" s="130"/>
      <c r="S27" s="130"/>
      <c r="T27" s="127"/>
      <c r="U27" s="127"/>
      <c r="V27" s="127"/>
      <c r="W27" s="127"/>
      <c r="X27" s="127"/>
    </row>
    <row r="28" spans="1:24" x14ac:dyDescent="0.35">
      <c r="A28" s="195"/>
      <c r="B28" s="125"/>
      <c r="C28" s="125" t="str">
        <f>MigrationEventCode</f>
        <v>MEA190</v>
      </c>
      <c r="D28" s="126">
        <f>TMWorkbook!$C$2</f>
        <v>46210</v>
      </c>
      <c r="E28" s="125" t="str">
        <f>CONCATENATE(tblUnqSvr[[#This Row],[Hostname]],"-cmold")</f>
        <v>dc04tlpkaf449-cmold</v>
      </c>
      <c r="F28" s="125" t="str">
        <f>_xlfn.XLOOKUP(tblUnqSvr[[#This Row],[Hostname]],tblTM[common_assetName],tblTM[device_ipAddress],"",0,1)</f>
        <v>10.152.28.141</v>
      </c>
      <c r="G28" s="196" t="s">
        <v>455</v>
      </c>
      <c r="H28" s="127">
        <f>_xlfn.XLOOKUP(tblUnqSvr[[#This Row],[Hostname]],tblTM[common_assetName],tblTM[device_custom35],"",0,1)</f>
        <v>0</v>
      </c>
      <c r="I28" s="197" t="str">
        <f>_xlfn.XLOOKUP(tblUnqSvr[[#This Row],[Hostname]],tblTM[common_assetName],tblTM[common_environment],"",0,1)</f>
        <v>Test</v>
      </c>
      <c r="J28" s="198" t="str">
        <f>_xlfn.XLOOKUP(tblUnqSvr[[#This Row],[Hostname]],tblTM[common_assetName],tblTM[device_assetType],"",0,1)</f>
        <v>Server</v>
      </c>
      <c r="K28"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8" s="200" t="s">
        <v>779</v>
      </c>
      <c r="M28" s="128" t="str">
        <f>_xlfn.XLOOKUP(tblUnqSvr[[#This Row],[Hostname]],tblEvntScope[Hostname],tblEvntScope[Target Data Center],"",0,1)</f>
        <v>Dell BMaaS - Ashburn</v>
      </c>
      <c r="N28" s="129" t="s">
        <v>602</v>
      </c>
      <c r="O28" s="125">
        <f>_xlfn.XLOOKUP(tblUnqSvr[[#This Row],[Hostname]],tblTM[common_assetName],tblTM[device_custom17],"",0,1)</f>
        <v>0</v>
      </c>
      <c r="P28" s="125">
        <f>_xlfn.XLOOKUP(tblUnqSvr[[#This Row],[Hostname]],tblTM[common_assetName],tblTM[device_custom14],"",0,1)</f>
        <v>0</v>
      </c>
      <c r="Q28" s="125">
        <f>_xlfn.XLOOKUP(tblUnqSvr[[#This Row],[Hostname]],tblTM[common_assetName],tblTM[device_custom12],"",0,1)</f>
        <v>0</v>
      </c>
      <c r="R28" s="130"/>
      <c r="S28" s="130"/>
      <c r="T28" s="127"/>
      <c r="U28" s="127"/>
      <c r="V28" s="127"/>
      <c r="W28" s="127"/>
      <c r="X28" s="127"/>
    </row>
    <row r="29" spans="1:24" x14ac:dyDescent="0.35">
      <c r="A29" s="195"/>
      <c r="B29" s="125"/>
      <c r="C29" s="125" t="str">
        <f>MigrationEventCode</f>
        <v>MEA190</v>
      </c>
      <c r="D29" s="126">
        <f>TMWorkbook!$C$2</f>
        <v>46210</v>
      </c>
      <c r="E29" s="125" t="str">
        <f>CONCATENATE(tblUnqSvr[[#This Row],[Hostname]],"-cmold")</f>
        <v>dc04tlpkaf450-cmold</v>
      </c>
      <c r="F29" s="125" t="str">
        <f>_xlfn.XLOOKUP(tblUnqSvr[[#This Row],[Hostname]],tblTM[common_assetName],tblTM[device_ipAddress],"",0,1)</f>
        <v>10.152.28.142</v>
      </c>
      <c r="G29" s="196" t="s">
        <v>455</v>
      </c>
      <c r="H29" s="127">
        <f>_xlfn.XLOOKUP(tblUnqSvr[[#This Row],[Hostname]],tblTM[common_assetName],tblTM[device_custom35],"",0,1)</f>
        <v>0</v>
      </c>
      <c r="I29" s="197" t="str">
        <f>_xlfn.XLOOKUP(tblUnqSvr[[#This Row],[Hostname]],tblTM[common_assetName],tblTM[common_environment],"",0,1)</f>
        <v>Test</v>
      </c>
      <c r="J29" s="198" t="str">
        <f>_xlfn.XLOOKUP(tblUnqSvr[[#This Row],[Hostname]],tblTM[common_assetName],tblTM[device_assetType],"",0,1)</f>
        <v>Server</v>
      </c>
      <c r="K29"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9" s="200" t="s">
        <v>780</v>
      </c>
      <c r="M29" s="128" t="str">
        <f>_xlfn.XLOOKUP(tblUnqSvr[[#This Row],[Hostname]],tblEvntScope[Hostname],tblEvntScope[Target Data Center],"",0,1)</f>
        <v>Dell BMaaS - Ashburn</v>
      </c>
      <c r="N29" s="129" t="s">
        <v>596</v>
      </c>
      <c r="O29" s="125">
        <f>_xlfn.XLOOKUP(tblUnqSvr[[#This Row],[Hostname]],tblTM[common_assetName],tblTM[device_custom17],"",0,1)</f>
        <v>0</v>
      </c>
      <c r="P29" s="125">
        <f>_xlfn.XLOOKUP(tblUnqSvr[[#This Row],[Hostname]],tblTM[common_assetName],tblTM[device_custom14],"",0,1)</f>
        <v>0</v>
      </c>
      <c r="Q29" s="125">
        <f>_xlfn.XLOOKUP(tblUnqSvr[[#This Row],[Hostname]],tblTM[common_assetName],tblTM[device_custom12],"",0,1)</f>
        <v>0</v>
      </c>
      <c r="R29" s="130"/>
      <c r="S29" s="130"/>
      <c r="T29" s="127"/>
      <c r="U29" s="127"/>
      <c r="V29" s="127"/>
      <c r="W29" s="127"/>
      <c r="X29" s="127"/>
    </row>
    <row r="30" spans="1:24" x14ac:dyDescent="0.35">
      <c r="A30" s="195"/>
      <c r="B30" s="125"/>
      <c r="C30" s="125" t="str">
        <f>MigrationEventCode</f>
        <v>MEA190</v>
      </c>
      <c r="D30" s="126">
        <f>TMWorkbook!$C$2</f>
        <v>46210</v>
      </c>
      <c r="E30" s="125" t="str">
        <f>CONCATENATE(tblUnqSvr[[#This Row],[Hostname]],"-cmold")</f>
        <v>va10n10144-cmold</v>
      </c>
      <c r="F30" s="125" t="str">
        <f>_xlfn.XLOOKUP(tblUnqSvr[[#This Row],[Hostname]],tblTM[common_assetName],tblTM[device_ipAddress],"",0,1)</f>
        <v>30.135.106.116,30.135.106.112,30.135.106.113</v>
      </c>
      <c r="G30" s="196" t="s">
        <v>751</v>
      </c>
      <c r="H30" s="127" t="str">
        <f>_xlfn.XLOOKUP(tblUnqSvr[[#This Row],[Hostname]],tblTM[common_assetName],tblTM[device_custom35],"",0,1)</f>
        <v>MQ</v>
      </c>
      <c r="I30" s="197" t="str">
        <f>_xlfn.XLOOKUP(tblUnqSvr[[#This Row],[Hostname]],tblTM[common_assetName],tblTM[common_environment],"",0,1)</f>
        <v>Development</v>
      </c>
      <c r="J30" s="198" t="str">
        <f>_xlfn.XLOOKUP(tblUnqSvr[[#This Row],[Hostname]],tblTM[common_assetName],tblTM[device_assetType],"",0,1)</f>
        <v>AIX-LPAR</v>
      </c>
      <c r="K30"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30" s="200" t="s">
        <v>781</v>
      </c>
      <c r="M30" s="128" t="str">
        <f>_xlfn.XLOOKUP(tblUnqSvr[[#This Row],[Hostname]],tblEvntScope[Hostname],tblEvntScope[Target Data Center],"",0,1)</f>
        <v>IBM Cloud Dedicated - Ashburn</v>
      </c>
      <c r="N30" s="129" t="s">
        <v>592</v>
      </c>
      <c r="O30" s="125">
        <f>_xlfn.XLOOKUP(tblUnqSvr[[#This Row],[Hostname]],tblTM[common_assetName],tblTM[device_custom17],"",0,1)</f>
        <v>0</v>
      </c>
      <c r="P30" s="125">
        <f>_xlfn.XLOOKUP(tblUnqSvr[[#This Row],[Hostname]],tblTM[common_assetName],tblTM[device_custom14],"",0,1)</f>
        <v>0</v>
      </c>
      <c r="Q30" s="125">
        <f>_xlfn.XLOOKUP(tblUnqSvr[[#This Row],[Hostname]],tblTM[common_assetName],tblTM[device_custom12],"",0,1)</f>
        <v>0</v>
      </c>
      <c r="R30" s="130"/>
      <c r="S30" s="130"/>
      <c r="T30" s="127"/>
      <c r="U30" s="127"/>
      <c r="V30" s="127"/>
      <c r="W30" s="127"/>
      <c r="X30" s="127"/>
    </row>
    <row r="31" spans="1:24" x14ac:dyDescent="0.35">
      <c r="A31" s="195"/>
      <c r="B31" s="125"/>
      <c r="C31" s="125" t="str">
        <f>MigrationEventCode</f>
        <v>MEA190</v>
      </c>
      <c r="D31" s="126">
        <f>TMWorkbook!$C$2</f>
        <v>46210</v>
      </c>
      <c r="E31" s="125" t="str">
        <f>CONCATENATE(tblUnqSvr[[#This Row],[Hostname]],"-cmold")</f>
        <v>va10n10145-cmold</v>
      </c>
      <c r="F31" s="125" t="str">
        <f>_xlfn.XLOOKUP(tblUnqSvr[[#This Row],[Hostname]],tblTM[common_assetName],tblTM[device_ipAddress],"",0,1)</f>
        <v>30.135.106.114,30.135.106.115,30.135.106.117</v>
      </c>
      <c r="G31" s="196" t="s">
        <v>751</v>
      </c>
      <c r="H31" s="127" t="str">
        <f>_xlfn.XLOOKUP(tblUnqSvr[[#This Row],[Hostname]],tblTM[common_assetName],tblTM[device_custom35],"",0,1)</f>
        <v>MQ</v>
      </c>
      <c r="I31" s="197" t="str">
        <f>_xlfn.XLOOKUP(tblUnqSvr[[#This Row],[Hostname]],tblTM[common_assetName],tblTM[common_environment],"",0,1)</f>
        <v>Development</v>
      </c>
      <c r="J31" s="198" t="str">
        <f>_xlfn.XLOOKUP(tblUnqSvr[[#This Row],[Hostname]],tblTM[common_assetName],tblTM[device_assetType],"",0,1)</f>
        <v>AIX-LPAR</v>
      </c>
      <c r="K31"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31" s="200" t="s">
        <v>782</v>
      </c>
      <c r="M31" s="128" t="str">
        <f>_xlfn.XLOOKUP(tblUnqSvr[[#This Row],[Hostname]],tblEvntScope[Hostname],tblEvntScope[Target Data Center],"",0,1)</f>
        <v>IBM Cloud Dedicated - Ashburn</v>
      </c>
      <c r="N31" s="129" t="s">
        <v>588</v>
      </c>
      <c r="O31" s="125">
        <f>_xlfn.XLOOKUP(tblUnqSvr[[#This Row],[Hostname]],tblTM[common_assetName],tblTM[device_custom17],"",0,1)</f>
        <v>0</v>
      </c>
      <c r="P31" s="125">
        <f>_xlfn.XLOOKUP(tblUnqSvr[[#This Row],[Hostname]],tblTM[common_assetName],tblTM[device_custom14],"",0,1)</f>
        <v>0</v>
      </c>
      <c r="Q31" s="125">
        <f>_xlfn.XLOOKUP(tblUnqSvr[[#This Row],[Hostname]],tblTM[common_assetName],tblTM[device_custom12],"",0,1)</f>
        <v>0</v>
      </c>
      <c r="R31" s="130"/>
      <c r="S31" s="130"/>
      <c r="T31" s="127"/>
      <c r="U31" s="127"/>
      <c r="V31" s="127"/>
      <c r="W31" s="127"/>
      <c r="X31" s="127"/>
    </row>
    <row r="32" spans="1:24" x14ac:dyDescent="0.35">
      <c r="A32" s="195"/>
      <c r="B32" s="125"/>
      <c r="C32" s="125" t="str">
        <f>MigrationEventCode</f>
        <v>MEA190</v>
      </c>
      <c r="D32" s="126">
        <f>TMWorkbook!$C$2</f>
        <v>46210</v>
      </c>
      <c r="E32" s="125" t="str">
        <f>CONCATENATE(tblUnqSvr[[#This Row],[Hostname]],"-cmold")</f>
        <v>va10n10180-cmold</v>
      </c>
      <c r="F32" s="125" t="str">
        <f>_xlfn.XLOOKUP(tblUnqSvr[[#This Row],[Hostname]],tblTM[common_assetName],tblTM[device_ipAddress],"",0,1)</f>
        <v>30.135.106.133</v>
      </c>
      <c r="G32" s="196" t="s">
        <v>751</v>
      </c>
      <c r="H32" s="127" t="str">
        <f>_xlfn.XLOOKUP(tblUnqSvr[[#This Row],[Hostname]],tblTM[common_assetName],tblTM[device_custom35],"",0,1)</f>
        <v>WebSphere</v>
      </c>
      <c r="I32" s="197" t="str">
        <f>_xlfn.XLOOKUP(tblUnqSvr[[#This Row],[Hostname]],tblTM[common_assetName],tblTM[common_environment],"",0,1)</f>
        <v>Development</v>
      </c>
      <c r="J32" s="198" t="str">
        <f>_xlfn.XLOOKUP(tblUnqSvr[[#This Row],[Hostname]],tblTM[common_assetName],tblTM[device_assetType],"",0,1)</f>
        <v>AIX-LPAR</v>
      </c>
      <c r="K32"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32" s="200" t="s">
        <v>783</v>
      </c>
      <c r="M32" s="128" t="str">
        <f>_xlfn.XLOOKUP(tblUnqSvr[[#This Row],[Hostname]],tblEvntScope[Hostname],tblEvntScope[Target Data Center],"",0,1)</f>
        <v>IBM Cloud Dedicated - Ashburn</v>
      </c>
      <c r="N32" s="129" t="s">
        <v>584</v>
      </c>
      <c r="O32" s="125">
        <f>_xlfn.XLOOKUP(tblUnqSvr[[#This Row],[Hostname]],tblTM[common_assetName],tblTM[device_custom17],"",0,1)</f>
        <v>0</v>
      </c>
      <c r="P32" s="125">
        <f>_xlfn.XLOOKUP(tblUnqSvr[[#This Row],[Hostname]],tblTM[common_assetName],tblTM[device_custom14],"",0,1)</f>
        <v>0</v>
      </c>
      <c r="Q32" s="125">
        <f>_xlfn.XLOOKUP(tblUnqSvr[[#This Row],[Hostname]],tblTM[common_assetName],tblTM[device_custom12],"",0,1)</f>
        <v>0</v>
      </c>
      <c r="R32" s="130"/>
      <c r="S32" s="130"/>
      <c r="T32" s="127"/>
      <c r="U32" s="127"/>
      <c r="V32" s="127"/>
      <c r="W32" s="127"/>
      <c r="X32" s="127"/>
    </row>
    <row r="33" spans="1:24" x14ac:dyDescent="0.35">
      <c r="A33" s="195"/>
      <c r="B33" s="125"/>
      <c r="C33" s="125" t="str">
        <f>MigrationEventCode</f>
        <v>MEA190</v>
      </c>
      <c r="D33" s="126">
        <f>TMWorkbook!$C$2</f>
        <v>46210</v>
      </c>
      <c r="E33" s="125" t="str">
        <f>CONCATENATE(tblUnqSvr[[#This Row],[Hostname]],"-cmold")</f>
        <v>va10n10181-cmold</v>
      </c>
      <c r="F33" s="125" t="str">
        <f>_xlfn.XLOOKUP(tblUnqSvr[[#This Row],[Hostname]],tblTM[common_assetName],tblTM[device_ipAddress],"",0,1)</f>
        <v>30.135.106.134</v>
      </c>
      <c r="G33" s="196" t="s">
        <v>751</v>
      </c>
      <c r="H33" s="127" t="str">
        <f>_xlfn.XLOOKUP(tblUnqSvr[[#This Row],[Hostname]],tblTM[common_assetName],tblTM[device_custom35],"",0,1)</f>
        <v>WebSphere</v>
      </c>
      <c r="I33" s="197" t="str">
        <f>_xlfn.XLOOKUP(tblUnqSvr[[#This Row],[Hostname]],tblTM[common_assetName],tblTM[common_environment],"",0,1)</f>
        <v>Development</v>
      </c>
      <c r="J33" s="198" t="str">
        <f>_xlfn.XLOOKUP(tblUnqSvr[[#This Row],[Hostname]],tblTM[common_assetName],tblTM[device_assetType],"",0,1)</f>
        <v>AIX-LPAR</v>
      </c>
      <c r="K33"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33" s="200" t="s">
        <v>784</v>
      </c>
      <c r="M33" s="128" t="str">
        <f>_xlfn.XLOOKUP(tblUnqSvr[[#This Row],[Hostname]],tblEvntScope[Hostname],tblEvntScope[Target Data Center],"",0,1)</f>
        <v>IBM Cloud Dedicated - Ashburn</v>
      </c>
      <c r="N33" s="129" t="s">
        <v>579</v>
      </c>
      <c r="O33" s="125">
        <f>_xlfn.XLOOKUP(tblUnqSvr[[#This Row],[Hostname]],tblTM[common_assetName],tblTM[device_custom17],"",0,1)</f>
        <v>0</v>
      </c>
      <c r="P33" s="125">
        <f>_xlfn.XLOOKUP(tblUnqSvr[[#This Row],[Hostname]],tblTM[common_assetName],tblTM[device_custom14],"",0,1)</f>
        <v>0</v>
      </c>
      <c r="Q33" s="125">
        <f>_xlfn.XLOOKUP(tblUnqSvr[[#This Row],[Hostname]],tblTM[common_assetName],tblTM[device_custom12],"",0,1)</f>
        <v>0</v>
      </c>
      <c r="R33" s="130"/>
      <c r="S33" s="130"/>
      <c r="T33" s="127"/>
      <c r="U33" s="127"/>
      <c r="V33" s="127"/>
      <c r="W33" s="127"/>
      <c r="X33" s="127"/>
    </row>
    <row r="34" spans="1:24" x14ac:dyDescent="0.35">
      <c r="A34" s="195"/>
      <c r="B34" s="125"/>
      <c r="C34" s="125" t="str">
        <f>MigrationEventCode</f>
        <v>MEA190</v>
      </c>
      <c r="D34" s="126">
        <f>TMWorkbook!$C$2</f>
        <v>46210</v>
      </c>
      <c r="E34" s="125" t="str">
        <f>CONCATENATE(tblUnqSvr[[#This Row],[Hostname]],"-cmold")</f>
        <v>va10tuvdb2020-cmold</v>
      </c>
      <c r="F34" s="125" t="str">
        <f>_xlfn.XLOOKUP(tblUnqSvr[[#This Row],[Hostname]],tblTM[common_assetName],tblTM[device_ipAddress],"",0,1)</f>
        <v>30.135.43.45</v>
      </c>
      <c r="G34" s="196" t="s">
        <v>751</v>
      </c>
      <c r="H34" s="127" t="str">
        <f>_xlfn.XLOOKUP(tblUnqSvr[[#This Row],[Hostname]],tblTM[common_assetName],tblTM[device_custom35],"",0,1)</f>
        <v>Database - DB2/UDB</v>
      </c>
      <c r="I34" s="197" t="str">
        <f>_xlfn.XLOOKUP(tblUnqSvr[[#This Row],[Hostname]],tblTM[common_assetName],tblTM[common_environment],"",0,1)</f>
        <v>Test</v>
      </c>
      <c r="J34" s="198" t="str">
        <f>_xlfn.XLOOKUP(tblUnqSvr[[#This Row],[Hostname]],tblTM[common_assetName],tblTM[device_assetType],"",0,1)</f>
        <v>AIX-LPAR</v>
      </c>
      <c r="K34"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34" s="200" t="s">
        <v>785</v>
      </c>
      <c r="M34" s="128" t="str">
        <f>_xlfn.XLOOKUP(tblUnqSvr[[#This Row],[Hostname]],tblEvntScope[Hostname],tblEvntScope[Target Data Center],"",0,1)</f>
        <v>IBM Cloud Dedicated - Ashburn</v>
      </c>
      <c r="N34" s="129" t="s">
        <v>572</v>
      </c>
      <c r="O34" s="125">
        <f>_xlfn.XLOOKUP(tblUnqSvr[[#This Row],[Hostname]],tblTM[common_assetName],tblTM[device_custom17],"",0,1)</f>
        <v>0</v>
      </c>
      <c r="P34" s="125">
        <f>_xlfn.XLOOKUP(tblUnqSvr[[#This Row],[Hostname]],tblTM[common_assetName],tblTM[device_custom14],"",0,1)</f>
        <v>0</v>
      </c>
      <c r="Q34" s="125">
        <f>_xlfn.XLOOKUP(tblUnqSvr[[#This Row],[Hostname]],tblTM[common_assetName],tblTM[device_custom12],"",0,1)</f>
        <v>0</v>
      </c>
      <c r="R34" s="130"/>
      <c r="S34" s="130"/>
      <c r="T34" s="127"/>
      <c r="U34" s="127"/>
      <c r="V34" s="127"/>
      <c r="W34" s="127"/>
      <c r="X34" s="127"/>
    </row>
    <row r="35" spans="1:24" x14ac:dyDescent="0.35">
      <c r="A35" s="195"/>
      <c r="B35" s="125"/>
      <c r="C35" s="125" t="str">
        <f>MigrationEventCode</f>
        <v>MEA190</v>
      </c>
      <c r="D35" s="126">
        <f>TMWorkbook!$C$2</f>
        <v>46210</v>
      </c>
      <c r="E35" s="125" t="str">
        <f>CONCATENATE(tblUnqSvr[[#This Row],[Hostname]],"-cmold")</f>
        <v>VA33DWPSQL311A-cmold</v>
      </c>
      <c r="F35" s="125" t="str">
        <f>_xlfn.XLOOKUP(tblUnqSvr[[#This Row],[Hostname]],tblTM[common_assetName],tblTM[device_ipAddress],"",0,1)</f>
        <v>30.118.198.20</v>
      </c>
      <c r="G35" s="196" t="s">
        <v>752</v>
      </c>
      <c r="H35" s="127" t="str">
        <f>_xlfn.XLOOKUP(tblUnqSvr[[#This Row],[Hostname]],tblTM[common_assetName],tblTM[device_custom35],"",0,1)</f>
        <v>Database - SQL</v>
      </c>
      <c r="I35" s="197" t="str">
        <f>_xlfn.XLOOKUP(tblUnqSvr[[#This Row],[Hostname]],tblTM[common_assetName],tblTM[common_environment],"",0,1)</f>
        <v>Development</v>
      </c>
      <c r="J35" s="198" t="str">
        <f>_xlfn.XLOOKUP(tblUnqSvr[[#This Row],[Hostname]],tblTM[common_assetName],tblTM[device_assetType],"",0,1)</f>
        <v>Server</v>
      </c>
      <c r="K35"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5" s="200" t="s">
        <v>786</v>
      </c>
      <c r="M35" s="128" t="str">
        <f>_xlfn.XLOOKUP(tblUnqSvr[[#This Row],[Hostname]],tblEvntScope[Hostname],tblEvntScope[Target Data Center],"",0,1)</f>
        <v>Dell BMaaS - Ashburn</v>
      </c>
      <c r="N35" s="129" t="s">
        <v>568</v>
      </c>
      <c r="O35" s="125">
        <f>_xlfn.XLOOKUP(tblUnqSvr[[#This Row],[Hostname]],tblTM[common_assetName],tblTM[device_custom17],"",0,1)</f>
        <v>0</v>
      </c>
      <c r="P35" s="125">
        <f>_xlfn.XLOOKUP(tblUnqSvr[[#This Row],[Hostname]],tblTM[common_assetName],tblTM[device_custom14],"",0,1)</f>
        <v>0</v>
      </c>
      <c r="Q35" s="125">
        <f>_xlfn.XLOOKUP(tblUnqSvr[[#This Row],[Hostname]],tblTM[common_assetName],tblTM[device_custom12],"",0,1)</f>
        <v>0</v>
      </c>
      <c r="R35" s="130"/>
      <c r="S35" s="130"/>
      <c r="T35" s="127"/>
      <c r="U35" s="127"/>
      <c r="V35" s="127"/>
      <c r="W35" s="127"/>
      <c r="X35" s="127"/>
    </row>
    <row r="36" spans="1:24" x14ac:dyDescent="0.35">
      <c r="A36" s="195"/>
      <c r="B36" s="125"/>
      <c r="C36" s="125" t="str">
        <f>MigrationEventCode</f>
        <v>MEA190</v>
      </c>
      <c r="D36" s="126">
        <f>TMWorkbook!$C$2</f>
        <v>46210</v>
      </c>
      <c r="E36" s="125" t="str">
        <f>CONCATENATE(tblUnqSvr[[#This Row],[Hostname]],"-cmold")</f>
        <v>VA33DWPSQL311B-cmold</v>
      </c>
      <c r="F36" s="125" t="str">
        <f>_xlfn.XLOOKUP(tblUnqSvr[[#This Row],[Hostname]],tblTM[common_assetName],tblTM[device_ipAddress],"",0,1)</f>
        <v>30.118.198.21,30.118.198.23</v>
      </c>
      <c r="G36" s="196" t="s">
        <v>752</v>
      </c>
      <c r="H36" s="127" t="str">
        <f>_xlfn.XLOOKUP(tblUnqSvr[[#This Row],[Hostname]],tblTM[common_assetName],tblTM[device_custom35],"",0,1)</f>
        <v>Database - SQL</v>
      </c>
      <c r="I36" s="197" t="str">
        <f>_xlfn.XLOOKUP(tblUnqSvr[[#This Row],[Hostname]],tblTM[common_assetName],tblTM[common_environment],"",0,1)</f>
        <v>Development</v>
      </c>
      <c r="J36" s="198" t="str">
        <f>_xlfn.XLOOKUP(tblUnqSvr[[#This Row],[Hostname]],tblTM[common_assetName],tblTM[device_assetType],"",0,1)</f>
        <v>Server</v>
      </c>
      <c r="K36"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6" s="200" t="s">
        <v>787</v>
      </c>
      <c r="M36" s="128" t="str">
        <f>_xlfn.XLOOKUP(tblUnqSvr[[#This Row],[Hostname]],tblEvntScope[Hostname],tblEvntScope[Target Data Center],"",0,1)</f>
        <v>Dell BMaaS - Ashburn</v>
      </c>
      <c r="N36" s="129" t="s">
        <v>561</v>
      </c>
      <c r="O36" s="125">
        <f>_xlfn.XLOOKUP(tblUnqSvr[[#This Row],[Hostname]],tblTM[common_assetName],tblTM[device_custom17],"",0,1)</f>
        <v>0</v>
      </c>
      <c r="P36" s="125">
        <f>_xlfn.XLOOKUP(tblUnqSvr[[#This Row],[Hostname]],tblTM[common_assetName],tblTM[device_custom14],"",0,1)</f>
        <v>0</v>
      </c>
      <c r="Q36" s="125">
        <f>_xlfn.XLOOKUP(tblUnqSvr[[#This Row],[Hostname]],tblTM[common_assetName],tblTM[device_custom12],"",0,1)</f>
        <v>0</v>
      </c>
      <c r="R36" s="130"/>
      <c r="S36" s="130"/>
      <c r="T36" s="127"/>
      <c r="U36" s="127"/>
      <c r="V36" s="127"/>
      <c r="W36" s="127"/>
      <c r="X36" s="127"/>
    </row>
    <row r="37" spans="1:24" x14ac:dyDescent="0.35">
      <c r="A37" s="195"/>
      <c r="B37" s="125"/>
      <c r="C37" s="125" t="str">
        <f>MigrationEventCode</f>
        <v>MEA190</v>
      </c>
      <c r="D37" s="126">
        <f>TMWorkbook!$C$2</f>
        <v>46210</v>
      </c>
      <c r="E37" s="125" t="str">
        <f>CONCATENATE(tblUnqSvr[[#This Row],[Hostname]],"-cmold")</f>
        <v>VA33PWVAXY003-cmold</v>
      </c>
      <c r="F37" s="125" t="str">
        <f>_xlfn.XLOOKUP(tblUnqSvr[[#This Row],[Hostname]],tblTM[common_assetName],tblTM[device_ipAddress],"",0,1)</f>
        <v>22.112.40.30</v>
      </c>
      <c r="G37" s="196" t="s">
        <v>752</v>
      </c>
      <c r="H37" s="127" t="str">
        <f>_xlfn.XLOOKUP(tblUnqSvr[[#This Row],[Hostname]],tblTM[common_assetName],tblTM[device_custom35],"",0,1)</f>
        <v>Application/Utility</v>
      </c>
      <c r="I37" s="197" t="str">
        <f>_xlfn.XLOOKUP(tblUnqSvr[[#This Row],[Hostname]],tblTM[common_assetName],tblTM[common_environment],"",0,1)</f>
        <v>Disaster Recovery</v>
      </c>
      <c r="J37" s="198" t="str">
        <f>_xlfn.XLOOKUP(tblUnqSvr[[#This Row],[Hostname]],tblTM[common_assetName],tblTM[device_assetType],"",0,1)</f>
        <v>VM</v>
      </c>
      <c r="K37"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7" s="200" t="s">
        <v>788</v>
      </c>
      <c r="M37" s="128" t="str">
        <f>_xlfn.XLOOKUP(tblUnqSvr[[#This Row],[Hostname]],tblEvntScope[Hostname],tblEvntScope[Target Data Center],"",0,1)</f>
        <v>IBM Cloud Dedicated - Ashburn</v>
      </c>
      <c r="N37" s="129" t="s">
        <v>557</v>
      </c>
      <c r="O37" s="125">
        <f>_xlfn.XLOOKUP(tblUnqSvr[[#This Row],[Hostname]],tblTM[common_assetName],tblTM[device_custom17],"",0,1)</f>
        <v>0</v>
      </c>
      <c r="P37" s="125">
        <f>_xlfn.XLOOKUP(tblUnqSvr[[#This Row],[Hostname]],tblTM[common_assetName],tblTM[device_custom14],"",0,1)</f>
        <v>0</v>
      </c>
      <c r="Q37" s="125">
        <f>_xlfn.XLOOKUP(tblUnqSvr[[#This Row],[Hostname]],tblTM[common_assetName],tblTM[device_custom12],"",0,1)</f>
        <v>0</v>
      </c>
      <c r="R37" s="130"/>
      <c r="S37" s="130"/>
      <c r="T37" s="127"/>
      <c r="U37" s="127"/>
      <c r="V37" s="127"/>
      <c r="W37" s="127"/>
      <c r="X37" s="127"/>
    </row>
    <row r="38" spans="1:24" x14ac:dyDescent="0.35">
      <c r="A38" s="195"/>
      <c r="B38" s="125"/>
      <c r="C38" s="125" t="str">
        <f>MigrationEventCode</f>
        <v>MEA190</v>
      </c>
      <c r="D38" s="126">
        <f>TMWorkbook!$C$2</f>
        <v>46210</v>
      </c>
      <c r="E38" s="125" t="str">
        <f>CONCATENATE(tblUnqSvr[[#This Row],[Hostname]],"-cmold")</f>
        <v>VA33PWVAXY004-cmold</v>
      </c>
      <c r="F38" s="125" t="str">
        <f>_xlfn.XLOOKUP(tblUnqSvr[[#This Row],[Hostname]],tblTM[common_assetName],tblTM[device_ipAddress],"",0,1)</f>
        <v>22.112.40.33</v>
      </c>
      <c r="G38" s="196" t="s">
        <v>752</v>
      </c>
      <c r="H38" s="127" t="str">
        <f>_xlfn.XLOOKUP(tblUnqSvr[[#This Row],[Hostname]],tblTM[common_assetName],tblTM[device_custom35],"",0,1)</f>
        <v>Application/Utility</v>
      </c>
      <c r="I38" s="197" t="str">
        <f>_xlfn.XLOOKUP(tblUnqSvr[[#This Row],[Hostname]],tblTM[common_assetName],tblTM[common_environment],"",0,1)</f>
        <v>Disaster Recovery</v>
      </c>
      <c r="J38" s="198" t="str">
        <f>_xlfn.XLOOKUP(tblUnqSvr[[#This Row],[Hostname]],tblTM[common_assetName],tblTM[device_assetType],"",0,1)</f>
        <v>VM</v>
      </c>
      <c r="K38"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8" s="200" t="s">
        <v>788</v>
      </c>
      <c r="M38" s="128" t="str">
        <f>_xlfn.XLOOKUP(tblUnqSvr[[#This Row],[Hostname]],tblEvntScope[Hostname],tblEvntScope[Target Data Center],"",0,1)</f>
        <v>IBM Cloud Dedicated - Ashburn</v>
      </c>
      <c r="N38" s="129" t="s">
        <v>544</v>
      </c>
      <c r="O38" s="125">
        <f>_xlfn.XLOOKUP(tblUnqSvr[[#This Row],[Hostname]],tblTM[common_assetName],tblTM[device_custom17],"",0,1)</f>
        <v>0</v>
      </c>
      <c r="P38" s="125">
        <f>_xlfn.XLOOKUP(tblUnqSvr[[#This Row],[Hostname]],tblTM[common_assetName],tblTM[device_custom14],"",0,1)</f>
        <v>0</v>
      </c>
      <c r="Q38" s="125">
        <f>_xlfn.XLOOKUP(tblUnqSvr[[#This Row],[Hostname]],tblTM[common_assetName],tblTM[device_custom12],"",0,1)</f>
        <v>0</v>
      </c>
      <c r="R38" s="130"/>
      <c r="S38" s="130"/>
      <c r="T38" s="127"/>
      <c r="U38" s="127"/>
      <c r="V38" s="127"/>
      <c r="W38" s="127"/>
      <c r="X38" s="127"/>
    </row>
    <row r="39" spans="1:24" x14ac:dyDescent="0.35">
      <c r="A39" s="195"/>
      <c r="B39" s="125"/>
      <c r="C39" s="125" t="str">
        <f>MigrationEventCode</f>
        <v>MEA190</v>
      </c>
      <c r="D39" s="126">
        <f>TMWorkbook!$C$2</f>
        <v>46210</v>
      </c>
      <c r="E39" s="125" t="str">
        <f>CONCATENATE(tblUnqSvr[[#This Row],[Hostname]],"-cmold")</f>
        <v>VA33TWPSQL303A-cmold</v>
      </c>
      <c r="F39" s="125" t="str">
        <f>_xlfn.XLOOKUP(tblUnqSvr[[#This Row],[Hostname]],tblTM[common_assetName],tblTM[device_ipAddress],"",0,1)</f>
        <v>30.118.196.105, 30.118.196.108</v>
      </c>
      <c r="G39" s="196" t="s">
        <v>752</v>
      </c>
      <c r="H39" s="127" t="str">
        <f>_xlfn.XLOOKUP(tblUnqSvr[[#This Row],[Hostname]],tblTM[common_assetName],tblTM[device_custom35],"",0,1)</f>
        <v>Database - SQL</v>
      </c>
      <c r="I39" s="197" t="str">
        <f>_xlfn.XLOOKUP(tblUnqSvr[[#This Row],[Hostname]],tblTM[common_assetName],tblTM[common_environment],"",0,1)</f>
        <v>Test</v>
      </c>
      <c r="J39" s="198" t="str">
        <f>_xlfn.XLOOKUP(tblUnqSvr[[#This Row],[Hostname]],tblTM[common_assetName],tblTM[device_assetType],"",0,1)</f>
        <v>Server</v>
      </c>
      <c r="K39"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9" s="200" t="s">
        <v>789</v>
      </c>
      <c r="M39" s="128" t="str">
        <f>_xlfn.XLOOKUP(tblUnqSvr[[#This Row],[Hostname]],tblEvntScope[Hostname],tblEvntScope[Target Data Center],"",0,1)</f>
        <v>Dell BMaaS - Ashburn</v>
      </c>
      <c r="N39" s="129" t="s">
        <v>540</v>
      </c>
      <c r="O39" s="125">
        <f>_xlfn.XLOOKUP(tblUnqSvr[[#This Row],[Hostname]],tblTM[common_assetName],tblTM[device_custom17],"",0,1)</f>
        <v>0</v>
      </c>
      <c r="P39" s="125">
        <f>_xlfn.XLOOKUP(tblUnqSvr[[#This Row],[Hostname]],tblTM[common_assetName],tblTM[device_custom14],"",0,1)</f>
        <v>0</v>
      </c>
      <c r="Q39" s="125">
        <f>_xlfn.XLOOKUP(tblUnqSvr[[#This Row],[Hostname]],tblTM[common_assetName],tblTM[device_custom12],"",0,1)</f>
        <v>0</v>
      </c>
      <c r="R39" s="130"/>
      <c r="S39" s="130"/>
      <c r="T39" s="127"/>
      <c r="U39" s="127"/>
      <c r="V39" s="127"/>
      <c r="W39" s="127"/>
      <c r="X39" s="127"/>
    </row>
    <row r="40" spans="1:24" x14ac:dyDescent="0.35">
      <c r="A40" s="195"/>
      <c r="B40" s="125"/>
      <c r="C40" s="125" t="str">
        <f>MigrationEventCode</f>
        <v>MEA190</v>
      </c>
      <c r="D40" s="126">
        <f>TMWorkbook!$C$2</f>
        <v>46210</v>
      </c>
      <c r="E40" s="125" t="str">
        <f>CONCATENATE(tblUnqSvr[[#This Row],[Hostname]],"-cmold")</f>
        <v>VA33TWPSQL303B-cmold</v>
      </c>
      <c r="F40" s="125" t="str">
        <f>_xlfn.XLOOKUP(tblUnqSvr[[#This Row],[Hostname]],tblTM[common_assetName],tblTM[device_ipAddress],"",0,1)</f>
        <v>30.118.196.106,30.118.196.107</v>
      </c>
      <c r="G40" s="196" t="s">
        <v>752</v>
      </c>
      <c r="H40" s="127" t="str">
        <f>_xlfn.XLOOKUP(tblUnqSvr[[#This Row],[Hostname]],tblTM[common_assetName],tblTM[device_custom35],"",0,1)</f>
        <v>Database - SQL</v>
      </c>
      <c r="I40" s="197" t="str">
        <f>_xlfn.XLOOKUP(tblUnqSvr[[#This Row],[Hostname]],tblTM[common_assetName],tblTM[common_environment],"",0,1)</f>
        <v>Test</v>
      </c>
      <c r="J40" s="198" t="str">
        <f>_xlfn.XLOOKUP(tblUnqSvr[[#This Row],[Hostname]],tblTM[common_assetName],tblTM[device_assetType],"",0,1)</f>
        <v>Server</v>
      </c>
      <c r="K40"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40" s="200" t="s">
        <v>790</v>
      </c>
      <c r="M40" s="128" t="str">
        <f>_xlfn.XLOOKUP(tblUnqSvr[[#This Row],[Hostname]],tblEvntScope[Hostname],tblEvntScope[Target Data Center],"",0,1)</f>
        <v>Dell BMaaS - Ashburn</v>
      </c>
      <c r="N40" s="129" t="s">
        <v>526</v>
      </c>
      <c r="O40" s="125">
        <f>_xlfn.XLOOKUP(tblUnqSvr[[#This Row],[Hostname]],tblTM[common_assetName],tblTM[device_custom17],"",0,1)</f>
        <v>0</v>
      </c>
      <c r="P40" s="125">
        <f>_xlfn.XLOOKUP(tblUnqSvr[[#This Row],[Hostname]],tblTM[common_assetName],tblTM[device_custom14],"",0,1)</f>
        <v>0</v>
      </c>
      <c r="Q40" s="125">
        <f>_xlfn.XLOOKUP(tblUnqSvr[[#This Row],[Hostname]],tblTM[common_assetName],tblTM[device_custom12],"",0,1)</f>
        <v>0</v>
      </c>
      <c r="R40" s="130"/>
      <c r="S40" s="130"/>
      <c r="T40" s="127"/>
      <c r="U40" s="127"/>
      <c r="V40" s="127"/>
      <c r="W40" s="127"/>
      <c r="X40" s="127"/>
    </row>
    <row r="41" spans="1:24" x14ac:dyDescent="0.35">
      <c r="A41" s="195"/>
      <c r="B41" s="125"/>
      <c r="C41" s="125" t="str">
        <f>MigrationEventCode</f>
        <v>MEA190</v>
      </c>
      <c r="D41" s="126">
        <f>TMWorkbook!$C$2</f>
        <v>46210</v>
      </c>
      <c r="E41" s="125" t="str">
        <f>CONCATENATE(tblUnqSvr[[#This Row],[Hostname]],"-cmold")</f>
        <v>vaathmr421-cmold</v>
      </c>
      <c r="F41" s="125" t="str">
        <f>_xlfn.XLOOKUP(tblUnqSvr[[#This Row],[Hostname]],tblTM[common_assetName],tblTM[device_ipAddress],"",0,1)</f>
        <v>30.135.64.220,30.135.64.221,30.135.64.26</v>
      </c>
      <c r="G41" s="196" t="s">
        <v>751</v>
      </c>
      <c r="H41" s="127">
        <f>_xlfn.XLOOKUP(tblUnqSvr[[#This Row],[Hostname]],tblTM[common_assetName],tblTM[device_custom35],"",0,1)</f>
        <v>0</v>
      </c>
      <c r="I41" s="197" t="str">
        <f>_xlfn.XLOOKUP(tblUnqSvr[[#This Row],[Hostname]],tblTM[common_assetName],tblTM[common_environment],"",0,1)</f>
        <v>Development</v>
      </c>
      <c r="J41" s="198" t="str">
        <f>_xlfn.XLOOKUP(tblUnqSvr[[#This Row],[Hostname]],tblTM[common_assetName],tblTM[device_assetType],"",0,1)</f>
        <v>AIX-LPAR</v>
      </c>
      <c r="K41"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41" s="200" t="s">
        <v>791</v>
      </c>
      <c r="M41" s="128" t="str">
        <f>_xlfn.XLOOKUP(tblUnqSvr[[#This Row],[Hostname]],tblEvntScope[Hostname],tblEvntScope[Target Data Center],"",0,1)</f>
        <v>IBM Cloud Dedicated - Ashburn</v>
      </c>
      <c r="N41" s="129" t="s">
        <v>522</v>
      </c>
      <c r="O41" s="125">
        <f>_xlfn.XLOOKUP(tblUnqSvr[[#This Row],[Hostname]],tblTM[common_assetName],tblTM[device_custom17],"",0,1)</f>
        <v>0</v>
      </c>
      <c r="P41" s="125">
        <f>_xlfn.XLOOKUP(tblUnqSvr[[#This Row],[Hostname]],tblTM[common_assetName],tblTM[device_custom14],"",0,1)</f>
        <v>0</v>
      </c>
      <c r="Q41" s="125">
        <f>_xlfn.XLOOKUP(tblUnqSvr[[#This Row],[Hostname]],tblTM[common_assetName],tblTM[device_custom12],"",0,1)</f>
        <v>0</v>
      </c>
      <c r="R41" s="130"/>
      <c r="S41" s="130"/>
      <c r="T41" s="127"/>
      <c r="U41" s="127"/>
      <c r="V41" s="127"/>
      <c r="W41" s="127"/>
      <c r="X41" s="127"/>
    </row>
    <row r="42" spans="1:24" x14ac:dyDescent="0.35">
      <c r="A42" s="195"/>
      <c r="B42" s="125"/>
      <c r="C42" s="125" t="str">
        <f>MigrationEventCode</f>
        <v>MEA190</v>
      </c>
      <c r="D42" s="126">
        <f>TMWorkbook!$C$2</f>
        <v>46210</v>
      </c>
      <c r="E42" s="125" t="str">
        <f>CONCATENATE(tblUnqSvr[[#This Row],[Hostname]],"-cmold")</f>
        <v>vaathmr423-cmold</v>
      </c>
      <c r="F42" s="125" t="str">
        <f>_xlfn.XLOOKUP(tblUnqSvr[[#This Row],[Hostname]],tblTM[common_assetName],tblTM[device_ipAddress],"",0,1)</f>
        <v>30.135.64.223,30.135.64.222,30.135.64.27</v>
      </c>
      <c r="G42" s="196" t="s">
        <v>751</v>
      </c>
      <c r="H42" s="127">
        <f>_xlfn.XLOOKUP(tblUnqSvr[[#This Row],[Hostname]],tblTM[common_assetName],tblTM[device_custom35],"",0,1)</f>
        <v>0</v>
      </c>
      <c r="I42" s="197" t="str">
        <f>_xlfn.XLOOKUP(tblUnqSvr[[#This Row],[Hostname]],tblTM[common_assetName],tblTM[common_environment],"",0,1)</f>
        <v>Development</v>
      </c>
      <c r="J42" s="198" t="str">
        <f>_xlfn.XLOOKUP(tblUnqSvr[[#This Row],[Hostname]],tblTM[common_assetName],tblTM[device_assetType],"",0,1)</f>
        <v>AIX-LPAR</v>
      </c>
      <c r="K42"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42" s="200" t="s">
        <v>792</v>
      </c>
      <c r="M42" s="128" t="str">
        <f>_xlfn.XLOOKUP(tblUnqSvr[[#This Row],[Hostname]],tblEvntScope[Hostname],tblEvntScope[Target Data Center],"",0,1)</f>
        <v>IBM Cloud Dedicated - Ashburn</v>
      </c>
      <c r="N42" s="129" t="s">
        <v>517</v>
      </c>
      <c r="O42" s="125">
        <f>_xlfn.XLOOKUP(tblUnqSvr[[#This Row],[Hostname]],tblTM[common_assetName],tblTM[device_custom17],"",0,1)</f>
        <v>0</v>
      </c>
      <c r="P42" s="125">
        <f>_xlfn.XLOOKUP(tblUnqSvr[[#This Row],[Hostname]],tblTM[common_assetName],tblTM[device_custom14],"",0,1)</f>
        <v>0</v>
      </c>
      <c r="Q42" s="125">
        <f>_xlfn.XLOOKUP(tblUnqSvr[[#This Row],[Hostname]],tblTM[common_assetName],tblTM[device_custom12],"",0,1)</f>
        <v>0</v>
      </c>
      <c r="R42" s="130"/>
      <c r="S42" s="130"/>
      <c r="T42" s="127"/>
      <c r="U42" s="127"/>
      <c r="V42" s="127"/>
      <c r="W42" s="127"/>
      <c r="X42" s="127"/>
    </row>
    <row r="43" spans="1:24" x14ac:dyDescent="0.35">
      <c r="A43" s="195"/>
      <c r="B43" s="125"/>
      <c r="C43" s="125" t="str">
        <f>MigrationEventCode</f>
        <v>MEA190</v>
      </c>
      <c r="D43" s="126">
        <f>TMWorkbook!$C$2</f>
        <v>46210</v>
      </c>
      <c r="E43" s="125" t="str">
        <f>CONCATENATE(tblUnqSvr[[#This Row],[Hostname]],"-cmold")</f>
        <v>vaathmr427-cmold</v>
      </c>
      <c r="F43" s="125" t="str">
        <f>_xlfn.XLOOKUP(tblUnqSvr[[#This Row],[Hostname]],tblTM[common_assetName],tblTM[device_ipAddress],"",0,1)</f>
        <v>30.135.64.230</v>
      </c>
      <c r="G43" s="196" t="s">
        <v>751</v>
      </c>
      <c r="H43" s="127">
        <f>_xlfn.XLOOKUP(tblUnqSvr[[#This Row],[Hostname]],tblTM[common_assetName],tblTM[device_custom35],"",0,1)</f>
        <v>0</v>
      </c>
      <c r="I43" s="197" t="str">
        <f>_xlfn.XLOOKUP(tblUnqSvr[[#This Row],[Hostname]],tblTM[common_assetName],tblTM[common_environment],"",0,1)</f>
        <v>Development</v>
      </c>
      <c r="J43" s="198" t="str">
        <f>_xlfn.XLOOKUP(tblUnqSvr[[#This Row],[Hostname]],tblTM[common_assetName],tblTM[device_assetType],"",0,1)</f>
        <v>AIX-LPAR</v>
      </c>
      <c r="K43"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43" s="200" t="s">
        <v>793</v>
      </c>
      <c r="M43" s="128" t="str">
        <f>_xlfn.XLOOKUP(tblUnqSvr[[#This Row],[Hostname]],tblEvntScope[Hostname],tblEvntScope[Target Data Center],"",0,1)</f>
        <v>IBM Cloud Dedicated - Ashburn</v>
      </c>
      <c r="N43" s="129" t="s">
        <v>513</v>
      </c>
      <c r="O43" s="125">
        <f>_xlfn.XLOOKUP(tblUnqSvr[[#This Row],[Hostname]],tblTM[common_assetName],tblTM[device_custom17],"",0,1)</f>
        <v>0</v>
      </c>
      <c r="P43" s="125">
        <f>_xlfn.XLOOKUP(tblUnqSvr[[#This Row],[Hostname]],tblTM[common_assetName],tblTM[device_custom14],"",0,1)</f>
        <v>0</v>
      </c>
      <c r="Q43" s="125">
        <f>_xlfn.XLOOKUP(tblUnqSvr[[#This Row],[Hostname]],tblTM[common_assetName],tblTM[device_custom12],"",0,1)</f>
        <v>0</v>
      </c>
      <c r="R43" s="130"/>
      <c r="S43" s="130"/>
      <c r="T43" s="127"/>
      <c r="U43" s="127"/>
      <c r="V43" s="127"/>
      <c r="W43" s="127"/>
      <c r="X43" s="127"/>
    </row>
    <row r="44" spans="1:24" x14ac:dyDescent="0.35">
      <c r="A44" s="195"/>
      <c r="B44" s="125"/>
      <c r="C44" s="125" t="str">
        <f>MigrationEventCode</f>
        <v>MEA190</v>
      </c>
      <c r="D44" s="126">
        <f>TMWorkbook!$C$2</f>
        <v>46210</v>
      </c>
      <c r="E44" s="125" t="str">
        <f>CONCATENATE(tblUnqSvr[[#This Row],[Hostname]],"-cmold")</f>
        <v>vaathmr431-cmold</v>
      </c>
      <c r="F44" s="125" t="str">
        <f>_xlfn.XLOOKUP(tblUnqSvr[[#This Row],[Hostname]],tblTM[common_assetName],tblTM[device_ipAddress],"",0,1)</f>
        <v>30.135.64.235</v>
      </c>
      <c r="G44" s="196" t="s">
        <v>751</v>
      </c>
      <c r="H44" s="127" t="str">
        <f>_xlfn.XLOOKUP(tblUnqSvr[[#This Row],[Hostname]],tblTM[common_assetName],tblTM[device_custom35],"",0,1)</f>
        <v>MQ</v>
      </c>
      <c r="I44" s="197" t="str">
        <f>_xlfn.XLOOKUP(tblUnqSvr[[#This Row],[Hostname]],tblTM[common_assetName],tblTM[common_environment],"",0,1)</f>
        <v>Development</v>
      </c>
      <c r="J44" s="198" t="str">
        <f>_xlfn.XLOOKUP(tblUnqSvr[[#This Row],[Hostname]],tblTM[common_assetName],tblTM[device_assetType],"",0,1)</f>
        <v>AIX-LPAR</v>
      </c>
      <c r="K44"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44" s="200" t="s">
        <v>794</v>
      </c>
      <c r="M44" s="128" t="str">
        <f>_xlfn.XLOOKUP(tblUnqSvr[[#This Row],[Hostname]],tblEvntScope[Hostname],tblEvntScope[Target Data Center],"",0,1)</f>
        <v>IBM Cloud Dedicated - Ashburn</v>
      </c>
      <c r="N44" s="129" t="s">
        <v>505</v>
      </c>
      <c r="O44" s="125">
        <f>_xlfn.XLOOKUP(tblUnqSvr[[#This Row],[Hostname]],tblTM[common_assetName],tblTM[device_custom17],"",0,1)</f>
        <v>0</v>
      </c>
      <c r="P44" s="125">
        <f>_xlfn.XLOOKUP(tblUnqSvr[[#This Row],[Hostname]],tblTM[common_assetName],tblTM[device_custom14],"",0,1)</f>
        <v>0</v>
      </c>
      <c r="Q44" s="125">
        <f>_xlfn.XLOOKUP(tblUnqSvr[[#This Row],[Hostname]],tblTM[common_assetName],tblTM[device_custom12],"",0,1)</f>
        <v>0</v>
      </c>
      <c r="R44" s="130"/>
      <c r="S44" s="130"/>
      <c r="T44" s="127"/>
      <c r="U44" s="127"/>
      <c r="V44" s="127"/>
      <c r="W44" s="127"/>
      <c r="X44" s="127"/>
    </row>
    <row r="45" spans="1:24" x14ac:dyDescent="0.35">
      <c r="A45" s="195"/>
      <c r="B45" s="125"/>
      <c r="C45" s="125" t="str">
        <f>MigrationEventCode</f>
        <v>MEA190</v>
      </c>
      <c r="D45" s="126">
        <f>TMWorkbook!$C$2</f>
        <v>46210</v>
      </c>
      <c r="E45" s="125" t="str">
        <f>CONCATENATE(tblUnqSvr[[#This Row],[Hostname]],"-cmold")</f>
        <v>vaathmr433-cmold</v>
      </c>
      <c r="F45" s="125" t="str">
        <f>_xlfn.XLOOKUP(tblUnqSvr[[#This Row],[Hostname]],tblTM[common_assetName],tblTM[device_ipAddress],"",0,1)</f>
        <v>30.135.64.236</v>
      </c>
      <c r="G45" s="196" t="s">
        <v>751</v>
      </c>
      <c r="H45" s="127">
        <f>_xlfn.XLOOKUP(tblUnqSvr[[#This Row],[Hostname]],tblTM[common_assetName],tblTM[device_custom35],"",0,1)</f>
        <v>0</v>
      </c>
      <c r="I45" s="197" t="str">
        <f>_xlfn.XLOOKUP(tblUnqSvr[[#This Row],[Hostname]],tblTM[common_assetName],tblTM[common_environment],"",0,1)</f>
        <v>Development</v>
      </c>
      <c r="J45" s="198" t="str">
        <f>_xlfn.XLOOKUP(tblUnqSvr[[#This Row],[Hostname]],tblTM[common_assetName],tblTM[device_assetType],"",0,1)</f>
        <v>AIX-LPAR</v>
      </c>
      <c r="K45"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45" s="200" t="s">
        <v>795</v>
      </c>
      <c r="M45" s="128" t="str">
        <f>_xlfn.XLOOKUP(tblUnqSvr[[#This Row],[Hostname]],tblEvntScope[Hostname],tblEvntScope[Target Data Center],"",0,1)</f>
        <v>IBM Cloud Dedicated - Ashburn</v>
      </c>
      <c r="N45" s="129" t="s">
        <v>500</v>
      </c>
      <c r="O45" s="125">
        <f>_xlfn.XLOOKUP(tblUnqSvr[[#This Row],[Hostname]],tblTM[common_assetName],tblTM[device_custom17],"",0,1)</f>
        <v>0</v>
      </c>
      <c r="P45" s="125">
        <f>_xlfn.XLOOKUP(tblUnqSvr[[#This Row],[Hostname]],tblTM[common_assetName],tblTM[device_custom14],"",0,1)</f>
        <v>0</v>
      </c>
      <c r="Q45" s="125">
        <f>_xlfn.XLOOKUP(tblUnqSvr[[#This Row],[Hostname]],tblTM[common_assetName],tblTM[device_custom12],"",0,1)</f>
        <v>0</v>
      </c>
      <c r="R45" s="130"/>
      <c r="S45" s="130"/>
      <c r="T45" s="127"/>
      <c r="U45" s="127"/>
      <c r="V45" s="127"/>
      <c r="W45" s="127"/>
      <c r="X45" s="127"/>
    </row>
    <row r="46" spans="1:24" x14ac:dyDescent="0.35">
      <c r="A46" s="195"/>
      <c r="B46" s="125"/>
      <c r="C46" s="125" t="str">
        <f>MigrationEventCode</f>
        <v>MEA190</v>
      </c>
      <c r="D46" s="126">
        <f>TMWorkbook!$C$2</f>
        <v>46210</v>
      </c>
      <c r="E46" s="125" t="str">
        <f>CONCATENATE(tblUnqSvr[[#This Row],[Hostname]],"-cmold")</f>
        <v>vaathmr435-cmold</v>
      </c>
      <c r="F46" s="125" t="str">
        <f>_xlfn.XLOOKUP(tblUnqSvr[[#This Row],[Hostname]],tblTM[common_assetName],tblTM[device_ipAddress],"",0,1)</f>
        <v>30.135.64.238,30.135.64.40</v>
      </c>
      <c r="G46" s="196" t="s">
        <v>751</v>
      </c>
      <c r="H46" s="127">
        <f>_xlfn.XLOOKUP(tblUnqSvr[[#This Row],[Hostname]],tblTM[common_assetName],tblTM[device_custom35],"",0,1)</f>
        <v>0</v>
      </c>
      <c r="I46" s="197" t="str">
        <f>_xlfn.XLOOKUP(tblUnqSvr[[#This Row],[Hostname]],tblTM[common_assetName],tblTM[common_environment],"",0,1)</f>
        <v>Development</v>
      </c>
      <c r="J46" s="198" t="str">
        <f>_xlfn.XLOOKUP(tblUnqSvr[[#This Row],[Hostname]],tblTM[common_assetName],tblTM[device_assetType],"",0,1)</f>
        <v>AIX-LPAR</v>
      </c>
      <c r="K46"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46" s="200" t="s">
        <v>796</v>
      </c>
      <c r="M46" s="128" t="str">
        <f>_xlfn.XLOOKUP(tblUnqSvr[[#This Row],[Hostname]],tblEvntScope[Hostname],tblEvntScope[Target Data Center],"",0,1)</f>
        <v>IBM Cloud Dedicated - Ashburn</v>
      </c>
      <c r="N46" s="129" t="s">
        <v>493</v>
      </c>
      <c r="O46" s="125">
        <f>_xlfn.XLOOKUP(tblUnqSvr[[#This Row],[Hostname]],tblTM[common_assetName],tblTM[device_custom17],"",0,1)</f>
        <v>0</v>
      </c>
      <c r="P46" s="125">
        <f>_xlfn.XLOOKUP(tblUnqSvr[[#This Row],[Hostname]],tblTM[common_assetName],tblTM[device_custom14],"",0,1)</f>
        <v>0</v>
      </c>
      <c r="Q46" s="125">
        <f>_xlfn.XLOOKUP(tblUnqSvr[[#This Row],[Hostname]],tblTM[common_assetName],tblTM[device_custom12],"",0,1)</f>
        <v>0</v>
      </c>
      <c r="R46" s="130"/>
      <c r="S46" s="130"/>
      <c r="T46" s="127"/>
      <c r="U46" s="127"/>
      <c r="V46" s="127"/>
      <c r="W46" s="127"/>
      <c r="X46" s="127"/>
    </row>
    <row r="47" spans="1:24" x14ac:dyDescent="0.35">
      <c r="A47" s="195"/>
      <c r="B47" s="125"/>
      <c r="C47" s="125" t="str">
        <f>MigrationEventCode</f>
        <v>MEA190</v>
      </c>
      <c r="D47" s="126">
        <f>TMWorkbook!$C$2</f>
        <v>46210</v>
      </c>
      <c r="E47" s="125" t="str">
        <f>CONCATENATE(tblUnqSvr[[#This Row],[Hostname]],"-cmold")</f>
        <v>vaathmr672-cmold</v>
      </c>
      <c r="F47" s="125" t="str">
        <f>_xlfn.XLOOKUP(tblUnqSvr[[#This Row],[Hostname]],tblTM[common_assetName],tblTM[device_ipAddress],"",0,1)</f>
        <v>30.135.64.125</v>
      </c>
      <c r="G47" s="196" t="s">
        <v>751</v>
      </c>
      <c r="H47" s="127" t="str">
        <f>_xlfn.XLOOKUP(tblUnqSvr[[#This Row],[Hostname]],tblTM[common_assetName],tblTM[device_custom35],"",0,1)</f>
        <v>WebSphere and MQ server</v>
      </c>
      <c r="I47" s="197" t="str">
        <f>_xlfn.XLOOKUP(tblUnqSvr[[#This Row],[Hostname]],tblTM[common_assetName],tblTM[common_environment],"",0,1)</f>
        <v>Test</v>
      </c>
      <c r="J47" s="198" t="str">
        <f>_xlfn.XLOOKUP(tblUnqSvr[[#This Row],[Hostname]],tblTM[common_assetName],tblTM[device_assetType],"",0,1)</f>
        <v>AIX-LPAR</v>
      </c>
      <c r="K47" s="199"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AIX</v>
      </c>
      <c r="L47" s="200" t="s">
        <v>797</v>
      </c>
      <c r="M47" s="128" t="str">
        <f>_xlfn.XLOOKUP(tblUnqSvr[[#This Row],[Hostname]],tblEvntScope[Hostname],tblEvntScope[Target Data Center],"",0,1)</f>
        <v>IBM Cloud Dedicated - Ashburn</v>
      </c>
      <c r="N47" s="129" t="s">
        <v>477</v>
      </c>
      <c r="O47" s="125">
        <f>_xlfn.XLOOKUP(tblUnqSvr[[#This Row],[Hostname]],tblTM[common_assetName],tblTM[device_custom17],"",0,1)</f>
        <v>0</v>
      </c>
      <c r="P47" s="125">
        <f>_xlfn.XLOOKUP(tblUnqSvr[[#This Row],[Hostname]],tblTM[common_assetName],tblTM[device_custom14],"",0,1)</f>
        <v>0</v>
      </c>
      <c r="Q47" s="125">
        <f>_xlfn.XLOOKUP(tblUnqSvr[[#This Row],[Hostname]],tblTM[common_assetName],tblTM[device_custom12],"",0,1)</f>
        <v>0</v>
      </c>
      <c r="R47" s="130"/>
      <c r="S47" s="130"/>
      <c r="T47" s="127"/>
      <c r="U47" s="127"/>
      <c r="V47" s="127"/>
      <c r="W47" s="127"/>
      <c r="X47" s="127"/>
    </row>
  </sheetData>
  <conditionalFormatting sqref="I2:I47">
    <cfRule type="expression" dxfId="25" priority="13">
      <formula>LEFT(INDIRECT("tblUnqSvr[@Environment]"),4)="Deve"</formula>
    </cfRule>
    <cfRule type="expression" dxfId="24" priority="14">
      <formula>LEFT(INDIRECT("tblUnqSvr[@Environment]"),4)="Test"</formula>
    </cfRule>
    <cfRule type="expression" dxfId="23" priority="15">
      <formula>LEFT(INDIRECT("tblUnqSvr[@Environment]"),4)="Prod"</formula>
    </cfRule>
  </conditionalFormatting>
  <conditionalFormatting sqref="J2:J47">
    <cfRule type="expression" dxfId="22" priority="9">
      <formula>INDIRECT("tblUnqSvr[@Device Type]")="Server"</formula>
    </cfRule>
    <cfRule type="expression" dxfId="21" priority="10">
      <formula>LEFT(INDIRECT("tblUnqSvr[@Device Type]"),8)="Linux-VM"</formula>
    </cfRule>
    <cfRule type="expression" dxfId="20" priority="11">
      <formula>LEFT(INDIRECT("tblUnqSvr[@Device Type]"),3)="AIX"</formula>
    </cfRule>
  </conditionalFormatting>
  <conditionalFormatting sqref="K2:K47">
    <cfRule type="expression" dxfId="19" priority="2">
      <formula>LEFT(INDIRECT("tblUnqSvr[@Operating System]"),6)="MS Win"</formula>
    </cfRule>
    <cfRule type="expression" dxfId="18" priority="3">
      <formula>LEFT(INDIRECT("tblUnqSvr[@Operating System]"),4)="RHEL"</formula>
    </cfRule>
    <cfRule type="expression" dxfId="17" priority="4">
      <formula>LEFT(INDIRECT("tblUnqSvr[@Operating System]"),4)="UNIX"</formula>
    </cfRule>
    <cfRule type="expression" dxfId="16" priority="5">
      <formula>LEFT(INDIRECT("tblUnqSvr[@Operating System]"),4)="OSCP"</formula>
    </cfRule>
    <cfRule type="expression" dxfId="15" priority="6">
      <formula>LEFT(INDIRECT("tblUnqSvr[@Operating System]"),6)="PwrLnx"</formula>
    </cfRule>
    <cfRule type="expression" dxfId="14" priority="7">
      <formula>LEFT(INDIRECT("tblUnqSvr[@Operating System]"),3)="AIX"</formula>
    </cfRule>
  </conditionalFormatting>
  <dataValidations count="1">
    <dataValidation type="list" allowBlank="1" showInputMessage="1" showErrorMessage="1" sqref="B2:B47" xr:uid="{24D12894-CBC3-41FC-AF14-6A1ED6E6786C}">
      <formula1>"Completed, Retired, Rolled Back"</formula1>
    </dataValidation>
  </dataValidations>
  <pageMargins left="0.7" right="0.7" top="0.75" bottom="0.75" header="0.3" footer="0.3"/>
  <pageSetup orientation="portrait" horizontalDpi="360" verticalDpi="360" r:id="rId1"/>
  <legacy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20579-74D6-489A-B695-260FB727588E}">
  <sheetPr codeName="Sheet15">
    <tabColor rgb="FFD1D8E1"/>
  </sheetPr>
  <dimension ref="A1:T33"/>
  <sheetViews>
    <sheetView workbookViewId="0">
      <pane xSplit="3" ySplit="1" topLeftCell="L2" activePane="bottomRight" state="frozen"/>
      <selection pane="topRight" activeCell="D1" sqref="D1"/>
      <selection pane="bottomLeft" activeCell="A2" sqref="A2"/>
      <selection pane="bottomRight" activeCell="N2" sqref="N2:N47"/>
    </sheetView>
  </sheetViews>
  <sheetFormatPr defaultColWidth="8.58203125" defaultRowHeight="14.5" x14ac:dyDescent="0.35"/>
  <cols>
    <col min="1" max="1" width="5.83203125" style="116" customWidth="1"/>
    <col min="2" max="2" width="14.08203125" style="116" customWidth="1"/>
    <col min="3" max="3" width="8.58203125" style="116" customWidth="1"/>
    <col min="4" max="4" width="27.83203125" style="116" customWidth="1"/>
    <col min="5" max="5" width="21.5" style="116" customWidth="1"/>
    <col min="6" max="6" width="16.58203125" style="116" customWidth="1"/>
    <col min="7" max="7" width="19.58203125" style="116" customWidth="1"/>
    <col min="8" max="8" width="16.08203125" style="116" customWidth="1"/>
    <col min="9" max="9" width="10.5" style="116" bestFit="1" customWidth="1"/>
    <col min="10" max="10" width="10.83203125" style="116" customWidth="1"/>
    <col min="11" max="11" width="14.58203125" style="116" customWidth="1"/>
    <col min="12" max="12" width="28.33203125" style="116" customWidth="1"/>
    <col min="13" max="13" width="23.5" style="116" customWidth="1"/>
    <col min="14" max="14" width="17.33203125" style="116" customWidth="1"/>
    <col min="15" max="17" width="16.58203125" style="116" customWidth="1"/>
    <col min="18" max="18" width="19.58203125" style="116" customWidth="1"/>
    <col min="19" max="19" width="21.58203125" style="116" customWidth="1"/>
    <col min="20" max="20" width="44.6640625" style="116" bestFit="1" customWidth="1"/>
    <col min="21" max="16384" width="8.58203125" style="116"/>
  </cols>
  <sheetData>
    <row r="1" spans="1:20" x14ac:dyDescent="0.35">
      <c r="A1" s="153" t="s">
        <v>304</v>
      </c>
      <c r="B1" s="153" t="s">
        <v>305</v>
      </c>
      <c r="C1" s="153" t="s">
        <v>93</v>
      </c>
      <c r="D1" s="153" t="s">
        <v>312</v>
      </c>
      <c r="E1" s="154" t="s">
        <v>320</v>
      </c>
      <c r="F1" s="155" t="s">
        <v>101</v>
      </c>
      <c r="G1" s="156" t="s">
        <v>307</v>
      </c>
      <c r="H1" s="155" t="s">
        <v>308</v>
      </c>
      <c r="I1" s="155" t="s">
        <v>74</v>
      </c>
      <c r="J1" s="149" t="s">
        <v>76</v>
      </c>
      <c r="K1" s="155" t="s">
        <v>103</v>
      </c>
      <c r="L1" s="156" t="s">
        <v>315</v>
      </c>
      <c r="M1" s="156" t="s">
        <v>105</v>
      </c>
      <c r="N1" s="157" t="s">
        <v>72</v>
      </c>
      <c r="O1" s="158" t="s">
        <v>106</v>
      </c>
      <c r="P1" s="158" t="s">
        <v>107</v>
      </c>
      <c r="Q1" s="158" t="s">
        <v>108</v>
      </c>
      <c r="R1" s="153" t="s">
        <v>310</v>
      </c>
      <c r="S1" s="153" t="s">
        <v>311</v>
      </c>
      <c r="T1" s="155" t="s">
        <v>92</v>
      </c>
    </row>
    <row r="2" spans="1:20" x14ac:dyDescent="0.35">
      <c r="A2" s="153"/>
      <c r="B2" s="153" t="str">
        <f>_xlfn.LET(_xlpm.MigSt,_xlfn.XLOOKUP(tblPhySvrs[[#This Row],[Hostname]],tblUnqSvr[Hostname],tblUnqSvr[Migration Status],"",0,1),IF(_xlpm.MigSt=0,"",_xlpm.MigSt))</f>
        <v/>
      </c>
      <c r="C2" s="153" t="str">
        <f t="shared" ref="C2" si="0">MigrationEventCode</f>
        <v>MEA190</v>
      </c>
      <c r="D2" s="166">
        <f>TMWorkbook!$C$2</f>
        <v>46210</v>
      </c>
      <c r="E2" s="154" t="str">
        <f>CONCATENATE(tblPhySvrs[[#This Row],[Hostname]],"-cmold")</f>
        <v>dc04tlpkaf400-cmold</v>
      </c>
      <c r="F2" s="155" t="str">
        <f>_xlfn.XLOOKUP(tblPhySvrs[[#This Row],[Hostname]],tblTM[common_assetName],tblTM[device_ipAddress],"",0,1)</f>
        <v>10.152.28.98</v>
      </c>
      <c r="G2" s="167" t="str">
        <f>_xlfn.LET(_xlpm.DCLoc,_xlfn.XLOOKUP(tblPhySvrs[[#This Row],[Hostname]],tblUnqSvr[Hostname],tblUnqSvr[EH DataCenter Location],"",0,1), IF(_xlpm.DCLoc=0,"",_xlpm.DCLoc))</f>
        <v>IBM-Cloud Services US East</v>
      </c>
      <c r="H2" s="155">
        <f>_xlfn.XLOOKUP(tblPhySvrs[[#This Row],[Hostname]],tblTM[common_assetName],tblTM[device_custom35],"",0,1)</f>
        <v>0</v>
      </c>
      <c r="I2" s="123" t="str">
        <f>_xlfn.XLOOKUP(tblPhySvrs[[#This Row],[Hostname]],tblTM[common_assetName],tblTM[common_environment],"",0,1)</f>
        <v>Test</v>
      </c>
      <c r="J2" s="124" t="str">
        <f>_xlfn.XLOOKUP(tblPhySvrs[[#This Row],[Hostname]],tblUnqSvr[Hostname],tblUnqSvr[Device Type],"",0,1)</f>
        <v>Server</v>
      </c>
      <c r="K2" s="124"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 s="156" t="str">
        <f>_xlfn.XLOOKUP(tblPhySvrs[[#This Row],[Hostname]],tblUnqSvr[[#This Row],[Hostname]],tblUnqSvr[[#This Row],[Source Physical Server Serial Number]],"",0,1)</f>
        <v>J1013YWD</v>
      </c>
      <c r="M2" s="156" t="str">
        <f>_xlfn.XLOOKUP(tblPhySvrs[[#This Row],[Hostname]],tblUnqSvr[[#This Row],[Hostname]],tblUnqSvr[[#This Row],[Target Data Center]],"",0,1)</f>
        <v>Dell BMaaS - Ashburn</v>
      </c>
      <c r="N2" s="165" t="s">
        <v>706</v>
      </c>
      <c r="O2" s="158">
        <f>_xlfn.XLOOKUP(tblPhySvrs[[#This Row],[Hostname]],tblTM[common_assetName],tblTM[device_custom17],"",0,1)</f>
        <v>0</v>
      </c>
      <c r="P2" s="158">
        <f>_xlfn.XLOOKUP(tblPhySvrs[[#This Row],[Hostname]],tblTM[common_assetName],tblTM[device_custom14],"",0,1)</f>
        <v>0</v>
      </c>
      <c r="Q2" s="158">
        <f>_xlfn.XLOOKUP(tblPhySvrs[[#This Row],[Hostname]],tblTM[common_assetName],tblTM[device_custom12],"",0,1)</f>
        <v>0</v>
      </c>
      <c r="R2" s="153">
        <f>_xlfn.XLOOKUP(tblPhySvrs[[#This Row],[Hostname]],tblUnqSvr[[#This Row],[Hostname]],tblUnqSvr[[#This Row],[Cutover Change number]],"",0,1)</f>
        <v>0</v>
      </c>
      <c r="S2" s="153">
        <f>_xlfn.XLOOKUP(tblPhySvrs[[#This Row],[Hostname]],tblUnqSvr[[#This Row],[Hostname]],tblUnqSvr[[#This Row],[Plan Status "Moved" in TM]],"",0,1)</f>
        <v>0</v>
      </c>
      <c r="T2" s="155"/>
    </row>
    <row r="3" spans="1:20" x14ac:dyDescent="0.35">
      <c r="A3" s="201"/>
      <c r="B3" s="201" t="str">
        <f>_xlfn.LET(_xlpm.MigSt,_xlfn.XLOOKUP(tblPhySvrs[[#This Row],[Hostname]],tblUnqSvr[Hostname],tblUnqSvr[Migration Status],"",0,1),IF(_xlpm.MigSt=0,"",_xlpm.MigSt))</f>
        <v/>
      </c>
      <c r="C3" s="201" t="str">
        <f>MigrationEventCode</f>
        <v>MEA190</v>
      </c>
      <c r="D3" s="202">
        <f>TMWorkbook!$C$2</f>
        <v>46210</v>
      </c>
      <c r="E3" s="201" t="str">
        <f>CONCATENATE(tblPhySvrs[[#This Row],[Hostname]],"-cmold")</f>
        <v>dc04tlpkaf401-cmold</v>
      </c>
      <c r="F3" s="201" t="str">
        <f>_xlfn.XLOOKUP(tblPhySvrs[[#This Row],[Hostname]],tblTM[common_assetName],tblTM[device_ipAddress],"",0,1)</f>
        <v>10.152.28.99</v>
      </c>
      <c r="G3" s="203" t="str">
        <f>_xlfn.LET(_xlpm.DCLoc,_xlfn.XLOOKUP(tblPhySvrs[[#This Row],[Hostname]],tblUnqSvr[Hostname],tblUnqSvr[EH DataCenter Location],"",0,1), IF(_xlpm.DCLoc=0,"",_xlpm.DCLoc))</f>
        <v>IBM-Cloud Services US East</v>
      </c>
      <c r="H3" s="201">
        <f>_xlfn.XLOOKUP(tblPhySvrs[[#This Row],[Hostname]],tblTM[common_assetName],tblTM[device_custom35],"",0,1)</f>
        <v>0</v>
      </c>
      <c r="I3" s="197" t="str">
        <f>_xlfn.XLOOKUP(tblPhySvrs[[#This Row],[Hostname]],tblTM[common_assetName],tblTM[common_environment],"",0,1)</f>
        <v>Test</v>
      </c>
      <c r="J3" s="199" t="str">
        <f>_xlfn.XLOOKUP(tblPhySvrs[[#This Row],[Hostname]],tblUnqSvr[Hostname],tblUnqSvr[Device Type],"",0,1)</f>
        <v>Server</v>
      </c>
      <c r="K3"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3" s="201" t="str">
        <f>_xlfn.XLOOKUP(tblPhySvrs[[#This Row],[Hostname]],tblUnqSvr[[#This Row],[Hostname]],tblUnqSvr[[#This Row],[Source Physical Server Serial Number]],"",0,1)</f>
        <v>J1013Y6V</v>
      </c>
      <c r="M3" s="201" t="str">
        <f>_xlfn.XLOOKUP(tblPhySvrs[[#This Row],[Hostname]],tblUnqSvr[[#This Row],[Hostname]],tblUnqSvr[[#This Row],[Target Data Center]],"",0,1)</f>
        <v>Dell BMaaS - Ashburn</v>
      </c>
      <c r="N3" s="204" t="s">
        <v>702</v>
      </c>
      <c r="O3" s="201">
        <f>_xlfn.XLOOKUP(tblPhySvrs[[#This Row],[Hostname]],tblTM[common_assetName],tblTM[device_custom17],"",0,1)</f>
        <v>0</v>
      </c>
      <c r="P3" s="201">
        <f>_xlfn.XLOOKUP(tblPhySvrs[[#This Row],[Hostname]],tblTM[common_assetName],tblTM[device_custom14],"",0,1)</f>
        <v>0</v>
      </c>
      <c r="Q3" s="201">
        <f>_xlfn.XLOOKUP(tblPhySvrs[[#This Row],[Hostname]],tblTM[common_assetName],tblTM[device_custom12],"",0,1)</f>
        <v>0</v>
      </c>
      <c r="R3" s="201">
        <f>_xlfn.XLOOKUP(tblPhySvrs[[#This Row],[Hostname]],tblUnqSvr[[#This Row],[Hostname]],tblUnqSvr[[#This Row],[Cutover Change number]],"",0,1)</f>
        <v>0</v>
      </c>
      <c r="S3" s="201">
        <f>_xlfn.XLOOKUP(tblPhySvrs[[#This Row],[Hostname]],tblUnqSvr[[#This Row],[Hostname]],tblUnqSvr[[#This Row],[Plan Status "Moved" in TM]],"",0,1)</f>
        <v>0</v>
      </c>
      <c r="T3" s="201"/>
    </row>
    <row r="4" spans="1:20" x14ac:dyDescent="0.35">
      <c r="A4" s="201"/>
      <c r="B4" s="201" t="str">
        <f>_xlfn.LET(_xlpm.MigSt,_xlfn.XLOOKUP(tblPhySvrs[[#This Row],[Hostname]],tblUnqSvr[Hostname],tblUnqSvr[Migration Status],"",0,1),IF(_xlpm.MigSt=0,"",_xlpm.MigSt))</f>
        <v/>
      </c>
      <c r="C4" s="201" t="str">
        <f>MigrationEventCode</f>
        <v>MEA190</v>
      </c>
      <c r="D4" s="202">
        <f>TMWorkbook!$C$2</f>
        <v>46210</v>
      </c>
      <c r="E4" s="201" t="str">
        <f>CONCATENATE(tblPhySvrs[[#This Row],[Hostname]],"-cmold")</f>
        <v>dc04tlpkaf402-cmold</v>
      </c>
      <c r="F4" s="201" t="str">
        <f>_xlfn.XLOOKUP(tblPhySvrs[[#This Row],[Hostname]],tblTM[common_assetName],tblTM[device_ipAddress],"",0,1)</f>
        <v>10.152.28.100</v>
      </c>
      <c r="G4" s="203" t="str">
        <f>_xlfn.LET(_xlpm.DCLoc,_xlfn.XLOOKUP(tblPhySvrs[[#This Row],[Hostname]],tblUnqSvr[Hostname],tblUnqSvr[EH DataCenter Location],"",0,1), IF(_xlpm.DCLoc=0,"",_xlpm.DCLoc))</f>
        <v>IBM-Cloud Services US East</v>
      </c>
      <c r="H4" s="201">
        <f>_xlfn.XLOOKUP(tblPhySvrs[[#This Row],[Hostname]],tblTM[common_assetName],tblTM[device_custom35],"",0,1)</f>
        <v>0</v>
      </c>
      <c r="I4" s="197" t="str">
        <f>_xlfn.XLOOKUP(tblPhySvrs[[#This Row],[Hostname]],tblTM[common_assetName],tblTM[common_environment],"",0,1)</f>
        <v>Test</v>
      </c>
      <c r="J4" s="199" t="str">
        <f>_xlfn.XLOOKUP(tblPhySvrs[[#This Row],[Hostname]],tblUnqSvr[Hostname],tblUnqSvr[Device Type],"",0,1)</f>
        <v>Server</v>
      </c>
      <c r="K4"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4" s="201" t="str">
        <f>_xlfn.XLOOKUP(tblPhySvrs[[#This Row],[Hostname]],tblUnqSvr[[#This Row],[Hostname]],tblUnqSvr[[#This Row],[Source Physical Server Serial Number]],"",0,1)</f>
        <v>J101TZP5</v>
      </c>
      <c r="M4" s="201" t="str">
        <f>_xlfn.XLOOKUP(tblPhySvrs[[#This Row],[Hostname]],tblUnqSvr[[#This Row],[Hostname]],tblUnqSvr[[#This Row],[Target Data Center]],"",0,1)</f>
        <v>Dell BMaaS - Ashburn</v>
      </c>
      <c r="N4" s="204" t="s">
        <v>698</v>
      </c>
      <c r="O4" s="201">
        <f>_xlfn.XLOOKUP(tblPhySvrs[[#This Row],[Hostname]],tblTM[common_assetName],tblTM[device_custom17],"",0,1)</f>
        <v>0</v>
      </c>
      <c r="P4" s="201">
        <f>_xlfn.XLOOKUP(tblPhySvrs[[#This Row],[Hostname]],tblTM[common_assetName],tblTM[device_custom14],"",0,1)</f>
        <v>0</v>
      </c>
      <c r="Q4" s="201">
        <f>_xlfn.XLOOKUP(tblPhySvrs[[#This Row],[Hostname]],tblTM[common_assetName],tblTM[device_custom12],"",0,1)</f>
        <v>0</v>
      </c>
      <c r="R4" s="201">
        <f>_xlfn.XLOOKUP(tblPhySvrs[[#This Row],[Hostname]],tblUnqSvr[[#This Row],[Hostname]],tblUnqSvr[[#This Row],[Cutover Change number]],"",0,1)</f>
        <v>0</v>
      </c>
      <c r="S4" s="201">
        <f>_xlfn.XLOOKUP(tblPhySvrs[[#This Row],[Hostname]],tblUnqSvr[[#This Row],[Hostname]],tblUnqSvr[[#This Row],[Plan Status "Moved" in TM]],"",0,1)</f>
        <v>0</v>
      </c>
      <c r="T4" s="201"/>
    </row>
    <row r="5" spans="1:20" x14ac:dyDescent="0.35">
      <c r="A5" s="201"/>
      <c r="B5" s="201" t="str">
        <f>_xlfn.LET(_xlpm.MigSt,_xlfn.XLOOKUP(tblPhySvrs[[#This Row],[Hostname]],tblUnqSvr[Hostname],tblUnqSvr[Migration Status],"",0,1),IF(_xlpm.MigSt=0,"",_xlpm.MigSt))</f>
        <v/>
      </c>
      <c r="C5" s="201" t="str">
        <f>MigrationEventCode</f>
        <v>MEA190</v>
      </c>
      <c r="D5" s="202">
        <f>TMWorkbook!$C$2</f>
        <v>46210</v>
      </c>
      <c r="E5" s="201" t="str">
        <f>CONCATENATE(tblPhySvrs[[#This Row],[Hostname]],"-cmold")</f>
        <v>dc04tlpkaf404-cmold</v>
      </c>
      <c r="F5" s="201" t="str">
        <f>_xlfn.XLOOKUP(tblPhySvrs[[#This Row],[Hostname]],tblTM[common_assetName],tblTM[device_ipAddress],"",0,1)</f>
        <v>10.152.28.102</v>
      </c>
      <c r="G5" s="203" t="str">
        <f>_xlfn.LET(_xlpm.DCLoc,_xlfn.XLOOKUP(tblPhySvrs[[#This Row],[Hostname]],tblUnqSvr[Hostname],tblUnqSvr[EH DataCenter Location],"",0,1), IF(_xlpm.DCLoc=0,"",_xlpm.DCLoc))</f>
        <v>IBM-Cloud Services US East</v>
      </c>
      <c r="H5" s="201">
        <f>_xlfn.XLOOKUP(tblPhySvrs[[#This Row],[Hostname]],tblTM[common_assetName],tblTM[device_custom35],"",0,1)</f>
        <v>0</v>
      </c>
      <c r="I5" s="197" t="str">
        <f>_xlfn.XLOOKUP(tblPhySvrs[[#This Row],[Hostname]],tblTM[common_assetName],tblTM[common_environment],"",0,1)</f>
        <v>Test</v>
      </c>
      <c r="J5" s="199" t="str">
        <f>_xlfn.XLOOKUP(tblPhySvrs[[#This Row],[Hostname]],tblUnqSvr[Hostname],tblUnqSvr[Device Type],"",0,1)</f>
        <v>Server</v>
      </c>
      <c r="K5"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5" s="201" t="str">
        <f>_xlfn.XLOOKUP(tblPhySvrs[[#This Row],[Hostname]],tblUnqSvr[[#This Row],[Hostname]],tblUnqSvr[[#This Row],[Source Physical Server Serial Number]],"",0,1)</f>
        <v>J101VB42</v>
      </c>
      <c r="M5" s="201" t="str">
        <f>_xlfn.XLOOKUP(tblPhySvrs[[#This Row],[Hostname]],tblUnqSvr[[#This Row],[Hostname]],tblUnqSvr[[#This Row],[Target Data Center]],"",0,1)</f>
        <v>Dell BMaaS - Ashburn</v>
      </c>
      <c r="N5" s="204" t="s">
        <v>694</v>
      </c>
      <c r="O5" s="201">
        <f>_xlfn.XLOOKUP(tblPhySvrs[[#This Row],[Hostname]],tblTM[common_assetName],tblTM[device_custom17],"",0,1)</f>
        <v>0</v>
      </c>
      <c r="P5" s="201">
        <f>_xlfn.XLOOKUP(tblPhySvrs[[#This Row],[Hostname]],tblTM[common_assetName],tblTM[device_custom14],"",0,1)</f>
        <v>0</v>
      </c>
      <c r="Q5" s="201">
        <f>_xlfn.XLOOKUP(tblPhySvrs[[#This Row],[Hostname]],tblTM[common_assetName],tblTM[device_custom12],"",0,1)</f>
        <v>0</v>
      </c>
      <c r="R5" s="201">
        <f>_xlfn.XLOOKUP(tblPhySvrs[[#This Row],[Hostname]],tblUnqSvr[[#This Row],[Hostname]],tblUnqSvr[[#This Row],[Cutover Change number]],"",0,1)</f>
        <v>0</v>
      </c>
      <c r="S5" s="201">
        <f>_xlfn.XLOOKUP(tblPhySvrs[[#This Row],[Hostname]],tblUnqSvr[[#This Row],[Hostname]],tblUnqSvr[[#This Row],[Plan Status "Moved" in TM]],"",0,1)</f>
        <v>0</v>
      </c>
      <c r="T5" s="201"/>
    </row>
    <row r="6" spans="1:20" x14ac:dyDescent="0.35">
      <c r="A6" s="201"/>
      <c r="B6" s="201" t="str">
        <f>_xlfn.LET(_xlpm.MigSt,_xlfn.XLOOKUP(tblPhySvrs[[#This Row],[Hostname]],tblUnqSvr[Hostname],tblUnqSvr[Migration Status],"",0,1),IF(_xlpm.MigSt=0,"",_xlpm.MigSt))</f>
        <v/>
      </c>
      <c r="C6" s="201" t="str">
        <f>MigrationEventCode</f>
        <v>MEA190</v>
      </c>
      <c r="D6" s="202">
        <f>TMWorkbook!$C$2</f>
        <v>46210</v>
      </c>
      <c r="E6" s="201" t="str">
        <f>CONCATENATE(tblPhySvrs[[#This Row],[Hostname]],"-cmold")</f>
        <v>dc04tlpkaf405-cmold</v>
      </c>
      <c r="F6" s="201" t="str">
        <f>_xlfn.XLOOKUP(tblPhySvrs[[#This Row],[Hostname]],tblTM[common_assetName],tblTM[device_ipAddress],"",0,1)</f>
        <v>10.152.28.103</v>
      </c>
      <c r="G6" s="203" t="str">
        <f>_xlfn.LET(_xlpm.DCLoc,_xlfn.XLOOKUP(tblPhySvrs[[#This Row],[Hostname]],tblUnqSvr[Hostname],tblUnqSvr[EH DataCenter Location],"",0,1), IF(_xlpm.DCLoc=0,"",_xlpm.DCLoc))</f>
        <v>IBM-Cloud Services US East</v>
      </c>
      <c r="H6" s="201">
        <f>_xlfn.XLOOKUP(tblPhySvrs[[#This Row],[Hostname]],tblTM[common_assetName],tblTM[device_custom35],"",0,1)</f>
        <v>0</v>
      </c>
      <c r="I6" s="197" t="str">
        <f>_xlfn.XLOOKUP(tblPhySvrs[[#This Row],[Hostname]],tblTM[common_assetName],tblTM[common_environment],"",0,1)</f>
        <v>Test</v>
      </c>
      <c r="J6" s="199" t="str">
        <f>_xlfn.XLOOKUP(tblPhySvrs[[#This Row],[Hostname]],tblUnqSvr[Hostname],tblUnqSvr[Device Type],"",0,1)</f>
        <v>Server</v>
      </c>
      <c r="K6"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6" s="201" t="str">
        <f>_xlfn.XLOOKUP(tblPhySvrs[[#This Row],[Hostname]],tblUnqSvr[[#This Row],[Hostname]],tblUnqSvr[[#This Row],[Source Physical Server Serial Number]],"",0,1)</f>
        <v>J101VB44</v>
      </c>
      <c r="M6" s="201" t="str">
        <f>_xlfn.XLOOKUP(tblPhySvrs[[#This Row],[Hostname]],tblUnqSvr[[#This Row],[Hostname]],tblUnqSvr[[#This Row],[Target Data Center]],"",0,1)</f>
        <v>Dell BMaaS - Ashburn</v>
      </c>
      <c r="N6" s="204" t="s">
        <v>690</v>
      </c>
      <c r="O6" s="201">
        <f>_xlfn.XLOOKUP(tblPhySvrs[[#This Row],[Hostname]],tblTM[common_assetName],tblTM[device_custom17],"",0,1)</f>
        <v>0</v>
      </c>
      <c r="P6" s="201">
        <f>_xlfn.XLOOKUP(tblPhySvrs[[#This Row],[Hostname]],tblTM[common_assetName],tblTM[device_custom14],"",0,1)</f>
        <v>0</v>
      </c>
      <c r="Q6" s="201">
        <f>_xlfn.XLOOKUP(tblPhySvrs[[#This Row],[Hostname]],tblTM[common_assetName],tblTM[device_custom12],"",0,1)</f>
        <v>0</v>
      </c>
      <c r="R6" s="201">
        <f>_xlfn.XLOOKUP(tblPhySvrs[[#This Row],[Hostname]],tblUnqSvr[[#This Row],[Hostname]],tblUnqSvr[[#This Row],[Cutover Change number]],"",0,1)</f>
        <v>0</v>
      </c>
      <c r="S6" s="201">
        <f>_xlfn.XLOOKUP(tblPhySvrs[[#This Row],[Hostname]],tblUnqSvr[[#This Row],[Hostname]],tblUnqSvr[[#This Row],[Plan Status "Moved" in TM]],"",0,1)</f>
        <v>0</v>
      </c>
      <c r="T6" s="201"/>
    </row>
    <row r="7" spans="1:20" x14ac:dyDescent="0.35">
      <c r="A7" s="201"/>
      <c r="B7" s="201" t="str">
        <f>_xlfn.LET(_xlpm.MigSt,_xlfn.XLOOKUP(tblPhySvrs[[#This Row],[Hostname]],tblUnqSvr[Hostname],tblUnqSvr[Migration Status],"",0,1),IF(_xlpm.MigSt=0,"",_xlpm.MigSt))</f>
        <v/>
      </c>
      <c r="C7" s="201" t="str">
        <f>MigrationEventCode</f>
        <v>MEA190</v>
      </c>
      <c r="D7" s="202">
        <f>TMWorkbook!$C$2</f>
        <v>46210</v>
      </c>
      <c r="E7" s="201" t="str">
        <f>CONCATENATE(tblPhySvrs[[#This Row],[Hostname]],"-cmold")</f>
        <v>dc04tlpkaf406-cmold</v>
      </c>
      <c r="F7" s="201" t="str">
        <f>_xlfn.XLOOKUP(tblPhySvrs[[#This Row],[Hostname]],tblTM[common_assetName],tblTM[device_ipAddress],"",0,1)</f>
        <v>10.152.28.104</v>
      </c>
      <c r="G7" s="203" t="str">
        <f>_xlfn.LET(_xlpm.DCLoc,_xlfn.XLOOKUP(tblPhySvrs[[#This Row],[Hostname]],tblUnqSvr[Hostname],tblUnqSvr[EH DataCenter Location],"",0,1), IF(_xlpm.DCLoc=0,"",_xlpm.DCLoc))</f>
        <v>IBM-Cloud Services US East</v>
      </c>
      <c r="H7" s="201">
        <f>_xlfn.XLOOKUP(tblPhySvrs[[#This Row],[Hostname]],tblTM[common_assetName],tblTM[device_custom35],"",0,1)</f>
        <v>0</v>
      </c>
      <c r="I7" s="197" t="str">
        <f>_xlfn.XLOOKUP(tblPhySvrs[[#This Row],[Hostname]],tblTM[common_assetName],tblTM[common_environment],"",0,1)</f>
        <v>Test</v>
      </c>
      <c r="J7" s="199" t="str">
        <f>_xlfn.XLOOKUP(tblPhySvrs[[#This Row],[Hostname]],tblUnqSvr[Hostname],tblUnqSvr[Device Type],"",0,1)</f>
        <v>Server</v>
      </c>
      <c r="K7"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7" s="201" t="str">
        <f>_xlfn.XLOOKUP(tblPhySvrs[[#This Row],[Hostname]],tblUnqSvr[[#This Row],[Hostname]],tblUnqSvr[[#This Row],[Source Physical Server Serial Number]],"",0,1)</f>
        <v>J101VB4T</v>
      </c>
      <c r="M7" s="201" t="str">
        <f>_xlfn.XLOOKUP(tblPhySvrs[[#This Row],[Hostname]],tblUnqSvr[[#This Row],[Hostname]],tblUnqSvr[[#This Row],[Target Data Center]],"",0,1)</f>
        <v>Dell BMaaS - Ashburn</v>
      </c>
      <c r="N7" s="204" t="s">
        <v>686</v>
      </c>
      <c r="O7" s="201">
        <f>_xlfn.XLOOKUP(tblPhySvrs[[#This Row],[Hostname]],tblTM[common_assetName],tblTM[device_custom17],"",0,1)</f>
        <v>0</v>
      </c>
      <c r="P7" s="201">
        <f>_xlfn.XLOOKUP(tblPhySvrs[[#This Row],[Hostname]],tblTM[common_assetName],tblTM[device_custom14],"",0,1)</f>
        <v>0</v>
      </c>
      <c r="Q7" s="201">
        <f>_xlfn.XLOOKUP(tblPhySvrs[[#This Row],[Hostname]],tblTM[common_assetName],tblTM[device_custom12],"",0,1)</f>
        <v>0</v>
      </c>
      <c r="R7" s="201">
        <f>_xlfn.XLOOKUP(tblPhySvrs[[#This Row],[Hostname]],tblUnqSvr[[#This Row],[Hostname]],tblUnqSvr[[#This Row],[Cutover Change number]],"",0,1)</f>
        <v>0</v>
      </c>
      <c r="S7" s="201">
        <f>_xlfn.XLOOKUP(tblPhySvrs[[#This Row],[Hostname]],tblUnqSvr[[#This Row],[Hostname]],tblUnqSvr[[#This Row],[Plan Status "Moved" in TM]],"",0,1)</f>
        <v>0</v>
      </c>
      <c r="T7" s="201"/>
    </row>
    <row r="8" spans="1:20" x14ac:dyDescent="0.35">
      <c r="A8" s="201"/>
      <c r="B8" s="201" t="str">
        <f>_xlfn.LET(_xlpm.MigSt,_xlfn.XLOOKUP(tblPhySvrs[[#This Row],[Hostname]],tblUnqSvr[Hostname],tblUnqSvr[Migration Status],"",0,1),IF(_xlpm.MigSt=0,"",_xlpm.MigSt))</f>
        <v/>
      </c>
      <c r="C8" s="201" t="str">
        <f>MigrationEventCode</f>
        <v>MEA190</v>
      </c>
      <c r="D8" s="202">
        <f>TMWorkbook!$C$2</f>
        <v>46210</v>
      </c>
      <c r="E8" s="201" t="str">
        <f>CONCATENATE(tblPhySvrs[[#This Row],[Hostname]],"-cmold")</f>
        <v>dc04tlpkaf407-cmold</v>
      </c>
      <c r="F8" s="201" t="str">
        <f>_xlfn.XLOOKUP(tblPhySvrs[[#This Row],[Hostname]],tblTM[common_assetName],tblTM[device_ipAddress],"",0,1)</f>
        <v>10.152.28.105</v>
      </c>
      <c r="G8" s="203" t="str">
        <f>_xlfn.LET(_xlpm.DCLoc,_xlfn.XLOOKUP(tblPhySvrs[[#This Row],[Hostname]],tblUnqSvr[Hostname],tblUnqSvr[EH DataCenter Location],"",0,1), IF(_xlpm.DCLoc=0,"",_xlpm.DCLoc))</f>
        <v>IBM-Cloud Services US East</v>
      </c>
      <c r="H8" s="201">
        <f>_xlfn.XLOOKUP(tblPhySvrs[[#This Row],[Hostname]],tblTM[common_assetName],tblTM[device_custom35],"",0,1)</f>
        <v>0</v>
      </c>
      <c r="I8" s="197" t="str">
        <f>_xlfn.XLOOKUP(tblPhySvrs[[#This Row],[Hostname]],tblTM[common_assetName],tblTM[common_environment],"",0,1)</f>
        <v>Test</v>
      </c>
      <c r="J8" s="199" t="str">
        <f>_xlfn.XLOOKUP(tblPhySvrs[[#This Row],[Hostname]],tblUnqSvr[Hostname],tblUnqSvr[Device Type],"",0,1)</f>
        <v>Server</v>
      </c>
      <c r="K8"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8" s="201" t="str">
        <f>_xlfn.XLOOKUP(tblPhySvrs[[#This Row],[Hostname]],tblUnqSvr[[#This Row],[Hostname]],tblUnqSvr[[#This Row],[Source Physical Server Serial Number]],"",0,1)</f>
        <v>J101VB4R</v>
      </c>
      <c r="M8" s="201" t="str">
        <f>_xlfn.XLOOKUP(tblPhySvrs[[#This Row],[Hostname]],tblUnqSvr[[#This Row],[Hostname]],tblUnqSvr[[#This Row],[Target Data Center]],"",0,1)</f>
        <v>Dell BMaaS - Ashburn</v>
      </c>
      <c r="N8" s="204" t="s">
        <v>682</v>
      </c>
      <c r="O8" s="201">
        <f>_xlfn.XLOOKUP(tblPhySvrs[[#This Row],[Hostname]],tblTM[common_assetName],tblTM[device_custom17],"",0,1)</f>
        <v>0</v>
      </c>
      <c r="P8" s="201">
        <f>_xlfn.XLOOKUP(tblPhySvrs[[#This Row],[Hostname]],tblTM[common_assetName],tblTM[device_custom14],"",0,1)</f>
        <v>0</v>
      </c>
      <c r="Q8" s="201">
        <f>_xlfn.XLOOKUP(tblPhySvrs[[#This Row],[Hostname]],tblTM[common_assetName],tblTM[device_custom12],"",0,1)</f>
        <v>0</v>
      </c>
      <c r="R8" s="201">
        <f>_xlfn.XLOOKUP(tblPhySvrs[[#This Row],[Hostname]],tblUnqSvr[[#This Row],[Hostname]],tblUnqSvr[[#This Row],[Cutover Change number]],"",0,1)</f>
        <v>0</v>
      </c>
      <c r="S8" s="201">
        <f>_xlfn.XLOOKUP(tblPhySvrs[[#This Row],[Hostname]],tblUnqSvr[[#This Row],[Hostname]],tblUnqSvr[[#This Row],[Plan Status "Moved" in TM]],"",0,1)</f>
        <v>0</v>
      </c>
      <c r="T8" s="201"/>
    </row>
    <row r="9" spans="1:20" x14ac:dyDescent="0.35">
      <c r="A9" s="201"/>
      <c r="B9" s="201" t="str">
        <f>_xlfn.LET(_xlpm.MigSt,_xlfn.XLOOKUP(tblPhySvrs[[#This Row],[Hostname]],tblUnqSvr[Hostname],tblUnqSvr[Migration Status],"",0,1),IF(_xlpm.MigSt=0,"",_xlpm.MigSt))</f>
        <v/>
      </c>
      <c r="C9" s="201" t="str">
        <f>MigrationEventCode</f>
        <v>MEA190</v>
      </c>
      <c r="D9" s="202">
        <f>TMWorkbook!$C$2</f>
        <v>46210</v>
      </c>
      <c r="E9" s="201" t="str">
        <f>CONCATENATE(tblPhySvrs[[#This Row],[Hostname]],"-cmold")</f>
        <v>dc04tlpkaf408-cmold</v>
      </c>
      <c r="F9" s="201" t="str">
        <f>_xlfn.XLOOKUP(tblPhySvrs[[#This Row],[Hostname]],tblTM[common_assetName],tblTM[device_ipAddress],"",0,1)</f>
        <v>10.152.28.106</v>
      </c>
      <c r="G9" s="203" t="str">
        <f>_xlfn.LET(_xlpm.DCLoc,_xlfn.XLOOKUP(tblPhySvrs[[#This Row],[Hostname]],tblUnqSvr[Hostname],tblUnqSvr[EH DataCenter Location],"",0,1), IF(_xlpm.DCLoc=0,"",_xlpm.DCLoc))</f>
        <v>IBM-Cloud Services US East</v>
      </c>
      <c r="H9" s="201">
        <f>_xlfn.XLOOKUP(tblPhySvrs[[#This Row],[Hostname]],tblTM[common_assetName],tblTM[device_custom35],"",0,1)</f>
        <v>0</v>
      </c>
      <c r="I9" s="197" t="str">
        <f>_xlfn.XLOOKUP(tblPhySvrs[[#This Row],[Hostname]],tblTM[common_assetName],tblTM[common_environment],"",0,1)</f>
        <v>Test</v>
      </c>
      <c r="J9" s="199" t="str">
        <f>_xlfn.XLOOKUP(tblPhySvrs[[#This Row],[Hostname]],tblUnqSvr[Hostname],tblUnqSvr[Device Type],"",0,1)</f>
        <v>Server</v>
      </c>
      <c r="K9"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9" s="201" t="str">
        <f>_xlfn.XLOOKUP(tblPhySvrs[[#This Row],[Hostname]],tblUnqSvr[[#This Row],[Hostname]],tblUnqSvr[[#This Row],[Source Physical Server Serial Number]],"",0,1)</f>
        <v>J102262D</v>
      </c>
      <c r="M9" s="201" t="str">
        <f>_xlfn.XLOOKUP(tblPhySvrs[[#This Row],[Hostname]],tblUnqSvr[[#This Row],[Hostname]],tblUnqSvr[[#This Row],[Target Data Center]],"",0,1)</f>
        <v>Dell BMaaS - Ashburn</v>
      </c>
      <c r="N9" s="204" t="s">
        <v>678</v>
      </c>
      <c r="O9" s="201">
        <f>_xlfn.XLOOKUP(tblPhySvrs[[#This Row],[Hostname]],tblTM[common_assetName],tblTM[device_custom17],"",0,1)</f>
        <v>0</v>
      </c>
      <c r="P9" s="201">
        <f>_xlfn.XLOOKUP(tblPhySvrs[[#This Row],[Hostname]],tblTM[common_assetName],tblTM[device_custom14],"",0,1)</f>
        <v>0</v>
      </c>
      <c r="Q9" s="201">
        <f>_xlfn.XLOOKUP(tblPhySvrs[[#This Row],[Hostname]],tblTM[common_assetName],tblTM[device_custom12],"",0,1)</f>
        <v>0</v>
      </c>
      <c r="R9" s="201">
        <f>_xlfn.XLOOKUP(tblPhySvrs[[#This Row],[Hostname]],tblUnqSvr[[#This Row],[Hostname]],tblUnqSvr[[#This Row],[Cutover Change number]],"",0,1)</f>
        <v>0</v>
      </c>
      <c r="S9" s="201">
        <f>_xlfn.XLOOKUP(tblPhySvrs[[#This Row],[Hostname]],tblUnqSvr[[#This Row],[Hostname]],tblUnqSvr[[#This Row],[Plan Status "Moved" in TM]],"",0,1)</f>
        <v>0</v>
      </c>
      <c r="T9" s="201"/>
    </row>
    <row r="10" spans="1:20" x14ac:dyDescent="0.35">
      <c r="A10" s="201"/>
      <c r="B10" s="201" t="str">
        <f>_xlfn.LET(_xlpm.MigSt,_xlfn.XLOOKUP(tblPhySvrs[[#This Row],[Hostname]],tblUnqSvr[Hostname],tblUnqSvr[Migration Status],"",0,1),IF(_xlpm.MigSt=0,"",_xlpm.MigSt))</f>
        <v/>
      </c>
      <c r="C10" s="201" t="str">
        <f>MigrationEventCode</f>
        <v>MEA190</v>
      </c>
      <c r="D10" s="202">
        <f>TMWorkbook!$C$2</f>
        <v>46210</v>
      </c>
      <c r="E10" s="201" t="str">
        <f>CONCATENATE(tblPhySvrs[[#This Row],[Hostname]],"-cmold")</f>
        <v>dc04tlpkaf409-cmold</v>
      </c>
      <c r="F10" s="201" t="str">
        <f>_xlfn.XLOOKUP(tblPhySvrs[[#This Row],[Hostname]],tblTM[common_assetName],tblTM[device_ipAddress],"",0,1)</f>
        <v>10.152.28.107</v>
      </c>
      <c r="G10" s="203" t="str">
        <f>_xlfn.LET(_xlpm.DCLoc,_xlfn.XLOOKUP(tblPhySvrs[[#This Row],[Hostname]],tblUnqSvr[Hostname],tblUnqSvr[EH DataCenter Location],"",0,1), IF(_xlpm.DCLoc=0,"",_xlpm.DCLoc))</f>
        <v>IBM-Cloud Services US East</v>
      </c>
      <c r="H10" s="201">
        <f>_xlfn.XLOOKUP(tblPhySvrs[[#This Row],[Hostname]],tblTM[common_assetName],tblTM[device_custom35],"",0,1)</f>
        <v>0</v>
      </c>
      <c r="I10" s="197" t="str">
        <f>_xlfn.XLOOKUP(tblPhySvrs[[#This Row],[Hostname]],tblTM[common_assetName],tblTM[common_environment],"",0,1)</f>
        <v>Test</v>
      </c>
      <c r="J10" s="199" t="str">
        <f>_xlfn.XLOOKUP(tblPhySvrs[[#This Row],[Hostname]],tblUnqSvr[Hostname],tblUnqSvr[Device Type],"",0,1)</f>
        <v>Server</v>
      </c>
      <c r="K10"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0" s="201" t="str">
        <f>_xlfn.XLOOKUP(tblPhySvrs[[#This Row],[Hostname]],tblUnqSvr[[#This Row],[Hostname]],tblUnqSvr[[#This Row],[Source Physical Server Serial Number]],"",0,1)</f>
        <v>J1013Y95</v>
      </c>
      <c r="M10" s="201" t="str">
        <f>_xlfn.XLOOKUP(tblPhySvrs[[#This Row],[Hostname]],tblUnqSvr[[#This Row],[Hostname]],tblUnqSvr[[#This Row],[Target Data Center]],"",0,1)</f>
        <v>Dell BMaaS - Ashburn</v>
      </c>
      <c r="N10" s="204" t="s">
        <v>674</v>
      </c>
      <c r="O10" s="201">
        <f>_xlfn.XLOOKUP(tblPhySvrs[[#This Row],[Hostname]],tblTM[common_assetName],tblTM[device_custom17],"",0,1)</f>
        <v>0</v>
      </c>
      <c r="P10" s="201">
        <f>_xlfn.XLOOKUP(tblPhySvrs[[#This Row],[Hostname]],tblTM[common_assetName],tblTM[device_custom14],"",0,1)</f>
        <v>0</v>
      </c>
      <c r="Q10" s="201">
        <f>_xlfn.XLOOKUP(tblPhySvrs[[#This Row],[Hostname]],tblTM[common_assetName],tblTM[device_custom12],"",0,1)</f>
        <v>0</v>
      </c>
      <c r="R10" s="201">
        <f>_xlfn.XLOOKUP(tblPhySvrs[[#This Row],[Hostname]],tblUnqSvr[[#This Row],[Hostname]],tblUnqSvr[[#This Row],[Cutover Change number]],"",0,1)</f>
        <v>0</v>
      </c>
      <c r="S10" s="201">
        <f>_xlfn.XLOOKUP(tblPhySvrs[[#This Row],[Hostname]],tblUnqSvr[[#This Row],[Hostname]],tblUnqSvr[[#This Row],[Plan Status "Moved" in TM]],"",0,1)</f>
        <v>0</v>
      </c>
      <c r="T10" s="201"/>
    </row>
    <row r="11" spans="1:20" x14ac:dyDescent="0.35">
      <c r="A11" s="201"/>
      <c r="B11" s="201" t="str">
        <f>_xlfn.LET(_xlpm.MigSt,_xlfn.XLOOKUP(tblPhySvrs[[#This Row],[Hostname]],tblUnqSvr[Hostname],tblUnqSvr[Migration Status],"",0,1),IF(_xlpm.MigSt=0,"",_xlpm.MigSt))</f>
        <v/>
      </c>
      <c r="C11" s="201" t="str">
        <f>MigrationEventCode</f>
        <v>MEA190</v>
      </c>
      <c r="D11" s="202">
        <f>TMWorkbook!$C$2</f>
        <v>46210</v>
      </c>
      <c r="E11" s="201" t="str">
        <f>CONCATENATE(tblPhySvrs[[#This Row],[Hostname]],"-cmold")</f>
        <v>dc04tlpkaf410-cmold</v>
      </c>
      <c r="F11" s="201" t="str">
        <f>_xlfn.XLOOKUP(tblPhySvrs[[#This Row],[Hostname]],tblTM[common_assetName],tblTM[device_ipAddress],"",0,1)</f>
        <v>10.152.28.108</v>
      </c>
      <c r="G11" s="203" t="str">
        <f>_xlfn.LET(_xlpm.DCLoc,_xlfn.XLOOKUP(tblPhySvrs[[#This Row],[Hostname]],tblUnqSvr[Hostname],tblUnqSvr[EH DataCenter Location],"",0,1), IF(_xlpm.DCLoc=0,"",_xlpm.DCLoc))</f>
        <v>IBM-Cloud Services US East</v>
      </c>
      <c r="H11" s="201">
        <f>_xlfn.XLOOKUP(tblPhySvrs[[#This Row],[Hostname]],tblTM[common_assetName],tblTM[device_custom35],"",0,1)</f>
        <v>0</v>
      </c>
      <c r="I11" s="197" t="str">
        <f>_xlfn.XLOOKUP(tblPhySvrs[[#This Row],[Hostname]],tblTM[common_assetName],tblTM[common_environment],"",0,1)</f>
        <v>Test</v>
      </c>
      <c r="J11" s="199" t="str">
        <f>_xlfn.XLOOKUP(tblPhySvrs[[#This Row],[Hostname]],tblUnqSvr[Hostname],tblUnqSvr[Device Type],"",0,1)</f>
        <v>Server</v>
      </c>
      <c r="K11"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1" s="201" t="str">
        <f>_xlfn.XLOOKUP(tblPhySvrs[[#This Row],[Hostname]],tblUnqSvr[[#This Row],[Hostname]],tblUnqSvr[[#This Row],[Source Physical Server Serial Number]],"",0,1)</f>
        <v>J1013YVZ</v>
      </c>
      <c r="M11" s="201" t="str">
        <f>_xlfn.XLOOKUP(tblPhySvrs[[#This Row],[Hostname]],tblUnqSvr[[#This Row],[Hostname]],tblUnqSvr[[#This Row],[Target Data Center]],"",0,1)</f>
        <v>Dell BMaaS - Ashburn</v>
      </c>
      <c r="N11" s="204" t="s">
        <v>670</v>
      </c>
      <c r="O11" s="201">
        <f>_xlfn.XLOOKUP(tblPhySvrs[[#This Row],[Hostname]],tblTM[common_assetName],tblTM[device_custom17],"",0,1)</f>
        <v>0</v>
      </c>
      <c r="P11" s="201">
        <f>_xlfn.XLOOKUP(tblPhySvrs[[#This Row],[Hostname]],tblTM[common_assetName],tblTM[device_custom14],"",0,1)</f>
        <v>0</v>
      </c>
      <c r="Q11" s="201">
        <f>_xlfn.XLOOKUP(tblPhySvrs[[#This Row],[Hostname]],tblTM[common_assetName],tblTM[device_custom12],"",0,1)</f>
        <v>0</v>
      </c>
      <c r="R11" s="201">
        <f>_xlfn.XLOOKUP(tblPhySvrs[[#This Row],[Hostname]],tblUnqSvr[[#This Row],[Hostname]],tblUnqSvr[[#This Row],[Cutover Change number]],"",0,1)</f>
        <v>0</v>
      </c>
      <c r="S11" s="201">
        <f>_xlfn.XLOOKUP(tblPhySvrs[[#This Row],[Hostname]],tblUnqSvr[[#This Row],[Hostname]],tblUnqSvr[[#This Row],[Plan Status "Moved" in TM]],"",0,1)</f>
        <v>0</v>
      </c>
      <c r="T11" s="201"/>
    </row>
    <row r="12" spans="1:20" x14ac:dyDescent="0.35">
      <c r="A12" s="201"/>
      <c r="B12" s="201" t="str">
        <f>_xlfn.LET(_xlpm.MigSt,_xlfn.XLOOKUP(tblPhySvrs[[#This Row],[Hostname]],tblUnqSvr[Hostname],tblUnqSvr[Migration Status],"",0,1),IF(_xlpm.MigSt=0,"",_xlpm.MigSt))</f>
        <v/>
      </c>
      <c r="C12" s="201" t="str">
        <f>MigrationEventCode</f>
        <v>MEA190</v>
      </c>
      <c r="D12" s="202">
        <f>TMWorkbook!$C$2</f>
        <v>46210</v>
      </c>
      <c r="E12" s="201" t="str">
        <f>CONCATENATE(tblPhySvrs[[#This Row],[Hostname]],"-cmold")</f>
        <v>dc04tlpkaf417-cmold</v>
      </c>
      <c r="F12" s="201" t="str">
        <f>_xlfn.XLOOKUP(tblPhySvrs[[#This Row],[Hostname]],tblTM[common_assetName],tblTM[device_ipAddress],"",0,1)</f>
        <v>10.152.28.18</v>
      </c>
      <c r="G12" s="203" t="str">
        <f>_xlfn.LET(_xlpm.DCLoc,_xlfn.XLOOKUP(tblPhySvrs[[#This Row],[Hostname]],tblUnqSvr[Hostname],tblUnqSvr[EH DataCenter Location],"",0,1), IF(_xlpm.DCLoc=0,"",_xlpm.DCLoc))</f>
        <v>IBM-Cloud Services US East</v>
      </c>
      <c r="H12" s="201">
        <f>_xlfn.XLOOKUP(tblPhySvrs[[#This Row],[Hostname]],tblTM[common_assetName],tblTM[device_custom35],"",0,1)</f>
        <v>0</v>
      </c>
      <c r="I12" s="197" t="str">
        <f>_xlfn.XLOOKUP(tblPhySvrs[[#This Row],[Hostname]],tblTM[common_assetName],tblTM[common_environment],"",0,1)</f>
        <v>Test</v>
      </c>
      <c r="J12" s="199" t="str">
        <f>_xlfn.XLOOKUP(tblPhySvrs[[#This Row],[Hostname]],tblUnqSvr[Hostname],tblUnqSvr[Device Type],"",0,1)</f>
        <v>Server</v>
      </c>
      <c r="K12"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2" s="201" t="str">
        <f>_xlfn.XLOOKUP(tblPhySvrs[[#This Row],[Hostname]],tblUnqSvr[[#This Row],[Hostname]],tblUnqSvr[[#This Row],[Source Physical Server Serial Number]],"",0,1)</f>
        <v>J101VGG5</v>
      </c>
      <c r="M12" s="201" t="str">
        <f>_xlfn.XLOOKUP(tblPhySvrs[[#This Row],[Hostname]],tblUnqSvr[[#This Row],[Hostname]],tblUnqSvr[[#This Row],[Target Data Center]],"",0,1)</f>
        <v>Dell BMaaS - Ashburn</v>
      </c>
      <c r="N12" s="204" t="s">
        <v>666</v>
      </c>
      <c r="O12" s="201">
        <f>_xlfn.XLOOKUP(tblPhySvrs[[#This Row],[Hostname]],tblTM[common_assetName],tblTM[device_custom17],"",0,1)</f>
        <v>0</v>
      </c>
      <c r="P12" s="201">
        <f>_xlfn.XLOOKUP(tblPhySvrs[[#This Row],[Hostname]],tblTM[common_assetName],tblTM[device_custom14],"",0,1)</f>
        <v>0</v>
      </c>
      <c r="Q12" s="201">
        <f>_xlfn.XLOOKUP(tblPhySvrs[[#This Row],[Hostname]],tblTM[common_assetName],tblTM[device_custom12],"",0,1)</f>
        <v>0</v>
      </c>
      <c r="R12" s="201">
        <f>_xlfn.XLOOKUP(tblPhySvrs[[#This Row],[Hostname]],tblUnqSvr[[#This Row],[Hostname]],tblUnqSvr[[#This Row],[Cutover Change number]],"",0,1)</f>
        <v>0</v>
      </c>
      <c r="S12" s="201">
        <f>_xlfn.XLOOKUP(tblPhySvrs[[#This Row],[Hostname]],tblUnqSvr[[#This Row],[Hostname]],tblUnqSvr[[#This Row],[Plan Status "Moved" in TM]],"",0,1)</f>
        <v>0</v>
      </c>
      <c r="T12" s="201"/>
    </row>
    <row r="13" spans="1:20" x14ac:dyDescent="0.35">
      <c r="A13" s="201"/>
      <c r="B13" s="201" t="str">
        <f>_xlfn.LET(_xlpm.MigSt,_xlfn.XLOOKUP(tblPhySvrs[[#This Row],[Hostname]],tblUnqSvr[Hostname],tblUnqSvr[Migration Status],"",0,1),IF(_xlpm.MigSt=0,"",_xlpm.MigSt))</f>
        <v/>
      </c>
      <c r="C13" s="201" t="str">
        <f>MigrationEventCode</f>
        <v>MEA190</v>
      </c>
      <c r="D13" s="202">
        <f>TMWorkbook!$C$2</f>
        <v>46210</v>
      </c>
      <c r="E13" s="201" t="str">
        <f>CONCATENATE(tblPhySvrs[[#This Row],[Hostname]],"-cmold")</f>
        <v>dc04tlpkaf419-cmold</v>
      </c>
      <c r="F13" s="201" t="str">
        <f>_xlfn.XLOOKUP(tblPhySvrs[[#This Row],[Hostname]],tblTM[common_assetName],tblTM[device_ipAddress],"",0,1)</f>
        <v>10.152.28.20</v>
      </c>
      <c r="G13" s="203" t="str">
        <f>_xlfn.LET(_xlpm.DCLoc,_xlfn.XLOOKUP(tblPhySvrs[[#This Row],[Hostname]],tblUnqSvr[Hostname],tblUnqSvr[EH DataCenter Location],"",0,1), IF(_xlpm.DCLoc=0,"",_xlpm.DCLoc))</f>
        <v>IBM-Cloud Services US East</v>
      </c>
      <c r="H13" s="201">
        <f>_xlfn.XLOOKUP(tblPhySvrs[[#This Row],[Hostname]],tblTM[common_assetName],tblTM[device_custom35],"",0,1)</f>
        <v>0</v>
      </c>
      <c r="I13" s="197" t="str">
        <f>_xlfn.XLOOKUP(tblPhySvrs[[#This Row],[Hostname]],tblTM[common_assetName],tblTM[common_environment],"",0,1)</f>
        <v>Test</v>
      </c>
      <c r="J13" s="199" t="str">
        <f>_xlfn.XLOOKUP(tblPhySvrs[[#This Row],[Hostname]],tblUnqSvr[Hostname],tblUnqSvr[Device Type],"",0,1)</f>
        <v>Server</v>
      </c>
      <c r="K13"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3" s="201" t="str">
        <f>_xlfn.XLOOKUP(tblPhySvrs[[#This Row],[Hostname]],tblUnqSvr[[#This Row],[Hostname]],tblUnqSvr[[#This Row],[Source Physical Server Serial Number]],"",0,1)</f>
        <v>J10224GB</v>
      </c>
      <c r="M13" s="201" t="str">
        <f>_xlfn.XLOOKUP(tblPhySvrs[[#This Row],[Hostname]],tblUnqSvr[[#This Row],[Hostname]],tblUnqSvr[[#This Row],[Target Data Center]],"",0,1)</f>
        <v>Dell BMaaS - Ashburn</v>
      </c>
      <c r="N13" s="204" t="s">
        <v>662</v>
      </c>
      <c r="O13" s="201">
        <f>_xlfn.XLOOKUP(tblPhySvrs[[#This Row],[Hostname]],tblTM[common_assetName],tblTM[device_custom17],"",0,1)</f>
        <v>0</v>
      </c>
      <c r="P13" s="201">
        <f>_xlfn.XLOOKUP(tblPhySvrs[[#This Row],[Hostname]],tblTM[common_assetName],tblTM[device_custom14],"",0,1)</f>
        <v>0</v>
      </c>
      <c r="Q13" s="201">
        <f>_xlfn.XLOOKUP(tblPhySvrs[[#This Row],[Hostname]],tblTM[common_assetName],tblTM[device_custom12],"",0,1)</f>
        <v>0</v>
      </c>
      <c r="R13" s="201">
        <f>_xlfn.XLOOKUP(tblPhySvrs[[#This Row],[Hostname]],tblUnqSvr[[#This Row],[Hostname]],tblUnqSvr[[#This Row],[Cutover Change number]],"",0,1)</f>
        <v>0</v>
      </c>
      <c r="S13" s="201">
        <f>_xlfn.XLOOKUP(tblPhySvrs[[#This Row],[Hostname]],tblUnqSvr[[#This Row],[Hostname]],tblUnqSvr[[#This Row],[Plan Status "Moved" in TM]],"",0,1)</f>
        <v>0</v>
      </c>
      <c r="T13" s="201"/>
    </row>
    <row r="14" spans="1:20" x14ac:dyDescent="0.35">
      <c r="A14" s="201"/>
      <c r="B14" s="201" t="str">
        <f>_xlfn.LET(_xlpm.MigSt,_xlfn.XLOOKUP(tblPhySvrs[[#This Row],[Hostname]],tblUnqSvr[Hostname],tblUnqSvr[Migration Status],"",0,1),IF(_xlpm.MigSt=0,"",_xlpm.MigSt))</f>
        <v/>
      </c>
      <c r="C14" s="201" t="str">
        <f>MigrationEventCode</f>
        <v>MEA190</v>
      </c>
      <c r="D14" s="202">
        <f>TMWorkbook!$C$2</f>
        <v>46210</v>
      </c>
      <c r="E14" s="201" t="str">
        <f>CONCATENATE(tblPhySvrs[[#This Row],[Hostname]],"-cmold")</f>
        <v>dc04tlpkaf421-cmold</v>
      </c>
      <c r="F14" s="201" t="str">
        <f>_xlfn.XLOOKUP(tblPhySvrs[[#This Row],[Hostname]],tblTM[common_assetName],tblTM[device_ipAddress],"",0,1)</f>
        <v>10.152.28.22</v>
      </c>
      <c r="G14" s="203" t="str">
        <f>_xlfn.LET(_xlpm.DCLoc,_xlfn.XLOOKUP(tblPhySvrs[[#This Row],[Hostname]],tblUnqSvr[Hostname],tblUnqSvr[EH DataCenter Location],"",0,1), IF(_xlpm.DCLoc=0,"",_xlpm.DCLoc))</f>
        <v>IBM-Cloud Services US East</v>
      </c>
      <c r="H14" s="201">
        <f>_xlfn.XLOOKUP(tblPhySvrs[[#This Row],[Hostname]],tblTM[common_assetName],tblTM[device_custom35],"",0,1)</f>
        <v>0</v>
      </c>
      <c r="I14" s="197" t="str">
        <f>_xlfn.XLOOKUP(tblPhySvrs[[#This Row],[Hostname]],tblTM[common_assetName],tblTM[common_environment],"",0,1)</f>
        <v>Test</v>
      </c>
      <c r="J14" s="199" t="str">
        <f>_xlfn.XLOOKUP(tblPhySvrs[[#This Row],[Hostname]],tblUnqSvr[Hostname],tblUnqSvr[Device Type],"",0,1)</f>
        <v>Server</v>
      </c>
      <c r="K14"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4" s="201" t="str">
        <f>_xlfn.XLOOKUP(tblPhySvrs[[#This Row],[Hostname]],tblUnqSvr[[#This Row],[Hostname]],tblUnqSvr[[#This Row],[Source Physical Server Serial Number]],"",0,1)</f>
        <v>J101VGFH</v>
      </c>
      <c r="M14" s="201" t="str">
        <f>_xlfn.XLOOKUP(tblPhySvrs[[#This Row],[Hostname]],tblUnqSvr[[#This Row],[Hostname]],tblUnqSvr[[#This Row],[Target Data Center]],"",0,1)</f>
        <v>Dell BMaaS - Ashburn</v>
      </c>
      <c r="N14" s="204" t="s">
        <v>658</v>
      </c>
      <c r="O14" s="201">
        <f>_xlfn.XLOOKUP(tblPhySvrs[[#This Row],[Hostname]],tblTM[common_assetName],tblTM[device_custom17],"",0,1)</f>
        <v>0</v>
      </c>
      <c r="P14" s="201">
        <f>_xlfn.XLOOKUP(tblPhySvrs[[#This Row],[Hostname]],tblTM[common_assetName],tblTM[device_custom14],"",0,1)</f>
        <v>0</v>
      </c>
      <c r="Q14" s="201">
        <f>_xlfn.XLOOKUP(tblPhySvrs[[#This Row],[Hostname]],tblTM[common_assetName],tblTM[device_custom12],"",0,1)</f>
        <v>0</v>
      </c>
      <c r="R14" s="201">
        <f>_xlfn.XLOOKUP(tblPhySvrs[[#This Row],[Hostname]],tblUnqSvr[[#This Row],[Hostname]],tblUnqSvr[[#This Row],[Cutover Change number]],"",0,1)</f>
        <v>0</v>
      </c>
      <c r="S14" s="201">
        <f>_xlfn.XLOOKUP(tblPhySvrs[[#This Row],[Hostname]],tblUnqSvr[[#This Row],[Hostname]],tblUnqSvr[[#This Row],[Plan Status "Moved" in TM]],"",0,1)</f>
        <v>0</v>
      </c>
      <c r="T14" s="201"/>
    </row>
    <row r="15" spans="1:20" x14ac:dyDescent="0.35">
      <c r="A15" s="201"/>
      <c r="B15" s="201" t="str">
        <f>_xlfn.LET(_xlpm.MigSt,_xlfn.XLOOKUP(tblPhySvrs[[#This Row],[Hostname]],tblUnqSvr[Hostname],tblUnqSvr[Migration Status],"",0,1),IF(_xlpm.MigSt=0,"",_xlpm.MigSt))</f>
        <v/>
      </c>
      <c r="C15" s="201" t="str">
        <f>MigrationEventCode</f>
        <v>MEA190</v>
      </c>
      <c r="D15" s="202">
        <f>TMWorkbook!$C$2</f>
        <v>46210</v>
      </c>
      <c r="E15" s="201" t="str">
        <f>CONCATENATE(tblPhySvrs[[#This Row],[Hostname]],"-cmold")</f>
        <v>dc04tlpkaf423-cmold</v>
      </c>
      <c r="F15" s="201" t="str">
        <f>_xlfn.XLOOKUP(tblPhySvrs[[#This Row],[Hostname]],tblTM[common_assetName],tblTM[device_ipAddress],"",0,1)</f>
        <v>10.152.28.115</v>
      </c>
      <c r="G15" s="203" t="str">
        <f>_xlfn.LET(_xlpm.DCLoc,_xlfn.XLOOKUP(tblPhySvrs[[#This Row],[Hostname]],tblUnqSvr[Hostname],tblUnqSvr[EH DataCenter Location],"",0,1), IF(_xlpm.DCLoc=0,"",_xlpm.DCLoc))</f>
        <v>IBM-Cloud Services US East</v>
      </c>
      <c r="H15" s="201">
        <f>_xlfn.XLOOKUP(tblPhySvrs[[#This Row],[Hostname]],tblTM[common_assetName],tblTM[device_custom35],"",0,1)</f>
        <v>0</v>
      </c>
      <c r="I15" s="197" t="str">
        <f>_xlfn.XLOOKUP(tblPhySvrs[[#This Row],[Hostname]],tblTM[common_assetName],tblTM[common_environment],"",0,1)</f>
        <v>Test</v>
      </c>
      <c r="J15" s="199" t="str">
        <f>_xlfn.XLOOKUP(tblPhySvrs[[#This Row],[Hostname]],tblUnqSvr[Hostname],tblUnqSvr[Device Type],"",0,1)</f>
        <v>Server</v>
      </c>
      <c r="K15"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5" s="201" t="str">
        <f>_xlfn.XLOOKUP(tblPhySvrs[[#This Row],[Hostname]],tblUnqSvr[[#This Row],[Hostname]],tblUnqSvr[[#This Row],[Source Physical Server Serial Number]],"",0,1)</f>
        <v>J10224HM</v>
      </c>
      <c r="M15" s="201" t="str">
        <f>_xlfn.XLOOKUP(tblPhySvrs[[#This Row],[Hostname]],tblUnqSvr[[#This Row],[Hostname]],tblUnqSvr[[#This Row],[Target Data Center]],"",0,1)</f>
        <v>Dell BMaaS - Ashburn</v>
      </c>
      <c r="N15" s="204" t="s">
        <v>654</v>
      </c>
      <c r="O15" s="201">
        <f>_xlfn.XLOOKUP(tblPhySvrs[[#This Row],[Hostname]],tblTM[common_assetName],tblTM[device_custom17],"",0,1)</f>
        <v>0</v>
      </c>
      <c r="P15" s="201">
        <f>_xlfn.XLOOKUP(tblPhySvrs[[#This Row],[Hostname]],tblTM[common_assetName],tblTM[device_custom14],"",0,1)</f>
        <v>0</v>
      </c>
      <c r="Q15" s="201">
        <f>_xlfn.XLOOKUP(tblPhySvrs[[#This Row],[Hostname]],tblTM[common_assetName],tblTM[device_custom12],"",0,1)</f>
        <v>0</v>
      </c>
      <c r="R15" s="201">
        <f>_xlfn.XLOOKUP(tblPhySvrs[[#This Row],[Hostname]],tblUnqSvr[[#This Row],[Hostname]],tblUnqSvr[[#This Row],[Cutover Change number]],"",0,1)</f>
        <v>0</v>
      </c>
      <c r="S15" s="201">
        <f>_xlfn.XLOOKUP(tblPhySvrs[[#This Row],[Hostname]],tblUnqSvr[[#This Row],[Hostname]],tblUnqSvr[[#This Row],[Plan Status "Moved" in TM]],"",0,1)</f>
        <v>0</v>
      </c>
      <c r="T15" s="201"/>
    </row>
    <row r="16" spans="1:20" x14ac:dyDescent="0.35">
      <c r="A16" s="201"/>
      <c r="B16" s="201" t="str">
        <f>_xlfn.LET(_xlpm.MigSt,_xlfn.XLOOKUP(tblPhySvrs[[#This Row],[Hostname]],tblUnqSvr[Hostname],tblUnqSvr[Migration Status],"",0,1),IF(_xlpm.MigSt=0,"",_xlpm.MigSt))</f>
        <v/>
      </c>
      <c r="C16" s="201" t="str">
        <f>MigrationEventCode</f>
        <v>MEA190</v>
      </c>
      <c r="D16" s="202">
        <f>TMWorkbook!$C$2</f>
        <v>46210</v>
      </c>
      <c r="E16" s="201" t="str">
        <f>CONCATENATE(tblPhySvrs[[#This Row],[Hostname]],"-cmold")</f>
        <v>dc04tlpkaf424-cmold</v>
      </c>
      <c r="F16" s="201" t="str">
        <f>_xlfn.XLOOKUP(tblPhySvrs[[#This Row],[Hostname]],tblTM[common_assetName],tblTM[device_ipAddress],"",0,1)</f>
        <v>10.152.28.116</v>
      </c>
      <c r="G16" s="203" t="str">
        <f>_xlfn.LET(_xlpm.DCLoc,_xlfn.XLOOKUP(tblPhySvrs[[#This Row],[Hostname]],tblUnqSvr[Hostname],tblUnqSvr[EH DataCenter Location],"",0,1), IF(_xlpm.DCLoc=0,"",_xlpm.DCLoc))</f>
        <v>IBM-Cloud Services US East</v>
      </c>
      <c r="H16" s="201">
        <f>_xlfn.XLOOKUP(tblPhySvrs[[#This Row],[Hostname]],tblTM[common_assetName],tblTM[device_custom35],"",0,1)</f>
        <v>0</v>
      </c>
      <c r="I16" s="197" t="str">
        <f>_xlfn.XLOOKUP(tblPhySvrs[[#This Row],[Hostname]],tblTM[common_assetName],tblTM[common_environment],"",0,1)</f>
        <v>Test</v>
      </c>
      <c r="J16" s="199" t="str">
        <f>_xlfn.XLOOKUP(tblPhySvrs[[#This Row],[Hostname]],tblUnqSvr[Hostname],tblUnqSvr[Device Type],"",0,1)</f>
        <v>Server</v>
      </c>
      <c r="K16"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6" s="201" t="str">
        <f>_xlfn.XLOOKUP(tblPhySvrs[[#This Row],[Hostname]],tblUnqSvr[[#This Row],[Hostname]],tblUnqSvr[[#This Row],[Source Physical Server Serial Number]],"",0,1)</f>
        <v>J10224G9</v>
      </c>
      <c r="M16" s="201" t="str">
        <f>_xlfn.XLOOKUP(tblPhySvrs[[#This Row],[Hostname]],tblUnqSvr[[#This Row],[Hostname]],tblUnqSvr[[#This Row],[Target Data Center]],"",0,1)</f>
        <v>Dell BMaaS - Ashburn</v>
      </c>
      <c r="N16" s="204" t="s">
        <v>650</v>
      </c>
      <c r="O16" s="201">
        <f>_xlfn.XLOOKUP(tblPhySvrs[[#This Row],[Hostname]],tblTM[common_assetName],tblTM[device_custom17],"",0,1)</f>
        <v>0</v>
      </c>
      <c r="P16" s="201">
        <f>_xlfn.XLOOKUP(tblPhySvrs[[#This Row],[Hostname]],tblTM[common_assetName],tblTM[device_custom14],"",0,1)</f>
        <v>0</v>
      </c>
      <c r="Q16" s="201">
        <f>_xlfn.XLOOKUP(tblPhySvrs[[#This Row],[Hostname]],tblTM[common_assetName],tblTM[device_custom12],"",0,1)</f>
        <v>0</v>
      </c>
      <c r="R16" s="201">
        <f>_xlfn.XLOOKUP(tblPhySvrs[[#This Row],[Hostname]],tblUnqSvr[[#This Row],[Hostname]],tblUnqSvr[[#This Row],[Cutover Change number]],"",0,1)</f>
        <v>0</v>
      </c>
      <c r="S16" s="201">
        <f>_xlfn.XLOOKUP(tblPhySvrs[[#This Row],[Hostname]],tblUnqSvr[[#This Row],[Hostname]],tblUnqSvr[[#This Row],[Plan Status "Moved" in TM]],"",0,1)</f>
        <v>0</v>
      </c>
      <c r="T16" s="201"/>
    </row>
    <row r="17" spans="1:20" x14ac:dyDescent="0.35">
      <c r="A17" s="201"/>
      <c r="B17" s="201" t="str">
        <f>_xlfn.LET(_xlpm.MigSt,_xlfn.XLOOKUP(tblPhySvrs[[#This Row],[Hostname]],tblUnqSvr[Hostname],tblUnqSvr[Migration Status],"",0,1),IF(_xlpm.MigSt=0,"",_xlpm.MigSt))</f>
        <v/>
      </c>
      <c r="C17" s="201" t="str">
        <f>MigrationEventCode</f>
        <v>MEA190</v>
      </c>
      <c r="D17" s="202">
        <f>TMWorkbook!$C$2</f>
        <v>46210</v>
      </c>
      <c r="E17" s="201" t="str">
        <f>CONCATENATE(tblPhySvrs[[#This Row],[Hostname]],"-cmold")</f>
        <v>dc04tlpkaf425-cmold</v>
      </c>
      <c r="F17" s="201" t="str">
        <f>_xlfn.XLOOKUP(tblPhySvrs[[#This Row],[Hostname]],tblTM[common_assetName],tblTM[device_ipAddress],"",0,1)</f>
        <v>10.152.28.117</v>
      </c>
      <c r="G17" s="203" t="str">
        <f>_xlfn.LET(_xlpm.DCLoc,_xlfn.XLOOKUP(tblPhySvrs[[#This Row],[Hostname]],tblUnqSvr[Hostname],tblUnqSvr[EH DataCenter Location],"",0,1), IF(_xlpm.DCLoc=0,"",_xlpm.DCLoc))</f>
        <v>IBM-Cloud Services US East</v>
      </c>
      <c r="H17" s="201">
        <f>_xlfn.XLOOKUP(tblPhySvrs[[#This Row],[Hostname]],tblTM[common_assetName],tblTM[device_custom35],"",0,1)</f>
        <v>0</v>
      </c>
      <c r="I17" s="197" t="str">
        <f>_xlfn.XLOOKUP(tblPhySvrs[[#This Row],[Hostname]],tblTM[common_assetName],tblTM[common_environment],"",0,1)</f>
        <v>Test</v>
      </c>
      <c r="J17" s="199" t="str">
        <f>_xlfn.XLOOKUP(tblPhySvrs[[#This Row],[Hostname]],tblUnqSvr[Hostname],tblUnqSvr[Device Type],"",0,1)</f>
        <v>Server</v>
      </c>
      <c r="K17"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7" s="201" t="str">
        <f>_xlfn.XLOOKUP(tblPhySvrs[[#This Row],[Hostname]],tblUnqSvr[[#This Row],[Hostname]],tblUnqSvr[[#This Row],[Source Physical Server Serial Number]],"",0,1)</f>
        <v>J101VGG7</v>
      </c>
      <c r="M17" s="201" t="str">
        <f>_xlfn.XLOOKUP(tblPhySvrs[[#This Row],[Hostname]],tblUnqSvr[[#This Row],[Hostname]],tblUnqSvr[[#This Row],[Target Data Center]],"",0,1)</f>
        <v>Dell BMaaS - Ashburn</v>
      </c>
      <c r="N17" s="204" t="s">
        <v>646</v>
      </c>
      <c r="O17" s="201">
        <f>_xlfn.XLOOKUP(tblPhySvrs[[#This Row],[Hostname]],tblTM[common_assetName],tblTM[device_custom17],"",0,1)</f>
        <v>0</v>
      </c>
      <c r="P17" s="201">
        <f>_xlfn.XLOOKUP(tblPhySvrs[[#This Row],[Hostname]],tblTM[common_assetName],tblTM[device_custom14],"",0,1)</f>
        <v>0</v>
      </c>
      <c r="Q17" s="201">
        <f>_xlfn.XLOOKUP(tblPhySvrs[[#This Row],[Hostname]],tblTM[common_assetName],tblTM[device_custom12],"",0,1)</f>
        <v>0</v>
      </c>
      <c r="R17" s="201">
        <f>_xlfn.XLOOKUP(tblPhySvrs[[#This Row],[Hostname]],tblUnqSvr[[#This Row],[Hostname]],tblUnqSvr[[#This Row],[Cutover Change number]],"",0,1)</f>
        <v>0</v>
      </c>
      <c r="S17" s="201">
        <f>_xlfn.XLOOKUP(tblPhySvrs[[#This Row],[Hostname]],tblUnqSvr[[#This Row],[Hostname]],tblUnqSvr[[#This Row],[Plan Status "Moved" in TM]],"",0,1)</f>
        <v>0</v>
      </c>
      <c r="T17" s="201"/>
    </row>
    <row r="18" spans="1:20" x14ac:dyDescent="0.35">
      <c r="A18" s="201"/>
      <c r="B18" s="201" t="str">
        <f>_xlfn.LET(_xlpm.MigSt,_xlfn.XLOOKUP(tblPhySvrs[[#This Row],[Hostname]],tblUnqSvr[Hostname],tblUnqSvr[Migration Status],"",0,1),IF(_xlpm.MigSt=0,"",_xlpm.MigSt))</f>
        <v/>
      </c>
      <c r="C18" s="201" t="str">
        <f>MigrationEventCode</f>
        <v>MEA190</v>
      </c>
      <c r="D18" s="202">
        <f>TMWorkbook!$C$2</f>
        <v>46210</v>
      </c>
      <c r="E18" s="201" t="str">
        <f>CONCATENATE(tblPhySvrs[[#This Row],[Hostname]],"-cmold")</f>
        <v>dc04tlpkaf426-cmold</v>
      </c>
      <c r="F18" s="201" t="str">
        <f>_xlfn.XLOOKUP(tblPhySvrs[[#This Row],[Hostname]],tblTM[common_assetName],tblTM[device_ipAddress],"",0,1)</f>
        <v>10.152.28.118</v>
      </c>
      <c r="G18" s="203" t="str">
        <f>_xlfn.LET(_xlpm.DCLoc,_xlfn.XLOOKUP(tblPhySvrs[[#This Row],[Hostname]],tblUnqSvr[Hostname],tblUnqSvr[EH DataCenter Location],"",0,1), IF(_xlpm.DCLoc=0,"",_xlpm.DCLoc))</f>
        <v>IBM-Cloud Services US East</v>
      </c>
      <c r="H18" s="201">
        <f>_xlfn.XLOOKUP(tblPhySvrs[[#This Row],[Hostname]],tblTM[common_assetName],tblTM[device_custom35],"",0,1)</f>
        <v>0</v>
      </c>
      <c r="I18" s="197" t="str">
        <f>_xlfn.XLOOKUP(tblPhySvrs[[#This Row],[Hostname]],tblTM[common_assetName],tblTM[common_environment],"",0,1)</f>
        <v>Test</v>
      </c>
      <c r="J18" s="199" t="str">
        <f>_xlfn.XLOOKUP(tblPhySvrs[[#This Row],[Hostname]],tblUnqSvr[Hostname],tblUnqSvr[Device Type],"",0,1)</f>
        <v>Server</v>
      </c>
      <c r="K18"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8" s="201" t="str">
        <f>_xlfn.XLOOKUP(tblPhySvrs[[#This Row],[Hostname]],tblUnqSvr[[#This Row],[Hostname]],tblUnqSvr[[#This Row],[Source Physical Server Serial Number]],"",0,1)</f>
        <v>J10224H0</v>
      </c>
      <c r="M18" s="201" t="str">
        <f>_xlfn.XLOOKUP(tblPhySvrs[[#This Row],[Hostname]],tblUnqSvr[[#This Row],[Hostname]],tblUnqSvr[[#This Row],[Target Data Center]],"",0,1)</f>
        <v>Dell BMaaS - Ashburn</v>
      </c>
      <c r="N18" s="204" t="s">
        <v>642</v>
      </c>
      <c r="O18" s="201">
        <f>_xlfn.XLOOKUP(tblPhySvrs[[#This Row],[Hostname]],tblTM[common_assetName],tblTM[device_custom17],"",0,1)</f>
        <v>0</v>
      </c>
      <c r="P18" s="201">
        <f>_xlfn.XLOOKUP(tblPhySvrs[[#This Row],[Hostname]],tblTM[common_assetName],tblTM[device_custom14],"",0,1)</f>
        <v>0</v>
      </c>
      <c r="Q18" s="201">
        <f>_xlfn.XLOOKUP(tblPhySvrs[[#This Row],[Hostname]],tblTM[common_assetName],tblTM[device_custom12],"",0,1)</f>
        <v>0</v>
      </c>
      <c r="R18" s="201">
        <f>_xlfn.XLOOKUP(tblPhySvrs[[#This Row],[Hostname]],tblUnqSvr[[#This Row],[Hostname]],tblUnqSvr[[#This Row],[Cutover Change number]],"",0,1)</f>
        <v>0</v>
      </c>
      <c r="S18" s="201">
        <f>_xlfn.XLOOKUP(tblPhySvrs[[#This Row],[Hostname]],tblUnqSvr[[#This Row],[Hostname]],tblUnqSvr[[#This Row],[Plan Status "Moved" in TM]],"",0,1)</f>
        <v>0</v>
      </c>
      <c r="T18" s="201"/>
    </row>
    <row r="19" spans="1:20" x14ac:dyDescent="0.35">
      <c r="A19" s="201"/>
      <c r="B19" s="201" t="str">
        <f>_xlfn.LET(_xlpm.MigSt,_xlfn.XLOOKUP(tblPhySvrs[[#This Row],[Hostname]],tblUnqSvr[Hostname],tblUnqSvr[Migration Status],"",0,1),IF(_xlpm.MigSt=0,"",_xlpm.MigSt))</f>
        <v/>
      </c>
      <c r="C19" s="201" t="str">
        <f>MigrationEventCode</f>
        <v>MEA190</v>
      </c>
      <c r="D19" s="202">
        <f>TMWorkbook!$C$2</f>
        <v>46210</v>
      </c>
      <c r="E19" s="201" t="str">
        <f>CONCATENATE(tblPhySvrs[[#This Row],[Hostname]],"-cmold")</f>
        <v>dc04tlpkaf427-cmold</v>
      </c>
      <c r="F19" s="201" t="str">
        <f>_xlfn.XLOOKUP(tblPhySvrs[[#This Row],[Hostname]],tblTM[common_assetName],tblTM[device_ipAddress],"",0,1)</f>
        <v>10.152.28.119</v>
      </c>
      <c r="G19" s="203" t="str">
        <f>_xlfn.LET(_xlpm.DCLoc,_xlfn.XLOOKUP(tblPhySvrs[[#This Row],[Hostname]],tblUnqSvr[Hostname],tblUnqSvr[EH DataCenter Location],"",0,1), IF(_xlpm.DCLoc=0,"",_xlpm.DCLoc))</f>
        <v>IBM-Cloud Services US East</v>
      </c>
      <c r="H19" s="201">
        <f>_xlfn.XLOOKUP(tblPhySvrs[[#This Row],[Hostname]],tblTM[common_assetName],tblTM[device_custom35],"",0,1)</f>
        <v>0</v>
      </c>
      <c r="I19" s="197" t="str">
        <f>_xlfn.XLOOKUP(tblPhySvrs[[#This Row],[Hostname]],tblTM[common_assetName],tblTM[common_environment],"",0,1)</f>
        <v>Test</v>
      </c>
      <c r="J19" s="199" t="str">
        <f>_xlfn.XLOOKUP(tblPhySvrs[[#This Row],[Hostname]],tblUnqSvr[Hostname],tblUnqSvr[Device Type],"",0,1)</f>
        <v>Server</v>
      </c>
      <c r="K19"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19" s="201" t="str">
        <f>_xlfn.XLOOKUP(tblPhySvrs[[#This Row],[Hostname]],tblUnqSvr[[#This Row],[Hostname]],tblUnqSvr[[#This Row],[Source Physical Server Serial Number]],"",0,1)</f>
        <v>J10224GH</v>
      </c>
      <c r="M19" s="201" t="str">
        <f>_xlfn.XLOOKUP(tblPhySvrs[[#This Row],[Hostname]],tblUnqSvr[[#This Row],[Hostname]],tblUnqSvr[[#This Row],[Target Data Center]],"",0,1)</f>
        <v>Dell BMaaS - Ashburn</v>
      </c>
      <c r="N19" s="204" t="s">
        <v>638</v>
      </c>
      <c r="O19" s="201">
        <f>_xlfn.XLOOKUP(tblPhySvrs[[#This Row],[Hostname]],tblTM[common_assetName],tblTM[device_custom17],"",0,1)</f>
        <v>0</v>
      </c>
      <c r="P19" s="201">
        <f>_xlfn.XLOOKUP(tblPhySvrs[[#This Row],[Hostname]],tblTM[common_assetName],tblTM[device_custom14],"",0,1)</f>
        <v>0</v>
      </c>
      <c r="Q19" s="201">
        <f>_xlfn.XLOOKUP(tblPhySvrs[[#This Row],[Hostname]],tblTM[common_assetName],tblTM[device_custom12],"",0,1)</f>
        <v>0</v>
      </c>
      <c r="R19" s="201">
        <f>_xlfn.XLOOKUP(tblPhySvrs[[#This Row],[Hostname]],tblUnqSvr[[#This Row],[Hostname]],tblUnqSvr[[#This Row],[Cutover Change number]],"",0,1)</f>
        <v>0</v>
      </c>
      <c r="S19" s="201">
        <f>_xlfn.XLOOKUP(tblPhySvrs[[#This Row],[Hostname]],tblUnqSvr[[#This Row],[Hostname]],tblUnqSvr[[#This Row],[Plan Status "Moved" in TM]],"",0,1)</f>
        <v>0</v>
      </c>
      <c r="T19" s="201"/>
    </row>
    <row r="20" spans="1:20" x14ac:dyDescent="0.35">
      <c r="A20" s="201"/>
      <c r="B20" s="201" t="str">
        <f>_xlfn.LET(_xlpm.MigSt,_xlfn.XLOOKUP(tblPhySvrs[[#This Row],[Hostname]],tblUnqSvr[Hostname],tblUnqSvr[Migration Status],"",0,1),IF(_xlpm.MigSt=0,"",_xlpm.MigSt))</f>
        <v/>
      </c>
      <c r="C20" s="201" t="str">
        <f>MigrationEventCode</f>
        <v>MEA190</v>
      </c>
      <c r="D20" s="202">
        <f>TMWorkbook!$C$2</f>
        <v>46210</v>
      </c>
      <c r="E20" s="201" t="str">
        <f>CONCATENATE(tblPhySvrs[[#This Row],[Hostname]],"-cmold")</f>
        <v>dc04tlpkaf428-cmold</v>
      </c>
      <c r="F20" s="201" t="str">
        <f>_xlfn.XLOOKUP(tblPhySvrs[[#This Row],[Hostname]],tblTM[common_assetName],tblTM[device_ipAddress],"",0,1)</f>
        <v>10.152.28.120</v>
      </c>
      <c r="G20" s="203" t="str">
        <f>_xlfn.LET(_xlpm.DCLoc,_xlfn.XLOOKUP(tblPhySvrs[[#This Row],[Hostname]],tblUnqSvr[Hostname],tblUnqSvr[EH DataCenter Location],"",0,1), IF(_xlpm.DCLoc=0,"",_xlpm.DCLoc))</f>
        <v>IBM-Cloud Services US East</v>
      </c>
      <c r="H20" s="201">
        <f>_xlfn.XLOOKUP(tblPhySvrs[[#This Row],[Hostname]],tblTM[common_assetName],tblTM[device_custom35],"",0,1)</f>
        <v>0</v>
      </c>
      <c r="I20" s="197" t="str">
        <f>_xlfn.XLOOKUP(tblPhySvrs[[#This Row],[Hostname]],tblTM[common_assetName],tblTM[common_environment],"",0,1)</f>
        <v>Test</v>
      </c>
      <c r="J20" s="199" t="str">
        <f>_xlfn.XLOOKUP(tblPhySvrs[[#This Row],[Hostname]],tblUnqSvr[Hostname],tblUnqSvr[Device Type],"",0,1)</f>
        <v>Server</v>
      </c>
      <c r="K20"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0" s="201" t="str">
        <f>_xlfn.XLOOKUP(tblPhySvrs[[#This Row],[Hostname]],tblUnqSvr[[#This Row],[Hostname]],tblUnqSvr[[#This Row],[Source Physical Server Serial Number]],"",0,1)</f>
        <v>J10224H4</v>
      </c>
      <c r="M20" s="201" t="str">
        <f>_xlfn.XLOOKUP(tblPhySvrs[[#This Row],[Hostname]],tblUnqSvr[[#This Row],[Hostname]],tblUnqSvr[[#This Row],[Target Data Center]],"",0,1)</f>
        <v>Dell BMaaS - Ashburn</v>
      </c>
      <c r="N20" s="204" t="s">
        <v>634</v>
      </c>
      <c r="O20" s="201">
        <f>_xlfn.XLOOKUP(tblPhySvrs[[#This Row],[Hostname]],tblTM[common_assetName],tblTM[device_custom17],"",0,1)</f>
        <v>0</v>
      </c>
      <c r="P20" s="201">
        <f>_xlfn.XLOOKUP(tblPhySvrs[[#This Row],[Hostname]],tblTM[common_assetName],tblTM[device_custom14],"",0,1)</f>
        <v>0</v>
      </c>
      <c r="Q20" s="201">
        <f>_xlfn.XLOOKUP(tblPhySvrs[[#This Row],[Hostname]],tblTM[common_assetName],tblTM[device_custom12],"",0,1)</f>
        <v>0</v>
      </c>
      <c r="R20" s="201">
        <f>_xlfn.XLOOKUP(tblPhySvrs[[#This Row],[Hostname]],tblUnqSvr[[#This Row],[Hostname]],tblUnqSvr[[#This Row],[Cutover Change number]],"",0,1)</f>
        <v>0</v>
      </c>
      <c r="S20" s="201">
        <f>_xlfn.XLOOKUP(tblPhySvrs[[#This Row],[Hostname]],tblUnqSvr[[#This Row],[Hostname]],tblUnqSvr[[#This Row],[Plan Status "Moved" in TM]],"",0,1)</f>
        <v>0</v>
      </c>
      <c r="T20" s="201"/>
    </row>
    <row r="21" spans="1:20" x14ac:dyDescent="0.35">
      <c r="A21" s="201"/>
      <c r="B21" s="201" t="str">
        <f>_xlfn.LET(_xlpm.MigSt,_xlfn.XLOOKUP(tblPhySvrs[[#This Row],[Hostname]],tblUnqSvr[Hostname],tblUnqSvr[Migration Status],"",0,1),IF(_xlpm.MigSt=0,"",_xlpm.MigSt))</f>
        <v/>
      </c>
      <c r="C21" s="201" t="str">
        <f>MigrationEventCode</f>
        <v>MEA190</v>
      </c>
      <c r="D21" s="202">
        <f>TMWorkbook!$C$2</f>
        <v>46210</v>
      </c>
      <c r="E21" s="201" t="str">
        <f>CONCATENATE(tblPhySvrs[[#This Row],[Hostname]],"-cmold")</f>
        <v>dc04tlpkaf432-cmold</v>
      </c>
      <c r="F21" s="201" t="str">
        <f>_xlfn.XLOOKUP(tblPhySvrs[[#This Row],[Hostname]],tblTM[common_assetName],tblTM[device_ipAddress],"",0,1)</f>
        <v>10.152.28.124</v>
      </c>
      <c r="G21" s="203" t="str">
        <f>_xlfn.LET(_xlpm.DCLoc,_xlfn.XLOOKUP(tblPhySvrs[[#This Row],[Hostname]],tblUnqSvr[Hostname],tblUnqSvr[EH DataCenter Location],"",0,1), IF(_xlpm.DCLoc=0,"",_xlpm.DCLoc))</f>
        <v>IBM-Cloud Services US East</v>
      </c>
      <c r="H21" s="201">
        <f>_xlfn.XLOOKUP(tblPhySvrs[[#This Row],[Hostname]],tblTM[common_assetName],tblTM[device_custom35],"",0,1)</f>
        <v>0</v>
      </c>
      <c r="I21" s="197" t="str">
        <f>_xlfn.XLOOKUP(tblPhySvrs[[#This Row],[Hostname]],tblTM[common_assetName],tblTM[common_environment],"",0,1)</f>
        <v>Test</v>
      </c>
      <c r="J21" s="199" t="str">
        <f>_xlfn.XLOOKUP(tblPhySvrs[[#This Row],[Hostname]],tblUnqSvr[Hostname],tblUnqSvr[Device Type],"",0,1)</f>
        <v>Server</v>
      </c>
      <c r="K21"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1" s="201" t="str">
        <f>_xlfn.XLOOKUP(tblPhySvrs[[#This Row],[Hostname]],tblUnqSvr[[#This Row],[Hostname]],tblUnqSvr[[#This Row],[Source Physical Server Serial Number]],"",0,1)</f>
        <v>J101WTLM</v>
      </c>
      <c r="M21" s="201" t="str">
        <f>_xlfn.XLOOKUP(tblPhySvrs[[#This Row],[Hostname]],tblUnqSvr[[#This Row],[Hostname]],tblUnqSvr[[#This Row],[Target Data Center]],"",0,1)</f>
        <v>Dell BMaaS - Ashburn</v>
      </c>
      <c r="N21" s="204" t="s">
        <v>630</v>
      </c>
      <c r="O21" s="201">
        <f>_xlfn.XLOOKUP(tblPhySvrs[[#This Row],[Hostname]],tblTM[common_assetName],tblTM[device_custom17],"",0,1)</f>
        <v>0</v>
      </c>
      <c r="P21" s="201">
        <f>_xlfn.XLOOKUP(tblPhySvrs[[#This Row],[Hostname]],tblTM[common_assetName],tblTM[device_custom14],"",0,1)</f>
        <v>0</v>
      </c>
      <c r="Q21" s="201">
        <f>_xlfn.XLOOKUP(tblPhySvrs[[#This Row],[Hostname]],tblTM[common_assetName],tblTM[device_custom12],"",0,1)</f>
        <v>0</v>
      </c>
      <c r="R21" s="201">
        <f>_xlfn.XLOOKUP(tblPhySvrs[[#This Row],[Hostname]],tblUnqSvr[[#This Row],[Hostname]],tblUnqSvr[[#This Row],[Cutover Change number]],"",0,1)</f>
        <v>0</v>
      </c>
      <c r="S21" s="201">
        <f>_xlfn.XLOOKUP(tblPhySvrs[[#This Row],[Hostname]],tblUnqSvr[[#This Row],[Hostname]],tblUnqSvr[[#This Row],[Plan Status "Moved" in TM]],"",0,1)</f>
        <v>0</v>
      </c>
      <c r="T21" s="201"/>
    </row>
    <row r="22" spans="1:20" x14ac:dyDescent="0.35">
      <c r="A22" s="201"/>
      <c r="B22" s="201" t="str">
        <f>_xlfn.LET(_xlpm.MigSt,_xlfn.XLOOKUP(tblPhySvrs[[#This Row],[Hostname]],tblUnqSvr[Hostname],tblUnqSvr[Migration Status],"",0,1),IF(_xlpm.MigSt=0,"",_xlpm.MigSt))</f>
        <v/>
      </c>
      <c r="C22" s="201" t="str">
        <f>MigrationEventCode</f>
        <v>MEA190</v>
      </c>
      <c r="D22" s="202">
        <f>TMWorkbook!$C$2</f>
        <v>46210</v>
      </c>
      <c r="E22" s="201" t="str">
        <f>CONCATENATE(tblPhySvrs[[#This Row],[Hostname]],"-cmold")</f>
        <v>dc04tlpkaf434-cmold</v>
      </c>
      <c r="F22" s="201" t="str">
        <f>_xlfn.XLOOKUP(tblPhySvrs[[#This Row],[Hostname]],tblTM[common_assetName],tblTM[device_ipAddress],"",0,1)</f>
        <v>10.152.28.126</v>
      </c>
      <c r="G22" s="203" t="str">
        <f>_xlfn.LET(_xlpm.DCLoc,_xlfn.XLOOKUP(tblPhySvrs[[#This Row],[Hostname]],tblUnqSvr[Hostname],tblUnqSvr[EH DataCenter Location],"",0,1), IF(_xlpm.DCLoc=0,"",_xlpm.DCLoc))</f>
        <v>IBM-Cloud Services US East</v>
      </c>
      <c r="H22" s="201">
        <f>_xlfn.XLOOKUP(tblPhySvrs[[#This Row],[Hostname]],tblTM[common_assetName],tblTM[device_custom35],"",0,1)</f>
        <v>0</v>
      </c>
      <c r="I22" s="197" t="str">
        <f>_xlfn.XLOOKUP(tblPhySvrs[[#This Row],[Hostname]],tblTM[common_assetName],tblTM[common_environment],"",0,1)</f>
        <v>Test</v>
      </c>
      <c r="J22" s="199" t="str">
        <f>_xlfn.XLOOKUP(tblPhySvrs[[#This Row],[Hostname]],tblUnqSvr[Hostname],tblUnqSvr[Device Type],"",0,1)</f>
        <v>Server</v>
      </c>
      <c r="K22"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2" s="201" t="str">
        <f>_xlfn.XLOOKUP(tblPhySvrs[[#This Row],[Hostname]],tblUnqSvr[[#This Row],[Hostname]],tblUnqSvr[[#This Row],[Source Physical Server Serial Number]],"",0,1)</f>
        <v>J101WTLR</v>
      </c>
      <c r="M22" s="201" t="str">
        <f>_xlfn.XLOOKUP(tblPhySvrs[[#This Row],[Hostname]],tblUnqSvr[[#This Row],[Hostname]],tblUnqSvr[[#This Row],[Target Data Center]],"",0,1)</f>
        <v>Dell BMaaS - Ashburn</v>
      </c>
      <c r="N22" s="204" t="s">
        <v>626</v>
      </c>
      <c r="O22" s="201">
        <f>_xlfn.XLOOKUP(tblPhySvrs[[#This Row],[Hostname]],tblTM[common_assetName],tblTM[device_custom17],"",0,1)</f>
        <v>0</v>
      </c>
      <c r="P22" s="201">
        <f>_xlfn.XLOOKUP(tblPhySvrs[[#This Row],[Hostname]],tblTM[common_assetName],tblTM[device_custom14],"",0,1)</f>
        <v>0</v>
      </c>
      <c r="Q22" s="201">
        <f>_xlfn.XLOOKUP(tblPhySvrs[[#This Row],[Hostname]],tblTM[common_assetName],tblTM[device_custom12],"",0,1)</f>
        <v>0</v>
      </c>
      <c r="R22" s="201">
        <f>_xlfn.XLOOKUP(tblPhySvrs[[#This Row],[Hostname]],tblUnqSvr[[#This Row],[Hostname]],tblUnqSvr[[#This Row],[Cutover Change number]],"",0,1)</f>
        <v>0</v>
      </c>
      <c r="S22" s="201">
        <f>_xlfn.XLOOKUP(tblPhySvrs[[#This Row],[Hostname]],tblUnqSvr[[#This Row],[Hostname]],tblUnqSvr[[#This Row],[Plan Status "Moved" in TM]],"",0,1)</f>
        <v>0</v>
      </c>
      <c r="T22" s="201"/>
    </row>
    <row r="23" spans="1:20" x14ac:dyDescent="0.35">
      <c r="A23" s="201"/>
      <c r="B23" s="201" t="str">
        <f>_xlfn.LET(_xlpm.MigSt,_xlfn.XLOOKUP(tblPhySvrs[[#This Row],[Hostname]],tblUnqSvr[Hostname],tblUnqSvr[Migration Status],"",0,1),IF(_xlpm.MigSt=0,"",_xlpm.MigSt))</f>
        <v/>
      </c>
      <c r="C23" s="201" t="str">
        <f>MigrationEventCode</f>
        <v>MEA190</v>
      </c>
      <c r="D23" s="202">
        <f>TMWorkbook!$C$2</f>
        <v>46210</v>
      </c>
      <c r="E23" s="201" t="str">
        <f>CONCATENATE(tblPhySvrs[[#This Row],[Hostname]],"-cmold")</f>
        <v>dc04tlpkaf437-cmold</v>
      </c>
      <c r="F23" s="201" t="str">
        <f>_xlfn.XLOOKUP(tblPhySvrs[[#This Row],[Hostname]],tblTM[common_assetName],tblTM[device_ipAddress],"",0,1)</f>
        <v>10.152.28.129</v>
      </c>
      <c r="G23" s="203" t="str">
        <f>_xlfn.LET(_xlpm.DCLoc,_xlfn.XLOOKUP(tblPhySvrs[[#This Row],[Hostname]],tblUnqSvr[Hostname],tblUnqSvr[EH DataCenter Location],"",0,1), IF(_xlpm.DCLoc=0,"",_xlpm.DCLoc))</f>
        <v>IBM-Cloud Services US East</v>
      </c>
      <c r="H23" s="201">
        <f>_xlfn.XLOOKUP(tblPhySvrs[[#This Row],[Hostname]],tblTM[common_assetName],tblTM[device_custom35],"",0,1)</f>
        <v>0</v>
      </c>
      <c r="I23" s="197" t="str">
        <f>_xlfn.XLOOKUP(tblPhySvrs[[#This Row],[Hostname]],tblTM[common_assetName],tblTM[common_environment],"",0,1)</f>
        <v>Test</v>
      </c>
      <c r="J23" s="199" t="str">
        <f>_xlfn.XLOOKUP(tblPhySvrs[[#This Row],[Hostname]],tblUnqSvr[Hostname],tblUnqSvr[Device Type],"",0,1)</f>
        <v>Server</v>
      </c>
      <c r="K23"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3" s="201" t="str">
        <f>_xlfn.XLOOKUP(tblPhySvrs[[#This Row],[Hostname]],tblUnqSvr[[#This Row],[Hostname]],tblUnqSvr[[#This Row],[Source Physical Server Serial Number]],"",0,1)</f>
        <v>J101VGG4</v>
      </c>
      <c r="M23" s="201" t="str">
        <f>_xlfn.XLOOKUP(tblPhySvrs[[#This Row],[Hostname]],tblUnqSvr[[#This Row],[Hostname]],tblUnqSvr[[#This Row],[Target Data Center]],"",0,1)</f>
        <v>Dell BMaaS - Ashburn</v>
      </c>
      <c r="N23" s="204" t="s">
        <v>622</v>
      </c>
      <c r="O23" s="201">
        <f>_xlfn.XLOOKUP(tblPhySvrs[[#This Row],[Hostname]],tblTM[common_assetName],tblTM[device_custom17],"",0,1)</f>
        <v>0</v>
      </c>
      <c r="P23" s="201">
        <f>_xlfn.XLOOKUP(tblPhySvrs[[#This Row],[Hostname]],tblTM[common_assetName],tblTM[device_custom14],"",0,1)</f>
        <v>0</v>
      </c>
      <c r="Q23" s="201">
        <f>_xlfn.XLOOKUP(tblPhySvrs[[#This Row],[Hostname]],tblTM[common_assetName],tblTM[device_custom12],"",0,1)</f>
        <v>0</v>
      </c>
      <c r="R23" s="201">
        <f>_xlfn.XLOOKUP(tblPhySvrs[[#This Row],[Hostname]],tblUnqSvr[[#This Row],[Hostname]],tblUnqSvr[[#This Row],[Cutover Change number]],"",0,1)</f>
        <v>0</v>
      </c>
      <c r="S23" s="201">
        <f>_xlfn.XLOOKUP(tblPhySvrs[[#This Row],[Hostname]],tblUnqSvr[[#This Row],[Hostname]],tblUnqSvr[[#This Row],[Plan Status "Moved" in TM]],"",0,1)</f>
        <v>0</v>
      </c>
      <c r="T23" s="201"/>
    </row>
    <row r="24" spans="1:20" x14ac:dyDescent="0.35">
      <c r="A24" s="201"/>
      <c r="B24" s="201" t="str">
        <f>_xlfn.LET(_xlpm.MigSt,_xlfn.XLOOKUP(tblPhySvrs[[#This Row],[Hostname]],tblUnqSvr[Hostname],tblUnqSvr[Migration Status],"",0,1),IF(_xlpm.MigSt=0,"",_xlpm.MigSt))</f>
        <v/>
      </c>
      <c r="C24" s="201" t="str">
        <f>MigrationEventCode</f>
        <v>MEA190</v>
      </c>
      <c r="D24" s="202">
        <f>TMWorkbook!$C$2</f>
        <v>46210</v>
      </c>
      <c r="E24" s="201" t="str">
        <f>CONCATENATE(tblPhySvrs[[#This Row],[Hostname]],"-cmold")</f>
        <v>dc04tlpkaf438-cmold</v>
      </c>
      <c r="F24" s="201" t="str">
        <f>_xlfn.XLOOKUP(tblPhySvrs[[#This Row],[Hostname]],tblTM[common_assetName],tblTM[device_ipAddress],"",0,1)</f>
        <v>10.152.28.130</v>
      </c>
      <c r="G24" s="203" t="str">
        <f>_xlfn.LET(_xlpm.DCLoc,_xlfn.XLOOKUP(tblPhySvrs[[#This Row],[Hostname]],tblUnqSvr[Hostname],tblUnqSvr[EH DataCenter Location],"",0,1), IF(_xlpm.DCLoc=0,"",_xlpm.DCLoc))</f>
        <v>IBM-Cloud Services US East</v>
      </c>
      <c r="H24" s="201">
        <f>_xlfn.XLOOKUP(tblPhySvrs[[#This Row],[Hostname]],tblTM[common_assetName],tblTM[device_custom35],"",0,1)</f>
        <v>0</v>
      </c>
      <c r="I24" s="197" t="str">
        <f>_xlfn.XLOOKUP(tblPhySvrs[[#This Row],[Hostname]],tblTM[common_assetName],tblTM[common_environment],"",0,1)</f>
        <v>Test</v>
      </c>
      <c r="J24" s="199" t="str">
        <f>_xlfn.XLOOKUP(tblPhySvrs[[#This Row],[Hostname]],tblUnqSvr[Hostname],tblUnqSvr[Device Type],"",0,1)</f>
        <v>Server</v>
      </c>
      <c r="K24"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4" s="201" t="str">
        <f>_xlfn.XLOOKUP(tblPhySvrs[[#This Row],[Hostname]],tblUnqSvr[[#This Row],[Hostname]],tblUnqSvr[[#This Row],[Source Physical Server Serial Number]],"",0,1)</f>
        <v>J101VGFL</v>
      </c>
      <c r="M24" s="201" t="str">
        <f>_xlfn.XLOOKUP(tblPhySvrs[[#This Row],[Hostname]],tblUnqSvr[[#This Row],[Hostname]],tblUnqSvr[[#This Row],[Target Data Center]],"",0,1)</f>
        <v>Dell BMaaS - Ashburn</v>
      </c>
      <c r="N24" s="204" t="s">
        <v>618</v>
      </c>
      <c r="O24" s="201">
        <f>_xlfn.XLOOKUP(tblPhySvrs[[#This Row],[Hostname]],tblTM[common_assetName],tblTM[device_custom17],"",0,1)</f>
        <v>0</v>
      </c>
      <c r="P24" s="201">
        <f>_xlfn.XLOOKUP(tblPhySvrs[[#This Row],[Hostname]],tblTM[common_assetName],tblTM[device_custom14],"",0,1)</f>
        <v>0</v>
      </c>
      <c r="Q24" s="201">
        <f>_xlfn.XLOOKUP(tblPhySvrs[[#This Row],[Hostname]],tblTM[common_assetName],tblTM[device_custom12],"",0,1)</f>
        <v>0</v>
      </c>
      <c r="R24" s="201">
        <f>_xlfn.XLOOKUP(tblPhySvrs[[#This Row],[Hostname]],tblUnqSvr[[#This Row],[Hostname]],tblUnqSvr[[#This Row],[Cutover Change number]],"",0,1)</f>
        <v>0</v>
      </c>
      <c r="S24" s="201">
        <f>_xlfn.XLOOKUP(tblPhySvrs[[#This Row],[Hostname]],tblUnqSvr[[#This Row],[Hostname]],tblUnqSvr[[#This Row],[Plan Status "Moved" in TM]],"",0,1)</f>
        <v>0</v>
      </c>
      <c r="T24" s="201"/>
    </row>
    <row r="25" spans="1:20" x14ac:dyDescent="0.35">
      <c r="A25" s="201"/>
      <c r="B25" s="201" t="str">
        <f>_xlfn.LET(_xlpm.MigSt,_xlfn.XLOOKUP(tblPhySvrs[[#This Row],[Hostname]],tblUnqSvr[Hostname],tblUnqSvr[Migration Status],"",0,1),IF(_xlpm.MigSt=0,"",_xlpm.MigSt))</f>
        <v/>
      </c>
      <c r="C25" s="201" t="str">
        <f>MigrationEventCode</f>
        <v>MEA190</v>
      </c>
      <c r="D25" s="202">
        <f>TMWorkbook!$C$2</f>
        <v>46210</v>
      </c>
      <c r="E25" s="201" t="str">
        <f>CONCATENATE(tblPhySvrs[[#This Row],[Hostname]],"-cmold")</f>
        <v>dc04tlpkaf446-cmold</v>
      </c>
      <c r="F25" s="201" t="str">
        <f>_xlfn.XLOOKUP(tblPhySvrs[[#This Row],[Hostname]],tblTM[common_assetName],tblTM[device_ipAddress],"",0,1)</f>
        <v>10.152.28.138</v>
      </c>
      <c r="G25" s="203" t="str">
        <f>_xlfn.LET(_xlpm.DCLoc,_xlfn.XLOOKUP(tblPhySvrs[[#This Row],[Hostname]],tblUnqSvr[Hostname],tblUnqSvr[EH DataCenter Location],"",0,1), IF(_xlpm.DCLoc=0,"",_xlpm.DCLoc))</f>
        <v>IBM-Cloud Services US East</v>
      </c>
      <c r="H25" s="201">
        <f>_xlfn.XLOOKUP(tblPhySvrs[[#This Row],[Hostname]],tblTM[common_assetName],tblTM[device_custom35],"",0,1)</f>
        <v>0</v>
      </c>
      <c r="I25" s="197" t="str">
        <f>_xlfn.XLOOKUP(tblPhySvrs[[#This Row],[Hostname]],tblTM[common_assetName],tblTM[common_environment],"",0,1)</f>
        <v>Test</v>
      </c>
      <c r="J25" s="199" t="str">
        <f>_xlfn.XLOOKUP(tblPhySvrs[[#This Row],[Hostname]],tblUnqSvr[Hostname],tblUnqSvr[Device Type],"",0,1)</f>
        <v>Server</v>
      </c>
      <c r="K25"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5" s="201" t="str">
        <f>_xlfn.XLOOKUP(tblPhySvrs[[#This Row],[Hostname]],tblUnqSvr[[#This Row],[Hostname]],tblUnqSvr[[#This Row],[Source Physical Server Serial Number]],"",0,1)</f>
        <v>J101VGFT</v>
      </c>
      <c r="M25" s="201" t="str">
        <f>_xlfn.XLOOKUP(tblPhySvrs[[#This Row],[Hostname]],tblUnqSvr[[#This Row],[Hostname]],tblUnqSvr[[#This Row],[Target Data Center]],"",0,1)</f>
        <v>Dell BMaaS - Ashburn</v>
      </c>
      <c r="N25" s="204" t="s">
        <v>614</v>
      </c>
      <c r="O25" s="201">
        <f>_xlfn.XLOOKUP(tblPhySvrs[[#This Row],[Hostname]],tblTM[common_assetName],tblTM[device_custom17],"",0,1)</f>
        <v>0</v>
      </c>
      <c r="P25" s="201">
        <f>_xlfn.XLOOKUP(tblPhySvrs[[#This Row],[Hostname]],tblTM[common_assetName],tblTM[device_custom14],"",0,1)</f>
        <v>0</v>
      </c>
      <c r="Q25" s="201">
        <f>_xlfn.XLOOKUP(tblPhySvrs[[#This Row],[Hostname]],tblTM[common_assetName],tblTM[device_custom12],"",0,1)</f>
        <v>0</v>
      </c>
      <c r="R25" s="201">
        <f>_xlfn.XLOOKUP(tblPhySvrs[[#This Row],[Hostname]],tblUnqSvr[[#This Row],[Hostname]],tblUnqSvr[[#This Row],[Cutover Change number]],"",0,1)</f>
        <v>0</v>
      </c>
      <c r="S25" s="201">
        <f>_xlfn.XLOOKUP(tblPhySvrs[[#This Row],[Hostname]],tblUnqSvr[[#This Row],[Hostname]],tblUnqSvr[[#This Row],[Plan Status "Moved" in TM]],"",0,1)</f>
        <v>0</v>
      </c>
      <c r="T25" s="201"/>
    </row>
    <row r="26" spans="1:20" x14ac:dyDescent="0.35">
      <c r="A26" s="201"/>
      <c r="B26" s="201" t="str">
        <f>_xlfn.LET(_xlpm.MigSt,_xlfn.XLOOKUP(tblPhySvrs[[#This Row],[Hostname]],tblUnqSvr[Hostname],tblUnqSvr[Migration Status],"",0,1),IF(_xlpm.MigSt=0,"",_xlpm.MigSt))</f>
        <v/>
      </c>
      <c r="C26" s="201" t="str">
        <f>MigrationEventCode</f>
        <v>MEA190</v>
      </c>
      <c r="D26" s="202">
        <f>TMWorkbook!$C$2</f>
        <v>46210</v>
      </c>
      <c r="E26" s="201" t="str">
        <f>CONCATENATE(tblPhySvrs[[#This Row],[Hostname]],"-cmold")</f>
        <v>dc04tlpkaf447-cmold</v>
      </c>
      <c r="F26" s="201" t="str">
        <f>_xlfn.XLOOKUP(tblPhySvrs[[#This Row],[Hostname]],tblTM[common_assetName],tblTM[device_ipAddress],"",0,1)</f>
        <v>10.152.28.139</v>
      </c>
      <c r="G26" s="203" t="str">
        <f>_xlfn.LET(_xlpm.DCLoc,_xlfn.XLOOKUP(tblPhySvrs[[#This Row],[Hostname]],tblUnqSvr[Hostname],tblUnqSvr[EH DataCenter Location],"",0,1), IF(_xlpm.DCLoc=0,"",_xlpm.DCLoc))</f>
        <v>IBM-Cloud Services US East</v>
      </c>
      <c r="H26" s="201">
        <f>_xlfn.XLOOKUP(tblPhySvrs[[#This Row],[Hostname]],tblTM[common_assetName],tblTM[device_custom35],"",0,1)</f>
        <v>0</v>
      </c>
      <c r="I26" s="197" t="str">
        <f>_xlfn.XLOOKUP(tblPhySvrs[[#This Row],[Hostname]],tblTM[common_assetName],tblTM[common_environment],"",0,1)</f>
        <v>Test</v>
      </c>
      <c r="J26" s="199" t="str">
        <f>_xlfn.XLOOKUP(tblPhySvrs[[#This Row],[Hostname]],tblUnqSvr[Hostname],tblUnqSvr[Device Type],"",0,1)</f>
        <v>Server</v>
      </c>
      <c r="K26"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6" s="201" t="str">
        <f>_xlfn.XLOOKUP(tblPhySvrs[[#This Row],[Hostname]],tblUnqSvr[[#This Row],[Hostname]],tblUnqSvr[[#This Row],[Source Physical Server Serial Number]],"",0,1)</f>
        <v>J101VGG1</v>
      </c>
      <c r="M26" s="201" t="str">
        <f>_xlfn.XLOOKUP(tblPhySvrs[[#This Row],[Hostname]],tblUnqSvr[[#This Row],[Hostname]],tblUnqSvr[[#This Row],[Target Data Center]],"",0,1)</f>
        <v>Dell BMaaS - Ashburn</v>
      </c>
      <c r="N26" s="204" t="s">
        <v>610</v>
      </c>
      <c r="O26" s="201">
        <f>_xlfn.XLOOKUP(tblPhySvrs[[#This Row],[Hostname]],tblTM[common_assetName],tblTM[device_custom17],"",0,1)</f>
        <v>0</v>
      </c>
      <c r="P26" s="201">
        <f>_xlfn.XLOOKUP(tblPhySvrs[[#This Row],[Hostname]],tblTM[common_assetName],tblTM[device_custom14],"",0,1)</f>
        <v>0</v>
      </c>
      <c r="Q26" s="201">
        <f>_xlfn.XLOOKUP(tblPhySvrs[[#This Row],[Hostname]],tblTM[common_assetName],tblTM[device_custom12],"",0,1)</f>
        <v>0</v>
      </c>
      <c r="R26" s="201">
        <f>_xlfn.XLOOKUP(tblPhySvrs[[#This Row],[Hostname]],tblUnqSvr[[#This Row],[Hostname]],tblUnqSvr[[#This Row],[Cutover Change number]],"",0,1)</f>
        <v>0</v>
      </c>
      <c r="S26" s="201">
        <f>_xlfn.XLOOKUP(tblPhySvrs[[#This Row],[Hostname]],tblUnqSvr[[#This Row],[Hostname]],tblUnqSvr[[#This Row],[Plan Status "Moved" in TM]],"",0,1)</f>
        <v>0</v>
      </c>
      <c r="T26" s="201"/>
    </row>
    <row r="27" spans="1:20" x14ac:dyDescent="0.35">
      <c r="A27" s="201"/>
      <c r="B27" s="201" t="str">
        <f>_xlfn.LET(_xlpm.MigSt,_xlfn.XLOOKUP(tblPhySvrs[[#This Row],[Hostname]],tblUnqSvr[Hostname],tblUnqSvr[Migration Status],"",0,1),IF(_xlpm.MigSt=0,"",_xlpm.MigSt))</f>
        <v/>
      </c>
      <c r="C27" s="201" t="str">
        <f>MigrationEventCode</f>
        <v>MEA190</v>
      </c>
      <c r="D27" s="202">
        <f>TMWorkbook!$C$2</f>
        <v>46210</v>
      </c>
      <c r="E27" s="201" t="str">
        <f>CONCATENATE(tblPhySvrs[[#This Row],[Hostname]],"-cmold")</f>
        <v>dc04tlpkaf448-cmold</v>
      </c>
      <c r="F27" s="201" t="str">
        <f>_xlfn.XLOOKUP(tblPhySvrs[[#This Row],[Hostname]],tblTM[common_assetName],tblTM[device_ipAddress],"",0,1)</f>
        <v>10.152.28.140</v>
      </c>
      <c r="G27" s="203" t="str">
        <f>_xlfn.LET(_xlpm.DCLoc,_xlfn.XLOOKUP(tblPhySvrs[[#This Row],[Hostname]],tblUnqSvr[Hostname],tblUnqSvr[EH DataCenter Location],"",0,1), IF(_xlpm.DCLoc=0,"",_xlpm.DCLoc))</f>
        <v>IBM-Cloud Services US East</v>
      </c>
      <c r="H27" s="201">
        <f>_xlfn.XLOOKUP(tblPhySvrs[[#This Row],[Hostname]],tblTM[common_assetName],tblTM[device_custom35],"",0,1)</f>
        <v>0</v>
      </c>
      <c r="I27" s="197" t="str">
        <f>_xlfn.XLOOKUP(tblPhySvrs[[#This Row],[Hostname]],tblTM[common_assetName],tblTM[common_environment],"",0,1)</f>
        <v>Test</v>
      </c>
      <c r="J27" s="199" t="str">
        <f>_xlfn.XLOOKUP(tblPhySvrs[[#This Row],[Hostname]],tblUnqSvr[Hostname],tblUnqSvr[Device Type],"",0,1)</f>
        <v>Server</v>
      </c>
      <c r="K27"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7" s="201" t="str">
        <f>_xlfn.XLOOKUP(tblPhySvrs[[#This Row],[Hostname]],tblUnqSvr[[#This Row],[Hostname]],tblUnqSvr[[#This Row],[Source Physical Server Serial Number]],"",0,1)</f>
        <v>J101VGFY</v>
      </c>
      <c r="M27" s="201" t="str">
        <f>_xlfn.XLOOKUP(tblPhySvrs[[#This Row],[Hostname]],tblUnqSvr[[#This Row],[Hostname]],tblUnqSvr[[#This Row],[Target Data Center]],"",0,1)</f>
        <v>Dell BMaaS - Ashburn</v>
      </c>
      <c r="N27" s="204" t="s">
        <v>606</v>
      </c>
      <c r="O27" s="201">
        <f>_xlfn.XLOOKUP(tblPhySvrs[[#This Row],[Hostname]],tblTM[common_assetName],tblTM[device_custom17],"",0,1)</f>
        <v>0</v>
      </c>
      <c r="P27" s="201">
        <f>_xlfn.XLOOKUP(tblPhySvrs[[#This Row],[Hostname]],tblTM[common_assetName],tblTM[device_custom14],"",0,1)</f>
        <v>0</v>
      </c>
      <c r="Q27" s="201">
        <f>_xlfn.XLOOKUP(tblPhySvrs[[#This Row],[Hostname]],tblTM[common_assetName],tblTM[device_custom12],"",0,1)</f>
        <v>0</v>
      </c>
      <c r="R27" s="201">
        <f>_xlfn.XLOOKUP(tblPhySvrs[[#This Row],[Hostname]],tblUnqSvr[[#This Row],[Hostname]],tblUnqSvr[[#This Row],[Cutover Change number]],"",0,1)</f>
        <v>0</v>
      </c>
      <c r="S27" s="201">
        <f>_xlfn.XLOOKUP(tblPhySvrs[[#This Row],[Hostname]],tblUnqSvr[[#This Row],[Hostname]],tblUnqSvr[[#This Row],[Plan Status "Moved" in TM]],"",0,1)</f>
        <v>0</v>
      </c>
      <c r="T27" s="201"/>
    </row>
    <row r="28" spans="1:20" x14ac:dyDescent="0.35">
      <c r="A28" s="201"/>
      <c r="B28" s="201" t="str">
        <f>_xlfn.LET(_xlpm.MigSt,_xlfn.XLOOKUP(tblPhySvrs[[#This Row],[Hostname]],tblUnqSvr[Hostname],tblUnqSvr[Migration Status],"",0,1),IF(_xlpm.MigSt=0,"",_xlpm.MigSt))</f>
        <v/>
      </c>
      <c r="C28" s="201" t="str">
        <f>MigrationEventCode</f>
        <v>MEA190</v>
      </c>
      <c r="D28" s="202">
        <f>TMWorkbook!$C$2</f>
        <v>46210</v>
      </c>
      <c r="E28" s="201" t="str">
        <f>CONCATENATE(tblPhySvrs[[#This Row],[Hostname]],"-cmold")</f>
        <v>dc04tlpkaf449-cmold</v>
      </c>
      <c r="F28" s="201" t="str">
        <f>_xlfn.XLOOKUP(tblPhySvrs[[#This Row],[Hostname]],tblTM[common_assetName],tblTM[device_ipAddress],"",0,1)</f>
        <v>10.152.28.141</v>
      </c>
      <c r="G28" s="203" t="str">
        <f>_xlfn.LET(_xlpm.DCLoc,_xlfn.XLOOKUP(tblPhySvrs[[#This Row],[Hostname]],tblUnqSvr[Hostname],tblUnqSvr[EH DataCenter Location],"",0,1), IF(_xlpm.DCLoc=0,"",_xlpm.DCLoc))</f>
        <v>IBM-Cloud Services US East</v>
      </c>
      <c r="H28" s="201">
        <f>_xlfn.XLOOKUP(tblPhySvrs[[#This Row],[Hostname]],tblTM[common_assetName],tblTM[device_custom35],"",0,1)</f>
        <v>0</v>
      </c>
      <c r="I28" s="197" t="str">
        <f>_xlfn.XLOOKUP(tblPhySvrs[[#This Row],[Hostname]],tblTM[common_assetName],tblTM[common_environment],"",0,1)</f>
        <v>Test</v>
      </c>
      <c r="J28" s="199" t="str">
        <f>_xlfn.XLOOKUP(tblPhySvrs[[#This Row],[Hostname]],tblUnqSvr[Hostname],tblUnqSvr[Device Type],"",0,1)</f>
        <v>Server</v>
      </c>
      <c r="K28"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8" s="201" t="str">
        <f>_xlfn.XLOOKUP(tblPhySvrs[[#This Row],[Hostname]],tblUnqSvr[[#This Row],[Hostname]],tblUnqSvr[[#This Row],[Source Physical Server Serial Number]],"",0,1)</f>
        <v>J101WTM2</v>
      </c>
      <c r="M28" s="201" t="str">
        <f>_xlfn.XLOOKUP(tblPhySvrs[[#This Row],[Hostname]],tblUnqSvr[[#This Row],[Hostname]],tblUnqSvr[[#This Row],[Target Data Center]],"",0,1)</f>
        <v>Dell BMaaS - Ashburn</v>
      </c>
      <c r="N28" s="204" t="s">
        <v>602</v>
      </c>
      <c r="O28" s="201">
        <f>_xlfn.XLOOKUP(tblPhySvrs[[#This Row],[Hostname]],tblTM[common_assetName],tblTM[device_custom17],"",0,1)</f>
        <v>0</v>
      </c>
      <c r="P28" s="201">
        <f>_xlfn.XLOOKUP(tblPhySvrs[[#This Row],[Hostname]],tblTM[common_assetName],tblTM[device_custom14],"",0,1)</f>
        <v>0</v>
      </c>
      <c r="Q28" s="201">
        <f>_xlfn.XLOOKUP(tblPhySvrs[[#This Row],[Hostname]],tblTM[common_assetName],tblTM[device_custom12],"",0,1)</f>
        <v>0</v>
      </c>
      <c r="R28" s="201">
        <f>_xlfn.XLOOKUP(tblPhySvrs[[#This Row],[Hostname]],tblUnqSvr[[#This Row],[Hostname]],tblUnqSvr[[#This Row],[Cutover Change number]],"",0,1)</f>
        <v>0</v>
      </c>
      <c r="S28" s="201">
        <f>_xlfn.XLOOKUP(tblPhySvrs[[#This Row],[Hostname]],tblUnqSvr[[#This Row],[Hostname]],tblUnqSvr[[#This Row],[Plan Status "Moved" in TM]],"",0,1)</f>
        <v>0</v>
      </c>
      <c r="T28" s="201"/>
    </row>
    <row r="29" spans="1:20" x14ac:dyDescent="0.35">
      <c r="A29" s="201"/>
      <c r="B29" s="201" t="str">
        <f>_xlfn.LET(_xlpm.MigSt,_xlfn.XLOOKUP(tblPhySvrs[[#This Row],[Hostname]],tblUnqSvr[Hostname],tblUnqSvr[Migration Status],"",0,1),IF(_xlpm.MigSt=0,"",_xlpm.MigSt))</f>
        <v/>
      </c>
      <c r="C29" s="201" t="str">
        <f>MigrationEventCode</f>
        <v>MEA190</v>
      </c>
      <c r="D29" s="202">
        <f>TMWorkbook!$C$2</f>
        <v>46210</v>
      </c>
      <c r="E29" s="201" t="str">
        <f>CONCATENATE(tblPhySvrs[[#This Row],[Hostname]],"-cmold")</f>
        <v>dc04tlpkaf450-cmold</v>
      </c>
      <c r="F29" s="201" t="str">
        <f>_xlfn.XLOOKUP(tblPhySvrs[[#This Row],[Hostname]],tblTM[common_assetName],tblTM[device_ipAddress],"",0,1)</f>
        <v>10.152.28.142</v>
      </c>
      <c r="G29" s="203" t="str">
        <f>_xlfn.LET(_xlpm.DCLoc,_xlfn.XLOOKUP(tblPhySvrs[[#This Row],[Hostname]],tblUnqSvr[Hostname],tblUnqSvr[EH DataCenter Location],"",0,1), IF(_xlpm.DCLoc=0,"",_xlpm.DCLoc))</f>
        <v>IBM-Cloud Services US East</v>
      </c>
      <c r="H29" s="201">
        <f>_xlfn.XLOOKUP(tblPhySvrs[[#This Row],[Hostname]],tblTM[common_assetName],tblTM[device_custom35],"",0,1)</f>
        <v>0</v>
      </c>
      <c r="I29" s="197" t="str">
        <f>_xlfn.XLOOKUP(tblPhySvrs[[#This Row],[Hostname]],tblTM[common_assetName],tblTM[common_environment],"",0,1)</f>
        <v>Test</v>
      </c>
      <c r="J29" s="199" t="str">
        <f>_xlfn.XLOOKUP(tblPhySvrs[[#This Row],[Hostname]],tblUnqSvr[Hostname],tblUnqSvr[Device Type],"",0,1)</f>
        <v>Server</v>
      </c>
      <c r="K29"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RHEL</v>
      </c>
      <c r="L29" s="201" t="str">
        <f>_xlfn.XLOOKUP(tblPhySvrs[[#This Row],[Hostname]],tblUnqSvr[[#This Row],[Hostname]],tblUnqSvr[[#This Row],[Source Physical Server Serial Number]],"",0,1)</f>
        <v>J101WTLA</v>
      </c>
      <c r="M29" s="201" t="str">
        <f>_xlfn.XLOOKUP(tblPhySvrs[[#This Row],[Hostname]],tblUnqSvr[[#This Row],[Hostname]],tblUnqSvr[[#This Row],[Target Data Center]],"",0,1)</f>
        <v>Dell BMaaS - Ashburn</v>
      </c>
      <c r="N29" s="204" t="s">
        <v>596</v>
      </c>
      <c r="O29" s="201">
        <f>_xlfn.XLOOKUP(tblPhySvrs[[#This Row],[Hostname]],tblTM[common_assetName],tblTM[device_custom17],"",0,1)</f>
        <v>0</v>
      </c>
      <c r="P29" s="201">
        <f>_xlfn.XLOOKUP(tblPhySvrs[[#This Row],[Hostname]],tblTM[common_assetName],tblTM[device_custom14],"",0,1)</f>
        <v>0</v>
      </c>
      <c r="Q29" s="201">
        <f>_xlfn.XLOOKUP(tblPhySvrs[[#This Row],[Hostname]],tblTM[common_assetName],tblTM[device_custom12],"",0,1)</f>
        <v>0</v>
      </c>
      <c r="R29" s="201">
        <f>_xlfn.XLOOKUP(tblPhySvrs[[#This Row],[Hostname]],tblUnqSvr[[#This Row],[Hostname]],tblUnqSvr[[#This Row],[Cutover Change number]],"",0,1)</f>
        <v>0</v>
      </c>
      <c r="S29" s="201">
        <f>_xlfn.XLOOKUP(tblPhySvrs[[#This Row],[Hostname]],tblUnqSvr[[#This Row],[Hostname]],tblUnqSvr[[#This Row],[Plan Status "Moved" in TM]],"",0,1)</f>
        <v>0</v>
      </c>
      <c r="T29" s="201"/>
    </row>
    <row r="30" spans="1:20" x14ac:dyDescent="0.35">
      <c r="A30" s="201"/>
      <c r="B30" s="201" t="str">
        <f>_xlfn.LET(_xlpm.MigSt,_xlfn.XLOOKUP(tblPhySvrs[[#This Row],[Hostname]],tblUnqSvr[Hostname],tblUnqSvr[Migration Status],"",0,1),IF(_xlpm.MigSt=0,"",_xlpm.MigSt))</f>
        <v/>
      </c>
      <c r="C30" s="201" t="str">
        <f>MigrationEventCode</f>
        <v>MEA190</v>
      </c>
      <c r="D30" s="202">
        <f>TMWorkbook!$C$2</f>
        <v>46210</v>
      </c>
      <c r="E30" s="201" t="str">
        <f>CONCATENATE(tblPhySvrs[[#This Row],[Hostname]],"-cmold")</f>
        <v>VA33DWPSQL311A-cmold</v>
      </c>
      <c r="F30" s="201" t="str">
        <f>_xlfn.XLOOKUP(tblPhySvrs[[#This Row],[Hostname]],tblTM[common_assetName],tblTM[device_ipAddress],"",0,1)</f>
        <v>30.118.198.20</v>
      </c>
      <c r="G30" s="203" t="str">
        <f>_xlfn.LET(_xlpm.DCLoc,_xlfn.XLOOKUP(tblPhySvrs[[#This Row],[Hostname]],tblUnqSvr[Hostname],tblUnqSvr[EH DataCenter Location],"",0,1), IF(_xlpm.DCLoc=0,"",_xlpm.DCLoc))</f>
        <v>VA-HARRISONBURG 1175 N MAIN ST</v>
      </c>
      <c r="H30" s="201" t="str">
        <f>_xlfn.XLOOKUP(tblPhySvrs[[#This Row],[Hostname]],tblTM[common_assetName],tblTM[device_custom35],"",0,1)</f>
        <v>Database - SQL</v>
      </c>
      <c r="I30" s="197" t="str">
        <f>_xlfn.XLOOKUP(tblPhySvrs[[#This Row],[Hostname]],tblTM[common_assetName],tblTM[common_environment],"",0,1)</f>
        <v>Development</v>
      </c>
      <c r="J30" s="199" t="str">
        <f>_xlfn.XLOOKUP(tblPhySvrs[[#This Row],[Hostname]],tblUnqSvr[Hostname],tblUnqSvr[Device Type],"",0,1)</f>
        <v>Server</v>
      </c>
      <c r="K30"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0" s="201" t="str">
        <f>_xlfn.XLOOKUP(tblPhySvrs[[#This Row],[Hostname]],tblUnqSvr[[#This Row],[Hostname]],tblUnqSvr[[#This Row],[Source Physical Server Serial Number]],"",0,1)</f>
        <v/>
      </c>
      <c r="M30" s="201" t="str">
        <f>_xlfn.XLOOKUP(tblPhySvrs[[#This Row],[Hostname]],tblUnqSvr[[#This Row],[Hostname]],tblUnqSvr[[#This Row],[Target Data Center]],"",0,1)</f>
        <v/>
      </c>
      <c r="N30" s="204" t="s">
        <v>568</v>
      </c>
      <c r="O30" s="201">
        <f>_xlfn.XLOOKUP(tblPhySvrs[[#This Row],[Hostname]],tblTM[common_assetName],tblTM[device_custom17],"",0,1)</f>
        <v>0</v>
      </c>
      <c r="P30" s="201">
        <f>_xlfn.XLOOKUP(tblPhySvrs[[#This Row],[Hostname]],tblTM[common_assetName],tblTM[device_custom14],"",0,1)</f>
        <v>0</v>
      </c>
      <c r="Q30" s="201">
        <f>_xlfn.XLOOKUP(tblPhySvrs[[#This Row],[Hostname]],tblTM[common_assetName],tblTM[device_custom12],"",0,1)</f>
        <v>0</v>
      </c>
      <c r="R30" s="201" t="str">
        <f>_xlfn.XLOOKUP(tblPhySvrs[[#This Row],[Hostname]],tblUnqSvr[[#This Row],[Hostname]],tblUnqSvr[[#This Row],[Cutover Change number]],"",0,1)</f>
        <v/>
      </c>
      <c r="S30" s="201" t="str">
        <f>_xlfn.XLOOKUP(tblPhySvrs[[#This Row],[Hostname]],tblUnqSvr[[#This Row],[Hostname]],tblUnqSvr[[#This Row],[Plan Status "Moved" in TM]],"",0,1)</f>
        <v/>
      </c>
      <c r="T30" s="201"/>
    </row>
    <row r="31" spans="1:20" x14ac:dyDescent="0.35">
      <c r="A31" s="201"/>
      <c r="B31" s="201" t="str">
        <f>_xlfn.LET(_xlpm.MigSt,_xlfn.XLOOKUP(tblPhySvrs[[#This Row],[Hostname]],tblUnqSvr[Hostname],tblUnqSvr[Migration Status],"",0,1),IF(_xlpm.MigSt=0,"",_xlpm.MigSt))</f>
        <v/>
      </c>
      <c r="C31" s="201" t="str">
        <f>MigrationEventCode</f>
        <v>MEA190</v>
      </c>
      <c r="D31" s="202">
        <f>TMWorkbook!$C$2</f>
        <v>46210</v>
      </c>
      <c r="E31" s="201" t="str">
        <f>CONCATENATE(tblPhySvrs[[#This Row],[Hostname]],"-cmold")</f>
        <v>VA33DWPSQL311B-cmold</v>
      </c>
      <c r="F31" s="201" t="str">
        <f>_xlfn.XLOOKUP(tblPhySvrs[[#This Row],[Hostname]],tblTM[common_assetName],tblTM[device_ipAddress],"",0,1)</f>
        <v>30.118.198.21,30.118.198.23</v>
      </c>
      <c r="G31" s="203" t="str">
        <f>_xlfn.LET(_xlpm.DCLoc,_xlfn.XLOOKUP(tblPhySvrs[[#This Row],[Hostname]],tblUnqSvr[Hostname],tblUnqSvr[EH DataCenter Location],"",0,1), IF(_xlpm.DCLoc=0,"",_xlpm.DCLoc))</f>
        <v>VA-HARRISONBURG 1175 N MAIN ST</v>
      </c>
      <c r="H31" s="201" t="str">
        <f>_xlfn.XLOOKUP(tblPhySvrs[[#This Row],[Hostname]],tblTM[common_assetName],tblTM[device_custom35],"",0,1)</f>
        <v>Database - SQL</v>
      </c>
      <c r="I31" s="197" t="str">
        <f>_xlfn.XLOOKUP(tblPhySvrs[[#This Row],[Hostname]],tblTM[common_assetName],tblTM[common_environment],"",0,1)</f>
        <v>Development</v>
      </c>
      <c r="J31" s="199" t="str">
        <f>_xlfn.XLOOKUP(tblPhySvrs[[#This Row],[Hostname]],tblUnqSvr[Hostname],tblUnqSvr[Device Type],"",0,1)</f>
        <v>Server</v>
      </c>
      <c r="K31"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1" s="201" t="str">
        <f>_xlfn.XLOOKUP(tblPhySvrs[[#This Row],[Hostname]],tblUnqSvr[[#This Row],[Hostname]],tblUnqSvr[[#This Row],[Source Physical Server Serial Number]],"",0,1)</f>
        <v/>
      </c>
      <c r="M31" s="201" t="str">
        <f>_xlfn.XLOOKUP(tblPhySvrs[[#This Row],[Hostname]],tblUnqSvr[[#This Row],[Hostname]],tblUnqSvr[[#This Row],[Target Data Center]],"",0,1)</f>
        <v/>
      </c>
      <c r="N31" s="204" t="s">
        <v>561</v>
      </c>
      <c r="O31" s="201">
        <f>_xlfn.XLOOKUP(tblPhySvrs[[#This Row],[Hostname]],tblTM[common_assetName],tblTM[device_custom17],"",0,1)</f>
        <v>0</v>
      </c>
      <c r="P31" s="201">
        <f>_xlfn.XLOOKUP(tblPhySvrs[[#This Row],[Hostname]],tblTM[common_assetName],tblTM[device_custom14],"",0,1)</f>
        <v>0</v>
      </c>
      <c r="Q31" s="201">
        <f>_xlfn.XLOOKUP(tblPhySvrs[[#This Row],[Hostname]],tblTM[common_assetName],tblTM[device_custom12],"",0,1)</f>
        <v>0</v>
      </c>
      <c r="R31" s="201" t="str">
        <f>_xlfn.XLOOKUP(tblPhySvrs[[#This Row],[Hostname]],tblUnqSvr[[#This Row],[Hostname]],tblUnqSvr[[#This Row],[Cutover Change number]],"",0,1)</f>
        <v/>
      </c>
      <c r="S31" s="201" t="str">
        <f>_xlfn.XLOOKUP(tblPhySvrs[[#This Row],[Hostname]],tblUnqSvr[[#This Row],[Hostname]],tblUnqSvr[[#This Row],[Plan Status "Moved" in TM]],"",0,1)</f>
        <v/>
      </c>
      <c r="T31" s="201"/>
    </row>
    <row r="32" spans="1:20" x14ac:dyDescent="0.35">
      <c r="A32" s="201"/>
      <c r="B32" s="201" t="str">
        <f>_xlfn.LET(_xlpm.MigSt,_xlfn.XLOOKUP(tblPhySvrs[[#This Row],[Hostname]],tblUnqSvr[Hostname],tblUnqSvr[Migration Status],"",0,1),IF(_xlpm.MigSt=0,"",_xlpm.MigSt))</f>
        <v/>
      </c>
      <c r="C32" s="201" t="str">
        <f>MigrationEventCode</f>
        <v>MEA190</v>
      </c>
      <c r="D32" s="202">
        <f>TMWorkbook!$C$2</f>
        <v>46210</v>
      </c>
      <c r="E32" s="201" t="str">
        <f>CONCATENATE(tblPhySvrs[[#This Row],[Hostname]],"-cmold")</f>
        <v>VA33TWPSQL303A-cmold</v>
      </c>
      <c r="F32" s="201" t="str">
        <f>_xlfn.XLOOKUP(tblPhySvrs[[#This Row],[Hostname]],tblTM[common_assetName],tblTM[device_ipAddress],"",0,1)</f>
        <v>30.118.196.105, 30.118.196.108</v>
      </c>
      <c r="G32" s="203" t="str">
        <f>_xlfn.LET(_xlpm.DCLoc,_xlfn.XLOOKUP(tblPhySvrs[[#This Row],[Hostname]],tblUnqSvr[Hostname],tblUnqSvr[EH DataCenter Location],"",0,1), IF(_xlpm.DCLoc=0,"",_xlpm.DCLoc))</f>
        <v>VA-HARRISONBURG 1175 N MAIN ST</v>
      </c>
      <c r="H32" s="201" t="str">
        <f>_xlfn.XLOOKUP(tblPhySvrs[[#This Row],[Hostname]],tblTM[common_assetName],tblTM[device_custom35],"",0,1)</f>
        <v>Database - SQL</v>
      </c>
      <c r="I32" s="197" t="str">
        <f>_xlfn.XLOOKUP(tblPhySvrs[[#This Row],[Hostname]],tblTM[common_assetName],tblTM[common_environment],"",0,1)</f>
        <v>Test</v>
      </c>
      <c r="J32" s="199" t="str">
        <f>_xlfn.XLOOKUP(tblPhySvrs[[#This Row],[Hostname]],tblUnqSvr[Hostname],tblUnqSvr[Device Type],"",0,1)</f>
        <v>Server</v>
      </c>
      <c r="K32"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2" s="201" t="str">
        <f>_xlfn.XLOOKUP(tblPhySvrs[[#This Row],[Hostname]],tblUnqSvr[[#This Row],[Hostname]],tblUnqSvr[[#This Row],[Source Physical Server Serial Number]],"",0,1)</f>
        <v/>
      </c>
      <c r="M32" s="201" t="str">
        <f>_xlfn.XLOOKUP(tblPhySvrs[[#This Row],[Hostname]],tblUnqSvr[[#This Row],[Hostname]],tblUnqSvr[[#This Row],[Target Data Center]],"",0,1)</f>
        <v/>
      </c>
      <c r="N32" s="204" t="s">
        <v>540</v>
      </c>
      <c r="O32" s="201">
        <f>_xlfn.XLOOKUP(tblPhySvrs[[#This Row],[Hostname]],tblTM[common_assetName],tblTM[device_custom17],"",0,1)</f>
        <v>0</v>
      </c>
      <c r="P32" s="201">
        <f>_xlfn.XLOOKUP(tblPhySvrs[[#This Row],[Hostname]],tblTM[common_assetName],tblTM[device_custom14],"",0,1)</f>
        <v>0</v>
      </c>
      <c r="Q32" s="201">
        <f>_xlfn.XLOOKUP(tblPhySvrs[[#This Row],[Hostname]],tblTM[common_assetName],tblTM[device_custom12],"",0,1)</f>
        <v>0</v>
      </c>
      <c r="R32" s="201" t="str">
        <f>_xlfn.XLOOKUP(tblPhySvrs[[#This Row],[Hostname]],tblUnqSvr[[#This Row],[Hostname]],tblUnqSvr[[#This Row],[Cutover Change number]],"",0,1)</f>
        <v/>
      </c>
      <c r="S32" s="201" t="str">
        <f>_xlfn.XLOOKUP(tblPhySvrs[[#This Row],[Hostname]],tblUnqSvr[[#This Row],[Hostname]],tblUnqSvr[[#This Row],[Plan Status "Moved" in TM]],"",0,1)</f>
        <v/>
      </c>
      <c r="T32" s="201"/>
    </row>
    <row r="33" spans="1:20" x14ac:dyDescent="0.35">
      <c r="A33" s="201"/>
      <c r="B33" s="201" t="str">
        <f>_xlfn.LET(_xlpm.MigSt,_xlfn.XLOOKUP(tblPhySvrs[[#This Row],[Hostname]],tblUnqSvr[Hostname],tblUnqSvr[Migration Status],"",0,1),IF(_xlpm.MigSt=0,"",_xlpm.MigSt))</f>
        <v/>
      </c>
      <c r="C33" s="201" t="str">
        <f>MigrationEventCode</f>
        <v>MEA190</v>
      </c>
      <c r="D33" s="202">
        <f>TMWorkbook!$C$2</f>
        <v>46210</v>
      </c>
      <c r="E33" s="201" t="str">
        <f>CONCATENATE(tblPhySvrs[[#This Row],[Hostname]],"-cmold")</f>
        <v>VA33TWPSQL303B-cmold</v>
      </c>
      <c r="F33" s="201" t="str">
        <f>_xlfn.XLOOKUP(tblPhySvrs[[#This Row],[Hostname]],tblTM[common_assetName],tblTM[device_ipAddress],"",0,1)</f>
        <v>30.118.196.106,30.118.196.107</v>
      </c>
      <c r="G33" s="203" t="str">
        <f>_xlfn.LET(_xlpm.DCLoc,_xlfn.XLOOKUP(tblPhySvrs[[#This Row],[Hostname]],tblUnqSvr[Hostname],tblUnqSvr[EH DataCenter Location],"",0,1), IF(_xlpm.DCLoc=0,"",_xlpm.DCLoc))</f>
        <v>VA-HARRISONBURG 1175 N MAIN ST</v>
      </c>
      <c r="H33" s="201" t="str">
        <f>_xlfn.XLOOKUP(tblPhySvrs[[#This Row],[Hostname]],tblTM[common_assetName],tblTM[device_custom35],"",0,1)</f>
        <v>Database - SQL</v>
      </c>
      <c r="I33" s="197" t="str">
        <f>_xlfn.XLOOKUP(tblPhySvrs[[#This Row],[Hostname]],tblTM[common_assetName],tblTM[common_environment],"",0,1)</f>
        <v>Test</v>
      </c>
      <c r="J33" s="199" t="str">
        <f>_xlfn.XLOOKUP(tblPhySvrs[[#This Row],[Hostname]],tblUnqSvr[Hostname],tblUnqSvr[Device Type],"",0,1)</f>
        <v>Server</v>
      </c>
      <c r="K33" s="199"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MS Win</v>
      </c>
      <c r="L33" s="201" t="str">
        <f>_xlfn.XLOOKUP(tblPhySvrs[[#This Row],[Hostname]],tblUnqSvr[[#This Row],[Hostname]],tblUnqSvr[[#This Row],[Source Physical Server Serial Number]],"",0,1)</f>
        <v/>
      </c>
      <c r="M33" s="201" t="str">
        <f>_xlfn.XLOOKUP(tblPhySvrs[[#This Row],[Hostname]],tblUnqSvr[[#This Row],[Hostname]],tblUnqSvr[[#This Row],[Target Data Center]],"",0,1)</f>
        <v/>
      </c>
      <c r="N33" s="204" t="s">
        <v>526</v>
      </c>
      <c r="O33" s="201">
        <f>_xlfn.XLOOKUP(tblPhySvrs[[#This Row],[Hostname]],tblTM[common_assetName],tblTM[device_custom17],"",0,1)</f>
        <v>0</v>
      </c>
      <c r="P33" s="201">
        <f>_xlfn.XLOOKUP(tblPhySvrs[[#This Row],[Hostname]],tblTM[common_assetName],tblTM[device_custom14],"",0,1)</f>
        <v>0</v>
      </c>
      <c r="Q33" s="201">
        <f>_xlfn.XLOOKUP(tblPhySvrs[[#This Row],[Hostname]],tblTM[common_assetName],tblTM[device_custom12],"",0,1)</f>
        <v>0</v>
      </c>
      <c r="R33" s="201" t="str">
        <f>_xlfn.XLOOKUP(tblPhySvrs[[#This Row],[Hostname]],tblUnqSvr[[#This Row],[Hostname]],tblUnqSvr[[#This Row],[Cutover Change number]],"",0,1)</f>
        <v/>
      </c>
      <c r="S33" s="201" t="str">
        <f>_xlfn.XLOOKUP(tblPhySvrs[[#This Row],[Hostname]],tblUnqSvr[[#This Row],[Hostname]],tblUnqSvr[[#This Row],[Plan Status "Moved" in TM]],"",0,1)</f>
        <v/>
      </c>
      <c r="T33" s="201"/>
    </row>
  </sheetData>
  <conditionalFormatting sqref="I2:I33">
    <cfRule type="expression" dxfId="13" priority="13">
      <formula>LEFT(INDIRECT("tblPhySvrs[@Environment]"),4)="Deve"</formula>
    </cfRule>
    <cfRule type="expression" dxfId="12" priority="14">
      <formula>LEFT(INDIRECT("tblPhySvrs[@Environment]"),4)="Test"</formula>
    </cfRule>
    <cfRule type="expression" dxfId="11" priority="15">
      <formula>LEFT(INDIRECT("tblPhySvrs[@Environment]"),4)="Prod"</formula>
    </cfRule>
  </conditionalFormatting>
  <conditionalFormatting sqref="I2:K33">
    <cfRule type="expression" dxfId="10" priority="12">
      <formula>INDIRECT("tblPhySvrs[@Scope]")="OOS"</formula>
    </cfRule>
  </conditionalFormatting>
  <conditionalFormatting sqref="J2:J33">
    <cfRule type="expression" dxfId="9" priority="9">
      <formula>INDIRECT("tblPhySvrs[@Device Type]")="Server"</formula>
    </cfRule>
    <cfRule type="expression" dxfId="8" priority="10">
      <formula>LEFT(INDIRECT("tblPhySvrs[@Device Type]"),8)="Linux-VM"</formula>
    </cfRule>
    <cfRule type="expression" dxfId="7" priority="11">
      <formula>LEFT(INDIRECT("tblPhySvrs[@Device Type]"),3)="AIX"</formula>
    </cfRule>
  </conditionalFormatting>
  <conditionalFormatting sqref="K2:K33">
    <cfRule type="expression" dxfId="6" priority="2">
      <formula>LEFT(INDIRECT("tblPhySvrs[@Operating System]"),6)="MS Win"</formula>
    </cfRule>
    <cfRule type="expression" dxfId="5" priority="3">
      <formula>LEFT(INDIRECT("tblPhySvrs[@Operating System]"),4)="RHEL"</formula>
    </cfRule>
    <cfRule type="expression" dxfId="4" priority="4">
      <formula>LEFT(INDIRECT("tblPhySvrs[@Operating System]"),4)="UNIX"</formula>
    </cfRule>
    <cfRule type="expression" dxfId="3" priority="5">
      <formula>LEFT(INDIRECT("tblPhySvrs[@Operating System]"),4)="OSCP"</formula>
    </cfRule>
    <cfRule type="expression" dxfId="2" priority="6">
      <formula>LEFT(INDIRECT("tblPhySvrs[@Operating System]"),6)="PwrLnx"</formula>
    </cfRule>
    <cfRule type="expression" dxfId="1" priority="7">
      <formula>LEFT(INDIRECT("tblPhySvrs[@Operating System]"),3)="AIX"</formula>
    </cfRule>
  </conditionalFormatting>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1E73-EA37-3C4C-82B1-DAE80EDD5C47}">
  <sheetPr codeName="Sheet13"/>
  <dimension ref="A1:D7"/>
  <sheetViews>
    <sheetView workbookViewId="0">
      <selection activeCell="A6" sqref="A6:B7"/>
    </sheetView>
  </sheetViews>
  <sheetFormatPr defaultColWidth="11" defaultRowHeight="15.5" x14ac:dyDescent="0.35"/>
  <cols>
    <col min="1" max="1" width="12.08203125" customWidth="1"/>
    <col min="2" max="2" width="93.1640625" style="4" customWidth="1"/>
    <col min="3" max="3" width="20.83203125" customWidth="1"/>
    <col min="4" max="4" width="58.33203125" customWidth="1"/>
  </cols>
  <sheetData>
    <row r="1" spans="1:4" x14ac:dyDescent="0.35">
      <c r="A1" t="s">
        <v>288</v>
      </c>
      <c r="B1" s="4" t="s">
        <v>289</v>
      </c>
      <c r="D1" s="1" t="s">
        <v>110</v>
      </c>
    </row>
    <row r="2" spans="1:4" x14ac:dyDescent="0.35">
      <c r="A2" t="s">
        <v>290</v>
      </c>
      <c r="B2" s="41" t="s">
        <v>476</v>
      </c>
      <c r="D2" s="2" t="s">
        <v>291</v>
      </c>
    </row>
    <row r="3" spans="1:4" x14ac:dyDescent="0.35">
      <c r="A3" s="64" t="s">
        <v>292</v>
      </c>
      <c r="B3" s="65" t="s">
        <v>476</v>
      </c>
    </row>
    <row r="4" spans="1:4" ht="46.5" x14ac:dyDescent="0.35">
      <c r="A4" s="64" t="s">
        <v>293</v>
      </c>
      <c r="B4" s="65" t="s">
        <v>475</v>
      </c>
    </row>
    <row r="5" spans="1:4" ht="31" x14ac:dyDescent="0.35">
      <c r="A5" s="64" t="s">
        <v>294</v>
      </c>
      <c r="B5" s="66" t="s">
        <v>804</v>
      </c>
    </row>
    <row r="6" spans="1:4" x14ac:dyDescent="0.35">
      <c r="A6" s="169" t="s">
        <v>295</v>
      </c>
      <c r="B6" s="170" t="s">
        <v>451</v>
      </c>
    </row>
    <row r="7" spans="1:4" x14ac:dyDescent="0.35">
      <c r="A7" s="169" t="s">
        <v>452</v>
      </c>
      <c r="B7" s="170" t="s">
        <v>453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etDatabaseFile">
                <anchor moveWithCells="1" sizeWithCells="1">
                  <from>
                    <xdr:col>2</xdr:col>
                    <xdr:colOff>12700</xdr:colOff>
                    <xdr:row>1</xdr:row>
                    <xdr:rowOff>12700</xdr:rowOff>
                  </from>
                  <to>
                    <xdr:col>2</xdr:col>
                    <xdr:colOff>1555750</xdr:colOff>
                    <xdr:row>1</xdr:row>
                    <xdr:rowOff>190500</xdr:rowOff>
                  </to>
                </anchor>
              </controlPr>
            </control>
          </mc:Choice>
        </mc:AlternateContent>
      </controls>
    </mc:Choice>
  </mc:AlternateContent>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9AE8-FD69-4CD7-8723-55B1319E2B7D}">
  <sheetPr codeName="TransitionManagerSheet"/>
  <dimension ref="A2:B3"/>
  <sheetViews>
    <sheetView workbookViewId="0">
      <selection activeCell="B3" sqref="B3"/>
    </sheetView>
  </sheetViews>
  <sheetFormatPr defaultColWidth="8" defaultRowHeight="18" customHeight="1" x14ac:dyDescent="0.35"/>
  <cols>
    <col min="1" max="1" width="27" style="29" customWidth="1"/>
    <col min="2" max="2" width="45.33203125" style="29" customWidth="1"/>
    <col min="3" max="16384" width="8" style="29"/>
  </cols>
  <sheetData>
    <row r="2" spans="1:2" ht="18" customHeight="1" x14ac:dyDescent="0.35">
      <c r="A2" s="28" t="s">
        <v>352</v>
      </c>
      <c r="B2" s="62" t="s">
        <v>469</v>
      </c>
    </row>
    <row r="3" spans="1:2" ht="18" customHeight="1" x14ac:dyDescent="0.35">
      <c r="A3" s="28" t="s">
        <v>353</v>
      </c>
      <c r="B3" s="29" t="s">
        <v>474</v>
      </c>
    </row>
  </sheetData>
  <hyperlinks>
    <hyperlink ref="B2" r:id="rId1" xr:uid="{F10D7A13-12D2-4BE6-8A23-DC64BEE21CAF}"/>
  </hyperlinks>
  <pageMargins left="0.7" right="0.7" top="0.75" bottom="0.75" header="0.3" footer="0.3"/>
  <pageSetup orientation="portrait" horizontalDpi="90" verticalDpi="90"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8EF06-9887-4721-8DCC-C12445CAFA7B}">
  <sheetPr codeName="WorkbookLists"/>
  <dimension ref="A1:D6"/>
  <sheetViews>
    <sheetView workbookViewId="0">
      <selection activeCell="A2" sqref="A2:D6"/>
    </sheetView>
  </sheetViews>
  <sheetFormatPr defaultColWidth="8.83203125" defaultRowHeight="15.5" x14ac:dyDescent="0.35"/>
  <cols>
    <col min="1" max="1" width="21.83203125" customWidth="1"/>
    <col min="2" max="2" width="10.83203125" customWidth="1"/>
    <col min="3" max="3" width="17.33203125" customWidth="1"/>
    <col min="4" max="4" width="19.58203125" customWidth="1"/>
  </cols>
  <sheetData>
    <row r="1" spans="1:4" x14ac:dyDescent="0.35">
      <c r="A1" t="s">
        <v>354</v>
      </c>
      <c r="B1" t="s">
        <v>355</v>
      </c>
      <c r="C1" t="s">
        <v>356</v>
      </c>
      <c r="D1" t="s">
        <v>357</v>
      </c>
    </row>
    <row r="2" spans="1:4" x14ac:dyDescent="0.35">
      <c r="A2" t="s">
        <v>359</v>
      </c>
      <c r="B2">
        <v>10937</v>
      </c>
      <c r="C2">
        <v>1350</v>
      </c>
      <c r="D2">
        <v>1349</v>
      </c>
    </row>
    <row r="3" spans="1:4" x14ac:dyDescent="0.35">
      <c r="A3" t="s">
        <v>4</v>
      </c>
      <c r="B3">
        <v>8620</v>
      </c>
      <c r="C3">
        <v>447</v>
      </c>
      <c r="D3">
        <v>446</v>
      </c>
    </row>
    <row r="4" spans="1:4" x14ac:dyDescent="0.35">
      <c r="A4" t="s">
        <v>454</v>
      </c>
      <c r="B4">
        <v>29885</v>
      </c>
      <c r="C4">
        <v>1603</v>
      </c>
      <c r="D4">
        <v>1602</v>
      </c>
    </row>
    <row r="5" spans="1:4" x14ac:dyDescent="0.35">
      <c r="A5" t="s">
        <v>358</v>
      </c>
      <c r="B5">
        <v>5691</v>
      </c>
      <c r="C5">
        <v>319</v>
      </c>
      <c r="D5">
        <v>320</v>
      </c>
    </row>
    <row r="6" spans="1:4" x14ac:dyDescent="0.35">
      <c r="A6" t="s">
        <v>250</v>
      </c>
      <c r="B6">
        <v>10939</v>
      </c>
      <c r="C6">
        <v>1352</v>
      </c>
      <c r="D6">
        <v>1351</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D65D1-4513-4993-B815-D379878F855F}">
  <sheetPr codeName="Sheet27"/>
  <dimension ref="A2:D25"/>
  <sheetViews>
    <sheetView topLeftCell="A19" workbookViewId="0">
      <selection activeCell="D25" sqref="D25"/>
    </sheetView>
  </sheetViews>
  <sheetFormatPr defaultRowHeight="15.5" x14ac:dyDescent="0.35"/>
  <cols>
    <col min="1" max="1" width="9.1640625" bestFit="1" customWidth="1"/>
    <col min="2" max="2" width="17.33203125" bestFit="1" customWidth="1"/>
    <col min="3" max="3" width="17" bestFit="1" customWidth="1"/>
    <col min="4" max="4" width="100.83203125" style="4" customWidth="1"/>
  </cols>
  <sheetData>
    <row r="2" spans="1:4" x14ac:dyDescent="0.35">
      <c r="A2" t="s">
        <v>321</v>
      </c>
      <c r="B2" t="s">
        <v>322</v>
      </c>
      <c r="C2" t="s">
        <v>323</v>
      </c>
      <c r="D2" s="4" t="s">
        <v>324</v>
      </c>
    </row>
    <row r="3" spans="1:4" ht="77.5" x14ac:dyDescent="0.35">
      <c r="A3" s="104" t="s">
        <v>325</v>
      </c>
      <c r="B3" s="103">
        <v>45219</v>
      </c>
      <c r="C3" s="101" t="s">
        <v>326</v>
      </c>
      <c r="D3" s="102" t="s">
        <v>327</v>
      </c>
    </row>
    <row r="4" spans="1:4" ht="93" x14ac:dyDescent="0.35">
      <c r="A4" s="104" t="s">
        <v>328</v>
      </c>
      <c r="B4" s="103">
        <v>45224</v>
      </c>
      <c r="C4" s="101" t="s">
        <v>326</v>
      </c>
      <c r="D4" s="102" t="s">
        <v>329</v>
      </c>
    </row>
    <row r="5" spans="1:4" ht="31" x14ac:dyDescent="0.35">
      <c r="A5" s="104" t="s">
        <v>330</v>
      </c>
      <c r="B5" s="103">
        <v>45264</v>
      </c>
      <c r="C5" s="101" t="s">
        <v>326</v>
      </c>
      <c r="D5" s="102" t="s">
        <v>331</v>
      </c>
    </row>
    <row r="6" spans="1:4" ht="46.5" x14ac:dyDescent="0.35">
      <c r="A6" s="104" t="s">
        <v>332</v>
      </c>
      <c r="B6" s="103">
        <v>45273</v>
      </c>
      <c r="C6" s="101" t="s">
        <v>326</v>
      </c>
      <c r="D6" s="102" t="s">
        <v>333</v>
      </c>
    </row>
    <row r="7" spans="1:4" ht="31" x14ac:dyDescent="0.35">
      <c r="A7" s="104" t="s">
        <v>334</v>
      </c>
      <c r="B7" s="103">
        <v>45316</v>
      </c>
      <c r="C7" s="101" t="s">
        <v>326</v>
      </c>
      <c r="D7" s="102" t="s">
        <v>335</v>
      </c>
    </row>
    <row r="8" spans="1:4" ht="31" x14ac:dyDescent="0.35">
      <c r="A8" s="104" t="s">
        <v>336</v>
      </c>
      <c r="B8" s="103">
        <v>45348</v>
      </c>
      <c r="C8" s="101" t="s">
        <v>326</v>
      </c>
      <c r="D8" s="102" t="s">
        <v>337</v>
      </c>
    </row>
    <row r="9" spans="1:4" ht="31" x14ac:dyDescent="0.35">
      <c r="A9" s="104" t="s">
        <v>338</v>
      </c>
      <c r="B9" s="103">
        <v>45358</v>
      </c>
      <c r="C9" s="101" t="s">
        <v>326</v>
      </c>
      <c r="D9" s="102" t="s">
        <v>339</v>
      </c>
    </row>
    <row r="10" spans="1:4" ht="31" x14ac:dyDescent="0.35">
      <c r="A10" s="104" t="s">
        <v>340</v>
      </c>
      <c r="B10" s="103">
        <v>45366</v>
      </c>
      <c r="C10" s="101" t="s">
        <v>326</v>
      </c>
      <c r="D10" s="102" t="s">
        <v>341</v>
      </c>
    </row>
    <row r="11" spans="1:4" ht="31" x14ac:dyDescent="0.35">
      <c r="A11" s="104" t="s">
        <v>342</v>
      </c>
      <c r="B11" s="103">
        <v>45378</v>
      </c>
      <c r="C11" s="101" t="s">
        <v>326</v>
      </c>
      <c r="D11" s="102" t="s">
        <v>343</v>
      </c>
    </row>
    <row r="12" spans="1:4" ht="62" x14ac:dyDescent="0.35">
      <c r="A12" s="104" t="s">
        <v>344</v>
      </c>
      <c r="B12" s="103">
        <v>45379</v>
      </c>
      <c r="C12" s="101" t="s">
        <v>326</v>
      </c>
      <c r="D12" s="102" t="s">
        <v>345</v>
      </c>
    </row>
    <row r="13" spans="1:4" ht="31" x14ac:dyDescent="0.35">
      <c r="A13" s="104" t="s">
        <v>346</v>
      </c>
      <c r="B13" s="103">
        <v>45380</v>
      </c>
      <c r="C13" s="101" t="s">
        <v>326</v>
      </c>
      <c r="D13" s="102" t="s">
        <v>347</v>
      </c>
    </row>
    <row r="14" spans="1:4" x14ac:dyDescent="0.35">
      <c r="A14" s="104" t="s">
        <v>348</v>
      </c>
      <c r="B14" s="103">
        <v>45446</v>
      </c>
      <c r="C14" s="101" t="s">
        <v>326</v>
      </c>
      <c r="D14" s="102" t="s">
        <v>349</v>
      </c>
    </row>
    <row r="15" spans="1:4" ht="77.5" x14ac:dyDescent="0.35">
      <c r="A15" s="104" t="s">
        <v>350</v>
      </c>
      <c r="B15" s="103">
        <v>45475</v>
      </c>
      <c r="C15" s="101" t="s">
        <v>326</v>
      </c>
      <c r="D15" s="102" t="s">
        <v>351</v>
      </c>
    </row>
    <row r="16" spans="1:4" ht="31" x14ac:dyDescent="0.35">
      <c r="A16" s="104" t="s">
        <v>0</v>
      </c>
      <c r="B16" s="103">
        <v>45539</v>
      </c>
      <c r="C16" s="101" t="s">
        <v>326</v>
      </c>
      <c r="D16" s="102" t="s">
        <v>360</v>
      </c>
    </row>
    <row r="17" spans="1:4" ht="62" x14ac:dyDescent="0.35">
      <c r="A17" s="104" t="s">
        <v>362</v>
      </c>
      <c r="B17" s="103">
        <v>45586</v>
      </c>
      <c r="C17" s="101" t="s">
        <v>326</v>
      </c>
      <c r="D17" s="102" t="s">
        <v>411</v>
      </c>
    </row>
    <row r="18" spans="1:4" ht="31" x14ac:dyDescent="0.35">
      <c r="A18" s="104" t="s">
        <v>412</v>
      </c>
      <c r="B18" s="103">
        <v>45699</v>
      </c>
      <c r="C18" s="101" t="s">
        <v>326</v>
      </c>
      <c r="D18" s="102" t="s">
        <v>413</v>
      </c>
    </row>
    <row r="19" spans="1:4" ht="62" x14ac:dyDescent="0.35">
      <c r="A19" s="104" t="s">
        <v>415</v>
      </c>
      <c r="B19" s="103">
        <v>45750</v>
      </c>
      <c r="C19" s="101" t="s">
        <v>326</v>
      </c>
      <c r="D19" s="102" t="s">
        <v>425</v>
      </c>
    </row>
    <row r="20" spans="1:4" ht="31" x14ac:dyDescent="0.35">
      <c r="A20" s="104" t="s">
        <v>427</v>
      </c>
      <c r="B20" s="103">
        <v>45912</v>
      </c>
      <c r="C20" s="101" t="s">
        <v>326</v>
      </c>
      <c r="D20" s="102" t="s">
        <v>437</v>
      </c>
    </row>
    <row r="21" spans="1:4" ht="31" x14ac:dyDescent="0.35">
      <c r="A21" s="104" t="s">
        <v>442</v>
      </c>
      <c r="B21" s="103">
        <v>45939</v>
      </c>
      <c r="C21" s="101" t="s">
        <v>326</v>
      </c>
      <c r="D21" s="102" t="s">
        <v>443</v>
      </c>
    </row>
    <row r="22" spans="1:4" ht="31" x14ac:dyDescent="0.35">
      <c r="A22" s="104" t="s">
        <v>444</v>
      </c>
      <c r="B22" s="103">
        <v>45961</v>
      </c>
      <c r="C22" s="101" t="s">
        <v>326</v>
      </c>
      <c r="D22" s="102" t="s">
        <v>445</v>
      </c>
    </row>
    <row r="23" spans="1:4" ht="46.5" x14ac:dyDescent="0.35">
      <c r="A23" s="104" t="s">
        <v>446</v>
      </c>
      <c r="B23" s="103">
        <v>45965</v>
      </c>
      <c r="C23" s="101" t="s">
        <v>326</v>
      </c>
      <c r="D23" s="102" t="s">
        <v>447</v>
      </c>
    </row>
    <row r="24" spans="1:4" x14ac:dyDescent="0.35">
      <c r="A24" s="104" t="s">
        <v>448</v>
      </c>
      <c r="B24" s="103">
        <v>45972</v>
      </c>
      <c r="C24" s="101" t="s">
        <v>326</v>
      </c>
      <c r="D24" s="102" t="s">
        <v>449</v>
      </c>
    </row>
    <row r="25" spans="1:4" ht="31" x14ac:dyDescent="0.35">
      <c r="A25" s="104" t="s">
        <v>450</v>
      </c>
      <c r="B25" s="103">
        <v>45785</v>
      </c>
      <c r="C25" s="101" t="s">
        <v>326</v>
      </c>
      <c r="D25" s="102" t="s">
        <v>470</v>
      </c>
    </row>
  </sheetData>
  <phoneticPr fontId="14" type="noConversion"/>
  <conditionalFormatting sqref="B3:B25">
    <cfRule type="expression" dxfId="0" priority="1">
      <formula>WEEKDAY($C3)=6</formula>
    </cfRule>
  </conditionalFormatting>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AC240FF90991443AA27694C7577E60F" ma:contentTypeVersion="25" ma:contentTypeDescription="Create a new document." ma:contentTypeScope="" ma:versionID="91d71183c9ad5f2c17f527653ba93863">
  <xsd:schema xmlns:xsd="http://www.w3.org/2001/XMLSchema" xmlns:xs="http://www.w3.org/2001/XMLSchema" xmlns:p="http://schemas.microsoft.com/office/2006/metadata/properties" xmlns:ns1="http://schemas.microsoft.com/sharepoint/v3" xmlns:ns2="cb62bc94-3bd1-42f6-b2f1-0911ecd0f045" xmlns:ns3="fed42fab-2651-48fa-98cd-217af9ad7ad1" targetNamespace="http://schemas.microsoft.com/office/2006/metadata/properties" ma:root="true" ma:fieldsID="ddabe269a8dedc734339fd918b34d1bd" ns1:_="" ns2:_="" ns3:_="">
    <xsd:import namespace="http://schemas.microsoft.com/sharepoint/v3"/>
    <xsd:import namespace="cb62bc94-3bd1-42f6-b2f1-0911ecd0f045"/>
    <xsd:import namespace="fed42fab-2651-48fa-98cd-217af9ad7ad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NumberTest" minOccurs="0"/>
                <xsd:element ref="ns3:Comments" minOccurs="0"/>
                <xsd:element ref="ns3:MediaServiceObjectDetectorVersions" minOccurs="0"/>
                <xsd:element ref="ns3:MediaServiceSearchProperties"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2bc94-3bd1-42f6-b2f1-0911ecd0f0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cbe32f9c-17f0-48a5-bab4-25cdea43a473}" ma:internalName="TaxCatchAll" ma:showField="CatchAllData" ma:web="cb62bc94-3bd1-42f6-b2f1-0911ecd0f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ed42fab-2651-48fa-98cd-217af9ad7ad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54101172-0cdf-4a4d-852d-90099e45c587" ma:termSetId="09814cd3-568e-fe90-9814-8d621ff8fb84" ma:anchorId="fba54fb3-c3e1-fe81-a776-ca4b69148c4d" ma:open="true" ma:isKeyword="false">
      <xsd:complexType>
        <xsd:sequence>
          <xsd:element ref="pc:Terms" minOccurs="0" maxOccurs="1"/>
        </xsd:sequence>
      </xsd:complexType>
    </xsd:element>
    <xsd:element name="NumberTest" ma:index="25" nillable="true" ma:displayName="Number Test" ma:format="Dropdown" ma:internalName="NumberTest" ma:percentage="FALSE">
      <xsd:simpleType>
        <xsd:restriction base="dms:Number"/>
      </xsd:simpleType>
    </xsd:element>
    <xsd:element name="Comments" ma:index="26" nillable="true" ma:displayName="Comments" ma:format="Dropdown" ma:internalName="Comments">
      <xsd:simpleType>
        <xsd:restriction base="dms:Text">
          <xsd:maxLength value="255"/>
        </xsd:restriction>
      </xsd:simple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element name="MediaServiceLocation" ma:index="29" nillable="true" ma:displayName="Location" ma:description="" ma:indexed="true" ma:internalName="MediaServiceLocation" ma:readOnly="true">
      <xsd:simpleType>
        <xsd:restriction base="dms:Text"/>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NumberTest xmlns="fed42fab-2651-48fa-98cd-217af9ad7ad1" xsi:nil="true"/>
    <_ip_UnifiedCompliancePolicyProperties xmlns="http://schemas.microsoft.com/sharepoint/v3" xsi:nil="true"/>
    <lcf76f155ced4ddcb4097134ff3c332f xmlns="fed42fab-2651-48fa-98cd-217af9ad7ad1">
      <Terms xmlns="http://schemas.microsoft.com/office/infopath/2007/PartnerControls"/>
    </lcf76f155ced4ddcb4097134ff3c332f>
    <Comments xmlns="fed42fab-2651-48fa-98cd-217af9ad7ad1" xsi:nil="true"/>
    <TaxCatchAll xmlns="cb62bc94-3bd1-42f6-b2f1-0911ecd0f045" xsi:nil="true"/>
    <SharedWithUsers xmlns="cb62bc94-3bd1-42f6-b2f1-0911ecd0f045">
      <UserInfo>
        <DisplayName>Flor Guerrero Rivas</DisplayName>
        <AccountId>414</AccountId>
        <AccountType/>
      </UserInfo>
    </SharedWithUsers>
  </documentManagement>
</p:properties>
</file>

<file path=customXml/itemProps1.xml><?xml version="1.0" encoding="utf-8"?>
<ds:datastoreItem xmlns:ds="http://schemas.openxmlformats.org/officeDocument/2006/customXml" ds:itemID="{08DAF4CD-40FD-452E-A6A8-B30E51BD690E}">
  <ds:schemaRefs>
    <ds:schemaRef ds:uri="http://schemas.microsoft.com/sharepoint/v3/contenttype/forms"/>
  </ds:schemaRefs>
</ds:datastoreItem>
</file>

<file path=customXml/itemProps2.xml><?xml version="1.0" encoding="utf-8"?>
<ds:datastoreItem xmlns:ds="http://schemas.openxmlformats.org/officeDocument/2006/customXml" ds:itemID="{005E31C3-0294-48CF-8E23-09D487B26C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b62bc94-3bd1-42f6-b2f1-0911ecd0f045"/>
    <ds:schemaRef ds:uri="fed42fab-2651-48fa-98cd-217af9ad7a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BBED20-C3E9-477F-BA74-A374D678B279}">
  <ds:schemaRefs>
    <ds:schemaRef ds:uri="http://purl.org/dc/terms/"/>
    <ds:schemaRef ds:uri="http://schemas.microsoft.com/sharepoint/v3"/>
    <ds:schemaRef ds:uri="http://purl.org/dc/elements/1.1/"/>
    <ds:schemaRef ds:uri="http://schemas.microsoft.com/office/2006/metadata/properties"/>
    <ds:schemaRef ds:uri="http://www.w3.org/XML/1998/namespace"/>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fed42fab-2651-48fa-98cd-217af9ad7ad1"/>
    <ds:schemaRef ds:uri="cb62bc94-3bd1-42f6-b2f1-0911ecd0f045"/>
  </ds:schemaRefs>
</ds:datastoreItem>
</file>

<file path=docMetadata/LabelInfo.xml><?xml version="1.0" encoding="utf-8"?>
<clbl:labelList xmlns:clbl="http://schemas.microsoft.com/office/2020/mipLabelMetadata">
  <clbl:label id="{f260df36-bc43-424c-8f44-c85226657b01}" enabled="0" method="" siteId="{f260df36-bc43-424c-8f44-c85226657b0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vt:i4>
      </vt:variant>
    </vt:vector>
  </HeadingPairs>
  <TitlesOfParts>
    <vt:vector size="31" baseType="lpstr">
      <vt:lpstr>TMWorkbook</vt:lpstr>
      <vt:lpstr>AppSum</vt:lpstr>
      <vt:lpstr>PMView</vt:lpstr>
      <vt:lpstr>Event Scope</vt:lpstr>
      <vt:lpstr>TM</vt:lpstr>
      <vt:lpstr>Applications</vt:lpstr>
      <vt:lpstr>Dependencies</vt:lpstr>
      <vt:lpstr>Affinities</vt:lpstr>
      <vt:lpstr>CS-Stacks</vt:lpstr>
      <vt:lpstr>AppSupStaff</vt:lpstr>
      <vt:lpstr>IntroMsg</vt:lpstr>
      <vt:lpstr>AAQMsg</vt:lpstr>
      <vt:lpstr>Info</vt:lpstr>
      <vt:lpstr>Summary Sheet-App Level</vt:lpstr>
      <vt:lpstr>App-Server Sign-off Details</vt:lpstr>
      <vt:lpstr>Unique Server List</vt:lpstr>
      <vt:lpstr>Physical Servers</vt:lpstr>
      <vt:lpstr>config</vt:lpstr>
      <vt:lpstr>TransitionManager</vt:lpstr>
      <vt:lpstr>WorkbookLists</vt:lpstr>
      <vt:lpstr>ChangeLog</vt:lpstr>
      <vt:lpstr>app_view_id</vt:lpstr>
      <vt:lpstr>BundleCode</vt:lpstr>
      <vt:lpstr>cfgBaseTMURL</vt:lpstr>
      <vt:lpstr>cfgDBFileName</vt:lpstr>
      <vt:lpstr>cfgDefaultUsername</vt:lpstr>
      <vt:lpstr>dev_view_id</vt:lpstr>
      <vt:lpstr>MigrationEventCode</vt:lpstr>
      <vt:lpstr>project_id</vt:lpstr>
      <vt:lpstr>tmpPassword</vt:lpstr>
      <vt:lpstr>tmpToken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Ecks</dc:creator>
  <cp:keywords/>
  <dc:description/>
  <cp:lastModifiedBy>Palaksha Talkerappa</cp:lastModifiedBy>
  <cp:revision/>
  <dcterms:created xsi:type="dcterms:W3CDTF">2021-09-21T21:25:08Z</dcterms:created>
  <dcterms:modified xsi:type="dcterms:W3CDTF">2026-05-12T14:16:01Z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0x010100DAC240FF90991443AA27694C7577E60F</vt:lpwstr>
  </property>
  <property fmtid="{D5CDD505-2E9C-101B-9397-08002B2CF9AE}" pid="3" name="MediaServiceImageTags">
    <vt:lpwstr/>
  </property>
</Properties>
</file>