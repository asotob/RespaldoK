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tables/table8.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3.xml" ContentType="application/vnd.openxmlformats-officedocument.spreadsheetml.comments+xml"/>
  <Override PartName="/xl/tables/table24.xml" ContentType="application/vnd.openxmlformats-officedocument.spreadsheetml.table+xml"/>
  <Override PartName="/xl/comments4.xml" ContentType="application/vnd.openxmlformats-officedocument.spreadsheetml.comments+xml"/>
  <Override PartName="/xl/tables/table25.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drawings/drawing9.xml" ContentType="application/vnd.openxmlformats-officedocument.drawing+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defaultThemeVersion="166925"/>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TST/ArchPreCheck/"/>
    </mc:Choice>
  </mc:AlternateContent>
  <xr:revisionPtr revIDLastSave="2" documentId="8_{A2CA7AE3-15F8-4EAF-83B3-C98C0240BFA0}" xr6:coauthVersionLast="47" xr6:coauthVersionMax="47" xr10:uidLastSave="{51DA76FD-2F82-408C-91B5-929BA705FFB7}"/>
  <bookViews>
    <workbookView xWindow="1920" yWindow="1920" windowWidth="21108" windowHeight="10260" tabRatio="815" xr2:uid="{495B3BA7-DCC0-0D4E-AB29-7029D48A5DCD}"/>
  </bookViews>
  <sheets>
    <sheet name="TMWorkbook" sheetId="32" r:id="rId1"/>
    <sheet name="AppSum" sheetId="25" r:id="rId2"/>
    <sheet name="PMView" sheetId="40" r:id="rId3"/>
    <sheet name="Event Scope" sheetId="48" r:id="rId4"/>
    <sheet name="TM" sheetId="10" r:id="rId5"/>
    <sheet name="Applications" sheetId="26" r:id="rId6"/>
    <sheet name="Dependencies" sheetId="42" r:id="rId7"/>
    <sheet name="Affinities" sheetId="49" r:id="rId8"/>
    <sheet name="CS-Stacks" sheetId="39" r:id="rId9"/>
    <sheet name="AppSupStaff" sheetId="47" r:id="rId10"/>
    <sheet name="IntroMsg" sheetId="43" r:id="rId11"/>
    <sheet name="AAQMsg" sheetId="45" r:id="rId12"/>
    <sheet name="Info" sheetId="16" r:id="rId13"/>
    <sheet name="Summary Sheet-App Level" sheetId="51" r:id="rId14"/>
    <sheet name="App-Server Sign-off Details" sheetId="52" r:id="rId15"/>
    <sheet name="Unique Server List" sheetId="53" r:id="rId16"/>
    <sheet name="Physical Servers" sheetId="54" r:id="rId17"/>
    <sheet name="config" sheetId="13" r:id="rId18"/>
    <sheet name="TransitionManager" sheetId="31" state="hidden" r:id="rId19"/>
    <sheet name="WorkbookLists" sheetId="33" r:id="rId20"/>
    <sheet name="ChangeLog" sheetId="50" r:id="rId21"/>
  </sheets>
  <functionGroups builtInGroupCount="19"/>
  <externalReferences>
    <externalReference r:id="rId22"/>
  </externalReferences>
  <definedNames>
    <definedName name="___xlfn_COUNTIFS">#N/A</definedName>
    <definedName name="__Tab5">#REF!</definedName>
    <definedName name="__xlfn_COUNTIFS">#N/A</definedName>
    <definedName name="_Communication_Plan">#REF!</definedName>
    <definedName name="_xlnm._FilterDatabase" localSheetId="5" hidden="1">Applications!#REF!</definedName>
    <definedName name="_xlnm._FilterDatabase" localSheetId="14" hidden="1">'App-Server Sign-off Details'!$A$1:$V$1</definedName>
    <definedName name="_xlnm._FilterDatabase" localSheetId="3" hidden="1">'Event Scope'!$A$1:$AC$2</definedName>
    <definedName name="_xlnm._FilterDatabase" localSheetId="16" hidden="1">'Physical Servers'!$A$1:$T$1</definedName>
    <definedName name="_xlnm._FilterDatabase" localSheetId="2" hidden="1">PMView!$A$1:$AA$2</definedName>
    <definedName name="_xlnm._FilterDatabase" localSheetId="13" hidden="1">'Summary Sheet-App Level'!$A$1:$J$1</definedName>
    <definedName name="_xlnm._FilterDatabase" localSheetId="15" hidden="1">'Unique Server List'!$A$1:$X$1</definedName>
    <definedName name="_OS2">#REF!</definedName>
    <definedName name="_s3">#REF!</definedName>
    <definedName name="_SA1">#REF!</definedName>
    <definedName name="_SA2">#REF!</definedName>
    <definedName name="_SA3">#REF!</definedName>
    <definedName name="_SA4">#REF!</definedName>
    <definedName name="_Tab5">#REF!</definedName>
    <definedName name="_Toc207178484">#REF!</definedName>
    <definedName name="_Toc207178485">#REF!</definedName>
    <definedName name="_Toc207178486">#REF!</definedName>
    <definedName name="_Toc211248854">#REF!</definedName>
    <definedName name="_Toc211248855">#REF!</definedName>
    <definedName name="_Toc211248856">#REF!</definedName>
    <definedName name="_Toc213741895">#REF!</definedName>
    <definedName name="_Toc213741896">#REF!</definedName>
    <definedName name="_Toc213741902">#REF!</definedName>
    <definedName name="_Toc213741905">#REF!</definedName>
    <definedName name="_Toc233769434">#REF!</definedName>
    <definedName name="_Toc233769435">#REF!</definedName>
    <definedName name="_Toc233769436">#REF!</definedName>
    <definedName name="_Toc233769438">#REF!</definedName>
    <definedName name="_Toc233769439">#REF!</definedName>
    <definedName name="_xlpm.ACount" hidden="1" xlm="1">#NAME?</definedName>
    <definedName name="_xlpm.ApCount" hidden="1" xlm="1">#NAME?</definedName>
    <definedName name="_xlpm.AppCount" hidden="1" xlm="1">#NAME?</definedName>
    <definedName name="_xlpm.AppSvrs" hidden="1" xlm="1">#NAME?</definedName>
    <definedName name="_xlpm.byte" hidden="1" xlm="1">#NAME?</definedName>
    <definedName name="_xlpm.CCount" hidden="1" xlm="1">#NAME?</definedName>
    <definedName name="_xlpm.Count" hidden="1" xlm="1">#NAME?</definedName>
    <definedName name="_xlpm.CSCount" hidden="1" xlm="1">#NAME?</definedName>
    <definedName name="_xlpm.CSInfo" hidden="1" xlm="1">#NAME?</definedName>
    <definedName name="_xlpm.DBCount" hidden="1" xlm="1">#NAME?</definedName>
    <definedName name="_xlpm.DCLoc" hidden="1" xlm="1">#NAME?</definedName>
    <definedName name="_xlpm.DCount" hidden="1" xlm="1">#NAME?</definedName>
    <definedName name="_xlpm.DMCount" hidden="1" xlm="1">#NAME?</definedName>
    <definedName name="_xlpm.DMZCount" hidden="1" xlm="1">#NAME?</definedName>
    <definedName name="_xlpm.F5Count" hidden="1" xlm="1">#NAME?</definedName>
    <definedName name="_xlpm.FCount" hidden="1" xlm="1">#NAME?</definedName>
    <definedName name="_xlpm.Host" hidden="1" xlm="1">#NAME?</definedName>
    <definedName name="_xlpm.ItCount" hidden="1" xlm="1">#NAME?</definedName>
    <definedName name="_xlpm.loc" hidden="1" xlm="1">#NAME?</definedName>
    <definedName name="_xlpm.mea" hidden="1" xlm="1">#NAME?</definedName>
    <definedName name="_xlpm.MENum" hidden="1" xlm="1">#NAME?</definedName>
    <definedName name="_xlpm.MigSt" hidden="1" xlm="1">#NAME?</definedName>
    <definedName name="_xlpm.NACount" hidden="1" xlm="1">#NAME?</definedName>
    <definedName name="_xlpm.NATCount" hidden="1" xlm="1">#NAME?</definedName>
    <definedName name="_xlpm.NCount" hidden="1" xlm="1">#NAME?</definedName>
    <definedName name="_xlpm.OS" hidden="1" xlm="1">#NAME?</definedName>
    <definedName name="_xlpm.PhySN" hidden="1" xlm="1">#NAME?</definedName>
    <definedName name="_xlpm.Plat" hidden="1" xlm="1">#NAME?</definedName>
    <definedName name="_xlpm.SN" hidden="1" xlm="1">#NAME?</definedName>
    <definedName name="_xlpm.Svrs" hidden="1" xlm="1">#NAME?</definedName>
    <definedName name="_xlpm.tier" hidden="1" xlm="1">#NAME?</definedName>
    <definedName name="_xlpm.Ver" hidden="1" xlm="1">#NAME?</definedName>
    <definedName name="_xlpm.VIP" hidden="1" xlm="1">#NAME?</definedName>
    <definedName name="AddressType">#REF!</definedName>
    <definedName name="adsa">OFFSET(#REF!,0,0,COUNTA(#REF!),1)</definedName>
    <definedName name="aethrysrjst">#REF!</definedName>
    <definedName name="AfterGoNoGoDecision">#REF!</definedName>
    <definedName name="ALLIPs">#REF!</definedName>
    <definedName name="app">#REF!</definedName>
    <definedName name="app_view_id">TMWorkbook!$B$6</definedName>
    <definedName name="Application_Mnemonics">#REF!</definedName>
    <definedName name="AS">#REF!</definedName>
    <definedName name="asd">#REF!</definedName>
    <definedName name="AST">#REF!</definedName>
    <definedName name="awsedtfcghvjhj">#REF!</definedName>
    <definedName name="base">#REF!</definedName>
    <definedName name="base7">#REF!</definedName>
    <definedName name="base8">#REF!</definedName>
    <definedName name="Baxter_Application_Owners">#REF!</definedName>
    <definedName name="Baxter_Global_Leadership_Team__GLT">#REF!</definedName>
    <definedName name="Baxter_Transition_Team">#REF!</definedName>
    <definedName name="BC">#REF!</definedName>
    <definedName name="Boulder_SAN_Upgrade_Personnel">#REF!</definedName>
    <definedName name="BTECCRules">#REF!</definedName>
    <definedName name="BU">#REF!</definedName>
    <definedName name="BuiltIn_Print_Area___0">#REF!</definedName>
    <definedName name="BuiltIn_Print_Titles___0">#REF!</definedName>
    <definedName name="BundleCode">TMWorkbook!$B$3</definedName>
    <definedName name="BusinessRisks">#REF!</definedName>
    <definedName name="CAPS">#REF!</definedName>
    <definedName name="cfgBaseTMURL">TransitionManager!$B$2</definedName>
    <definedName name="cfgDBFileName" localSheetId="7">#REF!</definedName>
    <definedName name="cfgDBFileName" localSheetId="20">[1]config!$B$2</definedName>
    <definedName name="cfgDBFileName" localSheetId="2">#REF!</definedName>
    <definedName name="cfgDBFileName">config!$B$2</definedName>
    <definedName name="cfgDefaultUsername">TransitionManager!$B$3</definedName>
    <definedName name="ClientIPPassThroughRequired">#REF!</definedName>
    <definedName name="ClusterBU">#REF!</definedName>
    <definedName name="ClusterDomain">#REF!</definedName>
    <definedName name="Con">#REF!</definedName>
    <definedName name="Contacts">#REF!</definedName>
    <definedName name="CountryVLANFunction">#REF!</definedName>
    <definedName name="CPOS">#REF!</definedName>
    <definedName name="current_migration">#REF!</definedName>
    <definedName name="Datastore">#REF!</definedName>
    <definedName name="DC">#REF!</definedName>
    <definedName name="DCClusterName">#REF!</definedName>
    <definedName name="dec_data">#REF!</definedName>
    <definedName name="DefaultNetMask">#REF!</definedName>
    <definedName name="Denovo">#REF!</definedName>
    <definedName name="dev_view_id">TMWorkbook!$B$7</definedName>
    <definedName name="DNSDomain">#REF!</definedName>
    <definedName name="Domain">#REF!</definedName>
    <definedName name="dr_bkp_svm_cluster">#REF!</definedName>
    <definedName name="dr_bkp_svm_name">#REF!</definedName>
    <definedName name="dr_bkp_svm_policy">#REF!</definedName>
    <definedName name="dr_bkp_svm_sched1">#REF!</definedName>
    <definedName name="dr_svm_cluster">#REF!</definedName>
    <definedName name="dr_svm_name">#REF!</definedName>
    <definedName name="dr_vfiler_ip">#REF!</definedName>
    <definedName name="dr_vfiler_name">#REF!</definedName>
    <definedName name="dr_vfiler_port">#REF!</definedName>
    <definedName name="dr_vfiler_temp_cifs_server">#REF!</definedName>
    <definedName name="DRMethod">#REF!</definedName>
    <definedName name="DRRequired">#REF!</definedName>
    <definedName name="DRScope">#REF!</definedName>
    <definedName name="DSCluster">#REF!</definedName>
    <definedName name="DueDate">#REF!</definedName>
    <definedName name="DUR">#REF!</definedName>
    <definedName name="DUT">#REF!</definedName>
    <definedName name="EndFloatforAmercias">#REF!</definedName>
    <definedName name="EndFloatforEurope">#REF!</definedName>
    <definedName name="EndFloatforSingapore">#REF!</definedName>
    <definedName name="Environment">#REF!</definedName>
    <definedName name="Existing_DC">#REF!</definedName>
    <definedName name="fiske_data">#REF!</definedName>
    <definedName name="FS">#REF!</definedName>
    <definedName name="FWrule1">#REF!</definedName>
    <definedName name="FWRules">#REF!</definedName>
    <definedName name="HAHeartBeat">#REF!</definedName>
    <definedName name="HostRTIP">#REF!</definedName>
    <definedName name="HW">#REF!</definedName>
    <definedName name="i">OFFSET(#REF!,0,0,COUNTA(#REF!),1)</definedName>
    <definedName name="IBM">#REF!</definedName>
    <definedName name="IBMECCRules">#REF!</definedName>
    <definedName name="IBMMgt">#REF!</definedName>
    <definedName name="IBMToolCategory">#REF!</definedName>
    <definedName name="IC">#REF!</definedName>
    <definedName name="iCheck_in">#REF!</definedName>
    <definedName name="id_data">#REF!</definedName>
    <definedName name="ID_dates">#REF!</definedName>
    <definedName name="info">#REF!</definedName>
    <definedName name="info1">#REF!</definedName>
    <definedName name="jan_data">#REF!</definedName>
    <definedName name="jhgj">OFFSET(#REF!,0,0,COUNTA(#REF!),1)</definedName>
    <definedName name="L_Applications">OFFSET(#REF!,0,0,COUNTA(#REF!),1)</definedName>
    <definedName name="Likelihood">#REF!</definedName>
    <definedName name="list_Applications_0" localSheetId="7">#REF!</definedName>
    <definedName name="list_Applications_0" localSheetId="20">#REF!</definedName>
    <definedName name="list_Applications_0">#REF!</definedName>
    <definedName name="list_Applications_2" localSheetId="7">#REF!</definedName>
    <definedName name="list_Applications_2" localSheetId="20">#REF!</definedName>
    <definedName name="list_Applications_2">#REF!</definedName>
    <definedName name="list_Databases_0" localSheetId="7">#REF!</definedName>
    <definedName name="list_Databases_0" localSheetId="20">#REF!</definedName>
    <definedName name="list_Databases_0">#REF!</definedName>
    <definedName name="list_Databases_2" localSheetId="7">#REF!</definedName>
    <definedName name="list_Databases_2" localSheetId="20">#REF!</definedName>
    <definedName name="list_Databases_2">#REF!</definedName>
    <definedName name="list_Dependencies_3" localSheetId="7">#REF!</definedName>
    <definedName name="list_Dependencies_3" localSheetId="20">#REF!</definedName>
    <definedName name="list_Dependencies_3">#REF!</definedName>
    <definedName name="list_Dependencies_4" localSheetId="7">#REF!</definedName>
    <definedName name="list_Dependencies_4" localSheetId="20">#REF!</definedName>
    <definedName name="list_Dependencies_4">#REF!</definedName>
    <definedName name="list_Devices_0" localSheetId="7">#REF!</definedName>
    <definedName name="list_Devices_0" localSheetId="20">#REF!</definedName>
    <definedName name="list_Devices_0" localSheetId="3">#REF!</definedName>
    <definedName name="list_Devices_0">#REF!</definedName>
    <definedName name="list_Devices_1" localSheetId="7">#REF!</definedName>
    <definedName name="list_Devices_1" localSheetId="20">#REF!</definedName>
    <definedName name="list_Devices_1">#REF!</definedName>
    <definedName name="list_Devices_2" localSheetId="7">#REF!</definedName>
    <definedName name="list_Devices_2" localSheetId="20">#REF!</definedName>
    <definedName name="list_Devices_2">#REF!</definedName>
    <definedName name="list_Storage_0" localSheetId="7">#REF!</definedName>
    <definedName name="list_Storage_0" localSheetId="20">#REF!</definedName>
    <definedName name="list_Storage_0">#REF!</definedName>
    <definedName name="list_Storage_2" localSheetId="7">#REF!</definedName>
    <definedName name="list_Storage_2" localSheetId="20">#REF!</definedName>
    <definedName name="list_Storage_2">#REF!</definedName>
    <definedName name="LoadBalancingRequired">#REF!</definedName>
    <definedName name="mgmt_conf_call_number">#REF!</definedName>
    <definedName name="mgmt_conf_call_participant_code">#REF!</definedName>
    <definedName name="MICR">#REF!</definedName>
    <definedName name="Migration">#REF!</definedName>
    <definedName name="MigrationEventCode" localSheetId="7">#REF!</definedName>
    <definedName name="MigrationEventCode" localSheetId="20">[1]TMWorkbook!$B$2</definedName>
    <definedName name="MigrationEventCode" localSheetId="2">#REF!</definedName>
    <definedName name="MigrationEventCode">TMWorkbook!$B$2</definedName>
    <definedName name="mike_data">#REF!</definedName>
    <definedName name="MockEnd">#REF!</definedName>
    <definedName name="models">#REF!</definedName>
    <definedName name="New_DC">#REF!</definedName>
    <definedName name="NI">#REF!</definedName>
    <definedName name="OLE_LINK3">#REF!</definedName>
    <definedName name="options">#REF!</definedName>
    <definedName name="OS">#REF!</definedName>
    <definedName name="OSIType">#REF!</definedName>
    <definedName name="PADSMRTNumber">#REF!</definedName>
    <definedName name="PAlarm">#REF!</definedName>
    <definedName name="PATM">#REF!</definedName>
    <definedName name="Personnel">#REF!</definedName>
    <definedName name="PhysicalDC">#REF!</definedName>
    <definedName name="PickList">#REF!</definedName>
    <definedName name="Platform">#REF!</definedName>
    <definedName name="prd_bkp_svm_cluster">#REF!</definedName>
    <definedName name="prd_bkp_svm_name">#REF!</definedName>
    <definedName name="prd_bkp_svm_policy">#REF!</definedName>
    <definedName name="prd_bkp_svm_sched1">#REF!</definedName>
    <definedName name="prd_svm_cluster">#REF!</definedName>
    <definedName name="prd_svm_name">#REF!</definedName>
    <definedName name="prd_vfiler_ip">#REF!</definedName>
    <definedName name="prd_vfiler_name">#REF!</definedName>
    <definedName name="prd_vfiler_port">#REF!</definedName>
    <definedName name="prd_vfiler_temp_cifs_server">#REF!</definedName>
    <definedName name="PRDDRGroup">#REF!</definedName>
    <definedName name="project_id">TMWorkbook!$B$5</definedName>
    <definedName name="Project_name">#REF!</definedName>
    <definedName name="Project_type">#REF!</definedName>
    <definedName name="QA_conf_call_number">#REF!</definedName>
    <definedName name="QA_conf_call_participant_code">#REF!</definedName>
    <definedName name="recorded_status_conf_call_number">#REF!</definedName>
    <definedName name="recorded_status_conf_call_participant_code">#REF!</definedName>
    <definedName name="Relo">#REF!</definedName>
    <definedName name="Remodel">#REF!</definedName>
    <definedName name="ReqCustomer">#REF!</definedName>
    <definedName name="ReqName">#REF!</definedName>
    <definedName name="RequestType">#REF!</definedName>
    <definedName name="ResourceName">#REF!</definedName>
    <definedName name="Risk_Approaches">#REF!</definedName>
    <definedName name="rng_Expenses20">#REF!</definedName>
    <definedName name="RPParentName">#REF!</definedName>
    <definedName name="SecurityZone">#REF!</definedName>
    <definedName name="ServiceTier">#REF!</definedName>
    <definedName name="ServiceTierGMCVFrequency">#REF!</definedName>
    <definedName name="Severity">#REF!</definedName>
    <definedName name="SLA">#REF!</definedName>
    <definedName name="SMT">#REF!</definedName>
    <definedName name="SSDCVLANFunction">#REF!</definedName>
    <definedName name="StartClientTestAmericas">#REF!</definedName>
    <definedName name="Status">#REF!</definedName>
    <definedName name="StatusList">#REF!</definedName>
    <definedName name="stt">#REF!</definedName>
    <definedName name="svc">#REF!</definedName>
    <definedName name="SVCClusterkey">#REF!</definedName>
    <definedName name="t">#REF!</definedName>
    <definedName name="Target__PIFormat">#REF!</definedName>
    <definedName name="tblZoneIPLookup">#REF!</definedName>
    <definedName name="TCD">#REF!</definedName>
    <definedName name="tech_conf_call_number">#REF!</definedName>
    <definedName name="tech_conf_call_participant_code">#REF!</definedName>
    <definedName name="TechnologyRisks">#REF!</definedName>
    <definedName name="The_following_is_the_recommended_audience_for_the_Migration_Run_Book">#REF!</definedName>
    <definedName name="tito">#REF!</definedName>
    <definedName name="TMoct22">#REF!</definedName>
    <definedName name="tmpPassword">TransitionManager!$B$4</definedName>
    <definedName name="tmpToken">TransitionManager!$B$5</definedName>
    <definedName name="Transitioned">#REF!</definedName>
    <definedName name="TTN">#REF!</definedName>
    <definedName name="TTW">#REF!</definedName>
    <definedName name="TypeList">#REF!</definedName>
    <definedName name="U75R">#REF!</definedName>
    <definedName name="U75T">#REF!</definedName>
    <definedName name="UAT_conf_call_number">#REF!</definedName>
    <definedName name="UAT_conf_call_participant_code">#REF!</definedName>
    <definedName name="unm_cc">#REF!</definedName>
    <definedName name="unnamed1">#REF!</definedName>
    <definedName name="unnamed1_1">#REF!</definedName>
    <definedName name="unnamed1_2">#REF!</definedName>
    <definedName name="unnamed1_3">#REF!</definedName>
    <definedName name="UPS">#REF!</definedName>
    <definedName name="V2V_S6">#REF!</definedName>
    <definedName name="Veri">#REF!</definedName>
    <definedName name="ViewList">#REF!</definedName>
    <definedName name="VM_Clusters">#REF!</definedName>
    <definedName name="VMLicencePool">#REF!</definedName>
    <definedName name="WCOM">#REF!</definedName>
    <definedName name="weeks">#REF!</definedName>
    <definedName name="WMFS">#REF!</definedName>
    <definedName name="WRP">#REF!</definedName>
    <definedName name="wrzsdtgxfhc">#REF!</definedName>
    <definedName name="WTF">#REF!</definedName>
    <definedName name="xref_data">#REF!</definedName>
    <definedName name="XReferences">#REF!</definedName>
  </definedNames>
  <calcPr calcId="191028"/>
  <pivotCaches>
    <pivotCache cacheId="11" r:id="rId23"/>
    <pivotCache cacheId="18"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42" l="1"/>
  <c r="D11" i="25" l="1"/>
  <c r="P2" i="40"/>
  <c r="B2" i="54" l="1"/>
  <c r="C2" i="54"/>
  <c r="D2" i="54"/>
  <c r="E2" i="54"/>
  <c r="F2" i="54"/>
  <c r="G2" i="54"/>
  <c r="H2" i="54"/>
  <c r="I2" i="54"/>
  <c r="J2" i="54"/>
  <c r="K2" i="54"/>
  <c r="L2" i="54"/>
  <c r="M2" i="54"/>
  <c r="O2" i="54"/>
  <c r="P2" i="54"/>
  <c r="Q2" i="54"/>
  <c r="R2" i="54"/>
  <c r="S2" i="54"/>
  <c r="B2" i="48" l="1"/>
  <c r="D2" i="48"/>
  <c r="E2" i="48" s="1"/>
  <c r="I2" i="48"/>
  <c r="R2" i="48" s="1"/>
  <c r="D6" i="42"/>
  <c r="C2" i="52"/>
  <c r="D2" i="52"/>
  <c r="P2" i="52"/>
  <c r="B2" i="52" s="1"/>
  <c r="C2" i="40"/>
  <c r="F2" i="40"/>
  <c r="K2" i="40" s="1"/>
  <c r="AB2" i="48" l="1"/>
  <c r="Y2" i="48"/>
  <c r="Z2" i="48" s="1"/>
  <c r="U2" i="48"/>
  <c r="T2" i="48"/>
  <c r="Q2" i="48"/>
  <c r="K2" i="52" s="1"/>
  <c r="L2" i="48"/>
  <c r="G2" i="48"/>
  <c r="F2" i="48"/>
  <c r="P2" i="48"/>
  <c r="AE2" i="48"/>
  <c r="O2" i="48"/>
  <c r="J2" i="52" s="1"/>
  <c r="K2" i="48"/>
  <c r="H2" i="52" s="1"/>
  <c r="J2" i="48"/>
  <c r="H2" i="48"/>
  <c r="S2" i="48"/>
  <c r="E2" i="52"/>
  <c r="F2" i="52"/>
  <c r="M2" i="52"/>
  <c r="L2" i="52"/>
  <c r="I2" i="52"/>
  <c r="T2" i="52"/>
  <c r="Q2" i="52"/>
  <c r="S2" i="52"/>
  <c r="G2" i="52"/>
  <c r="U2" i="52"/>
  <c r="R2" i="52"/>
  <c r="N2" i="52"/>
  <c r="E3" i="25"/>
  <c r="I2" i="40"/>
  <c r="V2" i="40"/>
  <c r="U2" i="40"/>
  <c r="T2" i="40"/>
  <c r="S2" i="40"/>
  <c r="J2" i="40"/>
  <c r="H2" i="40"/>
  <c r="R2" i="40"/>
  <c r="Q2" i="40"/>
  <c r="O2" i="40"/>
  <c r="N2" i="40"/>
  <c r="Y2" i="40"/>
  <c r="M2" i="40"/>
  <c r="I3" i="25" s="1"/>
  <c r="X2" i="40"/>
  <c r="L2" i="40"/>
  <c r="W2" i="40"/>
  <c r="I2" i="42"/>
  <c r="N2" i="42"/>
  <c r="O2" i="42"/>
  <c r="P2" i="42"/>
  <c r="Q2" i="42"/>
  <c r="R2" i="42"/>
  <c r="S2" i="42"/>
  <c r="T2" i="42"/>
  <c r="U2" i="42"/>
  <c r="X2" i="42"/>
  <c r="D2" i="40"/>
  <c r="Y3" i="25" l="1"/>
  <c r="W3" i="25"/>
  <c r="X3" i="25"/>
  <c r="O3" i="25"/>
  <c r="T3" i="25"/>
  <c r="J3" i="25"/>
  <c r="C3" i="25"/>
  <c r="R3" i="25"/>
  <c r="G3" i="25"/>
  <c r="L3" i="25"/>
  <c r="K3" i="25"/>
  <c r="P3" i="25"/>
  <c r="D3" i="25"/>
  <c r="H3" i="25"/>
  <c r="S3" i="25"/>
  <c r="B3" i="25"/>
  <c r="Q3" i="25"/>
  <c r="A2" i="48"/>
  <c r="E2" i="40"/>
  <c r="X2" i="48"/>
  <c r="AA2" i="48"/>
  <c r="U3" i="25" l="1"/>
  <c r="V3" i="25" s="1"/>
  <c r="F3" i="25"/>
  <c r="M3" i="25"/>
  <c r="N3" i="25" s="1"/>
  <c r="O2" i="52" l="1"/>
  <c r="A13" i="25" l="1" a="1"/>
  <c r="A13" i="25" s="1"/>
  <c r="I15" i="25" l="1"/>
  <c r="I14" i="25"/>
  <c r="B9" i="43"/>
  <c r="M2" i="53" l="1"/>
  <c r="K2" i="53" l="1"/>
  <c r="D2" i="53" l="1"/>
  <c r="C2" i="51"/>
  <c r="Q2" i="53" l="1"/>
  <c r="P2" i="53"/>
  <c r="O2" i="53"/>
  <c r="J2" i="53"/>
  <c r="I2" i="53"/>
  <c r="H2" i="53"/>
  <c r="F2" i="53"/>
  <c r="E2" i="53"/>
  <c r="C2" i="53"/>
  <c r="I2" i="51" l="1"/>
  <c r="F2" i="51"/>
  <c r="E2" i="51" l="1"/>
  <c r="B2" i="51"/>
  <c r="I13" i="25" l="1"/>
  <c r="I12" i="25"/>
  <c r="B3" i="32" l="1"/>
  <c r="I10" i="25" l="1"/>
  <c r="I11" i="25"/>
  <c r="I9" i="25"/>
  <c r="B11" i="25" l="1"/>
  <c r="D9" i="25" l="1"/>
  <c r="D8" i="25"/>
  <c r="D7" i="25"/>
  <c r="F8" i="25" l="1"/>
  <c r="B10" i="25"/>
  <c r="B9" i="25"/>
  <c r="B8" i="25" a="1"/>
  <c r="B8" i="25" s="1"/>
  <c r="I8" i="25"/>
  <c r="I16" i="25" l="1"/>
  <c r="J15" i="25" l="1"/>
  <c r="A12" i="25" a="1"/>
  <c r="A12" i="25" s="1"/>
  <c r="J14" i="25"/>
  <c r="J12" i="25"/>
  <c r="J13" i="25"/>
  <c r="J9" i="25"/>
  <c r="J10" i="25"/>
  <c r="J11" i="25"/>
  <c r="J8" i="25"/>
  <c r="J16" i="25" l="1"/>
  <c r="Y5" i="25"/>
  <c r="X5" i="25"/>
  <c r="W5" i="25"/>
  <c r="Q5" i="25"/>
  <c r="T5" i="25"/>
  <c r="S5" i="25"/>
  <c r="R5" i="25"/>
  <c r="P5" i="25"/>
  <c r="O5" i="25"/>
  <c r="I5" i="25"/>
  <c r="L5" i="25"/>
  <c r="K5" i="25"/>
  <c r="J5" i="25"/>
  <c r="H5" i="25"/>
  <c r="G5" i="25"/>
  <c r="A5" i="25"/>
  <c r="E5" i="25"/>
  <c r="D5" i="25"/>
  <c r="C5" i="25"/>
  <c r="B5" i="25"/>
  <c r="A1" i="25"/>
  <c r="B7" i="32"/>
  <c r="B6" i="32"/>
  <c r="B5" i="32"/>
  <c r="B7" i="25" l="1"/>
  <c r="B5" i="45"/>
  <c r="M5" i="25"/>
  <c r="N5" i="25" s="1"/>
  <c r="F5" i="25"/>
  <c r="F7" i="25" s="1"/>
  <c r="U5" i="25"/>
  <c r="V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FDD195C5-911A-4C11-9794-3CA5DB9887DB}">
      <text>
        <r>
          <rPr>
            <b/>
            <sz val="9"/>
            <color indexed="81"/>
            <rFont val="Tahoma"/>
            <family val="2"/>
          </rPr>
          <t>Id</t>
        </r>
        <r>
          <rPr>
            <sz val="9"/>
            <color indexed="81"/>
            <rFont val="Tahoma"/>
            <family val="2"/>
          </rPr>
          <t xml:space="preserve">
</t>
        </r>
      </text>
    </comment>
    <comment ref="B1" authorId="0" shapeId="0" xr:uid="{3B7FDE3B-A8D5-4BCA-80A3-A73988A323C8}">
      <text>
        <r>
          <rPr>
            <b/>
            <sz val="9"/>
            <color indexed="81"/>
            <rFont val="Tahoma"/>
            <family val="2"/>
          </rPr>
          <t>Name</t>
        </r>
        <r>
          <rPr>
            <sz val="9"/>
            <color indexed="81"/>
            <rFont val="Tahoma"/>
            <family val="2"/>
          </rPr>
          <t xml:space="preserve">
</t>
        </r>
      </text>
    </comment>
    <comment ref="C1" authorId="0" shapeId="0" xr:uid="{B7974537-6A46-4E2C-9E50-9D7478C9A38A}">
      <text>
        <r>
          <rPr>
            <b/>
            <sz val="9"/>
            <color indexed="81"/>
            <rFont val="Tahoma"/>
            <family val="2"/>
          </rPr>
          <t>Bundle</t>
        </r>
        <r>
          <rPr>
            <sz val="9"/>
            <color indexed="81"/>
            <rFont val="Tahoma"/>
            <family val="2"/>
          </rPr>
          <t xml:space="preserve">
</t>
        </r>
      </text>
    </comment>
    <comment ref="D1" authorId="0" shapeId="0" xr:uid="{7D0D1D0A-A0D5-4593-B111-1364F5EA0540}">
      <text>
        <r>
          <rPr>
            <b/>
            <sz val="9"/>
            <color indexed="81"/>
            <rFont val="Tahoma"/>
            <family val="2"/>
          </rPr>
          <t>Device Type</t>
        </r>
        <r>
          <rPr>
            <sz val="9"/>
            <color indexed="81"/>
            <rFont val="Tahoma"/>
            <family val="2"/>
          </rPr>
          <t xml:space="preserve">
</t>
        </r>
      </text>
    </comment>
    <comment ref="E1" authorId="0" shapeId="0" xr:uid="{90E2072A-FB5E-404B-BA04-1C435AAA1C26}">
      <text>
        <r>
          <rPr>
            <b/>
            <sz val="9"/>
            <color indexed="81"/>
            <rFont val="Tahoma"/>
            <family val="2"/>
          </rPr>
          <t>Environment</t>
        </r>
        <r>
          <rPr>
            <sz val="9"/>
            <color indexed="81"/>
            <rFont val="Tahoma"/>
            <family val="2"/>
          </rPr>
          <t xml:space="preserve">
</t>
        </r>
      </text>
    </comment>
    <comment ref="F1" authorId="0" shapeId="0" xr:uid="{B49EC8A1-C59C-4099-B076-D8AB8DCBA474}">
      <text>
        <r>
          <rPr>
            <b/>
            <sz val="9"/>
            <color indexed="81"/>
            <rFont val="Tahoma"/>
            <family val="2"/>
          </rPr>
          <t>OS</t>
        </r>
        <r>
          <rPr>
            <sz val="9"/>
            <color indexed="81"/>
            <rFont val="Tahoma"/>
            <family val="2"/>
          </rPr>
          <t xml:space="preserve">
</t>
        </r>
      </text>
    </comment>
    <comment ref="G1" authorId="0" shapeId="0" xr:uid="{AB2C4727-FAAA-4CC3-9539-572F37D6BFD5}">
      <text>
        <r>
          <rPr>
            <b/>
            <sz val="9"/>
            <color indexed="81"/>
            <rFont val="Tahoma"/>
            <family val="2"/>
          </rPr>
          <t>OS Version</t>
        </r>
        <r>
          <rPr>
            <sz val="9"/>
            <color indexed="81"/>
            <rFont val="Tahoma"/>
            <family val="2"/>
          </rPr>
          <t xml:space="preserve">
</t>
        </r>
      </text>
    </comment>
    <comment ref="H1" authorId="0" shapeId="0" xr:uid="{6FE44272-C7AD-4997-AD11-00D67B679631}">
      <text>
        <r>
          <rPr>
            <b/>
            <sz val="9"/>
            <color indexed="81"/>
            <rFont val="Tahoma"/>
            <family val="2"/>
          </rPr>
          <t>Manufacturer</t>
        </r>
      </text>
    </comment>
    <comment ref="I1" authorId="0" shapeId="0" xr:uid="{87424069-D7FD-499C-B011-8C25E2B4B38E}">
      <text>
        <r>
          <rPr>
            <b/>
            <sz val="9"/>
            <color indexed="81"/>
            <rFont val="Tahoma"/>
            <family val="2"/>
          </rPr>
          <t>Model</t>
        </r>
        <r>
          <rPr>
            <sz val="9"/>
            <color indexed="81"/>
            <rFont val="Tahoma"/>
            <family val="2"/>
          </rPr>
          <t xml:space="preserve">
</t>
        </r>
      </text>
    </comment>
    <comment ref="J1" authorId="0" shapeId="0" xr:uid="{6B3436C1-D9DB-4515-A618-1810A6C98BF9}">
      <text>
        <r>
          <rPr>
            <b/>
            <sz val="9"/>
            <color indexed="81"/>
            <rFont val="Tahoma"/>
            <family val="2"/>
          </rPr>
          <t>IP Address</t>
        </r>
        <r>
          <rPr>
            <sz val="9"/>
            <color indexed="81"/>
            <rFont val="Tahoma"/>
            <family val="2"/>
          </rPr>
          <t xml:space="preserve">
</t>
        </r>
      </text>
    </comment>
    <comment ref="K1" authorId="0" shapeId="0" xr:uid="{52283A13-D033-4458-ADDC-C892EDF1760D}">
      <text>
        <r>
          <rPr>
            <b/>
            <sz val="9"/>
            <color indexed="81"/>
            <rFont val="Tahoma"/>
            <family val="2"/>
          </rPr>
          <t>Alternate Name</t>
        </r>
        <r>
          <rPr>
            <sz val="9"/>
            <color indexed="81"/>
            <rFont val="Tahoma"/>
            <family val="2"/>
          </rPr>
          <t xml:space="preserve">
</t>
        </r>
      </text>
    </comment>
    <comment ref="L1" authorId="0" shapeId="0" xr:uid="{BEB1B84B-C1D3-4692-B564-DFFB5F154CF3}">
      <text>
        <r>
          <rPr>
            <b/>
            <sz val="9"/>
            <color indexed="81"/>
            <rFont val="Tahoma"/>
            <family val="2"/>
          </rPr>
          <t>Clustered</t>
        </r>
      </text>
    </comment>
    <comment ref="M1" authorId="0" shapeId="0" xr:uid="{AECE44C1-D94B-4FD2-844C-7208F9D22E38}">
      <text>
        <r>
          <rPr>
            <b/>
            <sz val="9"/>
            <color indexed="81"/>
            <rFont val="Tahoma"/>
            <family val="2"/>
          </rPr>
          <t>DB Type</t>
        </r>
      </text>
    </comment>
    <comment ref="N1" authorId="0" shapeId="0" xr:uid="{76620F78-E71D-41CD-A05B-6F979CF016F5}">
      <text>
        <r>
          <rPr>
            <b/>
            <sz val="9"/>
            <color indexed="81"/>
            <rFont val="Tahoma"/>
            <family val="2"/>
          </rPr>
          <t>DMZ</t>
        </r>
        <r>
          <rPr>
            <sz val="9"/>
            <color indexed="81"/>
            <rFont val="Tahoma"/>
            <family val="2"/>
          </rPr>
          <t xml:space="preserve">
</t>
        </r>
      </text>
    </comment>
    <comment ref="O1" authorId="0" shapeId="0" xr:uid="{C9ED48E4-ABD4-48D8-9499-DF4DE1BD2DBE}">
      <text>
        <r>
          <rPr>
            <b/>
            <sz val="9"/>
            <color indexed="81"/>
            <rFont val="Tahoma"/>
            <family val="2"/>
          </rPr>
          <t>F5 load balancer</t>
        </r>
      </text>
    </comment>
    <comment ref="P1" authorId="0" shapeId="0" xr:uid="{84A0CDB4-43A1-4DAB-A53E-EF12D09FD56C}">
      <text>
        <r>
          <rPr>
            <b/>
            <sz val="9"/>
            <color indexed="81"/>
            <rFont val="Tahoma"/>
            <family val="2"/>
          </rPr>
          <t>Segmentation Zone</t>
        </r>
      </text>
    </comment>
    <comment ref="Q1" authorId="0" shapeId="0" xr:uid="{EED9EB4E-61D5-43CC-8865-FB2C7E37DE3A}">
      <text>
        <r>
          <rPr>
            <b/>
            <sz val="9"/>
            <color indexed="81"/>
            <rFont val="Tahoma"/>
            <family val="2"/>
          </rPr>
          <t>Server Role</t>
        </r>
      </text>
    </comment>
    <comment ref="R1" authorId="0" shapeId="0" xr:uid="{85B14665-765B-4737-9513-C9B9A68CDCB4}">
      <text>
        <r>
          <rPr>
            <b/>
            <sz val="9"/>
            <color indexed="81"/>
            <rFont val="Tahoma"/>
            <family val="2"/>
          </rPr>
          <t>Memory GB</t>
        </r>
        <r>
          <rPr>
            <sz val="9"/>
            <color indexed="81"/>
            <rFont val="Tahoma"/>
            <family val="2"/>
          </rPr>
          <t xml:space="preserve">
</t>
        </r>
      </text>
    </comment>
    <comment ref="S1" authorId="0" shapeId="0" xr:uid="{F23331C8-6912-44A5-8AF6-E883B3F93B49}">
      <text>
        <r>
          <rPr>
            <b/>
            <sz val="9"/>
            <color indexed="81"/>
            <rFont val="Tahoma"/>
            <family val="2"/>
          </rPr>
          <t>Processor - Core Count</t>
        </r>
      </text>
    </comment>
    <comment ref="T1" authorId="0" shapeId="0" xr:uid="{E342EB5B-6644-4643-BD29-8ED258B15297}">
      <text>
        <r>
          <rPr>
            <b/>
            <sz val="9"/>
            <color indexed="81"/>
            <rFont val="Tahoma"/>
            <family val="2"/>
          </rPr>
          <t>Total Storage GB</t>
        </r>
      </text>
    </comment>
    <comment ref="U1" authorId="0" shapeId="0" xr:uid="{753160F6-B829-4EAD-A173-DB57E2F4BDEF}">
      <text>
        <r>
          <rPr>
            <b/>
            <sz val="9"/>
            <color indexed="81"/>
            <rFont val="Tahoma"/>
            <family val="2"/>
          </rPr>
          <t>P2P-P2V Assessment results</t>
        </r>
      </text>
    </comment>
    <comment ref="V1" authorId="0" shapeId="0" xr:uid="{3F9B7FB7-6AB4-46C9-A6D8-B3EBF4910035}">
      <text>
        <r>
          <rPr>
            <b/>
            <sz val="9"/>
            <color indexed="81"/>
            <rFont val="Tahoma"/>
            <family val="2"/>
          </rPr>
          <t>Storage Array</t>
        </r>
      </text>
    </comment>
    <comment ref="W1" authorId="0" shapeId="0" xr:uid="{E718BE44-AD01-4B18-90B2-8D2ADE165AE2}">
      <text>
        <r>
          <rPr>
            <b/>
            <sz val="9"/>
            <color indexed="81"/>
            <rFont val="Tahoma"/>
            <family val="2"/>
          </rPr>
          <t>Size</t>
        </r>
      </text>
    </comment>
    <comment ref="X1" authorId="0" shapeId="0" xr:uid="{03DB9268-046E-4A4F-B4A0-D5BB80B6E3B4}">
      <text>
        <r>
          <rPr>
            <b/>
            <sz val="9"/>
            <color indexed="81"/>
            <rFont val="Tahoma"/>
            <family val="2"/>
          </rPr>
          <t>LUN</t>
        </r>
        <r>
          <rPr>
            <sz val="9"/>
            <color indexed="81"/>
            <rFont val="Tahoma"/>
            <family val="2"/>
          </rPr>
          <t xml:space="preserve">
</t>
        </r>
      </text>
    </comment>
    <comment ref="Y1" authorId="0" shapeId="0" xr:uid="{06FD5D6F-35F9-4FE0-AAB2-7C87113C2251}">
      <text>
        <r>
          <rPr>
            <b/>
            <sz val="9"/>
            <color indexed="81"/>
            <rFont val="Tahoma"/>
            <family val="2"/>
          </rPr>
          <t>Discovery Status</t>
        </r>
        <r>
          <rPr>
            <sz val="9"/>
            <color indexed="81"/>
            <rFont val="Tahoma"/>
            <family val="2"/>
          </rPr>
          <t xml:space="preserve">
</t>
        </r>
      </text>
    </comment>
    <comment ref="Z1" authorId="0" shapeId="0" xr:uid="{9B6B3AC9-339A-4DDA-BEA2-D8196C4754B2}">
      <text>
        <r>
          <rPr>
            <b/>
            <sz val="9"/>
            <color indexed="81"/>
            <rFont val="Tahoma"/>
            <family val="2"/>
          </rPr>
          <t>dr_protected</t>
        </r>
      </text>
    </comment>
    <comment ref="AA1" authorId="0" shapeId="0" xr:uid="{88524B11-9B04-4C91-A6FF-4BD74D3D050C}">
      <text>
        <r>
          <rPr>
            <b/>
            <sz val="9"/>
            <color indexed="81"/>
            <rFont val="Tahoma"/>
            <family val="2"/>
          </rPr>
          <t>dr_replica_ip</t>
        </r>
      </text>
    </comment>
    <comment ref="AB1" authorId="0" shapeId="0" xr:uid="{065AD001-B850-4974-962E-9E7C6D27EFB0}">
      <text>
        <r>
          <rPr>
            <b/>
            <sz val="9"/>
            <color indexed="81"/>
            <rFont val="Tahoma"/>
            <family val="2"/>
          </rPr>
          <t>dr_replication_method</t>
        </r>
      </text>
    </comment>
    <comment ref="AC1" authorId="0" shapeId="0" xr:uid="{AC9D6C82-84D6-44B9-B05D-8C067CA31B8A}">
      <text>
        <r>
          <rPr>
            <b/>
            <sz val="9"/>
            <color indexed="81"/>
            <rFont val="Tahoma"/>
            <family val="2"/>
          </rPr>
          <t>dr_tier</t>
        </r>
      </text>
    </comment>
    <comment ref="AD1" authorId="0" shapeId="0" xr:uid="{A44D915F-C208-42B9-9B8F-7DF8B2D34058}">
      <text>
        <r>
          <rPr>
            <b/>
            <sz val="9"/>
            <color indexed="81"/>
            <rFont val="Tahoma"/>
            <family val="2"/>
          </rPr>
          <t>DR Replication Status</t>
        </r>
      </text>
    </comment>
    <comment ref="AE1" authorId="0" shapeId="0" xr:uid="{29285004-3444-4120-99AD-E0B8AA151C9D}">
      <text>
        <r>
          <rPr>
            <b/>
            <sz val="9"/>
            <color indexed="81"/>
            <rFont val="Tahoma"/>
            <family val="2"/>
          </rPr>
          <t>DR_KSG</t>
        </r>
      </text>
    </comment>
    <comment ref="AF1" authorId="0" shapeId="0" xr:uid="{607A08D2-43DF-40A7-98CC-1BE0309AE8F6}">
      <text>
        <r>
          <rPr>
            <b/>
            <sz val="9"/>
            <color indexed="81"/>
            <rFont val="Tahoma"/>
            <family val="2"/>
          </rPr>
          <t>Target IP Address</t>
        </r>
      </text>
    </comment>
    <comment ref="AG1" authorId="0" shapeId="0" xr:uid="{21DF5906-9D79-4E9E-B1C3-8A797F571C70}">
      <text>
        <r>
          <rPr>
            <b/>
            <sz val="9"/>
            <color indexed="81"/>
            <rFont val="Tahoma"/>
            <family val="2"/>
          </rPr>
          <t>Target Subnet</t>
        </r>
      </text>
    </comment>
    <comment ref="AH1" authorId="0" shapeId="0" xr:uid="{1575CDAB-8FE7-4BE6-BB82-3FADC2461B7F}">
      <text>
        <r>
          <rPr>
            <b/>
            <sz val="9"/>
            <color indexed="81"/>
            <rFont val="Tahoma"/>
            <family val="2"/>
          </rPr>
          <t>Target Default Gateway</t>
        </r>
      </text>
    </comment>
    <comment ref="AI1" authorId="1" shapeId="0" xr:uid="{E2030CF9-939D-4ED9-B00E-4F77C006544E}">
      <text>
        <r>
          <rPr>
            <b/>
            <sz val="9"/>
            <color indexed="81"/>
            <rFont val="Tahoma"/>
            <family val="2"/>
          </rPr>
          <t>Processor - Core Count</t>
        </r>
        <r>
          <rPr>
            <sz val="9"/>
            <color indexed="81"/>
            <rFont val="Tahoma"/>
            <family val="2"/>
          </rPr>
          <t xml:space="preserve">
</t>
        </r>
      </text>
    </comment>
    <comment ref="AJ1" authorId="1" shapeId="0" xr:uid="{EA48B3CF-E084-4A03-B3EE-868B5F0E3DF4}">
      <text>
        <r>
          <rPr>
            <b/>
            <sz val="9"/>
            <color indexed="81"/>
            <rFont val="Tahoma"/>
            <family val="2"/>
          </rPr>
          <t>P2P-P2V Assessment Comment</t>
        </r>
      </text>
    </comment>
    <comment ref="AK1" authorId="1" shapeId="0" xr:uid="{3CB1BFAF-2D55-411A-97B2-AA2183947E6A}">
      <text>
        <r>
          <rPr>
            <b/>
            <sz val="9"/>
            <color indexed="81"/>
            <rFont val="Tahoma"/>
            <family val="2"/>
          </rPr>
          <t xml:space="preserve">Plan Status
</t>
        </r>
        <r>
          <rPr>
            <sz val="9"/>
            <color indexed="81"/>
            <rFont val="Tahoma"/>
            <family val="2"/>
          </rPr>
          <t xml:space="preserve">
</t>
        </r>
      </text>
    </comment>
    <comment ref="AL1" authorId="1" shapeId="0" xr:uid="{8824E214-7074-4182-935E-FE22CD5FC078}">
      <text>
        <r>
          <rPr>
            <b/>
            <sz val="9"/>
            <color indexed="81"/>
            <rFont val="Tahoma"/>
            <family val="2"/>
          </rPr>
          <t>CIStatus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A1" authorId="0" shapeId="0" xr:uid="{EF17271C-E571-465B-9F30-5C0E9DFB7F6E}">
      <text>
        <r>
          <rPr>
            <b/>
            <sz val="9"/>
            <color indexed="81"/>
            <rFont val="Tahoma"/>
            <family val="2"/>
          </rPr>
          <t>Id</t>
        </r>
        <r>
          <rPr>
            <sz val="9"/>
            <color indexed="81"/>
            <rFont val="Tahoma"/>
            <family val="2"/>
          </rPr>
          <t xml:space="preserve">
</t>
        </r>
      </text>
    </comment>
    <comment ref="B1" authorId="0" shapeId="0" xr:uid="{E77F319D-0B61-48DE-B62C-249409D92161}">
      <text>
        <r>
          <rPr>
            <b/>
            <sz val="9"/>
            <color indexed="81"/>
            <rFont val="Tahoma"/>
            <family val="2"/>
          </rPr>
          <t>Name</t>
        </r>
      </text>
    </comment>
    <comment ref="C1" authorId="0" shapeId="0" xr:uid="{D150A9E7-B332-4C99-A257-4F5B58EAD8DE}">
      <text>
        <r>
          <rPr>
            <b/>
            <sz val="9"/>
            <color indexed="81"/>
            <rFont val="Tahoma"/>
            <family val="2"/>
          </rPr>
          <t>Description</t>
        </r>
        <r>
          <rPr>
            <sz val="9"/>
            <color indexed="81"/>
            <rFont val="Tahoma"/>
            <family val="2"/>
          </rPr>
          <t xml:space="preserve">
</t>
        </r>
      </text>
    </comment>
    <comment ref="D1" authorId="0" shapeId="0" xr:uid="{30DA485F-7BAF-43DD-BE78-A36377B96B1E}">
      <text>
        <r>
          <rPr>
            <b/>
            <sz val="9"/>
            <color indexed="81"/>
            <rFont val="Tahoma"/>
            <family val="2"/>
          </rPr>
          <t>Root</t>
        </r>
      </text>
    </comment>
    <comment ref="E1" authorId="0" shapeId="0" xr:uid="{ACDE6FCD-CFC1-4692-8386-47C9B87868EF}">
      <text>
        <r>
          <rPr>
            <b/>
            <sz val="9"/>
            <color indexed="81"/>
            <rFont val="Tahoma"/>
            <family val="2"/>
          </rPr>
          <t>Bundle</t>
        </r>
      </text>
    </comment>
    <comment ref="F1" authorId="0" shapeId="0" xr:uid="{737F5863-8CAD-4CD5-8E0F-3711BD7AE993}">
      <text>
        <r>
          <rPr>
            <b/>
            <sz val="9"/>
            <color indexed="81"/>
            <rFont val="Tahoma"/>
            <family val="2"/>
          </rPr>
          <t>App Owner</t>
        </r>
      </text>
    </comment>
    <comment ref="G1" authorId="0" shapeId="0" xr:uid="{D285D04C-C944-4E41-9BF6-ACA6A7DF4697}">
      <text>
        <r>
          <rPr>
            <b/>
            <sz val="9"/>
            <color indexed="81"/>
            <rFont val="Tahoma"/>
            <family val="2"/>
          </rPr>
          <t>App Owners Email ID</t>
        </r>
      </text>
    </comment>
    <comment ref="H1" authorId="0" shapeId="0" xr:uid="{E374BB98-7B72-48B8-AE65-4C0907FDF74D}">
      <text>
        <r>
          <rPr>
            <b/>
            <sz val="9"/>
            <color indexed="81"/>
            <rFont val="Tahoma"/>
            <family val="2"/>
          </rPr>
          <t>Application Owners Email ID Text</t>
        </r>
        <r>
          <rPr>
            <sz val="9"/>
            <color indexed="81"/>
            <rFont val="Tahoma"/>
            <family val="2"/>
          </rPr>
          <t xml:space="preserve">
</t>
        </r>
      </text>
    </comment>
    <comment ref="I1" authorId="0" shapeId="0" xr:uid="{49DD5A48-C4F5-4AFC-9C0E-340C1CBF1E40}">
      <text>
        <r>
          <rPr>
            <b/>
            <sz val="9"/>
            <color indexed="81"/>
            <rFont val="Tahoma"/>
            <family val="2"/>
          </rPr>
          <t>IT Support Manager</t>
        </r>
      </text>
    </comment>
    <comment ref="J1" authorId="0" shapeId="0" xr:uid="{2A311BB9-6B9E-43F4-BCD1-3BBB1DF92400}">
      <text>
        <r>
          <rPr>
            <b/>
            <sz val="9"/>
            <color indexed="81"/>
            <rFont val="Tahoma"/>
            <family val="2"/>
          </rPr>
          <t>IT Support Manager Email</t>
        </r>
      </text>
    </comment>
    <comment ref="K1" authorId="0" shapeId="0" xr:uid="{845E4952-40B3-4B9E-A92F-AF1786288EA6}">
      <text>
        <r>
          <rPr>
            <b/>
            <sz val="9"/>
            <color indexed="81"/>
            <rFont val="Tahoma"/>
            <family val="2"/>
          </rPr>
          <t>SME Name Text</t>
        </r>
      </text>
    </comment>
    <comment ref="L1" authorId="0" shapeId="0" xr:uid="{4EA534AD-70BB-4080-BBCA-06C0A0D17DE4}">
      <text>
        <r>
          <rPr>
            <b/>
            <sz val="9"/>
            <color indexed="81"/>
            <rFont val="Tahoma"/>
            <family val="2"/>
          </rPr>
          <t>SME1</t>
        </r>
      </text>
    </comment>
    <comment ref="M1" authorId="0" shapeId="0" xr:uid="{44B1D91D-4101-4CE8-88A5-C37D4B9D7CE0}">
      <text>
        <r>
          <rPr>
            <b/>
            <sz val="9"/>
            <color indexed="81"/>
            <rFont val="Tahoma"/>
            <family val="2"/>
          </rPr>
          <t>SME1 Email-ID</t>
        </r>
      </text>
    </comment>
    <comment ref="N1" authorId="0" shapeId="0" xr:uid="{B9D7B997-FFE2-468C-B1DA-4B245F22ADFA}">
      <text>
        <r>
          <rPr>
            <b/>
            <sz val="9"/>
            <color indexed="81"/>
            <rFont val="Tahoma"/>
            <family val="2"/>
          </rPr>
          <t>SME2</t>
        </r>
      </text>
    </comment>
    <comment ref="O1" authorId="0" shapeId="0" xr:uid="{B3BFDBC2-DF14-4BA1-9AE8-08E9BD7A2C5F}">
      <text>
        <r>
          <rPr>
            <b/>
            <sz val="9"/>
            <color indexed="81"/>
            <rFont val="Tahoma"/>
            <family val="2"/>
          </rPr>
          <t>SME2 Email-ID</t>
        </r>
      </text>
    </comment>
    <comment ref="P1" authorId="0" shapeId="0" xr:uid="{879DB417-E4EF-4F1B-9862-47374CD5D97F}">
      <text>
        <r>
          <rPr>
            <b/>
            <sz val="9"/>
            <color indexed="81"/>
            <rFont val="Tahoma"/>
            <family val="2"/>
          </rPr>
          <t>Support Group DL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L1" authorId="0" shapeId="0" xr:uid="{AE1EE13B-8A74-4457-910E-8A64E16DDDF5}">
      <text>
        <r>
          <rPr>
            <sz val="9"/>
            <color indexed="81"/>
            <rFont val="Tahoma"/>
            <family val="2"/>
          </rPr>
          <t xml:space="preserve">Source Physical / VM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J1" authorId="0" shapeId="0" xr:uid="{37132016-A750-40B0-8E76-29F7AF14C43C}">
      <text>
        <r>
          <rPr>
            <sz val="9"/>
            <color indexed="81"/>
            <rFont val="Tahoma"/>
            <family val="2"/>
          </rPr>
          <t xml:space="preserve">Source Physical / VM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s>
  <commentList>
    <comment ref="J1" authorId="0" shapeId="0" xr:uid="{117EE84F-6301-411A-AB91-B78194A8EAD6}">
      <text>
        <r>
          <rPr>
            <sz val="9"/>
            <color indexed="81"/>
            <rFont val="Tahoma"/>
            <family val="2"/>
          </rPr>
          <t xml:space="preserve">Source Physical / VM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<sst xmlns="http://schemas.openxmlformats.org/spreadsheetml/2006/main" count="865" uniqueCount="533">
  <si>
    <t>V1.50</t>
  </si>
  <si>
    <t>Migration event information for:</t>
  </si>
  <si>
    <t>Bundle</t>
  </si>
  <si>
    <t>Project</t>
  </si>
  <si>
    <t>Richmond &amp; Harrisonburg</t>
  </si>
  <si>
    <t>Project ID</t>
  </si>
  <si>
    <t>Application View ID</t>
  </si>
  <si>
    <t>Devices View ID</t>
  </si>
  <si>
    <t>PMs Names</t>
  </si>
  <si>
    <t>PMs email</t>
  </si>
  <si>
    <t xml:space="preserve">NOTES: </t>
  </si>
  <si>
    <t>The macros cannot be executed if the file is opened in a browser</t>
  </si>
  <si>
    <t>The macros use the SharePoint/OneDrive File Explorer link, it should be properly configured</t>
  </si>
  <si>
    <t>The file must have in it's path the folder "09. ADAI Go-Live Cutover Runbooks"</t>
  </si>
  <si>
    <t>This is a template, to prevent unwanted modification, it is necessary to copy the file to another folder and rename it.</t>
  </si>
  <si>
    <t>Devices</t>
  </si>
  <si>
    <t>Operating Systems</t>
  </si>
  <si>
    <t>Database</t>
  </si>
  <si>
    <t>Supported Application</t>
  </si>
  <si>
    <t>AIX-LPAR</t>
  </si>
  <si>
    <t>Linux-VM-Power</t>
  </si>
  <si>
    <t>Server</t>
  </si>
  <si>
    <t>VM</t>
  </si>
  <si>
    <t>Oth-Dev</t>
  </si>
  <si>
    <t>AIX</t>
  </si>
  <si>
    <t>PwrLnx</t>
  </si>
  <si>
    <t>Linux</t>
  </si>
  <si>
    <t>MS Win</t>
  </si>
  <si>
    <t>OSCP</t>
  </si>
  <si>
    <t>RHEL</t>
  </si>
  <si>
    <t>Other-OS</t>
  </si>
  <si>
    <t>TOTAL-OS</t>
  </si>
  <si>
    <t>DB2</t>
  </si>
  <si>
    <t>MDB</t>
  </si>
  <si>
    <t>ORA</t>
  </si>
  <si>
    <t>SQL</t>
  </si>
  <si>
    <t>SYB</t>
  </si>
  <si>
    <t>UDB</t>
  </si>
  <si>
    <t>Other-DB</t>
  </si>
  <si>
    <t>TOTAL-DB</t>
  </si>
  <si>
    <t>No CS</t>
  </si>
  <si>
    <t>DMZ</t>
  </si>
  <si>
    <t>F5/LB</t>
  </si>
  <si>
    <t>Applications</t>
  </si>
  <si>
    <t>Power Linux</t>
  </si>
  <si>
    <t>Days requied to migrate Power Servers</t>
  </si>
  <si>
    <t>P2V</t>
  </si>
  <si>
    <t>Total Svrs</t>
  </si>
  <si>
    <t>CS Status</t>
  </si>
  <si>
    <t>Qty</t>
  </si>
  <si>
    <t>Pct</t>
  </si>
  <si>
    <t>Storage arrays</t>
  </si>
  <si>
    <t>P2P</t>
  </si>
  <si>
    <t>OOS</t>
  </si>
  <si>
    <t>Discovered</t>
  </si>
  <si>
    <t>Storage arrays size GB</t>
  </si>
  <si>
    <t>Pend.</t>
  </si>
  <si>
    <t>Inventoried</t>
  </si>
  <si>
    <t>Storage GB</t>
  </si>
  <si>
    <t>Scanned</t>
  </si>
  <si>
    <t>Total Storage GB</t>
  </si>
  <si>
    <t>Troubleshooting</t>
  </si>
  <si>
    <t>Decommissioned</t>
  </si>
  <si>
    <t>Manual Discovery</t>
  </si>
  <si>
    <t>Out_of_Scope</t>
  </si>
  <si>
    <t>Undiscovered</t>
  </si>
  <si>
    <t>Total</t>
  </si>
  <si>
    <t>No.</t>
  </si>
  <si>
    <t>AssetDependencyId</t>
  </si>
  <si>
    <t>Application</t>
  </si>
  <si>
    <t>App Bundle</t>
  </si>
  <si>
    <t>Server Bundle</t>
  </si>
  <si>
    <t>Hostname</t>
  </si>
  <si>
    <t>Scope</t>
  </si>
  <si>
    <t>Environment</t>
  </si>
  <si>
    <t>Alternate Name</t>
  </si>
  <si>
    <t>Device Type</t>
  </si>
  <si>
    <t>Svr Assess</t>
  </si>
  <si>
    <t>IP Address</t>
  </si>
  <si>
    <t>OS</t>
  </si>
  <si>
    <t>Server Role</t>
  </si>
  <si>
    <t>Source Location</t>
  </si>
  <si>
    <t>Target Location</t>
  </si>
  <si>
    <t>Target IP Address</t>
  </si>
  <si>
    <t>Target Subnet Mask</t>
  </si>
  <si>
    <t>Target Default Gateway</t>
  </si>
  <si>
    <t>DB</t>
  </si>
  <si>
    <t>CS</t>
  </si>
  <si>
    <t>LB</t>
  </si>
  <si>
    <t>Storage</t>
  </si>
  <si>
    <t>DR-Protected</t>
  </si>
  <si>
    <t>Status</t>
  </si>
  <si>
    <t>Comment</t>
  </si>
  <si>
    <t xml:space="preserve"> Event </t>
  </si>
  <si>
    <t>Cutover Date</t>
  </si>
  <si>
    <t>Scope
(Initial, New,
  Deleted)</t>
  </si>
  <si>
    <t>Application Name</t>
  </si>
  <si>
    <t>Application Owner</t>
  </si>
  <si>
    <t>IT Support Manager</t>
  </si>
  <si>
    <t>SME</t>
  </si>
  <si>
    <t>Support Group DL</t>
  </si>
  <si>
    <t>Source IP Address</t>
  </si>
  <si>
    <t>Type
App/DB</t>
  </si>
  <si>
    <t>Operating System</t>
  </si>
  <si>
    <t>DR Protection</t>
  </si>
  <si>
    <t>Target Data Center</t>
  </si>
  <si>
    <t xml:space="preserve">Target IPs </t>
  </si>
  <si>
    <t>Target Subnet</t>
  </si>
  <si>
    <t>Target Gateway</t>
  </si>
  <si>
    <t>Storage Space</t>
  </si>
  <si>
    <t>Comments</t>
  </si>
  <si>
    <t>common_id</t>
  </si>
  <si>
    <t>common_assetName</t>
  </si>
  <si>
    <t>common_moveBundle</t>
  </si>
  <si>
    <t>device_assetType</t>
  </si>
  <si>
    <t>common_environment</t>
  </si>
  <si>
    <t>device_os</t>
  </si>
  <si>
    <t>device_custom31</t>
  </si>
  <si>
    <t>device_manufacturer</t>
  </si>
  <si>
    <t>device_model</t>
  </si>
  <si>
    <t>device_ipAddress</t>
  </si>
  <si>
    <t>device_shortName</t>
  </si>
  <si>
    <t>device_custom21</t>
  </si>
  <si>
    <t>device_custom20</t>
  </si>
  <si>
    <t>device_custom26</t>
  </si>
  <si>
    <t>device_custom45</t>
  </si>
  <si>
    <t>device_custom34</t>
  </si>
  <si>
    <t>device_custom35</t>
  </si>
  <si>
    <t>device_custom2</t>
  </si>
  <si>
    <t>device_custom3</t>
  </si>
  <si>
    <t>device_custom64</t>
  </si>
  <si>
    <t>device_custom60</t>
  </si>
  <si>
    <t>device_custom55</t>
  </si>
  <si>
    <t>device_size</t>
  </si>
  <si>
    <t>device_custom57</t>
  </si>
  <si>
    <t>device_custom33</t>
  </si>
  <si>
    <t>device_custom27</t>
  </si>
  <si>
    <t>device_custom28</t>
  </si>
  <si>
    <t>device_custom29</t>
  </si>
  <si>
    <t>device_custom30</t>
  </si>
  <si>
    <t>device_custom58</t>
  </si>
  <si>
    <t>device_custom65</t>
  </si>
  <si>
    <t>device_custom17</t>
  </si>
  <si>
    <t>device_custom14</t>
  </si>
  <si>
    <t>device_custom12</t>
  </si>
  <si>
    <t>common_assetClass</t>
  </si>
  <si>
    <t>common_assetType</t>
  </si>
  <si>
    <t>common_commentCount</t>
  </si>
  <si>
    <t>common_taskCount</t>
  </si>
  <si>
    <t>device_custom51</t>
  </si>
  <si>
    <t>common_planStatus</t>
  </si>
  <si>
    <t>device_custom66</t>
  </si>
  <si>
    <t>common_description</t>
  </si>
  <si>
    <t>application_custom5</t>
  </si>
  <si>
    <t>application_appOwner</t>
  </si>
  <si>
    <t>application_custom10</t>
  </si>
  <si>
    <t>application_custom9</t>
  </si>
  <si>
    <t>application_custom45</t>
  </si>
  <si>
    <t>application_custom46</t>
  </si>
  <si>
    <t>application_custom6</t>
  </si>
  <si>
    <t>application_sme</t>
  </si>
  <si>
    <t>application_custom11</t>
  </si>
  <si>
    <t>application_sme2</t>
  </si>
  <si>
    <t>application_custom19</t>
  </si>
  <si>
    <t>application_custom23</t>
  </si>
  <si>
    <t>AssetId</t>
  </si>
  <si>
    <t>AssetName</t>
  </si>
  <si>
    <t>AssetType</t>
  </si>
  <si>
    <t>AssetBundle</t>
  </si>
  <si>
    <t>DependentId</t>
  </si>
  <si>
    <t>DependentName</t>
  </si>
  <si>
    <t>DependentType</t>
  </si>
  <si>
    <t>DependentBundle</t>
  </si>
  <si>
    <t>DataFlowFreq</t>
  </si>
  <si>
    <t>DataFlowDirection</t>
  </si>
  <si>
    <t>status</t>
  </si>
  <si>
    <t>Type</t>
  </si>
  <si>
    <t>Root</t>
  </si>
  <si>
    <t>App. Status</t>
  </si>
  <si>
    <t>Env</t>
  </si>
  <si>
    <t>Dev</t>
  </si>
  <si>
    <t>Src IP</t>
  </si>
  <si>
    <t>Group</t>
  </si>
  <si>
    <t>VIPs</t>
  </si>
  <si>
    <t>Servers</t>
  </si>
  <si>
    <t>Applications/CS-Stacks</t>
  </si>
  <si>
    <t>Ʃ Servers</t>
  </si>
  <si>
    <t>Grand Total</t>
  </si>
  <si>
    <t>Row Labels</t>
  </si>
  <si>
    <t>Introductory Message</t>
  </si>
  <si>
    <t>Macro will add</t>
  </si>
  <si>
    <t>ME number-Application-</t>
  </si>
  <si>
    <t>Subject</t>
  </si>
  <si>
    <t>Server migration scheduled for</t>
  </si>
  <si>
    <t>Body1</t>
  </si>
  <si>
    <t>Hello Team,  &lt;br&gt;  
We are contacting you on behalf of the Kyndryl squad assigned to assist in the migration to the Elevance Health's Private Hosting in a Kyndryl Managed Data Center.  &lt;br&gt;&lt;br&gt;
You have been identified as Application Owners and/or Subject Matter Experts (SMEs) for the application listed in the subject.  &lt;br&gt;</t>
  </si>
  <si>
    <t xml:space="preserve">App Owner : / 
IT Support Mgr: / 
SME1 : / 
SME2 : / </t>
  </si>
  <si>
    <t>Body2</t>
  </si>
  <si>
    <t>Kickoff (Sug. T-7)</t>
  </si>
  <si>
    <t>Body3</t>
  </si>
  <si>
    <t>Below you will find the list of servers associated with this application and environment that we being taking into consideration.&lt;br&gt;</t>
  </si>
  <si>
    <t>List of server for the application</t>
  </si>
  <si>
    <t>Signature</t>
  </si>
  <si>
    <t>Best Regards, &lt;br&gt;
Migration Squad&lt;br&gt;&lt;br&gt;</t>
  </si>
  <si>
    <t>PMs' names</t>
  </si>
  <si>
    <t>MENumber-Application-</t>
  </si>
  <si>
    <t xml:space="preserve">Migration AAQ, please fill in and return by </t>
  </si>
  <si>
    <t>AAQ Review</t>
  </si>
  <si>
    <t>Hello Team, &lt;br&gt;
As part of the activities needed to migrate servers to the Elevance Health's Private Hosting in a Kyndryl Managed Data Center, we have prepared the Application Assessment Questionnaire (AAQ) to better understand your environment, which is crucial for a smooth and quick cutover. &lt;br&gt;
In the AAQ file, in the tab “App Questionnaire – Anthem“,  you will find the questions we need you to answer in column "B", in column "C", the predefined answers are either: "Yes", "No", "N/A" or "Not sure".  If you are not sure about the answer, please try to contact someone from your Team to help, this is very important. On Column "D" you can elaborate more about your answer. Please check the notes on column "F", it can help to clarify any doubt. &lt;br&gt;
In the tab "Server Scope", it is the servers that are in scope, as well as any related VIPs, please let us know if something is missing or not right. &lt;br&gt;
Finally, the “Firewall” tab is where you will list the communication that are required for your application to work properly, so we can make sure we open the port in the target environment. &lt;br&gt;</t>
  </si>
  <si>
    <t>TM OS</t>
  </si>
  <si>
    <t>Machine Type</t>
  </si>
  <si>
    <t>Target Platform</t>
  </si>
  <si>
    <t>STAbbr</t>
  </si>
  <si>
    <t>State</t>
  </si>
  <si>
    <t>LocAbbr</t>
  </si>
  <si>
    <t>Location</t>
  </si>
  <si>
    <t>EnvAbbr</t>
  </si>
  <si>
    <t>PlatAbbr</t>
  </si>
  <si>
    <t>Platform</t>
  </si>
  <si>
    <t>TypAbbr</t>
  </si>
  <si>
    <t>Move ME</t>
  </si>
  <si>
    <t>Event Date</t>
  </si>
  <si>
    <t>Windows/Linux/AIX</t>
  </si>
  <si>
    <t>MO</t>
  </si>
  <si>
    <t>Missouri</t>
  </si>
  <si>
    <t>MOM9</t>
  </si>
  <si>
    <t>StLouis</t>
  </si>
  <si>
    <t>D</t>
  </si>
  <si>
    <t>A</t>
  </si>
  <si>
    <t>Appliance</t>
  </si>
  <si>
    <t>P</t>
  </si>
  <si>
    <t>Physical</t>
  </si>
  <si>
    <t>MEA001</t>
  </si>
  <si>
    <t>X</t>
  </si>
  <si>
    <t>VA</t>
  </si>
  <si>
    <t>Virginia</t>
  </si>
  <si>
    <t>VA10</t>
  </si>
  <si>
    <t>Richmond</t>
  </si>
  <si>
    <t>Prod</t>
  </si>
  <si>
    <t>E</t>
  </si>
  <si>
    <t>VMware ESX</t>
  </si>
  <si>
    <t>V</t>
  </si>
  <si>
    <t>Virtual</t>
  </si>
  <si>
    <t>Mdb</t>
  </si>
  <si>
    <t>Linux CentOS</t>
  </si>
  <si>
    <t>Equinix - Elk Grove</t>
  </si>
  <si>
    <t>CA</t>
  </si>
  <si>
    <t>California</t>
  </si>
  <si>
    <t>Virginia Beach</t>
  </si>
  <si>
    <t>T</t>
  </si>
  <si>
    <t>Test</t>
  </si>
  <si>
    <t>H</t>
  </si>
  <si>
    <t>HP</t>
  </si>
  <si>
    <t>Z</t>
  </si>
  <si>
    <t>Orc</t>
  </si>
  <si>
    <t>Linux Red Hat</t>
  </si>
  <si>
    <t>Mainframe LPAR</t>
  </si>
  <si>
    <t>IBM Cloud Bare Metal x86 - Ashburn</t>
  </si>
  <si>
    <t>VA33</t>
  </si>
  <si>
    <t>Harrisonburg</t>
  </si>
  <si>
    <t>N</t>
  </si>
  <si>
    <t>NPrd</t>
  </si>
  <si>
    <t>L</t>
  </si>
  <si>
    <t>Oth</t>
  </si>
  <si>
    <t>Microsoft Windows</t>
  </si>
  <si>
    <t>Cluster IP</t>
  </si>
  <si>
    <t>IBM Cloud Dedicated - Ashburn</t>
  </si>
  <si>
    <t>VAA</t>
  </si>
  <si>
    <t>SUSE</t>
  </si>
  <si>
    <t>Microsoft Windows Server</t>
  </si>
  <si>
    <t>S</t>
  </si>
  <si>
    <t>Solaris</t>
  </si>
  <si>
    <t>U</t>
  </si>
  <si>
    <t>Unix/AIX</t>
  </si>
  <si>
    <t>Red Hat Enterprise Linux</t>
  </si>
  <si>
    <t>W</t>
  </si>
  <si>
    <t>Windows</t>
  </si>
  <si>
    <t>Windows 2012 R2 Datacenter</t>
  </si>
  <si>
    <t>Exadata</t>
  </si>
  <si>
    <t>Windows 2012 R2 Standard</t>
  </si>
  <si>
    <t>zLinux (MF)</t>
  </si>
  <si>
    <t>Windows 2016 Datacenter</t>
  </si>
  <si>
    <t>Windows 2019 Datacenter</t>
  </si>
  <si>
    <t>Windows server</t>
  </si>
  <si>
    <t>Windows Server 2016</t>
  </si>
  <si>
    <t>Parameter</t>
  </si>
  <si>
    <t>Value</t>
  </si>
  <si>
    <t>Database File</t>
  </si>
  <si>
    <t>Once you set this for your system, you shouldn't have to change it.</t>
  </si>
  <si>
    <t>Channel path</t>
  </si>
  <si>
    <t>Arch File path</t>
  </si>
  <si>
    <t>F5Lookup path</t>
  </si>
  <si>
    <t>F5Lookup file</t>
  </si>
  <si>
    <t>#</t>
  </si>
  <si>
    <t>Event</t>
  </si>
  <si>
    <t>Migration date</t>
  </si>
  <si>
    <t>App</t>
  </si>
  <si>
    <t>App Owner</t>
  </si>
  <si>
    <t>Migration status</t>
  </si>
  <si>
    <t>Hand over Date/Sign off date</t>
  </si>
  <si>
    <t>Kyndryl PM</t>
  </si>
  <si>
    <t>Seq#</t>
  </si>
  <si>
    <t>Migration Status</t>
  </si>
  <si>
    <t>SourceHostname-old</t>
  </si>
  <si>
    <t>EH Data Center Location</t>
  </si>
  <si>
    <t>Type (App/DB)</t>
  </si>
  <si>
    <t>Physical Server Serial Number</t>
  </si>
  <si>
    <t>Cutover Change number</t>
  </si>
  <si>
    <t>Plan Status "Moved" in TM</t>
  </si>
  <si>
    <t xml:space="preserve">Migration Date:     </t>
  </si>
  <si>
    <t>[Sourcehostname]-cmold</t>
  </si>
  <si>
    <t>EH DataCenter Location</t>
  </si>
  <si>
    <t>Source Physical Server Serial Number</t>
  </si>
  <si>
    <t>VM Name in Vcenter</t>
  </si>
  <si>
    <t xml:space="preserve"> Vcenter Name</t>
  </si>
  <si>
    <t>Power Status of VM</t>
  </si>
  <si>
    <t>VM Cluster Name</t>
  </si>
  <si>
    <t>[Sourcehostname]-old</t>
  </si>
  <si>
    <t>Version</t>
  </si>
  <si>
    <t>Date</t>
  </si>
  <si>
    <t>Who</t>
  </si>
  <si>
    <t>What is new?</t>
  </si>
  <si>
    <t>V1.37</t>
  </si>
  <si>
    <t>Alonso Villalobos</t>
  </si>
  <si>
    <t>Sheet "TMWorkbook" updates the user name and email only if it has the default info
The Cutover date is extracted from the Milestone Tracker workbook
An issue where the workbook MEW focus was lost, and crashed sometimes when other workbooks were open was solved
Added a Change Log sheet</t>
  </si>
  <si>
    <t>V1.38</t>
  </si>
  <si>
    <t>"AppSum":  added new Discovery categories
"TM":  columns standardize
"Event Scope":  use the right ME assign to servers
"Dependencies": includes all servers that start with the ME Number, example MEA107 includes MEA107a
Dynamic PMs names and email table, new lines can be added or removed
Intro message wording modified as per original intent, not to combine with AAQ</t>
  </si>
  <si>
    <t>V1.39</t>
  </si>
  <si>
    <t xml:space="preserve"> -Updated the "GetLocalPath" function to work with new release of OneDrive
 -TM field labels were added to the columns of the "Applications" and "TM" sheets</t>
  </si>
  <si>
    <t>V1.40</t>
  </si>
  <si>
    <t xml:space="preserve"> -Added the post-migration sheets: "Summary Sheet-App Level","App-Server Sign-off Details", "Unique Server List " amd"Physical Servers" 
 -Blank spaces are removed from AAQ file names</t>
  </si>
  <si>
    <t>V1.41</t>
  </si>
  <si>
    <t xml:space="preserve"> -Removed from the "Dependencies" sheet, the entries with the "DependentType" "Databases" and leave only the entries with "AssetType" "Applications"</t>
  </si>
  <si>
    <t>V1.42</t>
  </si>
  <si>
    <t xml:space="preserve"> -The "Catastrophic Failure" error was resolved by removing the icons on the TM Loggin Form
-Added logos to the "Changelog" sheet</t>
  </si>
  <si>
    <t>V1.43</t>
  </si>
  <si>
    <r>
      <t xml:space="preserve"> -In the "IntroMsg" sheet, the Kickoff meeting date was, incorrectly calculated at T</t>
    </r>
    <r>
      <rPr>
        <b/>
        <sz val="12"/>
        <color theme="1"/>
        <rFont val="Calibri"/>
        <family val="2"/>
        <scheme val="minor"/>
      </rPr>
      <t>+</t>
    </r>
    <r>
      <rPr>
        <sz val="12"/>
        <color theme="1"/>
        <rFont val="Calibri"/>
        <family val="2"/>
        <scheme val="minor"/>
      </rPr>
      <t>6, instead of T</t>
    </r>
    <r>
      <rPr>
        <b/>
        <sz val="12"/>
        <color theme="1"/>
        <rFont val="Calibri"/>
        <family val="2"/>
        <scheme val="minor"/>
      </rPr>
      <t>-</t>
    </r>
    <r>
      <rPr>
        <sz val="12"/>
        <color theme="1"/>
        <rFont val="Calibri"/>
        <family val="2"/>
        <scheme val="minor"/>
      </rPr>
      <t>6.
 -Using F5LookUp-20240229.xlsm to lookup load balancers</t>
    </r>
  </si>
  <si>
    <t>V1.44</t>
  </si>
  <si>
    <t xml:space="preserve">  -Take the email address from the Excel License to use it as TM id
 -Warns about MEs with no cutover date in Milestone Tracker</t>
  </si>
  <si>
    <t>V1.45</t>
  </si>
  <si>
    <t xml:space="preserve"> -GetLocalPath function made by Guido Witt-Dörring,that was not working properly, it was replaced by the one made by Excel VBA Diary (@excelvba_diary)</t>
  </si>
  <si>
    <t>V1.46</t>
  </si>
  <si>
    <t xml:space="preserve"> -The server's supporting applications, in the "Affinities", now the are sorted and showing the number of servers for that app.
 -If the new Outlook App is installed, a warning will pop up since it is not possible to send messages, or extract the user information.</t>
  </si>
  <si>
    <t>V1.47</t>
  </si>
  <si>
    <t xml:space="preserve"> - If the file is not below the right folder, "09. ADAI Go-Live Cutover Runbooks", the user will be warned. 
 -Using the new Load Balancer repository that has reacently been release "F5LookUp-20240517.xlsm"</t>
  </si>
  <si>
    <t>V1.48</t>
  </si>
  <si>
    <t xml:space="preserve"> -add  Storage to the "Event Scope" tab</t>
  </si>
  <si>
    <t>V1.49</t>
  </si>
  <si>
    <t xml:space="preserve"> -Changing formula to suggest kickoff meeting on T-7
 -Improve "Affinities" by sorting the applications supported by each servers in descending order
 -Removing  Rob Borths rob.borths@elevancehealth.com and Lee Ann Mitchel lee.ann.mitchell@elevancehealth.com as recipients of any message.
 -Identify and fixed and issue with "Clear All Tables"</t>
  </si>
  <si>
    <t>TransitionManager Base URL:</t>
  </si>
  <si>
    <t>TransitionManager User Name:</t>
  </si>
  <si>
    <t>project</t>
  </si>
  <si>
    <t>project_id</t>
  </si>
  <si>
    <t>apps_all_columns</t>
  </si>
  <si>
    <t>devs_arch_workbook</t>
  </si>
  <si>
    <t>St. Louis</t>
  </si>
  <si>
    <t>Cerritos</t>
  </si>
  <si>
    <t xml:space="preserve"> -Added additional Discovery status options
 -Updated the GetLocalPath module to extract a UNC path given a URL</t>
  </si>
  <si>
    <t>common_tagAssets</t>
  </si>
  <si>
    <t>V1.51</t>
  </si>
  <si>
    <t>device_custom61</t>
  </si>
  <si>
    <t>device_custom24</t>
  </si>
  <si>
    <t>C:\Users\AlonsoAndresVillalob\OneDrive - kyndryl\General - AD&amp;AI Migration Team -  Elevance Health\20. ADAI Architect Team Folder\Anthem Environment Info\LB\</t>
  </si>
  <si>
    <t>Red Hat Linux</t>
  </si>
  <si>
    <t>ACC6 Teradata - Ashburn</t>
  </si>
  <si>
    <t>Azure AVS - North Central</t>
  </si>
  <si>
    <t>SubArea</t>
  </si>
  <si>
    <t>Target</t>
  </si>
  <si>
    <t>Starts</t>
  </si>
  <si>
    <t>Discovery</t>
  </si>
  <si>
    <t>10.148</t>
  </si>
  <si>
    <t>Firewall Rules</t>
  </si>
  <si>
    <t>10.149</t>
  </si>
  <si>
    <t>AAQ</t>
  </si>
  <si>
    <t>10.99</t>
  </si>
  <si>
    <t>Replication</t>
  </si>
  <si>
    <t>10.22</t>
  </si>
  <si>
    <t>Access</t>
  </si>
  <si>
    <t>10.24</t>
  </si>
  <si>
    <t>Network</t>
  </si>
  <si>
    <t>10.80</t>
  </si>
  <si>
    <t>Load Balancers</t>
  </si>
  <si>
    <t>10.98</t>
  </si>
  <si>
    <t>DNS/IP Addrs.</t>
  </si>
  <si>
    <t>10.4</t>
  </si>
  <si>
    <t>Backup</t>
  </si>
  <si>
    <t>10.175</t>
  </si>
  <si>
    <t>DR</t>
  </si>
  <si>
    <t>10.174</t>
  </si>
  <si>
    <t>Migration tools</t>
  </si>
  <si>
    <t>10.146</t>
  </si>
  <si>
    <t>10.147</t>
  </si>
  <si>
    <t>10.156</t>
  </si>
  <si>
    <t>10.157</t>
  </si>
  <si>
    <t>10.246</t>
  </si>
  <si>
    <t>100.96</t>
  </si>
  <si>
    <t>10.154</t>
  </si>
  <si>
    <t>10.145</t>
  </si>
  <si>
    <t>10.144</t>
  </si>
  <si>
    <t>10.155</t>
  </si>
  <si>
    <t>10.165</t>
  </si>
  <si>
    <t>10.158</t>
  </si>
  <si>
    <t>10.153</t>
  </si>
  <si>
    <t>10.62</t>
  </si>
  <si>
    <t>10.6</t>
  </si>
  <si>
    <t xml:space="preserve"> -"TM"sheet, added new columns to be extracted from TM
 - "AppSum" sheet, added a warning about servers not supporting any appications, and list the servers
 -Load Balancer lookup file updated: F5LookUp-20241004.xlsm
 -Updated decoding tables</t>
  </si>
  <si>
    <t>V1.52</t>
  </si>
  <si>
    <t xml:space="preserve"> -Load Balancer lookup file updated: F5LookUp-20250201.xlsm
-TM-API patched to ensure all Dependencies are created</t>
  </si>
  <si>
    <t>avillalobos@kyndryl.com</t>
  </si>
  <si>
    <t>device_custom43</t>
  </si>
  <si>
    <t>V1.53</t>
  </si>
  <si>
    <t>VA22</t>
  </si>
  <si>
    <t>Windows 2016 Standard</t>
  </si>
  <si>
    <t>Windows 2019 Standard</t>
  </si>
  <si>
    <t>Windows 2022 Datacenter</t>
  </si>
  <si>
    <t>Windows 2022 Standard</t>
  </si>
  <si>
    <t>Windows Server 2008 64-Bit</t>
  </si>
  <si>
    <t>Windows Server 2012 R2</t>
  </si>
  <si>
    <t>Windows Server 2019</t>
  </si>
  <si>
    <t>(blank)</t>
  </si>
  <si>
    <t xml:space="preserve"> -Load Balancer lookup file updated: F5LookUp-20250403.xlsm
 -Sheet "Dependencies", Application bundles are extracted from the TM Project export information
 -Sheet "Info", Virginia Beach Location typo was corrected, and added "IBM Cloud BMaaS - Elk Grove"  Target Platform
 - -"Load Event Data" initiates cleaning up the workbook, and executes the "Affinities" at the end</t>
  </si>
  <si>
    <t>Azure AVS - East1</t>
  </si>
  <si>
    <t>V1.54</t>
  </si>
  <si>
    <t>Source VCenter</t>
  </si>
  <si>
    <t>Source Physical Serial Number</t>
  </si>
  <si>
    <t>Migration Type (V2V, V2P,P2P)</t>
  </si>
  <si>
    <t>Target VCenter</t>
  </si>
  <si>
    <t>Target Physical Serial Number</t>
  </si>
  <si>
    <t>Check</t>
  </si>
  <si>
    <t xml:space="preserve">Kindly provide your confirmation for the items listed below, so we may proceed with Pre-Migration activities for the migration event starting today.  &lt;br&gt;  
1.   Confirm if you are the correct Application Owner/SME for the application.  &lt;br&gt;  
     (If you are not the right contact but you know the correct contact, please share it with us)  &lt;br&gt;  
2.   Confirm the list of servers in scope and review that the applications are associated correctly with the servers. &lt;br&gt;  
3.   Confirm the IP addresses and environment listed.  &lt;br&gt;  &lt;br&gt;  
4.   Confirm if there are Exadata, Oracle or DB2 Databases being used on these servers.  If so, please provide the DB instance names .  &lt;br&gt;  &lt;br&gt;  
Your confirmation/response is needed before our Kick-off, schedule for </t>
  </si>
  <si>
    <t>device_custom41</t>
  </si>
  <si>
    <t>common_custom22</t>
  </si>
  <si>
    <t xml:space="preserve"> -Tab "Event Scope", adjusted columns to match Runbook's "Event Scope"
 -Tab "IntroMsg", request DB information</t>
  </si>
  <si>
    <t>azkyn-nc-dreast</t>
  </si>
  <si>
    <t>Dell BMaaS - Ashburn</t>
  </si>
  <si>
    <t>Dell BMaaS - Elk Grove</t>
  </si>
  <si>
    <t>Equinix - Elk Grove DR</t>
  </si>
  <si>
    <t>V1.55</t>
  </si>
  <si>
    <t xml:space="preserve"> -Remove the not fully implemented code to synchronize with IP Assigner V3 file
 -Tab "config", updated load balancer lookup up file "F5LookUP-20251006"</t>
  </si>
  <si>
    <t>C:\Users\AlonsoAndresVillalob\OneDrive - kyndryl\General - AD&amp;AI Migration Team -  Elevance Health\09. ADAI Go-Live Cutover Runbooks\MIGRATION EVENTS - HARRISONBURG &amp; RICHMOND\MEATST\ArchPreCheck\</t>
  </si>
  <si>
    <t>C:\Users\AlonsoAndresVillalob\OneDrive - kyndryl\General - AD&amp;AI Migration Team -  Elevance Health\</t>
  </si>
  <si>
    <t>V1.56</t>
  </si>
  <si>
    <t xml:space="preserve"> -Tab "Physical Servers", the removal of "dummy" entry is now working properly
 -Tab "config", updated load balancer lookup up file "F5LookUP-20251101"</t>
  </si>
  <si>
    <t>V1.57</t>
  </si>
  <si>
    <t xml:space="preserve"> -Tab "ËVent Scope",  "Physical Servers" Target IP formula was missing
 -Clean up process missing entry in "Event Scope" 
 -Tab "Physical Servers", proper format was givent to target  IP address related fields</t>
  </si>
  <si>
    <t>V1.58</t>
  </si>
  <si>
    <t xml:space="preserve"> -Tab "Dependencies", solve the disapearing formula for column "AssetBundle"</t>
  </si>
  <si>
    <t>V1.59</t>
  </si>
  <si>
    <t>MBMF5Lookup file</t>
  </si>
  <si>
    <t>Schaumburg</t>
  </si>
  <si>
    <t>CA47</t>
  </si>
  <si>
    <t>DC04</t>
  </si>
  <si>
    <t>Ashburn</t>
  </si>
  <si>
    <t>Site</t>
  </si>
  <si>
    <t>vaash-chi</t>
  </si>
  <si>
    <t>azkyn-east</t>
  </si>
  <si>
    <t>azkyn-nc</t>
  </si>
  <si>
    <t>vaash-bmaas</t>
  </si>
  <si>
    <t>ilelk-bmaas-dr</t>
  </si>
  <si>
    <t>ilelk-ch3</t>
  </si>
  <si>
    <t>ilelk-drwdc04</t>
  </si>
  <si>
    <t>vaash-vcs</t>
  </si>
  <si>
    <t>vaash-wdc04</t>
  </si>
  <si>
    <t>https://kyndryl-elevance.transitionmanager.net/tdstm/</t>
  </si>
  <si>
    <t xml:space="preserve"> -Tab "TransitionManager", new TM URL updated
 -Tab "Info", added code DC04 for Ashburn location</t>
  </si>
  <si>
    <t>V1.60</t>
  </si>
  <si>
    <t>device_custom22</t>
  </si>
  <si>
    <t>ALP206</t>
  </si>
  <si>
    <t>IL-SCHAUMBURG 635 E REMINGTON STE B</t>
  </si>
  <si>
    <t>02105C9A7_106</t>
  </si>
  <si>
    <t>aws</t>
  </si>
  <si>
    <t>azkyn-east-lab</t>
  </si>
  <si>
    <t>azkyn-east-native</t>
  </si>
  <si>
    <t>azkyn-eastnut</t>
  </si>
  <si>
    <t>azkyn-eastnut-lab</t>
  </si>
  <si>
    <t>azkyn-nc-lab</t>
  </si>
  <si>
    <t>azkyn-nc-native</t>
  </si>
  <si>
    <t>ilelk-bmaas-lab</t>
  </si>
  <si>
    <t>ilelk-ch3-lab</t>
  </si>
  <si>
    <t>ilelk-ncdr02</t>
  </si>
  <si>
    <t>ilelk-ncdr05</t>
  </si>
  <si>
    <t>ilsch-sdc</t>
  </si>
  <si>
    <t>ilsch-sdc-lab</t>
  </si>
  <si>
    <t>vaash-bmaas-ibm</t>
  </si>
  <si>
    <t>vaash-bmaas-lab</t>
  </si>
  <si>
    <t>vaash-fil-lab</t>
  </si>
  <si>
    <t>vaash-mcmp-lab</t>
  </si>
  <si>
    <t>vaash-vcs-lab</t>
  </si>
  <si>
    <t>vaash-wdc04-cbh</t>
  </si>
  <si>
    <t>vaash-wdc04-cbh-lab</t>
  </si>
  <si>
    <t>vaash-wdc04-lab</t>
  </si>
  <si>
    <t>vaash-wdc04-mbm</t>
  </si>
  <si>
    <t>10.248</t>
  </si>
  <si>
    <t>1.0</t>
  </si>
  <si>
    <t>10.173</t>
  </si>
  <si>
    <t>10.51</t>
  </si>
  <si>
    <t>10.53</t>
  </si>
  <si>
    <t>10.152</t>
  </si>
  <si>
    <t>10.16</t>
  </si>
  <si>
    <t>10.161</t>
  </si>
  <si>
    <t>10.17</t>
  </si>
  <si>
    <t>10.18</t>
  </si>
  <si>
    <t>10.211</t>
  </si>
  <si>
    <t>10.213</t>
  </si>
  <si>
    <t>10.39</t>
  </si>
  <si>
    <t>10.65</t>
  </si>
  <si>
    <t>162.95</t>
  </si>
  <si>
    <t>172.30</t>
  </si>
  <si>
    <t>10.8</t>
  </si>
  <si>
    <t>30.128</t>
  </si>
  <si>
    <t>30.130</t>
  </si>
  <si>
    <t>30.230</t>
  </si>
  <si>
    <t>10.9</t>
  </si>
  <si>
    <t>azkyn-ncdr01</t>
  </si>
  <si>
    <t>azkyn-ncdr02</t>
  </si>
  <si>
    <t>azkyn-ncdr04</t>
  </si>
  <si>
    <t>azkyn-ncdr05</t>
  </si>
  <si>
    <t>10.23</t>
  </si>
  <si>
    <t>ilelk-ch3-mbm</t>
  </si>
  <si>
    <t>30.160</t>
  </si>
  <si>
    <t>30.161</t>
  </si>
  <si>
    <t>30.250</t>
  </si>
  <si>
    <t>MBMF5LookUp-20260730.xlsm</t>
  </si>
  <si>
    <t>MEA100</t>
  </si>
  <si>
    <t>Jane*Doe</t>
  </si>
  <si>
    <t>V2P</t>
  </si>
  <si>
    <t>V1.61</t>
  </si>
  <si>
    <t>F5LookUp-20260301.xlsm</t>
  </si>
  <si>
    <t>CBHF5Lookup file</t>
  </si>
  <si>
    <t>CBHF5LookUp-20261010.xlsm</t>
  </si>
  <si>
    <t xml:space="preserve"> -Adapted to process the Schaumburg workloads
 -Tab "PMView", "Target Location" to show site names
 -Tab "Info", updated all locations, in "tbltgt" the two first octets of IP addresses in the target</t>
  </si>
  <si>
    <t xml:space="preserve"> -Adapted to process the CBH workloads</t>
  </si>
  <si>
    <t>CBH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</si>
</sst>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409]ddd\,\ mmm\ dd\,\ yyyy"/>
    <numFmt numFmtId="166" formatCode="ddd\ mmm/dd/yyyy"/>
  </numFmts>
  <fonts count="6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i/>
      <sz val="12"/>
      <color rgb="FFC00000"/>
      <name val="Calibri"/>
      <family val="2"/>
      <scheme val="minor"/>
    </font>
    <font>
      <u/>
      <sz val="12"/>
      <color theme="10"/>
      <name val="Calibri"/>
      <family val="2"/>
      <scheme val="minor"/>
    </font>
    <font>
      <sz val="8"/>
      <name val="Calibri"/>
      <family val="2"/>
      <scheme val="minor"/>
    </font>
    <font>
      <sz val="12"/>
      <color theme="1"/>
      <name val="Calibri"/>
      <family val="2"/>
      <scheme val="minor"/>
    </font>
    <font>
      <b/>
      <sz val="11"/>
      <color theme="1"/>
      <name val="Calibri"/>
      <family val="2"/>
      <scheme val="minor"/>
    </font>
    <font>
      <sz val="10"/>
      <name val="Verdana"/>
      <family val="2"/>
    </font>
    <font>
      <b/>
      <sz val="10"/>
      <name val="Calibri"/>
      <family val="2"/>
      <scheme val="minor"/>
    </font>
    <font>
      <sz val="10"/>
      <color theme="1"/>
      <name val="Calibri"/>
      <family val="2"/>
      <scheme val="minor"/>
    </font>
    <font>
      <sz val="10"/>
      <name val="Calibri"/>
      <family val="2"/>
      <scheme val="minor"/>
    </font>
    <font>
      <sz val="10"/>
      <color rgb="FFFF0066"/>
      <name val="Calibri"/>
      <family val="2"/>
      <scheme val="minor"/>
    </font>
    <font>
      <sz val="10"/>
      <color rgb="FF800000"/>
      <name val="Calibri"/>
      <family val="2"/>
      <scheme val="minor"/>
    </font>
    <font>
      <b/>
      <sz val="10"/>
      <color rgb="FF800000"/>
      <name val="Calibri"/>
      <family val="2"/>
      <scheme val="minor"/>
    </font>
    <font>
      <sz val="10"/>
      <color theme="0"/>
      <name val="Verdana"/>
      <family val="2"/>
    </font>
    <font>
      <sz val="10"/>
      <color rgb="FF7030A0"/>
      <name val="Calibri"/>
      <family val="2"/>
      <scheme val="minor"/>
    </font>
    <font>
      <sz val="11"/>
      <color rgb="FF3F3F76"/>
      <name val="Calibri"/>
      <family val="2"/>
      <scheme val="minor"/>
    </font>
    <font>
      <b/>
      <sz val="11"/>
      <color rgb="FF3F3F3F"/>
      <name val="Calibri"/>
      <family val="2"/>
      <scheme val="minor"/>
    </font>
    <font>
      <u/>
      <sz val="11"/>
      <color theme="10"/>
      <name val="Calibri"/>
      <family val="2"/>
      <scheme val="minor"/>
    </font>
    <font>
      <b/>
      <sz val="9"/>
      <color rgb="FFFFFFFF"/>
      <name val="Calibri"/>
      <family val="2"/>
      <scheme val="minor"/>
    </font>
    <font>
      <b/>
      <sz val="10"/>
      <color rgb="FFFFFFFF"/>
      <name val="Calibri"/>
      <family val="2"/>
      <scheme val="minor"/>
    </font>
    <font>
      <sz val="9"/>
      <color theme="1"/>
      <name val="Calibri"/>
      <family val="2"/>
      <scheme val="minor"/>
    </font>
    <font>
      <b/>
      <sz val="11"/>
      <color theme="0"/>
      <name val="Calibri"/>
      <family val="2"/>
      <scheme val="minor"/>
    </font>
    <font>
      <b/>
      <sz val="10"/>
      <color rgb="FF7030A0"/>
      <name val="Calibri"/>
      <family val="2"/>
      <scheme val="minor"/>
    </font>
    <font>
      <b/>
      <sz val="10"/>
      <color rgb="FFFF0066"/>
      <name val="Calibri"/>
      <family val="2"/>
      <scheme val="minor"/>
    </font>
    <font>
      <sz val="9"/>
      <name val="Calibri"/>
      <family val="2"/>
      <scheme val="minor"/>
    </font>
    <font>
      <sz val="12"/>
      <color rgb="FF000000"/>
      <name val="Calibri"/>
      <family val="2"/>
      <scheme val="minor"/>
    </font>
    <font>
      <u/>
      <sz val="11"/>
      <color rgb="FF0563C1"/>
      <name val="Calibri"/>
      <family val="2"/>
      <charset val="1"/>
    </font>
    <font>
      <sz val="11"/>
      <color rgb="FF000000"/>
      <name val="Calibri"/>
      <family val="2"/>
      <charset val="1"/>
    </font>
    <font>
      <sz val="10"/>
      <name val="Arial"/>
      <family val="2"/>
    </font>
    <font>
      <b/>
      <sz val="11"/>
      <color theme="0"/>
      <name val="Calibri"/>
      <family val="2"/>
    </font>
    <font>
      <b/>
      <sz val="11"/>
      <name val="Calibri"/>
      <family val="2"/>
    </font>
    <font>
      <sz val="10"/>
      <name val="Calibri"/>
      <family val="2"/>
    </font>
    <font>
      <sz val="12"/>
      <color rgb="FFFF0000"/>
      <name val="Calibri"/>
      <family val="2"/>
      <scheme val="minor"/>
    </font>
    <font>
      <b/>
      <sz val="12"/>
      <name val="Calibri"/>
      <family val="2"/>
      <scheme val="minor"/>
    </font>
    <font>
      <sz val="12"/>
      <color theme="9" tint="-0.499984740745262"/>
      <name val="Calibri"/>
      <family val="2"/>
      <scheme val="minor"/>
    </font>
    <font>
      <b/>
      <sz val="9"/>
      <color indexed="81"/>
      <name val="Tahoma"/>
      <family val="2"/>
    </font>
    <font>
      <sz val="9"/>
      <color indexed="81"/>
      <name val="Tahoma"/>
      <family val="2"/>
    </font>
    <font>
      <sz val="10"/>
      <color theme="9" tint="-0.499984740745262"/>
      <name val="Verdana"/>
      <family val="2"/>
    </font>
    <font>
      <b/>
      <sz val="10"/>
      <color rgb="FF1F497D"/>
      <name val="Calibri"/>
      <family val="2"/>
    </font>
    <font>
      <b/>
      <sz val="10"/>
      <color theme="1"/>
      <name val="Calibri"/>
      <family val="2"/>
      <scheme val="minor"/>
    </font>
    <font>
      <sz val="10"/>
      <color rgb="FF000000"/>
      <name val="Calibri"/>
      <family val="2"/>
      <scheme val="minor"/>
    </font>
    <font>
      <sz val="12"/>
      <color rgb="FF305496"/>
      <name val="Calibri"/>
      <family val="2"/>
      <scheme val="minor"/>
    </font>
    <font>
      <b/>
      <sz val="10"/>
      <color theme="4" tint="-0.499984740745262"/>
      <name val="Calibri"/>
      <family val="2"/>
    </font>
    <font>
      <sz val="10"/>
      <color theme="1"/>
      <name val="Calibri"/>
      <family val="2"/>
    </font>
    <font>
      <b/>
      <sz val="12"/>
      <color rgb="FF000000"/>
      <name val="Calibri"/>
      <family val="2"/>
    </font>
    <font>
      <sz val="11"/>
      <color rgb="FF000000"/>
      <name val="Calibri"/>
      <family val="2"/>
    </font>
    <font>
      <sz val="12"/>
      <color rgb="FF000000"/>
      <name val="Calibri"/>
      <family val="2"/>
    </font>
    <font>
      <b/>
      <sz val="11"/>
      <color rgb="FF000000"/>
      <name val="Calibri"/>
      <family val="2"/>
    </font>
    <font>
      <b/>
      <sz val="12"/>
      <color rgb="FFFF0000"/>
      <name val="Calibri"/>
      <family val="2"/>
      <scheme val="minor"/>
    </font>
  </fonts>
  <fills count="34">
    <fill>
      <patternFill patternType="none"/>
    </fill>
    <fill>
      <patternFill patternType="gray125"/>
    </fill>
    <fill>
      <patternFill patternType="solid">
        <fgColor theme="4"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indexed="22"/>
        <bgColor indexed="64"/>
      </patternFill>
    </fill>
    <fill>
      <patternFill patternType="solid">
        <fgColor rgb="FFFFCC99"/>
      </patternFill>
    </fill>
    <fill>
      <patternFill patternType="solid">
        <fgColor rgb="FFF2F2F2"/>
      </patternFill>
    </fill>
    <fill>
      <patternFill patternType="solid">
        <fgColor rgb="FFFF0000"/>
        <bgColor indexed="64"/>
      </patternFill>
    </fill>
    <fill>
      <patternFill patternType="solid">
        <fgColor theme="9"/>
        <bgColor indexed="64"/>
      </patternFill>
    </fill>
    <fill>
      <patternFill patternType="solid">
        <fgColor theme="4" tint="0.39997558519241921"/>
        <bgColor indexed="64"/>
      </patternFill>
    </fill>
    <fill>
      <patternFill patternType="solid">
        <fgColor theme="9" tint="0.59999389629810485"/>
        <bgColor indexed="64"/>
      </patternFill>
    </fill>
    <fill>
      <patternFill patternType="gray125">
        <bgColor theme="9" tint="0.79995117038483843"/>
      </patternFill>
    </fill>
    <fill>
      <patternFill patternType="gray125">
        <bgColor theme="3" tint="0.79998168889431442"/>
      </patternFill>
    </fill>
    <fill>
      <patternFill patternType="gray125">
        <bgColor theme="0" tint="-0.14999847407452621"/>
      </patternFill>
    </fill>
    <fill>
      <patternFill patternType="gray125">
        <bgColor theme="9" tint="0.79998168889431442"/>
      </patternFill>
    </fill>
    <fill>
      <patternFill patternType="gray125">
        <bgColor theme="2" tint="-9.9978637043366805E-2"/>
      </patternFill>
    </fill>
    <fill>
      <patternFill patternType="solid">
        <fgColor rgb="FFD0CECE"/>
        <bgColor rgb="FF000000"/>
      </patternFill>
    </fill>
    <fill>
      <patternFill patternType="solid">
        <fgColor rgb="FFFF452D"/>
        <bgColor indexed="64"/>
      </patternFill>
    </fill>
    <fill>
      <patternFill patternType="solid">
        <fgColor theme="9"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B4C6E7"/>
        <bgColor indexed="64"/>
      </patternFill>
    </fill>
    <fill>
      <patternFill patternType="solid">
        <fgColor rgb="FFD9E1F2"/>
        <bgColor rgb="FFD9E1F2"/>
      </patternFill>
    </fill>
    <fill>
      <patternFill patternType="solid">
        <fgColor theme="3" tint="0.39997558519241921"/>
        <bgColor indexed="64"/>
      </patternFill>
    </fill>
    <fill>
      <patternFill patternType="solid">
        <fgColor rgb="FFD1D8E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indexed="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ck">
        <color rgb="FFA2B8E1"/>
      </bottom>
      <diagonal/>
    </border>
  </borders>
  <cellStyleXfs count="29">
    <xf numFmtId="0" fontId="0" fillId="0" borderId="0"/>
    <xf numFmtId="0" fontId="13" fillId="0" borderId="0" applyNumberFormat="0" applyFill="0" applyBorder="0" applyAlignment="0" applyProtection="0"/>
    <xf numFmtId="0" fontId="15" fillId="0" borderId="0"/>
    <xf numFmtId="0" fontId="10" fillId="0" borderId="0"/>
    <xf numFmtId="0" fontId="17" fillId="0" borderId="0"/>
    <xf numFmtId="0" fontId="17" fillId="0" borderId="0"/>
    <xf numFmtId="0" fontId="9" fillId="0" borderId="0"/>
    <xf numFmtId="0" fontId="26" fillId="11" borderId="8" applyNumberFormat="0" applyAlignment="0" applyProtection="0"/>
    <xf numFmtId="0" fontId="27" fillId="12" borderId="9" applyNumberFormat="0" applyAlignment="0" applyProtection="0"/>
    <xf numFmtId="0" fontId="8" fillId="0" borderId="0"/>
    <xf numFmtId="0" fontId="28" fillId="0" borderId="0" applyNumberFormat="0" applyFill="0" applyBorder="0" applyAlignment="0" applyProtection="0"/>
    <xf numFmtId="0" fontId="7" fillId="0" borderId="0"/>
    <xf numFmtId="0" fontId="6" fillId="0" borderId="0"/>
    <xf numFmtId="0" fontId="5" fillId="0" borderId="0"/>
    <xf numFmtId="0" fontId="4" fillId="0" borderId="0"/>
    <xf numFmtId="9" fontId="15" fillId="0" borderId="0" applyFont="0" applyFill="0" applyBorder="0" applyAlignment="0" applyProtection="0"/>
    <xf numFmtId="0" fontId="37" fillId="0" borderId="0" applyBorder="0" applyProtection="0"/>
    <xf numFmtId="0" fontId="38" fillId="0" borderId="0"/>
    <xf numFmtId="0" fontId="3" fillId="0" borderId="0"/>
    <xf numFmtId="0" fontId="3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cellStyleXfs>
  <cellXfs count="210">
    <xf numFmtId="0" fontId="0" fillId="0" borderId="0" xfId="0"/>
    <xf numFmtId="0" fontId="11" fillId="0" borderId="0" xfId="0" applyFont="1"/>
    <xf numFmtId="0" fontId="12" fillId="0" borderId="0" xfId="0" applyFont="1"/>
    <xf numFmtId="1" fontId="0" fillId="0" borderId="0" xfId="0" applyNumberFormat="1"/>
    <xf numFmtId="0" fontId="0" fillId="0" borderId="0" xfId="0" applyAlignment="1">
      <alignment wrapText="1"/>
    </xf>
    <xf numFmtId="0" fontId="15" fillId="0" borderId="0" xfId="2"/>
    <xf numFmtId="0" fontId="11" fillId="2" borderId="0" xfId="2" applyFont="1" applyFill="1"/>
    <xf numFmtId="0" fontId="11" fillId="3" borderId="0" xfId="2" applyFont="1" applyFill="1"/>
    <xf numFmtId="0" fontId="15" fillId="4" borderId="0" xfId="2" applyFill="1"/>
    <xf numFmtId="0" fontId="19" fillId="0" borderId="5" xfId="0" applyFont="1" applyBorder="1" applyAlignment="1">
      <alignment horizontal="center"/>
    </xf>
    <xf numFmtId="0" fontId="19" fillId="0" borderId="6" xfId="0" applyFont="1" applyBorder="1"/>
    <xf numFmtId="0" fontId="18" fillId="9" borderId="4" xfId="0" applyFont="1" applyFill="1" applyBorder="1" applyAlignment="1">
      <alignment horizontal="center" vertical="center"/>
    </xf>
    <xf numFmtId="0" fontId="20" fillId="6" borderId="7" xfId="0" applyFont="1" applyFill="1" applyBorder="1" applyAlignment="1">
      <alignment horizontal="left" vertical="center"/>
    </xf>
    <xf numFmtId="0" fontId="21" fillId="6" borderId="7" xfId="0" applyFont="1" applyFill="1" applyBorder="1" applyAlignment="1">
      <alignment horizontal="left" vertical="center"/>
    </xf>
    <xf numFmtId="0" fontId="18" fillId="6" borderId="7" xfId="0" applyFont="1" applyFill="1" applyBorder="1" applyAlignment="1">
      <alignment horizontal="left" vertical="center"/>
    </xf>
    <xf numFmtId="0" fontId="22" fillId="7" borderId="7" xfId="0" applyFont="1" applyFill="1" applyBorder="1" applyAlignment="1">
      <alignment horizontal="left" vertical="center"/>
    </xf>
    <xf numFmtId="0" fontId="23" fillId="7" borderId="7" xfId="0" applyFont="1" applyFill="1" applyBorder="1" applyAlignment="1">
      <alignment horizontal="left" vertical="center"/>
    </xf>
    <xf numFmtId="0" fontId="18" fillId="9" borderId="7" xfId="0" applyFont="1" applyFill="1" applyBorder="1" applyAlignment="1">
      <alignment horizontal="left" vertical="center"/>
    </xf>
    <xf numFmtId="0" fontId="17" fillId="10" borderId="0" xfId="4" applyFill="1"/>
    <xf numFmtId="0" fontId="17" fillId="0" borderId="0" xfId="4"/>
    <xf numFmtId="1" fontId="17" fillId="0" borderId="0" xfId="4" applyNumberFormat="1"/>
    <xf numFmtId="0" fontId="17" fillId="0" borderId="0" xfId="4" applyAlignment="1">
      <alignment wrapText="1"/>
    </xf>
    <xf numFmtId="0" fontId="23" fillId="8" borderId="7" xfId="0" applyFont="1" applyFill="1" applyBorder="1" applyAlignment="1">
      <alignment horizontal="left" vertical="center"/>
    </xf>
    <xf numFmtId="0" fontId="18" fillId="9" borderId="4" xfId="0" applyFont="1" applyFill="1" applyBorder="1" applyAlignment="1">
      <alignment horizontal="left" vertical="center"/>
    </xf>
    <xf numFmtId="0" fontId="19" fillId="0" borderId="0" xfId="0" applyFont="1" applyAlignment="1">
      <alignment horizontal="left"/>
    </xf>
    <xf numFmtId="0" fontId="24" fillId="0" borderId="0" xfId="4" applyFont="1" applyAlignment="1">
      <alignment vertical="top"/>
    </xf>
    <xf numFmtId="0" fontId="0" fillId="0" borderId="0" xfId="0" applyAlignment="1">
      <alignment horizontal="left"/>
    </xf>
    <xf numFmtId="0" fontId="25" fillId="6" borderId="7" xfId="0" applyFont="1" applyFill="1" applyBorder="1" applyAlignment="1">
      <alignment horizontal="left" vertical="center"/>
    </xf>
    <xf numFmtId="0" fontId="16" fillId="0" borderId="0" xfId="9" applyFont="1" applyAlignment="1">
      <alignment vertical="center"/>
    </xf>
    <xf numFmtId="0" fontId="8" fillId="0" borderId="0" xfId="9" applyAlignment="1">
      <alignment vertical="center"/>
    </xf>
    <xf numFmtId="0" fontId="27" fillId="12" borderId="9" xfId="8"/>
    <xf numFmtId="0" fontId="26" fillId="11" borderId="8" xfId="7"/>
    <xf numFmtId="0" fontId="0" fillId="0" borderId="0" xfId="0" applyAlignment="1">
      <alignment horizontal="right"/>
    </xf>
    <xf numFmtId="0" fontId="19" fillId="0" borderId="0" xfId="0" applyFont="1"/>
    <xf numFmtId="0" fontId="0" fillId="0" borderId="0" xfId="0" pivotButton="1"/>
    <xf numFmtId="0" fontId="0" fillId="0" borderId="0" xfId="0" applyAlignment="1">
      <alignment horizontal="left" indent="1"/>
    </xf>
    <xf numFmtId="0" fontId="31" fillId="0" borderId="0" xfId="13" applyFont="1" applyAlignment="1">
      <alignment horizontal="center"/>
    </xf>
    <xf numFmtId="0" fontId="19" fillId="0" borderId="0" xfId="13" applyFont="1" applyAlignment="1">
      <alignment horizontal="center"/>
    </xf>
    <xf numFmtId="0" fontId="31" fillId="0" borderId="0" xfId="13" applyFont="1" applyAlignment="1">
      <alignment horizontal="center" vertical="center"/>
    </xf>
    <xf numFmtId="0" fontId="31" fillId="0" borderId="0" xfId="13" applyFont="1"/>
    <xf numFmtId="0" fontId="0" fillId="0" borderId="0" xfId="0" applyAlignment="1">
      <alignment vertical="top"/>
    </xf>
    <xf numFmtId="0" fontId="0" fillId="0" borderId="0" xfId="0" applyAlignment="1" applyProtection="1">
      <alignment wrapText="1"/>
      <protection locked="0"/>
    </xf>
    <xf numFmtId="0" fontId="0" fillId="2" borderId="14" xfId="0" applyFill="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0" fillId="0" borderId="13" xfId="0" applyBorder="1" applyAlignment="1">
      <alignment vertical="top" wrapText="1"/>
    </xf>
    <xf numFmtId="0" fontId="0" fillId="5" borderId="14" xfId="0" applyFill="1" applyBorder="1" applyAlignment="1">
      <alignment vertical="top"/>
    </xf>
    <xf numFmtId="0" fontId="0" fillId="5" borderId="12" xfId="0" applyFill="1" applyBorder="1" applyAlignment="1">
      <alignment vertical="top"/>
    </xf>
    <xf numFmtId="164" fontId="0" fillId="0" borderId="15" xfId="0" applyNumberFormat="1" applyBorder="1" applyAlignment="1">
      <alignment horizontal="left" vertical="top"/>
    </xf>
    <xf numFmtId="0" fontId="0" fillId="2" borderId="16" xfId="0" applyFill="1" applyBorder="1" applyAlignment="1">
      <alignment vertical="top"/>
    </xf>
    <xf numFmtId="0" fontId="0" fillId="0" borderId="17" xfId="0" applyBorder="1" applyAlignment="1">
      <alignment vertical="top"/>
    </xf>
    <xf numFmtId="0" fontId="0" fillId="17" borderId="14" xfId="0" applyFill="1" applyBorder="1" applyAlignment="1">
      <alignment vertical="top"/>
    </xf>
    <xf numFmtId="0" fontId="0" fillId="18" borderId="14" xfId="0" applyFill="1" applyBorder="1" applyAlignment="1">
      <alignment vertical="top"/>
    </xf>
    <xf numFmtId="0" fontId="0" fillId="19" borderId="15" xfId="0" applyFill="1" applyBorder="1" applyAlignment="1">
      <alignment vertical="top" wrapText="1"/>
    </xf>
    <xf numFmtId="0" fontId="0" fillId="20" borderId="14" xfId="0" applyFill="1" applyBorder="1" applyAlignment="1">
      <alignment vertical="top"/>
    </xf>
    <xf numFmtId="0" fontId="0" fillId="21" borderId="15" xfId="0" applyFill="1" applyBorder="1" applyAlignment="1">
      <alignment vertical="top"/>
    </xf>
    <xf numFmtId="0" fontId="0" fillId="21" borderId="15" xfId="0" applyFill="1" applyBorder="1" applyAlignment="1">
      <alignment vertical="top" wrapText="1"/>
    </xf>
    <xf numFmtId="0" fontId="29" fillId="13" borderId="7" xfId="13" applyFont="1" applyFill="1" applyBorder="1" applyAlignment="1">
      <alignment vertical="center" wrapText="1"/>
    </xf>
    <xf numFmtId="0" fontId="30" fillId="13" borderId="7" xfId="13" applyFont="1" applyFill="1" applyBorder="1" applyAlignment="1">
      <alignment vertical="center" wrapText="1"/>
    </xf>
    <xf numFmtId="0" fontId="29" fillId="13" borderId="7" xfId="13" applyFont="1" applyFill="1" applyBorder="1" applyAlignment="1">
      <alignment horizontal="center" vertical="center" wrapText="1"/>
    </xf>
    <xf numFmtId="0" fontId="29" fillId="14" borderId="7" xfId="13" applyFont="1" applyFill="1" applyBorder="1" applyAlignment="1">
      <alignment vertical="center" wrapText="1"/>
    </xf>
    <xf numFmtId="0" fontId="31" fillId="0" borderId="0" xfId="13" applyFont="1" applyAlignment="1">
      <alignment wrapText="1"/>
    </xf>
    <xf numFmtId="0" fontId="13" fillId="0" borderId="0" xfId="1" applyAlignment="1">
      <alignment vertical="center"/>
    </xf>
    <xf numFmtId="0" fontId="19" fillId="0" borderId="0" xfId="0" applyFont="1" applyAlignment="1">
      <alignment horizontal="center" vertical="center"/>
    </xf>
    <xf numFmtId="0" fontId="36" fillId="22" borderId="0" xfId="0" applyFont="1" applyFill="1" applyAlignment="1">
      <alignment horizontal="left" vertical="top"/>
    </xf>
    <xf numFmtId="0" fontId="36" fillId="0" borderId="0" xfId="0" applyFont="1" applyAlignment="1" applyProtection="1">
      <alignment wrapText="1"/>
      <protection locked="0"/>
    </xf>
    <xf numFmtId="0" fontId="36" fillId="22" borderId="0" xfId="0" applyFont="1" applyFill="1" applyAlignment="1" applyProtection="1">
      <alignment wrapText="1"/>
      <protection locked="0"/>
    </xf>
    <xf numFmtId="9" fontId="19" fillId="0" borderId="0" xfId="15" applyFont="1" applyAlignment="1">
      <alignment horizontal="center" vertical="center"/>
    </xf>
    <xf numFmtId="9" fontId="19" fillId="0" borderId="0" xfId="15" applyFont="1"/>
    <xf numFmtId="9" fontId="19" fillId="0" borderId="0" xfId="0" applyNumberFormat="1" applyFont="1"/>
    <xf numFmtId="0" fontId="0" fillId="0" borderId="0" xfId="0" applyAlignment="1">
      <alignment horizontal="left" indent="2"/>
    </xf>
    <xf numFmtId="0" fontId="0" fillId="0" borderId="0" xfId="0" applyAlignment="1">
      <alignment horizontal="left" indent="3"/>
    </xf>
    <xf numFmtId="0" fontId="19" fillId="0" borderId="0" xfId="0" applyFont="1" applyAlignment="1">
      <alignment horizontal="right"/>
    </xf>
    <xf numFmtId="3" fontId="19" fillId="0" borderId="0" xfId="0" applyNumberFormat="1" applyFont="1" applyAlignment="1">
      <alignment horizontal="left"/>
    </xf>
    <xf numFmtId="0" fontId="18" fillId="9" borderId="3" xfId="0" applyFont="1" applyFill="1" applyBorder="1" applyAlignment="1">
      <alignment horizontal="center" vertical="center" wrapText="1"/>
    </xf>
    <xf numFmtId="0" fontId="18" fillId="9" borderId="7" xfId="0" applyFont="1" applyFill="1" applyBorder="1" applyAlignment="1">
      <alignment horizontal="center" vertical="center" wrapText="1"/>
    </xf>
    <xf numFmtId="0" fontId="18" fillId="6" borderId="7" xfId="0" applyFont="1" applyFill="1" applyBorder="1" applyAlignment="1">
      <alignment horizontal="center" vertical="center" wrapText="1"/>
    </xf>
    <xf numFmtId="0" fontId="33" fillId="6" borderId="7" xfId="0" applyFont="1" applyFill="1" applyBorder="1" applyAlignment="1">
      <alignment horizontal="center" vertical="center" wrapText="1"/>
    </xf>
    <xf numFmtId="0" fontId="34" fillId="6" borderId="7" xfId="0" applyFont="1" applyFill="1" applyBorder="1" applyAlignment="1">
      <alignment horizontal="center" vertical="center" wrapText="1"/>
    </xf>
    <xf numFmtId="0" fontId="23" fillId="7" borderId="7" xfId="0" applyFont="1" applyFill="1" applyBorder="1" applyAlignment="1">
      <alignment horizontal="center" vertical="center" wrapText="1"/>
    </xf>
    <xf numFmtId="0" fontId="32" fillId="5" borderId="7" xfId="0" applyFont="1" applyFill="1" applyBorder="1" applyAlignment="1">
      <alignment horizontal="center" vertical="center" wrapText="1"/>
    </xf>
    <xf numFmtId="0" fontId="23" fillId="8" borderId="4" xfId="0" applyFont="1" applyFill="1" applyBorder="1" applyAlignment="1">
      <alignment horizontal="center" vertical="center" wrapText="1"/>
    </xf>
    <xf numFmtId="0" fontId="18" fillId="0" borderId="20" xfId="0" applyFont="1" applyBorder="1" applyAlignment="1">
      <alignment horizontal="center" vertical="center" wrapText="1"/>
    </xf>
    <xf numFmtId="0" fontId="18" fillId="0" borderId="21" xfId="0" applyFont="1" applyBorder="1" applyAlignment="1">
      <alignment horizontal="center" vertical="center"/>
    </xf>
    <xf numFmtId="0" fontId="19" fillId="0" borderId="21" xfId="0" applyFont="1" applyBorder="1" applyAlignment="1">
      <alignment horizontal="center" vertical="center"/>
    </xf>
    <xf numFmtId="0" fontId="20" fillId="0" borderId="21" xfId="0" applyFont="1" applyBorder="1" applyAlignment="1">
      <alignment horizontal="center" vertical="center"/>
    </xf>
    <xf numFmtId="0" fontId="21" fillId="0" borderId="21" xfId="0" applyFont="1" applyBorder="1" applyAlignment="1">
      <alignment horizontal="center" vertical="center"/>
    </xf>
    <xf numFmtId="0" fontId="22" fillId="0" borderId="21"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38" fillId="0" borderId="0" xfId="17" applyAlignment="1">
      <alignment horizontal="center" vertical="center"/>
    </xf>
    <xf numFmtId="0" fontId="38" fillId="0" borderId="0" xfId="17"/>
    <xf numFmtId="0" fontId="38" fillId="0" borderId="0" xfId="17" applyAlignment="1">
      <alignment wrapText="1"/>
    </xf>
    <xf numFmtId="14" fontId="40" fillId="23" borderId="0" xfId="19" applyNumberFormat="1" applyFont="1" applyFill="1" applyAlignment="1">
      <alignment horizontal="center" vertical="center" wrapText="1"/>
    </xf>
    <xf numFmtId="14" fontId="41" fillId="8" borderId="0" xfId="19" applyNumberFormat="1" applyFont="1" applyFill="1" applyAlignment="1">
      <alignment horizontal="center" vertical="center" wrapText="1"/>
    </xf>
    <xf numFmtId="0" fontId="30" fillId="13" borderId="0" xfId="13" applyFont="1" applyFill="1" applyAlignment="1">
      <alignment vertical="center" wrapText="1"/>
    </xf>
    <xf numFmtId="0" fontId="11" fillId="0" borderId="0" xfId="2" applyFont="1"/>
    <xf numFmtId="14" fontId="15" fillId="0" borderId="0" xfId="2" applyNumberFormat="1"/>
    <xf numFmtId="0" fontId="43" fillId="0" borderId="0" xfId="0" applyFont="1"/>
    <xf numFmtId="0" fontId="0" fillId="24" borderId="0" xfId="0" applyFill="1" applyAlignment="1">
      <alignment horizontal="center" vertical="center"/>
    </xf>
    <xf numFmtId="14" fontId="40" fillId="23" borderId="1" xfId="19" applyNumberFormat="1" applyFont="1" applyFill="1" applyBorder="1" applyAlignment="1">
      <alignment horizontal="center" vertical="center" wrapText="1"/>
    </xf>
    <xf numFmtId="0" fontId="0" fillId="0" borderId="0" xfId="0" applyAlignment="1">
      <alignment horizontal="left" vertical="top"/>
    </xf>
    <xf numFmtId="0" fontId="0" fillId="0" borderId="0" xfId="0" applyAlignment="1">
      <alignment horizontal="left" vertical="top" wrapText="1"/>
    </xf>
    <xf numFmtId="165" fontId="44" fillId="0" borderId="1" xfId="0" applyNumberFormat="1" applyFont="1" applyBorder="1" applyAlignment="1">
      <alignment horizontal="left" vertical="top"/>
    </xf>
    <xf numFmtId="0" fontId="11" fillId="0" borderId="0" xfId="0" applyFont="1" applyAlignment="1">
      <alignment horizontal="left" vertical="top"/>
    </xf>
    <xf numFmtId="0" fontId="45" fillId="0" borderId="0" xfId="0" applyFont="1"/>
    <xf numFmtId="0" fontId="17" fillId="0" borderId="0" xfId="4" applyAlignment="1">
      <alignment vertical="top"/>
    </xf>
    <xf numFmtId="164" fontId="0" fillId="0" borderId="15" xfId="0" applyNumberFormat="1" applyBorder="1" applyAlignment="1">
      <alignment horizontal="left" vertical="top" wrapText="1"/>
    </xf>
    <xf numFmtId="0" fontId="24" fillId="0" borderId="0" xfId="4" applyFont="1" applyAlignment="1">
      <alignment vertical="top" wrapText="1"/>
    </xf>
    <xf numFmtId="0" fontId="48" fillId="0" borderId="0" xfId="4" applyFont="1" applyAlignment="1">
      <alignment vertical="top"/>
    </xf>
    <xf numFmtId="0" fontId="13" fillId="0" borderId="0" xfId="1"/>
    <xf numFmtId="0" fontId="1" fillId="0" borderId="0" xfId="27" applyAlignment="1">
      <alignment wrapText="1"/>
    </xf>
    <xf numFmtId="0" fontId="1" fillId="0" borderId="0" xfId="27"/>
    <xf numFmtId="164" fontId="1" fillId="0" borderId="0" xfId="27" applyNumberFormat="1"/>
    <xf numFmtId="0" fontId="1" fillId="0" borderId="0" xfId="27" applyAlignment="1">
      <alignment vertical="top"/>
    </xf>
    <xf numFmtId="0" fontId="1" fillId="0" borderId="0" xfId="27" applyAlignment="1">
      <alignment horizontal="center" vertical="top"/>
    </xf>
    <xf numFmtId="0" fontId="1" fillId="0" borderId="0" xfId="28"/>
    <xf numFmtId="0" fontId="1" fillId="0" borderId="0" xfId="27" applyAlignment="1">
      <alignment horizontal="center" vertical="center"/>
    </xf>
    <xf numFmtId="0" fontId="1" fillId="0" borderId="0" xfId="27" applyAlignment="1">
      <alignment horizontal="left" vertical="top"/>
    </xf>
    <xf numFmtId="0" fontId="1" fillId="0" borderId="0" xfId="27" applyAlignment="1">
      <alignment vertical="center" wrapText="1"/>
    </xf>
    <xf numFmtId="0" fontId="52" fillId="28" borderId="0" xfId="0" applyFont="1" applyFill="1"/>
    <xf numFmtId="0" fontId="52" fillId="0" borderId="0" xfId="0" applyFont="1"/>
    <xf numFmtId="0" fontId="1" fillId="5" borderId="1" xfId="0" applyFont="1" applyFill="1" applyBorder="1"/>
    <xf numFmtId="0" fontId="20" fillId="0" borderId="0" xfId="17" applyFont="1" applyAlignment="1">
      <alignment horizontal="left" vertical="center"/>
    </xf>
    <xf numFmtId="0" fontId="20" fillId="0" borderId="0" xfId="17" applyFont="1" applyAlignment="1">
      <alignment vertical="center"/>
    </xf>
    <xf numFmtId="0" fontId="19" fillId="0" borderId="0" xfId="27" applyFont="1" applyAlignment="1">
      <alignment horizontal="center" vertical="center"/>
    </xf>
    <xf numFmtId="164" fontId="19" fillId="0" borderId="0" xfId="27" applyNumberFormat="1" applyFont="1" applyAlignment="1">
      <alignment horizontal="center" vertical="center"/>
    </xf>
    <xf numFmtId="0" fontId="19" fillId="0" borderId="0" xfId="27" applyFont="1"/>
    <xf numFmtId="0" fontId="51" fillId="0" borderId="0" xfId="27" applyFont="1" applyAlignment="1">
      <alignment horizontal="left"/>
    </xf>
    <xf numFmtId="0" fontId="19" fillId="0" borderId="0" xfId="27" applyFont="1" applyAlignment="1">
      <alignment horizontal="left" vertical="top"/>
    </xf>
    <xf numFmtId="0" fontId="19" fillId="0" borderId="0" xfId="27" applyFont="1" applyAlignment="1">
      <alignment horizontal="center"/>
    </xf>
    <xf numFmtId="0" fontId="49" fillId="9" borderId="0" xfId="27" applyFont="1" applyFill="1" applyAlignment="1">
      <alignment horizontal="center" vertical="center" wrapText="1"/>
    </xf>
    <xf numFmtId="164" fontId="53" fillId="9" borderId="0" xfId="27" applyNumberFormat="1" applyFont="1" applyFill="1" applyAlignment="1">
      <alignment horizontal="center" vertical="center" wrapText="1"/>
    </xf>
    <xf numFmtId="164" fontId="49" fillId="27" borderId="0" xfId="27" applyNumberFormat="1" applyFont="1" applyFill="1" applyAlignment="1">
      <alignment horizontal="center" vertical="center" wrapText="1"/>
    </xf>
    <xf numFmtId="164" fontId="49" fillId="9" borderId="0" xfId="27" applyNumberFormat="1" applyFont="1" applyFill="1" applyAlignment="1">
      <alignment horizontal="center" vertical="center" wrapText="1"/>
    </xf>
    <xf numFmtId="164" fontId="19" fillId="0" borderId="0" xfId="27" applyNumberFormat="1" applyFont="1" applyAlignment="1">
      <alignment horizontal="left" vertical="top"/>
    </xf>
    <xf numFmtId="0" fontId="42" fillId="0" borderId="0" xfId="4" applyFont="1" applyAlignment="1">
      <alignment horizontal="left" vertical="top"/>
    </xf>
    <xf numFmtId="0" fontId="19" fillId="0" borderId="0" xfId="27" applyFont="1" applyAlignment="1">
      <alignment horizontal="center" vertical="top"/>
    </xf>
    <xf numFmtId="0" fontId="19" fillId="0" borderId="0" xfId="27" applyFont="1" applyAlignment="1">
      <alignment horizontal="left" vertical="top" wrapText="1"/>
    </xf>
    <xf numFmtId="14" fontId="18" fillId="25" borderId="0" xfId="19" applyNumberFormat="1" applyFont="1" applyFill="1" applyAlignment="1">
      <alignment horizontal="center" vertical="center" wrapText="1"/>
    </xf>
    <xf numFmtId="164" fontId="50" fillId="25" borderId="0" xfId="19" applyNumberFormat="1" applyFont="1" applyFill="1" applyAlignment="1">
      <alignment horizontal="center" vertical="center" wrapText="1"/>
    </xf>
    <xf numFmtId="14" fontId="18" fillId="29" borderId="0" xfId="19" applyNumberFormat="1" applyFont="1" applyFill="1" applyAlignment="1">
      <alignment horizontal="center" vertical="center" wrapText="1"/>
    </xf>
    <xf numFmtId="14" fontId="18" fillId="26" borderId="0" xfId="19" applyNumberFormat="1" applyFont="1" applyFill="1" applyAlignment="1">
      <alignment horizontal="center" vertical="center" wrapText="1"/>
    </xf>
    <xf numFmtId="0" fontId="30" fillId="13" borderId="0" xfId="13" applyFont="1" applyFill="1" applyAlignment="1">
      <alignment horizontal="center" vertical="center" wrapText="1"/>
    </xf>
    <xf numFmtId="0" fontId="19" fillId="0" borderId="0" xfId="27" applyFont="1" applyAlignment="1">
      <alignment vertical="top"/>
    </xf>
    <xf numFmtId="164" fontId="19" fillId="0" borderId="0" xfId="27" applyNumberFormat="1" applyFont="1" applyAlignment="1">
      <alignment horizontal="center" vertical="top"/>
    </xf>
    <xf numFmtId="14" fontId="18" fillId="29" borderId="0" xfId="19" applyNumberFormat="1" applyFont="1" applyFill="1" applyAlignment="1">
      <alignment horizontal="center" wrapText="1"/>
    </xf>
    <xf numFmtId="164" fontId="18" fillId="29" borderId="0" xfId="19" applyNumberFormat="1" applyFont="1" applyFill="1" applyAlignment="1">
      <alignment horizontal="center" wrapText="1"/>
    </xf>
    <xf numFmtId="1" fontId="18" fillId="29" borderId="0" xfId="19" applyNumberFormat="1" applyFont="1" applyFill="1" applyAlignment="1">
      <alignment horizontal="left" wrapText="1"/>
    </xf>
    <xf numFmtId="14" fontId="18" fillId="29" borderId="0" xfId="19" applyNumberFormat="1" applyFont="1" applyFill="1" applyAlignment="1">
      <alignment wrapText="1"/>
    </xf>
    <xf numFmtId="14" fontId="18" fillId="29" borderId="0" xfId="19" applyNumberFormat="1" applyFont="1" applyFill="1" applyAlignment="1">
      <alignment horizontal="left" wrapText="1"/>
    </xf>
    <xf numFmtId="14" fontId="18" fillId="26" borderId="0" xfId="19" applyNumberFormat="1" applyFont="1" applyFill="1" applyAlignment="1">
      <alignment wrapText="1"/>
    </xf>
    <xf numFmtId="0" fontId="19" fillId="0" borderId="0" xfId="28" applyFont="1" applyAlignment="1">
      <alignment horizontal="center" wrapText="1"/>
    </xf>
    <xf numFmtId="14" fontId="42" fillId="30" borderId="0" xfId="19" applyNumberFormat="1" applyFont="1" applyFill="1" applyAlignment="1">
      <alignment horizontal="center" vertical="top" wrapText="1"/>
    </xf>
    <xf numFmtId="1" fontId="42" fillId="30" borderId="0" xfId="19" applyNumberFormat="1" applyFont="1" applyFill="1" applyAlignment="1">
      <alignment horizontal="left" vertical="top" wrapText="1"/>
    </xf>
    <xf numFmtId="14" fontId="42" fillId="30" borderId="0" xfId="19" applyNumberFormat="1" applyFont="1" applyFill="1" applyAlignment="1">
      <alignment horizontal="left" vertical="top" wrapText="1"/>
    </xf>
    <xf numFmtId="14" fontId="42" fillId="30" borderId="0" xfId="19" applyNumberFormat="1" applyFont="1" applyFill="1" applyAlignment="1">
      <alignment vertical="top" wrapText="1"/>
    </xf>
    <xf numFmtId="14" fontId="42" fillId="26" borderId="0" xfId="19" applyNumberFormat="1" applyFont="1" applyFill="1" applyAlignment="1">
      <alignment vertical="top" wrapText="1"/>
    </xf>
    <xf numFmtId="14" fontId="42" fillId="26" borderId="0" xfId="19" applyNumberFormat="1" applyFont="1" applyFill="1" applyAlignment="1">
      <alignment horizontal="left" vertical="top" wrapText="1"/>
    </xf>
    <xf numFmtId="0" fontId="0" fillId="31" borderId="0" xfId="0" applyFill="1"/>
    <xf numFmtId="0" fontId="45" fillId="0" borderId="0" xfId="0" applyFont="1" applyAlignment="1">
      <alignment vertical="top"/>
    </xf>
    <xf numFmtId="14" fontId="41" fillId="8" borderId="6" xfId="19" applyNumberFormat="1" applyFont="1" applyFill="1" applyBorder="1" applyAlignment="1">
      <alignment horizontal="center" vertical="center" wrapText="1"/>
    </xf>
    <xf numFmtId="0" fontId="59" fillId="0" borderId="0" xfId="0" applyFont="1"/>
    <xf numFmtId="0" fontId="26" fillId="0" borderId="8" xfId="7" applyFill="1"/>
    <xf numFmtId="0" fontId="0" fillId="32" borderId="0" xfId="0" applyFill="1" applyAlignment="1">
      <alignment horizontal="left" vertical="top"/>
    </xf>
    <xf numFmtId="0" fontId="0" fillId="0" borderId="0" xfId="0" applyAlignment="1" applyProtection="1">
      <alignment horizontal="left" vertical="top" wrapText="1"/>
      <protection locked="0"/>
    </xf>
    <xf numFmtId="0" fontId="0" fillId="33" borderId="0" xfId="0" applyFill="1"/>
    <xf numFmtId="164" fontId="42" fillId="30" borderId="0" xfId="19" applyNumberFormat="1" applyFont="1" applyFill="1" applyAlignment="1">
      <alignment horizontal="center" vertical="center"/>
    </xf>
    <xf numFmtId="0" fontId="42" fillId="30" borderId="0" xfId="19" applyFont="1" applyFill="1" applyAlignment="1">
      <alignment vertical="top" wrapText="1"/>
    </xf>
    <xf numFmtId="0" fontId="54" fillId="0" borderId="0" xfId="27" applyFont="1" applyAlignment="1">
      <alignment horizontal="left" vertical="top"/>
    </xf>
    <xf numFmtId="166" fontId="0" fillId="0" borderId="0" xfId="0" applyNumberFormat="1"/>
    <xf numFmtId="1" fontId="0" fillId="0" borderId="0" xfId="0" applyNumberFormat="1" applyAlignment="1">
      <alignment vertical="top"/>
    </xf>
    <xf numFmtId="0" fontId="0" fillId="0" borderId="0" xfId="0" applyAlignment="1">
      <alignment vertical="top" wrapText="1"/>
    </xf>
    <xf numFmtId="0" fontId="43" fillId="0" borderId="0" xfId="0" applyFont="1" applyAlignment="1">
      <alignment vertical="top"/>
    </xf>
    <xf numFmtId="0" fontId="31" fillId="0" borderId="0" xfId="4" applyFont="1" applyAlignment="1">
      <alignment horizontal="left" vertical="top"/>
    </xf>
    <xf numFmtId="0" fontId="31" fillId="0" borderId="0" xfId="2" applyFont="1" applyAlignment="1">
      <alignment horizontal="center" vertical="center"/>
    </xf>
    <xf numFmtId="0" fontId="19" fillId="5" borderId="0" xfId="2" applyFont="1" applyFill="1" applyAlignment="1">
      <alignment horizontal="left" vertical="top"/>
    </xf>
    <xf numFmtId="0" fontId="31" fillId="0" borderId="0" xfId="2" applyFont="1" applyAlignment="1">
      <alignment horizontal="center" vertical="top"/>
    </xf>
    <xf numFmtId="0" fontId="35" fillId="0" borderId="0" xfId="13" applyFont="1" applyAlignment="1">
      <alignment horizontal="center" vertical="center"/>
    </xf>
    <xf numFmtId="3" fontId="31" fillId="0" borderId="0" xfId="13" applyNumberFormat="1" applyFont="1" applyAlignment="1">
      <alignment horizontal="center" vertical="center"/>
    </xf>
    <xf numFmtId="0" fontId="20" fillId="0" borderId="0" xfId="2" applyFont="1" applyAlignment="1">
      <alignment horizontal="center" vertical="center"/>
    </xf>
    <xf numFmtId="0" fontId="20" fillId="0" borderId="0" xfId="17" applyFont="1" applyAlignment="1">
      <alignment horizontal="center" vertical="center"/>
    </xf>
    <xf numFmtId="165" fontId="20" fillId="0" borderId="0" xfId="17" applyNumberFormat="1" applyFont="1" applyAlignment="1">
      <alignment horizontal="center" vertical="center"/>
    </xf>
    <xf numFmtId="15" fontId="20" fillId="0" borderId="0" xfId="17" applyNumberFormat="1" applyFont="1" applyAlignment="1">
      <alignment horizontal="center" vertical="center"/>
    </xf>
    <xf numFmtId="0" fontId="19" fillId="0" borderId="0" xfId="17" applyFont="1"/>
    <xf numFmtId="0" fontId="31" fillId="0" borderId="23" xfId="2" applyFont="1" applyBorder="1" applyAlignment="1">
      <alignment horizontal="left" vertical="top"/>
    </xf>
    <xf numFmtId="0" fontId="42" fillId="0" borderId="0" xfId="17" applyFont="1" applyAlignment="1">
      <alignment horizontal="center" vertical="center"/>
    </xf>
    <xf numFmtId="3" fontId="19" fillId="0" borderId="0" xfId="17" applyNumberFormat="1" applyFont="1" applyAlignment="1">
      <alignment vertical="center"/>
    </xf>
    <xf numFmtId="0" fontId="42" fillId="0" borderId="0" xfId="17" applyFont="1"/>
    <xf numFmtId="0" fontId="42" fillId="0" borderId="0" xfId="2" applyFont="1" applyAlignment="1">
      <alignment horizontal="center" vertical="center"/>
    </xf>
    <xf numFmtId="0" fontId="18" fillId="0" borderId="0" xfId="0" applyFont="1" applyAlignment="1">
      <alignment horizontal="center" vertical="center" wrapText="1"/>
    </xf>
    <xf numFmtId="0" fontId="18" fillId="0" borderId="0" xfId="0" applyFont="1" applyAlignment="1">
      <alignment horizontal="center" vertical="center"/>
    </xf>
    <xf numFmtId="0" fontId="19" fillId="0" borderId="5" xfId="0" applyFont="1" applyBorder="1" applyAlignment="1">
      <alignment horizontal="center" vertical="center"/>
    </xf>
    <xf numFmtId="0" fontId="20" fillId="0" borderId="0" xfId="0" applyFont="1" applyAlignment="1">
      <alignment horizontal="center" vertical="center"/>
    </xf>
    <xf numFmtId="0" fontId="21" fillId="0" borderId="0" xfId="0" applyFont="1" applyAlignment="1">
      <alignment horizontal="center" vertical="center"/>
    </xf>
    <xf numFmtId="0" fontId="20" fillId="0" borderId="5" xfId="0" applyFont="1" applyBorder="1" applyAlignment="1">
      <alignment horizontal="center" vertical="center"/>
    </xf>
    <xf numFmtId="0" fontId="22" fillId="0" borderId="0" xfId="0" applyFont="1" applyAlignment="1">
      <alignment horizontal="center" vertical="center"/>
    </xf>
    <xf numFmtId="0" fontId="23" fillId="0" borderId="0" xfId="0" applyFont="1" applyAlignment="1">
      <alignment horizontal="center" vertical="center"/>
    </xf>
    <xf numFmtId="0" fontId="23" fillId="0" borderId="5" xfId="0" applyFont="1" applyBorder="1" applyAlignment="1">
      <alignment horizontal="center" vertical="center"/>
    </xf>
    <xf numFmtId="0" fontId="19" fillId="0" borderId="6" xfId="0" applyFont="1" applyBorder="1" applyAlignment="1">
      <alignment horizontal="center" vertical="center"/>
    </xf>
    <xf numFmtId="0" fontId="18" fillId="0" borderId="6" xfId="0" applyFont="1" applyBorder="1" applyAlignment="1">
      <alignment horizontal="center" vertical="center"/>
    </xf>
    <xf numFmtId="0" fontId="23" fillId="0" borderId="6" xfId="0" applyFont="1" applyBorder="1" applyAlignment="1">
      <alignment horizontal="center" vertical="center"/>
    </xf>
    <xf numFmtId="0" fontId="19" fillId="0" borderId="4" xfId="0" applyFont="1" applyBorder="1" applyAlignment="1">
      <alignment horizontal="center"/>
    </xf>
    <xf numFmtId="0" fontId="19" fillId="0" borderId="2" xfId="0" applyFont="1" applyBorder="1" applyAlignment="1">
      <alignment horizontal="center"/>
    </xf>
    <xf numFmtId="0" fontId="19" fillId="0" borderId="3" xfId="0" applyFont="1" applyBorder="1" applyAlignment="1">
      <alignment horizontal="center"/>
    </xf>
    <xf numFmtId="0" fontId="0" fillId="15" borderId="18" xfId="0" applyFill="1" applyBorder="1" applyAlignment="1">
      <alignment horizontal="center" vertical="top"/>
    </xf>
    <xf numFmtId="0" fontId="0" fillId="15" borderId="19" xfId="0" applyFill="1" applyBorder="1" applyAlignment="1">
      <alignment horizontal="center" vertical="top"/>
    </xf>
    <xf numFmtId="0" fontId="0" fillId="16" borderId="10" xfId="0" applyFill="1" applyBorder="1" applyAlignment="1">
      <alignment horizontal="center" vertical="top"/>
    </xf>
    <xf numFmtId="0" fontId="0" fillId="16" borderId="11" xfId="0" applyFill="1" applyBorder="1" applyAlignment="1">
      <alignment horizontal="center" vertical="top"/>
    </xf>
    <xf numFmtId="0" fontId="0" fillId="0" borderId="0" xfId="0" applyNumberFormat="1"/>
  </cellXfs>
  <cellStyles count="29">
    <cellStyle name="Hyperlink" xfId="1" builtinId="8"/>
    <cellStyle name="Hyperlink 2" xfId="10" xr:uid="{FA396BCE-C56D-468B-A862-5CAAA1695E02}"/>
    <cellStyle name="Hyperlink 3" xfId="16" xr:uid="{71D24E73-388C-4797-89C6-DE3B27C4EBD8}"/>
    <cellStyle name="Input" xfId="7" builtinId="20"/>
    <cellStyle name="Normal" xfId="0" builtinId="0"/>
    <cellStyle name="Normal 149" xfId="18" xr:uid="{620494B0-2145-4FD2-AE38-8CF57878E112}"/>
    <cellStyle name="Normal 149 2" xfId="28" xr:uid="{C19E63D1-11ED-4E31-A0FD-7F8B71A463F6}"/>
    <cellStyle name="Normal 2" xfId="2" xr:uid="{09B605D8-2901-468B-B3E0-9BBEF57192DE}"/>
    <cellStyle name="Normal 2 2" xfId="3" xr:uid="{FAFD5303-BEDA-463F-8755-ACDD076FEAD7}"/>
    <cellStyle name="Normal 2 2 2" xfId="25" xr:uid="{9832F0AF-781F-4C80-87B0-1D5F508D9993}"/>
    <cellStyle name="Normal 2 2 3" xfId="26" xr:uid="{F4E0769A-DA8D-480E-BFB4-81D137892480}"/>
    <cellStyle name="Normal 2 2 4" xfId="20" xr:uid="{8650CB60-2528-4C79-85F1-93DC6642255A}"/>
    <cellStyle name="Normal 2 3" xfId="13" xr:uid="{A400567C-3854-45D8-99A1-4954EA4060F3}"/>
    <cellStyle name="Normal 3" xfId="6" xr:uid="{9E81B7C8-4C23-4221-B378-16834779E358}"/>
    <cellStyle name="Normal 3 2" xfId="14" xr:uid="{7F56FFD1-6917-4B2B-9D92-DD6969E1DD86}"/>
    <cellStyle name="Normal 3 3" xfId="21" xr:uid="{27242F04-522E-4C97-BEEC-2B0A9BF6F85F}"/>
    <cellStyle name="Normal 4" xfId="9" xr:uid="{DE8F346D-56FA-4E58-98C6-F899F953A3C7}"/>
    <cellStyle name="Normal 4 2" xfId="22" xr:uid="{CA0EA4A5-22BA-4C5B-AD93-E2341612494E}"/>
    <cellStyle name="Normal 5" xfId="11" xr:uid="{C2F319A9-34E7-4A66-96BB-77F9A5761429}"/>
    <cellStyle name="Normal 5 2" xfId="23" xr:uid="{71BB2617-89D9-489F-8880-5E2545A1EE42}"/>
    <cellStyle name="Normal 56" xfId="5" xr:uid="{3177C9E7-F4BF-469D-913E-552AC7800410}"/>
    <cellStyle name="Normal 57" xfId="4" xr:uid="{302DFB14-5850-4ADC-A06C-AFC8B1608ED7}"/>
    <cellStyle name="Normal 6" xfId="12" xr:uid="{6231654C-5D0B-4A27-B576-18539B642F27}"/>
    <cellStyle name="Normal 6 2" xfId="24" xr:uid="{74F5499D-C564-4703-AD85-7C0D3D524C5F}"/>
    <cellStyle name="Normal 7" xfId="17" xr:uid="{4CAE392F-EF2E-4CDB-9906-FCFB0DFD0A25}"/>
    <cellStyle name="Normal 8" xfId="27" xr:uid="{ECC7AE81-F44C-428D-89E4-9865B35EC00F}"/>
    <cellStyle name="Normal_WPInitialQuestionnaire.ppt" xfId="19" xr:uid="{C312E511-53D5-4D20-921E-4B9AD2F763DD}"/>
    <cellStyle name="Output" xfId="8" builtinId="21"/>
    <cellStyle name="Percent" xfId="15" builtinId="5"/>
  </cellStyles>
  <dxfs count="514">
    <dxf>
      <fill>
        <patternFill>
          <bgColor theme="9" tint="0.79998168889431442"/>
        </patternFill>
      </fill>
    </dxf>
    <dxf>
      <fill>
        <patternFill>
          <bgColor theme="8" tint="0.59996337778862885"/>
        </patternFill>
      </fill>
    </dxf>
    <dxf>
      <alignment horizontal="general" vertical="bottom" textRotation="0" wrapText="1" indent="0" justifyLastLine="0" shrinkToFit="0" readingOrder="0"/>
      <protection locked="0" hidden="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alignment horizontal="left" vertical="top"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strike val="0"/>
        <outline val="0"/>
        <shadow val="0"/>
        <u val="none"/>
        <vertAlign val="baseline"/>
        <sz val="10"/>
        <color auto="1"/>
        <name val="Calibri"/>
        <family val="2"/>
        <scheme val="minor"/>
      </font>
      <alignment horizontal="left" vertical="center"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numFmt numFmtId="0" formatCode="General"/>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numFmt numFmtId="164" formatCode="[$-F800]dddd\,\ mmmm\ dd\,\ yyyy"/>
      <alignment horizontal="center" vertical="center" textRotation="0" wrapText="0" indent="0" justifyLastLine="0" shrinkToFit="0" readingOrder="0"/>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strike val="0"/>
        <outline val="0"/>
        <shadow val="0"/>
        <u val="none"/>
        <vertAlign val="baseline"/>
        <sz val="10"/>
        <name val="Calibri"/>
        <family val="2"/>
        <scheme val="none"/>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color rgb="FFA50021"/>
      </font>
      <fill>
        <patternFill>
          <bgColor rgb="FFFFC7CE"/>
        </patternFill>
      </fill>
    </dxf>
    <dxf>
      <font>
        <b/>
        <i val="0"/>
        <color theme="9" tint="-0.499984740745262"/>
      </font>
    </dxf>
    <dxf>
      <font>
        <b val="0"/>
        <i val="0"/>
        <color theme="9" tint="-0.499984740745262"/>
      </font>
    </dxf>
    <dxf>
      <font>
        <b val="0"/>
        <i val="0"/>
        <color theme="9" tint="-0.24994659260841701"/>
      </font>
    </dxf>
    <dxf>
      <font>
        <strike val="0"/>
        <outline val="0"/>
        <shadow val="0"/>
        <u val="none"/>
        <vertAlign val="baseline"/>
        <sz val="10"/>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rgb="FF000000"/>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4" formatCode="[$-F800]dddd\,\ mmmm\ dd\,\ yyyy"/>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auto="1"/>
        <name val="Calibri"/>
        <family val="2"/>
        <scheme val="minor"/>
      </font>
      <numFmt numFmtId="19" formatCode="m/d/yyyy"/>
      <fill>
        <patternFill patternType="solid">
          <fgColor indexed="64"/>
          <bgColor theme="3" tint="0.59999389629810485"/>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strike val="0"/>
        <outline val="0"/>
        <shadow val="0"/>
        <u val="none"/>
        <vertAlign val="baseline"/>
        <sz val="10"/>
        <color auto="1"/>
        <name val="Calibri"/>
        <family val="2"/>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center"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general" vertical="center" textRotation="0" wrapText="0" indent="0" justifyLastLine="0" shrinkToFit="0" readingOrder="0"/>
    </dxf>
    <dxf>
      <font>
        <strike val="0"/>
        <outline val="0"/>
        <shadow val="0"/>
        <u val="none"/>
        <vertAlign val="baseline"/>
        <sz val="10"/>
        <color auto="1"/>
        <name val="Calibri"/>
        <family val="2"/>
        <scheme val="minor"/>
      </font>
      <alignment horizontal="left" vertical="center"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numFmt numFmtId="164" formatCode="[$-F800]dddd\,\ mmmm\ dd\,\ yyyy"/>
      <alignment horizontal="center" vertical="top" textRotation="0" wrapText="0" indent="0" justifyLastLine="0" shrinkToFit="0" readingOrder="0"/>
    </dxf>
    <dxf>
      <font>
        <strike val="0"/>
        <outline val="0"/>
        <shadow val="0"/>
        <u val="none"/>
        <vertAlign val="baseline"/>
        <sz val="10"/>
        <name val="Calibri"/>
        <family val="2"/>
      </font>
      <alignment horizontal="center" vertical="top" textRotation="0" wrapText="0" indent="0" justifyLastLine="0" shrinkToFit="0" readingOrder="0"/>
    </dxf>
    <dxf>
      <font>
        <strike val="0"/>
        <outline val="0"/>
        <shadow val="0"/>
        <u val="none"/>
        <vertAlign val="baseline"/>
        <sz val="10"/>
        <name val="Calibri"/>
        <family val="2"/>
      </font>
      <numFmt numFmtId="0" formatCode="General"/>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strike val="0"/>
        <outline val="0"/>
        <shadow val="0"/>
        <u val="none"/>
        <vertAlign val="baseline"/>
        <sz val="10"/>
        <name val="Calibri"/>
        <family val="2"/>
      </font>
      <alignment horizontal="general" vertical="top" textRotation="0" wrapText="0" indent="0" justifyLastLine="0" shrinkToFit="0" readingOrder="0"/>
    </dxf>
    <dxf>
      <font>
        <b/>
        <i val="0"/>
        <strike val="0"/>
        <condense val="0"/>
        <extend val="0"/>
        <outline val="0"/>
        <shadow val="0"/>
        <u val="none"/>
        <vertAlign val="baseline"/>
        <sz val="10"/>
        <color auto="1"/>
        <name val="Calibri"/>
        <family val="2"/>
        <scheme val="minor"/>
      </font>
      <numFmt numFmtId="19" formatCode="m/d/yyyy"/>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theme="1" tint="0.24994659260841701"/>
        </left>
        <right style="thin">
          <color theme="1" tint="0.24994659260841701"/>
        </right>
        <top/>
        <bottom/>
      </border>
    </dxf>
    <dxf>
      <font>
        <b/>
        <i val="0"/>
        <color theme="9" tint="-0.499984740745262"/>
      </font>
    </dxf>
    <dxf>
      <font>
        <b val="0"/>
        <i val="0"/>
        <color theme="9" tint="-0.499984740745262"/>
      </font>
    </dxf>
    <dxf>
      <font>
        <b val="0"/>
        <i val="0"/>
        <color theme="9" tint="-0.24994659260841701"/>
      </font>
    </dxf>
    <dxf>
      <font>
        <b val="0"/>
        <i val="0"/>
        <color rgb="FF7030A0"/>
      </font>
    </dxf>
    <dxf>
      <font>
        <b val="0"/>
        <i val="0"/>
        <color rgb="FF7030A0"/>
      </font>
    </dxf>
    <dxf>
      <font>
        <b val="0"/>
        <i val="0"/>
        <color rgb="FFC00000"/>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A50021"/>
      </font>
      <fill>
        <patternFill>
          <bgColor rgb="FFFFC7CE"/>
        </patternFill>
      </fill>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wrapText="1" indent="0" justifyLastLine="0" shrinkToFit="0" readingOrder="0"/>
    </dxf>
    <dxf>
      <font>
        <strike val="0"/>
        <outline val="0"/>
        <shadow val="0"/>
        <u val="none"/>
        <vertAlign val="baseline"/>
        <sz val="10"/>
        <name val="Calibri"/>
        <family val="2"/>
      </font>
      <numFmt numFmtId="164" formatCode="[$-F800]dddd\,\ mmmm\ dd\,\ yyyy"/>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center" vertical="top" textRotation="0" wrapText="0" indent="0" justifyLastLine="0" shrinkToFit="0" readingOrder="0"/>
    </dxf>
    <dxf>
      <font>
        <strike val="0"/>
        <outline val="0"/>
        <shadow val="0"/>
        <u val="none"/>
        <vertAlign val="baseline"/>
        <sz val="10"/>
        <color auto="1"/>
        <name val="Calibri"/>
        <family val="2"/>
        <scheme val="none"/>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name val="Calibri"/>
        <family val="2"/>
      </font>
      <numFmt numFmtId="164" formatCode="[$-F800]dddd\,\ mmmm\ dd\,\ yyyy"/>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strike val="0"/>
        <outline val="0"/>
        <shadow val="0"/>
        <u val="none"/>
        <vertAlign val="baseline"/>
        <sz val="10"/>
        <name val="Calibri"/>
        <family val="2"/>
      </font>
      <alignment horizontal="left" vertical="top" textRotation="0" indent="0" justifyLastLine="0" shrinkToFit="0" readingOrder="0"/>
    </dxf>
    <dxf>
      <font>
        <b/>
        <i val="0"/>
        <strike val="0"/>
        <condense val="0"/>
        <extend val="0"/>
        <outline val="0"/>
        <shadow val="0"/>
        <u val="none"/>
        <vertAlign val="baseline"/>
        <sz val="10"/>
        <color rgb="FF1F497D"/>
        <name val="Calibri"/>
        <family val="2"/>
        <scheme val="none"/>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numFmt numFmtId="19" formatCode="m/d/yyyy"/>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color rgb="FF9C5700"/>
      </font>
      <fill>
        <patternFill>
          <bgColor rgb="FFFFEB9C"/>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alignment horizontal="left" vertical="top" textRotation="0" wrapText="0" indent="0" justifyLastLine="0" shrinkToFit="0" readingOrder="0"/>
    </dxf>
    <dxf>
      <font>
        <color rgb="FF9C5700"/>
      </font>
      <fill>
        <patternFill>
          <bgColor rgb="FFFFEB9C"/>
        </patternFill>
      </fill>
    </dxf>
    <dxf>
      <font>
        <color rgb="FFA50021"/>
      </font>
      <fill>
        <patternFill>
          <bgColor rgb="FFFFC7CE"/>
        </patternFill>
      </fill>
    </dxf>
    <dxf>
      <font>
        <color rgb="FFA50021"/>
      </font>
      <fill>
        <patternFill>
          <bgColor rgb="FFCCCCFF"/>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9"/>
        <color theme="1"/>
        <name val="Calibri"/>
        <family val="2"/>
        <scheme val="minor"/>
      </font>
      <fill>
        <patternFill patternType="none">
          <fgColor indexed="64"/>
          <bgColor auto="1"/>
        </patternFill>
      </fill>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strike val="0"/>
        <outline val="0"/>
        <shadow val="0"/>
        <u val="none"/>
        <vertAlign val="baseline"/>
        <sz val="10"/>
        <color theme="0"/>
        <name val="Verdana"/>
        <family val="2"/>
        <scheme val="none"/>
      </font>
      <fill>
        <patternFill patternType="none">
          <fgColor indexed="64"/>
          <bgColor auto="1"/>
        </patternFill>
      </fill>
    </dxf>
    <dxf>
      <font>
        <color rgb="FF9C5700"/>
      </font>
      <fill>
        <patternFill>
          <bgColor rgb="FFFFEB9C"/>
        </patternFill>
      </fill>
    </dxf>
    <dxf>
      <font>
        <color rgb="FF9C5700"/>
      </font>
      <fill>
        <patternFill>
          <bgColor rgb="FFFFEB9C"/>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9C5700"/>
      </font>
      <fill>
        <patternFill>
          <bgColor rgb="FFFFEB9C"/>
        </patternFill>
      </fill>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auto="1"/>
        <name val="Calibri"/>
        <family val="2"/>
      </font>
      <fill>
        <patternFill patternType="none">
          <fgColor indexed="64"/>
          <bgColor auto="1"/>
        </patternFill>
      </fill>
    </dxf>
    <dxf>
      <font>
        <strike val="0"/>
        <outline val="0"/>
        <shadow val="0"/>
        <u val="none"/>
        <vertAlign val="baseline"/>
        <sz val="10"/>
        <color theme="1"/>
        <name val="Calibri"/>
        <family val="2"/>
        <scheme val="minor"/>
      </font>
      <numFmt numFmtId="3" formatCode="#,##0"/>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Calibri"/>
        <family val="2"/>
        <scheme val="none"/>
      </font>
      <numFmt numFmtId="0" formatCode="General"/>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right/>
        <top/>
        <bottom style="thick">
          <color rgb="FFA2B8E1"/>
        </bottom>
      </border>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9"/>
        <color auto="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20" formatCode="d\-mmm\-yy"/>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65" formatCode="[$-409]ddd\,\ mmm\ dd\,\ 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dxf>
    <dxf>
      <font>
        <b/>
        <i val="0"/>
        <strike val="0"/>
        <condense val="0"/>
        <extend val="0"/>
        <outline val="0"/>
        <shadow val="0"/>
        <u val="none"/>
        <vertAlign val="baseline"/>
        <sz val="11"/>
        <color auto="1"/>
        <name val="Calibri"/>
        <family val="2"/>
        <scheme val="none"/>
      </font>
      <numFmt numFmtId="19" formatCode="m/d/yyyy"/>
      <fill>
        <patternFill patternType="solid">
          <fgColor indexed="64"/>
          <bgColor theme="5"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val="0"/>
        <i val="0"/>
        <color theme="8" tint="-0.24994659260841701"/>
      </font>
    </dxf>
    <dxf>
      <font>
        <b/>
        <i val="0"/>
        <color theme="4" tint="-0.499984740745262"/>
      </font>
    </dxf>
    <dxf>
      <font>
        <b val="0"/>
        <i val="0"/>
        <color theme="4" tint="-0.499984740745262"/>
      </font>
    </dxf>
    <dxf>
      <font>
        <color rgb="FFA50021"/>
      </font>
      <fill>
        <patternFill>
          <bgColor rgb="FFFFC7CE"/>
        </patternFill>
      </fill>
    </dxf>
    <dxf>
      <font>
        <color rgb="FFFFFF00"/>
      </font>
      <fill>
        <patternFill>
          <bgColor rgb="FFC00000"/>
        </patternFill>
      </fill>
    </dxf>
    <dxf>
      <font>
        <b val="0"/>
        <i val="0"/>
        <color rgb="FFA50021"/>
      </font>
      <fill>
        <patternFill>
          <bgColor theme="0" tint="-4.9989318521683403E-2"/>
        </patternFill>
      </fill>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color rgb="FFFF0000"/>
      </font>
    </dxf>
    <dxf>
      <font>
        <color rgb="FFC65911"/>
      </font>
    </dxf>
    <dxf>
      <font>
        <color rgb="FF006699"/>
      </font>
    </dxf>
    <dxf>
      <font>
        <color rgb="FF9933FF"/>
      </font>
    </dxf>
    <dxf>
      <font>
        <color rgb="FFA50021"/>
      </font>
      <fill>
        <patternFill>
          <bgColor rgb="FFFFC7CE"/>
        </patternFill>
      </fill>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632523"/>
      </font>
    </dxf>
    <dxf>
      <font>
        <color rgb="FF215967"/>
      </font>
    </dxf>
    <dxf>
      <font>
        <color rgb="FF974706"/>
      </font>
    </dxf>
    <dxf>
      <font>
        <color rgb="FF4F6228"/>
      </font>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9"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9"/>
        <color rgb="FFFFFFFF"/>
        <name val="Calibri"/>
        <family val="2"/>
        <scheme val="minor"/>
      </font>
      <fill>
        <patternFill patternType="solid">
          <fgColor indexed="64"/>
          <bgColor rgb="FFFF0000"/>
        </patternFill>
      </fill>
      <alignment horizontal="general" vertical="center" textRotation="0" wrapText="1" indent="0" justifyLastLine="0" shrinkToFit="0" readingOrder="0"/>
      <border diagonalUp="0" diagonalDown="0">
        <left style="thin">
          <color auto="1"/>
        </left>
        <right style="thin">
          <color auto="1"/>
        </right>
        <top/>
        <bottom/>
      </border>
    </dxf>
    <dxf>
      <font>
        <color rgb="FF9C5700"/>
      </font>
      <fill>
        <patternFill>
          <bgColor rgb="FFFFEB9C"/>
        </patternFill>
      </fill>
    </dxf>
    <dxf>
      <font>
        <color rgb="FF800000"/>
      </font>
      <fill>
        <patternFill>
          <bgColor theme="5" tint="0.39994506668294322"/>
        </patternFill>
      </fill>
    </dxf>
    <dxf>
      <font>
        <color rgb="FF9C5700"/>
      </font>
      <fill>
        <patternFill>
          <bgColor rgb="FFFFEB9C"/>
        </patternFill>
      </fill>
    </dxf>
    <dxf>
      <font>
        <b val="0"/>
        <i val="0"/>
        <color theme="4" tint="-0.499984740745262"/>
      </font>
    </dxf>
    <dxf>
      <font>
        <b/>
        <i val="0"/>
        <color theme="4" tint="-0.499984740745262"/>
      </font>
    </dxf>
    <dxf>
      <font>
        <b val="0"/>
        <i val="0"/>
        <strike val="0"/>
        <color rgb="FFC00000"/>
      </font>
      <fill>
        <patternFill>
          <bgColor theme="8" tint="0.59996337778862885"/>
        </patternFill>
      </fill>
    </dxf>
    <dxf>
      <font>
        <color rgb="FFA50021"/>
      </font>
      <fill>
        <patternFill>
          <bgColor rgb="FFFFC7CE"/>
        </patternFill>
      </fill>
    </dxf>
    <dxf>
      <font>
        <b/>
        <i val="0"/>
        <color rgb="FF008080"/>
      </font>
      <fill>
        <patternFill>
          <bgColor rgb="FFFFCCFF"/>
        </patternFill>
      </fill>
    </dxf>
    <dxf>
      <font>
        <b val="0"/>
        <i val="0"/>
        <color rgb="FFA50021"/>
      </font>
      <fill>
        <patternFill>
          <bgColor theme="0" tint="-4.9989318521683403E-2"/>
        </patternFill>
      </fill>
    </dxf>
    <dxf>
      <font>
        <color rgb="FF632523"/>
      </font>
    </dxf>
    <dxf>
      <font>
        <color rgb="FF215967"/>
      </font>
    </dxf>
    <dxf>
      <font>
        <color rgb="FF974706"/>
      </font>
    </dxf>
    <dxf>
      <font>
        <color rgb="FF4F6228"/>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val="0"/>
        <i val="0"/>
        <color rgb="FF7030A0"/>
      </font>
    </dxf>
    <dxf>
      <font>
        <b val="0"/>
        <i val="0"/>
        <color rgb="FF7030A0"/>
      </font>
    </dxf>
    <dxf>
      <font>
        <b val="0"/>
        <i val="0"/>
        <color rgb="FFC00000"/>
      </font>
    </dxf>
    <dxf>
      <font>
        <b/>
        <i val="0"/>
        <color theme="9" tint="-0.499984740745262"/>
      </font>
    </dxf>
    <dxf>
      <font>
        <b val="0"/>
        <i val="0"/>
        <color theme="9" tint="-0.499984740745262"/>
      </font>
    </dxf>
    <dxf>
      <font>
        <b val="0"/>
        <i val="0"/>
        <color theme="9" tint="-0.24994659260841701"/>
      </font>
    </dxf>
    <dxf>
      <font>
        <color rgb="FFA50021"/>
      </font>
      <fill>
        <patternFill>
          <bgColor rgb="FFCCCCFF"/>
        </patternFill>
      </fill>
    </dxf>
    <dxf>
      <font>
        <color rgb="FFA50021"/>
      </font>
      <fill>
        <patternFill>
          <bgColor rgb="FFFFC7CE"/>
        </patternFill>
      </fill>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800000"/>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rgb="FFFF0066"/>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FF0066"/>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0"/>
        <color auto="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medium">
          <color indexed="64"/>
        </left>
        <right style="thin">
          <color indexed="64"/>
        </right>
        <top style="medium">
          <color indexed="64"/>
        </top>
        <bottom style="medium">
          <color indexed="64"/>
        </bottom>
      </border>
    </dxf>
    <dxf>
      <border outline="0">
        <bottom style="thin">
          <color indexed="64"/>
        </bottom>
      </border>
    </dxf>
    <dxf>
      <font>
        <b val="0"/>
        <i val="0"/>
        <strike val="0"/>
        <condense val="0"/>
        <extend val="0"/>
        <outline val="0"/>
        <shadow val="0"/>
        <u val="none"/>
        <vertAlign val="baseline"/>
        <sz val="10"/>
        <color theme="1"/>
        <name val="Calibri"/>
        <family val="2"/>
        <scheme val="minor"/>
      </font>
      <numFmt numFmtId="13" formatCode="0%"/>
    </dxf>
    <dxf>
      <font>
        <b val="0"/>
        <i val="0"/>
        <strike val="0"/>
        <condense val="0"/>
        <extend val="0"/>
        <outline val="0"/>
        <shadow val="0"/>
        <u val="none"/>
        <vertAlign val="baseline"/>
        <sz val="10"/>
        <color theme="1"/>
        <name val="Calibri"/>
        <family val="2"/>
        <scheme val="minor"/>
      </font>
      <numFmt numFmtId="13" formatCode="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strike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66"/>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font>
        <strike val="0"/>
        <outline val="0"/>
        <shadow val="0"/>
        <u val="none"/>
        <vertAlign val="baseline"/>
        <sz val="10"/>
        <name val="Calibri"/>
        <family val="2"/>
        <scheme val="minor"/>
      </font>
      <fill>
        <patternFill patternType="none">
          <fgColor indexed="64"/>
          <bgColor auto="1"/>
        </patternFill>
      </fill>
    </dxf>
    <dxf>
      <border outline="0">
        <bottom style="thin">
          <color indexed="64"/>
        </bottom>
      </border>
    </dxf>
    <dxf>
      <font>
        <strike val="0"/>
        <outline val="0"/>
        <shadow val="0"/>
        <u val="none"/>
        <vertAlign val="baseline"/>
        <sz val="10"/>
        <name val="Calibri"/>
        <family val="2"/>
        <scheme val="minor"/>
      </font>
    </dxf>
    <dxf>
      <font>
        <color rgb="FFC00000"/>
      </font>
    </dxf>
    <dxf>
      <font>
        <b/>
        <i val="0"/>
        <color rgb="FF215967"/>
      </font>
      <fill>
        <patternFill>
          <bgColor rgb="FFFFCCFF"/>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215967"/>
      </font>
      <fill>
        <patternFill>
          <bgColor rgb="FFFFCCFF"/>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ill>
        <patternFill>
          <bgColor theme="8" tint="0.59996337778862885"/>
        </patternFill>
      </fill>
    </dxf>
    <dxf>
      <font>
        <b/>
        <i val="0"/>
        <color auto="1"/>
      </font>
      <fill>
        <patternFill>
          <bgColor rgb="FFF4B084"/>
        </patternFill>
      </fill>
    </dxf>
    <dxf>
      <alignment horizontal="left" vertical="top" textRotation="0" wrapText="1" indent="0" justifyLastLine="0" shrinkToFit="0" readingOrder="0"/>
    </dxf>
    <dxf>
      <alignment horizontal="left" vertical="top" textRotation="0" indent="0" justifyLastLine="0" shrinkToFit="0" readingOrder="0"/>
      <border outline="0">
        <left style="thin">
          <color indexed="64"/>
        </left>
      </border>
    </dxf>
    <dxf>
      <font>
        <b/>
        <strike val="0"/>
        <outline val="0"/>
        <shadow val="0"/>
        <u val="none"/>
        <vertAlign val="baseline"/>
        <sz val="12"/>
        <color auto="1"/>
        <name val="Calibri"/>
        <family val="2"/>
        <scheme val="minor"/>
      </font>
      <numFmt numFmtId="165" formatCode="[$-409]ddd\,\ mmm\ dd\,\ yyyy"/>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alignment horizontal="left" vertical="top" textRotation="0" indent="0" justifyLastLine="0" shrinkToFit="0" readingOrder="0"/>
      <border outline="0">
        <right style="thin">
          <color indexed="64"/>
        </right>
      </border>
    </dxf>
    <dxf>
      <alignment horizontal="left" vertical="top" textRotation="0" indent="0" justifyLastLine="0" shrinkToFit="0" readingOrder="0"/>
    </dxf>
    <dxf>
      <font>
        <b/>
        <i val="0"/>
        <color rgb="FF7030A0"/>
      </font>
    </dxf>
  </dxfs>
  <tableStyles count="0" defaultTableStyle="TableStyleMedium2" defaultPivotStyle="PivotStyleLight16"/>
  <colors>
    <mruColors>
      <color rgb="FF8EA9DB"/>
      <color rgb="FFD9E1F2"/>
      <color rgb="FFC6E0B4"/>
      <color rgb="FFCCFF99"/>
      <color rgb="FFFFCCFF"/>
      <color rgb="FFD1D8E1"/>
      <color rgb="FF8497B0"/>
      <color rgb="FFACB9CA"/>
      <color rgb="FFB4C6E7"/>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30480</xdr:rowOff>
        </xdr:from>
        <xdr:to>
          <xdr:col>1</xdr:col>
          <xdr:colOff>1714500</xdr:colOff>
          <xdr:row>0</xdr:row>
          <xdr:rowOff>335280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Load Event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0</xdr:row>
          <xdr:rowOff>30480</xdr:rowOff>
        </xdr:from>
        <xdr:to>
          <xdr:col>2</xdr:col>
          <xdr:colOff>1897380</xdr:colOff>
          <xdr:row>0</xdr:row>
          <xdr:rowOff>335280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Clear Tables</a:t>
              </a:r>
            </a:p>
          </xdr:txBody>
        </xdr:sp>
        <xdr:clientData fPrintsWithSheet="0"/>
      </xdr:twoCellAnchor>
    </mc:Choice>
    <mc:Fallback/>
  </mc:AlternateContent>
  <xdr:twoCellAnchor editAs="oneCell">
    <xdr:from>
      <xdr:col>0</xdr:col>
      <xdr:colOff>114300</xdr:colOff>
      <xdr:row>0</xdr:row>
      <xdr:rowOff>76200</xdr:rowOff>
    </xdr:from>
    <xdr:to>
      <xdr:col>0</xdr:col>
      <xdr:colOff>800100</xdr:colOff>
      <xdr:row>0</xdr:row>
      <xdr:rowOff>361950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685800" cy="285750"/>
        </a:xfrm>
        <a:prstGeom prst="rect">
          <a:avLst/>
        </a:prstGeom>
      </xdr:spPr>
    </xdr:pic>
    <xdr:clientData/>
  </xdr:twoCellAnchor>
  <xdr:twoCellAnchor editAs="oneCell">
    <xdr:from>
      <xdr:col>4</xdr:col>
      <xdr:colOff>95250</xdr:colOff>
      <xdr:row>0</xdr:row>
      <xdr:rowOff>85725</xdr:rowOff>
    </xdr:from>
    <xdr:to>
      <xdr:col>5</xdr:col>
      <xdr:colOff>167157</xdr:colOff>
      <xdr:row>0</xdr:row>
      <xdr:rowOff>322649</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1800" y="85725"/>
          <a:ext cx="748182" cy="2369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2392680</xdr:colOff>
          <xdr:row>1</xdr:row>
          <xdr:rowOff>30480</xdr:rowOff>
        </xdr:from>
        <xdr:to>
          <xdr:col>1</xdr:col>
          <xdr:colOff>2926080</xdr:colOff>
          <xdr:row>1</xdr:row>
          <xdr:rowOff>167640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AAQ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2392680</xdr:colOff>
          <xdr:row>3</xdr:row>
          <xdr:rowOff>30480</xdr:rowOff>
        </xdr:from>
        <xdr:to>
          <xdr:col>1</xdr:col>
          <xdr:colOff>2926080</xdr:colOff>
          <xdr:row>3</xdr:row>
          <xdr:rowOff>167640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AAQ</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1958340</xdr:colOff>
          <xdr:row>0</xdr:row>
          <xdr:rowOff>22860</xdr:rowOff>
        </xdr:from>
        <xdr:to>
          <xdr:col>1</xdr:col>
          <xdr:colOff>2880360</xdr:colOff>
          <xdr:row>0</xdr:row>
          <xdr:rowOff>190500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500-00000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Snd Intro Msg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1424940</xdr:colOff>
          <xdr:row>0</xdr:row>
          <xdr:rowOff>30480</xdr:rowOff>
        </xdr:from>
        <xdr:to>
          <xdr:col>2</xdr:col>
          <xdr:colOff>3131820</xdr:colOff>
          <xdr:row>0</xdr:row>
          <xdr:rowOff>205740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600-000001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AAQ-All Apps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0</xdr:row>
          <xdr:rowOff>15240</xdr:rowOff>
        </xdr:from>
        <xdr:to>
          <xdr:col>0</xdr:col>
          <xdr:colOff>1318260</xdr:colOff>
          <xdr:row>0</xdr:row>
          <xdr:rowOff>182880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700-000002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Affinities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30480</xdr:rowOff>
        </xdr:from>
        <xdr:to>
          <xdr:col>0</xdr:col>
          <xdr:colOff>1021080</xdr:colOff>
          <xdr:row>2</xdr:row>
          <xdr:rowOff>7620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A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Test Intro Msg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30480</xdr:rowOff>
        </xdr:from>
        <xdr:to>
          <xdr:col>0</xdr:col>
          <xdr:colOff>1021080</xdr:colOff>
          <xdr:row>2</xdr:row>
          <xdr:rowOff>7620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B00-000001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Test AAQ Msg</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xdr:colOff>
          <xdr:row>1</xdr:row>
          <xdr:rowOff>15240</xdr:rowOff>
        </xdr:from>
        <xdr:to>
          <xdr:col>2</xdr:col>
          <xdr:colOff>1554480</xdr:colOff>
          <xdr:row>1</xdr:row>
          <xdr:rowOff>190500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101600</xdr:colOff>
      <xdr:row>0</xdr:row>
      <xdr:rowOff>38100</xdr:rowOff>
    </xdr:from>
    <xdr:to>
      <xdr:col>1</xdr:col>
      <xdr:colOff>787400</xdr:colOff>
      <xdr:row>1</xdr:row>
      <xdr:rowOff>133350</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6450" y="38100"/>
          <a:ext cx="685800" cy="285750"/>
        </a:xfrm>
        <a:prstGeom prst="rect">
          <a:avLst/>
        </a:prstGeom>
      </xdr:spPr>
    </xdr:pic>
    <xdr:clientData/>
  </xdr:twoCellAnchor>
  <xdr:twoCellAnchor editAs="oneCell">
    <xdr:from>
      <xdr:col>3</xdr:col>
      <xdr:colOff>6934200</xdr:colOff>
      <xdr:row>0</xdr:row>
      <xdr:rowOff>25400</xdr:rowOff>
    </xdr:from>
    <xdr:to>
      <xdr:col>3</xdr:col>
      <xdr:colOff>7679207</xdr:colOff>
      <xdr:row>1</xdr:row>
      <xdr:rowOff>71824</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00" y="25400"/>
          <a:ext cx="745007" cy="2369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rchitecture/EH-MEAxxx-MEW-Template-V0.151.xlsm" TargetMode="External"/><Relationship Id="rId1" Type="http://schemas.openxmlformats.org/officeDocument/2006/relationships/externalLinkPath" Target="/sites/AnthemMigrationTeam/Shared%20Documents/General/09.%20ADAI%20Go-Live%20Cutover%20Runbooks/MIGRATION%20EVENTS%20-%20HARRISONBURG%20&amp;%20RICHMOND/MEATST/Architecture/EH-MEAxxx-MEW-Template-V0.1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MWorkbook"/>
      <sheetName val="AppSum"/>
      <sheetName val="App to Servers"/>
      <sheetName val="LBSum"/>
      <sheetName val="BrokenF5s"/>
      <sheetName val="Arch Chklst"/>
      <sheetName val="IP Assigner"/>
      <sheetName val="Dependencies"/>
      <sheetName val="Affinities"/>
      <sheetName val="DR"/>
      <sheetName val="LBSum2"/>
      <sheetName val="LBRaw"/>
      <sheetName val="Server to LB"/>
      <sheetName val="TM"/>
      <sheetName val="DNSLookUp"/>
      <sheetName val="Applications"/>
      <sheetName val="Servers to App"/>
      <sheetName val="StgArray"/>
      <sheetName val="CS-Stacks"/>
      <sheetName val="AppSupStaff"/>
      <sheetName val="Clusters"/>
      <sheetName val="config"/>
      <sheetName val="syncconfig"/>
      <sheetName val="Info"/>
      <sheetName val="AppCodes"/>
      <sheetName val="Segmentation Map"/>
      <sheetName val="Zone Lookup"/>
      <sheetName val="TransitionManager"/>
      <sheetName val="WorkbookLists"/>
      <sheetName val="Target F5 Devices"/>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307.653270138886" createdVersion="7" refreshedVersion="8" minRefreshableVersion="3" recordCount="1" xr:uid="{A0D8C00D-36FA-4F79-A092-ADEA8D706560}">
  <cacheSource type="worksheet">
    <worksheetSource name="tblDependencies"/>
  </cacheSource>
  <cacheFields count="24">
    <cacheField name="AssetDependencyId" numFmtId="0">
      <sharedItems containsNonDate="0" containsString="0" containsBlank="1"/>
    </cacheField>
    <cacheField name="AssetId" numFmtId="0">
      <sharedItems containsNonDate="0" containsString="0" containsBlank="1"/>
    </cacheField>
    <cacheField name="AssetName" numFmtId="0">
      <sharedItems containsNonDate="0" containsBlank="1" count="1206">
        <m/>
        <s v="Sybase System Database (AIM)  - Do not use as primary app or for server name-Dev" u="1"/>
        <s v="IBM/FileNet-Dev" u="1"/>
        <s v="MBM ECM FileNet-Dev" u="1"/>
        <s v="AIMReportingEventService-Dev" u="1"/>
        <s v="MskEventService-Dev" u="1"/>
        <s v="Rad-ApplicationEventProcessor-Dev" u="1"/>
        <s v="RBM Event Service-Dev" u="1"/>
        <s v="Sleep Event Service (MBM)-Dev" u="1"/>
        <s v="User Profile Event Service-Dev" u="1"/>
        <s v="MBM - Elastic - Providerseach-Dev" u="1"/>
        <s v="member-search (MBM)-Dev" u="1"/>
        <s v="MBM - Elastic -Membersearch-Dev" u="1"/>
        <s v="Integrations - TIBCO-Dev" u="1"/>
        <s v="RabbitMQ-Dev" u="1"/>
        <s v="Curion Platform (on-prem)-Dev" u="1"/>
        <s v="Curion Platform-Test" u="1"/>
        <s v="Carelon MBM ETL-Dev" u="1"/>
        <s v="MongoDB Database (CMBM)  - Do not use as primary app or for server name-Dev" u="1"/>
        <s v="ESS-CaseEventProcessor-v1-Dev" u="1"/>
        <s v="Tableau MBM" u="1"/>
        <s v="Letters File Process-Dev" u="1"/>
        <s v="rrdconcatenate-Dev" u="1"/>
        <s v="Carelon MBM UIPath-Dev" u="1"/>
        <s v="NaperSoft Audit Letter Processor-Dev" u="1"/>
        <s v="RabbitMQ-Test" u="1"/>
        <s v="SOLIX-Prod" u="1"/>
        <s v="Automation and Analytics-Prod" u="1"/>
        <s v="MySQL System Database-Prod" u="1"/>
        <s v="HHS Edge Servers (Govt Software)-Prod" u="1"/>
        <s v="CDA Cloverleaf Integration Engine-Prod" u="1"/>
        <s v="Dental Operations Apps-Prod" u="1"/>
        <s v="IBM Security Key Lifecycle Manager(SKLM)-Prod" u="1"/>
        <s v="Business Objects Business Intelligence CII-Prod" u="1"/>
        <s v="APIGEE Microservices-Prod" u="1"/>
        <s v="APIGEE-Enterprise-OnPrem-Prod" u="1"/>
        <s v="SOA/API - Enterprise Services-Prod" u="1"/>
        <s v="SOA Kafka-Prod" u="1"/>
        <s v="Web-Based Coaching Tool-Prod" u="1"/>
        <s v="Tivoli ITM Monitoring-DR" u="1"/>
        <s v="10Xengineering NLP (On Prem)-Prod" u="1"/>
        <s v="Anthem Oracle Exadata Cloud Database-Prod" u="1"/>
        <s v="AOC Oracle Id Provisioning tool-Prod" u="1"/>
        <s v="835 Governance Framework-Prod" u="1"/>
        <s v="SQL Server System Database-Prod" u="1"/>
        <s v="LITES Consumer Driven Health Plan System-Prod" u="1"/>
        <s v="Tableau-Prod" u="1"/>
        <s v="SOA-API - Enterprise Services-Prod" u="1"/>
        <s v="SOA/API - Enterprise Services-DR" u="1"/>
        <s v="SOA/API/DATAPOWER - Enterprise Services-DR" u="1"/>
        <s v="Microsoft System Center Configuration Manager-Prod" u="1"/>
        <s v="SOA/API - Enterprise Service Bus - GBD-DR" u="1"/>
        <s v="Strategic Provider Cache (SPC)-Dev" u="1"/>
        <s v="Strategic Provider Cache (SPC)-Prod" u="1"/>
        <s v="Strategic Provider Cache (SPC)-Test" u="1"/>
        <s v="Sybase System Database-Test" u="1"/>
        <s v="SailPoint IIQCE-Test" u="1"/>
        <s v="Member Web Payment-Test" u="1"/>
        <s v="MongoDB System Database-Dev" u="1"/>
        <s v="Enterprise CognitiveAI-Dev" u="1"/>
        <s v="DDS DENTAL SYSTEMS-Dev" u="1"/>
        <s v="Citrix XenApp (CSBD)-Dev" u="1"/>
        <s v="Program Integrity Data Insights-Dev" u="1"/>
        <s v="OnePoint Siebel CRM-Test" u="1"/>
        <s v="EDM V3.0 - Analytic Shared Data Services-Test" u="1"/>
        <s v="Member Web Payment-Dev" u="1"/>
        <s v="OpenText Exstream-Dev" u="1"/>
        <s v="xPression-Dev" u="1"/>
        <s v="Venafi-Dev" u="1"/>
        <s v="Patient Quick View(CM)-DR" u="1"/>
        <s v="Specialty Enrollment System - AWS-Test" u="1"/>
        <s v="NextGen Pega Grievance &amp; Appeals (GBD/FEP/Commercial)-Test" u="1"/>
        <s v="Provider Chat-UAT" u="1"/>
        <s v="Anthem Single Provider Experience Network-Test" u="1"/>
        <s v="EDM V3.0 - Analytic Shared Data Services-Dev" u="1"/>
        <s v="CareMore - Single Sign On (SSO) (CM)-DR" u="1"/>
        <s v="Single Sign On (CM)-DR" u="1"/>
        <s v="Healthy Returns System-Prod" u="1"/>
        <s v="HRS AccessHMC-Prod" u="1"/>
        <s v="Ping Identity-DR" u="1"/>
        <s v="Provider Portal (CM)-DR" u="1"/>
        <s v="Epic (PC)-DR" u="1"/>
        <s v="EPIC(CM)-DR" u="1"/>
        <s v="Epic (PC)-Prod" u="1"/>
        <s v="EPIC(CM)-Prod" u="1"/>
        <s v="Lyric -  ClaimsXten v6.0 (CSBD)-DR" u="1"/>
        <s v="EPIC Health Enterprise-DR" u="1"/>
        <s v="Serv-U Gateway Serv-U MFT server (SolarWinds)(SHP)-DR" u="1"/>
        <s v="Globalscape (CM)-Prod" u="1"/>
        <s v="SOA/API - Enterprise Services-Test" u="1"/>
        <s v="SOA Kafka-Test" u="1"/>
        <s v="Provider Chat-SIT" u="1"/>
        <s v="Anthem Single Provider Experience Network-Dev" u="1"/>
        <s v="SYMPHONY-Test" u="1"/>
        <s v="Strategic Provider System (SPS)-Test" u="1"/>
        <s v="Risk Reimbursement PEGA-Test" u="1"/>
        <s v="FORD Eligibility Reconciliation Utility-Dev" u="1"/>
        <s v="SPIRE-Ford-MEU-Dev" u="1"/>
        <s v="WMDS/MaxMC Client Server/Database-Prod" u="1"/>
        <s v="Legacy Utilization Management Inquiry Services-Prod" u="1"/>
        <s v="Utilization Management Inquiry Services-Prod" u="1"/>
        <s v="ACMP Batch-Prod" u="1"/>
        <s v="Anthem Care Management Platform-Prod" u="1"/>
        <s v="CA Application Performance Management (APM)-Prod" u="1"/>
        <s v="OpenText Exstream-Prod" u="1"/>
        <s v="ClaimsRepository (IRx)-Prod" u="1"/>
        <s v="Utilization Management Decision Engine-Prod" u="1"/>
        <s v="Performance Guarantee Management System (IRx)-Prod" u="1"/>
        <s v="Care Management Gateway DB-Prod" u="1"/>
        <s v="WellPoint Decision Support System-Prod" u="1"/>
        <s v="Preauthorization Look Up Tool Online (Internal UI and database)-Prod" u="1"/>
        <s v="UMDE Web-Prod" u="1"/>
        <s v="Interactive Care Reviewer-Prod" u="1"/>
        <s v="Adobe Campaign-Prod" u="1"/>
        <s v="AVATAR-DR" u="1"/>
        <s v="Preauthorization Look Up Tool Online (Web UI and web services)-Prod" u="1"/>
        <s v="Authorization Standard Rules Optimizer (ASTRO)-Prod" u="1"/>
        <s v="Enterprise Auth API-Prod" u="1"/>
        <s v="ACMP UMOPS-Prod" u="1"/>
        <s v="ACMP COMMON JAR-Prod" u="1"/>
        <s v="Axway (GBD)-Prod" u="1"/>
        <s v="CCTR Web Services (GBD)-Prod" u="1"/>
        <s v="Claim Status Claim Appeals and Claim Disputes (GBD)-Prod" u="1"/>
        <s v="GBD Service Oriented Architecture Center of Excellence-Prod" u="1"/>
        <s v="Member 360 and Patient 360-Prod" u="1"/>
        <s v="CareEvolution BEACON-Prod" u="1"/>
        <s v="Galileo-Prod" u="1"/>
        <s v="Hiebus-Prod" u="1"/>
        <s v="Member 360 and Patient 360-Test" u="1"/>
        <s v="FileNet Image Services - Central Repository-Prod" u="1"/>
        <s v="Content Import: FileNet COLD-Prod" u="1"/>
        <s v="BPM Framework-Prod" u="1"/>
        <s v="Filenet Image Services-Prod" u="1"/>
        <s v="FileNet Enterprise Content Management-Prod" u="1"/>
        <s v="Content Import: High Performance Image Import-Prod" u="1"/>
        <s v="Content Services: FileNet FEP Web Service (DOCWS)-Prod" u="1"/>
        <s v="Reconciliation and Balancing-Prod" u="1"/>
        <s v="FileNet Batch: WellPoint Enrollment Application Processor-Prod" u="1"/>
        <s v="FileNet Post Index-Prod" u="1"/>
        <s v="Datacap-Prod" u="1"/>
        <s v="FileNet Image Services - West Repository-Prod" u="1"/>
        <s v="FileNet Image Services - FNDocs Repository-Prod" u="1"/>
        <s v="820 Splitter - Exchange-Prod" u="1"/>
        <s v="ITS Intraplan - Finance-Prod" u="1"/>
        <s v="MLR Rebates-Prod" u="1"/>
        <s v="PeopleSoft - CPM-Prod" u="1"/>
        <s v="Peoplesoft Financials-Prod" u="1"/>
        <s v="PeopleSoft - AM-Prod" u="1"/>
        <s v="PeopleSoft - AP-Prod" u="1"/>
        <s v="PeopleSoft - GL-Prod" u="1"/>
        <s v="Quest STAT-Prod" u="1"/>
        <s v="PeopleSoft - PO-Prod" u="1"/>
        <s v="Healthcore Standard Operating Procedures &amp; Policies (HC)-Dev" u="1"/>
        <s v="TRAQ Value Tracker-Dev" u="1"/>
        <s v="HealthCore Automated Data Development Plan Tool (HC)-Dev" u="1"/>
        <s v="HealthCore Automated Data Extraction and Profiling Tool (HC)-Dev" u="1"/>
        <s v="RapidCAPTURE-Dev" u="1"/>
        <s v="Strategic Provider System (SPS)-Dev" u="1"/>
        <s v="ACMS UM Intake-Dev" u="1"/>
        <s v="ServiceNow Agent Client Collector MID Servers" u="1"/>
        <s v="AVATAR-Test" u="1"/>
        <s v="ACMS UM Intake-Test" u="1"/>
        <s v="eHub - Enterprise Information Hub-Test" u="1"/>
        <s v="ServiceNow Event Management MID Servers-Test" u="1"/>
        <s v="Venafi-Test" u="1"/>
        <s v="Siebel OBIEE-Dev" u="1"/>
        <s v="IIS WebApplications Farm-Dev" u="1"/>
        <s v="The BOSS Portal (GBD)-Dev" u="1"/>
        <s v="Unprocessed Rebill Report (GBD)-Dev" u="1"/>
        <s v="Siebel OBIEE-Test" u="1"/>
        <s v="Anthem Reimagine On-Premise DR-Test" u="1"/>
        <s v="System Center Configuration Manager (CM)-Test" u="1"/>
        <s v="SQL Sentry Power Suite-Test" u="1"/>
        <s v="Transition Adapter-Test" u="1"/>
        <s v="WGS Billing-Dev" u="1"/>
        <s v="Tidal (GBD)-Test" u="1"/>
        <s v="Prism Provider (GBD)-Test" u="1"/>
        <s v="Tidal -GBD-QA" u="1"/>
        <s v="Enterprise Data Hub (CM)-Prod" u="1"/>
        <s v="CareMore - Enterprise Data Hub (EDH)(CM)-Prod" u="1"/>
        <s v="EDW(CM)-Prod" u="1"/>
        <s v="ICEDQ (CM)-Prod" u="1"/>
        <s v="INFORMATICA IICS (CM)-Prod" u="1"/>
        <s v="Care Utilization Platform-CUP(CM)-Prod" u="1"/>
        <s v="SQL Server System Database (CareMore) (CM)-Prod" u="1"/>
        <s v="CUE Correspondence Generation(CM)-Prod" u="1"/>
        <s v="CareMore Enterprise Content Management - FileNet(CM)-Prod" u="1"/>
        <s v="Patient Quick View(CM)-Prod" u="1"/>
        <s v="Provider Tracking(CM)-Prod" u="1"/>
        <s v="Capitation Deduction(CM)-Prod" u="1"/>
        <s v="CareMore Operational Data Store (CODS)(CM)-Prod" u="1"/>
        <s v="CMHCC(CM)-Prod" u="1"/>
        <s v="Encounter Data Processing System(CM)-Prod" u="1"/>
        <s v="Member Search(CM)-Prod" u="1"/>
        <s v="RAPS(CM)-Prod" u="1"/>
        <s v="Specialist Capitation(CM)-Prod" u="1"/>
        <s v="FACETS(CM)-Prod" u="1"/>
        <s v="CareMore Data Utility Platform (CM)-Prod" u="1"/>
        <s v="Navigator Outreach(CM)-Prod" u="1"/>
        <s v="MDX(CM)-Prod" u="1"/>
        <s v="EdiFecs(CM)-Prod" u="1"/>
        <s v="WSO2(CM)-Prod" u="1"/>
        <s v="NEXTGEN WEST(CM)-Prod" u="1"/>
        <s v="Reporting Data Platform - RDP(CM)-Prod" u="1"/>
        <s v="Clinical Analytics &amp; Reporting-CARS(CM)-Prod" u="1"/>
        <s v="NEXTGEN AGP(CM)-Prod" u="1"/>
        <s v="NEXTGEN EAST(CM)-Prod" u="1"/>
        <s v="CareMore.com(CM)-Prod" u="1"/>
        <s v="CMGI.com(CM)-Prod" u="1"/>
        <s v="Encore(CM)-Prod" u="1"/>
        <s v="GlobalScape(CM)-Prod" u="1"/>
        <s v="Tricerat Simplify Printing(CM)-Prod" u="1"/>
        <s v="FileTracker(CM)-Prod" u="1"/>
        <s v="FileRouterUI(CM)-Prod" u="1"/>
        <s v="ClaimsDashboard(CM)-Prod" u="1"/>
        <s v="Senior Variable Database (SVDB)(CM)-Prod" u="1"/>
        <s v="Provider Outreach Directory Solution (CM)-Prod" u="1"/>
        <s v="PaymentSolution(CM)-Prod" u="1"/>
        <s v="SBI(CM)-Prod" u="1"/>
        <s v="Aspire ODS (Operational Data Store)-Prod" u="1"/>
        <s v="Optum(CM)-Prod" u="1"/>
        <s v="Facets BusinessConfig(CM)-Prod" u="1"/>
        <s v="Patient App-CareMore Anytime(CM)-Prod" u="1"/>
        <s v="Provider Portal(CM)-Prod" u="1"/>
        <s v="Facets Security Management Tool-SMT(CM)-Prod" u="1"/>
        <s v="Citrix XenApp (CM)-Prod" u="1"/>
        <s v="caremore-providerportal-ui-Prod" u="1"/>
        <s v="caremore-portal-patient-Prod" u="1"/>
        <s v="GlobalScape(CM)-UAT" u="1"/>
        <s v="Facets Configuration Migration Utility-Prod" u="1"/>
        <s v="CA TDM (CM)-Prod" u="1"/>
        <s v="TriZetto HIPPA Gateway(CM)-Prod" u="1"/>
        <s v="Patient Experience DB(CM)-Prod" u="1"/>
        <s v="Tidal(CM)-Prod" u="1"/>
        <s v="HealthLink Anita - Claims Processing-Prod" u="1"/>
        <s v="HealthLink Anita - Customer Service-Prod" u="1"/>
        <s v="HealthLink Anita - Eligibility-Prod" u="1"/>
        <s v="Healthlink Anita - PRC (Program Revision Control)-Prod" u="1"/>
        <s v="HealthLink Anita - Provider Database-Prod" u="1"/>
        <s v="HealthLink Anita-Prod" u="1"/>
        <s v="HealthLink IIS - Intranet Site-Prod" u="1"/>
        <s v="HealthLink Anita - Pinnacle Work Flow-Prod" u="1"/>
        <s v="HealthLink Data Warehouse (DW)-Prod" u="1"/>
        <s v="HealthLink EC Gateway-Prod" u="1"/>
        <s v="HealthLink IIS - www.allianceepo.com-Prod" u="1"/>
        <s v="HealthLink IIS - www.allianceepo.com-Test" u="1"/>
        <s v="HealthLink IIS-Prod" u="1"/>
        <s v="SQL Server System Database (HealthLink)-Prod" u="1"/>
        <s v="HealthLink Portals - ProviderInfoSource-Dev" u="1"/>
        <s v="HealthLink Portals - ProviderInfoSource-Prod" u="1"/>
        <s v="HealthLink Portals - ProviderInfoSource-Test" u="1"/>
        <s v="HealthLink Anita - Pinnacle Work Flow-Test" u="1"/>
        <s v="HealthLink IIS - www.anthemwc.com-Prod" u="1"/>
        <s v="HealthLink IIS - www.healthlink.com-Prod" u="1"/>
        <s v="HealthLink IIS - www.healthlinkeap.com-Prod" u="1"/>
        <s v="SOA/API - Enterprise Services-Dev" u="1"/>
        <s v="CCP-Genesys-Administration-Dev" u="1"/>
        <s v="CCP-Genesys-Administration-Prod" u="1"/>
        <s v="CCP-Genesys-Administration-Test" u="1"/>
        <s v="SOA Atomic Services-Dev" u="1"/>
        <s v="Enterprise EDI Clearinghouse-Dev" u="1"/>
        <s v="Avaya Communication Manager (GBD)-Dev" u="1"/>
        <s v="Pharmacy Home System (IRx)-Dev" u="1"/>
        <s v="MEA112 No Application Information" u="1"/>
        <s v="Pharmacy Home System (IRx)-Prod" u="1"/>
        <s v="Pharmacy Home System (IRx)-Test" u="1"/>
        <s v="Healthy Innovations Platform Landing Zone-Dev" u="1"/>
        <s v="SQL Server System Database-Dev" u="1"/>
        <s v="10Xengineering NLP (On Prem)-Dev" u="1"/>
        <s v="Alarm Services - Employer-Dev" u="1"/>
        <s v="PCA DevOps-Dev" u="1"/>
        <s v="Architecture eXplorer-Prod" u="1"/>
        <s v="Blue View Vision Loader-Dev" u="1"/>
        <s v="OPTUM Price Normalizer-Dev" u="1"/>
        <s v="Initial Payment Portal-Test" u="1"/>
        <s v="Carelon-HRS 2.0-Test" u="1"/>
        <s v="Healthy Returns System-Test" u="1"/>
        <s v="NurseLine Application-Test" u="1"/>
        <s v="Comix-Prod" u="1"/>
        <s v="Enterprise Health Products-Test" u="1"/>
        <s v="SPIDER-Perf2" u="1"/>
        <s v="RxTicket -IRx-Test" u="1"/>
        <s v="IAM Webservices-Prod" u="1"/>
        <s v="GBD Pharmacy Prior Authorization Review Tool -PAR  -IRx-Test" u="1"/>
        <s v="DDS External Portals - Provider Portal Multibrand-Dev" u="1"/>
        <s v="WellPoint Services Layer-Test" u="1"/>
        <s v="SSB Data Warehouse-Dev" u="1"/>
        <s v="Informatica WCC-Dev" u="1"/>
        <s v="Contract Management Application-Prod" u="1"/>
        <s v="Cisco Application Centric Infrastructure-Prod" u="1"/>
        <s v="CA Grid-Tools-Test" u="1"/>
        <s v="Client Reporting Solution Strategy-Test" u="1"/>
        <s v="ERISA 5500 Reporting-Dev" u="1"/>
        <s v="Specialty Batch Process-Prod" u="1"/>
        <s v="Enterprise Reimbursement Library-Prod" u="1"/>
        <s v="EDWard - Master Consumer ID-Dev" u="1"/>
        <s v="searchMemberESI - EIS -IRx-Dev" u="1"/>
        <s v="CVS Service Delivery-IngenioRx -IRx-Dev" u="1"/>
        <s v="Facets Integrated NetworX - Central Facets-Perf" u="1"/>
        <s v="Document Posting Site-Dev" u="1"/>
        <s v="Peoplesoft Financials-Test" u="1"/>
        <s v="WellPoint Services Layer-Dev" u="1"/>
        <s v="Claims Acquisition - GBD-Test" u="1"/>
        <s v="BMS Rate Data Services - RDS-Test" u="1"/>
        <s v="NPI Enterprise Business Services-Prod" u="1"/>
        <s v="Enterprise Health Product Services-Test" u="1"/>
        <s v="HealthLink DW -DRug Claims Data Mart-Test" u="1"/>
        <s v="INF-Citrix XenApp -CM-DR" u="1"/>
        <s v="Internet Provider Finder-Prod" u="1"/>
        <s v="BMS Rate Data Services -RDS-Perf" u="1"/>
        <s v="OBIS-Test" u="1"/>
        <s v="Specialty Acumen WebSite-Prod" u="1"/>
        <s v="COSMO-Test" u="1"/>
        <s v="LD ONLINE UW-Prod" u="1"/>
        <s v="WellPoint Product Database Individual-Small Group-Prod" u="1"/>
        <s v="ePact-Test" u="1"/>
        <s v="Enterprise Reporting Segmentation Utility - ERSU-Test" u="1"/>
        <s v="WMDS-MaxMC Client Server-Database-Prod" u="1"/>
        <s v="DELTA-Prod" u="1"/>
        <s v="Comix-Test" u="1"/>
        <s v="SouthEast Drug Rebate-Dev" u="1"/>
        <s v="WCS - WWC EPS Batch2-Prod" u="1"/>
        <s v="360 Product Selection Tool-Prod" u="1"/>
        <s v="Middletier Individual Enrollment System -IES-Test" u="1"/>
        <s v="Provider Data Format - PDF -Prod" u="1"/>
        <s v="CRE-RHI DataExchanges-Test" u="1"/>
        <s v="IOS Product Integration-Prod" u="1"/>
        <s v="Oracle Revenue Management Billing-Test" u="1"/>
        <s v="EPDS SSB-Test" u="1"/>
        <s v="RHI Claims Explorer-Prod" u="1"/>
        <s v="Informatica DQ Services-Test" u="1"/>
        <s v="INFORMATICA POWERCENTER-Prod" u="1"/>
        <s v="Division of Financial Responsibilities -DOFR-Dev" u="1"/>
        <s v="NPI Multiple NPI Lookup Service-Prod" u="1"/>
        <s v="Sapience-Prod" u="1"/>
        <s v="WSL-MemberInquiry-Prod" u="1"/>
        <s v="Benefit Builder -IRx-Dev" u="1"/>
        <s v="SPIDER - Group Configurator - LITE-Prod" u="1"/>
        <s v="Medicare Part C Mandate Reporting-Test" u="1"/>
        <s v="Employer Access - GA-Test" u="1"/>
        <s v="Central Facets-Prod" u="1"/>
        <s v="Case Administration Tracking-Prod" u="1"/>
        <s v="IBM Initiate Inspector-Prod" u="1"/>
        <s v="NE Care Management Data Archive-Prod" u="1"/>
        <s v="IOS-Siebel-CRM-Prod" u="1"/>
        <s v="BSP - Benefit Selection Platform-Dev" u="1"/>
        <s v="Internet Provider Finder-Test" u="1"/>
        <s v="Consumer Driven Health Middle Tier - Integrated Accumulations -IRx-Test" u="1"/>
        <s v="DDS Oracle Financials-Dev7" u="1"/>
        <s v="Benefit Builder ACES Import -IRx-Test" u="1"/>
        <s v="Payment Hub-Prod" u="1"/>
        <s v="Enterprise Content Management-Test" u="1"/>
        <s v="INF-ActiveDirectory - AD.Wellpoint.com-Prod" u="1"/>
        <s v="Enterprise Provider Pricing System-Dev" u="1"/>
        <s v="Facets Client Server App - Central Facets-Prod" u="1"/>
        <s v="CLAIMS_INVENTORY (GBD)-Dev" u="1"/>
        <s v="Provider Operational Data Store-Perf" u="1"/>
        <s v="DDS Dental System (DDS) - Group Sales Management-Dev" u="1"/>
        <s v="Product Admin Tool-Perf" u="1"/>
        <s v="CLAIMS_INVENTORY - GBD-Test" u="1"/>
        <s v="Pharmacy Clinical Operations (IRx)-Dev" u="1"/>
        <s v="SPIDER-Prod" u="1"/>
        <s v="NASCO Medical Management Programs Repository-Prod" u="1"/>
        <s v="HRA Vendor Feeds-Prod" u="1"/>
        <s v="INF-Microsoft System Center Configuration Manager-Prod" u="1"/>
        <s v="Enterprise Alpha Prefix Router for IAS-Prod" u="1"/>
        <s v="Specialty Product Integrated Relationship Engine-Test" u="1"/>
        <s v="Producer Tool Box 2.0-Perf" u="1"/>
        <s v="LGCRS - Data Mart-Dev" u="1"/>
        <s v="Automation and Analytics-Dev" u="1"/>
        <s v="CVS Service Delivery-IngenioRx -IRx-Test" u="1"/>
        <s v="Integrated Rate Management System-Prod" u="1"/>
        <s v="Content Management Pharmacy-Test" u="1"/>
        <s v="820 Splitter - Exchange-Dev" u="1"/>
        <s v="PPMS - Product package management system-Test" u="1"/>
        <s v="Quest STAT-Dev" u="1"/>
        <s v="PeopleSoft - AM-Test" u="1"/>
        <s v="Rx PA SQL Database (IRx)-Prod" u="1"/>
        <s v="IOS Shop &amp; Quote-Prod" u="1"/>
        <s v="Advanced Life and Income Claim System-Prod" u="1"/>
        <s v="PALLM Individual L&amp;D-Test" u="1"/>
        <s v="Anthem PeopleSoft GL Translator-Prod" u="1"/>
        <s v="DEVELOP MODULAR PRODUCT CAPABILITIES FROM PRESALE THROUGH ACCOUNT INSTALLATION-Prod" u="1"/>
        <s v="CRE-RHI DataExchanges-Prod" u="1"/>
        <s v="Provider Finder Services Layer-Dev" u="1"/>
        <s v="SPIDER - Users Management Module-Test" u="1"/>
        <s v="DDS Internal Websites and App Links - DPS Customs Apps Proxy-Dev" u="1"/>
        <s v="Point of Care-Prod" u="1"/>
        <s v="System for Continuous Operational Results Excellence-Perf" u="1"/>
        <s v="835 Governance Framework-Test" u="1"/>
        <s v="DDS External Online Store and Billing Renewal Tools - Billing and Renewal Tools-Dev" u="1"/>
        <s v="Datanet 3-Dev" u="1"/>
        <s v="Rational - BuildForge-Test" u="1"/>
        <s v="Facilitated Enrollment Electronic Application (GBD)-Test" u="1"/>
        <s v="searchMemberESI - EIS -IRx-Test" u="1"/>
        <s v="Compass -GBD-Test" u="1"/>
        <s v="CPL Repository-Prod" u="1"/>
        <s v="National Dental Grid-Dev7" u="1"/>
        <s v="Request_DX-Test" u="1"/>
        <s v="PeopleSoft - AP-Test" u="1"/>
        <s v="Provider Finder-Prod" u="1"/>
        <s v="Informatica Staging-Prod" u="1"/>
        <s v="Enterprise Data Store-Test" u="1"/>
        <s v="WCS Electronic Pricing System-Test" u="1"/>
        <s v="Corporate Individual Rights System -CIRS-Prod" u="1"/>
        <s v="WGS Claims-Dev" u="1"/>
        <s v="DDS Dental System (DDS) - Adjudication-Dev7" u="1"/>
        <s v="Letter Generator System-Perf" u="1"/>
        <s v="Provider Onboarding-Prod" u="1"/>
        <s v="DDS External Online Store and Billing Renewal Tools - Online Store DII-Dev" u="1"/>
        <s v="Diamond950 Claims Archive-Test" u="1"/>
        <s v="Financial Drug Claim System -IRx-Dev" u="1"/>
        <s v="Payment Hub-Dev" u="1"/>
        <s v="SSB Data Warehouse-Test" u="1"/>
        <s v="PeopleSoft - AR-Test" u="1"/>
        <s v="SPIDER Batch Interface Program-Prod" u="1"/>
        <s v="Desktop Automated Reimage System-Prod" u="1"/>
        <s v="SailPoint IIQ PE-Test" u="1"/>
        <s v="NE HRA Vendor Feeds-Dev" u="1"/>
        <s v="Appdev Intake Automation-Prod" u="1"/>
        <s v="Facets Price N Ship-Prod" u="1"/>
        <s v="BMS WellQuote-Perf" u="1"/>
        <s v="L &amp; D Operational Data Store-Dev" u="1"/>
        <s v="PeopleSafe -IRx-Test" u="1"/>
        <s v="Clinical Interventions Opt-Out Maintenance -IRx-Test" u="1"/>
        <s v="WGS Capitation-Test" u="1"/>
        <s v="Small Group Quoting-Prod" u="1"/>
        <s v="Senior Risk Adjustment-Test" u="1"/>
        <s v="MicroFocus ZFE-Prod" u="1"/>
        <s v="Data Transfer -MHA-Prod" u="1"/>
        <s v="NPI Batch Engine-Prod" u="1"/>
        <s v="Mobile INTACT-Prod" u="1"/>
        <s v="Provider Operational Data Store-Prod" u="1"/>
        <s v="PPMS - Product package management system-Prod" u="1"/>
        <s v="Cognitive Platform -On Prem-Prod" u="1"/>
        <s v="Program Integrity Workflow -GBD-Dev" u="1"/>
        <s v="Data Loading (PSG)-Test" u="1"/>
        <s v="Groupers-Prod" u="1"/>
        <s v="Content Management Pharmacy-Dev" u="1"/>
        <s v="InterAct-Test" u="1"/>
        <s v="Enterprise Reporting Segmentation Utility -ERSU-Test" u="1"/>
        <s v="COE Facilities-Test" u="1"/>
        <s v="HMC BI IM Reporting-Prod" u="1"/>
        <s v="Non-Associate Identity Management-Test" u="1"/>
        <s v="PeopleSoft - CPM-Dev" u="1"/>
        <s v="Healthy Innovations On Prem-Prod" u="1"/>
        <s v="Common File Format Inbound-Prod" u="1"/>
        <s v="Clinical Hub - Provider &amp; Clinical Data Analytics -Legacy LPR-Prod" u="1"/>
        <s v="theSource -IRx-Test" u="1"/>
        <s v="Rating/Underwriting Gateway (RTUW-GW)-Test" u="1"/>
        <s v="CDPS GA SHBP-Test" u="1"/>
        <s v="Rational - BuildForge-Prod" u="1"/>
        <s v="DocGen-Test" u="1"/>
        <s v="DDS Oracle Financials-Dev" u="1"/>
        <s v="EPIC Health Enterprise-Prod" u="1"/>
        <s v="ServiceNow Lookup Portal-Prod" u="1"/>
        <s v="Enterprise Data Store-Prod" u="1"/>
        <s v="CareNex Archival-Test" u="1"/>
        <s v="STARS BI-Test" u="1"/>
        <s v="Product Admin Tool-Prod" u="1"/>
        <s v="HUMAN ORGAN TRANSPLANT-Test" u="1"/>
        <s v="Benefit Builder -IRx-Test" u="1"/>
        <s v="CSSD - Service Development Center-Dev" u="1"/>
        <s v="RHI Clinical Tools-Prod" u="1"/>
        <s v="COSMO-Perf" u="1"/>
        <s v="ITS Intraplan - Finance-Dev" u="1"/>
        <s v="820 Splitter - Exchange-Test" u="1"/>
        <s v="Comix-Perf" u="1"/>
        <s v="Payment Innovations-Test" u="1"/>
        <s v="Enterprise EOB HUB-Prod" u="1"/>
        <s v="FACETS_CITRIXservers-Prod" u="1"/>
        <s v="Enterprise Common Services-Test" u="1"/>
        <s v="ProWatch-Prod" u="1"/>
        <s v="SBP_AlicsToMainframe-Prod" u="1"/>
        <s v="Benefit Builder - General -IRx-Dev" u="1"/>
        <s v="Informatica PRV-Dev" u="1"/>
        <s v="RHI Rules Engine-Prod" u="1"/>
        <s v="GP00-Provider GUI-Test" u="1"/>
        <s v="Healthwise Coach-Prod" u="1"/>
        <s v="DDS Dental System (DDS) - Finance-Dev" u="1"/>
        <s v="Product Development Tool-Prod" u="1"/>
        <s v="Financial Claims System-Prod" u="1"/>
        <s v="Financial Income System-Prod" u="1"/>
        <s v="Visual CACTUS-Prod" u="1"/>
        <s v="NextGen Pega Grievance &amp; Appeals -GBD-FEP-Commercial-Prod" u="1"/>
        <s v="MProducer-UAT" u="1"/>
        <s v="ITS Intraplan - Finance-Test" u="1"/>
        <s v="Large Group Rating System-Prod" u="1"/>
        <s v="eWPD-WPD Data Warehouse-Prod" u="1"/>
        <s v="Provider Finder Services Layer-Test" u="1"/>
        <s v="Discrepancy (X) Insights and remediation for Provider Data Space-Prod" u="1"/>
        <s v="Employer Reimagine-Test" u="1"/>
        <s v="Financial Integrated Rating System Tool-Prod" u="1"/>
        <s v="INF-ControlM-Prod" u="1"/>
        <s v="Interactive Care Reviewer-Test" u="1"/>
        <s v="Infogix Assure-Test" u="1"/>
        <s v="SOA-API - Enterprise Services-Test" u="1"/>
        <s v="NurseLine Application-Dev" u="1"/>
        <s v="INF-Citrix XenApp -GBD-Prod" u="1"/>
        <s v="Vendor Invoicing Exchange-Dev" u="1"/>
        <s v="Sanctioned Provider System-Prod" u="1"/>
        <s v="SOA Atomic Services-Test" u="1"/>
        <s v="RightFax Database-Prod" u="1"/>
        <s v="Pega - Claim Repair-Dev" u="1"/>
        <s v="Individual Online Store Exchange-IOS-UAT" u="1"/>
        <s v="PeopleSoft - Billing-Prod" u="1"/>
        <s v="LITES Consumer Driven Health Plan System-Perf" u="1"/>
        <s v="Online Group Billing-Test" u="1"/>
        <s v="Publishing-Prod" u="1"/>
        <s v="GBD Pega Claims Repair-Dev" u="1"/>
        <s v="CompassI-Prod" u="1"/>
        <s v="theSource -IRx-Dev" u="1"/>
        <s v="Transition and Renewal Letters-Dev" u="1"/>
        <s v="TriMed PowerBuilder Online-Prod" u="1"/>
        <s v="Infogix-Test" u="1"/>
        <s v="Anthem Blue Squared-Dev" u="1"/>
        <s v="Enterprise Disbursements-Prod" u="1"/>
        <s v="Document Posting Site-Test" u="1"/>
        <s v="HMC BIM Operations Portal -Ops Portal-Dev" u="1"/>
        <s v="xPression Admin-Prod" u="1"/>
        <s v="DDS Dental System (DDS) - Billing-Dev" u="1"/>
        <s v="Rule Maintenance Application-Prod" u="1"/>
        <s v="Enterprise Provider Pricing System-Test" u="1"/>
        <s v="Client Online Services -IRx-Test" u="1"/>
        <s v="Pharm Tool (IRx)-Dev" u="1"/>
        <s v="ClaimsRepository -IRx-Test" u="1"/>
        <s v="Benefit Plan Interface -BPI-Prod" u="1"/>
        <s v="HMC Extracts-Test" u="1"/>
        <s v="PharmacyInquiryESI (IRx)-Test" u="1"/>
        <s v="INF-CA Application Performance Management -APM-Dev7" u="1"/>
        <s v="DDS Dental System (DDS) - Payments-Dev" u="1"/>
        <s v="RHI Replatform Intake DX-Dev" u="1"/>
        <s v="EPDS v2.0-Prod" u="1"/>
        <s v="Specialty OnLine Experience-Dearborn-Prod" u="1"/>
        <s v="Manual Underwriting System for Individual-Test" u="1"/>
        <s v="xPression Web Services-Prod" u="1"/>
        <s v="Hiebus-Test" u="1"/>
        <s v="Enterprise EDI Portal-Test" u="1"/>
        <s v="ALICS Online-Prod" u="1"/>
        <s v="SPIDER - Benefit Query Application-Prod" u="1"/>
        <s v="Contract Information Comparison And Disparity Analysis-Prod" u="1"/>
        <s v="CarePlanner Archival-Prod" u="1"/>
        <s v="IAM Security Webservice-Prod" u="1"/>
        <s v="JASK-Prod" u="1"/>
        <s v="Meridian Connect-Test" u="1"/>
        <s v="DDS External Online Store and Billing Renewal Tools-Dev7" u="1"/>
        <s v="HMC BIM Operations Portal -Ops Portal-Prod" u="1"/>
        <s v="Kafka-Prod" u="1"/>
        <s v="CareAdvance Enterprise -GBD-Test" u="1"/>
        <s v="Informatica WCC-Test" u="1"/>
        <s v="Enterprise EDI Portal-UAT" u="1"/>
        <s v="Software Self Service-Prod" u="1"/>
        <s v="CORPORATE FTP SERVER-Prod" u="1"/>
        <s v="G&amp;A Smart Intake-Prod" u="1"/>
        <s v="BMS WellQuote-Test" u="1"/>
        <s v="IOS User Profile-Prod" u="1"/>
        <s v="DualsMemberView-CM-Dev" u="1"/>
        <s v="Common Output System-Test" u="1"/>
        <s v="Cortex XSOAR-Prod" u="1"/>
        <s v="Benefit Summary - Central-Test" u="1"/>
        <s v="Medicare Part C Mandate Reporting-Dev" u="1"/>
        <s v="Northeast Operational Data Store-Test" u="1"/>
        <s v="RHI Reporting-Prod" u="1"/>
        <s v="Product Admin Tool-SIT" u="1"/>
        <s v="SPIDER - Plan Configurator-Prod" u="1"/>
        <s v="Data Table Update System-Prod" u="1"/>
        <s v="COMPASS-Test" u="1"/>
        <s v="Request_DX-Dev" u="1"/>
        <s v="General Request-Prod" u="1"/>
        <s v="Check Inquiry-Dev" u="1"/>
        <s v="Enterprise Grievances and Appeals system-Dev" u="1"/>
        <s v="DDS Dental System (DDS)-Dev" u="1"/>
        <s v="eCertificates - VA-Test" u="1"/>
        <s v="Anthem Database Support-Dev" u="1"/>
        <s v="CSO - Service Development Center-Test" u="1"/>
        <s v="DDS Web Site and Apps-Dev7" u="1"/>
        <s v="SPIRE-Claims-Prod" u="1"/>
        <s v="SPIDER Reporting System-Test" u="1"/>
        <s v="TM01 TriMed Inquiry-Prod" u="1"/>
        <s v="DocGen Adapter-Test" u="1"/>
        <s v="Master Data Engine Callout-Prod" u="1"/>
        <s v="HealthLink DW -DRug Claims Reporting Portal-Test" u="1"/>
        <s v="Claims Remittance Interest System-Test" u="1"/>
        <s v="eHub - Enterprise Master Person Index (EMPI)-Test" u="1"/>
        <s v="EDWard - Master Consumer ID-Test" u="1"/>
        <s v="Data Transfer (PSG)-Test" u="1"/>
        <s v="BMS Web Small Group Renewal System-Test" u="1"/>
        <s v="DocGen-Prod" u="1"/>
        <s v="Campaign Engine - Member Communication-Prod" u="1"/>
        <s v="Medicare Supplement Explanation of Claims Paid - VA Only-Test" u="1"/>
        <s v="Enterprise Health Product Services-Prod" u="1"/>
        <s v="WGS Claims Archive Inquiry-Test" u="1"/>
        <s v="ECPPS business services-Test" u="1"/>
        <s v="Kafka-Test" u="1"/>
        <s v="Care Enhance Review Manager Enterprise-Prod" u="1"/>
        <s v="Document Posting Site-Prod" u="1"/>
        <s v="Pharm Tool (IRx)-Test" u="1"/>
        <s v="System for Continuous Operational Results Excellence-Test" u="1"/>
        <s v="Claims Automated Processing Engine (CAPE)-Dev" u="1"/>
        <s v="IBM Notes\Lotus Notes Environment-Prod" u="1"/>
        <s v="DualsMemberView-CM-Test" u="1"/>
        <s v="Health and Wellness Sales Tool-Test" u="1"/>
        <s v="IT Demand Management Analytics Engine-Dev" u="1"/>
        <s v="Product Admin Tool-UAT" u="1"/>
        <s v="MIM 2016 - Hosted Exchange-Prod" u="1"/>
        <s v="LGCRS - Monthly Extracts &amp; Loads-Test" u="1"/>
        <s v="HRS AHR Phase 2 - OBI-Prod" u="1"/>
        <s v="NPI Crosswalk Service-Prod" u="1"/>
        <s v="RxClaim -IRx-Dev" u="1"/>
        <s v="Enterprise EDI Portal-Prod" u="1"/>
        <s v="MLR Rebates-Test" u="1"/>
        <s v="SOA - Enterprise 27X HIPAA Application-Prod" u="1"/>
        <s v="Benefit Builder Data Change Initiative -IRx-Dev" u="1"/>
        <s v="Jira -JiraBiz-Prod" u="1"/>
        <s v="DDS Dental System (DDS) - Actuarial-Dev" u="1"/>
        <s v="BPM Framework: Configuration Console-Prod" u="1"/>
        <s v="MyDataPoint (LGCRS)-Test" u="1"/>
        <s v="Palo Alto EDL Web Host-Prod" u="1"/>
        <s v="EAPR Testing Tool-Prod" u="1"/>
        <s v="Benchmark Insights Model-Test" u="1"/>
        <s v="Specialty Product Integrated Relationship Engine-Prod" u="1"/>
        <s v="RxClaim -IRx-Test" u="1"/>
        <s v="Anthem Reimagine -RCP-Prod" u="1"/>
        <s v="DDS Dental System (DDS)-Dev7" u="1"/>
        <s v="xPression Revise-Prod" u="1"/>
        <s v="WGS Billing-Test" u="1"/>
        <s v="Enterprise Desktop Application Database-Prod" u="1"/>
        <s v="Anthem Blue Squared-UAT" u="1"/>
        <s v="Enterprise CognitiveAI-Prod" u="1"/>
        <s v="Corporate Individual Rights System -CIRS-Dev" u="1"/>
        <s v="Enterprise Product Document Generator - BCC-Prod" u="1"/>
        <s v="WBI-BI Datamart-Test" u="1"/>
        <s v="Enterprise Rate Engine - ERE-Test" u="1"/>
        <s v="SPIDER Contract Configuration System-Prod" u="1"/>
        <s v="DDS External Websites - Website DeCare-Dev" u="1"/>
        <s v="Vendor Load Management -GBD-Dev" u="1"/>
        <s v="Producer Tool Box 2.0 - On-prem-Prod" u="1"/>
        <s v="WGS GUI Mixer-Prod" u="1"/>
        <s v="MCheck-Prod" u="1"/>
        <s v="BMC Configuration Automation for Networks-Prod" u="1"/>
        <s v="NPI Online Access-Prod" u="1"/>
        <s v="CCP-Genesys-WFM-Framework-Prod" u="1"/>
        <s v="HIPAA Code Sets-Prod" u="1"/>
        <s v="EIS - Utilization Domain-Prod" u="1"/>
        <s v="Pharmacy Home System -IRx-Test" u="1"/>
        <s v="HRS Admin Tool-Prod" u="1"/>
        <s v="HRS Incentives-Prod" u="1"/>
        <s v="Cancer Care Quality Program Reporting system-Test" u="1"/>
        <s v="JIRA -GBD-Test" u="1"/>
        <s v="Individual Online Store Exchange-IOS-Prod" u="1"/>
        <s v="INF-Citrix XenApp -CSBD-DR" u="1"/>
        <s v="Revenue Management and Billing-Dev" u="1"/>
        <s v="VBrick REV-Dev" u="1"/>
        <s v="Initiate Master Data Service-Prod" u="1"/>
        <s v="IRMS - Rate and Factor Maintenance-Prod" u="1"/>
        <s v="INF-ActiveDirectory - AD.Wellpoint.com-Test" u="1"/>
        <s v="ESI Rebate Reporting -IRx-Dev" u="1"/>
        <s v="ExacqVision VMS-Prod" u="1"/>
        <s v="eSD Express-Scripts-ESI -IRx-Test" u="1"/>
        <s v="WebSphere Application Server(CM)-Dev" u="1"/>
        <s v="MLR Rebates-Dev" u="1"/>
        <s v="Request_DX-Prod" u="1"/>
        <s v="NPI Register Provider Service-Prod" u="1"/>
        <s v="WellPoint Group System 2.0-Test" u="1"/>
        <s v="Azure AD Connect-Dev" u="1"/>
        <s v="VS-Telephony_IVR-Prod" u="1"/>
        <s v="WCS Electronic Pricing System-Prod" u="1"/>
        <s v="COMPREHENSIVE HEALTH INSURANCE PROCESSING SYSTEM-Dev" u="1"/>
        <s v="OLS Plan Match-Prod" u="1"/>
        <s v="CPS_PENDS_Incentives-Prod" u="1"/>
        <s v="eHub - Enterprise Master Person Index -EMPI-Prod" u="1"/>
        <s v="ENBAPP Dashboard-Test" u="1"/>
        <s v="DDS External Websites - Website DeCare Dental Ireland-Dev" u="1"/>
        <s v="DDS External Portals - Member Portal Multibrand-Dev" u="1"/>
        <s v="Online Store (OLS)-UAT" u="1"/>
        <s v="Enterprise Clinical Informatics Solution Reporting Application -CIP CIS-Test" u="1"/>
        <s v="Compensation Incentive System-Test" u="1"/>
        <s v="Facets Database - Central Facets-Prod" u="1"/>
        <s v="CareNex Archival-Prod" u="1"/>
        <s v="Benefit Builder - General -IRx-Test" u="1"/>
        <s v="Plan Management Tool-Prod" u="1"/>
        <s v="IOS-eBroker-Integration-Prod" u="1"/>
        <s v="ALICS Reimagine-Prod" u="1"/>
        <s v="PAHub -Agadia -IRx-Test" u="1"/>
        <s v="NPI Delete by System Signature Service-Prod" u="1"/>
        <s v="IRS Reporting-Test" u="1"/>
        <s v="Advanced Life and Income Claim System-Test" u="1"/>
        <s v="DDS Dental System (DDS) - Enrollment-Dev" u="1"/>
        <s v="Product HIOS Translation System-Prod" u="1"/>
        <s v="COMPREHENSIVE HEALTH INSURANCE PROCESSING SYSTEM-Test" u="1"/>
        <s v="WSL - EOB Management-Prod" u="1"/>
        <s v="Central Facets Upgrade Tool-Prod" u="1"/>
        <s v="OpenConnect-Prod" u="1"/>
        <s v="Wellpoint Medical Decision Support-maxMC-Prod" u="1"/>
        <s v="ENTERPRISE ACCUMULATOR HUB-Prod" u="1"/>
        <s v="Ingenio Financial System Standalone -IFSS -IRx-Prod" u="1"/>
        <s v="Enterprise Health Risk Assessment-Prod" u="1"/>
        <s v="Imanami GroupID-Prod" u="1"/>
        <s v="DDS External Portals - Member Portal BCBS FEP Paperless EOBs-Dev" u="1"/>
        <s v="MAXPRO-Prod" u="1"/>
        <s v="Anthem Care Management Platform-Test" u="1"/>
        <s v="PeopleSoft - AR-Prod" u="1"/>
        <s v="ERISA 5500 Reporting-Test" u="1"/>
        <s v="Product Profitability Reporting Teradata-Test" u="1"/>
        <s v="Automation and Analytics-Test" u="1"/>
        <s v="HMC HRS Letters Interaction-Prod" u="1"/>
        <s v="Anthem Life Renewal System-Prod" u="1"/>
        <s v="Provider Finder Services Layer-Prod" u="1"/>
        <s v="Informatica DX-Dev" u="1"/>
        <s v="Bamboo -GBD-Test" u="1"/>
        <s v="Enterprise Wellpoint Product Database-Prod" u="1"/>
        <s v="eHub - Enterprise Master Person Index -EMPI-Test" u="1"/>
        <s v="OnePoint Siebel CRM-Dev" u="1"/>
        <s v="DDS Oracle Financials - Accounts Payable-Dev" u="1"/>
        <s v="xPression Batch-Prod" u="1"/>
        <s v="Member Notification of Provider Termination-Prod" u="1"/>
        <s v="TriMed-Prod" u="1"/>
        <s v="Guarantee Reconciliation Reporting and Payment System (IRx)-Test" u="1"/>
        <s v="BMSOutput-Test" u="1"/>
        <s v="LO Central-Automation-Prod" u="1"/>
        <s v="GBD Sydney Community Public Portal-Prod" u="1"/>
        <s v="Tidal Enterprise Scheduler-HMC - TES-Prod" u="1"/>
        <s v="eHub - Enterprise Master Person Index (EMPI)-Prod" u="1"/>
        <s v="MongoDB database program-Test" u="1"/>
        <s v="Claim Creation Tool - IRx-Test" u="1"/>
        <s v="CIRT - Claims Intake Repair Tool -GBD-Dev" u="1"/>
        <s v="DBG Portal-Prod" u="1"/>
        <s v="Claims Remittance Interest System-Dev" u="1"/>
        <s v="Facets -GBD-Dev" u="1"/>
        <s v="Central Facets-Perf" u="1"/>
        <s v="Pharmacy Clinical Operations (IRx)-Test" u="1"/>
        <s v="Enterprise Group Dataset (EGD)-Dev" u="1"/>
        <s v="Siebel CRM-Dev" u="1"/>
        <s v="RMB Reporting-Dev" u="1"/>
        <s v="Prowatch Communications Server-Prod" u="1"/>
        <s v="Pega - Claim Repair-Prod" u="1"/>
        <s v="Infogix Insight-Test" u="1"/>
        <s v="DDS External Portals-Dev" u="1"/>
        <s v="Enterprise EDI Transaction Insight-Prod" u="1"/>
        <s v="SIMON -Service Information Management Online-Dev" u="1"/>
        <s v="WMDS Reporting Ad-hoc Database-Test" u="1"/>
        <s v="NextGen Pega Grievance &amp; Appeals (GBD/FEP/Commercial)-Prod" u="1"/>
        <s v="Pharmacy Informatica Processes (IRx)-Test" u="1"/>
        <s v="Enterprise Provider Database Solution-Test" u="1"/>
        <s v="Flexera-Prod" u="1"/>
        <s v="Data Exchange-Dev" u="1"/>
        <s v="WPS Reporting and Analytics-Test" u="1"/>
        <s v="Medicare Supplement Explanation of Claims Paid - VA Only-Dev" u="1"/>
        <s v="Enterprise EDI Clearinghouse-Prod" u="1"/>
        <s v="Operational Data Warehouse -GBD-Dev" u="1"/>
        <s v="837 Inquiry-Prod" u="1"/>
        <s v="SPIDER Product Modeling Workbench-Test" u="1"/>
        <s v="HMC Health Risk Assessment-Prod" u="1"/>
        <s v="Change Healthcare ClaimsXten v6.0 -CSBD-Prod" u="1"/>
        <s v="Enterprise Pricing Engine-Test" u="1"/>
        <s v="SPIDER - Benefit Query Service-Test" u="1"/>
        <s v="SOA-API - Enterprise Service Bus - GBD-Test" u="1"/>
        <s v="Macros - ACES-Prod" u="1"/>
        <s v="WCS - WWC EPS Batch1-Prod" u="1"/>
        <s v="St.Louis-WebSphere-Test" u="1"/>
        <s v="Provider Finder-Dev" u="1"/>
        <s v="Member Notification of Provider Termination-Test" u="1"/>
        <s v="Middletier Individual Web Service -IWS-Test" u="1"/>
        <s v="Operational Data Warehouse -GBD-Test" u="1"/>
        <s v="EBS - ESI Backend -IRx-Test" u="1"/>
        <s v="NurseLine Application-Prod" u="1"/>
        <s v="Spider-Dev" u="1"/>
        <s v="Informatica PRV-Test" u="1"/>
        <s v="GBD Enrollment Extracts-Test" u="1"/>
        <s v="Individual Quality Assurance Audit Application-Prod" u="1"/>
        <s v="Enterprise Product Systems-Test" u="1"/>
        <s v="DDS External Portals - Secure Dentist Search-Dev" u="1"/>
        <s v="Revenue Management and Billing-Test" u="1"/>
        <s v="Member ID Generator-Prod" u="1"/>
        <s v="Anthem HEDIS and Provider Analytics-Dev" u="1"/>
        <s v="Product Profitability Reporting Teradata-Prod" u="1"/>
        <s v="Online Store (OLS)-Prod" u="1"/>
        <s v="Reject Correction and Recycle System-Dev" u="1"/>
        <s v="Healthy Innovations Platform LTSS Admin Console-Prod" u="1"/>
        <s v="Varonis Data Advantage-Prod" u="1"/>
        <s v="Enterprise Pricing Engine -Test" u="1"/>
        <s v="Infogix ACR-Dev" u="1"/>
        <s v="IOS Enrollment-Prod" u="1"/>
        <s v="WSL - Claim Portal Management-Prod" u="1"/>
        <s v="National IT -Qcare Provider Lookup-Prod" u="1"/>
        <s v="WCS - WWC EPS Batch2-Test" u="1"/>
        <s v="WellPoint Corporate Internal SharePoint 2013-Test" u="1"/>
        <s v="Product Admin Tool-Test" u="1"/>
        <s v="Guarantee Reconciliation Reporting and Payment System (IRx)-Prod" u="1"/>
        <s v="EOC Upload-Prod" u="1"/>
        <s v="NE Employer-Prod" u="1"/>
        <s v="Internet Provider Finder-Dev" u="1"/>
        <s v="Core MAGI-Prod" u="1"/>
        <s v="SailPoint IIQ-Test" u="1"/>
        <s v="INFORMATICA POWERCENTER-Dev" u="1"/>
        <s v="Quality In-Sights Hospital Incentive Program-Test" u="1"/>
        <s v="Enterprise Lineage Intelligence-Prod" u="1"/>
        <s v="DDS National Dental Grid (GRID)-Dev" u="1"/>
        <s v="TriMed Admin Application-Prod" u="1"/>
        <s v="NPI Delete Service-Prod" u="1"/>
        <s v="NPI Lookup Service-Prod" u="1"/>
        <s v="NPI Search Service-Prod" u="1"/>
        <s v="NPI Update Service-Prod" u="1"/>
        <s v="Common File Format Inbound-Test" u="1"/>
        <s v="qTest-Prod" u="1"/>
        <s v="Care Management Gateway-Test" u="1"/>
        <s v="Enterprise Modeler-Prod" u="1"/>
        <s v="Ping Identity B-Prod" u="1"/>
        <s v="NPI Pre-Register Service-Prod" u="1"/>
        <s v="Intelligent Claims Platform -GBD-Test" u="1"/>
        <s v="PI Communication Controller-Dev" u="1"/>
        <s v="Infogix Assure-Prod" u="1"/>
        <s v="Anthem Life Production Repository-Test" u="1"/>
        <s v="Enterprise Middleware - Composite 275 Services-Prod" u="1"/>
        <s v="GBD Enrollment Extracts-Dev" u="1"/>
        <s v="INF-Bitbucket-Prod" u="1"/>
        <s v="CHIPS Supporting Systems-Prod" u="1"/>
        <s v="HRS AccessHMC-Test" u="1"/>
        <s v="DDS Oracle Financials - General Ledger-Dev" u="1"/>
        <s v="Pega Onboarding-Test" u="1"/>
        <s v="eQuote - Central Small Group-Test" u="1"/>
        <s v="DDS Internal Websites and App Links - Horizon Custom App Link-Dev" u="1"/>
        <s v="Clinical APIs-Prod" u="1"/>
        <s v="Microsoft System Center Operations Manager for SCCM-Prod" u="1"/>
        <s v="Letter Generator System-Test" u="1"/>
        <s v="Facets -GBD-Test" u="1"/>
        <s v="Meridian Resource Website-Test" u="1"/>
        <s v="Diamond-Prod" u="1"/>
        <s v="UiPath-Prod" u="1"/>
        <s v="eVIS-Dev" u="1"/>
        <s v="DDS External Portals - Agent Portal Multibrand-Dev" u="1"/>
        <s v="SQL Server System Database (RHI)-Prod" u="1"/>
        <s v="Enterprise Health Products-Prod" u="1"/>
        <s v="DDS External Websites - Dentist Searches-Dev" u="1"/>
        <s v="Plan-it -test" u="1"/>
        <s v="PeopleSoft - CPM-Test" u="1"/>
        <s v="IRMS - Enrollment and Billing Get Rates-Prod" u="1"/>
        <s v="HRS PENDS-Prod" u="1"/>
        <s v="Access Express(CM)-Test" u="1"/>
        <s v="HealthLink Data Warehouse -DW-Test" u="1"/>
        <s v="Service ID Portal-Test" u="1"/>
        <s v="NPI Database-Prod" u="1"/>
        <s v="PAHub -Agadia -IRx-Dev" u="1"/>
        <s v="Anthem East Data Warehouse-Test" u="1"/>
        <s v="State Sponsored Business IT-Prod" u="1"/>
        <s v="WellPoint Product Database Large Group-Prod" u="1"/>
        <s v="Pharmacy Rebate Files -GBD -IRx-Dev" u="1"/>
        <s v="EPDS R6-Test" u="1"/>
        <s v="WebSphere Application Server-CM-Test" u="1"/>
        <s v="Healthy Returns System-Dev" u="1"/>
        <s v="Transition and Renewal Letters-Prod" u="1"/>
        <s v="Client Care Access -IRx-Test" u="1"/>
        <s v="DIS OpsHub-Dev" u="1"/>
        <s v="Common Output System-Dev" u="1"/>
        <s v="PPR -Product Profitability Reporting-Test" u="1"/>
        <s v="Ebusiness National Pre-enrollment-Test" u="1"/>
        <s v="WSL - Claims Domain-Prod" u="1"/>
        <s v="Cisco Spark-Dev" u="1"/>
        <s v="Initiate Master Data Service-Dev" u="1"/>
        <s v="Enterprise Rate Engine -ERE-Test" u="1"/>
        <s v="Pharmacy Rebate Files -GBD -IRx-Test" u="1"/>
        <s v="CMA Mass Update Tool-Prod" u="1"/>
        <s v="WSL - EOB Inquiry-Prod" u="1"/>
        <s v="Anthem PeopleSoft GL Translator-Dev" u="1"/>
        <s v="WebSphere-Test" u="1"/>
        <s v="Sanctioned Provider System-Test" u="1"/>
        <s v="Healthy Innovations Platform LTSS Admin Console-Test" u="1"/>
        <s v="Bamboo Agent-Test" u="1"/>
        <s v="Check Inquiry-Test" u="1"/>
        <s v="Subro Navigator-Dev" u="1"/>
        <s v="CompassI-Test" u="1"/>
        <s v="Business Objects Business Intelligence 4.1 CII-Prod" u="1"/>
        <s v="SPIDER Reporting System-Prod" u="1"/>
        <s v="MYANTHEMCHOICES APPOINTMENT SYSTEM-Prod" u="1"/>
        <s v="DDS Mobile Apps-Dev7" u="1"/>
        <s v="1099 Healthcare-Test" u="1"/>
        <s v="Master Data Engine Callout-Dev" u="1"/>
        <s v="Enterprise Lineage Intelligence, Discrepancy (X) Insights and remediation for Provider Data Space" u="1"/>
        <s v="UID Inquiry-Prod" u="1"/>
        <s v="System Center Operation Manager for SCCM-Prod" u="1"/>
        <s v="DocGen Adapter-Prod" u="1"/>
        <s v="Infogix ACR-Test" u="1"/>
        <s v="Enterprise Submission Tool-Test" u="1"/>
        <s v="Enterprise Blue Exchange-Prod" u="1"/>
        <s v="eshare (Knowledge Library)-Prod" u="1"/>
        <s v="HIX BI IM Risk Management Data Store-Test" u="1"/>
        <s v="DDS Dental System (DDS) - Job Scheduling Java Beans-Dev" u="1"/>
        <s v="BMS Web Small Group Renewal System-Prod" u="1"/>
        <s v="eHub - Enterprise Master Person Index -EMPI-Perf" u="1"/>
        <s v="Anthem Health Rewards Tax Reporting-Prod" u="1"/>
        <s v="PSD Rule Engine-Prod" u="1"/>
        <s v="ESI Rebate Reporting Application - BOXI (IRx)-Dev" u="1"/>
        <s v="Healthy Innovations Platform CM-DM-Test" u="1"/>
        <s v="IOS Multilingual-Prod" u="1"/>
        <s v="Digital Thread-Dev" u="1"/>
        <s v="DBG-HRS2.0-Test" u="1"/>
        <s v="EPDS v2.0 User Interface-Prod" u="1"/>
        <s v="Reject Correction and Recycle System-Test" u="1"/>
        <s v="ENBAPP Dashboard-Prod" u="1"/>
        <s v="DART Scripting Server-Prod" u="1"/>
        <s v="Corporate Marketing Database Reporting-Prod" u="1"/>
        <s v="Starfish Resource Manager-Test" u="1"/>
        <s v="URS-GetMemberEligibilityDetails-Prod" u="1"/>
        <s v="SFA Integration-Prod" u="1"/>
        <s v="STARS BI-Dev" u="1"/>
        <s v="Express Scripts Landing Zone -ESI -IRx-Test" u="1"/>
        <s v="Sales Extract-Prod" u="1"/>
        <s v="INF-Citrix XenApp -CSBD-Prod" u="1"/>
        <s v="Business Objects Business Intelligence Blue-Prod" u="1"/>
        <s v="IOS Customer Service-Prod" u="1"/>
        <s v="Strategic Provider Cache -SPC-Test" u="1"/>
        <s v="ACMP Reporting-Test" u="1"/>
        <s v="Specialty Batch Process-Test" u="1"/>
        <s v="Specialty Online Experience - Enrollment &amp; Billing-Prod" u="1"/>
        <s v="Loki-Prod" u="1"/>
        <s v="eHub - Consumer Hub -CHUB-Prod" u="1"/>
        <s v="NPI Crosswalk Export File Service-Prod" u="1"/>
        <s v="NPI Register Relationship Service-Prod" u="1"/>
        <s v="Life &amp; Disability Compass-Prod" u="1"/>
        <s v="Benefit Builder Data Change Initiative -IRx-Test" u="1"/>
        <s v="Contract Product System -CPS-Prod" u="1"/>
        <s v="Digital Provider Lifecycle Management-Test" u="1"/>
        <s v="PeopleSoft - AR-Dev" u="1"/>
        <s v="CHIPS Claims-Dev" u="1"/>
        <s v="SPIDER - Plan Configurator-Test" u="1"/>
        <s v="APIGEE-Microservices-Dev" u="1"/>
        <s v="Clinical Data Aquisition - Clinical Data Integration -CDI-CDA-Test" u="1"/>
        <s v="Enterprise Customer Exception Management-Prod" u="1"/>
        <s v="RHI RxEOB-Dev" u="1"/>
        <s v="Enterprise Blue Exchange-Test" u="1"/>
        <s v="Enterprise Rate Engine -ERE-Perf" u="1"/>
        <s v="MEMBER WEB PAYMENT-Prod" u="1"/>
        <s v="Endevor-Prod" u="1"/>
        <s v="GenPact Titanium-Test" u="1"/>
        <s v="Southeast Electronic Funds Transfer-Dev" u="1"/>
        <s v="PeopleSafe -IRx-Dev" u="1"/>
        <s v="Digital.ai Deploy-Test" u="1"/>
        <s v="Stars Informant -Cotiviti-Prod" u="1"/>
        <s v="Master Data Engine Callout-Test" u="1"/>
        <s v="LITES Accumulators-Test" u="1"/>
        <s v="Enterprise Group Dataset 2.0 -EGD 2.0 -EDWard Redirect-Dev" u="1"/>
        <s v="SPIDER - Group Configurator - LITE-Test" u="1"/>
        <s v="INF-Microsoft System Center Configuration Manager-Dev" u="1"/>
        <s v="LGCRS - Data Mart-Test" u="1"/>
        <s v="BMS Web Small Group Renewal System-Perf" u="1"/>
        <s v="Member Take on-Prod" u="1"/>
        <s v="SPIDER Contract Configuration System-Dev" u="1"/>
        <s v="Office of Foreign Asset Control -Bridger Insight XG-Prod" u="1"/>
        <s v="Claims Intake and Workflow-Dev" u="1"/>
        <s v="INFORMATICA POWERCENTER-Test" u="1"/>
        <s v="CSSD - Service Development Center-Test" u="1"/>
        <s v="HRS Group Finder Tool-Prod" u="1"/>
        <s v="IBM Dynamic Automation-Prod" u="1"/>
        <s v="OLS REFRESH-Test" u="1"/>
        <s v="DDS External Portals-Dev7" u="1"/>
        <s v="DDS External Websites - Website Securian-Dev" u="1"/>
        <s v="RHI Electronic Messaging Interface-Prod" u="1"/>
        <s v="Enterprise Clinical Informatics Solution Reporting Application -CIP CIS-Dev" u="1"/>
        <s v="DDS National Dental Grid (GRID) - Fee Request Processing-Dev" u="1"/>
        <s v="Online Group Billing-Prod" u="1"/>
        <s v="Senior Broker Oversight-Test" u="1"/>
        <s v="SouthEast Drug Rebate-Test" u="1"/>
        <s v="PS HCM-Test" u="1"/>
        <s v="Integrated Enterprise Enrollment Engine - Prod" u="1"/>
        <s v="SOA-API - Enterprise Services-Dev" u="1"/>
        <s v="COMPREHENSIVE HEALTH INSURANCE PROCESSING SYSTEM-Prod" u="1"/>
        <s v="Reference Based Benefits Application-Prod" u="1"/>
        <s v="RHI RxEOB-Prod" u="1"/>
        <s v="SPIDER - Benefit Query Service-Prod" u="1"/>
        <s v="HealthLink Data Warehouse -DW-Dev" u="1"/>
        <s v="Payment Innovations-Dev" u="1"/>
        <s v="Data Transfer (PQP)-Prod" u="1"/>
        <s v="Multiple Adjudication Resolution System - VA-Prod" u="1"/>
        <s v="General Request-Dev" u="1"/>
        <s v="WGS Operational Reporting-Test" u="1"/>
        <s v="eHub - Enterprise Master Person Index -EMPI-Dev" u="1"/>
        <s v="eshare CMS (Knowledge Library)-Prod" u="1"/>
        <s v="WSL - Claim Hipaa Inquiry-Prod" u="1"/>
        <s v="EPDS v2.0-Perf" u="1"/>
        <s v="DDS Mobile Apps - BCBS FEP-Dev" u="1"/>
        <s v="Financial Integrated Rating System Tool-Test" u="1"/>
        <s v="GP00-Provider GUI-Prod" u="1"/>
        <s v="Rx Data Central -IRx-Dev" u="1"/>
        <s v="Desktop Software Repackaging-Prod" u="1"/>
        <s v="Enterprise Broker Portal-Prod" u="1"/>
        <s v="Shell Contract Creation-Prod" u="1"/>
        <s v="Financial Drug Rebate System -IRx-Test" u="1"/>
        <s v="ESI Rebate Reporting Application - BOXI (IRx)-Test" u="1"/>
        <s v="ISG Product Profile Tool-Prod" u="1"/>
        <s v="LD ONLINE UW-Test" u="1"/>
        <s v="INF-ServiceNow Discovery and Service Mapping-Test" u="1"/>
        <s v="eSD Express-Scripts-ESI -IRx-Dev" u="1"/>
        <s v="ENTERPRISE ACCUMULATOR HUB-Dev" u="1"/>
        <s v="CA Secure-Prod" u="1"/>
        <s v="Client Online Services -IRx-Dev" u="1"/>
        <s v="EIS - LetterGen Domain-Prod" u="1"/>
        <s v="RHI Replatform Intake DX-Test" u="1"/>
        <s v="Facets Integrated NetworX - Central Facets-Prod" u="1"/>
        <s v="Claim Creation Tool (IRx)-Test" u="1"/>
        <s v="Change Healthcare ClaimsXten v6.0 (CSBD)-Prod" u="1"/>
        <s v="Program Integrity Concept Management-Dev" u="1"/>
        <s v="WellPoint Product Database Individual-Small Group-Test" u="1"/>
        <s v="WellPoint Product Database Individual/Small Group-Test" u="1"/>
        <s v="DDS Internal Websites and App Links-Dev7" u="1"/>
        <s v="IBM Initiate Inspector-Perf" u="1"/>
        <s v="Division of Financial Responsibilities (DOFR)-Prod" u="1"/>
        <s v="DDS External Portals - Member Portal BCBS FEP Live Person Chat-Dev" u="1"/>
        <s v="PeopleSoft - Billing-Dev" u="1"/>
        <s v="Intuitive Claims Processing Tool -GBD-Dev" u="1"/>
        <s v="TSRM Event Management-Prod" u="1"/>
        <s v="Claims Intake and Workflow-Test" u="1"/>
        <s v="Provider Finder-Test" u="1"/>
        <s v="IOS Presentation Service-Prod" u="1"/>
        <s v="CareAdvance Enterprise -GBD-Dev" u="1"/>
        <s v="FACETS MED-D-Prod" u="1"/>
        <s v="DDS Dental System (DDS) - Adjudication-Dev" u="1"/>
        <s v="Collateral Update Engine-Prod" u="1"/>
        <s v="NASCO-Prod" u="1"/>
        <s v="GBD Pega Claims Repair-Test" u="1"/>
        <s v="xPression Template-Prod" u="1"/>
        <s v="PRODUCER TOOL BOX 2.0-Prod" u="1"/>
        <s v="Enterprise Product Document Generator-Prod" u="1"/>
        <s v="Express Scripts Landing Zone -ESI -IRx-Dev" u="1"/>
        <s v="IOS Batch-Prod" u="1"/>
        <s v="Anthem Claims Recovery-Dev" u="1"/>
        <s v="Plan Management Tool-Dev" u="1"/>
        <s v="BMS Nemo-Test" u="1"/>
        <s v="Rx PA SQL Database -IRx-Prod" u="1"/>
        <s v="HRS Dialer-Prod" u="1"/>
        <s v="Facets Client Server App - Central Facets-Perf" u="1"/>
        <s v="Master Data Engine Callout-Perf" u="1"/>
        <s v="Salesforce.com - National and Large Group 2.0-Prod" u="1"/>
        <s v="WPS Reporting and Analytics-Dev" u="1"/>
        <s v="FACETS - Ancillary COB -GBD-Test" u="1"/>
        <s v="DDS External Websites-Dev7" u="1"/>
        <s v="Large Group Client Reporting System-Test" u="1"/>
        <s v="Healthy Returns System-SIT" u="1"/>
        <s v="GBD West Region Data Analytics : WRGBDDA- A SQL Server Database-Dev" u="1"/>
        <s v="WGS Pricing-Test" u="1"/>
        <s v="WGS Batch Enrollment - EET-Prod" u="1"/>
        <s v="DDS Oracle Financials - Accounts Receivable-Dev" u="1"/>
        <s v="GenPact Titanium-Dev" u="1"/>
        <s v="HRS GIDO Membership Load Batch Process-Prod" u="1"/>
        <s v="Clinical Hub - Provider &amp; Clinical Data Analytics - Legacy LPR-Prod" u="1"/>
        <s v="Galileo Performance Monitor-Prod" u="1"/>
        <s v="IOS Analytics-Prod" u="1"/>
        <s v="IRMS - Integrated Rate Project-Prod" u="1"/>
        <s v="DDS National Dental Grid (GRID)-Dev7" u="1"/>
        <s v="WCC-MDM-Prod" u="1"/>
        <s v="McKesson ClaimsXten Rules Engine-Prod" u="1"/>
        <s v="Infogix Insight-Prod" u="1"/>
        <s v="Proofpoint Enterprise Protection-Prod" u="1"/>
        <s v="Informatica EHUB-Prod" u="1"/>
        <s v="DEVELOP MODULAR PRODUCT CAPABILITIES FROM PRESALE THROUGH ACCOUNT INSTALLATION-Dev" u="1"/>
        <s v="SMART-Prod" u="1"/>
        <s v="CRE-RHI DataExchanges-Dev" u="1"/>
        <s v="National IT : -CSS NASCO Interface - Customer Service-Prod" u="1"/>
        <s v="Starfish Resource Manager-Prod" u="1"/>
        <s v="validateServiceArea-Prod" u="1"/>
        <s v="Enterprise Middleware (Composite 275 Services)-Prod" u="1"/>
        <s v="Enterprise Middleware (Composite 276 Services)-Prod" u="1"/>
        <s v="Enterprise Middleware (Composite 278 Services)-Prod" u="1"/>
        <s v="SPIDER Contract Configuration System-Perf2" u="1"/>
        <s v="ENTERPRISE ACCUMULATOR HUB-Test" u="1"/>
        <s v="RHI RxEOB-Test" u="1"/>
        <s v="Facets Batch - Central Facets-Prod" u="1"/>
        <s v="Clinical APIs - On Prem-Prod" u="1"/>
        <s v="MProducer-Prod" u="1"/>
        <s v="Enrollment Production and Inventory-Dev" u="1"/>
        <s v="Enterprise Common Services-Prod" u="1"/>
        <s v="Enterprise Provider Intake Credentialing System-Prod" u="1"/>
        <s v="Informatica BI-Dev" u="1"/>
        <s v="Collateral Update Engine-Test" u="1"/>
        <s v="Enrollment Web Services -EWS-Test" u="1"/>
        <s v="Postfix-Prod" u="1"/>
        <s v="FileNet Enterprise Content Management2-Prod" u="1"/>
        <s v="DDS Dental System (DDS) - Group Information Management-Dev" u="1"/>
        <s v="DDS Mobile Apps-Dev" u="1"/>
        <s v="Enterprise Middleware -Composite 27x Services-Prod" u="1"/>
        <s v="Rate Maintenance Facility-Test" u="1"/>
        <s v="Lighthouse Analytics-Prod" u="1"/>
        <s v="SPIDER Contract Configuration System-Test" u="1"/>
        <s v="Financial Drug Rebate System -IRx-Dev" u="1"/>
        <s v="Anthem Life Renewal System-Test" u="1"/>
        <s v="INF-SQL Server Support Systems-Test" u="1"/>
        <s v="DDS External Online Store and Billing Renewal Tools-Dev" u="1"/>
        <s v="Financial Integrated Rating System Tool-Perf" u="1"/>
        <s v="St.Louis-Ping Identity D-Prod" u="1"/>
        <s v="DDS External Portals - Group Benefits Administrator Portal Multibrand-Dev" u="1"/>
        <s v="Pega BPM Central Enrollment and System-Test" u="1"/>
        <s v="Wellpoint Group System -WGS Membership-Dev" u="1"/>
        <s v="SIMON -Service Information Management Online-Prod" u="1"/>
        <s v="Mobile INTACT-UAT" u="1"/>
        <s v="Client Care Access -IRx-Dev" u="1"/>
        <s v="Pharmacy Home System -IRx-Dev" u="1"/>
        <s v="Individual Online Store Exchange-IOS-Test" u="1"/>
        <s v="Rational - License Server-Prod" u="1"/>
        <s v="Payment Innovations-Prod" u="1"/>
        <s v="SPIDER - Users Management Module-Prod" u="1"/>
        <s v="DBG-HRS2.0-Dev" u="1"/>
        <s v="Enterprise Clinical Informatics Solution-Websphere -CIP CIS-Prod" u="1"/>
        <s v="Client Information Insights-Test" u="1"/>
        <s v="DDS Internal Websites and App Links - SecAdmin-Dev" u="1"/>
        <s v="xPression-Prod" u="1"/>
        <s v="Initiate Master Data Service-Perf" u="1"/>
        <s v="Healthy Innovations Platform LTSS-Test" u="1"/>
        <s v="Healthy Returns System-QA" u="1"/>
        <s v="Plan-it-Test" u="1"/>
        <s v="Online Store (OLS)-Test" u="1"/>
        <s v="HIX Revenue Optimization-Test" u="1"/>
        <s v="Consolidated Billing Platform-Prod" u="1"/>
        <s v="Online Pharmacy Resource for Anthem -IRx-Test" u="1"/>
        <s v="Change My Coverage-Prod" u="1"/>
        <s v="Employer Reimagine-Prod" u="1"/>
        <s v="DDS Dental System (DDS) - Customer Relationship Management-Dev" u="1"/>
        <s v="Citrix XenApp - CSBD-Prod" u="1"/>
        <s v="Vendor Load Management -GBD-Test" u="1"/>
        <s v="Infogix ACR-Prod" u="1"/>
        <s v="LGCRS - Monthly Extracts &amp; Loads-Dev" u="1"/>
        <s v="Anthem Life Production Repository-Prod" u="1"/>
        <s v="DDS External Portals - Provider Portal Horizon-Dev" u="1"/>
        <s v="Care Gap Repository-Prod" u="1"/>
        <s v="Technology Operations Healthcheck Dashboard-Dev" u="1"/>
        <s v="Letter Generator System-Prod" u="1"/>
        <s v="GP00-Provider GUI-Perf" u="1"/>
        <s v="eHub - Enterprise Master Person Index (EMPI)-Dev" u="1"/>
        <s v="WSL - Claim Portal Inquiry-Prod" u="1"/>
        <s v="RHI IVR-Prod" u="1"/>
        <s v="EPDS v2.0 User Interface-Perf" u="1"/>
        <s v="DDS External Websites-Dev" u="1"/>
        <s v="DDS Internal Websites and App Links-Dev" u="1"/>
        <s v="SPIDER Automation Engine-Prod" u="1"/>
        <s v="INF-Venafi-Dev-Dev" u="1"/>
        <s v="DDS Internal Websites and App Links - My Workbase-Dev" u="1"/>
        <s v="IOS Content-Prod" u="1"/>
        <s v="L &amp; D Operational Data Store-Prod" u="1"/>
        <s v="WGS Capitation-Perf" u="1"/>
        <s v="Provider Operational Data Store-Test" u="1"/>
        <s v="LeGS - Careplanner-Prod" u="1"/>
        <s v="HMC Data Sourcing Hub -DSH-Prod" u="1"/>
        <s v="IngenioRx Operational Reporting Repository (IRx)-Test" u="1"/>
        <s v="Subro Navigator-Test" u="1"/>
        <s v="HRS Therapeutic Alerts - Health Alerts-Prod" u="1"/>
        <s v="CHIPS Claims-Test" u="1"/>
        <s v="Rx Data Central -IRx-Test" u="1"/>
        <s v="eWPD-WPD Data Warehouse-Test" u="1"/>
        <s v="Micro Focus Application Performance Management-Prod" u="1"/>
        <s v="xPression Dashboard-Prod" u="1"/>
        <s v="Informatica EDL-Dev" u="1"/>
        <s v="Data Loading -MHA-Test" u="1"/>
        <s v="MProducer-Test" u="1"/>
        <s v="IOS Shop &amp; Quote-UAT" u="1"/>
        <s v="Universal File Transformer-Prod" u="1"/>
        <s v="SPIDER-Test" u="1"/>
        <s v="DDS Dental System (DDS) - Claims-Dev" u="1"/>
        <s v="WMDS-maxMC Interface Engine-Prod" u="1"/>
        <s v="IOS Rating Integration-Prod" u="1"/>
        <s v="PPR - Product Profitability Reporting-Prod" u="1"/>
        <s v="Facets Online - Central Facets-Prod" u="1"/>
        <s v="CPS Common Components-Prod" u="1"/>
        <s v="DDS External Websites - Website BCBS FEP-Dev" u="1"/>
        <s v="Auto-BAGing Engine-Dev" u="1"/>
        <s v="SBP Book Of Business-Prod" u="1"/>
        <s v="BMS Rate Data Services -RDS-Test" u="1"/>
        <s v="PARES-Prod" u="1"/>
        <s v="Medisys-Test" u="1"/>
        <s v="ESI Rebate Reporting -IRx-Test" u="1"/>
        <s v="IC Notes-Test" u="1"/>
        <s v="OLS REFRESH-UAT" u="1"/>
        <s v="LITES Rx Integration-Test" u="1"/>
        <s v="Enterprise Provider Performance Data Mart -PPDM-Dev" u="1"/>
        <s v="LobbyWorks-Prod" u="1"/>
        <s v="WellPoint Services Layer-Prod" u="1"/>
        <s v="Southeast Electronic Funds Transfer-Test" u="1"/>
        <s v="Oracle Support-Prod" u="1"/>
        <s v="Market Size and Share-Test" u="1"/>
        <s v="ESI Rebate Reporting Application - Websphere (IRx)-Test" u="1"/>
        <s v="Cognitive Claims - AI-Dev" u="1"/>
        <s v="Facets Hyperion Reporting-Prod" u="1"/>
        <s v="Financial Drug Claim System -IRx-Test" u="1"/>
        <s v="SPIDER Automation Engine-Test" u="1"/>
        <s v="Hitachi Password Manager-Prod" u="1"/>
        <s v="WellPoint Product Database Large Group-Test" u="1"/>
        <s v="TriMed Letter Application-Prod" u="1"/>
        <s v="RightFax-Prod" u="1"/>
        <s v="Strategic Provider System -SPS-Test" u="1"/>
        <s v="EDWard - Master Consumer ID-Prod" u="1"/>
        <s v="Anthem Complete View -ACV-Dev" u="1"/>
        <s v="CCQM Delegation Oversight Database-Test" u="1"/>
        <s v="National IT : NASCO - Backend Interface - Enrollment-Prod" u="1"/>
        <s v="GSPI On-Prem-Test" u="1"/>
        <s v="Large Group Client Reporting System-Dev" u="1"/>
        <s v="Plan Management Tool-Test" u="1"/>
        <s v="DBG-HRS2.0-Prod" u="1"/>
        <s v="Publishing-Test" u="1"/>
        <s v="OLS REFRESH-Prod" u="1"/>
        <s v="Anthem Sales Compensation System-Test" u="1"/>
        <s v="Cribl Stream-Prod" u="1"/>
        <s v="SPIDER - Benefit Query Application-Test" u="1"/>
        <s v="EBS - ESI Backend -IRx-Dev" u="1"/>
        <s v="Employer Reimagine-UAT" u="1"/>
        <s v="Wellpoint Medical Decision Support-maxMC-DR" u="1"/>
        <s v="TriMed Operations-Prod" u="1"/>
        <s v="QLIK-Dev" u="1"/>
        <s v="Enterprise Product Services-SPIDER Load Services-Prod" u="1"/>
        <s v="eHub - Enterprise Master Person Index -EMPI-SIT" u="1"/>
      </sharedItems>
    </cacheField>
    <cacheField name="AssetType" numFmtId="0">
      <sharedItems containsNonDate="0" containsString="0" containsBlank="1"/>
    </cacheField>
    <cacheField name="AssetBundle" numFmtId="0">
      <sharedItems containsSemiMixedTypes="0" containsString="0" containsNumber="1" containsInteger="1" minValue="0" maxValue="0"/>
    </cacheField>
    <cacheField name="DependentId" numFmtId="0">
      <sharedItems containsNonDate="0" containsString="0" containsBlank="1"/>
    </cacheField>
    <cacheField name="DependentName" numFmtId="0">
      <sharedItems containsNonDate="0" containsBlank="1" count="3316">
        <m/>
        <s v="ALP206" u="1"/>
        <s v="ALP240" u="1"/>
        <s v="ALP258" u="1"/>
        <s v="ALP259" u="1"/>
        <s v="ALP279" u="1"/>
        <s v="ALP659" u="1"/>
        <s v="ALP679" u="1"/>
        <s v="SDCLIAPP024" u="1"/>
        <s v="SDCLIAPPLNX030" u="1"/>
        <s v="SDCLIAPPLNX031" u="1"/>
        <s v="SDCLIAPPLNX032" u="1"/>
        <s v="SDCLIAPPLNX033" u="1"/>
        <s v="SDCLIAPPLNX9015" u="1"/>
        <s v="SDCLIAPPLNX9016" u="1"/>
        <s v="SDCLIAPPLNX9017" u="1"/>
        <s v="SDCLIAPPLNX9018" u="1"/>
        <s v="SDCLIAPPLNX9019" u="1"/>
        <s v="SDCLIAPPLNX9057" u="1"/>
        <s v="SDCLIAPPLNX9058" u="1"/>
        <s v="SDCLIAPPLNX9059" u="1"/>
        <s v="SDCLIAPPLNX9060" u="1"/>
        <s v="SDCLIAPPLNX9061" u="1"/>
        <s v="SDCLIAPPLNX9062" u="1"/>
        <s v="SDCLIAPPLNX9063" u="1"/>
        <s v="SDCLIAPPLNX9064" u="1"/>
        <s v="SDCLIAPPLNX9065" u="1"/>
        <s v="SDCLIAPPLNX9072" u="1"/>
        <s v="SDCLIAPPLNX9073" u="1"/>
        <s v="SDCLIDB1001" u="1"/>
        <s v="SDCLIDB1003" u="1"/>
        <s v="SDCLIDB9023" u="1"/>
        <s v="SDCLIDBLNX9003" u="1"/>
        <s v="SDCLIDBLNX9004" u="1"/>
        <s v="SDCLIDBLNX9005" u="1"/>
        <s v="SDCNIAPP047" u="1"/>
        <s v="SDCNIAPP048" u="1"/>
        <s v="SDCNIAPP049" u="1"/>
        <s v="SDCNIAPP051" u="1"/>
        <s v="SDCNIAPP053" u="1"/>
        <s v="SDCNIAPP059" u="1"/>
        <s v="SDCNIAPP1003" u="1"/>
        <s v="SDCNIAPP1004" u="1"/>
        <s v="SDCNIAPP1005" u="1"/>
        <s v="SDCNIAPP1006" u="1"/>
        <s v="SDCNIAPPLNX9061" u="1"/>
        <s v="SDCNIAPPLNX9062" u="1"/>
        <s v="SDCNIAPPLNX9063" u="1"/>
        <s v="SDCNIDBLNX9001" u="1"/>
        <s v="SDCNIDBLNX9002" u="1"/>
        <s v="SDCNIDBLNX9003" u="1"/>
        <s v="SDCNIDBLNX9009" u="1"/>
        <s v="SDCNIDBLNX9010" u="1"/>
        <s v="SDCNIDBLNX9011" u="1"/>
        <s v="SDCNIWEB057" u="1"/>
        <s v="SDCSIAPPLNX9056" u="1"/>
        <s v="dc04plpslx400" u="1"/>
        <s v="dc04plpslx401" u="1"/>
        <s v="dc04plpslx402" u="1"/>
        <s v="dc04plpslx403" u="1"/>
        <s v="dc04plpwgs400" u="1"/>
        <s v="VA10P30128" u="1"/>
        <s v="VA10P30129" u="1"/>
        <s v="VA10P30130" u="1"/>
        <s v="VA10P30131" u="1"/>
        <s v="VA10P30132" u="1"/>
        <s v="VA10P30133" u="1"/>
        <s v="VA10P30134" u="1"/>
        <s v="VA10P30135" u="1"/>
        <s v="VA10P30136" u="1"/>
        <s v="VA10P30137" u="1"/>
        <s v="VA10P30138" u="1"/>
        <s v="VA10P30139" u="1"/>
        <s v="VA10P30140" u="1"/>
        <s v="VA10P30141" u="1"/>
        <s v="VA10P30142" u="1"/>
        <s v="VA10P30143" u="1"/>
        <s v="VA10P30144" u="1"/>
        <s v="VA10P30145" u="1"/>
        <s v="VA10P30146" u="1"/>
        <s v="VA10P30147" u="1"/>
        <s v="VA10P30148" u="1"/>
        <s v="VA10P30149" u="1"/>
        <s v="VA10P30150" u="1"/>
        <s v="VA10P30151" u="1"/>
        <s v="va10plvcfe319" u="1"/>
        <s v="va10plvhhe302" u="1"/>
        <s v="dc04plpisk401" u="1"/>
        <s v="dc04plpisk402" u="1"/>
        <s v="DC04PWPCII400" u="1"/>
        <s v="DC04PWPCII401" u="1"/>
        <s v="DC04PWPCII402" u="1"/>
        <s v="DC04PWPCII403" u="1"/>
        <s v="DC04PWPCII404" u="1"/>
        <s v="va10plpdkr002" u="1"/>
        <s v="va10plpdkr406" u="1"/>
        <s v="va10plpdkr407" u="1"/>
        <s v="va10plpdkr408" u="1"/>
        <s v="va10plpdkr409" u="1"/>
        <s v="va10plpdkr410" u="1"/>
        <s v="va10plpsoa001" u="1"/>
        <s v="va10plpsoa002" u="1"/>
        <s v="VA33PLVMON002" u="1"/>
        <s v="va33plvtem019" u="1"/>
        <s v="va33plvtem020" u="1"/>
        <s v="VA33PLVTEM021" u="1"/>
        <s v="dc04plpisk414" u="1"/>
        <s v="dc04plpisk415" u="1"/>
        <s v="DC04PWPSQL301A" u="1"/>
        <s v="DC04PWPSQL301B" u="1"/>
        <s v="DC04PWPSQL302A" u="1"/>
        <s v="DC04PWPSQL302B" u="1"/>
        <s v="DC04PWPSQL303A" u="1"/>
        <s v="DC04PWPSQL303B" u="1"/>
        <s v="DC04PWPTAB400" u="1"/>
        <s v="DC04PWPTAB403" u="1"/>
        <s v="va10plpdkr001" u="1"/>
        <s v="va10plpdkr003" u="1"/>
        <s v="va10plpsoa005" u="1"/>
        <s v="va10plpsoa006" u="1"/>
        <s v="va10plpsoa010" u="1"/>
        <s v="va33puvtem001" u="1"/>
        <s v="va33puvtem002" u="1"/>
        <s v="va33puvwam001" u="1"/>
        <s v="va33puvwam002" u="1"/>
        <s v="va33puvwam003" u="1"/>
        <s v="va33puvwam004" u="1"/>
        <s v="VA33PUVWBS334" u="1"/>
        <s v="VA33PPWFC021C" u="1"/>
        <s v="VA33PWPMSC400" u="1"/>
        <s v="VA33PWPSQL308A" u="1"/>
        <s v="VA33PWPSQL308B" u="1"/>
        <s v="VA33PLPMDB001" u="1"/>
        <s v="va33plpmdb002" u="1"/>
        <s v="VA33PUVWBS010" u="1"/>
        <s v="VA33PUVWBS011" u="1"/>
        <s v="VA33PUVWBS012" u="1"/>
        <s v="VA33PUVWBS013" u="1"/>
        <s v="VA33PUVWBS014" u="1"/>
        <s v="VA33PUVWBS015" u="1"/>
        <s v="VA33PUVWBS016" u="1"/>
        <s v="VA33PUVWBS017" u="1"/>
        <s v="dc04tlpwpg400" u="1"/>
        <s v="dc04tlpwpg401" u="1"/>
        <s v="va10n10058" u="1"/>
        <s v="va10tlpiiq300" u="1"/>
        <s v="va10tlpiiq301" u="1"/>
        <s v="va10tlvwbs491" u="1"/>
        <s v="va33dlvmdb322" u="1"/>
        <s v="va33dlvmdb338" u="1"/>
        <s v="va33dpvmdb311" u="1"/>
        <s v="VA33DWVCTX001" u="1"/>
        <s v="VA33DWVCTX612" u="1"/>
        <s v="VA33DWVCTX613" u="1"/>
        <s v="VA33DWVPYT300" u="1"/>
        <s v="VA33TWPCRM404" u="1"/>
        <s v="VA33TWPCRM405" u="1"/>
        <s v="VA33TWPCRM414" u="1"/>
        <s v="VA33TWPCRM415" u="1"/>
        <s v="VA33TWPCRM416" u="1"/>
        <s v="VA33TWPCRM417" u="1"/>
        <s v="VA33TWPCRM419" u="1"/>
        <s v="VA33TWPCRM422" u="1"/>
        <s v="VA33TWPSAS001" u="1"/>
        <s v="vaathmr803" u="1"/>
        <s v="VA10N40253" u="1"/>
        <s v="va10tlvihs406" u="1"/>
        <s v="va10tlvihs407" u="1"/>
        <s v="va10tlvihs419" u="1"/>
        <s v="va10tlvihs420" u="1"/>
        <s v="va10tlvihs421" u="1"/>
        <s v="va10tlvihs422" u="1"/>
        <s v="va10tlvmdb346" u="1"/>
        <s v="va10tlvmdb347" u="1"/>
        <s v="va10tlvmdb348" u="1"/>
        <s v="va10tlvmdb349" u="1"/>
        <s v="va10tlvmdb350" u="1"/>
        <s v="va10tlvmdb470" u="1"/>
        <s v="va10tlvmdb471" u="1"/>
        <s v="va10tlvmdb472" u="1"/>
        <s v="va10tlvwbs505" u="1"/>
        <s v="va10tlvwbs506" u="1"/>
        <s v="va10tlvwbs510" u="1"/>
        <s v="va10tlvwbs511" u="1"/>
        <s v="va10tlvwbs512" u="1"/>
        <s v="va10tlvwbs513" u="1"/>
        <s v="va33dwviss343" u="1"/>
        <s v="DRCA47PWVEAA003" u="1"/>
        <s v="DRCA47PWVEAA004" u="1"/>
        <s v="VA10N50775" u="1"/>
        <s v="VA10PTWFC001A" u="1"/>
        <s v="VA10PTWFC001B" u="1"/>
        <s v="va10tlvmdb386" u="1"/>
        <s v="va10tlvmdb387" u="1"/>
        <s v="va10tlvmdb388" u="1"/>
        <s v="VA10TWVPEG401" u="1"/>
        <s v="VA10TWVSQL459" u="1"/>
        <s v="VA10TWVSQL460" u="1"/>
        <s v="va33dlvpeg328" u="1"/>
        <s v="VA33DWPSAS001" u="1"/>
        <s v="VA33DWPSQL001" u="1"/>
        <s v="VA33DWPSQL002" u="1"/>
        <s v="VA33PLVCSO001" u="1"/>
        <s v="VA33PLVCSO002" u="1"/>
        <s v="va33plvezz308" u="1"/>
        <s v="va33plvezz309" u="1"/>
        <s v="va33plvezz310" u="1"/>
        <s v="va33plvezz311" u="1"/>
        <s v="va33plvezz314" u="1"/>
        <s v="va33plvezz315" u="1"/>
        <s v="va33plvsmd322" u="1"/>
        <s v="va33plvsmd323" u="1"/>
        <s v="va33plvsmd324" u="1"/>
        <s v="va33plvsmd325" u="1"/>
        <s v="VA33PWVCUP001" u="1"/>
        <s v="VA33PWVCUP002" u="1"/>
        <s v="VA33PWVCUP003" u="1"/>
        <s v="VA33PWVCUP004" u="1"/>
        <s v="VA33PWVCUP005" u="1"/>
        <s v="VA33PWVCUP006" u="1"/>
        <s v="VA33PWVEAA006" u="1"/>
        <s v="VA33PWVEAA007" u="1"/>
        <s v="VA33PWVEAA008" u="1"/>
        <s v="VA33PWVEAA009" u="1"/>
        <s v="VA33PWVEAA012" u="1"/>
        <s v="VA33PWVEAA013" u="1"/>
        <s v="VA33PWVEAA014" u="1"/>
        <s v="VA33PWVEAA015" u="1"/>
        <s v="VA33PWVEAA016" u="1"/>
        <s v="VA33PWVEAA017" u="1"/>
        <s v="VA33PWVEAA303" u="1"/>
        <s v="VA33PWVEAA304" u="1"/>
        <s v="VA33PWVEPI307" u="1"/>
        <s v="VA33PWVEPI308" u="1"/>
        <s v="VA33PWVEPI309" u="1"/>
        <s v="VA33PWVEPI310" u="1"/>
        <s v="VA33PWVFTP300" u="1"/>
        <s v="VA33PWVGSS004" u="1"/>
        <s v="VA33PWVGSS005" u="1"/>
        <s v="VA33PWVGSS006" u="1"/>
        <s v="VA33PWVGSS007"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33tlvmdb474" u="1"/>
        <s v="va33tlvmdb476" u="1"/>
        <s v="va33tlvmdb478" u="1"/>
        <s v="VA33TLVMDB496" u="1"/>
        <s v="VA33TLVMDB497" u="1"/>
        <s v="va33tlvpeg353" u="1"/>
        <s v="va33tlvpeg354" u="1"/>
        <s v="va33tlvpeg356" u="1"/>
        <s v="VA33TLVPEG442" u="1"/>
        <s v="VA33TLVPEG453" u="1"/>
        <s v="VA33TLVPEG454" u="1"/>
        <s v="VA33TLVPEG455" u="1"/>
        <s v="VA33TLVPEG456" u="1"/>
        <s v="VA33TLVPEG457" u="1"/>
        <s v="va33tlvwbs577" u="1"/>
        <s v="va33tlvwbs579" u="1"/>
        <s v="VA33TWVPEG405" u="1"/>
        <s v="VA33TWVPEG408" u="1"/>
        <s v="VA33TWVPEG410" u="1"/>
        <s v="VA33TWVPEG411" u="1"/>
        <s v="VA33TWVPEG413" u="1"/>
        <s v="VA33TWVPEG523" u="1"/>
        <s v="VA33TWVSQL514" u="1"/>
        <s v="VA33TWVSQL516" u="1"/>
        <s v="VA33TWVSQL517" u="1"/>
        <s v="VA33TWVSQL524" u="1"/>
        <s v="VA33VDWFC006A" u="1"/>
        <s v="VA33VDWFC006B" u="1"/>
        <s v="va10p10075a" u="1"/>
        <s v="va10p10075b" u="1"/>
        <s v="va10plvacm300" u="1"/>
        <s v="va10plvapm306" u="1"/>
        <s v="va10plvapm307" u="1"/>
        <s v="va10plvapm319" u="1"/>
        <s v="va10plvapm320" u="1"/>
        <s v="va10plvbam328" u="1"/>
        <s v="va10plvbam329" u="1"/>
        <s v="va10plvbam330" u="1"/>
        <s v="VA10PLVBAM331" u="1"/>
        <s v="va10plvbam332" u="1"/>
        <s v="va10plvetm301" u="1"/>
        <s v="va10plvetm302" u="1"/>
        <s v="va10plvetm303" u="1"/>
        <s v="va10plvmdb306" u="1"/>
        <s v="va10plvmdb307" u="1"/>
        <s v="va10plvmdb309" u="1"/>
        <s v="va10plvmdb365" u="1"/>
        <s v="va10plvmdb366" u="1"/>
        <s v="va10plvmdb367" u="1"/>
        <s v="va10plvmdb380" u="1"/>
        <s v="va10plvmdb381" u="1"/>
        <s v="va10plvmdb382" u="1"/>
        <s v="va10plvmdb419" u="1"/>
        <s v="va10plvmdb420" u="1"/>
        <s v="va10plvmdb421" u="1"/>
        <s v="VA10PLVMDB592" u="1"/>
        <s v="VA10PLVMQS341" u="1"/>
        <s v="VA10PLVMQS342" u="1"/>
        <s v="VA10PLVMQS343" u="1"/>
        <s v="VA10PLVMQS344" u="1"/>
        <s v="va10plvnim319" u="1"/>
        <s v="va10plvnim320" u="1"/>
        <s v="va10plvwbs363" u="1"/>
        <s v="va10plvwbs368" u="1"/>
        <s v="va10plvwbs379" u="1"/>
        <s v="va10plvwbs380" u="1"/>
        <s v="va10plvwbs381" u="1"/>
        <s v="va10plvwbs382" u="1"/>
        <s v="va10plvwbs416" u="1"/>
        <s v="va10ppvmdb001" u="1"/>
        <s v="va10ppvmdb002" u="1"/>
        <s v="va10ppvmdb003" u="1"/>
        <s v="va10ppvmdb300" u="1"/>
        <s v="va10ppvmdb301" u="1"/>
        <s v="va10ppvmdb302" u="1"/>
        <s v="va10ppvmdb306" u="1"/>
        <s v="va10ppvmdb307" u="1"/>
        <s v="va10ppvmdb308" u="1"/>
        <s v="VA10PPVMDB309" u="1"/>
        <s v="VA10PPVMDB310" u="1"/>
        <s v="VA10PPVMDB311" u="1"/>
        <s v="VA10PPWFC016A" u="1"/>
        <s v="VA10PPWFC016B" u="1"/>
        <s v="VA10PUVDB2310" u="1"/>
        <s v="VA10PUVDB2311" u="1"/>
        <s v="VA10PWPSQL074" u="1"/>
        <s v="VA10PWVACE300" u="1"/>
        <s v="VA10PWVACE301" u="1"/>
        <s v="VA10PWVISS661" u="1"/>
        <s v="VA10PWVISS662" u="1"/>
        <s v="VA10PWVISS839" u="1"/>
        <s v="va33puvwbs302" u="1"/>
        <s v="va33puvwbs303" u="1"/>
        <s v="va33puvwbs304" u="1"/>
        <s v="va33puvwbs305" u="1"/>
        <s v="va10plvihs346" u="1"/>
        <s v="va10plvihs347" u="1"/>
        <s v="va10plvihs348" u="1"/>
        <s v="va10plvihs349" u="1"/>
        <s v="va10plvihs350" u="1"/>
        <s v="va10plvihs351" u="1"/>
        <s v="VA10PLVWBS354" u="1"/>
        <s v="va10plvwbs377" u="1"/>
        <s v="va10plvwbs394" u="1"/>
        <s v="va10plvwbs520" u="1"/>
        <s v="va10plvwbs521" u="1"/>
        <s v="va10plvwbs522" u="1"/>
        <s v="VA10PUVDB2003A" u="1"/>
        <s v="VA10PUVDB2003B" u="1"/>
        <s v="VA10PUVDB2303" u="1"/>
        <s v="VA10PUVDB2304" u="1"/>
        <s v="VA10PUVDB2312" u="1"/>
        <s v="VA10PUVDB2313" u="1"/>
        <s v="VA22PLPAXY412" u="1"/>
        <s v="VA22PLPAXY413" u="1"/>
        <s v="VA22PLPAXY414" u="1"/>
        <s v="VA22PLPAXY415" u="1"/>
        <s v="VA22PLPORC405" u="1"/>
        <s v="VA22PLPORC406" u="1"/>
        <s v="va22puvwbs001" u="1"/>
        <s v="va22puvwbs002" u="1"/>
        <s v="va22puvwbs003" u="1"/>
        <s v="va22puvwbs004" u="1"/>
        <s v="va22puvwbs005" u="1"/>
        <s v="va22puvwbs006" u="1"/>
        <s v="VA22PUVWBS300" u="1"/>
        <s v="VA22PUVWBS301" u="1"/>
        <s v="VA22PWPAXY400" u="1"/>
        <s v="VA22PWPAXY401" u="1"/>
        <s v="VA22PWPCEV300A" u="1"/>
        <s v="VA22PWPCEV300B" u="1"/>
        <s v="VA22PWPCEV301A" u="1"/>
        <s v="VA22PWPCEV301B" u="1"/>
        <s v="VA22PWPSQL335A" u="1"/>
        <s v="VA22PWPSQL335B" u="1"/>
        <s v="VA22PWPSQL336A" u="1"/>
        <s v="VA22PWPSQL336B" u="1"/>
        <s v="VA22PWPSQL337A" u="1"/>
        <s v="VA22PWPSQL337B" u="1"/>
        <s v="VA22PWVAXY302" u="1"/>
        <s v="VA22PWVAXY303" u="1"/>
        <s v="va22pwvcev304" u="1"/>
        <s v="va22pwviss346" u="1"/>
        <s v="va22pwviss347" u="1"/>
        <s v="va22pwviss348" u="1"/>
        <s v="va22pwviss349" u="1"/>
        <s v="va22pwviss350" u="1"/>
        <s v="va22pwviss351" u="1"/>
        <s v="VA22TWPCEV001A" u="1"/>
        <s v="VA22TWPCEV001B" u="1"/>
        <s v="VA22TWPSQL302A" u="1"/>
        <s v="VA22TWPSQL302B" u="1"/>
        <s v="va10puvfns001a" u="1"/>
        <s v="va10puvfns001b" u="1"/>
        <s v="va10puvfns00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APP341" u="1"/>
        <s v="VA10PWVAPP342" u="1"/>
        <s v="VA10PWVFNO302" u="1"/>
        <s v="VA10PWVFNO303"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WVSAW312" u="1"/>
        <s v="VA10PWVSAW313" u="1"/>
        <s v="VA10PWVSAW322" u="1"/>
        <s v="VA10PWVSAW323" u="1"/>
        <s v="VA10PWVSAW324" u="1"/>
        <s v="VA10PWVSAW325" u="1"/>
        <s v="VA10PWVSAW326" u="1"/>
        <s v="VA10PWVSAW327" u="1"/>
        <s v="VA33PWVSAW306" u="1"/>
        <s v="vaathmr463" u="1"/>
        <s v="vaathmr464" u="1"/>
        <s v="vaathmr466" u="1"/>
        <s v="VA10PUVFPM001" u="1"/>
        <s v="VA10PUVFPM002" u="1"/>
        <s v="VA10PWVPPS300" u="1"/>
        <s v="VAATHMR018" u="1"/>
        <s v="VAATHMR019" u="1"/>
        <s v="VAATHMR740" u="1"/>
        <s v="VAATHMR741" u="1"/>
        <s v="VAATHMR742" u="1"/>
        <s v="VAATHMR743" u="1"/>
        <s v="VAATHMR744" u="1"/>
        <s v="VAATHMR745" u="1"/>
        <s v="VAATHMR746" u="1"/>
        <s v="HCIAPPDEV06" u="1"/>
        <s v="HCIAPPDEV07" u="1"/>
        <s v="va10dlvorc309" u="1"/>
        <s v="va10dlvpeg303" u="1"/>
        <s v="VA10DLVPEG305" u="1"/>
        <s v="VA10DLVPEG306" u="1"/>
        <s v="VA10DLVPEG307" u="1"/>
        <s v="VA10DLVPEG308" u="1"/>
        <s v="VA10DWVSMS302" u="1"/>
        <s v="va10n10131" u="1"/>
        <s v="va10n10132" u="1"/>
        <s v="va10tlvmdb374" u="1"/>
        <s v="va10tlvmdb390" u="1"/>
        <s v="VA10TLVPEG422" u="1"/>
        <s v="VA10TLVPEG423" u="1"/>
        <s v="va10tpvmdb001" u="1"/>
        <s v="va10tpvmdb002" u="1"/>
        <s v="va10tuvwbs122" u="1"/>
        <s v="va10tuvwbs123" u="1"/>
        <s v="VA10TWVSMS306" u="1"/>
        <s v="VA10TWVSQL452" u="1"/>
        <s v="va33dlpoas002"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WVISS451" u="1"/>
        <s v="VA33DWVOGG300" u="1"/>
        <s v="va33tlpoas002" u="1"/>
        <s v="va33tlvmdb001" u="1"/>
        <s v="VA33TLVMDB427" u="1"/>
        <s v="va33tlvpeg400" u="1"/>
        <s v="VA33TLVPEG416" u="1"/>
        <s v="VA33TLVPEG486" u="1"/>
        <s v="va33tlvsoa329" u="1"/>
        <s v="va33tlvsoa331" u="1"/>
        <s v="va33tpvmdb005" u="1"/>
        <s v="va33tpvmdb006" u="1"/>
        <s v="VA33TWPSCC300" u="1"/>
        <s v="VA33TWVSQL413" u="1"/>
        <s v="VA33TWVSQL451" u="1"/>
        <s v="VA33TWVTCM300" u="1"/>
        <s v="VA33TWVTCM301" u="1"/>
        <s v="VA33TWVTES314" u="1"/>
        <s v="VA33VDWFC003A" u="1"/>
        <s v="VA33VDWFC003B" u="1"/>
        <s v="va10tlvezz372" u="1"/>
        <s v="va10tlvezz374" u="1"/>
        <s v="CA47PLVEDH001" u="1"/>
        <s v="CA47PLVEDH003" u="1"/>
        <s v="CA47PLVEDH004" u="1"/>
        <s v="CA47PLVEDW300" u="1"/>
        <s v="CA47PLVEDW301" u="1"/>
        <s v="CA47PLVICE300" u="1"/>
        <s v="CA47PLVICE301" u="1"/>
        <s v="ca47plvifm300" u="1"/>
        <s v="ca47plvifm301" u="1"/>
        <s v="CA47PLVIHS001" u="1"/>
        <s v="CA47PLVIHS002" u="1"/>
        <s v="CA47PLVIHS003" u="1"/>
        <s v="CA47PLVIHS004" u="1"/>
        <s v="CA47PPWFC001A" u="1"/>
        <s v="CA47PPWFC001B" u="1"/>
        <s v="CA47PPWFC004A" u="1"/>
        <s v="CA47PPWFC004B" u="1"/>
        <s v="CA47PPWFC005A" u="1"/>
        <s v="CA47PPWFC005B" u="1"/>
        <s v="CA47PPWFC008A" u="1"/>
        <s v="CA47PPWFC008B" u="1"/>
        <s v="CA47PPWFC010A" u="1"/>
        <s v="CA47PPWFC010B" u="1"/>
        <s v="CA47PPWFC013A" u="1"/>
        <s v="CA47PPWFC013B" u="1"/>
        <s v="CA47PPWFC016A" u="1"/>
        <s v="CA47PPWFC016B" u="1"/>
        <s v="CA47PVWFC008A" u="1"/>
        <s v="CA47PVWFC008B" u="1"/>
        <s v="CA47PVWFC018A" u="1"/>
        <s v="CA47PVWFC018B" u="1"/>
        <s v="CA47PVWFC019A" u="1"/>
        <s v="CA47PVWFC019B" u="1"/>
        <s v="CA47PVWFC020A" u="1"/>
        <s v="CA47PWPBAS400" u="1"/>
        <s v="CA47PWPSQL011A" u="1"/>
        <s v="CA47PWPSQL011B" u="1"/>
        <s v="CA47PWPSQL012A" u="1"/>
        <s v="CA47PWPSQL012B" u="1"/>
        <s v="CA47PWPSQL014A" u="1"/>
        <s v="CA47PWPSQL014B" u="1"/>
        <s v="CA47PWPSQL015" u="1"/>
        <s v="CA47PWPSQL017" u="1"/>
        <s v="CA47PWPSQL019A" u="1"/>
        <s v="CA47PWPSQL019B" u="1"/>
        <s v="CA47PWPSQL024" u="1"/>
        <s v="CA47PWPSQL300A" u="1"/>
        <s v="CA47PWPSQL300B" u="1"/>
        <s v="CA47PWPSQL301A" u="1"/>
        <s v="CA47PWPSQL301B" u="1"/>
        <s v="CA47PWPSQL302A" u="1"/>
        <s v="CA47PWPSQL302B" u="1"/>
        <s v="CA47PWPSQL303A" u="1"/>
        <s v="CA47PWPSQL303B" u="1"/>
        <s v="CA47PWPSQL304A" u="1"/>
        <s v="CA47PWPSQL304B" u="1"/>
        <s v="CA47PWPSQL305A" u="1"/>
        <s v="CA47PWPSQL305B" u="1"/>
        <s v="CA47PWPSQL306A" u="1"/>
        <s v="CA47PWPSQL306B" u="1"/>
        <s v="CA47PWPSQL400" u="1"/>
        <s v="CA47PWVAPP302" u="1"/>
        <s v="CA47PWVAPP314" u="1"/>
        <s v="CA47PWVAPP325" u="1"/>
        <s v="CA47PWVAPP326" u="1"/>
        <s v="CA47PWVAPP327" u="1"/>
        <s v="CA47PWVAPP328" u="1"/>
        <s v="CA47PWVAPP329" u="1"/>
        <s v="CA47PWVAPP330" u="1"/>
        <s v="CA47PWVAPP331" u="1"/>
        <s v="CA47PWVAPP332" u="1"/>
        <s v="CA47PWVAPP333" u="1"/>
        <s v="CA47PWVAPP334" u="1"/>
        <s v="CA47PWVCCF301" u="1"/>
        <s v="CA47PWVCCF309" u="1"/>
        <s v="CA47PWVCCF310" u="1"/>
        <s v="CA47PWVCCF311" u="1"/>
        <s v="CA47PWVCCF312" u="1"/>
        <s v="CA47PWVCCF313" u="1"/>
        <s v="CA47PWVCCF314" u="1"/>
        <s v="CA47PWVCCF315" u="1"/>
        <s v="CA47PWVCGN001" u="1"/>
        <s v="CA47PWVCGN002" u="1"/>
        <s v="CA47PWVCGN003" u="1"/>
        <s v="CA47PWVCGN004" u="1"/>
        <s v="CA47PWVCGN005" u="1"/>
        <s v="CA47PWVCGN300" u="1"/>
        <s v="CA47PWVCGN301" u="1"/>
        <s v="CA47PWVCSS001" u="1"/>
        <s v="CA47PWVCSS002" u="1"/>
        <s v="CA47PWVCSS300" u="1"/>
        <s v="CA47PWVCSS301" u="1"/>
        <s v="CA47PWVCSS302" u="1"/>
        <s v="CA47PWVCSS303" u="1"/>
        <s v="CA47PWVCTX016" u="1"/>
        <s v="CA47PWVCTX302" u="1"/>
        <s v="CA47PWVCTX303" u="1"/>
        <s v="CA47PWVCTX321" u="1"/>
        <s v="CA47PWVCTX322" u="1"/>
        <s v="CA47PWVCTX323" u="1"/>
        <s v="CA47PWVCTX368" u="1"/>
        <s v="CA47PWVCTX369" u="1"/>
        <s v="CA47PWVCTX370" u="1"/>
        <s v="ca47pwvcup001" u="1"/>
        <s v="CA47PWVCUP002" u="1"/>
        <s v="CA47PWVCUP003" u="1"/>
        <s v="CA47PWVCUP006" u="1"/>
        <s v="CA47PWVCUP007" u="1"/>
        <s v="CA47PWVCUP010" u="1"/>
        <s v="CA47PWVCUP011" u="1"/>
        <s v="CA47PWVCUP012" u="1"/>
        <s v="CA47PWVCUP013" u="1"/>
        <s v="ca47pwvcup016" u="1"/>
        <s v="ca47pwvcup017" u="1"/>
        <s v="CA47PWVCUP018" u="1"/>
        <s v="CA47PWVCUP019" u="1"/>
        <s v="CA47PWVCUP020" u="1"/>
        <s v="CA47PWVCUP021" u="1"/>
        <s v="CA47PWVCUP300" u="1"/>
        <s v="CA47PWVCUP303" u="1"/>
        <s v="CA47PWVCUP304" u="1"/>
        <s v="CA47PWVCUP305" u="1"/>
        <s v="CA47PWVCUP306" u="1"/>
        <s v="CA47PWVCUP307" u="1"/>
        <s v="CA47PWVECM301" u="1"/>
        <s v="CA47PWVECM302" u="1"/>
        <s v="CA47PWVECM303" u="1"/>
        <s v="CA47PWVECM304" u="1"/>
        <s v="ca47pwvedh300" u="1"/>
        <s v="ca47pwvedh301" u="1"/>
        <s v="CA47PWVGSF001" u="1"/>
        <s v="CA47PWVGSF002" u="1"/>
        <s v="CA47PWVGSF003" u="1"/>
        <s v="CA47PWVGSF004" u="1"/>
        <s v="CA47PWVGSS300" u="1"/>
        <s v="CA47PWVGSS301" u="1"/>
        <s v="CA47PWVGSS302" u="1"/>
        <s v="CA47PWVGSS303" u="1"/>
        <s v="CA47PWVISS030" u="1"/>
        <s v="CA47PWVISS031" u="1"/>
        <s v="ca47pwviss332" u="1"/>
        <s v="CA47PWVISS333" u="1"/>
        <s v="CA47PWVISS334" u="1"/>
        <s v="CA47PWVISS343" u="1"/>
        <s v="CA47PWVISS344" u="1"/>
        <s v="CA47PWVISS345" u="1"/>
        <s v="CA47PWVISS348" u="1"/>
        <s v="CA47PWVISS357" u="1"/>
        <s v="CA47PWVISS358" u="1"/>
        <s v="CA47PWVISS359" u="1"/>
        <s v="CA47PWVISS372" u="1"/>
        <s v="CA47PWVISS373" u="1"/>
        <s v="CA47PWVISS374" u="1"/>
        <s v="CA47PWVISS381" u="1"/>
        <s v="CA47PWVISS382" u="1"/>
        <s v="CA47PWVISS385" u="1"/>
        <s v="CA47PWVISS386" u="1"/>
        <s v="CA47PWVISS389" u="1"/>
        <s v="CA47PWVISS390" u="1"/>
        <s v="CA47PWVISS395" u="1"/>
        <s v="CA47PWVNG1002" u="1"/>
        <s v="CA47PWVNG1003" u="1"/>
        <s v="CA47PWVNG1301" u="1"/>
        <s v="CA47PWVNG1306" u="1"/>
        <s v="CA47PWVNG1313" u="1"/>
        <s v="CA47PWVNGA300" u="1"/>
        <s v="CA47PWVNGA301" u="1"/>
        <s v="CA47PWVNGA302" u="1"/>
        <s v="CA47PWVNGA303" u="1"/>
        <s v="CA47PWVNGA304" u="1"/>
        <s v="CA47PWVNGA305" u="1"/>
        <s v="CA47PWVNGA306" u="1"/>
        <s v="CA47PWVNGE300" u="1"/>
        <s v="CA47PWVNGE301" u="1"/>
        <s v="CA47PWVNGE302" u="1"/>
        <s v="CA47PWVNGE303" u="1"/>
        <s v="CA47PWVNGE304" u="1"/>
        <s v="CA47PWVNGE305" u="1"/>
        <s v="CA47PWVNGE306" u="1"/>
        <s v="CA47PWVNGE307" u="1"/>
        <s v="CA47PWVNGE308" u="1"/>
        <s v="CA47PWVNGW300" u="1"/>
        <s v="CA47PWVNGW301" u="1"/>
        <s v="CA47PWVNGW302" u="1"/>
        <s v="CA47PWVNGW303" u="1"/>
        <s v="CA47PWVNGW304" u="1"/>
        <s v="CA47PWVNGW305" u="1"/>
        <s v="CA47PWVNGW306" u="1"/>
        <s v="CA47PWVNGW308" u="1"/>
        <s v="CA47PWVNGW309" u="1"/>
        <s v="CA47PWVNGW310" u="1"/>
        <s v="CA47PWVPRN300" u="1"/>
        <s v="CA47PWVPRN301" u="1"/>
        <s v="CA47PWVSOA300" u="1"/>
        <s v="CA47PWVSOA301" u="1"/>
        <s v="CA47PWVSQL010" u="1"/>
        <s v="CA47PWVSQL017" u="1"/>
        <s v="CA47PWVSQL300" u="1"/>
        <s v="CA47PWVSQL301" u="1"/>
        <s v="ca47pwvsql304" u="1"/>
        <s v="CA47PWVSQL308" u="1"/>
        <s v="CA47PWVSQL316" u="1"/>
        <s v="CA47PWVSQL317" u="1"/>
        <s v="CA47PWVSQL318" u="1"/>
        <s v="CA47PWVSQL319" u="1"/>
        <s v="CA47PWVSQL320" u="1"/>
        <s v="CA47PWVSQL321" u="1"/>
        <s v="CA47PWVSQL325" u="1"/>
        <s v="CA47PWVSQL326" u="1"/>
        <s v="CA47PWVSQL329" u="1"/>
        <s v="CA47PWVSQL334" u="1"/>
        <s v="CA47PWVSQL335" u="1"/>
        <s v="CA47PWVSQL336" u="1"/>
        <s v="CA47PWVSQL339" u="1"/>
        <s v="CA47PWVSQL340" u="1"/>
        <s v="CA47PWVSQL347" u="1"/>
        <s v="CA47PWVWBS001" u="1"/>
        <s v="CA47PWVWBS002" u="1"/>
        <s v="CA47PWVWBS003" u="1"/>
        <s v="CA47PWVWBS004" u="1"/>
        <s v="CA47PWVWBS300" u="1"/>
        <s v="CA47PWVWBS301" u="1"/>
        <s v="CA47PWVWBS302" u="1"/>
        <s v="CA47PWVWBS303" u="1"/>
        <s v="CA47PWVWBS304" u="1"/>
        <s v="CA47PWVWBS305" u="1"/>
        <s v="CA47PWVWBS309" u="1"/>
        <s v="DBTDLV51" u="1"/>
        <s v="TDLMSTV51" u="1"/>
        <s v="TDLWFEV51" u="1"/>
        <s v="hlinks80" u="1"/>
        <s v="M600ANA001" u="1"/>
        <s v="MOM92PWVBAS002" u="1"/>
        <s v="MOM92PWVFLE001" u="1"/>
        <s v="MOM92PWVIIS002" u="1"/>
        <s v="MOM92PWVPNC056" u="1"/>
        <s v="MOM92PWVSQL001" u="1"/>
        <s v="MOM92PWVSQL011" u="1"/>
        <s v="MOM92PWVSQL035" u="1"/>
        <s v="MOM92PWVSQL046" u="1"/>
        <s v="MOM92PWVSQL122" u="1"/>
        <s v="mom9plvezz308" u="1"/>
        <s v="mom9plvezz309" u="1"/>
        <s v="MOM9PLVWBS338" u="1"/>
        <s v="MOM9PLVWBS339" u="1"/>
        <s v="mom9pwvbas300" u="1"/>
        <s v="MOM9PWVCTX325" u="1"/>
        <s v="MOM9PWVCTX326" u="1"/>
        <s v="MOM9PWVCTX328" u="1"/>
        <s v="MOM9PWVEAA343" u="1"/>
        <s v="MOM9PWVECG300" u="1"/>
        <s v="MOM9PWVISS427" u="1"/>
        <s v="MOM9PWVNFS300" u="1"/>
        <s v="va10dlvmdb317" u="1"/>
        <s v="va10dlvmdb318" u="1"/>
        <s v="va10dlvorc300" u="1"/>
        <s v="va10dlvorc301" u="1"/>
        <s v="va10dupwbs002" u="1"/>
        <s v="va10duvwbs007" u="1"/>
        <s v="va10duvwbs008" u="1"/>
        <s v="va10duvwbs012" u="1"/>
        <s v="va10duvwbs027" u="1"/>
        <s v="va10duvwbs039" u="1"/>
        <s v="va10duvwbs040" u="1"/>
        <s v="VA10DWVELK300" u="1"/>
        <s v="VA10DWVISS341" u="1"/>
        <s v="VA10DWVPEG304" u="1"/>
        <s v="VA10DWVPEG307" u="1"/>
        <s v="VA10DWVPEG308" u="1"/>
        <s v="VA10DWVSQL108" u="1"/>
        <s v="VA10DWVSQL367" u="1"/>
        <s v="VA10DWVSQL431" u="1"/>
        <s v="VA10DWVSQL441" u="1"/>
        <s v="VA10DWVSQL442" u="1"/>
        <s v="va10n10182" u="1"/>
        <s v="va10N40091" u="1"/>
        <s v="va10n40401" u="1"/>
        <s v="va10n40498" u="1"/>
        <s v="va10tlvwbs607" u="1"/>
        <s v="va10tlvwbs608" u="1"/>
        <s v="va10tlvwbs609" u="1"/>
        <s v="va10tlvwbs610" u="1"/>
        <s v="VA10TWVWMC300" u="1"/>
        <s v="va33dlpmdb002" u="1"/>
        <s v="va33dlvihs368" u="1"/>
        <s v="va33dlvihs379" u="1"/>
        <s v="va33dlvihs380" u="1"/>
        <s v="va33dlvihs381" u="1"/>
        <s v="va33dlvmdb330" u="1"/>
        <s v="va33dlvmdb333" u="1"/>
        <s v="va33dlvmdb344" u="1"/>
        <s v="va33dlvmdb350" u="1"/>
        <s v="va33dlvmdb352" u="1"/>
        <s v="VA33DLVPEG341" u="1"/>
        <s v="va33dlvsoa300" u="1"/>
        <s v="va33dlvsoa301" u="1"/>
        <s v="va33dlvsoa302" u="1"/>
        <s v="va33duvwbs339" u="1"/>
        <s v="va33duvwbs352" u="1"/>
        <s v="VA33DWVFLE300" u="1"/>
        <s v="VA33DWVFLE301" u="1"/>
        <s v="VA33DWVFSA300" u="1"/>
        <s v="VA33DWVFSA301" u="1"/>
        <s v="VA33DWVFSA302" u="1"/>
        <s v="va33dwviss345" u="1"/>
        <s v="VA33DWVISS447" u="1"/>
        <s v="VA33DWVISS570" u="1"/>
        <s v="VA33DWVPEG337" u="1"/>
        <s v="VA33DWVPEG338" u="1"/>
        <s v="VA33DWVPEG339" u="1"/>
        <s v="VA33DWVSIS304" u="1"/>
        <s v="VA33DWVSOA300" u="1"/>
        <s v="VA33DWVSQL314" u="1"/>
        <s v="VA33DWVSQL376" u="1"/>
        <s v="VA33DWVSQL390" u="1"/>
        <s v="VA33DWVSQL401" u="1"/>
        <s v="VA33DWVSQL408" u="1"/>
        <s v="VA33DWVSQL409" u="1"/>
        <s v="VA33DWVSQL446" u="1"/>
        <s v="VA33DWVSQL454" u="1"/>
        <s v="VA33DWVSQL456" u="1"/>
        <s v="VA33DWVSQL459" u="1"/>
        <s v="VA33DWVSQL460" u="1"/>
        <s v="va33tlpoas001" u="1"/>
        <s v="va33tlpoas003" u="1"/>
        <s v="va33tlpoas004" u="1"/>
        <s v="VA33TWVISS733" u="1"/>
        <s v="VA33TWVSQL505" u="1"/>
        <s v="VA33TWVSQL506" u="1"/>
        <s v="VAATHMR252" u="1"/>
        <s v="vaathmr427" u="1"/>
        <s v="vaathmr430" u="1"/>
        <s v="vaathmr433" u="1"/>
        <s v="vaathmr435" u="1"/>
        <s v="vaathmr608" u="1"/>
        <s v="va10tlvihs402" u="1"/>
        <s v="va10tlvihs432" u="1"/>
        <s v="va10tlvihs442" u="1"/>
        <s v="va10tlvihs443" u="1"/>
        <s v="va10tuvwbs307" u="1"/>
        <s v="va10tuvwbs308" u="1"/>
        <s v="va10tuvwbs314" u="1"/>
        <s v="VA10TUVWBS315" u="1"/>
        <s v="VA33DX50VM01CLU04" u="1"/>
        <s v="VA10PLVNGX301" u="1"/>
        <s v="VA10PWVSQL561" u="1"/>
        <s v="VA10PWVCTX1435" u="1"/>
        <s v="VA10TWVISS595" u="1"/>
        <s v="VA10PWVISS732" u="1"/>
        <s v="VA10PWVISS824" u="1"/>
        <s v="VA10TWVHRS309" u="1"/>
        <s v="VA33PLPSPL403" u="1"/>
        <s v="va10tlvihs491" u="1"/>
        <s v="VA10TLVWBS332" u="1"/>
        <s v="VA10TLVWBS424" u="1"/>
        <s v="VA33DX50VM02CLU03" u="1"/>
        <s v="va10n40188" u="1"/>
        <s v="VA10PWVISS924" u="1"/>
        <s v="vaathmr892" u="1"/>
        <s v="va10plvwbs525" u="1"/>
        <s v="VA10PWPCII301" u="1"/>
        <s v="VA10TLVWBS340" u="1"/>
        <s v="VA33DX50VM03CLU02" u="1"/>
        <s v="VA33DLVAPS326" u="1"/>
        <s v="VA33TWVSQL319" u="1"/>
        <s v="VA10PWVISS888" u="1"/>
        <s v="VA10PWVISS840" u="1"/>
        <s v="va10n40152" u="1"/>
        <s v="VA10DLVAGS300" u="1"/>
        <s v="VA10TLVWBS532" u="1"/>
        <s v="VA10TLVWBS716" u="1"/>
        <s v="VA10PWVISS1068" u="1"/>
        <s v="VA33DX50VM04CLU01" u="1"/>
        <s v="va10n40232" u="1"/>
        <s v="VA10PLVPOS318" u="1"/>
        <s v="va10plvepi302" u="1"/>
        <s v="va10plvjre319" u="1"/>
        <s v="VA10PLVMQS336" u="1"/>
        <s v="va10tlvwbs496" u="1"/>
        <s v="VA10TLVWBS588" u="1"/>
        <s v="VA10TLVWBS540" u="1"/>
        <s v="VA10PWVISS1056" u="1"/>
        <s v="mom9plvsmd301" u="1"/>
        <s v="VA10PLVPOS326" u="1"/>
        <s v="VA10PWPTAB302" u="1"/>
        <s v="va10plpgrp401" u="1"/>
        <s v="va10plvdkr308" u="1"/>
        <s v="VA10PWVTDL303" u="1"/>
        <s v="VA10PWVNTS311" u="1"/>
        <s v="VA10TLVWBS596" u="1"/>
        <s v="VA10TLVWBS688" u="1"/>
        <s v="VA10PWVACE305" u="1"/>
        <s v="VA10PWVPEG393" u="1"/>
        <s v="VA33TLVSPS304" u="1"/>
        <s v="VA10PWVISS1044" u="1"/>
        <s v="va33tlvbam335" u="1"/>
        <s v="va33tlvihs310" u="1"/>
        <s v="VA10PWPTAB310" u="1"/>
        <s v="VA33PWVCTX338" u="1"/>
        <s v="VA33TWVSQL527" u="1"/>
        <s v="VA10PWVCTX1286" u="1"/>
        <s v="va10tlvwbs696" u="1"/>
        <s v="VA33TUVWBS348" u="1"/>
        <s v="va33tlvihs502" u="1"/>
        <s v="VA33TUVINF305" u="1"/>
        <s v="VA33TWPPEG303" u="1"/>
        <s v="VA10PLVPOS342" u="1"/>
        <s v="va10pupwbs003" u="1"/>
        <s v="va33dwviss342" u="1"/>
        <s v="VA33TWVISS614" u="1"/>
        <s v="va10n40243" u="1"/>
        <s v="VA33TWVCEV304" u="1"/>
        <s v="va33tlvnim335" u="1"/>
        <s v="VA10PWVISS1204" u="1"/>
        <s v="va33tlvihs510" u="1"/>
        <s v="va10n40507" u="1"/>
        <s v="VA10TZVPEG129" u="1"/>
        <s v="VA33TWVSIS301" u="1"/>
        <s v="VA33TUVWBS364" u="1"/>
        <s v="VA10PWVEAA301" u="1"/>
        <s v="va33tlvorc311" u="1"/>
        <s v="VA33TWVSTA307" u="1"/>
        <s v="VA10PLVMDB554" u="1"/>
        <s v="VA10PWVISS025" u="1"/>
        <s v="va10tlvpeg335" u="1"/>
        <s v="VA33TWVCTX361" u="1"/>
        <s v="VA10PWVCTX1434" u="1"/>
        <s v="va10tuvfct003" u="1"/>
        <s v="VA10PLPKAF403" u="1"/>
        <s v="va10tlpkaf402" u="1"/>
        <s v="va33dlvorc323" u="1"/>
        <s v="BDPR2R5W13PR" u="1"/>
        <s v="va10duvwbs006" u="1"/>
        <s v="VA10TUVINF007" u="1"/>
        <s v="VA33TWVISS730" u="1"/>
        <s v="va10plvsec324" u="1"/>
        <s v="VA10N40082" u="1"/>
        <s v="va33tlvihs582" u="1"/>
        <s v="va10plpspl477" u="1"/>
        <s v="VA33TWVAPP371" u="1"/>
        <s v="VA10PUVWBS059" u="1"/>
        <s v="VA10TUVWBS058" u="1"/>
        <s v="VA10DUVWBS014" u="1"/>
        <s v="VA10PLVIHS305" u="1"/>
        <s v="va10plvezz302" u="1"/>
        <s v="VA10PLVSEC332" u="1"/>
        <s v="VA10PWVBOO301" u="1"/>
        <s v="VA10N40242" u="1"/>
        <s v="VA10PLVKAF303" u="1"/>
        <s v="va10tlvkaf302" u="1"/>
        <s v="va10tuvwam001" u="1"/>
        <s v="va33tlvihs590" u="1"/>
        <s v="VA10TWVISS508" u="1"/>
        <s v="VA10PWVISS1159" u="1"/>
        <s v="WMDS-MaxMC Client Server-Database-Prod" u="1"/>
        <s v="va10n40506" u="1"/>
        <s v="VA10PLVEZZ358" u="1"/>
        <s v="VA10PWVEPI328" u="1"/>
        <s v="va10plvezz310" u="1"/>
        <s v="va33tlvjre309" u="1"/>
        <s v="VA33TLVMQS326" u="1"/>
        <s v="VA10PWVAPP102" u="1"/>
        <s v="VA10PWVEAA473" u="1"/>
        <s v="VA10PWVSQL346" u="1"/>
        <s v="va33dlvwbs399" u="1"/>
        <s v="VA10PLVKAF311" u="1"/>
        <s v="va10tlvkaf310" u="1"/>
        <s v="VA10PWVISS333" u="1"/>
        <s v="va10puvmqs006" u="1"/>
        <s v="VA10PWVISS1055" u="1"/>
        <s v="va10puvwbs075" u="1"/>
        <s v="VA10TUVWBS166" u="1"/>
        <s v="va10p40199" u="1"/>
        <s v="VA10PLVEZZ410" u="1"/>
        <s v="VA10PWVSQL446" u="1"/>
        <s v="VA10TWVSQL445" u="1"/>
        <s v="VA10DWVSQL401" u="1"/>
        <s v="VA10PWVISS341" u="1"/>
        <s v="VA10PWVISS617" u="1"/>
        <s v="VA10PWVSAW309" u="1"/>
        <s v="VA10TWVISS524" u="1"/>
        <s v="ATCK-VP100" u="1"/>
        <s v="VA10P50975" u="1"/>
        <s v="VA10PUVWBS311" u="1"/>
        <s v="VA10TLVIHS468" u="1"/>
        <s v="VA33TWVBAM313" u="1"/>
        <s v="va10n40185" u="1"/>
        <s v="va10plvihs421" u="1"/>
        <s v="VA10PWVSQL454" u="1"/>
        <s v="VA10TWVAPP301" u="1"/>
        <s v="VA33PWVOME001" u="1"/>
        <s v="VA10PWVCTX1285" u="1"/>
        <s v="va10tlpsoa402" u="1"/>
        <s v="VA10PWVISS625" u="1"/>
        <s v="VA10PWVISS1215" u="1"/>
        <s v="va10puvwbs091" u="1"/>
        <s v="VA10PLVWBS318" u="1"/>
        <s v="VA10TLVIHS476" u="1"/>
        <s v="VA10TLVWBS409" u="1"/>
        <s v="va10tlpsoa410" u="1"/>
        <s v="va33tuvmqm002" u="1"/>
        <s v="VA33TWVCAE302" u="1"/>
        <s v="va33tlvmdb444" u="1"/>
        <s v="VA10PWVISS1203" u="1"/>
        <s v="VA10VPWFC010A" u="1"/>
        <s v="VA10PLVNGX302" u="1"/>
        <s v="VA10PWVSQL470" u="1"/>
        <s v="VA10TWVISS596" u="1"/>
        <s v="VA33PLPSPL404" u="1"/>
        <s v="va10tlvihs492" u="1"/>
        <s v="va10plvapi307" u="1"/>
        <s v="VA10PWVCTX1433" u="1"/>
        <s v="VA10P50986" u="1"/>
        <s v="VA10PWVISS925" u="1"/>
        <s v="VA33DLVPOC324" u="1"/>
        <s v="VA10PWPCII302" u="1"/>
        <s v="VA33DLVAPS327" u="1"/>
        <s v="Document Retrieval System-Prod" u="1"/>
        <s v="VA10PWVISS889" u="1"/>
        <s v="VA33DWVEAA311" u="1"/>
        <s v="VA10PWVISS841" u="1"/>
        <s v="VA10TLVWBS533" u="1"/>
        <s v="VA10TLVWBS717" u="1"/>
        <s v="VA10PLVPOS319" u="1"/>
        <s v="VA10PWVISS897" u="1"/>
        <s v="VA33TWVISS407" u="1"/>
        <s v="VA10TLVWBS589" u="1"/>
        <s v="VA10TLVWBS541" u="1"/>
        <s v="VA10PWVISS1158" u="1"/>
        <s v="mom9plvsmd302" u="1"/>
        <s v="VA10PLVPOS327" u="1"/>
        <s v="VA10PWPTAB303" u="1"/>
        <s v="va10plpgrp402" u="1"/>
        <s v="va10plvdkr309" u="1"/>
        <s v="VA10PWVNTS312" u="1"/>
        <s v="VA10TLVWBS597" u="1"/>
        <s v="VA10TLVWBS689" u="1"/>
        <s v="va10tlvwbs641" u="1"/>
        <s v="VA10PWVISS1054" u="1"/>
        <s v="va33tlvihs311" u="1"/>
        <s v="mom9plvsmd310" u="1"/>
        <s v="VA33DWVCRM300" u="1"/>
        <s v="VA10P50985" u="1"/>
        <s v="va10tlvjre335" u="1"/>
        <s v="va10tlvwbs697" u="1"/>
        <s v="VA33TUVWBS349" u="1"/>
        <s v="BlueX (NASCO HIPAA 27X)-Prod" u="1"/>
        <s v="VA33TUVWBS301" u="1"/>
        <s v="VA10PWVISS1042" u="1"/>
        <s v="VA10PWVISS1134" u="1"/>
        <s v="VA33TUVINF306" u="1"/>
        <s v="VA33TWPPEG304" u="1"/>
        <s v="VA33TWVISS615" u="1"/>
        <s v="VA33TWVISS707" u="1"/>
        <s v="VA10PWVCTX1284" u="1"/>
        <s v="VA33TWVCEV305" u="1"/>
        <s v="va33tlvnim336" u="1"/>
        <s v="VA10PWVISS1214" u="1"/>
        <s v="va10n40435" u="1"/>
        <s v="VA33TWVISS715" u="1"/>
        <s v="VA33TWVSIS302" u="1"/>
        <s v="VA33TWPSQL300D" u="1"/>
        <s v="va33dlvorc316" u="1"/>
        <s v="va33tlvorc312" u="1"/>
        <s v="VA33TWVSTA308" u="1"/>
        <s v="VA10PWVISS1202" u="1"/>
        <s v="VA10PLVMDB555" u="1"/>
        <s v="va10tlvpeg336" u="1"/>
        <s v="VA33TWVAPP400" u="1"/>
        <s v="va10tuvfct004" u="1"/>
        <s v="VA33DLVAWS316" u="1"/>
        <s v="VA10PLPKAF404" u="1"/>
        <s v="va10tlpkaf403" u="1"/>
        <s v="va33tlvihs575" u="1"/>
        <s v="VA10PLVMDB563" u="1"/>
        <s v="VA10TUVINF008" u="1"/>
        <s v="VA10PWVCTX1432" u="1"/>
        <s v="va33tlvihs583" u="1"/>
        <s v="va10plpspl478" u="1"/>
        <s v="VA33TWVAPP372" u="1"/>
        <s v="VA10PWVISS1089" u="1"/>
        <s v="va10plvezz303" u="1"/>
        <s v="VA10PWVBOO302" u="1"/>
        <s v="VA10PWVSQL339" u="1"/>
        <s v="VA10PLVKAF304" u="1"/>
        <s v="va10tlvkaf303" u="1"/>
        <s v="va10tuvwam002" u="1"/>
        <s v="va33tlvihs591" u="1"/>
        <s v="VA33TLVWBS524" u="1"/>
        <s v="VA10TWVISS509" u="1"/>
        <s v="VA10TLVPEG360" u="1"/>
        <s v="VA33TWVAPP380" u="1"/>
        <s v="VA10DZVPEG210" u="1"/>
        <s v="VA10PLVEZZ359" u="1"/>
        <s v="VA10PWVEPI329" u="1"/>
        <s v="VA10PWVAPP103" u="1"/>
        <s v="VA10PWVEAA382" u="1"/>
        <s v="VA10PWVEAA474" u="1"/>
        <s v="VA10TWVSQL438" u="1"/>
        <s v="va10tlvkaf311" u="1"/>
        <s v="va10puvmqs007" u="1"/>
        <s v="VA10PWVISS1065" u="1"/>
        <s v="VA10PWVISS1157" u="1"/>
        <s v="va10plvspl330" u="1"/>
        <s v="VA10PUVWBS076" u="1"/>
        <s v="va33tlvmqs335" u="1"/>
        <s v="VA10PWVSQL447" u="1"/>
        <s v="VA10PWVSQL539" u="1"/>
        <s v="VA10TWVRBF305" u="1"/>
        <s v="VA33TLVWBS540" u="1"/>
        <s v="VA10PWVISS618" u="1"/>
        <s v="VA10TWVISS341" u="1"/>
        <s v="VA10TWVISS525" u="1"/>
        <s v="VA10PWVISS1053" u="1"/>
        <s v="VA10TLVIHS469" u="1"/>
        <s v="VA33TWVBAM314" u="1"/>
        <s v="va10plvihs422" u="1"/>
        <s v="VA10PWVAPP303" u="1"/>
        <s v="va10tlpsoa403" u="1"/>
        <s v="VA10PWVISS350" u="1"/>
        <s v="VA10PWVISS626" u="1"/>
        <s v="VA10PWVISS1041" u="1"/>
        <s v="va10puvwbs092" u="1"/>
        <s v="VA10PWPNTS013" u="1"/>
        <s v="VA10PUVWBS320" u="1"/>
        <s v="VA10TLVIHS477" u="1"/>
        <s v="VA33DWPCRM001" u="1"/>
        <s v="VA10PWVSQL463" u="1"/>
        <s v="va10tlpsoa411" u="1"/>
        <s v="VA33TWVCAE303" u="1"/>
        <s v="VA10PWVISS542" u="1"/>
        <s v="VA10PWVSIS313" u="1"/>
        <s v="VA33TLVMDB353" u="1"/>
        <s v="VA33DWVRMB301" u="1"/>
        <s v="VA10PWVISS1213" u="1"/>
        <s v="va10plvihs486" u="1"/>
        <s v="va10plvihs578" u="1"/>
        <s v="VA33DX50VM01CLU05" u="1"/>
        <s v="VA10VPWFC010B" u="1"/>
        <s v="VA10PLVNGX303" u="1"/>
        <s v="VA10PWVISS598" u="1"/>
        <s v="VA10TWVISS597" u="1"/>
        <s v="VA10PWVISS642" u="1"/>
        <s v="VA33TWPSQL300C" u="1"/>
        <s v="VA10PWVISS1201" u="1"/>
        <s v="VA33PLPSPL405" u="1"/>
        <s v="va10tlvihs493" u="1"/>
        <s v="VA33DX50VM02CLU04" u="1"/>
        <s v="VA10DWVPEG318" u="1"/>
        <s v="VA10PWVISS650" u="1"/>
        <s v="VA10PWVISS926" u="1"/>
        <s v="va33dlvpoc325" u="1"/>
        <s v="VA10PWPCII303" u="1"/>
        <s v="VA33DX50VM03CLU03" u="1"/>
        <s v="va10dlvwbs354" u="1"/>
        <s v="VA10TLVWBS534" u="1"/>
        <s v="VA10TLVWBS718" u="1"/>
        <s v="VA10PWVISS1088" u="1"/>
        <s v="VA33DX50VM04CLU02" u="1"/>
        <s v="VA10PZVADM001" u="1"/>
        <s v="VA10PWVPEG387" u="1"/>
        <s v="VA10TLVWBS542" u="1"/>
        <s v="va33tuvwbs010" u="1"/>
        <s v="mom9plvsmd303" u="1"/>
        <s v="VA10PLVPOS328" u="1"/>
        <s v="VA10PWPTAB304" u="1"/>
        <s v="va10plpgrp403" u="1"/>
        <s v="VA10PWVISS950" u="1"/>
        <s v="VA10TLVWBS598" u="1"/>
        <s v="VA10DLVWBS370" u="1"/>
        <s v="VA10PWVPEG395" u="1"/>
        <s v="VA10TLVWBS550" u="1"/>
        <s v="VA10PWVISS1064" u="1"/>
        <s v="VA10PWVISS1156" u="1"/>
        <s v="mom9plvsmd311" u="1"/>
        <s v="VA10PLVMDB300" u="1"/>
        <s v="VA33DWVCRM301" u="1"/>
        <s v="VA33TWVCLM300" u="1"/>
        <s v="va10tlvjre336" u="1"/>
        <s v="va10tlvwbs698" u="1"/>
        <s v="va33dlvwbl319" u="1"/>
        <s v="va33tlvnim329" u="1"/>
        <s v="VA33TUVWBS302" u="1"/>
        <s v="va33tlvihs320" u="1"/>
        <s v="va10plvmdb400" u="1"/>
        <s v="va33dwviss344" u="1"/>
        <s v="VA33TWVISS708" u="1"/>
        <s v="va10n40191" u="1"/>
        <s v="VA10PWVEAA067" u="1"/>
        <s v="VA10TWPSQL055" u="1"/>
        <s v="va33tlvnim337" u="1"/>
        <s v="va33tuvwbs310" u="1"/>
        <s v="va10plvbbt301" u="1"/>
        <s v="va10plvrcs300" u="1"/>
        <s v="VA10PWVISS1212" u="1"/>
        <s v="VA10PLVMDB556" u="1"/>
        <s v="va10tlvpeg337" u="1"/>
        <s v="VA33TWVAPP401" u="1"/>
        <s v="VA10PWVSQL048" u="1"/>
        <s v="VA33DLVAWS317" u="1"/>
        <s v="va10tlpkaf404" u="1"/>
        <s v="VA10PWVISS1200" u="1"/>
        <s v="VA10PLVMDB472" u="1"/>
        <s v="VA10PLVMDB564" u="1"/>
        <s v="BDPR2R4KF5" u="1"/>
        <s v="va10duvorc004" u="1"/>
        <s v="va10plvdkr350" u="1"/>
        <s v="Desktop Automated Reimage System-Prod" u="1"/>
        <s v="VA10PWVSQL148" u="1"/>
        <s v="VA10PWPSQL400" u="1"/>
        <s v="va33tlvihs584" u="1"/>
        <s v="va10plpspl479" u="1"/>
        <s v="VA33TWVAPP373" u="1"/>
        <s v="VA10PWVISS1099" u="1"/>
        <s v="va10tuvwbs012" u="1"/>
        <s v="VA10PLVIHS307" u="1"/>
        <s v="va10plvezz304" u="1"/>
        <s v="VA10PWVBOO303" u="1"/>
        <s v="VA10PWPAPP304" u="1"/>
        <s v="VA33TWVICR300" u="1"/>
        <s v="VA10PLVKAF305" u="1"/>
        <s v="va10tlvkaf304" u="1"/>
        <s v="VA10TLVPEG361" u="1"/>
        <s v="VA10TWVEMS301" u="1"/>
        <s v="VA33TWVAPP381" u="1"/>
        <s v="VA10PWVISS1087" u="1"/>
        <s v="VA10DZVPEG211" u="1"/>
        <s v="VA10PWVAPP104" u="1"/>
        <s v="VA10TWVSQL071" u="1"/>
        <s v="VA33TLVWBS397" u="1"/>
        <s v="va10tlvkaf312" u="1"/>
        <s v="VA10TPVMDB300" u="1"/>
        <s v="VA33TLVAPP308" u="1"/>
        <s v="VAATHMR005" u="1"/>
        <s v="VA10PLVEZZ320" u="1"/>
        <s v="va10plvezz412" u="1"/>
        <s v="VA10TWVRBF306" u="1"/>
        <s v="VA33TLVWBS541" u="1"/>
        <s v="VA10PWVISS619" u="1"/>
        <s v="VA10TWVISS342" u="1"/>
        <s v="VA10TWVISS526" u="1"/>
        <s v="VA33TWPWBL401" u="1"/>
        <s v="VA10PWVISS1155" u="1"/>
        <s v="VA10TUVWBS312" u="1"/>
        <s v="VA33TWVBAM315" u="1"/>
        <s v="VA10PWVSQL456" u="1"/>
        <s v="va10tlpsoa404" u="1"/>
        <s v="VA10DWVISS354" u="1"/>
        <s v="VA10PWVISS351" u="1"/>
        <s v="VA10PWVISS627" u="1"/>
        <s v="VA10PWVSIS306" u="1"/>
        <s v="VA10TWVISS534" u="1"/>
        <s v="VA33TLVMDB438" u="1"/>
        <s v="va10duvfpm001" u="1"/>
        <s v="va10puvwbs093" u="1"/>
        <s v="MicroFocus ZFE-Prod" u="1"/>
        <s v="va10plpmdb001" u="1"/>
        <s v="VA10DWVAPP315" u="1"/>
        <s v="VA10PWVSQL464" u="1"/>
        <s v="va33tuvmqm004" u="1"/>
        <s v="VA10PWVISS635" u="1"/>
        <s v="VA33TLVMDB354" u="1"/>
        <s v="VA33TLVMDB446" u="1"/>
        <s v="SYSC-VP100" u="1"/>
        <s v="VA33DWVRMB302" u="1"/>
        <s v="va10plvihs487" u="1"/>
        <s v="VA10PLVIHS579" u="1"/>
        <s v="VA10PLVORC324" u="1"/>
        <s v="va10plvngx304" u="1"/>
        <s v="va33tlvmqs360" u="1"/>
        <s v="VA10PWVSQL472" u="1"/>
        <s v="VA10PWVCTX1281" u="1"/>
        <s v="BDPR2R9KF4" u="1"/>
        <s v="VA10TWVISS598" u="1"/>
        <s v="VA10PWVISS643" u="1"/>
        <s v="VA10PWVISS735" u="1"/>
        <s v="VA10PWVISS1211" u="1"/>
        <s v="VA33PLPSPL406" u="1"/>
        <s v="VA10VPWFC011A" u="1"/>
        <s v="va33tlvjre399" u="1"/>
        <s v="VAATHMR004" u="1"/>
        <s v="VA10DWVSQL391" u="1"/>
        <s v="VA10PWVSQL480" u="1"/>
        <s v="VA10PWVISS927" u="1"/>
        <s v="VA10PWVPRA300" u="1"/>
        <s v="DWDEVCOP1" u="1"/>
        <s v="VA10DLVWBS347" u="1"/>
        <s v="VA10PWPCII304" u="1"/>
        <s v="VA10PLVCRB320" u="1"/>
        <s v="VA10PWVISS935" u="1"/>
        <s v="VA15PWPMSC001" u="1"/>
        <s v="va10dlvwbs355" u="1"/>
        <s v="VA10TLVWBS719" u="1"/>
        <s v="VA10PWVISS1098" u="1"/>
        <s v="VA10PWVEPS301" u="1"/>
        <s v="VA10PWVISS899" u="1"/>
        <s v="VA10PWVSEC312" u="1"/>
        <s v="VA10PWVMAR300" u="1"/>
        <s v="VA10PWVNTS306" u="1"/>
        <s v="VA10TLVWBS543" u="1"/>
        <s v="VA10VPWFC009A" u="1"/>
        <s v="VA10PWVISS1086" u="1"/>
        <s v="VA10PWVISS1178" u="1"/>
        <s v="BDPR2R8KF3" u="1"/>
        <s v="VA10PLVPOS329" u="1"/>
        <s v="va10plvsmd315" u="1"/>
        <s v="VA10PWVISS951" u="1"/>
        <s v="VA10PWVNTS314" u="1"/>
        <s v="VA10TLVWBS599" u="1"/>
        <s v="VA33DUVRMB310" u="1"/>
        <s v="VA10DLVWBS371" u="1"/>
        <s v="VA10PWVACE308" u="1"/>
        <s v="VA10TLVWBS551" u="1"/>
        <s v="va33dlvpin300" u="1"/>
        <s v="va33tlvbam338" u="1"/>
        <s v="mom9plvsmd312" u="1"/>
        <s v="VA10PLVMDB301" u="1"/>
        <s v="VA10DWVPAR300" u="1"/>
        <s v="VA33DWVISS337" u="1"/>
        <s v="va10tlvjre337" u="1"/>
        <s v="va10tlvwbs699" u="1"/>
        <s v="VA33TUVWBS303" u="1"/>
        <s v="VA10PWVISS1154" u="1"/>
        <s v="va33tlvihs321" u="1"/>
        <s v="va10plvmdb401" u="1"/>
        <s v="VA33DWVSQL402" u="1"/>
        <s v="va10dlvjre301" u="1"/>
        <s v="VA10PWVEAA068" u="1"/>
        <s v="VA10TWPSQL056" u="1"/>
        <s v="va10plvbbt302" u="1"/>
        <s v="va33dlvbam310" u="1"/>
        <s v="VA33TWVSQL362" u="1"/>
        <s v="VA33DWVISS445" u="1"/>
        <s v="VA33TWVISS717" u="1"/>
        <s v="BDPR2R7KF2" u="1"/>
        <s v="SYSD-VP100" u="1"/>
        <s v="va10plpocc400" u="1"/>
        <s v="VA10PLVSAW310" u="1"/>
        <s v="VA10PLVBBT310" u="1"/>
        <s v="VA33TWVAPP402" u="1"/>
        <s v="VA33TWVISS725" u="1"/>
        <s v="va10plvlha300" u="1"/>
        <s v="VA10PWVISS1210" u="1"/>
        <s v="VA10PLVMDB473" u="1"/>
        <s v="VA10PLVMDB565" u="1"/>
        <s v="VA33DWVSQL382" u="1"/>
        <s v="VA33TWVAPP410" u="1"/>
        <s v="va10duvpar300" u="1"/>
        <s v="va10plvdkr351" u="1"/>
        <s v="VA10TUVIHS300" u="1"/>
        <s v="VA10PLVOCC300" u="1"/>
        <s v="VA10TWPSQL400" u="1"/>
        <s v="va33tlvihs585" u="1"/>
        <s v="va10plvmdb481" u="1"/>
        <s v="VA33TWVAPP374" u="1"/>
        <s v="va10tuvrmb300" u="1"/>
        <s v="va10tuvwbs013" u="1"/>
        <s v="va10plvezz305" u="1"/>
        <s v="VA10PWVBOO304" u="1"/>
        <s v="VA10PLVKAF306" u="1"/>
        <s v="va10tlvkaf305" u="1"/>
        <s v="MOM9PUVWBS011" u="1"/>
        <s v="VA10TLVPEG362" u="1"/>
        <s v="VA33TWVAPP382" u="1"/>
        <s v="BDPR2R6KF1" u="1"/>
        <s v="RHI Clinical Tools-Prod" u="1"/>
        <s v="VA33TWVAPP390" u="1"/>
        <s v="VA10PWVISS1085" u="1"/>
        <s v="VA10TUVWBS169" u="1"/>
        <s v="va10puvwbs030" u="1"/>
        <s v="VA10TPVMDB301" u="1"/>
        <s v="VA10PLVIHS416" u="1"/>
        <s v="va10tlvezz368" u="1"/>
        <s v="VA10PLVBAM301" u="1"/>
        <s v="VA10PLVEZZ321" u="1"/>
        <s v="va10plvezz413" u="1"/>
        <s v="VA10TWVRBF307" u="1"/>
        <s v="VA33TLVWBS542" u="1"/>
        <s v="VA10TWVISS343" u="1"/>
        <s v="VA10TWVISS527" u="1"/>
        <s v="VA33TWVPEG430" u="1"/>
        <s v="VAATHMR013" u="1"/>
        <s v="va10duviih001" u="1"/>
        <s v="VA10PWVISS1165" u="1"/>
        <s v="va10plvorc309" u="1"/>
        <s v="VA10TUVWBS313" u="1"/>
        <s v="VA10PWVCXT300" u="1"/>
        <s v="va10tlpsoa405" u="1"/>
        <s v="VA10PWVISS352" u="1"/>
        <s v="VA10PWVISS628" u="1"/>
        <s v="VA10PWVSIS307" u="1"/>
        <s v="VA10TWVISS535" u="1"/>
        <s v="VA33TLVMDB439" u="1"/>
        <s v="va10puvwbs094" u="1"/>
        <s v="va10tuvwbs321" u="1"/>
        <s v="va10plpmdb002" u="1"/>
        <s v="VA33TLVMQS353" u="1"/>
        <s v="VA10PWVISS636" u="1"/>
        <s v="VA33TLVMDB355" u="1"/>
        <s v="VA33TLVMDB447" u="1"/>
        <s v="va33dlvmdb311" u="1"/>
        <s v="va10plvngx305" u="1"/>
        <s v="va33tlvmqs361" u="1"/>
        <s v="VA10DLPEDN400" u="1"/>
        <s v="VA10DWVSQL384" u="1"/>
        <s v="VA10DWVADX300" u="1"/>
        <s v="VA10TWVISS599" u="1"/>
        <s v="va10duvwmh001" u="1"/>
        <s v="VA10PWVISS828" u="1"/>
        <s v="VA33DX50DBADM01" u="1"/>
        <s v="VA10PWPSQL312B" u="1"/>
        <s v="VA33DX50VM02CLU05" u="1"/>
        <s v="VA10DWVSQL392" u="1"/>
        <s v="VA33TLVMDB463" u="1"/>
        <s v="VA10PWPCII305" u="1"/>
        <s v="VA33DX50VM03CLU04" u="1"/>
        <s v="VA10PLVCRB321" u="1"/>
        <s v="VA10DLVEDN300" u="1"/>
        <s v="VA10PWVSQL581" u="1"/>
        <s v="VA33DX50DBADM02" u="1"/>
        <s v="va10tlvwbs628" u="1"/>
        <s v="VA33DX50VM04CLU03" u="1"/>
        <s v="VA33TWVBSS301" u="1"/>
        <s v="VA10PWVSEC313" u="1"/>
        <s v="VA10PZVADM003" u="1"/>
        <s v="VA10TUVDB2300" u="1"/>
        <s v="VA10PWVNTS307" u="1"/>
        <s v="VA10PWVHPW300" u="1"/>
        <s v="VA10TLVWBS544" u="1"/>
        <s v="VA10VPWFC009B" u="1"/>
        <s v="va10plvsmd316" u="1"/>
        <s v="VA33DX50DBADM03" u="1"/>
        <s v="VA10P10019" u="1"/>
        <s v="VA10PWVNTS315" u="1"/>
        <s v="va10dlvwbs372" u="1"/>
        <s v="VA10TLVWBS552" u="1"/>
        <s v="VA10PWVISS1084" u="1"/>
        <s v="VA33TLVATC312" u="1"/>
        <s v="VA10PLVMDB302" u="1"/>
        <s v="VA10N10109" u="1"/>
        <s v="VA33TWVSQL347" u="1"/>
        <s v="va33tlvkaf312" u="1"/>
        <s v="va10tlvjre338" u="1"/>
        <s v="VA10TLVWBS560" u="1"/>
        <s v="VA33TUVWBS304" u="1"/>
        <s v="VA10PWVISS1164" u="1"/>
        <s v="BDPR2R9OGG1V" u="1"/>
        <s v="VA10PLVMDB310" u="1"/>
        <s v="va10plvmdb402" u="1"/>
        <s v="VA33DX50DBADM04" u="1"/>
        <s v="VA10DLVJRE302" u="1"/>
        <s v="VA10PWVEAA069" u="1"/>
        <s v="VA33TLVBAM355" u="1"/>
        <s v="va10puvdb2004b" u="1"/>
        <s v="VA10PLVJRE355" u="1"/>
        <s v="va10plpocc401" u="1"/>
        <s v="va33tlvorc315" u="1"/>
        <s v="VA10PLVBBT311" u="1"/>
        <s v="VA10TUVDB2011B" u="1"/>
        <s v="VA33TWVAPP403" u="1"/>
        <s v="VA33TWVISS726" u="1"/>
        <s v="VA10PWVCTX1290" u="1"/>
        <s v="va10plvlha301" u="1"/>
        <s v="VA10PLVMDB474" u="1"/>
        <s v="VA10PLVMDB566" u="1"/>
        <s v="VA10PWPSQL312A" u="1"/>
        <s v="VA33TWVAPP367" u="1"/>
        <s v="VA33TWVAPP411" u="1"/>
        <s v="va10n10108" u="1"/>
        <s v="va10duvpar301" u="1"/>
        <s v="va10plvdkr352" u="1"/>
        <s v="va10plvexc001" u="1"/>
        <s v="VA10PLVOCC301" u="1"/>
        <s v="va33tlvihs586" u="1"/>
        <s v="va10plvmdb482" u="1"/>
        <s v="VA33TWVAPP375" u="1"/>
        <s v="va10tuvrmb301" u="1"/>
        <s v="va10plvdkr360" u="1"/>
        <s v="VA10PUVWBS107" u="1"/>
        <s v="va10tuvwbs014" u="1"/>
        <s v="VA10PWVBOO305" u="1"/>
        <s v="VA10PLVKAF307" u="1"/>
        <s v="va10tlvkaf306" u="1"/>
        <s v="VA10PWVISS329" u="1"/>
        <s v="VA10TLVPEG363" u="1"/>
        <s v="VA33TWVAPP383" u="1"/>
        <s v="VA10PWVISS1199" u="1"/>
        <s v="VA10DZVPEG213" u="1"/>
        <s v="va10plvezz406" u="1"/>
        <s v="VA10PWVEAA385" u="1"/>
        <s v="va10plvmdb590" u="1"/>
        <s v="VA10PWVGID300" u="1"/>
        <s v="VA33TLPMDB400" u="1"/>
        <s v="VA33TWVAPP391" u="1"/>
        <s v="VA10TPVMDB302" u="1"/>
        <s v="VA10PLVIHS417" u="1"/>
        <s v="va10tlvezz369" u="1"/>
        <s v="vaathmr229" u="1"/>
        <s v="VA10PLVEZZ322" u="1"/>
        <s v="VA10PWVAPP022" u="1"/>
        <s v="VA10PWVSQL358" u="1"/>
        <s v="VA10DWVSQL405" u="1"/>
        <s v="VA10TWVRBF308" u="1"/>
        <s v="va33tlvwbs543" u="1"/>
        <s v="VA10TWVISS344" u="1"/>
        <s v="VA33TWVPEG431" u="1"/>
        <s v="va10tlvihs424" u="1"/>
        <s v="va10tlvols300" u="1"/>
        <s v="VAATHMR021" u="1"/>
        <s v="VA10PWVEPI300" u="1"/>
        <s v="VA33TLVMED300" u="1"/>
        <s v="VA10PWVCXT301" u="1"/>
        <s v="VA10PWVSQL410" u="1"/>
        <s v="va10tlpsoa406" u="1"/>
        <s v="VA10PWVISS353" u="1"/>
        <s v="VA10PWVISS629" u="1"/>
        <s v="VA10PWVISS1163" u="1"/>
        <s v="va10puvwbs095" u="1"/>
        <s v="va10tuvwbs322" u="1"/>
        <s v="va33tlvjre337" u="1"/>
        <s v="va33dlvmqs310" u="1"/>
        <s v="VA10PWVCTX1109" u="1"/>
        <s v="VA33TLVMDB448" u="1"/>
        <s v="va33tlvmdb400" u="1"/>
        <s v="va10puvdb2004a" u="1"/>
        <s v="va10tlvihs440" u="1"/>
        <s v="VA10DLPEDN401" u="1"/>
        <s v="VA10DWVSQL385" u="1"/>
        <s v="va33plvsaw302" u="1"/>
        <s v="VA10PWVSQL610" u="1"/>
        <s v="va10duvwmh002" u="1"/>
        <s v="VA10PWVISS553" u="1"/>
        <s v="VA10PWVISS645" u="1"/>
        <s v="VA10PWVISS737" u="1"/>
        <s v="VA10PWVISS829" u="1"/>
        <s v="VA10PWPSQL313B" u="1"/>
        <s v="VA10TUVDB2011A" u="1"/>
        <s v="va10plvihs497" u="1"/>
        <s v="va10p30119" u="1"/>
        <s v="vaathmr228" u="1"/>
        <s v="VA33TLVMDB464" u="1"/>
        <s v="VA10TLVWBS529" u="1"/>
        <s v="va10n10106" u="1"/>
        <s v="VA10PLVCRB322" u="1"/>
        <s v="vaathmr020" u="1"/>
        <s v="VA10DAVCOA001" u="1"/>
        <s v="va10tlvwbs629" u="1"/>
        <s v="VA33TUVWBS005" u="1"/>
        <s v="VA33TUVIHS300" u="1"/>
        <s v="VA10PLVCRB330" u="1"/>
        <s v="VA10PWVSQL590" u="1"/>
        <s v="VA10TUVDB2301" u="1"/>
        <s v="VA10PWVNTS308" u="1"/>
        <s v="VA33TUVRMB300" u="1"/>
        <s v="VA10PLVWBS362" u="1"/>
        <s v="VA10PWVHPW301" u="1"/>
        <s v="VA10TLVWBS545" u="1"/>
        <s v="VA33TUVWBS013" u="1"/>
        <s v="VA10PWVISS1198" u="1"/>
        <s v="va10dlvwbs373" u="1"/>
        <s v="VA10TLVWBS553" u="1"/>
        <s v="VA33TLVATC313" u="1"/>
        <s v="vaathmr227" u="1"/>
        <s v="vaathmr319" u="1"/>
        <s v="VA10TLVWBS561" u="1"/>
        <s v="VA33TUVWBS305" u="1"/>
        <s v="VA10PWVISS1082" u="1"/>
        <s v="VA10PLVMDB311" u="1"/>
        <s v="va10plvmdb403" u="1"/>
        <s v="va33plvezz321" u="1"/>
        <s v="va33tlvbam300" u="1"/>
        <s v="VA33DWVISS347" u="1"/>
        <s v="va10dlvjre303" u="1"/>
        <s v="VA10PLVJRE300" u="1"/>
        <s v="VA10PWPSQL011" u="1"/>
        <s v="VA10PLVMDB503" u="1"/>
        <s v="va10plvjre356" u="1"/>
        <s v="VA10PWVCTX1108" u="1"/>
        <s v="va10plpocc402" u="1"/>
        <s v="va10plvwbs670" u="1"/>
        <s v="va33tlvorc316" u="1"/>
        <s v="VA10PLVBBT312" u="1"/>
        <s v="va33tlvnim300" u="1"/>
        <s v="VA33TWVAPP404" u="1"/>
        <s v="VA33TWVISS543" u="1"/>
        <s v="VA33TWVISS727" u="1"/>
        <s v="va10plpocc410" u="1"/>
        <s v="va10p10038" u="1"/>
        <s v="VA10DWPSQL030" u="1"/>
        <s v="VAATHMR054" u="1"/>
        <s v="va10plvmdb383" u="1"/>
        <s v="va10plvmdb475" u="1"/>
        <s v="VA10PLVMDB567" u="1"/>
        <s v="VA10PWPSQL313A" u="1"/>
        <s v="VA33TWVAPP368" u="1"/>
        <s v="VA33TWVAPP412" u="1"/>
        <s v="VAATHMR226" u="1"/>
        <s v="VAATHMR318" u="1"/>
        <s v="va10plvexc002" u="1"/>
        <s v="VA10PLVOCC302" u="1"/>
        <s v="VA33TWPSQL403B" u="1"/>
        <s v="va33tlvihs587" u="1"/>
        <s v="va10plvmdb483" u="1"/>
        <s v="VA10TWVISS045" u="1"/>
        <s v="VA33VPWFC011B" u="1"/>
        <s v="VA10TLVPEG356" u="1"/>
        <s v="VA33TWVAPP376" u="1"/>
        <s v="va10tuvrmb302" u="1"/>
        <s v="VA10PWVBOO306" u="1"/>
        <s v="VA10PLVKAF308" u="1"/>
        <s v="va10tlvkaf307" u="1"/>
        <s v="VA10TLVPEG364" u="1"/>
        <s v="VA33TWVAPP384" u="1"/>
        <s v="VA33DWVSQL492" u="1"/>
        <s v="VA10DZVPEG214" u="1"/>
        <s v="va10tuvwbs023" u="1"/>
        <s v="va10plvezz407" u="1"/>
        <s v="VA10PWVEAA386" u="1"/>
        <s v="VA10PWVGID301" u="1"/>
        <s v="VA10PWVISS338" u="1"/>
        <s v="va33dlvwbs400" u="1"/>
        <s v="VA33DWVPEG336" u="1"/>
        <s v="VA33TLPMDB401" u="1"/>
        <s v="VA33TWVAPP392" u="1"/>
        <s v="VA10PWVISS1197" u="1"/>
        <s v="VA10PUVWBS032" u="1"/>
        <s v="VA10TPVMDB303" u="1"/>
        <s v="va10p10049" u="1"/>
        <s v="va10plvexc302" u="1"/>
        <s v="VA10DWVSQL406" u="1"/>
        <s v="VA10PWVSQL311" u="1"/>
        <s v="va33tlvwbs544" u="1"/>
        <s v="va10p10037" u="1"/>
        <s v="VA10TWVISS345" u="1"/>
        <s v="VA33TWVPEG432" u="1"/>
        <s v="va10p10209" u="1"/>
        <s v="va10tlvihs425" u="1"/>
        <s v="va10tlvols301" u="1"/>
        <s v="VAATHMR225" u="1"/>
        <s v="vaathmr409" u="1"/>
        <s v="VA10PWVEPI301" u="1"/>
        <s v="VA10TWVSQL410" u="1"/>
        <s v="VA33TLVWBS552" u="1"/>
        <s v="VA10PWVCTX1039" u="1"/>
        <s v="VA10DWVISS357" u="1"/>
        <s v="VA10PWVISS354" u="1"/>
        <s v="va33tlvmdb301" u="1"/>
        <s v="VA10PWVISS1081" u="1"/>
        <s v="va10puvwbs096" u="1"/>
        <s v="VA10PUVWBS140" u="1"/>
        <s v="va10tuvwbs323" u="1"/>
        <s v="va33tlvjre338" u="1"/>
        <s v="VA10PWVSQL467" u="1"/>
        <s v="VA33TWPSQL001" u="1"/>
        <s v="va33dlvmdb313" u="1"/>
        <s v="va33tlvmdb401" u="1"/>
        <s v="VA10PWVISS1161" u="1"/>
        <s v="va10tlvihs441" u="1"/>
        <s v="va10tlvnim310" u="1"/>
        <s v="VA10PWVSQL567" u="1"/>
        <s v="VA10PWVCTX1107" u="1"/>
        <s v="va10duvwmh003" u="1"/>
        <s v="VA10PWVISS646" u="1"/>
        <s v="VA33DLVDLX300" u="1"/>
        <s v="va10p30059" u="1"/>
        <s v="VA10PLVDFR300" u="1"/>
        <s v="SYSJ-VP102" u="1"/>
        <s v="va10plvihs498" u="1"/>
        <s v="va10tlvihs497" u="1"/>
        <s v="SYSI-VP100" u="1"/>
        <s v="va10p10048" u="1"/>
        <s v="VA10DUVINF300" u="1"/>
        <s v="VAATHMR248" u="1"/>
        <s v="va10plvctm309" u="1"/>
        <s v="VA10PWVSQL483" u="1"/>
        <s v="VA10PWVISS562" u="1"/>
        <s v="VA10PWVISS838" u="1"/>
        <s v="VA33TLVMDB465" u="1"/>
        <s v="VA33DX50VM03CLU05" u="1"/>
        <s v="va10n10126" u="1"/>
        <s v="va10p10208" u="1"/>
        <s v="VA10PLVCRB323" u="1"/>
        <s v="VA33TWPSQL403A" u="1"/>
        <s v="VA33TLVPEG347" u="1"/>
        <s v="VA10DAVCOA002" u="1"/>
        <s v="va10dlvwbs358" u="1"/>
        <s v="VA10TLVCIW300" u="1"/>
        <s v="VA33TPVMDB002" u="1"/>
        <s v="VA33DX50VM04CLU04" u="1"/>
        <s v="va33duvihs305" u="1"/>
        <s v="VA33TUVIHS301" u="1"/>
        <s v="VA10PLVCRB331" u="1"/>
        <s v="va33tlvbam001" u="1"/>
        <s v="VA10PWVSQL591" u="1"/>
        <s v="va10plvbas305" u="1"/>
        <s v="VA10TUVDB2302" u="1"/>
        <s v="VA10PWVNTS309" u="1"/>
        <s v="VA33TUVRMB301" u="1"/>
        <s v="VA10TLVWBS546" u="1"/>
        <s v="VA33TUVWBS014" u="1"/>
        <s v="VA33TLVATC306" u="1"/>
        <s v="VA10PWPTAB308" u="1"/>
        <s v="va10p10059" u="1"/>
        <s v="va10p30058" u="1"/>
        <s v="VA33DUVRMB313" u="1"/>
        <s v="vaathmr075" u="1"/>
        <s v="va10dlvwbs374" u="1"/>
        <s v="VA10TLVWBS370" u="1"/>
        <s v="VA10TLVWBS554" u="1"/>
        <s v="VA33TLVATC314" u="1"/>
        <s v="VA10PWVPAR300" u="1"/>
        <s v="DWNZPROD1" u="1"/>
        <s v="VA10PWVISS870" u="1"/>
        <s v="VA10TLVWBS562" u="1"/>
        <s v="VA33TPVMDB302" u="1"/>
        <s v="VA33TUVWBS306" u="1"/>
        <s v="VA10PLVMDB312" u="1"/>
        <s v="va10plvmdb404" u="1"/>
        <s v="va10tlvmdb311" u="1"/>
        <s v="va33tlvbam301" u="1"/>
        <s v="va10p10207" u="1"/>
        <s v="VA10PLVPOS300" u="1"/>
        <s v="VA33TWVSQL401" u="1"/>
        <s v="VA33TWVISS344" u="1"/>
        <s v="VA10N10021" u="1"/>
        <s v="VA10PLVJRE301" u="1"/>
        <s v="va10tlvjre300" u="1"/>
        <s v="VA10TLVWBS570" u="1"/>
        <s v="VA33TPVMDB310" u="1"/>
        <s v="vaathmr1191" u="1"/>
        <s v="VA10PLVMDB504" u="1"/>
        <s v="va33tlvxld303" u="1"/>
        <s v="va10plvjre357" u="1"/>
        <s v="va10plpocc403" u="1"/>
        <s v="va33tlvorc317" u="1"/>
        <s v="VA10PWVISS1160" u="1"/>
        <s v="VA10PLVBBT313" u="1"/>
        <s v="VA10TUVDB2013B" u="1"/>
        <s v="VA33TWVAPP405" u="1"/>
        <s v="BDPR2R11OGG2V" u="1"/>
        <s v="VA33TWVISS360" u="1"/>
        <s v="VA33TWVISS544" u="1"/>
        <s v="VA33TWVISS728" u="1"/>
        <s v="va10plpocc411" u="1"/>
        <s v="va10p10058" u="1"/>
        <s v="va10p30057" u="1"/>
        <s v="VAATHMR074" u="1"/>
        <s v="va10plvmdb384" u="1"/>
        <s v="va10plvmdb476" u="1"/>
        <s v="VA10PLVMDB568" u="1"/>
        <s v="VA33TWVAPP369" u="1"/>
        <s v="VA33TWVAPP413" u="1"/>
        <s v="va10p30045" u="1"/>
        <s v="va10plvdkr354" u="1"/>
        <s v="VA10PLVOCC303" u="1"/>
        <s v="va10n10044" u="1"/>
        <s v="VA10PWPSQL312" u="1"/>
        <s v="va33tlvihs588" u="1"/>
        <s v="VAATHMR1194" u="1"/>
        <s v="VA10TLVPEG357" u="1"/>
        <s v="VA33TWVAPP377" u="1"/>
        <s v="va10tuvrmb303" u="1"/>
        <s v="va10p10114" u="1"/>
        <s v="va10tuvwbs016" u="1"/>
        <s v="VAATHMR406" u="1"/>
        <s v="VA33DWVISS472" u="1"/>
        <s v="VA10DUPINF001" u="1"/>
        <s v="VA10PWVBOO307" u="1"/>
        <s v="VA10PLVKAF309" u="1"/>
        <s v="va10tlvkaf308" u="1"/>
        <s v="VA10TLVPEG365" u="1"/>
        <s v="VA33TLVINF302" u="1"/>
        <s v="VA33TWVAPP385" u="1"/>
        <s v="VA33DWVSQL493" u="1"/>
        <s v="va10tuvwbs024" u="1"/>
        <s v="VA10PWVAPP108" u="1"/>
        <s v="VAATHMR1196" u="1"/>
        <s v="VA10PWVISS339" u="1"/>
        <s v="va33dlvwbs401" u="1"/>
        <s v="VAATHMR189" u="1"/>
        <s v="VA33TLPMDB402" u="1"/>
        <s v="VA33TWVAPP393" u="1"/>
        <s v="VA10TPVMDB304" u="1"/>
        <s v="VA10P10069" u="1"/>
        <s v="va10plvexc303" u="1"/>
        <s v="VA33DWVISS580" u="1"/>
        <s v="va33tlvwbs545" u="1"/>
        <s v="va10n10159" u="1"/>
        <s v="va10p30056" u="1"/>
        <s v="VA10TWVISS346" u="1"/>
        <s v="VA33TWVPEG433" u="1"/>
        <s v="VAATHMR073" u="1"/>
        <s v="va10puviih001" u="1"/>
        <s v="DWNZPROD2" u="1"/>
        <s v="va10p30044" u="1"/>
        <s v="va10tlvihs426" u="1"/>
        <s v="VA10PWVEPI302" u="1"/>
        <s v="VA10PWVETI300" u="1"/>
        <s v="va10tlpsoa408" u="1"/>
        <s v="VA10TWVSQL411" u="1"/>
        <s v="VA33TLVWBS553" u="1"/>
        <s v="va10n10043" u="1"/>
        <s v="VA10PWVBNA304" u="1"/>
        <s v="va33tlvmdb302" u="1"/>
        <s v="VA10PWVISS1183" u="1"/>
        <s v="va10puvwbs097" u="1"/>
        <s v="va10tuvfpm001" u="1"/>
        <s v="VA10PUVWBS141" u="1"/>
        <s v="va10tuvwbs324" u="1"/>
        <s v="VA10PWVEPI310" u="1"/>
        <s v="vaathmr1050" u="1"/>
        <s v="VA10TWVAPP315" u="1"/>
        <s v="va33dlvwbs381" u="1"/>
        <s v="VA10PWVISS639" u="1"/>
        <s v="VA33DLVTCT320" u="1"/>
        <s v="va33tlvmdb402" u="1"/>
        <s v="va10dlvsps300" u="1"/>
        <s v="VA10PLPWBS400" u="1"/>
        <s v="va10tlvnim311" u="1"/>
        <s v="VA33TUVIHS002" u="1"/>
        <s v="vaathmr1051" u="1"/>
        <s v="VAATHMR1292" u="1"/>
        <s v="VA10PWVSQL568" u="1"/>
        <s v="VA10PWVCTX1117" u="1"/>
        <s v="va10duvwmh004" u="1"/>
        <s v="VA33DLVDLX301" u="1"/>
        <s v="VA10PLVDFR301" u="1"/>
        <s v="VA10PWPSQL315B" u="1"/>
        <s v="VA10TUVDB2013A" u="1"/>
        <s v="va10tlvihs498" u="1"/>
        <s v="va33tuvihs010" u="1"/>
        <s v="VA10P10068" u="1"/>
        <s v="VA10DUVINF301" u="1"/>
        <s v="VA10PLVCRB316" u="1"/>
        <s v="vaathmr1052" u="1"/>
        <s v="VA10PWVAPP332" u="1"/>
        <s v="VA10PWVCTX1105" u="1"/>
        <s v="VA10PWVISS563" u="1"/>
        <s v="VA33TLVMDB466" u="1"/>
        <s v="vaathmr072" u="1"/>
        <s v="VA10P10044" u="1"/>
        <s v="VA10P10228" u="1"/>
        <s v="va10p30043" u="1"/>
        <s v="VA10PLVCRB324" u="1"/>
        <s v="VAATHMR1053" u="1"/>
        <s v="VA33TLVPEG348" u="1"/>
        <s v="va10dlvwbs359" u="1"/>
        <s v="VA10TLVCIW301" u="1"/>
        <s v="VA10TLVWBS539" u="1"/>
        <s v="VA33TPVMDB003" u="1"/>
        <s v="VA10VPWFC013A" u="1"/>
        <s v="VA33TUVIHS302" u="1"/>
        <s v="va33tlvbam002" u="1"/>
        <s v="vaathmr1054" u="1"/>
        <s v="VA10N10202" u="1"/>
        <s v="VA10TUVDB2303" u="1"/>
        <s v="VA33TUVRMB302" u="1"/>
        <s v="VA10TLVWBS547" u="1"/>
        <s v="DWBDTEST1R1KF1" u="1"/>
        <s v="VA10PWPTAB309" u="1"/>
        <s v="va33tlvbam010" u="1"/>
        <s v="vaathmr1055" u="1"/>
        <s v="DWTEST2COP1" u="1"/>
        <s v="VA10PWVISS955" u="1"/>
        <s v="VA33DUVRMB314" u="1"/>
        <s v="va10plvwbs464" u="1"/>
        <s v="VA10TLVWBS555" u="1"/>
        <s v="VA33TLVATC315" u="1"/>
        <s v="va33tlvihs317" u="1"/>
        <s v="VA10P10067" u="1"/>
        <s v="vaathmr1056" u="1"/>
        <s v="VA10PWVPAR301" u="1"/>
        <s v="VA10PWVISS871" u="1"/>
        <s v="VA10N10157" u="1"/>
        <s v="va10plpocc020" u="1"/>
        <s v="va10plvmqs311" u="1"/>
        <s v="va10plvwbs564" u="1"/>
        <s v="VA10TLVWBS563" u="1"/>
        <s v="VA33TPVMDB303" u="1"/>
        <s v="va33tlvihs509" u="1"/>
        <s v="va10tlvmdb312" u="1"/>
        <s v="va33tlvbam302" u="1"/>
        <s v="VA10P10043" u="1"/>
        <s v="va10p10227" u="1"/>
        <s v="VAATHMR1057" u="1"/>
        <s v="VA10PLVPOS301" u="1"/>
        <s v="VA33TWVSQL402" u="1"/>
        <s v="VAATHMR1270" u="1"/>
        <s v="VA33TWVISS345" u="1"/>
        <s v="va10n10041" u="1"/>
        <s v="VA10PLVJRE302" u="1"/>
        <s v="va10tlvjre301" u="1"/>
        <s v="VA10TLVWBS571" u="1"/>
        <s v="va33tpvmdb311" u="1"/>
        <s v="VA10PWVISS1090" u="1"/>
        <s v="VA10PUVDB2007B" u="1"/>
        <s v="va10tuvdb2006b" u="1"/>
        <s v="VA10PLVMDB505" u="1"/>
        <s v="va33dlvbam314" u="1"/>
        <s v="VAATHMR1058" u="1"/>
        <s v="vaathmr311" u="1"/>
        <s v="va10plvjre358" u="1"/>
        <s v="VA10N10201" u="1"/>
        <s v="va10plpocc404" u="1"/>
        <s v="VA10PLVJRE310" u="1"/>
        <s v="VA10PLVBBT314" u="1"/>
        <s v="va33tlvnim302" u="1"/>
        <s v="va10puvdb2015b" u="1"/>
        <s v="VA33TWVAPP406" u="1"/>
        <s v="va10p30089" u="1"/>
        <s v="VA33DWVSQL330" u="1"/>
        <s v="VA33TWVSQL510" u="1"/>
        <s v="VA33TWVISS545" u="1"/>
        <s v="VA33TWVISS729" u="1"/>
        <s v="VA10PWVCTX1116" u="1"/>
        <s v="va10plvwbs680" u="1"/>
        <s v="va10plvmdb385" u="1"/>
        <s v="va10plvmdb477" u="1"/>
        <s v="VA10PWPSQL315A" u="1"/>
        <s v="VA33TWVAPP414" u="1"/>
        <s v="va10p10066" u="1"/>
        <s v="va10p10158" u="1"/>
        <s v="va10plvdkr355" u="1"/>
        <s v="VA10PUVORC006" u="1"/>
        <s v="VA10PLVOCC304" u="1"/>
        <s v="VA10N10156" u="1"/>
        <s v="VA10P70419" u="1"/>
        <s v="va33tlvihs589" u="1"/>
        <s v="va10plveen300" u="1"/>
        <s v="VA10TLVPEG358" u="1"/>
        <s v="VA33TWVAPP378" u="1"/>
        <s v="va10tuvrmb304" u="1"/>
        <s v="VAATHMR1047" u="1"/>
        <s v="va10tuvwbs017" u="1"/>
        <s v="VA10DUPINF002" u="1"/>
        <s v="va10plvezz309" u="1"/>
        <s v="OpenConnect-Prod" u="1"/>
        <s v="va10tlvkaf309" u="1"/>
        <s v="VA10TLVPEG366" u="1"/>
        <s v="VA33TLVINF303" u="1"/>
        <s v="VA33TWVAPP386" u="1"/>
        <s v="VA10P10110" u="1"/>
        <s v="vaathmr1048" u="1"/>
        <s v="VA10TZVPEG120" u="1"/>
        <s v="vaathmr310" u="1"/>
        <s v="VA10TLVIHS319" u="1"/>
        <s v="VA10PLVEZZ317" u="1"/>
        <s v="VA10PLVEZZ409" u="1"/>
        <s v="va10plvlrd300" u="1"/>
        <s v="VA33TLVWBS538" u="1"/>
        <s v="VA10PLVMDB593" u="1"/>
        <s v="VA10PWVGID303" u="1"/>
        <s v="va33dlvwbs402" u="1"/>
        <s v="Imanami GroupID-Prod" u="1"/>
        <s v="VA33TLPMDB403" u="1"/>
        <s v="VA33TWVAPP394" u="1"/>
        <s v="vaathmr1049" u="1"/>
        <s v="va10puvwbs034" u="1"/>
        <s v="VA10TPVMDB305" u="1"/>
        <s v="va10p30088" u="1"/>
        <s v="VA33DWVISS581" u="1"/>
        <s v="VA10DWVSQL408" u="1"/>
        <s v="va10p10169" u="1"/>
        <s v="VA33DWVPOC332" u="1"/>
        <s v="VA33TWVPEG434" u="1"/>
        <s v="va10tuviih001" u="1"/>
        <s v="va10duvwbs045" u="1"/>
        <s v="va10p10065" u="1"/>
        <s v="va10p10157" u="1"/>
        <s v="va10p30156" u="1"/>
        <s v="va10tlvihs427" u="1"/>
        <s v="VA10PWVEPI303" u="1"/>
        <s v="VA10PWVETI301" u="1"/>
        <s v="VA10PWVSQL413" u="1"/>
        <s v="VA10TWVSQL412" u="1"/>
        <s v="VA33TLVWBS370" u="1"/>
        <s v="VA10N10155" u="1"/>
        <s v="VA10P70418" u="1"/>
        <s v="va33tlvmdb303" u="1"/>
        <s v="va10puvwbs098" u="1"/>
        <s v="va10tuvfpm002" u="1"/>
        <s v="va10puvwbs050" u="1"/>
        <s v="VA10PUVWBS142" u="1"/>
        <s v="va10tuvwbs325" u="1"/>
        <s v="va10n10143" u="1"/>
        <s v="VA10P10041" u="1"/>
        <s v="VA10PLVIHS344" u="1"/>
        <s v="VA10PLVWBS001" u="1"/>
        <s v="VA10PWVEPI311" u="1"/>
        <s v="VA10PWVSQL469" u="1"/>
        <s v="va33dlvwbs382" u="1"/>
        <s v="VA33DWVPEG362" u="1"/>
        <s v="VA10PWVISS500" u="1"/>
        <s v="va33tlvmdb403" u="1"/>
        <s v="VA10PUVDB2007A" u="1"/>
        <s v="va10tuvdb2006a" u="1"/>
        <s v="va10n10211" u="1"/>
        <s v="va10dlvsps301" u="1"/>
        <s v="VA10PLPWBS401" u="1"/>
        <s v="va10tlpwbs400" u="1"/>
        <s v="va10tlvnim312" u="1"/>
        <s v="VA33TUVIHS003" u="1"/>
        <s v="VA10PLVCDC300" u="1"/>
        <s v="VA10PWVSQL569" u="1"/>
        <s v="VA10PWVSQL613" u="1"/>
        <s v="va33dlvwbs390" u="1"/>
        <s v="VA33TLVWBS570" u="1"/>
        <s v="va10duvwmh005" u="1"/>
        <s v="VA10PWVISS556" u="1"/>
        <s v="va10tuvwmh001" u="1"/>
        <s v="VA10PLVDFR302" u="1"/>
        <s v="va10puvdb2015a" u="1"/>
        <s v="va10tlvihs499" u="1"/>
        <s v="va10plvnim321" u="1"/>
        <s v="va10tlvnim320" u="1"/>
        <s v="VA33DWVBAM300" u="1"/>
        <s v="va33tuvihs011" u="1"/>
        <s v="va10p10088" u="1"/>
        <s v="va10p30087" u="1"/>
        <s v="VA10DUVINF302" u="1"/>
        <s v="VA10PLVCRB317" u="1"/>
        <s v="VA10PWVAPP333" u="1"/>
        <s v="va33plvcac300" u="1"/>
        <s v="VA10PWVCTX1115" u="1"/>
        <s v="VA10PLVDFR310" u="1"/>
        <s v="va10p10064" u="1"/>
        <s v="VA10P10156" u="1"/>
        <s v="va10p30155" u="1"/>
        <s v="VAATHMR1267" u="1"/>
        <s v="VA10PLVCRB325" u="1"/>
        <s v="vaathmr172" u="1"/>
        <s v="VA33TWVSQL003" u="1"/>
        <s v="VA10P70417" u="1"/>
        <s v="VA33TPVMDB004" u="1"/>
        <s v="VA33TUVWBS008" u="1"/>
        <s v="VA33DX50VM04CLU05" u="1"/>
        <s v="VA33TUVIHS303" u="1"/>
        <s v="VA10N50232" u="1"/>
        <s v="VA10P10132" u="1"/>
        <s v="va10p10224" u="1"/>
        <s v="VA10P51142" u="1"/>
        <s v="va33tlvbam003" u="1"/>
        <s v="VA10PWVSQL593" u="1"/>
        <s v="VA33TUVRMB303" u="1"/>
        <s v="VA10TLVWBS548" u="1"/>
        <s v="va10tlvwbs500" u="1"/>
        <s v="va10n10210" u="1"/>
        <s v="mom9plvsmd309" u="1"/>
        <s v="va33tlvbam011" u="1"/>
        <s v="VA10PWVISS864" u="1"/>
        <s v="VA10PWVISS956" u="1"/>
        <s v="VA10TUVDB2312" u="1"/>
        <s v="VA33DUVRMB315" u="1"/>
        <s v="va10plvwbs465" u="1"/>
        <s v="VA10TLVWBS556" u="1"/>
        <s v="VA10TLVWBS600" u="1"/>
        <s v="VA33TLVATC316" u="1"/>
        <s v="va33tlvihs318" u="1"/>
        <s v="va10p10087" u="1"/>
        <s v="va10p30086" u="1"/>
        <s v="VA10TWVPAR301" u="1"/>
        <s v="VA10PWVISS872" u="1"/>
        <s v="va10plpocc021" u="1"/>
        <s v="va10plvwbs565" u="1"/>
        <s v="VA10TLVWBS564" u="1"/>
        <s v="VA33TPVMDB304" u="1"/>
        <s v="va10tlvwbs700" u="1"/>
        <s v="va10tlvmdb313" u="1"/>
        <s v="va33tlvbam303" u="1"/>
        <s v="VA10P10063" u="1"/>
        <s v="va10p10155" u="1"/>
        <s v="VA10PLVPOS302" u="1"/>
        <s v="vaathmr171" u="1"/>
        <s v="VA10TZVAPP001" u="1"/>
        <s v="VA10PLVJRE303" u="1"/>
        <s v="VA10TLVWBS572" u="1"/>
        <s v="va33tpvmdb312" u="1"/>
        <s v="va10plvbbt307" u="1"/>
        <s v="VA10PUVDB2008B" u="1"/>
        <s v="VA10TLVMDB505" u="1"/>
        <s v="va33dlvbam315" u="1"/>
        <s v="VA10P10131" u="1"/>
        <s v="va10p10223" u="1"/>
        <s v="VA10P51141" u="1"/>
        <s v="VA10P70404" u="1"/>
        <s v="VA33TWVSQL367" u="1"/>
        <s v="vaathmr423" u="1"/>
        <s v="VA10TUVIHS013" u="1"/>
        <s v="VA33TWVISS354" u="1"/>
        <s v="va10plvjre359" u="1"/>
        <s v="va10plpocc405" u="1"/>
        <s v="VA10PLVJRE311" u="1"/>
        <s v="VA10TLVWBS580" u="1"/>
        <s v="va33tlvihs434" u="1"/>
        <s v="va10plvmdb330" u="1"/>
        <s v="VA33TWVAPP407" u="1"/>
        <s v="va10plvjre367" u="1"/>
        <s v="va10plvwbs681" u="1"/>
        <s v="VA10PWVMIM300" u="1"/>
        <s v="va33dlvsps300" u="1"/>
        <s v="VA33TWVAPP415" u="1"/>
        <s v="va10p30085" u="1"/>
        <s v="va10plvdkr356" u="1"/>
        <s v="vaathmr194" u="1"/>
        <s v="VA10PWVCTX1114" u="1"/>
        <s v="VA10PLVOCC305" u="1"/>
        <s v="VA10P10166" u="1"/>
        <s v="va33tlvihs498" u="1"/>
        <s v="va33tuvwbs340" u="1"/>
        <s v="vaathmr1112" u="1"/>
        <s v="VA10PLVEEN301" u="1"/>
        <s v="va33tlvihs450" u="1"/>
        <s v="VA10TLVPEG359" u="1"/>
        <s v="VA33TWVAPP379" u="1"/>
        <s v="va10tuvrmb305" u="1"/>
        <s v="VA10P10062" u="1"/>
        <s v="va10p30061" u="1"/>
        <s v="VA10DZVPEG209" u="1"/>
        <s v="va10tuvwbs018" u="1"/>
        <s v="VA10PLVJRE383" u="1"/>
        <s v="VA10TLVPEG367" u="1"/>
        <s v="VA33TLVINF304" u="1"/>
        <s v="VA33TWVAPP387" u="1"/>
        <s v="va10plvspl329" u="1"/>
        <s v="va10p10222" u="1"/>
        <s v="VA10P51140" u="1"/>
        <s v="VA10TZVPEG121" u="1"/>
        <s v="VA10PLVEZZ318" u="1"/>
        <s v="va10p10210" u="1"/>
        <s v="VA10DWVSQL309" u="1"/>
        <s v="VA33TLVWBS539" u="1"/>
        <s v="vaathmr410" u="1"/>
        <s v="VA10PLVMDB594" u="1"/>
        <s v="VA10TLPMSP010" u="1"/>
        <s v="VA33TWVAPP395" u="1"/>
        <s v="va10puvwbs035" u="1"/>
        <s v="VA33DWVISS582" u="1"/>
        <s v="VA10PUVWBS319" u="1"/>
        <s v="VA10P10177" u="1"/>
        <s v="va10p30084" u="1"/>
        <s v="va10tlvihs428" u="1"/>
        <s v="VAATHMR193" u="1"/>
        <s v="VAATHMR285" u="1"/>
        <s v="va10plvezz334" u="1"/>
        <s v="VA10PWVEPI304" u="1"/>
        <s v="VA10TWVSQL413" u="1"/>
        <s v="VA33TLVWBS371" u="1"/>
        <s v="VA10P10165" u="1"/>
        <s v="VA10DWVISS312" u="1"/>
        <s v="VA10PWVISS401" u="1"/>
        <s v="va10tuvfpm003" u="1"/>
        <s v="va10puvwbs051" u="1"/>
        <s v="VA10PUVWBS143" u="1"/>
        <s v="VA10TUVWBS050" u="1"/>
        <s v="va10tuvwbs326" u="1"/>
        <s v="va10p10061" u="1"/>
        <s v="va10p30060" u="1"/>
        <s v="VA10PLVIHS345" u="1"/>
        <s v="va10plvwbs002" u="1"/>
        <s v="VA10PWVEPI312" u="1"/>
        <s v="VA10PWVSQL422" u="1"/>
        <s v="VA10PWVSQL514" u="1"/>
        <s v="va33dlvwbs383" u="1"/>
        <s v="VA10P70414" u="1"/>
        <s v="VA10PUVDB2008A" u="1"/>
        <s v="VA10PUVWBS151" u="1"/>
        <s v="va10p10221" u="1"/>
        <s v="VA10P70402" u="1"/>
        <s v="va10tlpwbs401" u="1"/>
        <s v="va10tlvnim313" u="1"/>
        <s v="VA33TUVIHS004" u="1"/>
        <s v="VA10PWVEPI320" u="1"/>
        <s v="VA10PWVSQL386" u="1"/>
        <s v="VA10PWVSQL478" u="1"/>
        <s v="va33dlvwbs391" u="1"/>
        <s v="VA33TLVWBS571" u="1"/>
        <s v="va10duvwmh006" u="1"/>
        <s v="VA10PWVISS557" u="1"/>
        <s v="VA10PWVISS649" u="1"/>
        <s v="va10tuvwmh002" u="1"/>
        <s v="VA10TWVISS600" u="1"/>
        <s v="VA10PLVDFR303" u="1"/>
        <s v="VA10TWPSQL040B" u="1"/>
        <s v="va10plvnim322" u="1"/>
        <s v="va33tuvihs012" u="1"/>
        <s v="VA10PLVCRB318" u="1"/>
        <s v="VA10DWVSQL397" u="1"/>
        <s v="VA10PWVSQL530" u="1"/>
        <s v="VA10PLVDFR311" u="1"/>
        <s v="VA10P10176" u="1"/>
        <s v="va10p30083" u="1"/>
        <s v="VA10PLVCRB326" u="1"/>
        <s v="vaathmr284" u="1"/>
        <s v="va10tuvbas300" u="1"/>
        <s v="VA33DWVEAA319" u="1"/>
        <s v="VA10PWVCTX1113" u="1"/>
        <s v="va10p10072" u="1"/>
        <s v="VA10P10164" u="1"/>
        <s v="va33dlvmdb340" u="1"/>
        <s v="VA10TLVWBS357" u="1"/>
        <s v="VA10PLVWBS310" u="1"/>
        <s v="VA33TUVIHS304" u="1"/>
        <s v="va10n10162" u="1"/>
        <s v="va10p10060" u="1"/>
        <s v="va33tlvbam004" u="1"/>
        <s v="VA10PWVISS949" u="1"/>
        <s v="va10n10242" u="1"/>
        <s v="VA10TUVDB2305" u="1"/>
        <s v="VA33TUVRMB304" u="1"/>
        <s v="VA10DLVWBS369" u="1"/>
        <s v="VA10TLVWBS549" u="1"/>
        <s v="VA33TUVWBS017" u="1"/>
        <s v="VA10VPWFC014A" u="1"/>
        <s v="VA10P51230" u="1"/>
        <s v="VA33TLVBAM012" u="1"/>
        <s v="va33tlvpeg410" u="1"/>
        <s v="va10plvwbs466" u="1"/>
        <s v="VA10PWVHRS303" u="1"/>
        <s v="VA10TLVWBS557" u="1"/>
        <s v="VA10TWVHRS302" u="1"/>
        <s v="VA10TLVWBS601" u="1"/>
        <s v="VA33TLVATC317" u="1"/>
        <s v="VA10PWVISS873" u="1"/>
        <s v="va10plvwbs566" u="1"/>
        <s v="VA10TLVWBS565" u="1"/>
        <s v="VA10TWVHRS310" u="1"/>
        <s v="VA33TPVMDB305" u="1"/>
        <s v="va33tuvwbs309" u="1"/>
        <s v="va10tlvwbs701" u="1"/>
        <s v="VA10P10175" u="1"/>
        <s v="VA10PLVPOS303" u="1"/>
        <s v="vaathmr283" u="1"/>
        <s v="VA10TZVAPP002" u="1"/>
        <s v="va10p10071" u="1"/>
        <s v="VA10P10255" u="1"/>
        <s v="va10plpwgs300" u="1"/>
        <s v="VA10PLVJRE304" u="1"/>
        <s v="VA10TLVWBS573" u="1"/>
        <s v="va33tpvmdb313" u="1"/>
        <s v="va10plvbbt308" u="1"/>
        <s v="va10tlvmdb414" u="1"/>
        <s v="va10n10161" u="1"/>
        <s v="VA10PLVPOS311" u="1"/>
        <s v="VA10TUVIHS014" u="1"/>
        <s v="VA33TWVISS539" u="1"/>
        <s v="VA33TWVPRM307" u="1"/>
        <s v="VA33TLVPEG390" u="1"/>
        <s v="va10n10241" u="1"/>
        <s v="va10plpocc406" u="1"/>
        <s v="VA10PLVJRE312" u="1"/>
        <s v="VA10PLVWBS674" u="1"/>
        <s v="va10plvmdb331" u="1"/>
        <s v="VA33TWVAPP408" u="1"/>
        <s v="va10plvdkr349" u="1"/>
        <s v="VA33DWVSQL516" u="1"/>
        <s v="va10plvjre368" u="1"/>
        <s v="VA10PLVJRE320" u="1"/>
        <s v="va10plvwbs682" u="1"/>
        <s v="VA10TLVWBS681" u="1"/>
        <s v="va33dlvsps301" u="1"/>
        <s v="VA10TWPSQL040A" u="1"/>
        <s v="VA33TWVAPP416" u="1"/>
        <s v="VAATHMR1205" u="1"/>
        <s v="VA10PWVIVR300" u="1"/>
        <s v="va10tuvihs306" u="1"/>
        <s v="VA10PWVCTX1124" u="1"/>
        <s v="va33tlvihs499" u="1"/>
        <s v="VA33TUVWBS341" u="1"/>
        <s v="VA10PLVEEN302" u="1"/>
        <s v="va33tlvihs451" u="1"/>
        <s v="va10tuvrmb306" u="1"/>
        <s v="VA10N10092" u="1"/>
        <s v="VA10P10174" u="1"/>
        <s v="va10puvorc016" u="1"/>
        <s v="va10tuvwbs019" u="1"/>
        <s v="VA33PWVSAW300" u="1"/>
        <s v="VA10PWVCTX1112" u="1"/>
        <s v="VA10N10172" u="1"/>
        <s v="VA10P10070" u="1"/>
        <s v="VA10P10254" u="1"/>
        <s v="va10p30345" u="1"/>
        <s v="VA10TLVPEG368" u="1"/>
        <s v="VA33DUVINF310" u="1"/>
        <s v="VA33TWVAPP388" u="1"/>
        <s v="va10n10160" u="1"/>
        <s v="VAATHMR1207" u="1"/>
        <s v="VA10PUVWBS028" u="1"/>
        <s v="VA10TUVWBS027" u="1"/>
        <s v="VA10TZVPEG122" u="1"/>
        <s v="CHIPS Supporting Systems-Prod" u="1"/>
        <s v="VA10P70411" u="1"/>
        <s v="VA33TLVWBS356" u="1"/>
        <s v="VA10PLVMDB595" u="1"/>
        <s v="VA10PWVGID305" u="1"/>
        <s v="VA33TWVPEG428" u="1"/>
        <s v="VA10PWVISS110" u="1"/>
        <s v="VA33TWVAPP396" u="1"/>
        <s v="va10puvwbs036" u="1"/>
        <s v="VA10TZVPEG130" u="1"/>
        <s v="VA33DWVISS583" u="1"/>
        <s v="VA33PWVHPW304" u="1"/>
        <s v="va33dlvwbs412" u="1"/>
        <s v="VA33DWVPOC334" u="1"/>
        <s v="va10tlvihs429" u="1"/>
        <s v="VA10PX0205" u="1"/>
        <s v="VA10DUVINF004" u="1"/>
        <s v="va10plvezz335" u="1"/>
        <s v="VA10PWVEPI305" u="1"/>
        <s v="VA33DLVMQS307" u="1"/>
        <s v="VA33TLVESC306" u="1"/>
        <s v="VA10TWVSQL414" u="1"/>
        <s v="va10p30184" u="1"/>
        <s v="VA10PX0101" u="1"/>
        <s v="VA10DWVISS313" u="1"/>
        <s v="VA10PWVISS402" u="1"/>
        <s v="VA33TLVMDB305" u="1"/>
        <s v="VA10PWVISS1009" u="1"/>
        <s v="va10puvwbs052" u="1"/>
        <s v="VA10PUVWBS144" u="1"/>
        <s v="VA10TUVWBS051" u="1"/>
        <s v="va10tuvwbs327" u="1"/>
        <s v="va10n10183" u="1"/>
        <s v="VA10P10173" u="1"/>
        <s v="va10tlvnim306" u="1"/>
        <s v="VAATHMR373" u="1"/>
        <s v="VA10PWVEPI313" u="1"/>
        <s v="va33dlvwbs384" u="1"/>
        <s v="va10p30344" u="1"/>
        <s v="vaathmr637" u="1"/>
        <s v="VA10PUVWBS060" u="1"/>
        <s v="VA10PUVWBS152" u="1"/>
        <s v="va10tlvnim314" u="1"/>
        <s v="VA33TUVIHS005" u="1"/>
        <s v="VA10PLVEZZ351" u="1"/>
        <s v="VA10PWVEPI321" u="1"/>
        <s v="va33dlvwbs392" u="1"/>
        <s v="VA33TLVWBS572" u="1"/>
        <s v="va10tuvwmh003" u="1"/>
        <s v="VA10PLVDFR304" u="1"/>
        <s v="va33tuvihs013" u="1"/>
        <s v="VA10PLVCRB319" u="1"/>
        <s v="VA10TUVINF300" u="1"/>
        <s v="VA10PWVAPP335" u="1"/>
        <s v="VA10PWVSQL623" u="1"/>
        <s v="VA10PWPLHA400" u="1"/>
        <s v="VA10PLVDFR312" u="1"/>
        <s v="va10plvihs554" u="1"/>
        <s v="VA10PLVCRB327" u="1"/>
        <s v="VA10PWVCTX1123" u="1"/>
        <s v="va10p10184" u="1"/>
        <s v="va10p30183" u="1"/>
        <s v="VA10PUVDB2023" u="1"/>
        <s v="VA10PWVSAW310" u="1"/>
        <s v="VA10PLVWBS311" u="1"/>
        <s v="VA33TUVIHS305" u="1"/>
        <s v="VA10P10172" u="1"/>
        <s v="va33tlvbam005" u="1"/>
        <s v="VA10PWVDAR300" u="1"/>
        <s v="VA10PWVCTX1111" u="1"/>
        <s v="VA33TWVIQP300" u="1"/>
        <s v="va10p30343" u="1"/>
        <s v="VA33DUVRMB309" u="1"/>
        <s v="VA33TUVRMB305" u="1"/>
        <s v="VA10TLVIAS001" u="1"/>
        <s v="VA10TLVWBS366" u="1"/>
        <s v="VA33DX50VM01CLU01" u="1"/>
        <s v="VA10P70513" u="1"/>
        <s v="VA10PWVISS590" u="1"/>
        <s v="VA10PWVISS866" u="1"/>
        <s v="VA10PWVOCC300" u="1"/>
        <s v="VA10TUVDB2314" u="1"/>
        <s v="va10pupsyb001" u="1"/>
        <s v="va33dlvofa314" u="1"/>
        <s v="va10plvwbs467" u="1"/>
        <s v="VA10TLVWBS558" u="1"/>
        <s v="VA10TWVHRS303" u="1"/>
        <s v="BDDVTS2KFCN7V" u="1"/>
        <s v="va10plvwbs511" u="1"/>
        <s v="VA10TLVWBS602" u="1"/>
        <s v="VA10TLVMDB307" u="1"/>
        <s v="VA10TWVPAR303" u="1"/>
        <s v="VA10PWVISS874" u="1"/>
        <s v="va10plvwbs567" u="1"/>
        <s v="VA10TLVWBS566" u="1"/>
        <s v="VA33TPVMDB306" u="1"/>
        <s v="va10tlvwbs702" u="1"/>
        <s v="VA10PLVPOS304" u="1"/>
        <s v="VA10PUVIHS008" u="1"/>
        <s v="VA10TZVAPP003" u="1"/>
        <s v="va10p10183" u="1"/>
        <s v="va10p30090" u="1"/>
        <s v="va10p30182" u="1"/>
        <s v="va10plpwgs301" u="1"/>
        <s v="VA10PLVJRE305" u="1"/>
        <s v="va10plvmqs322" u="1"/>
        <s v="va10plvsaw309" u="1"/>
        <s v="VA10PWVRDP300" u="1"/>
        <s v="vaathmr475" u="1"/>
        <s v="va10plvwbs483" u="1"/>
        <s v="va10tlvrrx001" u="1"/>
        <s v="VA10TLVWBS574" u="1"/>
        <s v="va33tpvmdb314" u="1"/>
        <s v="va10plvbbt309" u="1"/>
        <s v="VA10TLVWBS710" u="1"/>
        <s v="VA10PWVISS1008" u="1"/>
        <s v="va10tlvmdb415" u="1"/>
        <s v="VA10PLVPOS312" u="1"/>
        <s v="VA33DWVSQL417" u="1"/>
        <s v="VA33DWVSQL509" u="1"/>
        <s v="VA33TWVSQL321" u="1"/>
        <s v="va10tlvapp301" u="1"/>
        <s v="VA33TLVPEG391" u="1"/>
        <s v="va10p30342" u="1"/>
        <s v="va10plpocc407" u="1"/>
        <s v="VA10PLVJRE313" u="1"/>
        <s v="va10tlvjre312" u="1"/>
        <s v="VA10PLVWBS675" u="1"/>
        <s v="VA33TLVWBS001" u="1"/>
        <s v="VA10PLVPOS320" u="1"/>
        <s v="VA33TWVAPP409" u="1"/>
        <s v="VA10P10139A" u="1"/>
        <s v="VA10PLVJRE321" u="1"/>
        <s v="va10plvwbs683" u="1"/>
        <s v="VA10TLVWBS590" u="1"/>
        <s v="VA10TLVWBS682" u="1"/>
        <s v="va10plvmdb524" u="1"/>
        <s v="VA33TWVSQL385" u="1"/>
        <s v="VA10P10139B" u="1"/>
        <s v="va10puvorc009" u="1"/>
        <s v="va10tuvorc008" u="1"/>
        <s v="VA33TWVSQL521" u="1"/>
        <s v="VA10PLVDKR310" u="1"/>
        <s v="va10tuvihs307" u="1"/>
        <s v="VA10TLVWBS690" u="1"/>
        <s v="va33tuvwbs342" u="1"/>
        <s v="va33tlvihs452" u="1"/>
        <s v="VA10PAPSOA006B" u="1"/>
        <s v="VA33TWVSQL485" u="1"/>
        <s v="va10puvorc017" u="1"/>
        <s v="VA10TZVPEG115" u="1"/>
        <s v="AccumConnect-Prod" u="1"/>
        <s v="VA10TUPINF001" u="1"/>
        <s v="VA10PWVCTX1122" u="1"/>
        <s v="va10p10182" u="1"/>
        <s v="va10p30181" u="1"/>
        <s v="va33tuvwbs350" u="1"/>
        <s v="va10plvmdb588" u="1"/>
        <s v="VA33DUVINF311" u="1"/>
        <s v="VA33TWVAPP389" u="1"/>
        <s v="VA33DWVGRD011" u="1"/>
        <s v="va10p10170" u="1"/>
        <s v="VA10PUVWBS029" u="1"/>
        <s v="VA10TUVWBS028" u="1"/>
        <s v="VA10TZVPEG123" u="1"/>
        <s v="VA10PWVCTX1110" u="1"/>
        <s v="va10p30341" u="1"/>
        <s v="VA33TLVWBS357" u="1"/>
        <s v="va33dlvwbs313" u="1"/>
        <s v="VA33TWVPEG429" u="1"/>
        <s v="BDPR2KFCN10V" u="1"/>
        <s v="VA10PWVISS111" u="1"/>
        <s v="VA33TWVAPP397" u="1"/>
        <s v="VA10DWVWBS300" u="1"/>
        <s v="VA10TZVPEG131" u="1"/>
        <s v="VA33TUVDB2305" u="1"/>
        <s v="VA10PWVSQL408" u="1"/>
        <s v="VA10TWVSQL407" u="1"/>
        <s v="VA33PWVHPW305" u="1"/>
        <s v="va33dlvwbs413" u="1"/>
        <s v="VA10TWVISS302" u="1"/>
        <s v="VA33TWVISS680" u="1"/>
        <s v="VA10DUVINF005" u="1"/>
        <s v="VA10PWVEPI306" u="1"/>
        <s v="VA10PWVAPP036" u="1"/>
        <s v="VA33TLVESC307" u="1"/>
        <s v="VA10TWVSQL323" u="1"/>
        <s v="VA10PUVWBS145" u="1"/>
        <s v="va10tlvnim307" u="1"/>
        <s v="vaathmr393" u="1"/>
        <s v="VA10PWVEPI314" u="1"/>
        <s v="VA10DWVSQL335" u="1"/>
        <s v="VA10PWVSQL424" u="1"/>
        <s v="va33dlvwbs385" u="1"/>
        <s v="va10p30180" u="1"/>
        <s v="VAATHMR381" u="1"/>
        <s v="VA10PWVISS1007" u="1"/>
        <s v="VA10PUVWBS061" u="1"/>
        <s v="va10tlvnim315" u="1"/>
        <s v="va10tlvsps300" u="1"/>
        <s v="VA10PWVEPI322" u="1"/>
        <s v="VA10PWVSQL388" u="1"/>
        <s v="va33tlvjre303" u="1"/>
        <s v="va33dlvwbs393" u="1"/>
        <s v="va33tlvwbs573" u="1"/>
        <s v="va10tuvwmh004" u="1"/>
        <s v="VA10TWVISS510" u="1"/>
        <s v="va10pupfct001b" u="1"/>
        <s v="VA10PLVDFR305" u="1"/>
        <s v="VA10PWPSQL043B" u="1"/>
        <s v="VA33TUVIHS014" u="1"/>
        <s v="VA10PLVEZZ360" u="1"/>
        <s v="VA10DWVSQL399" u="1"/>
        <s v="VA10PWVSQL532" u="1"/>
        <s v="VA33PWPSQL023" u="1"/>
        <s v="va33tlvwbs581" u="1"/>
        <s v="VA10PWVISS567" u="1"/>
        <s v="va10puvdb2016" u="1"/>
        <s v="VA10PWPLHA401" u="1"/>
        <s v="va33dlvxap312" u="1"/>
        <s v="DWBDTS1R5OG1V" u="1"/>
        <s v="VA10PLVDFR313" u="1"/>
        <s v="va10plvihs371" u="1"/>
        <s v="va10plvihs555" u="1"/>
        <s v="va10tlvihs462" u="1"/>
        <s v="VA10PLVCRB328" u="1"/>
        <s v="VA10PWVSQL540" u="1"/>
        <s v="VA10PWVISS483" u="1"/>
        <s v="VA10PWVISS667" u="1"/>
        <s v="VA10TLVIHS470" u="1"/>
        <s v="va33tuvihs306" u="1"/>
        <s v="va33tlvbam006" u="1"/>
        <s v="VA33TLVRRX300" u="1"/>
        <s v="VA10PWVCTX1121" u="1"/>
        <s v="VA33TWVIQP301" u="1"/>
        <s v="VAATHMR380" u="1"/>
        <s v="VA10TLVIAS002" u="1"/>
        <s v="VA10TLVWBS367" u="1"/>
        <s v="VA33TUVWBS019" u="1"/>
        <s v="VA10PLVWBS320" u="1"/>
        <s v="VA10P51362" u="1"/>
        <s v="VA10PWVISS591" u="1"/>
        <s v="VA10TUVDB2315" u="1"/>
        <s v="VA10TLVWBS375" u="1"/>
        <s v="VA10TLVWBS559" u="1"/>
        <s v="VA10TWVHRS304" u="1"/>
        <s v="va10plvwbs512" u="1"/>
        <s v="VA10TLVWBS603" u="1"/>
        <s v="va33tlvezz318" u="1"/>
        <s v="VA10N10054A" u="1"/>
        <s v="VA10PWVISS875" u="1"/>
        <s v="va10plvwbs568" u="1"/>
        <s v="VA10TLVWBS567" u="1"/>
        <s v="VA33TPVMDB307" u="1"/>
        <s v="va10tlvwbs703" u="1"/>
        <s v="VA10N10054B" u="1"/>
        <s v="VA10PLVPOS305" u="1"/>
        <s v="VA33DWVSQL318" u="1"/>
        <s v="VA10PUVIHS009" u="1"/>
        <s v="VA10TZVAPP004" u="1"/>
        <s v="va10plpwgs302" u="1"/>
        <s v="VA10PLVJRE306" u="1"/>
        <s v="va10plvwbs484" u="1"/>
        <s v="va10tlvwbs391" u="1"/>
        <s v="VA10TLVWBS575" u="1"/>
        <s v="va33tuvwbs319" u="1"/>
        <s v="VA10TLVWBS711" u="1"/>
        <s v="VA10PWVISS1018" u="1"/>
        <s v="va10tlvmdb416" u="1"/>
        <s v="VA10PLVPOS313" u="1"/>
        <s v="vaathmr575" u="1"/>
        <s v="VA10PLVAPP075" u="1"/>
        <s v="VA33TLVPEG392" u="1"/>
        <s v="va10plpocc408" u="1"/>
        <s v="VA10PLVJRE314" u="1"/>
        <s v="va10plvmqs331" u="1"/>
        <s v="va10tlvjre313" u="1"/>
        <s v="VA10PLVWBS676" u="1"/>
        <s v="VA33TLVWBS002" u="1"/>
        <s v="VA10PLVPOS321" u="1"/>
        <s v="va10plvapp311" u="1"/>
        <s v="VA10PLVJRE322" u="1"/>
        <s v="va10plvwbs684" u="1"/>
        <s v="VA10TLVWBS591" u="1"/>
        <s v="VA10TLVWBS683" u="1"/>
        <s v="VA10TWPSQL308" u="1"/>
        <s v="va33tuvwbs335" u="1"/>
        <s v="va10pupfct001a" u="1"/>
        <s v="va33dlvsps303" u="1"/>
        <s v="VA10PWPSQL043A" u="1"/>
        <s v="va10plvmdb525" u="1"/>
        <s v="VA33TWVSQL522" u="1"/>
        <s v="va10plvdkr311" u="1"/>
        <s v="VA33TWVISS649" u="1"/>
        <s v="VA10PWVEAA052" u="1"/>
        <s v="VA10TLVWBS691" u="1"/>
        <s v="va33tuvwbs343" u="1"/>
        <s v="va10plvmdb397" u="1"/>
        <s v="va10plvmdb441" u="1"/>
        <s v="VA10P10111A" u="1"/>
        <s v="VA10TZVPEG116" u="1"/>
        <s v="va33dlvwbl320" u="1"/>
        <s v="va10plvmdb589" u="1"/>
        <s v="va33tlvnim330" u="1"/>
        <s v="VA33DWVGRD012" u="1"/>
        <s v="VA33TWVSQL494" u="1"/>
        <s v="VA10P10111B" u="1"/>
        <s v="VA10TZVPEG124" u="1"/>
        <s v="VA33DWVISS577" u="1"/>
        <s v="VA10PWVCTX1120" u="1"/>
        <s v="VA33TLVWBS358" u="1"/>
        <s v="va33dlvwbs314" u="1"/>
        <s v="va33dlvwbs406" u="1"/>
        <s v="va10tlpmsp013" u="1"/>
        <s v="VA33TWVAPP398" u="1"/>
        <s v="va10plvsec311" u="1"/>
        <s v="VA10PWVSQL409" u="1"/>
        <s v="VA10TWVSQL408" u="1"/>
        <s v="VA33PWVHPW306" u="1"/>
        <s v="va33tlvwbs366" u="1"/>
        <s v="va33dlvwbs414" u="1"/>
        <s v="VA10TWVISS303" u="1"/>
        <s v="VA33TWVISS681" u="1"/>
        <s v="VA10DUVINF006" u="1"/>
        <s v="VA10PWVEPI307" u="1"/>
        <s v="VA10TLVBAM316" u="1"/>
        <s v="VA33TLVESC308" u="1"/>
        <s v="VA10PUVWBS146" u="1"/>
        <s v="VA10TUVWBS053" u="1"/>
        <s v="va10plvihs300" u="1"/>
        <s v="VA10PWVEPI315" u="1"/>
        <s v="VA10PWVSQL517" u="1"/>
        <s v="va33dlvwbs386" u="1"/>
        <s v="va10plpspl480" u="1"/>
        <s v="VA10PWVISS1017" u="1"/>
        <s v="VA10TUVWBS061" u="1"/>
        <s v="va10tlvnim316" u="1"/>
        <s v="va10tlvsps301" u="1"/>
        <s v="VA10PWVEPI323" u="1"/>
        <s v="va10tlvezz352" u="1"/>
        <s v="va33tlvjre304" u="1"/>
        <s v="va33dlvwbs394" u="1"/>
        <s v="VA33TLVWBS574" u="1"/>
        <s v="VA33TWVPEG370" u="1"/>
        <s v="VA10DWVISS331" u="1"/>
        <s v="VA10TWVISS511" u="1"/>
        <s v="VA33TLVMDB415" u="1"/>
        <s v="va10pupfct002b" u="1"/>
        <s v="VA10PLVDFR306" u="1"/>
        <s v="VA10N50725" u="1"/>
        <s v="VA10TLVIHS363" u="1"/>
        <s v="va10tlvnim324" u="1"/>
        <s v="VA33TUVIHS015" u="1"/>
        <s v="VA10PLVEZZ361" u="1"/>
        <s v="VA10TWVSQL396" u="1"/>
        <s v="VA33PWPSQL024" u="1"/>
        <s v="VA10PWVISS568" u="1"/>
        <s v="VA10PWPSAS411" u="1"/>
        <s v="va33dlvxap313" u="1"/>
        <s v="VA10PLVDFR314" u="1"/>
        <s v="va10tlvihs463" u="1"/>
        <s v="VA10PLVCRB329" u="1"/>
        <s v="VA10PWVISS484" u="1"/>
        <s v="VA10PWVISS668" u="1"/>
        <s v="va10p10121a" u="1"/>
        <s v="VA10PWVISS620" u="1"/>
        <s v="va10plvihs380" u="1"/>
        <s v="va10plvihs472" u="1"/>
        <s v="VA10TLVIHS471" u="1"/>
        <s v="va33tuvihs307" u="1"/>
        <s v="va33tlvbam007" u="1"/>
        <s v="VA10PWVSQL597" u="1"/>
        <s v="va33tlveen302" u="1"/>
        <s v="va10p10121b" u="1"/>
        <s v="VA10TUVDB2308" u="1"/>
        <s v="VA10TLVWBS368" u="1"/>
        <s v="VA10PLVIHS572" u="1"/>
        <s v="VA10PLVWBS321" u="1"/>
        <s v="va10tlvwbs504" u="1"/>
        <s v="VA33DX50VM01CLU02" u="1"/>
        <s v="VA10PWVISS592" u="1"/>
        <s v="VA10PWVISS868" u="1"/>
        <s v="VA10TUVEPS009" u="1"/>
        <s v="VAATHMR652" u="1"/>
        <s v="va10plpocc017" u="1"/>
        <s v="va33tlvpeg413" u="1"/>
        <s v="va10plvwbs513" u="1"/>
        <s v="VA10TLVWBS420" u="1"/>
        <s v="VA10TLVWBS604" u="1"/>
        <s v="VA33DX50VM02CLU01" u="1"/>
        <s v="VAATHMR732" u="1"/>
        <s v="VAATHMR824" u="1"/>
        <s v="va10plvehb300" u="1"/>
        <s v="VA10DWVADS307" u="1"/>
        <s v="va10tlvmqs315" u="1"/>
        <s v="va10plvwbs569" u="1"/>
        <s v="VA10TLVWBS568" u="1"/>
        <s v="VA33TPVMDB308" u="1"/>
        <s v="BDDVTS2KFCN8V" u="1"/>
        <s v="va10tlvwbs704" u="1"/>
        <s v="VA10PLVPOS306" u="1"/>
        <s v="va10plpwgs303" u="1"/>
        <s v="VA10PLVJRE307" u="1"/>
        <s v="va10tlvmqs323" u="1"/>
        <s v="va10plvwbs669" u="1"/>
        <s v="VA10TLVWBS576" u="1"/>
        <s v="VA10TLVWBS712" u="1"/>
        <s v="va10plvmdb326" u="1"/>
        <s v="VA10PLVPOS314" u="1"/>
        <s v="BDPR2KFCN9V" u="1"/>
        <s v="VA10PLVAPP076" u="1"/>
        <s v="VA33DWVSQL419" u="1"/>
        <s v="va10dlvapp307" u="1"/>
        <s v="VA33TLVPEG393" u="1"/>
        <s v="va10tuvsyb002" u="1"/>
        <s v="VA10PLVWBS677" u="1"/>
        <s v="VA10TLVWBS720" u="1"/>
        <s v="va10plvmdb334" u="1"/>
        <s v="va33dlvihs302" u="1"/>
        <s v="VA10PLVPOS322" u="1"/>
        <s v="va10plvjre323" u="1"/>
        <s v="va10n40119" u="1"/>
        <s v="va10plvwbs685" u="1"/>
        <s v="VA10TLVWBS592" u="1"/>
        <s v="VA10TLVWBS684" u="1"/>
        <s v="VA10TWPSQL309" u="1"/>
        <s v="va33tuvwbs336" u="1"/>
        <s v="va10pupfct002a" u="1"/>
        <s v="VA33TLVSPS300" u="1"/>
        <s v="va10plvmdb526" u="1"/>
        <s v="va33dlvihs402" u="1"/>
        <s v="VA10PLVPOS330" u="1"/>
        <s v="VA10PAVPEP001" u="1"/>
        <s v="VA10PLVDKR312" u="1"/>
        <s v="VA10PWVIVR303" u="1"/>
        <s v="VA10TLVWBS692" u="1"/>
        <s v="VA33TUVWBS344" u="1"/>
        <s v="va10plvmdb398" u="1"/>
        <s v="va10plvmdb442" u="1"/>
        <s v="VA33DWPPEG303" u="1"/>
        <s v="VA10TZVPEG117" u="1"/>
        <s v="VA33PWVSAW303" u="1"/>
        <s v="va33dlvwbl321" u="1"/>
        <s v="va33tlvihs462" u="1"/>
        <s v="va33tlvnim331" u="1"/>
        <s v="VA33TLVINF308" u="1"/>
        <s v="VA33DWVCTX537" u="1"/>
        <s v="VA10TZVPEG125" u="1"/>
        <s v="BDPR2KFCN8V" u="1"/>
        <s v="VA33DWVISS486" u="1"/>
        <s v="VA33DWVISS578" u="1"/>
        <s v="VA33TWVISS574" u="1"/>
        <s v="VA10PWVFCT300" u="1"/>
        <s v="VA10PWPAPP046" u="1"/>
        <s v="VA33TLVWBS359" u="1"/>
        <s v="VAATHMR674" u="1"/>
        <s v="va33dlvorc311" u="1"/>
        <s v="va33dlvwbs407" u="1"/>
        <s v="VA33TLVIHS470" u="1"/>
        <s v="VA33TWVSTA303" u="1"/>
        <s v="va10tlpmsp014" u="1"/>
        <s v="VA33TWVAPP399" u="1"/>
        <s v="va10tlvpeg331" u="1"/>
        <s v="va10plvsec312" u="1"/>
        <s v="VA33PUVMQS300" u="1"/>
        <s v="VA10N50734" u="1"/>
        <s v="VA10TWVSQL409" u="1"/>
        <s v="va33tlvwbs367" u="1"/>
        <s v="VA10N40118" u="1"/>
        <s v="VA10P10074A" u="1"/>
        <s v="VA10N10164A" u="1"/>
        <s v="VA33TWVISS682" u="1"/>
        <s v="VA10DUVINF007" u="1"/>
        <s v="VA10PLVEZZ338" u="1"/>
        <s v="VA10PWVEPI308" u="1"/>
        <s v="VA10TLVBAM317" u="1"/>
        <s v="VA10PWVSQL326" u="1"/>
        <s v="VA10P10074B" u="1"/>
        <s v="VA10DWVISS316" u="1"/>
        <s v="VA10DWVCOS300" u="1"/>
        <s v="VA10PWVISS1039" u="1"/>
        <s v="VA10PUVWBS147" u="1"/>
        <s v="VA10TUVWBS054" u="1"/>
        <s v="VA10N10164B" u="1"/>
        <s v="va10tlvnim309" u="1"/>
        <s v="VA10PWVEPI316" u="1"/>
        <s v="va10tlvezz345" u="1"/>
        <s v="va33dlvwbs387" u="1"/>
        <s v="VA33TLVWBS475" u="1"/>
        <s v="va33tlvwbs567" u="1"/>
        <s v="va10plpspl481" u="1"/>
        <s v="VA10TUVWBS062" u="1"/>
        <s v="va10tlvnim317" u="1"/>
        <s v="va10tlvsps302" u="1"/>
        <s v="BDPR2KFCN7V" u="1"/>
        <s v="VA10PWVEPI324" u="1"/>
        <s v="va33tlvjre305" u="1"/>
        <s v="VA33TLVWBS575" u="1"/>
        <s v="VA33TWVPEG371" u="1"/>
        <s v="VA10PWVISS605" u="1"/>
        <s v="VA10TWVISS512" u="1"/>
        <s v="VA33TLVMDB416" u="1"/>
        <s v="VA10PLVDFR307" u="1"/>
        <s v="va10puvwbs071" u="1"/>
        <s v="va10duvwbs302" u="1"/>
        <s v="va10tlvihs456" u="1"/>
        <s v="va10tlvnim325" u="1"/>
        <s v="VA33TUVIHS016" u="1"/>
        <s v="VA10PLVEZZ362" u="1"/>
        <s v="VA10TLVIHS500" u="1"/>
        <s v="VA10TUVINF303" u="1"/>
        <s v="VA10TWVSQL397" u="1"/>
        <s v="VA10TWVSQL441" u="1"/>
        <s v="va33tlvwbs583" u="1"/>
        <s v="VA10P50907" u="1"/>
        <s v="VA10TWVRBF300" u="1"/>
        <s v="VA10N40117" u="1"/>
        <s v="VA10PWPSAS412" u="1"/>
        <s v="VA10PWVISS613" u="1"/>
        <s v="VA10PWVSAW305" u="1"/>
        <s v="VA10PLVDFR315" u="1"/>
        <s v="VA10PAPSOA009C" u="1"/>
        <s v="VA10TUVWBS170" u="1"/>
        <s v="va10dlvorc305" u="1"/>
        <s v="va10tlvihs464" u="1"/>
        <s v="VA10PWVISS669" u="1"/>
        <s v="VA10PUVRBF001" u="1"/>
        <s v="VA10PWVISS621" u="1"/>
        <s v="va10plvihs381" u="1"/>
        <s v="va10plvihs473" u="1"/>
        <s v="VA10TLVIHS472" u="1"/>
        <s v="va33tuvihs308" u="1"/>
        <s v="va33tlvbam008" u="1"/>
        <s v="VA10PWVISS585" u="1"/>
        <s v="VA10TWVISS492" u="1"/>
        <s v="VA10PWVISS905" u="1"/>
        <s v="VA33TLVMDB440" u="1"/>
        <s v="VA10TLVWBS369" u="1"/>
        <s v="VA10PLVIHS573" u="1"/>
        <s v="VA10PLVWBS322" u="1"/>
        <s v="va10dlvngx301" u="1"/>
        <s v="va10dlvsoa302" u="1"/>
        <s v="VA10PWVISS593" u="1"/>
        <s v="VA10PWVISS869" u="1"/>
        <s v="va33tlvpeg414" u="1"/>
        <s v="VA10TWVHRS306" u="1"/>
        <s v="VA33PLPSPL400" u="1"/>
        <s v="VA33TWPCEV001" u="1"/>
        <s v="va10plvwbs514" u="1"/>
        <s v="VA10TLVWBS421" u="1"/>
        <s v="VA10TLVWBS605" u="1"/>
        <s v="VA10P10084A" u="1"/>
        <s v="va10plvehb301" u="1"/>
        <s v="va10n40116" u="1"/>
        <s v="va10tlvmqs316" u="1"/>
        <s v="VA10TLVWBS477" u="1"/>
        <s v="VA10TLVWBS569" u="1"/>
        <s v="va33tpvmdb309" u="1"/>
        <s v="va10tlvwbs705" u="1"/>
        <s v="va10tlvmdb318" u="1"/>
        <s v="VAATHMR820" u="1"/>
        <s v="VA10P10084B" u="1"/>
        <s v="VA10PLVPOS307" u="1"/>
        <s v="VA10TZVAPP006" u="1"/>
        <s v="va10plpwgs304" u="1"/>
        <s v="PRODUCER TOOL BOX 2.0-Prod" u="1"/>
        <s v="VA10TLVWBS577" u="1"/>
        <s v="IOS Batch-Prod" u="1"/>
        <s v="VA10TLVWBS713" u="1"/>
        <s v="VA10PWVISS1038" u="1"/>
        <s v="va10plvmdb327" u="1"/>
        <s v="VA10PWVBIM300" u="1"/>
        <s v="VA10PWVISS985" u="1"/>
        <s v="VA33TLVPEG394" u="1"/>
        <s v="VA10PLVJRE316" u="1"/>
        <s v="VA10PLVWBS678" u="1"/>
        <s v="VA10TLVWBS585" u="1"/>
        <s v="VA10TLVWBS721" u="1"/>
        <s v="VA33TLVWBS004" u="1"/>
        <s v="va10plvmdb335" u="1"/>
        <s v="va33plvihs300" u="1"/>
        <s v="VA10PLVPOS323" u="1"/>
        <s v="va10plvjre324" u="1"/>
        <s v="VA10PWVTDL300" u="1"/>
        <s v="VA10TLVWBS593" u="1"/>
        <s v="VA10TLVWBS685" u="1"/>
        <s v="va33tuvwbs337" u="1"/>
        <s v="VA33TLVSPS301" u="1"/>
        <s v="VA10P51561" u="1"/>
        <s v="VA10PLVPOS331" u="1"/>
        <s v="VA10N40115" u="1"/>
        <s v="VA10TLVWBS693" u="1"/>
        <s v="VA33TUVWBS345" u="1"/>
        <s v="va10plvmdb399" u="1"/>
        <s v="va10plvmdb443" u="1"/>
        <s v="VA33DWPPEG304" u="1"/>
        <s v="VA33TWPPEG300" u="1"/>
        <s v="VA10TZVPEG118" u="1"/>
        <s v="VA33TWVISS611" u="1"/>
        <s v="VA10PWVEAA062" u="1"/>
        <s v="VA10PWVEAA338" u="1"/>
        <s v="va33tlvihs463" u="1"/>
        <s v="va33tlvnim332" u="1"/>
        <s v="VA33TLVINF309" u="1"/>
        <s v="VA33DWVCTX538" u="1"/>
        <s v="VA10TZVPEG126" u="1"/>
        <s v="VA33DWVSQL452" u="1"/>
        <s v="VA33DWVISS579" u="1"/>
        <s v="VA33TWVISS575" u="1"/>
        <s v="VA10PWVFCT301" u="1"/>
        <s v="VA33TUVWBS361" u="1"/>
        <s v="VA33TWVSTA304" u="1"/>
        <s v="VA10PWVFLE009" u="1"/>
        <s v="va10tlvpeg332" u="1"/>
        <s v="VA33TUVDB2308" u="1"/>
        <s v="VA33PUVMQS301" u="1"/>
        <s v="VA33DLPOAS001" u="1"/>
        <s v="va33tlvwbs368" u="1"/>
        <s v="VAATHMR670" u="1"/>
        <s v="VA10PLPKAF400" u="1"/>
        <s v="VA10P51560" u="1"/>
        <s v="VA33TWVISS683" u="1"/>
        <s v="VA10PLVEZZ339" u="1"/>
        <s v="VA10PWVEPI309" u="1"/>
        <s v="va10tlvezz338" u="1"/>
        <s v="va10n40114" u="1"/>
        <s v="VA10DWVCOS301" u="1"/>
        <s v="va10plpspl474" u="1"/>
        <s v="VA10PUVWBS148" u="1"/>
        <s v="VA10PWVEPI317" u="1"/>
        <s v="VA10TUVINF012" u="1"/>
        <s v="VA10PWVSQL519" u="1"/>
        <s v="va33dlvwbs388" u="1"/>
        <s v="VA33TLVWBS476" u="1"/>
        <s v="VA33TLVWBS568" u="1"/>
        <s v="va10duvwam002" u="1"/>
        <s v="VA10PLVKAF300" u="1"/>
        <s v="VA10DLVGSM300" u="1"/>
        <s v="VA10TWVISS505" u="1"/>
        <s v="va10plpspl482" u="1"/>
        <s v="VA10TUVWBS063" u="1"/>
        <s v="va10tlvnim318" u="1"/>
        <s v="va10tlvsps303" u="1"/>
        <s v="VA10PWVEPI325" u="1"/>
        <s v="va33tlvjre306" u="1"/>
        <s v="va33dlvwbs396" u="1"/>
        <s v="VA33TLVWBS576" u="1"/>
        <s v="VA33TWVPEG372" u="1"/>
        <s v="VA33TLVMDB417" u="1"/>
        <s v="VA10PLVDFR308" u="1"/>
        <s v="VA10PWVISS1209" u="1"/>
        <s v="va10puvwbs072" u="1"/>
        <s v="va10duvwbs303" u="1"/>
        <s v="VA10PUVWBS300" u="1"/>
        <s v="va10tlvihs457" u="1"/>
        <s v="va10tlvnim326" u="1"/>
        <s v="VA33TUVIHS017" u="1"/>
        <s v="va10n40057" u="1"/>
        <s v="VA10PLVEZZ363" u="1"/>
        <s v="VA10TLVIHS501" u="1"/>
        <s v="VA10TUVINF304" u="1"/>
        <s v="VA10PWVSQL535" u="1"/>
        <s v="VA10TWVRBF301" u="1"/>
        <s v="VA10PWPSAS413" u="1"/>
        <s v="VA10PWVISS614" u="1"/>
        <s v="VA10PWVISS1013" u="1"/>
        <s v="VA10PUVWBS080" u="1"/>
        <s v="VA10TUVWBS171" u="1"/>
        <s v="VA33TWVFSA302" u="1"/>
        <s v="VA10N50741" u="1"/>
        <s v="VA10PLVIHS374" u="1"/>
        <s v="VA10PLVWBS307" u="1"/>
        <s v="va10tlvihs465" u="1"/>
        <s v="VA33DWVBAM314" u="1"/>
        <s v="VA10DLVGNC300" u="1"/>
        <s v="VA10PWVAPP071" u="1"/>
        <s v="VA10PUVRBF002" u="1"/>
        <s v="VA10PWVISS622" u="1"/>
        <s v="VA10PWVSAS305" u="1"/>
        <s v="VA10PLVIHS382" u="1"/>
        <s v="VA10TLVIHS473" u="1"/>
        <s v="va33tlvbam009" u="1"/>
        <s v="VA10PWVISS586" u="1"/>
        <s v="VA33DWVCAE303" u="1"/>
        <s v="VA10PWVISS630" u="1"/>
        <s v="VA33DX50VM01CLU03" u="1"/>
        <s v="VAATHMR888" u="1"/>
        <s v="va10dlvngx302" u="1"/>
        <s v="va10dlvsoa303" u="1"/>
        <s v="VA10PWVISS594" u="1"/>
        <s v="VA10TWVHRS307" u="1"/>
        <s v="VA33PLPSPL401" u="1"/>
        <s v="va10dlvwbs334" u="1"/>
        <s v="VA10TLVWBS422" u="1"/>
        <s v="VA10TLVWBS606" u="1"/>
        <s v="VA33DX50VM02CLU02" u="1"/>
        <s v="va10plvehb302" u="1"/>
        <s v="VA10PWVISS830" u="1"/>
        <s v="VA10PWVISS922" u="1"/>
        <s v="VA10TLVWBS478" u="1"/>
        <s v="VA33DX50VM03CLU01" u="1"/>
        <s v="VA33DLVAPS324" u="1"/>
        <s v="VA10N40216" u="1"/>
        <s v="VA10PLVPOS308" u="1"/>
        <s v="VA10PLPWGS305" u="1"/>
        <s v="VA10TLVWBS578" u="1"/>
        <s v="BDDVTS2KFCN9V" u="1"/>
        <s v="VA10TLVWBS530" u="1"/>
        <s v="VA10TLVWBS714" u="1"/>
        <s v="va10plvmdb328" u="1"/>
        <s v="va10plvepi300" u="1"/>
        <s v="VA10PWVISS986" u="1"/>
        <s v="VA33TLVPEG395" u="1"/>
        <s v="VA10PLVJRE317" u="1"/>
        <s v="VA10PLVWBS679" u="1"/>
        <s v="VA10TLVWBS586" u="1"/>
        <s v="va10tlvwbs630" u="1"/>
        <s v="VA33TLVWBS005" u="1"/>
        <s v="va10plvmdb336" u="1"/>
        <s v="va33plvihs301" u="1"/>
        <s v="VA10PLVPOS324" u="1"/>
        <s v="VAATHMR887" u="1"/>
        <s v="VA10P70856" u="1"/>
        <s v="va10plvjre325" u="1"/>
        <s v="VA10PWVTDL301" u="1"/>
        <s v="VA10TLVWBS594" u="1"/>
        <s v="VA10TLVWBS686" u="1"/>
        <s v="va33tuvwbs338" u="1"/>
        <s v="VA10PWVPEG391" u="1"/>
        <s v="VA33TLVSPS302" u="1"/>
        <s v="VA10PWVISS1208" u="1"/>
        <s v="VA33TLVBAM333" u="1"/>
        <s v="VA10PWPTAB400" u="1"/>
        <s v="va10n40239" u="1"/>
        <s v="va10p40229" u="1"/>
        <s v="VA33TWVSQL525" u="1"/>
        <s v="VA10PWVIVR305" u="1"/>
        <s v="va10tupfct001" u="1"/>
        <s v="va10p40033" u="1"/>
        <s v="VA10TLVWBS694" u="1"/>
        <s v="VA33TUVWBS346" u="1"/>
        <s v="VA10PWVISS1104" u="1"/>
        <s v="VA33DWPPEG305" u="1"/>
        <s v="va33tlvihs500" u="1"/>
        <s v="VA33TWPPEG301" u="1"/>
        <s v="VA10P10171A" u="1"/>
        <s v="VA10TZVPEG119" u="1"/>
        <s v="VA33TWVISS612" u="1"/>
        <s v="VA10PWVEAA063" u="1"/>
        <s v="VA10PWVEAA339" u="1"/>
        <s v="VA33TWVCEV302" u="1"/>
        <s v="VA10DWVCIA300" u="1"/>
        <s v="va33tlvnim333" u="1"/>
        <s v="VA10TLPMSP008" u="1"/>
        <s v="VA10P10171B" u="1"/>
        <s v="VA10TZVPEG127" u="1"/>
        <s v="va33dlvwbs317" u="1"/>
        <s v="va33tlvihs472" u="1"/>
        <s v="VA33TWVSTA305" u="1"/>
        <s v="va10tlvpeg333" u="1"/>
        <s v="va10plvezz056" u="1"/>
        <s v="VA33TUVDB2309" u="1"/>
        <s v="VA10P70855" u="1"/>
        <s v="va33tlvwbs369" u="1"/>
        <s v="VA10PLPKAF401" u="1"/>
        <s v="va10tlpkaf400" u="1"/>
        <s v="VA10TUVWBS048" u="1"/>
        <s v="VA33TWVISS684" u="1"/>
        <s v="va10tlvezz339" u="1"/>
        <s v="va10plvsec322" u="1"/>
        <s v="VA33FX0702" u="1"/>
        <s v="va10plpspl475" u="1"/>
        <s v="VA10PUVWBS057" u="1"/>
        <s v="va10plvezz300" u="1"/>
        <s v="va33dlvwbs389" u="1"/>
        <s v="VA33TLVWBS569" u="1"/>
        <s v="VA10PLVKAF301" u="1"/>
        <s v="VA10TWVISS506" u="1"/>
        <s v="va10plpspl483" u="1"/>
        <s v="VA10TUVWBS064" u="1"/>
        <s v="va10duvwbs020" u="1"/>
        <s v="va10tlvnim319" u="1"/>
        <s v="VA10PWVEPI326" u="1"/>
        <s v="VA10PWVSQL528" u="1"/>
        <s v="va33dlvwbs397" u="1"/>
        <s v="VA10PWVCTX1289" u="1"/>
        <s v="VA33TWVPEG373" u="1"/>
        <s v="VA33TLVMDB418" u="1"/>
        <s v="VA10PLVDFR309" u="1"/>
        <s v="va10puvwbs073" u="1"/>
        <s v="VA10DWVVCD001" u="1"/>
        <s v="VA10PUVWBS301" u="1"/>
        <s v="va10tlvihs458" u="1"/>
        <s v="va33tlvapp304" u="1"/>
        <s v="vaathmr885" u="1"/>
        <s v="va10tlvihs502" u="1"/>
        <s v="va10tuvinf305" u="1"/>
        <s v="VA10PWVSQL536" u="1"/>
        <s v="VA10PWVRBF303" u="1"/>
        <s v="VA10TWVRBF302" u="1"/>
        <s v="VA10PWPSAS414" u="1"/>
        <s v="VA10PWVISS615" u="1"/>
        <s v="VA10TWVISS522" u="1"/>
        <s v="VA10PWVISS1207" u="1"/>
        <s v="va10plvihs375" u="1"/>
        <s v="VA10PLVWBS308" u="1"/>
        <s v="va10tlvihs466" u="1"/>
        <s v="VA33DWVBAM315" u="1"/>
        <s v="va10p40227" u="1"/>
        <s v="VA10DLVIHS330" u="1"/>
        <s v="VA10PWVAPP072" u="1"/>
        <s v="VA10TWVSQL451" u="1"/>
        <s v="va10tlpsoa400" u="1"/>
        <s v="VA10PWVISS623" u="1"/>
        <s v="VA10TUVDB2027" u="1"/>
        <s v="VA10PWVISS1011" u="1"/>
        <s v="VA10PWVISS1103" u="1"/>
        <s v="VA10PWPNTS010" u="1"/>
        <s v="VA10TLVIHS474" u="1"/>
        <s v="va10n40121" u="1"/>
        <s v="va33tlveps001" u="1"/>
        <s v="VA33DWVCAE304" u="1"/>
        <s v="VA10PWVSIS310" u="1"/>
        <s v="va33tlvpeg408" u="1"/>
        <s v="va10plvorc320" u="1"/>
        <s v="VA10PLVWBS324" u="1"/>
        <s v="VA10PLVNGX300" u="1"/>
        <s v="VA10PWVSQL560" u="1"/>
        <s v="va33tlvrxt300" u="1"/>
        <s v="VA10PWVISS595" u="1"/>
        <s v="VA10TWVHRS308" u="1"/>
        <s v="VA33PLPSPL402" u="1"/>
        <s v="va10dlvwbs335" u="1"/>
        <s v="va10tlvihs490" u="1"/>
        <s v="VA10TLVWBS423" u="1"/>
        <s v="Macros - NASCO-Prod" u="1"/>
        <s v="VA10PWVISS831" u="1"/>
        <s v="VA10PWVISS923" u="1"/>
        <s v="VA10TLVWBS479" u="1"/>
        <s v="VA10PWPCII300" u="1"/>
        <s v="VA10VPWFC007A" u="1"/>
        <s v="VA33DLVAPS325" u="1"/>
        <s v="va10p40226" u="1"/>
        <s v="va10plpwgs306" u="1"/>
        <s v="va33dlvpeg344" u="1"/>
        <s v="VA10TLVWBS579" u="1"/>
        <s v="VA10TLVWBS531" u="1"/>
        <s v="VA10TLVWBS715" u="1"/>
        <s v="va10plvmdb329" u="1"/>
        <s v="VA10N40120" u="1"/>
        <s v="VA10PLVPOS317" u="1"/>
        <s v="va10plvepi301" u="1"/>
        <s v="VA10PWVISS987" u="1"/>
        <s v="VA10PLVJRE318" u="1"/>
        <s v="VA10PLVMQS335" u="1"/>
        <s v="VA10TLVWBS587" u="1"/>
        <s v="va10tlvwbs631" u="1"/>
        <s v="VA10PWVISS1046" u="1"/>
        <s v="mom9plvsmd300" u="1"/>
        <s v="VA10PLVPOS325" u="1"/>
        <s v="va10plpgrp400" u="1"/>
        <s v="VA33TWVISS505" u="1"/>
        <s v="VA10PWVCTX1288" u="1"/>
        <s v="VA10PWVTDL302" u="1"/>
        <s v="VA10PWVNTS310" u="1"/>
        <s v="VA10TLVWBS595" u="1"/>
        <s v="VA10TLVWBS687" u="1"/>
        <s v="VA33TUVWBS339" u="1"/>
        <s v="VA10PWVACE304" u="1"/>
        <s v="va33tlvihs449" u="1"/>
        <s v="VA33TLVSPS303" u="1"/>
        <s v="va33tlvbam334" u="1"/>
        <s v="VA10PWPTAB401" u="1"/>
        <s v="VA33TWVSQL526" u="1"/>
        <s v="VA33DWVISS333" u="1"/>
        <s v="va10tupfct002" u="1"/>
        <s v="va10n40155" u="1"/>
        <s v="va10tlvwbs695" u="1"/>
        <s v="va33tuvwbs347" u="1"/>
        <s v="VA10PWVISS1206" u="1"/>
        <s v="va33tlvihs501" u="1"/>
        <s v="VA33TWPPEG302" u="1"/>
        <s v="VA10PLVPOS341" u="1"/>
        <s v="VA33TWVISS613" u="1"/>
        <s v="VA33TWVCEV303" u="1"/>
        <s v="va33tlvnim334" u="1"/>
        <s v="VA10TZVPEG128" u="1"/>
        <s v="VA33TWVSQL450" u="1"/>
        <s v="va33tuvwbs363" u="1"/>
        <s v="VA10PWVEAA300" u="1"/>
        <s v="VA33TWVSTA306" u="1"/>
        <s v="VA33DLPOAS003" u="1"/>
        <s v="vaathmr894" u="1"/>
        <s v="VA10PLPKAF402" u="1"/>
        <s v="va10tlpkaf401" u="1"/>
        <s v="va33dlvorc322" u="1"/>
        <s v="VA10TUVWBS049" u="1"/>
        <s v="VA33TWVISS685" u="1"/>
        <s v="va10plvsec323" u="1"/>
        <s v="va10n40154" u="1"/>
        <s v="VA33DLVORC330" u="1"/>
        <s v="va10plpspl476" u="1"/>
        <s v="VA33TWVAPP370" u="1"/>
        <s v="VA10PUVWBS058" u="1"/>
        <s v="VA10PWVEPI319" u="1"/>
        <s v="va10plvezz301" u="1"/>
        <s v="VA10PLVSEC331" u="1"/>
        <s v="VA10PWVBOO300" u="1"/>
        <s v="VA10PLVKAF302" u="1"/>
        <s v="VA10TWVISS323" u="1"/>
        <s v="VA10TWVISS507" u="1"/>
        <s v="VA10PWVISS1057" u="1"/>
        <s v="va10p40200" u="1"/>
        <s v="VA10PWVEPI327" u="1"/>
        <s v="VA10DWVCRM300" u="1"/>
        <s v="va33tlvjre308" u="1"/>
        <s v="VA10PWVAPP101" u="1"/>
        <s v="va33dlvwbs398" u="1"/>
        <s v="VA33TLVWBS578" u="1"/>
        <s v="VA10PLVKAF310" u="1"/>
        <s v="VA33TWVPEG374" u="1"/>
        <s v="VA33TLVMDB419" u="1"/>
        <s v="VA10PWVISS1045" u="1"/>
        <s v="va10puvwbs074" u="1"/>
        <s v="VA10TUVWBS165" u="1"/>
        <s v="VA10N40189" u="1"/>
        <s v="va10plvtwt002" u="1"/>
        <s v="va10tlvihs503" u="1"/>
        <s v="va10tuvinf306" u="1"/>
        <s v="VA10PWVCTX1287" u="1"/>
        <s v="VA10PWVRBF304" u="1"/>
        <s v="VA10TWVRBF303" u="1"/>
        <s v="vaathmr893" u="1"/>
        <s v="VA10PWVISS340" u="1"/>
        <s v="VA10PWVISS524" u="1"/>
        <s v="VA10TWVISS523" u="1"/>
        <s v="VA10PLVWBS309" u="1"/>
        <s v="VA10PUVWBS310" u="1"/>
        <s v="va10tlvihs467" u="1"/>
        <s v="VA10PWVAPP301" u="1"/>
        <s v="va10tlpsoa401" u="1"/>
        <s v="va10n40153" u="1"/>
        <s v="VA10PWVISS624" u="1"/>
        <s v="va33dlvmdb347" u="1"/>
        <s v="VA10PWVISS1205" u="1"/>
        <s v="va10puvwbs090" u="1"/>
        <s v="VA10PWPNTS011" u="1"/>
        <s v="VA10TLVIHS475" u="1"/>
        <s v="VA33TLVEPS002" u="1"/>
        <s v="VA33DWVCAE305" u="1"/>
        <s v="va33tuvmqm001" u="1"/>
        <s v="VA33TWVCAE301" u="1"/>
      </sharedItems>
    </cacheField>
    <cacheField name="DependentType" numFmtId="0">
      <sharedItems containsNonDate="0" containsString="0" containsBlank="1"/>
    </cacheField>
    <cacheField name="DependentBundle" numFmtId="0">
      <sharedItems containsSemiMixedTypes="0" containsString="0" containsNumber="1" containsInteger="1" minValue="0" maxValue="0"/>
    </cacheField>
    <cacheField name="DataFlowFreq" numFmtId="0">
      <sharedItems containsNonDate="0" containsString="0" containsBlank="1"/>
    </cacheField>
    <cacheField name="DataFlowDirection" numFmtId="0">
      <sharedItems containsNonDate="0" containsString="0" containsBlank="1"/>
    </cacheField>
    <cacheField name="status" numFmtId="0">
      <sharedItems containsNonDate="0" containsString="0" containsBlank="1"/>
    </cacheField>
    <cacheField name="Type" numFmtId="0">
      <sharedItems containsNonDate="0" containsString="0" containsBlank="1"/>
    </cacheField>
    <cacheField name="Root" numFmtId="0">
      <sharedItems/>
    </cacheField>
    <cacheField name="OS" numFmtId="0">
      <sharedItems/>
    </cacheField>
    <cacheField name="App. Status" numFmtId="0">
      <sharedItems containsSemiMixedTypes="0" containsString="0" containsNumber="1" containsInteger="1" minValue="1" maxValue="1"/>
    </cacheField>
    <cacheField name="Env" numFmtId="0">
      <sharedItems containsSemiMixedTypes="0" containsString="0" containsNumber="1" containsInteger="1" minValue="0" maxValue="0"/>
    </cacheField>
    <cacheField name="Dev" numFmtId="0">
      <sharedItems/>
    </cacheField>
    <cacheField name="DB" numFmtId="0">
      <sharedItems/>
    </cacheField>
    <cacheField name="F5/LB" numFmtId="0">
      <sharedItems/>
    </cacheField>
    <cacheField name="Src IP" numFmtId="0">
      <sharedItems containsSemiMixedTypes="0" containsString="0" containsNumber="1" containsInteger="1" minValue="0" maxValue="0"/>
    </cacheField>
    <cacheField name="Group" numFmtId="0">
      <sharedItems containsNonDate="0" containsString="0" containsBlank="1"/>
    </cacheField>
    <cacheField name="Scope" numFmtId="0">
      <sharedItems containsNonDate="0" containsString="0" containsBlank="1"/>
    </cacheField>
    <cacheField name="VIP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307.653270370371" createdVersion="8" refreshedVersion="8" minRefreshableVersion="3" recordCount="1" xr:uid="{0CC68FC5-B417-456C-85A2-45A74CD93C6E}">
  <cacheSource type="worksheet">
    <worksheetSource name="tblApplications"/>
  </cacheSource>
  <cacheFields count="21">
    <cacheField name="common_id" numFmtId="0">
      <sharedItems containsNonDate="0" containsString="0" containsBlank="1"/>
    </cacheField>
    <cacheField name="common_assetName" numFmtId="0">
      <sharedItems containsNonDate="0" containsBlank="1" count="516">
        <m/>
        <s v="Tableau MBM" u="1"/>
        <s v="ServiceNow Discovery and Service Mapping-Test" u="1"/>
        <s v="ServiceNow Discovery and Service Mapping-Dev" u="1"/>
        <s v="Reveille/FileNet-Dev" u="1"/>
        <s v="RabbitMQ-Dev" u="1"/>
        <s v="NaperSoft Audit Letter Processor-Dev" u="1"/>
        <s v="MongoDB Database (CMBM)  - Do not use as primary app or for server name-Dev" u="1"/>
        <s v="Letters File Process-Dev" u="1"/>
        <s v="ESS-InboundFaxes-v1-Dev" u="1"/>
        <s v="ESS-CaseEventProcessor-v1-Dev" u="1"/>
        <s v="Carelon MBM UIPath-Dev" u="1"/>
        <s v="SOLIX-Prod" u="1"/>
        <s v="HHS Edge Servers (Govt Software)-Prod" u="1"/>
        <s v="CDA Cloverleaf Integration Engine-Prod" u="1"/>
        <s v="Automation and Analytics-Prod" u="1"/>
        <s v="Web-Based Coaching Tool-Prod" u="1"/>
        <s v="Tableau-Prod" u="1"/>
        <s v="SQL Server System Database-Prod" u="1"/>
        <s v="SOA Kafka-Prod" u="1"/>
        <s v="LITES Consumer Driven Health Plan System-Prod" u="1"/>
        <s v="IBM Security Key Lifecycle Manager(SKLM)-Prod" u="1"/>
        <s v="Business Objects Business Intelligence CII-Prod" u="1"/>
        <s v="APIGEE-Enterprise-OnPrem-Prod" u="1"/>
        <s v="APIGEE Microservices-Prod" u="1"/>
        <s v="AOC Oracle Id Provisioning tool-Prod" u="1"/>
        <s v="Anthem Oracle Exadata Cloud Database-Prod" u="1"/>
        <s v="10Xengineering NLP (On Prem)-Prod" u="1"/>
        <s v="Tivoli ITM Monitoring-Prod" u="1"/>
        <s v="Tivoli ITM Monitoring-DR" u="1"/>
        <s v="Tivoli Enterprise Portal Server-Prod" u="1"/>
        <s v="SOA-API - Enterprise Services-Prod" u="1"/>
        <s v="835 Governance Framework-Prod" u="1"/>
        <s v="SOA/API/DATAPOWER - Enterprise Services-DR" u="1"/>
        <s v="Microsoft System Center Configuration Manager-Prod" u="1"/>
        <s v="SOA/API - Enterprise Service Bus - GBD-DR" u="1"/>
        <s v="Member 360 and Patient 360-DR" u="1"/>
        <s v="Hiebus-DR" u="1"/>
        <s v="Galileo-DR" u="1"/>
        <s v="CareEvolution BEACON-DR" u="1"/>
        <s v="CareAdvance Enterprise (GBD)-DR" u="1"/>
        <s v="Adobe Campaign-DR" u="1"/>
        <s v="Sybase System Database-Test" u="1"/>
        <s v="Strategic Provider Cache (SPC)-Test" u="1"/>
        <s v="Strategic Provider Cache (SPC)-Dev" u="1"/>
        <s v="SailPoint IIQCE-Test" u="1"/>
        <s v="Program Integrity Data Insights-Dev" u="1"/>
        <s v="OnePoint Siebel CRM-Test" u="1"/>
        <s v="MongoDB System Database-Dev" u="1"/>
        <s v="Member Web Payment-Test" u="1"/>
        <s v="Member Web Payment-Dev" u="1"/>
        <s v="Enterprise CognitiveAI-Dev" u="1"/>
        <s v="EDM V3.0 - Analytic Shared Data Services-Test" u="1"/>
        <s v="DDS DENTAL SYSTEMS-Dev" u="1"/>
        <s v="Citrix XenApp (CSBD)-Dev" u="1"/>
        <s v="xPression-Dev" u="1"/>
        <s v="Venafi-Dev" u="1"/>
        <s v="SYMPHONY-Test" u="1"/>
        <s v="Strategic Provider System (SPS)-Test" u="1"/>
        <s v="Specialty Enrollment System - AWS-Test" u="1"/>
        <s v="SOA/API - Enterprise Services-Test" u="1"/>
        <s v="SOA Kafka-Test" u="1"/>
        <s v="Single Sign On (CM)-DR" u="1"/>
        <s v="ServiceNow Discovery and Service Mapping-Prod" u="1"/>
        <s v="Serv-U Gateway Serv-U MFT server (SolarWinds)(SHP)-DR" u="1"/>
        <s v="Risk Reimbursement PEGA-Test" u="1"/>
        <s v="Provider Portal (CM)-DR" u="1"/>
        <s v="Provider Chat-UAT" u="1"/>
        <s v="Provider Chat-SIT" u="1"/>
        <s v="Ping Identity-DR" u="1"/>
        <s v="Patient Quick View(CM)-DR" u="1"/>
        <s v="NextGen Pega Grievance &amp; Appeals (GBD/FEP/Commercial)-Test" u="1"/>
        <s v="Lyric -  ClaimsXten v6.0 (CSBD)-DR" u="1"/>
        <s v="Globalscape (CM)-Prod" u="1"/>
        <s v="EPIC(CM)-Prod" u="1"/>
        <s v="EPIC(CM)-DR" u="1"/>
        <s v="EPIC Health Enterprise-DR" u="1"/>
        <s v="Epic (PC)-Prod" u="1"/>
        <s v="Epic (PC)-DR" u="1"/>
        <s v="EDM V3.0 - Analytic Shared Data Services-Dev" u="1"/>
        <s v="CareMore - Single Sign On (SSO) (CM)-DR" u="1"/>
        <s v="Anthem Single Provider Experience Network-Test" u="1"/>
        <s v="Anthem Single Provider Experience Network-Dev" u="1"/>
        <s v="WMDS/MaxMC Client Server/Database-Prod" u="1"/>
        <s v="WellPoint Decision Support System-Prod" u="1"/>
        <s v="Utilization Management Inquiry Services-Prod" u="1"/>
        <s v="Utilization Management Decision Engine-Prod" u="1"/>
        <s v="UMDE Web-Prod" u="1"/>
        <s v="Preauthorization Look Up Tool Online (Internal UI and database)-Prod" u="1"/>
        <s v="Performance Guarantee Management System (IRx)-Prod" u="1"/>
        <s v="OpenText Exstream-Prod" u="1"/>
        <s v="Legacy Utilization Management Inquiry Services-Prod" u="1"/>
        <s v="Interactive Care Reviewer-Prod" u="1"/>
        <s v="Enterprise EDI Gateway-Prod" u="1"/>
        <s v="Enterprise Auth API-Prod" u="1"/>
        <s v="ClaimsRepository (IRx)-Prod" u="1"/>
        <s v="Care Management Gateway DB-Prod" u="1"/>
        <s v="CA Application Performance Management (APM)-Prod" u="1"/>
        <s v="AVATAR-DR" u="1"/>
        <s v="Authorization Standard Rules Optimizer (ASTRO)-Prod" u="1"/>
        <s v="Anthem Care Management Platform-Prod" u="1"/>
        <s v="Adobe Campaign-Prod" u="1"/>
        <s v="ACMP UMOPS-Prod" u="1"/>
        <s v="ACMP COMMON JAR-Prod" u="1"/>
        <s v="ACMP Batch-Prod" u="1"/>
        <s v="Member 360 and Patient 360-Prod" u="1"/>
        <s v="Hiebus-Prod" u="1"/>
        <s v="GBD Service Oriented Architecture Center of Excellence-Prod" u="1"/>
        <s v="Galileo-Prod" u="1"/>
        <s v="Claim Status Claim Appeals and Claim Disputes (GBD)-Prod" u="1"/>
        <s v="CCTR Web Services (GBD)-Prod" u="1"/>
        <s v="CareEvolution BEACON-Prod" u="1"/>
        <s v="FileNet Post Index-Prod" u="1"/>
        <s v="Filenet Image Services-Prod" u="1"/>
        <s v="FileNet Image Services - West Repository-Prod" u="1"/>
        <s v="FileNet Image Services - FNDocs Repository-Prod" u="1"/>
        <s v="FileNet Image Services - Central Repository-Prod" u="1"/>
        <s v="FileNet Batch: WellPoint Enrollment Application Processor-Test" u="1"/>
        <s v="EDI Claim Viewer API-Test" u="1"/>
        <s v="EDI Claim Viewer API-Prod" u="1"/>
        <s v="Datacap-Prod" u="1"/>
        <s v="Content Services: FileNet FEP Web Service (DOCWS)-Prod" u="1"/>
        <s v="Content Import: High Performance Image Import-Prod" u="1"/>
        <s v="Content Import: FileNet COLD-Prod" u="1"/>
        <s v="Concord Folder Fax-Prod" u="1"/>
        <s v="Quest STAT-Prod" u="1"/>
        <s v="PeopleSoft - CPM-Prod" u="1"/>
        <s v="MLR Rebates-Prod" u="1"/>
        <s v="ITS Intraplan - Finance-Prod" u="1"/>
        <s v="820 Splitter - Exchange-Prod" u="1"/>
        <s v="WGS Billing-Dev" u="1"/>
        <s v="Venafi-Test" u="1"/>
        <s v="Unprocessed Rebill Report (GBD)-Dev" u="1"/>
        <s v="TRAQ Value Tracker-Dev" u="1"/>
        <s v="Transition Adapter-Test" u="1"/>
        <s v="Tidal -GBD-QA" u="1"/>
        <s v="Tidal (GBD)-Test" u="1"/>
        <s v="Strategic Provider System (SPS)-Dev" u="1"/>
        <s v="SQL Sentry Power Suite-Test" u="1"/>
        <s v="ServiceNow Agent Client Collector MID Servers" u="1"/>
        <s v="RapidCAPTURE-Dev" u="1"/>
        <s v="IIS WebApplications Farm-Dev" u="1"/>
        <s v="Healthcore Standard Operating Procedures &amp; Policies (HC)-Dev" u="1"/>
        <s v="HealthCore Automated Data Extraction and Profiling Tool (HC)-Dev" u="1"/>
        <s v="HealthCore Automated Data Development Plan Tool (HC)-Dev" u="1"/>
        <s v="eHub - Enterprise Information Hub-Test" u="1"/>
        <s v="AVATAR-Test" u="1"/>
        <s v="Anthem Reimagine On-Premise DR-Test" u="1"/>
        <s v="ACMS UM Intake-Test" u="1"/>
        <s v="WSO2(CM)-Prod" u="1"/>
        <s v="TriZetto HIPPA Gateway(CM)-Prod" u="1"/>
        <s v="Tricerat Simplify Printing(CM)-Prod" u="1"/>
        <s v="Togetherness(CM)-Prod" u="1"/>
        <s v="Tidal(CM)-Prod" u="1"/>
        <s v="Specialist Capitation(CM)-Prod" u="1"/>
        <s v="Senior Variable Database (SVDB)(CM)-Prod" u="1"/>
        <s v="SBI(CM)-Prod" u="1"/>
        <s v="Reporting Data Platform - RDP(CM)-Prod" u="1"/>
        <s v="RAPS(CM)-Prod" u="1"/>
        <s v="Provider Portal(CM)-Prod" u="1"/>
        <s v="Provider Outreach Directory Solution (CM)-Prod" u="1"/>
        <s v="Provider Interaction(CM)-Prod" u="1"/>
        <s v="PaymentSolution(CM)-Prod" u="1"/>
        <s v="Patient App-CareMore Anytime(CM)-Prod" u="1"/>
        <s v="Optum(CM)-Prod" u="1"/>
        <s v="NEXTGEN WEST(CM)-Prod" u="1"/>
        <s v="NEXTGEN EAST(CM)-Prod" u="1"/>
        <s v="NEXTGEN AGP(CM)-Prod" u="1"/>
        <s v="Navigator Outreach(CM)-Prod" u="1"/>
        <s v="Member Search(CM)-Prod" u="1"/>
        <s v="MDX(CM)-Prod" u="1"/>
        <s v="INFORMATICA IICS (CM)-Prod" u="1"/>
        <s v="INFORMATICA IICS (CM)" u="1"/>
        <s v="ICEDQ (CM)-Prod" u="1"/>
        <s v="GlobalScape(CM)-UAT" u="1"/>
        <s v="GlobalScape(CM)-Prod" u="1"/>
        <s v="FileTracker(CM)-Prod" u="1"/>
        <s v="FileRouterUI(CM)-Prod" u="1"/>
        <s v="FACETS(CM)-Prod" u="1"/>
        <s v="Facets Security Management Tool-SMT(CM)-Prod" u="1"/>
        <s v="Facets Configuration Migration Utility-Prod" u="1"/>
        <s v="Facets BusinessConfig(CM)-Prod" u="1"/>
        <s v="Enterprise Data Hub (CM)-Prod" u="1"/>
        <s v="Encounter Data Processing System(CM)-Prod" u="1"/>
        <s v="EDW(CM)-Prod" u="1"/>
        <s v="EdiFecs(CM)-Prod" u="1"/>
        <s v="CUE Correspondence Generation(CM)-Prod" u="1"/>
        <s v="Clinical Analytics &amp; Reporting-CARS(CM)-Prod" u="1"/>
        <s v="ClaimsDashboard(CM)-Prod" u="1"/>
        <s v="CareMore Operational Data Store (CODS)(CM)-Prod" u="1"/>
        <s v="CareMore Enterprise Content Management - FileNet(CM)-Prod" u="1"/>
        <s v="CareMore - Enterprise Data Hub (EDH)(CM)-Prod" u="1"/>
        <s v="Carelon Jira-Prod" u="1"/>
        <s v="Carelon Confluence-Prod" u="1"/>
        <s v="Carelon Confluence" u="1"/>
        <s v="Care Utilization Platform-CUP(CM)-Prod" u="1"/>
        <s v="Aspire ODS (Operational Data Store)-Prod" u="1"/>
        <s v="St.Louis-HealthLink Anita-Dev" u="1"/>
        <s v="HealthLink Portals - ProviderInfoSource-Prod" u="1"/>
        <s v="Healthlink PeopleSoft Financials - Billing - AR-Prod" u="1"/>
        <s v="Healthlink PeopleSoft Financials - AP-Prod" u="1"/>
        <s v="HealthLink IIS-Prod" u="1"/>
        <s v="HealthLink IIS - www.healthlinkeap.com-Prod" u="1"/>
        <s v="HealthLink IIS - www.healthlink.com-Prod" u="1"/>
        <s v="HealthLink IIS - www.anthemwc.com-Prod" u="1"/>
        <s v="HealthLink IIS - www.allianceepo.com-Prod" u="1"/>
        <s v="HealthLink IIS - Intranet Site-Prod" u="1"/>
        <s v="HealthLink EC Gateway-Prod" u="1"/>
        <s v="HealthLink Data Warehouse (DW)-Prod" u="1"/>
        <s v="HealthLink Anita-Prod" u="1"/>
        <s v="HealthLink Anita - Provider Database-Prod" u="1"/>
        <s v="Healthlink Anita - PRC (Program Revision Control)-Prod" u="1"/>
        <s v="HealthLink Anita - Pinnacle Work Flow-Prod" u="1"/>
        <s v="HealthLink Anita - Eligibility-Prod" u="1"/>
        <s v="HealthLink Anita - Customer Service-Prod" u="1"/>
        <s v="HealthLink Anita - Claims Processing-Prod" u="1"/>
        <s v="SQL Server System Database-Dev" u="1"/>
        <s v="SOA/API - Enterprise Services-Dev" u="1"/>
        <s v="SOA Atomic Services-Dev" u="1"/>
        <s v="Siebel OBIEE-Test" u="1"/>
        <s v="Siebel CRM-Test" u="1"/>
        <s v="Pharmacy Home System (IRx)-Dev" u="1"/>
        <s v="PCA DevOps-Dev" u="1"/>
        <s v="OPTUM Price Normalizer-Dev" u="1"/>
        <s v="MEA112 No Application Information" u="1"/>
        <s v="Healthy Innovations Platform Landing Zone-Dev" u="1"/>
        <s v="Enterprise EDI Clearinghouse-Dev" u="1"/>
        <s v="CCP-Genesys-Administration-Test" u="1"/>
        <s v="CCP-Genesys-Administration-Prod" u="1"/>
        <s v="CCP-Genesys-Administration-Dev" u="1"/>
        <s v="Blue View Vision Loader-Dev" u="1"/>
        <s v="Avaya Communication Manager (GBD)-Dev" u="1"/>
        <s v="Architecture eXplorer-Prod" u="1"/>
        <s v="Alarm Services - Employer-Dev" u="1"/>
        <s v="10Xengineering NLP (On Prem)-Dev" u="1"/>
        <s v="Initial Payment Portal-Test" u="1"/>
        <s v="Enterprise EDI Gateway-Test" u="1"/>
        <s v="PCP Member Reassignment UI-Test" u="1"/>
        <s v="NurseLine Application-Test" u="1"/>
        <s v="Medicaid Member Self Service (Root App)-Test" u="1"/>
        <s v="Healthy Innovations Platform LTSS-Dev" u="1"/>
        <s v="Healthy Innovations Platform LTSS Admin Console-Dev" u="1"/>
        <s v="GBD EFT MN oFeed-Test" u="1"/>
        <s v="SSB Data Warehouse-Test" u="1"/>
        <s v="DDS Dental System (DDS)-Dev7" u="1"/>
        <s v="Enterprise Wellpoint Product Database-Prod" u="1"/>
        <s v="Corporate Individual Rights System -CIRS-Dev" u="1"/>
        <s v="DDS External Online Store and Billing Renewal Tools-Dev7" u="1"/>
        <s v="LD ONLINE UW-Prod" u="1"/>
        <s v="Infogix Assure-Test" u="1"/>
        <s v="Oracle Support-Prod" u="1"/>
        <s v="DDS Oracle Financials-Dev7" u="1"/>
        <s v="Revenue Management and Billing-Test" u="1"/>
        <s v="FileNet Batch: APCD Extract and FTP Delivery-Prod" u="1"/>
        <s v="Guarantee Reconciliation Reporting and Payment System (IRx)-Test" u="1"/>
        <s v="Anthem Care Management Platform-Test" u="1"/>
        <s v="Infogix-Test" u="1"/>
        <s v="DIS OpsHub-Dev" u="1"/>
        <s v="Online Store (OLS)-UAT" u="1"/>
        <s v="IOS Product Integration-Prod" u="1"/>
        <s v="GP00-Provider GUI-Perf" u="1"/>
        <s v="Varonis Data Advantage-Prod" u="1"/>
        <s v="Medicaid Member Self Service -Strategic-Root App-Test" u="1"/>
        <s v="Strategic Provider System -SPS-Test" u="1"/>
        <s v="Enterprise EDI Transaction Insight-Prod" u="1"/>
        <s v="SPIDER - Benefit Query Application-Prod" u="1"/>
        <s v="RHI Claims Explorer-Prod" u="1"/>
        <s v="SPIDER Reporting System-Prod" u="1"/>
        <s v="Healthy Innovations On Prem-Test" u="1"/>
        <s v="RightFax FaxUtil and Print-to-Fax Clients-Prod" u="1"/>
        <s v="Facets Integrated NetworX - Central Facets-Perf" u="1"/>
        <s v="Sapience-Test" u="1"/>
        <s v="SBP_AlicsToMainframe-Prod" u="1"/>
        <s v="CT Legacy Data Warehouse-Prod" u="1"/>
        <s v="Enterprise Product Document Generator - BCC-Prod" u="1"/>
        <s v="PeopleSoft - AR-Prod" u="1"/>
        <s v="CareNex Archival-Prod" u="1"/>
        <s v="Avaya Message Mirror-Dev" u="1"/>
        <s v="Enterprise Provider Pricing System-Dev" u="1"/>
        <s v="DELTA-Prod" u="1"/>
        <s v="Revenue Management and Billing-Dev" u="1"/>
        <s v="RightFax Remote DocTransport Servers-Prod" u="1"/>
        <s v="Corporate Individual Rights System -CIRS-Prod" u="1"/>
        <s v="IOS Batch-Prod" u="1"/>
        <s v="CoMPli Loader-Prod" u="1"/>
        <s v="ALICS Reimagine-Prod" u="1"/>
        <s v="RightFax Database-Prod" u="1"/>
        <s v="Document Posting Site-Prod" u="1"/>
        <s v="GBD PFS Shared Services-Test" u="1"/>
        <s v="eshare CMS (Knowledge Library)-Prod" u="1"/>
        <s v="Healthy Returns System-Dev" u="1"/>
        <s v="GBD ART iFeed-Test" u="1"/>
        <s v="GBD PDO oFeed-Test" u="1"/>
        <s v="SPIDER - Benefit Query Service-Prod" u="1"/>
        <s v="Business Objects Reports: RightFax VA-Prod" u="1"/>
        <s v="ProWatch-Prod" u="1"/>
        <s v="Digital.ai Deploy-Test" u="1"/>
        <s v="Online Pharmacy Resource for Anthem -IRx-Test" u="1"/>
        <s v="CoMPli Auditor-Prod" u="1"/>
        <s v="IOS-Siebel-CRM-Prod" u="1"/>
        <s v="RHI Clinical Tools-Prod" u="1"/>
        <s v="PALLM Individual L&amp;D-Prod" u="1"/>
        <s v="EDWard - Master Consumer ID-Prod" u="1"/>
        <s v="FileNet - Batches West Repository-Prod" u="1"/>
        <s v="Division of Financial Responsibilities (DOFR)-Prod" u="1"/>
        <s v="DocGen Adapter-Prod" u="1"/>
        <s v="SPIDER Contract Configuration System-Prod" u="1"/>
        <s v="Enterprise EDI Clearinghouse-Prod" u="1"/>
        <s v="DocGen-Prod" u="1"/>
        <s v="IOS Content-Prod" u="1"/>
        <s v="ME &amp; CT Firm Tracking Dbs-Prod" u="1"/>
        <s v="HRS AccessHMC-Test" u="1"/>
        <s v="Enterprise EDI Portal-UAT" u="1"/>
        <s v="eBus Provider DocService-Prod" u="1"/>
        <s v="CPS Common Components-Prod" u="1"/>
        <s v="GBD - Iris letter Hub-Test" u="1"/>
        <s v="DDS National Dental Grid (GRID)-Dev7" u="1"/>
        <s v="PPMS - Product package management system-Prod" u="1"/>
        <s v="IOS User Profile-Prod" u="1"/>
        <s v="Provider Onboarding-Prod" u="1"/>
        <s v="Specialty Batch Process-Prod" u="1"/>
        <s v="ISG Product Profile Tool-Prod" u="1"/>
        <s v="MCheck-Prod" u="1"/>
        <s v="Sales Extract-Prod" u="1"/>
        <s v="G&amp;A Smart Intake-Prod" u="1"/>
        <s v="IOS Rating Integration-Prod" u="1"/>
        <s v="Guarantee Reconciliation Reporting and Payment System (IRx)-Prod" u="1"/>
        <s v="DualsCoC-CM-Dev" u="1"/>
        <s v="Digital.ai Deploy-Prod" u="1"/>
        <s v="Digital Thread-Dev" u="1"/>
        <s v="DDS Web Site and Apps-Dev7" u="1"/>
        <s v="Enterprise EDI Portal-Test" u="1"/>
        <s v="EPIC Health Enterprise-Prod" u="1"/>
        <s v="Specialty Acumen WebSite-Prod" u="1"/>
        <s v="CoMPli document viewing services-Prod" u="1"/>
        <s v="Healthy Innovations Platform CM-DM-Dev" u="1"/>
        <s v="Web Interface for Content Management-Prod" u="1"/>
        <s v="NextGen Pega Grievance &amp; Appeals -GBD-FEP-Commercial-Dev" u="1"/>
        <s v="ITS Intraplan - Finance-Dev" u="1"/>
        <s v="Data Table Update System-Prod" u="1"/>
        <s v="Kofax Capture -GBD-Prod" u="1"/>
        <s v="Benefit Plan Interface -BPI-Prod" u="1"/>
        <s v="Packaged Automated Life/Liability Management-Prod" u="1"/>
        <s v="qTest-Prod" u="1"/>
        <s v="DDS External Portals-Dev7" u="1"/>
        <s v="Operational Data Warehouse -GBD-Test" u="1"/>
        <s v="Flexera-Prod" u="1"/>
        <s v="Product Development Tool-Prod" u="1"/>
        <s v="Rational - License Server-Prod" u="1"/>
        <s v="Enterprise Provider Pricing System-Test" u="1"/>
        <s v="NextGen Pega Grievance &amp; Appeals -GBD-FEP-Commercial-Prod" u="1"/>
        <s v="CompassI-Prod" u="1"/>
        <s v="WGS Claims-Dev" u="1"/>
        <s v="ACMS UM Intake-Dev" u="1"/>
        <s v="Enterprise DocViewer-Prod" u="1"/>
        <s v="INF-CA Application Performance Management -APM-Dev7" u="1"/>
        <s v="MProducer-UAT" u="1"/>
        <s v="EPSDT Datamart -GBD-Test" u="1"/>
        <s v="CarePlanner Archival-Prod" u="1"/>
        <s v="RightFax WebClient Access-Prod" u="1"/>
        <s v="SPIDER - Plan Configurator-Prod" u="1"/>
        <s v="Confidentiality Agreement Database-Prod" u="1"/>
        <s v="Individual Online Store Admin and Reporting Tool-Prod" u="1"/>
        <s v="GBD Service Oriented Architecture Center of Excellence-Test" u="1"/>
        <s v="DEVELOP MODULAR PRODUCT CAPABILITIES FROM PRESALE THROUGH ACCOUNT INSTALLATION-Prod" u="1"/>
        <s v="OLS Plan Match-Prod" u="1"/>
        <s v="Universal File Transformer-Prod" u="1"/>
        <s v="Change Healthcare ClaimsXten v6.0 -CSBD-Prod" u="1"/>
        <s v="Hiebus-Test" u="1"/>
        <s v="SPIRE-Claims-Prod" u="1"/>
        <s v="ITS Intraplan - Finance-Test" u="1"/>
        <s v="Change Healthcare ClaimsXten v6.0 (CSBD)-Prod" u="1"/>
        <s v="MAXPRO-Prod" u="1"/>
        <s v="ALICS Online-Prod" u="1"/>
        <s v="Healthwise Coach-Prod" u="1"/>
        <s v="Operations Support Services - OSS-Dev" u="1"/>
        <s v="Enterprise Grievances and Appeals system-Dev" u="1"/>
        <s v="Specialty Product Integrated Relationship Engine-Prod" u="1"/>
        <s v="Access Express(CM)-Dev" u="1"/>
        <s v="Tidal Enterprise Scheduler-HMC (TES)-Prod" u="1"/>
        <s v="Software Self Service-Prod" u="1"/>
        <s v="Business Objects Reports: RightFax MO-Prod" u="1"/>
        <s v="Infogix Insight-Test" u="1"/>
        <s v="Palo Alto EDL Web Host-Prod" u="1"/>
        <s v="CoMPli document creation services-Prod" u="1"/>
        <s v="Cognitive Claims - AI-Dev" u="1"/>
        <s v="Facets Client Server App - Central Facets-Perf" u="1"/>
        <s v="Mobile INTACT-Prod" u="1"/>
        <s v="MemberPro SQL -GBD-Test" u="1"/>
        <s v="SMART-Prod" u="1"/>
        <s v="Agent Tool Kit-Dev" u="1"/>
        <s v="Northeast Operational Data Store-Prod" u="1"/>
        <s v="DDS Internal Websites and App Links-Dev7" u="1"/>
        <s v="IOS Customer Service-Prod" u="1"/>
        <s v="Discrepancy (X) Insights and remediation for Provider Data Space-Prod" u="1"/>
        <s v="OLS REFRESH-UAT" u="1"/>
        <s v="Enterprise Pricing Engine -Test" u="1"/>
        <s v="PI Communication Controller-Dev" u="1"/>
        <s v="Analytic Shared Data Services-Test" u="1"/>
        <s v="SIMON -Service Information Management Online-Dev" u="1"/>
        <s v="Kafka-Test" u="1"/>
        <s v="CoMPli Manager-Prod" u="1"/>
        <s v="DDS External Websites-Dev7" u="1"/>
        <s v="eQuote - Central Small Group-Test" u="1"/>
        <s v="Anthem Life Production Repository-Prod" u="1"/>
        <s v="Performance Guarantee Management System -Irx-Dev" u="1"/>
        <s v="InterAct-Test" u="1"/>
        <s v="L &amp; D Operational Data Store-Prod" u="1"/>
        <s v="Prowatch Communications Server-Prod" u="1"/>
        <s v="Producer Tool Box 2.0 - On-prem-Prod" u="1"/>
        <s v="Component Manager &amp; Publisher-Prod" u="1"/>
        <s v="Operational Reporting Mapping Filter-Prod" u="1"/>
        <s v="Technology Operations Healthcheck Dashboard-Dev" u="1"/>
        <s v="eHub - Enterprise Master Person Index (EMPI)-Prod" u="1"/>
        <s v="Enterprise Blue Exchange-Prod" u="1"/>
        <s v="HMC Data Sourcing Hub -DSH-Prod" u="1"/>
        <s v="Cisco Application Centric Infrastructure-Prod" u="1"/>
        <s v="FEP - FEHBP HMO-POS Member Enrollment Reporting-Prod" u="1"/>
        <s v="UiPath-Prod" u="1"/>
        <s v="INF-Venafi-Dev-Dev" u="1"/>
        <s v="HMC BI IM Reporting-Prod" u="1"/>
        <s v="Member 360 and Patient 360-Test" u="1"/>
        <s v="SQL Server System Database-Test" u="1"/>
        <s v="Healthy Innovations Platform LTSS-Test" u="1"/>
        <s v="MYANTHEMCHOICES APPOINTMENT SYSTEM-Prod" u="1"/>
        <s v="WGS - RPC Backend Routines-Gateway-Test" u="1"/>
        <s v="OBIS Projects-Dev" u="1"/>
        <s v="IOS Multilingual-Prod" u="1"/>
        <s v="PeopleSoft - Billing-Prod" u="1"/>
        <s v="IOS Presentation Service-Prod" u="1"/>
        <s v="ServiceNow Lookup Portal-Prod" u="1"/>
        <s v="National Dental Grid-Dev7" u="1"/>
        <s v="SPIDER Automation Engine-Prod" u="1"/>
        <s v="RightFax Application Servers-Prod" u="1"/>
        <s v="Specialty OnLine Experience-Dearborn-Prod" u="1"/>
        <s v="ISG Enrollment and Billing - CO 820 Reporting-Prod" u="1"/>
        <s v="PeopleSoft - Billing-Dev" u="1"/>
        <s v="RFCode - Centerscape - Prod" u="1"/>
        <s v="Vendor Load Management -GBD-Test" u="1"/>
        <s v="IngenioRx Operational Reporting Repository (IRx)-Test" u="1"/>
        <s v="Guru-Prod" u="1"/>
        <s v="SPIDER-Prod" u="1"/>
        <s v="CURS - Cost and Utilization Reporting System-Prod" u="1"/>
        <s v="Publishing-Prod" u="1"/>
        <s v="Program Integrity Concept Management-Dev" u="1"/>
        <s v="BMC Configuration Automation for Networks-Prod" u="1"/>
        <s v="Mobile INTACT-UAT" u="1"/>
        <s v="Visual CACTUS-Prod" u="1"/>
        <s v="IOS-eBroker-Integration-Prod" u="1"/>
        <s v="Benchmark Insights Model-Test" u="1"/>
        <s v="Rx PA SQL Database (IRx)-Prod" u="1"/>
        <s v="MProducer-Prod" u="1"/>
        <s v="LD ONLINE UW-Test" u="1"/>
        <s v="GP00-Provider GUI-Test" u="1"/>
        <s v="360 Product Selection Tool-Prod" u="1"/>
        <s v="eshare (Knowledge Library)-Prod" u="1"/>
        <s v="PPR -Product Profitability Reporting-Prod" u="1"/>
        <s v="eVIS-Dev" u="1"/>
        <s v="RightFax-Prod" u="1"/>
        <s v="CoMPli Publisher-Prod" u="1"/>
        <s v="Vendor Invoicing Exchange-Dev" u="1"/>
        <s v="Broker Portal Integration-Prod" u="1"/>
        <s v="CompassI-Test" u="1"/>
        <s v="IOS Shop &amp; Quote-Prod" u="1"/>
        <s v="ePremium Analysis System -GBD-Test" u="1"/>
        <s v="Specialty Online Experience - Enrollment &amp; Billing-Prod" u="1"/>
        <s v="Change My Coverage-Prod" u="1"/>
        <s v="HMC SAS Scheduling-Prod" u="1"/>
        <s v="RightFax WebClient Access-Test" u="1"/>
        <s v="RightFax Web Access-Prod" u="1"/>
        <s v="Sydney Care Central-Test" u="1"/>
        <s v="CoMPli Product Database-Prod" u="1"/>
        <s v="OBIS-Test" u="1"/>
        <s v="DDS Mobile Apps-Dev7" u="1"/>
        <s v="Citrix XenApp - CSBD-Prod" u="1"/>
        <s v="Lighthouse Analytics-Prod" u="1"/>
        <s v="Desktop Software Repackaging-Prod" u="1"/>
        <s v="Broker Bonus Reporting-Prod" u="1"/>
        <s v="Healthy Innovations Platform LTSS Admin Console-Test" u="1"/>
        <s v="Plan Management Tool-Prod" u="1"/>
        <s v="Enterprise Lineage Intelligence, Discrepancy (X) Insights and remediation for Provider Data Space" u="1"/>
        <s v="OnDemand-Prod" u="1"/>
        <s v="RHI Reporting-Prod" u="1"/>
        <s v="DualsMemberView-CM-Dev" u="1"/>
        <s v="Healthy Returns System-SIT" u="1"/>
        <s v="Shell Contract Creation-Prod" u="1"/>
        <s v="DDS Dental System (DDS) - Adjudication-Dev7" u="1"/>
        <s v="Enterprise Middleware - Composite 275 Services-Prod" u="1"/>
        <s v="Enterprise Provider Intake Credentialing System-Prod" u="1"/>
        <s v="Clinical Hub - Provider &amp; Clinical Data Analytics -Legacy LPR-Prod" u="1"/>
        <s v="Quest STAT-Dev" u="1"/>
        <s v="IOS Analytics-Prod" u="1"/>
        <s v="SFA Integration-Prod" u="1"/>
        <s v="Claims Payment Report-Prod" u="1"/>
        <s v="CA Grid-Tools-Test" u="1"/>
        <s v="IOS Shop &amp; Quote-UAT" u="1"/>
        <s v="Small Group Quoting-Prod" u="1"/>
        <s v="Rational - BuildForge-Prod" u="1"/>
        <s v="Life &amp; Disability Compass-Prod" u="1"/>
        <s v="Anthem PeopleSoft GL Translator-Prod" u="1"/>
        <s v="Enterprise Product Document Generator-Prod" u="1"/>
        <s v="SBP Book Of Business-Prod" u="1"/>
        <s v="Enterprise Lineage Intelligence-Prod" u="1"/>
        <s v="HMC BIM Operations Portal -Ops Portal-Prod" u="1"/>
        <s v="NETWORKING_NETWORK SERVICES - DATA CENTER-Prod" u="1"/>
        <s v="IOS Enrollment-Prod" u="1"/>
        <s v="Producer Tool Box 2.0-Perf" u="1"/>
        <s v="Clinical Hub - Provider &amp; Clinical Data Analytics - Legacy LPR-Prod" u="1"/>
        <s v="Member Take on-Prod" u="1"/>
        <s v="Benefit Builder -IRx-Dev" u="1"/>
        <s v="Enterprise Data Store-Prod" u="1"/>
        <s v="Entitlement Manager LCM - Test" u="1"/>
        <s v="ISG Enrollment and Billing - B Roster Reporting-Prod" u="1"/>
        <s v="Central Facets-Perf" u="1"/>
        <s v="RHI Rules Engine-Prod" u="1"/>
        <s v="Rx PA SQL Database -IRx-Prod" u="1"/>
      </sharedItems>
    </cacheField>
    <cacheField name="common_description" numFmtId="0">
      <sharedItems containsNonDate="0" containsString="0" containsBlank="1"/>
    </cacheField>
    <cacheField name="application_custom5" numFmtId="0">
      <sharedItems containsNonDate="0" containsString="0" containsBlank="1"/>
    </cacheField>
    <cacheField name="common_moveBundle" numFmtId="0">
      <sharedItems containsNonDate="0" containsString="0" containsBlank="1"/>
    </cacheField>
    <cacheField name="application_appOwner" numFmtId="0">
      <sharedItems containsNonDate="0" containsString="0" containsBlank="1"/>
    </cacheField>
    <cacheField name="application_custom10" numFmtId="0">
      <sharedItems containsNonDate="0" containsString="0" containsBlank="1"/>
    </cacheField>
    <cacheField name="application_custom9" numFmtId="0">
      <sharedItems containsNonDate="0" containsString="0" containsBlank="1"/>
    </cacheField>
    <cacheField name="application_custom45" numFmtId="0">
      <sharedItems containsNonDate="0" containsBlank="1" count="148">
        <m/>
        <s v="Nandepu, Ashok" u="1"/>
        <s v="Herndon, Michaeljon" u="1"/>
        <s v="ASKEW, BERNITA" u="1"/>
        <s v="Gunti, Arun" u="1"/>
        <s v="Vattikuti, Sowjanya" u="1"/>
        <s v="Quiroz, Soledad" u="1"/>
        <s v="Subbarayudu, Ramesh" u="1"/>
        <s v="Subramanian, Nambi" u="1"/>
        <s v="Sahukari, Sunil" u="1"/>
        <s v="M, Jayasankar" u="1"/>
        <s v="Prabhakaran, Shankar" u="1"/>
        <s v="Natarajan, Sivaprakash" u="1"/>
        <s v="Torio, Edmund" u="1"/>
        <s v="Buente, Wesley" u="1"/>
        <s v="Salazar, Erwin" u="1"/>
        <s v="Singh, Balraj" u="1"/>
        <s v="Jain, Shatayu" u="1"/>
        <s v="Conklin, Gary" u="1"/>
        <s v="Young, Robert" u="1"/>
        <s v="Mathias, Gordon" u="1"/>
        <s v="Singh, Vinay" u="1"/>
        <s v="Modaresi, Ray" u="1"/>
        <s v="LAVALLEE, STEVEN" u="1"/>
        <s v="Ackerley, Marc" u="1"/>
        <s v="PRATHAPA, JAYA" u="1"/>
        <s v="Ponugupati, Pattabhi R." u="1"/>
        <s v="Hopkins, Frank" u="1"/>
        <s v="Patel, Rushi" u="1"/>
        <s v="Kannath, Anish" u="1"/>
        <s v="Andharmule, Alankar" u="1"/>
        <s v="Silveira, Debbie A." u="1"/>
        <s v="Marudhachalam, Vetrivel" u="1"/>
        <s v="Velapakam, Venkat K" u="1"/>
        <s v="AKUNURI, SWAROOPA" u="1"/>
        <s v="Varghese, Sanu Mary" u="1"/>
        <s v="Savago, Tracy" u="1"/>
        <s v="Eberhard, Tom" u="1"/>
        <s v="O'Brien, Dustin" u="1"/>
        <s v="Samuel Rajendran, Paul" u="1"/>
        <s v="Balakrishnan, Yogesh" u="1"/>
        <s v="Sheafer, Jim" u="1"/>
        <s v="Dejesus, Joseph" u="1"/>
        <s v="Jaime, Grace" u="1"/>
        <s v="Durham, Clayborn" u="1"/>
        <s v="Amarnath, Vijay" u="1"/>
        <s v="Roberts, Keith" u="1"/>
        <s v="NA" u="1"/>
        <s v="Williams, Shana" u="1"/>
        <s v="Vishwakarma, Sanjay" u="1"/>
        <s v="Iyer, Ravi" u="1"/>
        <s v="Gandhi, Umesh" u="1"/>
        <s v="Sunkara, Kiran" u="1"/>
        <s v="Sunke, Deepak" u="1"/>
        <s v="Loganathan, Suresh" u="1"/>
        <s v="Lewis, Tim" u="1"/>
        <s v="Narayanan, Ashok" u="1"/>
        <s v="Maust, Reuben" u="1"/>
        <s v="Jayapaul, David" u="1"/>
        <s v="Hetrick, Chris" u="1"/>
        <s v="Shaik Mohammad, Khaja Peer" u="1"/>
        <s v="Trice, Vivian B." u="1"/>
        <s v="Roth, David" u="1"/>
        <s v="Centerbar, Adam" u="1"/>
        <s v="Mcgarrett, Brendan W." u="1"/>
        <s v="Richmond, Jason" u="1"/>
        <s v="Bhogra, Anubhav" u="1"/>
        <s v="Pitchumani, GK" u="1"/>
        <s v="Tahvili, James" u="1"/>
        <s v="Saller, Tiffany" u="1"/>
        <s v="Faxio, Philip" u="1"/>
        <s v="PK, Aneesh" u="1"/>
        <s v="Hollis, Karrie" u="1"/>
        <s v="Mohammed, Riyazuddin" u="1"/>
        <s v="Edwards, John" u="1"/>
        <s v="Srirama, Padmanabaiah" u="1"/>
        <s v="Rajamanickam, Madhu" u="1"/>
        <s v="Argel, Roland" u="1"/>
        <s v="Shoemaker, George" u="1"/>
        <s v="Folks, Edward" u="1"/>
        <s v="Siegel, Steven G." u="1"/>
        <s v="Sparks, Joel" u="1"/>
        <s v="Killada, Srinivasa" u="1"/>
        <s v="Murugan, Swarna Kohila" u="1"/>
        <s v="Devathu, Badri" u="1"/>
        <s v="Richmond (ATL SECURITY), Jason" u="1"/>
        <s v="Lacy, George G." u="1"/>
        <s v="NEBERGALL, MARK" u="1"/>
        <s v="Wagstaff, Dean A." u="1"/>
        <s v="LaFornara, Lisa A." u="1"/>
        <s v="Brummer, Heather W." u="1"/>
        <s v="Vultaggio, Stephen M." u="1"/>
        <s v="Marks, Shawn" u="1"/>
        <s v="Stanley, Vibin" u="1"/>
        <s v="Bettigiri, Prasad A." u="1"/>
        <s v="Crane, Andrew" u="1"/>
        <s v="McGarvey, Pam" u="1"/>
        <s v="Frayne, Christopher" u="1"/>
        <s v="Kidwell, Alison" u="1"/>
        <s v="Chouhan, Rahul" u="1"/>
        <s v="Gudla, Reddi T." u="1"/>
        <s v="Jacobs, Lissette" u="1"/>
        <s v="Kaslewicz, Fredric" u="1"/>
        <s v="Fischer, Jeff" u="1"/>
        <s v="Underwood, Eric" u="1"/>
        <s v="Jagodzinski, Anthony" u="1"/>
        <s v="Gupta, Sharat" u="1"/>
        <s v="Williams, Obie" u="1"/>
        <s v="Eason, David" u="1"/>
        <s v="Gibbs, Darren" u="1"/>
        <s v="Karki, Upendra" u="1"/>
        <s v="Koul, Pankaj" u="1"/>
        <s v="Hibner, Brian" u="1"/>
        <s v="Rajaraman, Karthik" u="1"/>
        <s v="Batchu, Satish" u="1"/>
        <s v="Riemenschneider, Bill" u="1"/>
        <s v="Eigner, Scott D." u="1"/>
        <s v="Kaeser, Mrinal" u="1"/>
        <s v="Rittenhouse, Dirk" u="1"/>
        <s v="Muoio, Trish" u="1"/>
        <s v="White, Derek D." u="1"/>
        <s v="Seth Halstead" u="1"/>
        <s v="Harianto, Widya" u="1"/>
        <s v="PANARIELLO, BRIAN" u="1"/>
        <s v="Aguru, Niranjan" u="1"/>
        <s v="Sebastian, Nice" u="1"/>
        <s v="Chinthakuntla, Raj" u="1"/>
        <s v="Iyer, Shankar" u="1"/>
        <s v="Irmen, Richard" u="1"/>
        <s v="Nolen, Charles" u="1"/>
        <s v="Veeradharan, Sathya" u="1"/>
        <s v="Sarvadevabatla, Chandu" u="1"/>
        <s v="Marin, Denise" u="1"/>
        <s v="Wade, Abigail R" u="1"/>
        <s v="Davis, Bob" u="1"/>
        <s v="Johnson, Lisa" u="1"/>
        <s v="Hess, Linda N." u="1"/>
        <s v="Wright (HR), Rochelle" u="1"/>
        <s v="Huskisson, Jim" u="1"/>
        <s v="Blaisdell, Peter" u="1"/>
        <s v="Loadwick, Robert M." u="1"/>
        <s v="Khan, Samrah" u="1"/>
        <s v="Bowker, Greer" u="1"/>
        <s v="Halstead, Seth" u="1"/>
        <s v="Dondla, Chandrakanth" u="1"/>
        <s v="Prickett, Jerry" u="1"/>
        <s v="Shaik, Madina Sharieff" u="1"/>
        <s v="Stewart, Stephanie Shouse" u="1"/>
      </sharedItems>
    </cacheField>
    <cacheField name="application_custom46" numFmtId="0">
      <sharedItems containsNonDate="0" containsString="0" containsBlank="1"/>
    </cacheField>
    <cacheField name="application_custom6" numFmtId="0">
      <sharedItems containsNonDate="0" containsString="0" containsBlank="1"/>
    </cacheField>
    <cacheField name="application_sme" numFmtId="0">
      <sharedItems containsNonDate="0" containsBlank="1" count="255">
        <m/>
        <s v="Viney Garg" u="1"/>
        <s v="Behrouz Khosrownia" u="1"/>
        <s v="Sai Thimmapuram" u="1"/>
        <s v="Sweetali Bankar" u="1"/>
        <s v="Adam Ma" u="1"/>
        <s v="Rohith Gadipelli" u="1"/>
        <s v="Prakash Ganesan" u="1"/>
        <s v="Victor Paul" u="1"/>
        <s v="Gautham Bodhanapalli" u="1"/>
        <s v="Lokesh Patel" u="1"/>
        <s v="Arslan Khan" u="1"/>
        <s v="Todd Smith" u="1"/>
        <s v="Adrian Esguerra" u="1"/>
        <s v="Spencer Stefansic" u="1"/>
        <s v="Evan Rosenthal" u="1"/>
        <s v="Ashwin Kollambalath" u="1"/>
        <s v="Nagendra Bonam" u="1"/>
        <s v="James Montgomery" u="1"/>
        <s v="Farid Vastani" u="1"/>
        <s v="Vinoth Jayabalan" u="1"/>
        <s v="TJ Challstrom" u="1"/>
        <s v="Iftequar Mohammed" u="1"/>
        <s v="Renuka Kasilal" u="1"/>
        <s v="Anoop Kumar" u="1"/>
        <s v="Subhash Battepati" u="1"/>
        <s v="Firdosh Parishwad" u="1"/>
        <s v="Anand Chennakesavan" u="1"/>
        <s v="Brad Zabilla" u="1"/>
        <s v="Srini Amathi" u="1"/>
        <s v="Nithin Narayan" u="1"/>
        <s v="Gopakumar Vasudevan Nair" u="1"/>
        <s v="Kiran M Patil" u="1"/>
        <s v="Glynn Ashdown" u="1"/>
        <s v="Naga Sirivella" u="1"/>
        <s v="Sreenivasulu Reddy Peram" u="1"/>
        <s v="Paulson Jeyasekaran" u="1"/>
        <s v="Chai Pingali" u="1"/>
        <s v="Lonny Curtis" u="1"/>
        <s v="Miguel Lopez" u="1"/>
        <s v="Nishanth Dinakaran" u="1"/>
        <s v="Jaishankar Inukonda" u="1"/>
        <s v="Naresh Antham" u="1"/>
        <s v="Xiaochun Ding" u="1"/>
        <s v="Mohan Raj Rajendran" u="1"/>
        <s v="Sherman Becraft" u="1"/>
        <s v="Raghu Vegesna" u="1"/>
        <s v="Sreedevi Ande" u="1"/>
        <s v="Timothy Devaughn" u="1"/>
        <s v="Karthik Manohar" u="1"/>
        <s v="Tim Cramer" u="1"/>
        <s v="Yosmel E Sanchez" u="1"/>
        <s v="Gurunath Nitturu" u="1"/>
        <s v="Nischal Vasanth Shetty" u="1"/>
        <s v="Kabilan Subramaniam" u="1"/>
        <s v="Gayathri G" u="1"/>
        <s v="Cameron Eckman" u="1"/>
        <s v="Prem Nath Selvin" u="1"/>
        <s v="Dhanya Krishnadas" u="1"/>
        <s v="Rick Cowan" u="1"/>
        <s v="NA" u="1"/>
        <s v="Umesh Paduvagere Chikkehucha" u="1"/>
        <s v="Ramakrishna Korada" u="1"/>
        <s v="Sandeep K Perala" u="1"/>
        <s v="Anees Kottiliyil" u="1"/>
        <s v="Vinod Raja" u="1"/>
        <s v="Donapati Kantha Reddy" u="1"/>
        <s v="Manikandan Rajendran" u="1"/>
        <s v="Mohammad Asif Basha Jamaluddingari" u="1"/>
        <s v="Andrew Hughes" u="1"/>
        <s v="Vasantkumar Krishnamurthy" u="1"/>
        <s v="Jeff Rauh" u="1"/>
        <s v="Patsy Henson" u="1"/>
        <s v="Kevin Ickes" u="1"/>
        <s v="Jie Zou" u="1"/>
        <s v="Douglas Mansmann" u="1"/>
        <s v="Charlie Brooks" u="1"/>
        <s v="Ananda Murugan Nagarajan" u="1"/>
        <s v="Narasimha Vuntla" u="1"/>
        <s v="Suresh Loganathan" u="1"/>
        <s v="Prakash Raya" u="1"/>
        <s v="Ruchir Bal" u="1"/>
        <s v="Anil Pachipala" u="1"/>
        <s v="Priyadarshini R" u="1"/>
        <s v="Subham Dasgupta" u="1"/>
        <s v="Varun Vasudevan" u="1"/>
        <s v="Ajith Valsan" u="1"/>
        <s v="Abakar Abdoul Hady" u="1"/>
        <s v="Rohan Gupta" u="1"/>
        <s v="Neville Smith" u="1"/>
        <s v="Boyd Nichols" u="1"/>
        <s v="Vadim Gutkin" u="1"/>
        <s v="Vipul Govil" u="1"/>
        <s v="Brian J King" u="1"/>
        <s v="Anita Narayanaswamy" u="1"/>
        <s v="Karunakar (Reddy K) Reddy" u="1"/>
        <s v="Badri Devathu" u="1"/>
        <s v="Suresh Kumar Dhakshnamoorthy" u="1"/>
        <s v="Rahul Chouhan" u="1"/>
        <s v="Jerome Anthony" u="1"/>
        <s v="Sinoj E Palani Chettiyar" u="1"/>
        <s v="Praveen Kumar Bhojan" u="1"/>
        <s v="Sumant Garikaparthi" u="1"/>
        <s v="ArunKumar Bagathur Kaniappan" u="1"/>
        <s v="SudhirKumar Shankar" u="1"/>
        <s v="Sindhu Chitneni" u="1"/>
        <s v="Matthew Burstein" u="1"/>
        <s v="Christopher Hurd" u="1"/>
        <s v="Rammohan Raju" u="1"/>
        <s v="Nithiyanandam Kanniappan" u="1"/>
        <s v="Scott Kim" u="1"/>
        <s v="Bala Murugan Marimuthu" u="1"/>
        <s v="Chandra Konduru" u="1"/>
        <s v="Vinoth Kaladeepan" u="1"/>
        <s v="Danh Nguyen" u="1"/>
        <s v="Rajasekaran Natarajan" u="1"/>
        <s v="Luis Tellado" u="1"/>
        <s v="Elayaraja Sattara Vasudevan" u="1"/>
        <s v="Christopher Locker" u="1"/>
        <s v="Rhonda Stapleton" u="1"/>
        <s v="Maheswaran Kalaiselvan" u="1"/>
        <s v="Dawn Eschenbrenner" u="1"/>
        <s v="Chaitanya Duddukuru" u="1"/>
        <s v="Larry E. Friedlander" u="1"/>
        <s v="Phoebe Sousa" u="1"/>
        <s v="Usman Ghani" u="1"/>
        <s v="Shafiulla khan Mohammed" u="1"/>
        <s v="Gopal V Rao" u="1"/>
        <s v="Rod Schreiber" u="1"/>
        <s v="Baswanth Vaddavalli" u="1"/>
        <s v="Sandeep Eti" u="1"/>
        <s v="Robert Ela" u="1"/>
        <s v="George Shoemaker" u="1"/>
        <s v="Michael A. Dozier" u="1"/>
        <s v="PETER VARANI" u="1"/>
        <s v="Alagar Vijayarajan" u="1"/>
        <s v="Vishwajith Koneti" u="1"/>
        <s v="Vikramjit Singh" u="1"/>
        <s v="Gary Kolnicki" u="1"/>
        <s v="Frank Shaw" u="1"/>
        <s v="Garison Spaeth" u="1"/>
        <s v="Balaji Ranganathan" u="1"/>
        <s v="Karthick Prabhu Giridharaprabhu" u="1"/>
        <s v="Todd Rostorfer" u="1"/>
        <s v="Michelle D. Dorroh" u="1"/>
        <s v="Sukash Koley" u="1"/>
        <s v="Manish Pandit" u="1"/>
        <s v="Somnath Banerjee" u="1"/>
        <s v="Javed Raja" u="1"/>
        <s v="Oktay Gedik" u="1"/>
        <s v="Netisha Wilson" u="1"/>
        <s v="Lakshmi Sindu Yanamadala" u="1"/>
        <s v="Renju Das" u="1"/>
        <s v="Jason P. McNulty" u="1"/>
        <s v="Pavan Kumar Kannaiahgari" u="1"/>
        <s v="Raghav Tripathi" u="1"/>
        <s v="SCOTT M MCKINLEY" u="1"/>
        <s v="Lemoine Vilceus" u="1"/>
        <s v="Matthew Decotis" u="1"/>
        <s v="Adam Sebastian" u="1"/>
        <s v="Gayathri Raveendran Nair" u="1"/>
        <s v="Veerakarthi Selva Pandiyan" u="1"/>
        <s v="Raghavendra Rao" u="1"/>
        <s v="Adam Kennedy" u="1"/>
        <s v="Sivamurugan Sekar" u="1"/>
        <s v="Yoganathan Palanisamy" u="1"/>
        <s v="John Paverd" u="1"/>
        <s v="Widya Harianto" u="1"/>
        <s v="Tamilmaran Durairaj" u="1"/>
        <s v="Karthick Subramaniam" u="1"/>
        <s v="Sathishkumar Radhakrishnan" u="1"/>
        <s v="Patty Goy" u="1"/>
        <s v="Yaswanth Gundam" u="1"/>
        <s v="Christopher Mason" u="1"/>
        <s v="Sheela Karthikeyan" u="1"/>
        <s v="Harisha Kommajesula" u="1"/>
        <s v="Dan Kovalcik" u="1"/>
        <s v="Sailaja Battula" u="1"/>
        <s v="Rajneesh Jain" u="1"/>
        <s v="Sonny Rosemond" u="1"/>
        <s v="Vipul Parashar" u="1"/>
        <s v="Jaimini Bhatt" u="1"/>
        <s v="Thomas Morris" u="1"/>
        <s v="Cindi Williams" u="1"/>
        <s v="Mridula Bhasin" u="1"/>
        <s v="Edward Zawoysky" u="1"/>
        <s v="Laxmikant Shenoy" u="1"/>
        <s v="Marcus Benn" u="1"/>
        <s v="Prapithu Gopi" u="1"/>
        <s v="Prajeesh Premraj" u="1"/>
        <s v="Timothy Southerland" u="1"/>
        <s v="Dan Sirucek" u="1"/>
        <s v="JILL M FILUTA" u="1"/>
        <s v="Raghavendra Suresh" u="1"/>
        <s v="Jake Guinn" u="1"/>
        <s v="Anoop Philip" u="1"/>
        <s v="Tory Liesenfelt" u="1"/>
        <s v="William Stewart" u="1"/>
        <s v="Vivek Vardhan Kunta" u="1"/>
        <s v="Meenakshi Chandrasekaran" u="1"/>
        <s v="Scott Smith" u="1"/>
        <s v="Kenneth J. Cowden" u="1"/>
        <s v="Appalaswamy Gondesi" u="1"/>
        <s v="Sanjay S Yadav" u="1"/>
        <s v="Sriram Ravisankar" u="1"/>
        <s v="Suresh Narasimhan" u="1"/>
        <s v="Renjith Mattappallil" u="1"/>
        <s v="Barrett Hycner" u="1"/>
        <s v="Kirankumar Kolisetti" u="1"/>
        <s v="Anurag Gaur" u="1"/>
        <s v="Naisy Thomas" u="1"/>
        <s v="Sandi Schiess" u="1"/>
        <s v="Seth Halstead" u="1"/>
        <s v="Brantly Perry" u="1"/>
        <s v="Manoj Varrier" u="1"/>
        <s v="Sri Laxmi Valli Mantravadi" u="1"/>
        <s v="Balaji Sekar" u="1"/>
        <s v="Shankar Iyer" u="1"/>
        <s v="Linu Varghese" u="1"/>
        <s v="Dharshan S" u="1"/>
        <s v="Chad Zima" u="1"/>
        <s v="Balaji Ramesh" u="1"/>
        <s v="Sudheer Bachina" u="1"/>
        <s v="Rajesh Ramachandran" u="1"/>
        <s v="Aleh H. Bul" u="1"/>
        <s v="Maneeswaran Sivandurai" u="1"/>
        <s v="Saikumar K" u="1"/>
        <s v="Jennifer Martin" u="1"/>
        <s v="Steven Renigar" u="1"/>
        <s v="Paradesh Kumar Rapet" u="1"/>
        <s v="Gomathi Bakthavachalam" u="1"/>
        <s v="Michael Davidson" u="1"/>
        <s v="Santhosh Mereddy" u="1"/>
        <s v="Lisa A. LaFornara" u="1"/>
        <s v="Ommerson Constant" u="1"/>
        <s v="Premanand Natarajan" u="1"/>
        <s v="Brian Byrne" u="1"/>
        <s v="Kris Simmons" u="1"/>
        <s v="Yogesh Balakrishnan" u="1"/>
        <s v="Niranjan Konda" u="1"/>
        <s v="Mohan Nandimandalam" u="1"/>
        <s v="K.u Sanju Kumar" u="1"/>
        <s v="Uday Kumar Veeranala" u="1"/>
        <s v="Clyde Ross" u="1"/>
        <s v="Kris Kelley" u="1"/>
        <s v="Raghavendar Bojja" u="1"/>
        <s v="Daniel Strykiewicz" u="1"/>
        <s v="Guy Binns" u="1"/>
        <s v="Venkat Garikapati" u="1"/>
        <s v="Himanshu Kaushik" u="1"/>
        <s v="Nagendra Babu Ravilla" u="1"/>
        <s v="Thirumal Ranganathan" u="1"/>
        <s v="Ram Shankar Nagarajan" u="1"/>
        <s v="Robert Ashcraft" u="1"/>
        <s v="Rahul Rathi" u="1"/>
      </sharedItems>
    </cacheField>
    <cacheField name="application_custom11" numFmtId="0">
      <sharedItems containsNonDate="0" containsString="0" containsBlank="1"/>
    </cacheField>
    <cacheField name="application_sme2" numFmtId="0">
      <sharedItems containsNonDate="0" containsBlank="1" count="198">
        <m/>
        <s v="Kavita Beazley" u="1"/>
        <s v="Azheruddin Mohd Ahmed" u="1"/>
        <s v="DAVID A ESTEP" u="1"/>
        <s v="Boyd Nichols" u="1"/>
        <s v="Venkatesh Balasubramanian" u="1"/>
        <s v="Firdosh Parishwad" u="1"/>
        <s v="Brad Zabilla" u="1"/>
        <s v="Varma Datla" u="1"/>
        <s v="David Dennis" u="1"/>
        <s v="Gopakumar Vasudevan Nair" u="1"/>
        <s v="Kamal Raghavan" u="1"/>
        <s v="Sreenivasulu Reddy Peram" u="1"/>
        <s v="Bala Chaitanya Chaturvedula" u="1"/>
        <s v="Sai Vinnakota" u="1"/>
        <s v="Retesh Velapakam" u="1"/>
        <s v="Afrin A Alam" u="1"/>
        <s v="Sherman Becraft" u="1"/>
        <s v="NA" u="1"/>
        <s v="RENJU DAS" u="1"/>
        <s v="Cameron Eckman" u="1"/>
        <s v="Jean Knowles" u="1"/>
        <s v="Nicholas Boka" u="1"/>
        <s v="Dhana Vignesh Kumar Athithan" u="1"/>
        <s v="Dinesh Jagarlamudi" u="1"/>
        <s v="Ranjith Wilson" u="1"/>
        <s v="David Barton" u="1"/>
        <s v="Prakash Balakrishnan" u="1"/>
        <s v="Anjali Takpire" u="1"/>
        <s v="Chander S Chaudhary" u="1"/>
        <s v="Vasantkumar Krishnamurthy" u="1"/>
        <s v="James Pachan" u="1"/>
        <s v="Srinivasa Damacherla" u="1"/>
        <s v="Charlie Brooks" u="1"/>
        <s v="Piotr Luczycki" u="1"/>
        <s v="Indra Narayan" u="1"/>
        <s v="Prakash Raya" u="1"/>
        <s v="Meesala Dileep Kumar" u="1"/>
        <s v="Anmol Sharma" u="1"/>
        <s v="Nitika Agarwal" u="1"/>
        <s v="Terry Robertson" u="1"/>
        <s v="Deanna Sapp" u="1"/>
        <s v="Daryl Sorenson" u="1"/>
        <s v="Sanu Mary Varghese" u="1"/>
        <s v="Anthony Francisco" u="1"/>
        <s v="Abakar Abdoul Hady" u="1"/>
        <s v="Chandu Sarvadevabatla" u="1"/>
        <s v="Manohar Viswanathan" u="1"/>
        <s v="Bob Butkus" u="1"/>
        <s v="Chandra Konduru" u="1"/>
        <s v="Chacko Alex" u="1"/>
        <s v="Eduardo Arango" u="1"/>
        <s v="Nithiyanandam Kanniappan" u="1"/>
        <s v="Rajasekaran Natarajan" u="1"/>
        <s v="Nandakumar Natarajan" u="1"/>
        <s v="Nischal Vasanth Shetty" u="1"/>
        <s v="Rahul Chouhan" u="1"/>
        <s v="Tiffany Saller" u="1"/>
        <s v="Lori Schweitzer" u="1"/>
        <s v="ArunKumar Bagathur Kaniappan" u="1"/>
        <s v="Vinoth Kaladeepan" u="1"/>
        <s v="Kandukuri Gayasuddin Shaik" u="1"/>
        <s v="SudhirKumar Shankar" u="1"/>
        <s v="Charles George" u="1"/>
        <s v="Vijayalaxmi Sadarahalli" u="1"/>
        <s v="Jitesh Singh Chouhan" u="1"/>
        <s v="Kishorekumar M" u="1"/>
        <s v="Phoebe Sousa" u="1"/>
        <s v="Mayank Khatri" u="1"/>
        <s v="Rhonda Stapleton" u="1"/>
        <s v="Leslie Rutyna" u="1"/>
        <s v="Evan Rosenthal" u="1"/>
        <s v="Shirley Crump" u="1"/>
        <s v="Srini Amathi" u="1"/>
        <s v="Raghvendra Shukla" u="1"/>
        <s v="Shafiulla khan Mohammed" u="1"/>
        <s v="Abhay Chaurasia" u="1"/>
        <s v="Vijay Anand Muthukumaran" u="1"/>
        <s v="Vamsi Tirumalareddy" u="1"/>
        <s v="Sandeep Eti" u="1"/>
        <s v="Laxmikant Shenoy" u="1"/>
        <s v="Sam Le" u="1"/>
        <s v="Sriram Thorali Govardhan" u="1"/>
        <s v="SHERRI FLEENER" u="1"/>
        <s v="Ravindran Dharmalingam" u="1"/>
        <s v="Pawan Jaiswal" u="1"/>
        <s v="Darrell E. Robinson" u="1"/>
        <s v="Ponniah Ramakrishnan" u="1"/>
        <s v="Baswanth Vaddavalli" u="1"/>
        <s v="Gary Kolnicki" u="1"/>
        <s v="Manish Dhingra" u="1"/>
        <s v="Joe A Alcantara" u="1"/>
        <s v="Shashidhar Reddy Iyyapareddy" u="1"/>
        <s v="Ketan Choksi" u="1"/>
        <s v="Anand Govindarajan" u="1"/>
        <s v="Rajesh Subramanian" u="1"/>
        <s v="Siva Nageswara Rao Konda" u="1"/>
        <s v="Rohin Joy" u="1"/>
        <s v="Sukash Koley" u="1"/>
        <s v="Stuart Farber" u="1"/>
        <s v="Somnath Banerjee" u="1"/>
        <s v="Srinivas Karthala" u="1"/>
        <s v="Sriram T.G" u="1"/>
        <s v="Jason Chriss" u="1"/>
        <s v="Dayakar R. Malgireddy" u="1"/>
        <s v="Daniel Smith" u="1"/>
        <s v="Balakrishna Kilari" u="1"/>
        <s v="Rajasekhar Kanamarlapudi" u="1"/>
        <s v="Bashkor BB Biswas" u="1"/>
        <s v="Steven G. Breitenstein" u="1"/>
        <s v="Veerakarthi Selva Pandiyan" u="1"/>
        <s v="Omkar Adepu" u="1"/>
        <s v="Anand Seshaiyer" u="1"/>
        <s v="Saravana Kumar" u="1"/>
        <s v="Sudhir Srivastava" u="1"/>
        <s v="John Paverd" u="1"/>
        <s v="Miguel Lopez" u="1"/>
        <s v="Sayan Goswami" u="1"/>
        <s v="Karthik Kumar Nagarajan" u="1"/>
        <s v="Girish Mohan" u="1"/>
        <s v="Jaishankar Inukonda" u="1"/>
        <s v="Scott Honn" u="1"/>
        <s v="Adam Centerbar" u="1"/>
        <s v="Maruthi Prasad" u="1"/>
        <s v="Yaswanth Gundam" u="1"/>
        <s v="Seshadri Ramaswamy" u="1"/>
        <s v="Sheela Karthikeyan" u="1"/>
        <s v="Paul Haze" u="1"/>
        <s v="Dan Kovalcik" u="1"/>
        <s v="Sara Berhane" u="1"/>
        <s v="Jennifer Heller" u="1"/>
        <s v="Sailaja Battula" u="1"/>
        <s v="Venkata Teja Nallapaneni" u="1"/>
        <s v="Rajneesh Jain" u="1"/>
        <s v="Chuck Broussard" u="1"/>
        <s v="Jaimini Bhatt" u="1"/>
        <s v="Michelle Fadel" u="1"/>
        <s v="Sherri L. Frye" u="1"/>
        <s v="Billy Landers" u="1"/>
        <s v="Min Wang" u="1"/>
        <s v="Mark Nebergall" u="1"/>
        <s v="James Strange" u="1"/>
        <s v="Muralimanohar Krishnareddy" u="1"/>
        <s v="Frank Hopkins" u="1"/>
        <s v="Charlie Trotter" u="1"/>
        <s v="Raghavendra Suresh" u="1"/>
        <s v="Shambhu Gouda" u="1"/>
        <s v="Catherine Jean Frohman" u="1"/>
        <s v="Meenakshi Chandrasekaran" u="1"/>
        <s v="Santhosh P" u="1"/>
        <s v="Jacqueline Hang VO" u="1"/>
        <s v="Kishan Kumar" u="1"/>
        <s v="Jayakeerthana D" u="1"/>
        <s v="Anees Kottiliyil" u="1"/>
        <s v="Sinoj E Palani Chettiyar" u="1"/>
        <s v="Suresh Narasimhan" u="1"/>
        <s v="Ramakrishna Korada" u="1"/>
        <s v="Rajesh Kiran Korrapati" u="1"/>
        <s v="Priyatama Sisodiya" u="1"/>
        <s v="Ramachandran Ananthapadmanabhan" u="1"/>
        <s v="Manoj Varrier" u="1"/>
        <s v="Kavya Nakka" u="1"/>
        <s v="Stephanie M. Sadler" u="1"/>
        <s v="Tom Healy" u="1"/>
        <s v="Ger Morrison" u="1"/>
        <s v="Marat Goykhman" u="1"/>
        <s v="Timothy Devaughn" u="1"/>
        <s v="Anjaneyulu Kokkiligadda" u="1"/>
        <s v="Linu Varghese" u="1"/>
        <s v="Ben Cassel" u="1"/>
        <s v="Thomas Tyler" u="1"/>
        <s v="Cristopher R Ingalls" u="1"/>
        <s v="Suresh Reddy" u="1"/>
        <s v="Pavithra Raja" u="1"/>
        <s v="Maureen Bergin" u="1"/>
        <s v="Christopher Deiser" u="1"/>
        <s v="Meenakshi Senthilkumar" u="1"/>
        <s v="Sujeeth Narayan" u="1"/>
        <s v="Siddharthan Subramanian" u="1"/>
        <s v="Robert Spradlin" u="1"/>
        <s v="Varun Vasudevan" u="1"/>
        <s v="K.u Sanju Kumar" u="1"/>
        <s v="Tarena E. McCall" u="1"/>
        <s v="Jayanth Chandran" u="1"/>
        <s v="Brian Brown" u="1"/>
        <s v="Sue Ristucci" u="1"/>
        <s v="Vamshi Siddoju" u="1"/>
        <s v="Raghavendar Bojja" u="1"/>
        <s v="Gangadhar Bidurakantha" u="1"/>
        <s v="Guy Binns" u="1"/>
        <s v="Brian Hibner" u="1"/>
        <s v="Null" u="1"/>
        <s v="Meeran Moideen" u="1"/>
        <s v="Scott W. Secondino" u="1"/>
        <s v="Thirumal Ranganathan" u="1"/>
        <s v="Yuvarajan Nithiyanandam" u="1"/>
        <s v="Rahul Rathi" u="1"/>
        <s v="John Saunders" u="1"/>
      </sharedItems>
    </cacheField>
    <cacheField name="application_custom19" numFmtId="0">
      <sharedItems containsNonDate="0" containsString="0" containsBlank="1"/>
    </cacheField>
    <cacheField name="application_custom23" numFmtId="0">
      <sharedItems containsNonDate="0" containsString="0" containsBlank="1"/>
    </cacheField>
    <cacheField name="common_assetClass" numFmtId="0">
      <sharedItems containsNonDate="0" containsString="0" containsBlank="1"/>
    </cacheField>
    <cacheField name="common_assetType" numFmtId="0">
      <sharedItems containsNonDate="0" containsString="0" containsBlank="1"/>
    </cacheField>
    <cacheField name="common_commentCount" numFmtId="0">
      <sharedItems containsNonDate="0" containsString="0" containsBlank="1"/>
    </cacheField>
    <cacheField name="common_taskCount" numFmtId="0">
      <sharedItems containsNonDate="0" containsString="0" containsBlank="1"/>
    </cacheField>
    <cacheField name="common_planStatu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n v="0"/>
    <m/>
    <x v="0"/>
    <m/>
    <n v="0"/>
    <m/>
    <m/>
    <m/>
    <m/>
    <s v="-"/>
    <s v=""/>
    <n v="1"/>
    <n v="0"/>
    <s v=""/>
    <s v=""/>
    <s v="No"/>
    <n v="0"/>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m/>
    <m/>
    <m/>
    <m/>
    <m/>
    <x v="0"/>
    <m/>
    <m/>
    <x v="0"/>
    <m/>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2F962F-6DF9-42CD-BA50-2BF4A59D879D}" name="PivotTable1" cacheId="1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Applications/CS-Stacks">
  <location ref="A3:B6" firstHeaderRow="1" firstDataRow="1" firstDataCol="1"/>
  <pivotFields count="24">
    <pivotField showAll="0"/>
    <pivotField showAll="0"/>
    <pivotField axis="axisRow" showAll="0">
      <items count="1207">
        <item m="1" x="750"/>
        <item m="1" x="341"/>
        <item m="1" x="1188"/>
        <item m="1" x="816"/>
        <item m="1" x="857"/>
        <item m="1" x="965"/>
        <item m="1" x="726"/>
        <item m="1" x="1205"/>
        <item m="1" x="984"/>
        <item m="1" x="481"/>
        <item m="1" x="642"/>
        <item m="1" x="697"/>
        <item m="1" x="649"/>
        <item m="1" x="371"/>
        <item m="1" x="1023"/>
        <item m="1" x="836"/>
        <item m="1" x="1046"/>
        <item m="1" x="654"/>
        <item m="1" x="487"/>
        <item m="1" x="1123"/>
        <item m="1" x="773"/>
        <item m="1" x="931"/>
        <item m="1" x="604"/>
        <item m="1" x="972"/>
        <item m="1" x="873"/>
        <item m="1" x="350"/>
        <item m="1" x="387"/>
        <item m="1" x="1074"/>
        <item m="1" x="1020"/>
        <item m="1" x="1198"/>
        <item m="1" x="755"/>
        <item m="1" x="941"/>
        <item m="1" x="924"/>
        <item m="1" x="385"/>
        <item m="1" x="751"/>
        <item m="1" x="1153"/>
        <item m="1" x="44"/>
        <item m="1" x="759"/>
        <item m="1" x="578"/>
        <item m="1" x="798"/>
        <item m="1" x="1183"/>
        <item m="1" x="1202"/>
        <item m="1" x="513"/>
        <item m="1" x="716"/>
        <item m="1" x="878"/>
        <item m="1" x="317"/>
        <item m="1" x="1155"/>
        <item x="0"/>
        <item m="1" x="693"/>
        <item m="1" x="516"/>
        <item m="1" x="599"/>
        <item m="1" x="780"/>
        <item m="1" x="1200"/>
        <item m="1" x="305"/>
        <item m="1" x="1201"/>
        <item m="1" x="352"/>
        <item m="1" x="27"/>
        <item m="1" x="1121"/>
        <item m="1" x="552"/>
        <item m="1" x="900"/>
        <item m="1" x="558"/>
        <item m="1" x="383"/>
        <item m="1" x="899"/>
        <item m="1" x="971"/>
        <item m="1" x="416"/>
        <item m="1" x="827"/>
        <item m="1" x="815"/>
        <item m="1" x="543"/>
        <item m="1" x="719"/>
        <item m="1" x="757"/>
        <item m="1" x="428"/>
        <item m="1" x="362"/>
        <item m="1" x="1017"/>
        <item m="1" x="784"/>
        <item m="1" x="1056"/>
        <item m="1" x="1189"/>
        <item m="1" x="692"/>
        <item m="1" x="1164"/>
        <item m="1" x="701"/>
        <item m="1" x="1051"/>
        <item m="1" x="329"/>
        <item m="1" x="463"/>
        <item m="1" x="956"/>
        <item m="1" x="1127"/>
        <item m="1" x="562"/>
        <item m="1" x="476"/>
        <item m="1" x="967"/>
        <item m="1" x="879"/>
        <item m="1" x="381"/>
        <item m="1" x="396"/>
        <item m="1" x="655"/>
        <item m="1" x="364"/>
        <item m="1" x="1165"/>
        <item m="1" x="1146"/>
        <item m="1" x="823"/>
        <item m="1" x="505"/>
        <item m="1" x="146"/>
        <item m="1" x="898"/>
        <item m="1" x="102"/>
        <item m="1" x="622"/>
        <item m="1" x="887"/>
        <item m="1" x="1110"/>
        <item m="1" x="657"/>
        <item m="1" x="744"/>
        <item m="1" x="952"/>
        <item m="1" x="613"/>
        <item m="1" x="1171"/>
        <item m="1" x="431"/>
        <item m="1" x="147"/>
        <item m="1" x="472"/>
        <item m="1" x="334"/>
        <item m="1" x="1057"/>
        <item m="1" x="1024"/>
        <item m="1" x="573"/>
        <item m="1" x="774"/>
        <item m="1" x="863"/>
        <item m="1" x="160"/>
        <item m="1" x="664"/>
        <item m="1" x="867"/>
        <item m="1" x="1026"/>
        <item m="1" x="309"/>
        <item m="1" x="1163"/>
        <item m="1" x="586"/>
        <item m="1" x="805"/>
        <item m="1" x="548"/>
        <item m="1" x="868"/>
        <item m="1" x="598"/>
        <item m="1" x="355"/>
        <item m="1" x="926"/>
        <item m="1" x="1177"/>
        <item m="1" x="319"/>
        <item m="1" x="803"/>
        <item m="1" x="566"/>
        <item m="1" x="312"/>
        <item m="1" x="1099"/>
        <item m="1" x="852"/>
        <item m="1" x="332"/>
        <item m="1" x="452"/>
        <item m="1" x="975"/>
        <item m="1" x="711"/>
        <item m="1" x="491"/>
        <item m="1" x="1068"/>
        <item m="1" x="929"/>
        <item m="1" x="754"/>
        <item m="1" x="859"/>
        <item m="1" x="1128"/>
        <item m="1" x="978"/>
        <item m="1" x="1145"/>
        <item m="1" x="1086"/>
        <item m="1" x="980"/>
        <item m="1" x="509"/>
        <item m="1" x="1037"/>
        <item m="1" x="973"/>
        <item m="1" x="1190"/>
        <item m="1" x="849"/>
        <item m="1" x="1106"/>
        <item m="1" x="1036"/>
        <item m="1" x="276"/>
        <item m="1" x="518"/>
        <item m="1" x="527"/>
        <item m="1" x="817"/>
        <item m="1" x="1004"/>
        <item m="1" x="1132"/>
        <item m="1" x="475"/>
        <item m="1" x="549"/>
        <item m="1" x="858"/>
        <item m="1" x="1104"/>
        <item m="1" x="346"/>
        <item m="1" x="602"/>
        <item m="1" x="593"/>
        <item m="1" x="422"/>
        <item m="1" x="824"/>
        <item m="1" x="534"/>
        <item m="1" x="876"/>
        <item m="1" x="1030"/>
        <item m="1" x="938"/>
        <item m="1" x="323"/>
        <item m="1" x="762"/>
        <item m="1" x="723"/>
        <item m="1" x="443"/>
        <item m="1" x="327"/>
        <item m="1" x="412"/>
        <item m="1" x="819"/>
        <item m="1" x="376"/>
        <item m="1" x="399"/>
        <item m="1" x="922"/>
        <item m="1" x="414"/>
        <item m="1" x="563"/>
        <item m="1" x="489"/>
        <item m="1" x="1011"/>
        <item m="1" x="356"/>
        <item m="1" x="1137"/>
        <item m="1" x="1194"/>
        <item m="1" x="1203"/>
        <item m="1" x="1079"/>
        <item m="1" x="417"/>
        <item m="1" x="793"/>
        <item m="1" x="840"/>
        <item m="1" x="912"/>
        <item m="1" x="1122"/>
        <item m="1" x="652"/>
        <item m="1" x="659"/>
        <item m="1" x="663"/>
        <item m="1" x="1038"/>
        <item m="1" x="307"/>
        <item m="1" x="650"/>
        <item m="1" x="993"/>
        <item m="1" x="861"/>
        <item m="1" x="446"/>
        <item m="1" x="540"/>
        <item m="1" x="288"/>
        <item m="1" x="920"/>
        <item m="1" x="669"/>
        <item m="1" x="1197"/>
        <item m="1" x="1193"/>
        <item m="1" x="880"/>
        <item m="1" x="587"/>
        <item m="1" x="915"/>
        <item m="1" x="995"/>
        <item m="1" x="365"/>
        <item m="1" x="883"/>
        <item m="1" x="927"/>
        <item m="1" x="456"/>
        <item m="1" x="469"/>
        <item m="1" x="590"/>
        <item m="1" x="832"/>
        <item m="1" x="1059"/>
        <item m="1" x="1060"/>
        <item m="1" x="1061"/>
        <item m="1" x="1078"/>
        <item m="1" x="710"/>
        <item m="1" x="789"/>
        <item m="1" x="896"/>
        <item m="1" x="532"/>
        <item m="1" x="488"/>
        <item m="1" x="1065"/>
        <item m="1" x="720"/>
        <item m="1" x="77"/>
        <item m="1" x="752"/>
        <item m="1" x="705"/>
        <item m="1" x="78"/>
        <item m="1" x="645"/>
        <item m="1" x="606"/>
        <item m="1" x="1028"/>
        <item m="1" x="1042"/>
        <item m="1" x="951"/>
        <item m="1" x="646"/>
        <item m="1" x="837"/>
        <item m="1" x="1142"/>
        <item m="1" x="342"/>
        <item m="1" x="401"/>
        <item m="1" x="287"/>
        <item m="1" x="695"/>
        <item m="1" x="653"/>
        <item m="1" x="963"/>
        <item m="1" x="547"/>
        <item m="1" x="914"/>
        <item m="1" x="1175"/>
        <item m="1" x="580"/>
        <item m="1" x="430"/>
        <item m="1" x="916"/>
        <item m="1" x="607"/>
        <item m="1" x="841"/>
        <item m="1" x="684"/>
        <item m="1" x="799"/>
        <item m="1" x="304"/>
        <item m="1" x="800"/>
        <item m="1" x="333"/>
        <item m="1" x="640"/>
        <item m="1" x="808"/>
        <item m="1" x="662"/>
        <item m="1" x="917"/>
        <item m="1" x="801"/>
        <item m="1" x="802"/>
        <item m="1" x="765"/>
        <item m="1" x="433"/>
        <item m="1" x="688"/>
        <item m="1" x="324"/>
        <item m="1" x="432"/>
        <item m="1" x="890"/>
        <item m="1" x="521"/>
        <item m="1" x="985"/>
        <item m="1" x="611"/>
        <item m="1" x="539"/>
        <item m="1" x="968"/>
        <item m="1" x="337"/>
        <item m="1" x="1098"/>
        <item m="1" x="633"/>
        <item m="1" x="1087"/>
        <item m="1" x="937"/>
        <item m="1" x="844"/>
        <item m="1" x="902"/>
        <item m="1" x="1058"/>
        <item m="1" x="314"/>
        <item m="1" x="1172"/>
        <item m="1" x="977"/>
        <item m="1" x="1126"/>
        <item m="1" x="783"/>
        <item m="1" x="856"/>
        <item m="1" x="862"/>
        <item m="1" x="690"/>
        <item m="1" x="335"/>
        <item m="1" x="615"/>
        <item m="1" x="1113"/>
        <item m="1" x="694"/>
        <item m="1" x="1069"/>
        <item m="1" x="1075"/>
        <item m="1" x="1052"/>
        <item m="1" x="794"/>
        <item m="1" x="331"/>
        <item m="1" x="790"/>
        <item m="1" x="661"/>
        <item m="1" x="46"/>
        <item m="1" x="700"/>
        <item m="1" x="559"/>
        <item m="1" x="870"/>
        <item m="1" x="550"/>
        <item m="1" x="279"/>
        <item m="1" x="820"/>
        <item m="1" x="544"/>
        <item m="1" x="826"/>
        <item m="1" x="616"/>
        <item m="1" x="712"/>
        <item m="1" x="507"/>
        <item m="1" x="795"/>
        <item m="1" x="165"/>
        <item m="1" x="1185"/>
        <item m="1" x="848"/>
        <item m="1" x="911"/>
        <item m="1" x="369"/>
        <item m="1" x="921"/>
        <item m="1" x="855"/>
        <item m="1" x="339"/>
        <item m="1" x="1073"/>
        <item m="1" x="537"/>
        <item m="1" x="494"/>
        <item m="1" x="1035"/>
        <item m="1" x="959"/>
        <item m="1" x="732"/>
        <item m="1" x="901"/>
        <item m="1" x="910"/>
        <item m="1" x="864"/>
        <item m="1" x="1001"/>
        <item m="1" x="740"/>
        <item m="1" x="113"/>
        <item m="1" x="419"/>
        <item m="1" x="908"/>
        <item m="1" x="588"/>
        <item m="1" x="125"/>
        <item m="1" x="302"/>
        <item m="1" x="359"/>
        <item m="1" x="1066"/>
        <item m="1" x="822"/>
        <item m="1" x="1016"/>
        <item m="1" x="792"/>
        <item m="1" x="888"/>
        <item m="1" x="670"/>
        <item m="1" x="1100"/>
        <item m="1" x="696"/>
        <item m="1" x="294"/>
        <item m="1" x="1044"/>
        <item m="1" x="1018"/>
        <item m="1" x="127"/>
        <item m="1" x="330"/>
        <item m="1" x="767"/>
        <item m="1" x="809"/>
        <item m="1" x="1138"/>
        <item m="1" x="124"/>
        <item m="1" x="715"/>
        <item m="1" x="947"/>
        <item m="1" x="1097"/>
        <item m="1" x="1091"/>
        <item m="1" x="1009"/>
        <item m="1" x="828"/>
        <item m="1" x="665"/>
        <item m="1" x="1048"/>
        <item m="1" x="637"/>
        <item m="1" x="871"/>
        <item m="1" x="806"/>
        <item m="1" x="542"/>
        <item m="1" x="282"/>
        <item m="1" x="769"/>
        <item m="1" x="493"/>
        <item m="1" x="990"/>
        <item m="1" x="775"/>
        <item m="1" x="451"/>
        <item m="1" x="421"/>
        <item m="1" x="464"/>
        <item m="1" x="930"/>
        <item m="1" x="393"/>
        <item m="1" x="407"/>
        <item m="1" x="388"/>
        <item m="1" x="1136"/>
        <item m="1" x="944"/>
        <item m="1" x="467"/>
        <item m="1" x="1187"/>
        <item m="1" x="474"/>
        <item m="1" x="612"/>
        <item m="1" x="336"/>
        <item m="1" x="923"/>
        <item m="1" x="727"/>
        <item m="1" x="1093"/>
        <item m="1" x="994"/>
        <item m="1" x="853"/>
        <item m="1" x="667"/>
        <item m="1" x="438"/>
        <item m="1" x="1055"/>
        <item m="1" x="297"/>
        <item m="1" x="556"/>
        <item m="1" x="1199"/>
        <item m="1" x="992"/>
        <item m="1" x="957"/>
        <item m="1" x="731"/>
        <item m="1" x="940"/>
        <item m="1" x="292"/>
        <item m="1" x="991"/>
        <item m="1" x="891"/>
        <item m="1" x="656"/>
        <item m="1" x="1022"/>
        <item m="1" x="728"/>
        <item m="1" x="411"/>
        <item m="1" x="1082"/>
        <item m="1" x="814"/>
        <item m="1" x="1041"/>
        <item m="1" x="969"/>
        <item m="1" x="1191"/>
        <item m="1" x="368"/>
        <item m="1" x="1118"/>
        <item m="1" x="747"/>
        <item m="1" x="749"/>
        <item m="1" x="842"/>
        <item m="1" x="935"/>
        <item m="1" x="524"/>
        <item m="1" x="360"/>
        <item m="1" x="1094"/>
        <item m="1" x="846"/>
        <item m="1" x="777"/>
        <item m="1" x="567"/>
        <item m="1" x="531"/>
        <item m="1" x="928"/>
        <item m="1" x="982"/>
        <item m="1" x="608"/>
        <item m="1" x="296"/>
        <item m="1" x="320"/>
        <item m="1" x="934"/>
        <item m="1" x="286"/>
        <item m="1" x="904"/>
        <item m="1" x="869"/>
        <item m="1" x="511"/>
        <item m="1" x="635"/>
        <item m="1" x="1032"/>
        <item m="1" x="745"/>
        <item m="1" x="1071"/>
        <item m="1" x="708"/>
        <item m="1" x="1148"/>
        <item m="1" x="418"/>
        <item m="1" x="970"/>
        <item m="1" x="1170"/>
        <item m="1" x="560"/>
        <item m="1" x="391"/>
        <item m="1" x="704"/>
        <item m="1" x="707"/>
        <item m="1" x="400"/>
        <item m="1" x="1013"/>
        <item m="1" x="290"/>
        <item m="1" x="291"/>
        <item m="1" x="515"/>
        <item m="1" x="1161"/>
        <item m="1" x="948"/>
        <item m="1" x="781"/>
        <item m="1" x="405"/>
        <item m="1" x="679"/>
        <item m="1" x="349"/>
        <item m="1" x="919"/>
        <item m="1" x="582"/>
        <item m="1" x="600"/>
        <item m="1" x="584"/>
        <item m="1" x="1166"/>
        <item m="1" x="1179"/>
        <item m="1" x="839"/>
        <item m="1" x="306"/>
        <item m="1" x="581"/>
        <item m="1" x="736"/>
        <item m="1" x="1064"/>
        <item m="1" x="458"/>
        <item m="1" x="1141"/>
        <item m="1" x="905"/>
        <item m="1" x="589"/>
        <item m="1" x="1010"/>
        <item m="1" x="259"/>
        <item m="1" x="1090"/>
        <item m="1" x="174"/>
        <item m="1" x="943"/>
        <item m="1" x="812"/>
        <item m="1" x="689"/>
        <item m="1" x="471"/>
        <item m="1" x="625"/>
        <item m="1" x="925"/>
        <item m="1" x="881"/>
        <item m="1" x="514"/>
        <item m="1" x="1143"/>
        <item m="1" x="285"/>
        <item m="1" x="380"/>
        <item m="1" x="838"/>
        <item m="1" x="847"/>
        <item m="1" x="569"/>
        <item m="1" x="627"/>
        <item m="1" x="1109"/>
        <item m="1" x="495"/>
        <item m="1" x="501"/>
        <item m="1" x="950"/>
        <item m="1" x="851"/>
        <item m="1" x="987"/>
        <item m="1" x="605"/>
        <item m="1" x="730"/>
        <item m="1" x="1063"/>
        <item m="1" x="939"/>
        <item m="1" x="860"/>
        <item m="1" x="394"/>
        <item m="1" x="683"/>
        <item m="1" x="1169"/>
        <item m="1" x="621"/>
        <item m="1" x="746"/>
        <item m="1" x="347"/>
        <item m="1" x="658"/>
        <item m="1" x="423"/>
        <item m="1" x="370"/>
        <item m="1" x="933"/>
        <item m="1" x="596"/>
        <item m="1" x="961"/>
        <item m="1" x="372"/>
        <item m="1" x="742"/>
        <item m="1" x="523"/>
        <item m="1" x="897"/>
        <item m="1" x="996"/>
        <item m="1" x="1144"/>
        <item m="1" x="448"/>
        <item m="1" x="756"/>
        <item m="1" x="724"/>
        <item m="1" x="592"/>
        <item m="1" x="998"/>
        <item m="1" x="1072"/>
        <item m="1" x="703"/>
        <item m="1" x="1101"/>
        <item m="1" x="825"/>
        <item m="1" x="648"/>
        <item m="1" x="1173"/>
        <item m="1" x="974"/>
        <item m="1" x="709"/>
        <item m="1" x="986"/>
        <item m="1" x="768"/>
        <item m="1" x="949"/>
        <item m="1" x="761"/>
        <item m="1" x="854"/>
        <item m="1" x="351"/>
        <item m="1" x="283"/>
        <item m="1" x="561"/>
        <item m="1" x="644"/>
        <item m="1" x="631"/>
        <item m="1" x="325"/>
        <item m="1" x="764"/>
        <item m="1" x="675"/>
        <item m="1" x="440"/>
        <item m="1" x="1111"/>
        <item m="1" x="281"/>
        <item m="1" x="395"/>
        <item m="1" x="528"/>
        <item m="1" x="786"/>
        <item m="1" x="843"/>
        <item m="1" x="461"/>
        <item m="1" x="585"/>
        <item m="1" x="763"/>
        <item m="1" x="468"/>
        <item m="1" x="413"/>
        <item m="1" x="557"/>
        <item m="1" x="436"/>
        <item m="1" x="398"/>
        <item m="1" x="496"/>
        <item m="1" x="1116"/>
        <item m="1" x="525"/>
        <item m="1" x="702"/>
        <item m="1" x="338"/>
        <item m="1" x="427"/>
        <item m="1" x="506"/>
        <item m="1" x="1157"/>
        <item m="1" x="429"/>
        <item m="1" x="1149"/>
        <item m="1" x="450"/>
        <item m="1" x="315"/>
        <item m="1" x="743"/>
        <item m="1" x="791"/>
        <item m="1" x="760"/>
        <item m="1" x="885"/>
        <item m="1" x="574"/>
        <item m="1" x="962"/>
        <item m="1" x="328"/>
        <item m="1" x="345"/>
        <item m="1" x="964"/>
        <item m="1" x="462"/>
        <item m="1" x="301"/>
        <item m="1" x="384"/>
        <item m="1" x="1008"/>
        <item m="1" x="725"/>
        <item m="1" x="435"/>
        <item m="1" x="503"/>
        <item m="1" x="572"/>
        <item m="1" x="676"/>
        <item m="1" x="424"/>
        <item m="1" x="1176"/>
        <item m="1" x="1033"/>
        <item m="1" x="1089"/>
        <item m="1" x="932"/>
        <item m="1" x="643"/>
        <item m="1" x="243"/>
        <item m="1" x="239"/>
        <item m="1" x="512"/>
        <item m="1" x="299"/>
        <item m="1" x="517"/>
        <item m="1" x="340"/>
        <item m="1" x="1178"/>
        <item m="1" x="1014"/>
        <item m="1" x="482"/>
        <item m="1" x="735"/>
        <item m="1" x="1181"/>
        <item m="1" x="807"/>
        <item m="1" x="354"/>
        <item m="1" x="677"/>
        <item m="1" x="997"/>
        <item m="1" x="1158"/>
        <item m="1" x="981"/>
        <item m="1" x="470"/>
        <item m="1" x="907"/>
        <item m="1" x="498"/>
        <item m="1" x="691"/>
        <item m="1" x="1182"/>
        <item m="1" x="1053"/>
        <item m="1" x="946"/>
        <item m="1" x="1025"/>
        <item m="1" x="579"/>
        <item m="1" x="374"/>
        <item m="1" x="1180"/>
        <item m="1" x="1107"/>
        <item m="1" x="591"/>
        <item m="1" x="770"/>
        <item m="1" x="1192"/>
        <item m="1" x="647"/>
        <item m="1" x="942"/>
        <item m="1" x="601"/>
        <item m="1" x="1002"/>
        <item m="1" x="420"/>
        <item m="1" x="785"/>
        <item m="1" x="834"/>
        <item m="1" x="1081"/>
        <item m="1" x="1062"/>
        <item m="1" x="280"/>
        <item m="1" x="597"/>
        <item m="1" x="1084"/>
        <item m="1" x="766"/>
        <item m="1" x="577"/>
        <item m="1" x="875"/>
        <item m="1" x="389"/>
        <item m="1" x="1083"/>
        <item m="1" x="1196"/>
        <item m="1" x="303"/>
        <item m="1" x="554"/>
        <item m="1" x="718"/>
        <item m="1" x="441"/>
        <item m="1" x="410"/>
        <item m="1" x="671"/>
        <item m="1" x="632"/>
        <item m="1" x="316"/>
        <item m="1" x="882"/>
        <item m="1" x="460"/>
        <item m="1" x="1167"/>
        <item m="1" x="685"/>
        <item m="1" x="310"/>
        <item m="1" x="449"/>
        <item m="1" x="865"/>
        <item m="1" x="960"/>
        <item m="1" x="403"/>
        <item m="1" x="425"/>
        <item m="1" x="609"/>
        <item m="1" x="618"/>
        <item m="1" x="636"/>
        <item m="1" x="426"/>
        <item m="1" x="519"/>
        <item m="1" x="714"/>
        <item m="1" x="1147"/>
        <item m="1" x="624"/>
        <item m="1" x="1019"/>
        <item m="1" x="535"/>
        <item m="1" x="1103"/>
        <item m="1" x="502"/>
        <item m="1" x="1184"/>
        <item m="1" x="738"/>
        <item m="1" x="437"/>
        <item m="1" x="1080"/>
        <item m="1" x="1112"/>
        <item m="1" x="1045"/>
        <item m="1" x="1134"/>
        <item m="1" x="909"/>
        <item m="1" x="782"/>
        <item m="1" x="893"/>
        <item m="1" x="1012"/>
        <item m="1" x="326"/>
        <item m="1" x="1156"/>
        <item m="1" x="378"/>
        <item m="1" x="555"/>
        <item m="1" x="681"/>
        <item m="1" x="344"/>
        <item m="1" x="903"/>
        <item m="1" x="1067"/>
        <item m="1" x="776"/>
        <item m="1" x="668"/>
        <item m="1" x="1195"/>
        <item m="1" x="459"/>
        <item m="1" x="445"/>
        <item m="1" x="278"/>
        <item m="1" x="1043"/>
        <item m="1" x="490"/>
        <item m="1" x="796"/>
        <item m="1" x="638"/>
        <item m="1" x="617"/>
        <item m="1" x="447"/>
        <item m="1" x="753"/>
        <item m="1" x="1049"/>
        <item m="1" x="308"/>
        <item m="1" x="906"/>
        <item m="1" x="1162"/>
        <item m="1" x="473"/>
        <item m="1" x="568"/>
        <item m="1" x="293"/>
        <item m="1" x="379"/>
        <item m="1" x="313"/>
        <item m="1" x="508"/>
        <item m="1" x="546"/>
        <item m="1" x="639"/>
        <item m="1" x="538"/>
        <item m="1" x="1115"/>
        <item m="1" x="706"/>
        <item m="1" x="565"/>
        <item m="1" x="682"/>
        <item m="1" x="913"/>
        <item m="1" x="533"/>
        <item m="1" x="620"/>
        <item m="1" x="1139"/>
        <item m="1" x="289"/>
        <item m="1" x="311"/>
        <item m="1" x="594"/>
        <item m="1" x="721"/>
        <item m="1" x="1119"/>
        <item m="1" x="983"/>
        <item m="1" x="626"/>
        <item m="1" x="813"/>
        <item m="1" x="1117"/>
        <item m="1" x="811"/>
        <item m="1" x="1050"/>
        <item m="1" x="1174"/>
        <item m="1" x="455"/>
        <item m="1" x="1054"/>
        <item m="1" x="551"/>
        <item m="1" x="483"/>
        <item m="1" x="641"/>
        <item m="1" x="1070"/>
        <item m="1" x="408"/>
        <item m="1" x="748"/>
        <item m="1" x="510"/>
        <item m="1" x="918"/>
        <item m="1" x="945"/>
        <item m="1" x="576"/>
        <item m="1" x="1135"/>
        <item m="1" x="729"/>
        <item m="1" x="829"/>
        <item m="1" x="1007"/>
        <item m="1" x="499"/>
        <item m="1" x="1029"/>
        <item m="1" x="298"/>
        <item m="1" x="1124"/>
        <item m="1" x="477"/>
        <item m="1" x="629"/>
        <item m="1" x="375"/>
        <item m="1" x="595"/>
        <item m="1" x="1021"/>
        <item m="1" x="966"/>
        <item m="1" x="1204"/>
        <item m="1" x="564"/>
        <item m="1" x="361"/>
        <item m="1" x="454"/>
        <item m="1" x="480"/>
        <item m="1" x="1131"/>
        <item m="1" x="845"/>
        <item m="1" x="382"/>
        <item m="1" x="434"/>
        <item m="1" x="628"/>
        <item m="1" x="1096"/>
        <item m="1" x="526"/>
        <item m="1" x="988"/>
        <item m="1" x="680"/>
        <item m="1" x="322"/>
        <item m="1" x="1031"/>
        <item m="1" x="1159"/>
        <item m="1" x="788"/>
        <item m="1" x="831"/>
        <item m="1" x="872"/>
        <item m="1" x="1039"/>
        <item m="1" x="630"/>
        <item m="1" x="492"/>
        <item m="1" x="500"/>
        <item m="1" x="415"/>
        <item m="1" x="850"/>
        <item m="1" x="758"/>
        <item m="1" x="321"/>
        <item m="1" x="666"/>
        <item m="1" x="536"/>
        <item m="1" x="1105"/>
        <item m="1" x="866"/>
        <item m="1" x="895"/>
        <item m="1" x="277"/>
        <item m="1" x="989"/>
        <item m="1" x="366"/>
        <item m="1" x="686"/>
        <item m="1" x="439"/>
        <item m="1" x="717"/>
        <item m="1" x="1140"/>
        <item m="1" x="892"/>
        <item m="1" x="128"/>
        <item m="1" x="373"/>
        <item m="1" x="465"/>
        <item m="1" x="660"/>
        <item m="1" x="444"/>
        <item m="1" x="466"/>
        <item m="1" x="486"/>
        <item m="1" x="610"/>
        <item m="1" x="835"/>
        <item m="1" x="300"/>
        <item m="1" x="894"/>
        <item m="1" x="739"/>
        <item m="1" x="497"/>
        <item m="1" x="353"/>
        <item m="1" x="522"/>
        <item m="1" x="485"/>
        <item m="1" x="953"/>
        <item m="1" x="1108"/>
        <item m="1" x="1092"/>
        <item m="1" x="1150"/>
        <item m="1" x="603"/>
        <item m="1" x="787"/>
        <item m="1" x="1095"/>
        <item m="1" x="1168"/>
        <item m="1" x="674"/>
        <item m="1" x="504"/>
        <item m="1" x="1151"/>
        <item m="1" x="358"/>
        <item m="1" x="392"/>
        <item m="1" x="367"/>
        <item m="1" x="936"/>
        <item m="1" x="442"/>
        <item m="1" x="778"/>
        <item m="1" x="741"/>
        <item m="1" x="553"/>
        <item m="1" x="484"/>
        <item m="1" x="734"/>
        <item m="1" x="404"/>
        <item m="1" x="478"/>
        <item m="1" x="318"/>
        <item m="1" x="1027"/>
        <item m="1" x="699"/>
        <item m="1" x="377"/>
        <item m="1" x="1186"/>
        <item m="1" x="722"/>
        <item m="1" x="1005"/>
        <item m="1" x="889"/>
        <item m="1" x="363"/>
        <item m="1" x="999"/>
        <item m="1" x="583"/>
        <item m="1" x="402"/>
        <item m="1" x="833"/>
        <item m="1" x="1160"/>
        <item m="1" x="672"/>
        <item m="1" x="634"/>
        <item m="1" x="955"/>
        <item m="1" x="1129"/>
        <item m="1" x="1034"/>
        <item m="1" x="575"/>
        <item m="1" x="830"/>
        <item m="1" x="1088"/>
        <item m="1" x="1006"/>
        <item m="1" x="698"/>
        <item m="1" x="673"/>
        <item m="1" x="1120"/>
        <item m="1" x="284"/>
        <item m="1" x="771"/>
        <item m="1" x="737"/>
        <item m="1" x="954"/>
        <item m="1" x="386"/>
        <item m="1" x="821"/>
        <item m="1" x="1133"/>
        <item m="1" x="1102"/>
        <item m="1" x="1130"/>
        <item m="1" x="1003"/>
        <item m="1" x="713"/>
        <item m="1" x="1040"/>
        <item m="1" x="818"/>
        <item m="1" x="453"/>
        <item m="1" x="348"/>
        <item m="1" x="979"/>
        <item m="1" x="1077"/>
        <item m="1" x="874"/>
        <item m="1" x="529"/>
        <item m="1" x="614"/>
        <item m="1" x="1015"/>
        <item m="1" x="406"/>
        <item m="1" x="520"/>
        <item m="1" x="1154"/>
        <item m="1" x="1114"/>
        <item m="1" x="687"/>
        <item m="1" x="479"/>
        <item m="1" x="1076"/>
        <item m="1" x="357"/>
        <item m="1" x="530"/>
        <item m="1" x="571"/>
        <item m="1" x="623"/>
        <item m="1" x="60"/>
        <item m="1" x="886"/>
        <item m="1" x="390"/>
        <item m="1" x="409"/>
        <item m="1" x="1085"/>
        <item m="1" x="545"/>
        <item m="1" x="958"/>
        <item m="1" x="797"/>
        <item m="1" x="1047"/>
        <item m="1" x="397"/>
        <item m="1" x="810"/>
        <item m="1" x="1000"/>
        <item m="1" x="619"/>
        <item m="1" x="877"/>
        <item m="1" x="158"/>
        <item m="1" x="157"/>
        <item m="1" x="570"/>
        <item m="1" x="295"/>
        <item m="1" x="1125"/>
        <item m="1" x="804"/>
        <item m="1" x="884"/>
        <item m="1" x="1152"/>
        <item m="1" x="976"/>
        <item m="1" x="779"/>
        <item m="1" x="678"/>
        <item m="1" x="457"/>
        <item m="1" x="541"/>
        <item m="1" x="343"/>
        <item m="1" x="651"/>
        <item m="1" x="733"/>
        <item m="1" x="772"/>
        <item m="1" x="234"/>
        <item m="1" x="235"/>
        <item m="1" x="236"/>
        <item m="1" x="237"/>
        <item m="1" x="238"/>
        <item m="1" x="240"/>
        <item m="1" x="241"/>
        <item m="1" x="242"/>
        <item m="1" x="244"/>
        <item m="1" x="245"/>
        <item m="1" x="246"/>
        <item m="1" x="247"/>
        <item m="1" x="248"/>
        <item m="1" x="249"/>
        <item m="1" x="250"/>
        <item m="1" x="251"/>
        <item m="1" x="252"/>
        <item m="1" x="253"/>
        <item m="1" x="254"/>
        <item m="1" x="275"/>
        <item m="1" x="67"/>
        <item m="1" x="57"/>
        <item m="1" x="274"/>
        <item m="1" x="68"/>
        <item m="1" x="58"/>
        <item m="1" x="255"/>
        <item m="1" x="256"/>
        <item m="1" x="257"/>
        <item m="1" x="258"/>
        <item m="1" x="260"/>
        <item m="1" x="261"/>
        <item m="1" x="262"/>
        <item m="1" x="263"/>
        <item m="1" x="264"/>
        <item m="1" x="265"/>
        <item m="1" x="74"/>
        <item m="1" x="266"/>
        <item m="1" x="267"/>
        <item m="1" x="89"/>
        <item m="1" x="268"/>
        <item m="1" x="269"/>
        <item m="1" x="270"/>
        <item m="1" x="271"/>
        <item m="1" x="272"/>
        <item m="1" x="273"/>
        <item m="1" x="169"/>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152"/>
        <item m="1" x="153"/>
        <item m="1" x="154"/>
        <item m="1" x="155"/>
        <item m="1" x="156"/>
        <item m="1" x="159"/>
        <item m="1" x="95"/>
        <item m="1" x="161"/>
        <item m="1" x="162"/>
        <item m="1" x="163"/>
        <item m="1" x="164"/>
        <item m="1" x="166"/>
        <item m="1" x="167"/>
        <item m="1" x="168"/>
        <item m="1" x="170"/>
        <item m="1" x="73"/>
        <item m="1" x="171"/>
        <item m="1" x="172"/>
        <item m="1" x="173"/>
        <item m="1" x="175"/>
        <item m="1" x="176"/>
        <item m="1" x="177"/>
        <item m="1" x="142"/>
        <item m="1" x="143"/>
        <item m="1" x="144"/>
        <item m="1" x="145"/>
        <item m="1" x="148"/>
        <item m="1" x="149"/>
        <item m="1" x="150"/>
        <item m="1" x="151"/>
        <item m="1" x="129"/>
        <item m="1" x="130"/>
        <item m="1" x="131"/>
        <item m="1" x="132"/>
        <item m="1" x="133"/>
        <item m="1" x="134"/>
        <item m="1" x="135"/>
        <item m="1" x="136"/>
        <item m="1" x="137"/>
        <item m="1" x="138"/>
        <item m="1" x="139"/>
        <item m="1" x="140"/>
        <item m="1" x="141"/>
        <item m="1" x="120"/>
        <item m="1" x="121"/>
        <item m="1" x="122"/>
        <item m="1" x="123"/>
        <item m="1" x="126"/>
        <item m="1" x="98"/>
        <item m="1" x="99"/>
        <item m="1" x="100"/>
        <item m="1" x="101"/>
        <item m="1" x="103"/>
        <item m="1" x="104"/>
        <item m="1" x="110"/>
        <item m="1" x="106"/>
        <item m="1" x="105"/>
        <item m="1" x="107"/>
        <item m="1" x="108"/>
        <item m="1" x="109"/>
        <item m="1" x="111"/>
        <item m="1" x="112"/>
        <item m="1" x="115"/>
        <item m="1" x="116"/>
        <item m="1" x="117"/>
        <item m="1" x="118"/>
        <item m="1" x="119"/>
        <item m="1" x="114"/>
        <item m="1" x="69"/>
        <item m="1" x="96"/>
        <item m="1" x="70"/>
        <item m="1" x="97"/>
        <item m="1" x="71"/>
        <item m="1" x="72"/>
        <item m="1" x="75"/>
        <item m="1" x="76"/>
        <item m="1" x="48"/>
        <item m="1" x="79"/>
        <item m="1" x="80"/>
        <item m="1" x="81"/>
        <item m="1" x="82"/>
        <item m="1" x="83"/>
        <item m="1" x="84"/>
        <item m="1" x="85"/>
        <item m="1" x="86"/>
        <item m="1" x="87"/>
        <item m="1" x="88"/>
        <item m="1" x="90"/>
        <item m="1" x="91"/>
        <item m="1" x="92"/>
        <item m="1" x="93"/>
        <item m="1" x="94"/>
        <item m="1" x="50"/>
        <item m="1" x="66"/>
        <item m="1" x="52"/>
        <item m="1" x="53"/>
        <item m="1" x="54"/>
        <item m="1" x="55"/>
        <item m="1" x="56"/>
        <item m="1" x="59"/>
        <item m="1" x="61"/>
        <item m="1" x="62"/>
        <item m="1" x="63"/>
        <item m="1" x="64"/>
        <item m="1" x="65"/>
        <item m="1" x="51"/>
        <item m="1" x="49"/>
        <item m="1" x="32"/>
        <item m="1" x="40"/>
        <item m="1" x="33"/>
        <item m="1" x="41"/>
        <item m="1" x="42"/>
        <item m="1" x="43"/>
        <item m="1" x="30"/>
        <item m="1" x="45"/>
        <item m="1" x="34"/>
        <item m="1" x="35"/>
        <item m="1" x="36"/>
        <item m="1" x="47"/>
        <item m="1" x="37"/>
        <item m="1" x="38"/>
        <item m="1" x="39"/>
        <item m="1" x="26"/>
        <item m="1" x="28"/>
        <item m="1" x="29"/>
        <item m="1" x="31"/>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t="default"/>
      </items>
    </pivotField>
    <pivotField showAll="0"/>
    <pivotField showAll="0"/>
    <pivotField showAll="0"/>
    <pivotField axis="axisRow" showAll="0">
      <items count="3317">
        <item m="1" x="1436"/>
        <item m="1" x="2843"/>
        <item m="1" x="2990"/>
        <item m="1" x="2322"/>
        <item m="1" x="283"/>
        <item m="1" x="284"/>
        <item m="1" x="2133"/>
        <item m="1" x="2092"/>
        <item m="1" x="2114"/>
        <item m="1" x="1778"/>
        <item m="1" x="1739"/>
        <item m="1" x="961"/>
        <item m="1" x="1108"/>
        <item m="1" x="2506"/>
        <item m="1" x="2656"/>
        <item m="1" x="2797"/>
        <item m="1" x="1546"/>
        <item m="1" x="1673"/>
        <item m="1" x="1703"/>
        <item m="1" x="1859"/>
        <item m="1" x="1031"/>
        <item m="1" x="1168"/>
        <item m="1" x="2061"/>
        <item m="1" x="2232"/>
        <item m="1" x="1446"/>
        <item m="1" x="1570"/>
        <item m="1" x="1062"/>
        <item m="1" x="1665"/>
        <item m="1" x="1822"/>
        <item m="1" x="2317"/>
        <item m="1" x="2481"/>
        <item m="1" x="2633"/>
        <item m="1" x="2772"/>
        <item m="1" x="2062"/>
        <item m="1" x="2275"/>
        <item m="1" x="1629"/>
        <item m="1" x="2291"/>
        <item m="1" x="2448"/>
        <item m="1" x="1951"/>
        <item m="1" x="2615"/>
        <item m="1" x="2759"/>
        <item m="1" x="2976"/>
        <item m="1" x="1176"/>
        <item m="1" x="1099"/>
        <item m="1" x="2173"/>
        <item m="1" x="2427"/>
        <item m="1" x="1049"/>
        <item m="1" x="3025"/>
        <item m="1" x="1554"/>
        <item m="1" x="1775"/>
        <item m="1" x="1180"/>
        <item m="1" x="1456"/>
        <item x="0"/>
        <item m="1" x="1191"/>
        <item m="1" x="2731"/>
        <item m="1" x="2893"/>
        <item m="1" x="1648"/>
        <item m="1" x="1800"/>
        <item m="1" x="1965"/>
        <item m="1" x="2149"/>
        <item m="1" x="2468"/>
        <item m="1" x="2625"/>
        <item m="1" x="2766"/>
        <item m="1" x="3212"/>
        <item m="1" x="2169"/>
        <item m="1" x="2326"/>
        <item m="1" x="1991"/>
        <item m="1" x="2661"/>
        <item m="1" x="2801"/>
        <item m="1" x="2957"/>
        <item m="1" x="2500"/>
        <item m="1" x="2654"/>
        <item m="1" x="2793"/>
        <item m="1" x="1080"/>
        <item m="1" x="1214"/>
        <item m="1" x="1796"/>
        <item m="1" x="1960"/>
        <item m="1" x="2146"/>
        <item m="1" x="2764"/>
        <item m="1" x="2926"/>
        <item m="1" x="3067"/>
        <item m="1" x="3214"/>
        <item m="1" x="949"/>
        <item m="1" x="1098"/>
        <item m="1" x="2493"/>
        <item m="1" x="3084"/>
        <item m="1" x="1105"/>
        <item m="1" x="1239"/>
        <item m="1" x="1379"/>
        <item m="1" x="3246"/>
        <item m="1" x="981"/>
        <item m="1" x="1412"/>
        <item m="1" x="3035"/>
        <item m="1" x="3169"/>
        <item m="1" x="3300"/>
        <item m="1" x="2428"/>
        <item m="1" x="1940"/>
        <item m="1" x="2128"/>
        <item m="1" x="2138"/>
        <item m="1" x="2298"/>
        <item m="1" x="2457"/>
        <item m="1" x="1990"/>
        <item m="1" x="2172"/>
        <item m="1" x="2332"/>
        <item m="1" x="2497"/>
        <item m="1" x="2646"/>
        <item m="1" x="2786"/>
        <item m="1" x="2026"/>
        <item m="1" x="2368"/>
        <item m="1" x="1247"/>
        <item m="1" x="1054"/>
        <item m="1" x="2833"/>
        <item m="1" x="2841"/>
        <item m="1" x="1837"/>
        <item m="1" x="1795"/>
        <item m="1" x="1755"/>
        <item m="1" x="1710"/>
        <item m="1" x="2203"/>
        <item m="1" x="2157"/>
        <item m="1" x="2231"/>
        <item m="1" x="2191"/>
        <item m="1" x="2102"/>
        <item m="1" x="2044"/>
        <item m="1" x="1057"/>
        <item m="1" x="2242"/>
        <item m="1" x="2159"/>
        <item m="1" x="2365"/>
        <item m="1" x="2238"/>
        <item m="1" x="2107"/>
        <item m="1" x="2052"/>
        <item m="1" x="2001"/>
        <item m="1" x="2441"/>
        <item m="1" x="3126"/>
        <item m="1" x="3086"/>
        <item m="1" x="2021"/>
        <item m="1" x="2202"/>
        <item m="1" x="1309"/>
        <item m="1" x="2575"/>
        <item m="1" x="2717"/>
        <item m="1" x="1018"/>
        <item m="1" x="1290"/>
        <item m="1" x="2311"/>
        <item m="1" x="1979"/>
        <item m="1" x="2166"/>
        <item m="1" x="2324"/>
        <item m="1" x="2489"/>
        <item m="1" x="2638"/>
        <item m="1" x="2938"/>
        <item m="1" x="3077"/>
        <item m="1" x="3217"/>
        <item m="1" x="2331"/>
        <item m="1" x="2496"/>
        <item m="1" x="2645"/>
        <item m="1" x="2305"/>
        <item m="1" x="2461"/>
        <item m="1" x="2620"/>
        <item m="1" x="2643"/>
        <item m="1" x="2783"/>
        <item m="1" x="2945"/>
        <item m="1" x="3223"/>
        <item m="1" x="958"/>
        <item m="1" x="2795"/>
        <item m="1" x="2953"/>
        <item m="1" x="2233"/>
        <item m="1" x="934"/>
        <item m="1" x="2325"/>
        <item m="1" x="2491"/>
        <item m="1" x="2641"/>
        <item m="1" x="2779"/>
        <item m="1" x="2939"/>
        <item m="1" x="3078"/>
        <item m="1" x="3181"/>
        <item m="1" x="3310"/>
        <item m="1" x="1198"/>
        <item m="1" x="1574"/>
        <item m="1" x="2548"/>
        <item m="1" x="1566"/>
        <item m="1" x="1693"/>
        <item m="1" x="2224"/>
        <item m="1" x="2389"/>
        <item m="1" x="2580"/>
        <item m="1" x="2720"/>
        <item m="1" x="1372"/>
        <item m="1" x="1373"/>
        <item m="1" x="1501"/>
        <item m="1" x="1627"/>
        <item m="1" x="1771"/>
        <item m="1" x="3228"/>
        <item m="1" x="963"/>
        <item m="1" x="1109"/>
        <item m="1" x="1382"/>
        <item m="1" x="1508"/>
        <item m="1" x="3117"/>
        <item m="1" x="2208"/>
        <item m="1" x="2677"/>
        <item m="1" x="2824"/>
        <item m="1" x="3176"/>
        <item m="1" x="3304"/>
        <item m="1" x="1067"/>
        <item m="1" x="1193"/>
        <item m="1" x="1321"/>
        <item m="1" x="1462"/>
        <item m="1" x="1588"/>
        <item m="1" x="1873"/>
        <item m="1" x="1074"/>
        <item m="1" x="1203"/>
        <item m="1" x="3159"/>
        <item m="1" x="2767"/>
        <item m="1" x="2805"/>
        <item m="1" x="2539"/>
        <item m="1" x="1623"/>
        <item m="1" x="1765"/>
        <item m="1" x="1926"/>
        <item m="1" x="2111"/>
        <item m="1" x="2276"/>
        <item m="1" x="2429"/>
        <item m="1" x="1122"/>
        <item m="1" x="1257"/>
        <item m="1" x="1396"/>
        <item m="1" x="1519"/>
        <item m="1" x="1640"/>
        <item m="1" x="1790"/>
        <item m="1" x="2031"/>
        <item m="1" x="1936"/>
        <item m="1" x="2103"/>
        <item m="1" x="1029"/>
        <item m="1" x="2248"/>
        <item m="1" x="1720"/>
        <item m="1" x="3199"/>
        <item m="1" x="2011"/>
        <item m="1" x="1547"/>
        <item m="1" x="1829"/>
        <item m="1" x="1530"/>
        <item m="1" x="1653"/>
        <item m="1" x="2165"/>
        <item m="1" x="2310"/>
        <item m="1" x="3207"/>
        <item m="1" x="1411"/>
        <item m="1" x="2323"/>
        <item m="1" x="2467"/>
        <item m="1" x="2765"/>
        <item m="1" x="2488"/>
        <item m="1" x="2465"/>
        <item m="1" x="1869"/>
        <item m="1" x="1820"/>
        <item m="1" x="1917"/>
        <item m="1" x="1863"/>
        <item m="1" x="2265"/>
        <item m="1" x="2214"/>
        <item m="1" x="2093"/>
        <item m="1" x="2355"/>
        <item m="1" x="2435"/>
        <item m="1" x="2530"/>
        <item m="1" x="2487"/>
        <item m="1" x="2402"/>
        <item m="1" x="2137"/>
        <item m="1" x="1949"/>
        <item m="1" x="2748"/>
        <item m="1" x="2897"/>
        <item m="1" x="3046"/>
        <item m="1" x="1181"/>
        <item m="1" x="1808"/>
        <item m="1" x="2176"/>
        <item m="1" x="2134"/>
        <item m="1" x="2034"/>
        <item m="1" x="1984"/>
        <item m="1" x="2624"/>
        <item m="1" x="3068"/>
        <item m="1" x="1999"/>
        <item m="1" x="1065"/>
        <item m="1" x="1827"/>
        <item m="1" x="2637"/>
        <item m="1" x="1674"/>
        <item m="1" x="1425"/>
        <item m="1" x="2444"/>
        <item m="1" x="2495"/>
        <item m="1" x="2502"/>
        <item m="1" x="2635"/>
        <item m="1" x="2774"/>
        <item m="1" x="1649"/>
        <item m="1" x="1293"/>
        <item m="1" x="2695"/>
        <item m="1" x="1010"/>
        <item m="1" x="3262"/>
        <item m="1" x="3133"/>
        <item m="1" x="2048"/>
        <item m="1" x="1606"/>
        <item m="1" x="2556"/>
        <item m="1" x="1868"/>
        <item m="1" x="1587"/>
        <item m="1" x="1751"/>
        <item m="1" x="2115"/>
        <item m="1" x="2158"/>
        <item m="1" x="2200"/>
        <item m="1" x="1215"/>
        <item m="1" x="2432"/>
        <item m="1" x="1493"/>
        <item m="1" x="1267"/>
        <item m="1" x="2314"/>
        <item m="1" x="2152"/>
        <item m="1" x="1404"/>
        <item m="1" x="2477"/>
        <item m="1" x="1413"/>
        <item m="1" x="1532"/>
        <item m="1" x="1656"/>
        <item m="1" x="1811"/>
        <item m="1" x="1980"/>
        <item m="1" x="2679"/>
        <item m="1" x="2827"/>
        <item m="1" x="3161"/>
        <item m="1" x="3280"/>
        <item m="1" x="1036"/>
        <item m="1" x="1170"/>
        <item m="1" x="1302"/>
        <item m="1" x="1850"/>
        <item m="1" x="1661"/>
        <item m="1" x="1818"/>
        <item m="1" x="2863"/>
        <item m="1" x="2067"/>
        <item m="1" x="2180"/>
        <item m="1" x="2644"/>
        <item m="1" x="2515"/>
        <item m="1" x="1121"/>
        <item m="1" x="1092"/>
        <item m="1" x="1978"/>
        <item m="1" x="2928"/>
        <item m="1" x="2421"/>
        <item m="1" x="2587"/>
        <item m="1" x="2768"/>
        <item m="1" x="1654"/>
        <item m="1" x="1785"/>
        <item m="1" x="1355"/>
        <item m="1" x="1308"/>
        <item m="1" x="2796"/>
        <item m="1" x="3286"/>
        <item m="1" x="2680"/>
        <item m="1" x="2540"/>
        <item m="1" x="969"/>
        <item m="1" x="1440"/>
        <item m="1" x="1786"/>
        <item m="1" x="2083"/>
        <item m="1" x="2252"/>
        <item m="1" x="1938"/>
        <item m="1" x="2125"/>
        <item m="1" x="1277"/>
        <item m="1" x="1418"/>
        <item m="1" x="1538"/>
        <item m="1" x="1368"/>
        <item m="1" x="1288"/>
        <item m="1" x="1465"/>
        <item m="1" x="1350"/>
        <item m="1" x="1079"/>
        <item m="1" x="1375"/>
        <item m="1" x="1213"/>
        <item m="1" x="1504"/>
        <item m="1" x="1365"/>
        <item m="1" x="1708"/>
        <item m="1" x="1864"/>
        <item m="1" x="1453"/>
        <item m="1" x="1579"/>
        <item m="1" x="1186"/>
        <item m="1" x="1314"/>
        <item m="1" x="1466"/>
        <item m="1" x="1326"/>
        <item m="1" x="1816"/>
        <item m="1" x="1987"/>
        <item m="1" x="1585"/>
        <item m="1" x="1218"/>
        <item m="1" x="1136"/>
        <item m="1" x="1659"/>
        <item m="1" x="1330"/>
        <item m="1" x="1282"/>
        <item m="1" x="2931"/>
        <item m="1" x="2929"/>
        <item m="1" x="2028"/>
        <item m="1" x="2364"/>
        <item m="1" x="2887"/>
        <item m="1" x="2813"/>
        <item m="1" x="1544"/>
        <item m="1" x="533"/>
        <item m="1" x="534"/>
        <item m="1" x="526"/>
        <item m="1" x="525"/>
        <item m="1" x="2757"/>
        <item m="1" x="1480"/>
        <item m="1" x="2289"/>
        <item m="1" x="1767"/>
        <item m="1" x="1927"/>
        <item m="1" x="2116"/>
        <item m="1" x="2279"/>
        <item m="1" x="2431"/>
        <item m="1" x="2595"/>
        <item m="1" x="2734"/>
        <item m="1" x="2896"/>
        <item m="1" x="3045"/>
        <item m="1" x="1935"/>
        <item m="1" x="2123"/>
        <item m="1" x="2839"/>
        <item m="1" x="2689"/>
        <item m="1" x="2091"/>
        <item m="1" x="2259"/>
        <item m="1" x="1905"/>
        <item m="1" x="2414"/>
        <item m="1" x="973"/>
        <item m="1" x="1406"/>
        <item m="1" x="2070"/>
        <item m="1" x="1971"/>
        <item m="1" x="2154"/>
        <item m="1" x="1261"/>
        <item m="1" x="2985"/>
        <item m="1" x="3261"/>
        <item m="1" x="2545"/>
        <item m="1" x="1128"/>
        <item m="1" x="1000"/>
        <item m="1" x="3131"/>
        <item m="1" x="2686"/>
        <item m="1" x="2835"/>
        <item m="1" x="1076"/>
        <item m="1" x="3315"/>
        <item m="1" x="1204"/>
        <item m="1" x="1986"/>
        <item m="1" x="1415"/>
        <item m="1" x="1535"/>
        <item m="1" x="1660"/>
        <item m="1" x="1817"/>
        <item m="1" x="1988"/>
        <item m="1" x="1009"/>
        <item m="1" x="922"/>
        <item m="1" x="1082"/>
        <item m="1" x="1216"/>
        <item m="1" x="1348"/>
        <item m="1" x="1481"/>
        <item m="1" x="2255"/>
        <item m="1" x="1757"/>
        <item m="1" x="1675"/>
        <item m="1" x="1344"/>
        <item m="1" x="1477"/>
        <item m="1" x="1848"/>
        <item m="1" x="1688"/>
        <item m="1" x="1089"/>
        <item m="1" x="1226"/>
        <item m="1" x="1407"/>
        <item m="1" x="1615"/>
        <item m="1" x="1913"/>
        <item m="1" x="1752"/>
        <item m="1" x="1488"/>
        <item m="1" x="3307"/>
        <item m="1" x="149"/>
        <item m="1" x="2273"/>
        <item m="1" x="2692"/>
        <item m="1" x="1316"/>
        <item m="1" x="3173"/>
        <item m="1" x="1704"/>
        <item m="1" x="1420"/>
        <item m="1" x="1840"/>
        <item m="1" x="2970"/>
        <item m="1" x="1595"/>
        <item m="1" x="2794"/>
        <item m="1" x="2161"/>
        <item m="1" x="2944"/>
        <item m="1" x="3083"/>
        <item m="1" x="2374"/>
        <item m="1" x="1919"/>
        <item m="1" x="2007"/>
        <item m="1" x="2217"/>
        <item m="1" x="1298"/>
        <item m="1" x="2051"/>
        <item m="1" x="2834"/>
        <item m="1" x="2847"/>
        <item m="1" x="1611"/>
        <item m="1" x="1533"/>
        <item m="1" x="1903"/>
        <item m="1" x="1812"/>
        <item m="1" x="3178"/>
        <item m="1" x="2162"/>
        <item m="1" x="2318"/>
        <item m="1" x="3130"/>
        <item m="1" x="3260"/>
        <item m="1" x="2228"/>
        <item m="1" x="2394"/>
        <item m="1" x="2846"/>
        <item m="1" x="1016"/>
        <item m="1" x="2699"/>
        <item m="1" x="1799"/>
        <item m="1" x="2000"/>
        <item m="1" x="1948"/>
        <item m="1" x="1862"/>
        <item m="1" x="2359"/>
        <item m="1" x="2316"/>
        <item m="1" x="2277"/>
        <item m="1" x="2352"/>
        <item m="1" x="2738"/>
        <item m="1" x="2126"/>
        <item m="1" x="2746"/>
        <item m="1" x="2416"/>
        <item m="1" x="2362"/>
        <item m="1" x="2527"/>
        <item m="1" x="2782"/>
        <item m="1" x="3208"/>
        <item m="1" x="3184"/>
        <item m="1" x="1637"/>
        <item m="1" x="2978"/>
        <item m="1" x="3125"/>
        <item m="1" x="3259"/>
        <item m="1" x="1005"/>
        <item m="1" x="1484"/>
        <item m="1" x="1494"/>
        <item m="1" x="1506"/>
        <item m="1" x="1524"/>
        <item m="1" x="2440"/>
        <item m="1" x="2743"/>
        <item m="1" x="3049"/>
        <item m="1" x="918"/>
        <item m="1" x="1212"/>
        <item m="1" x="2753"/>
        <item m="1" x="3059"/>
        <item m="1" x="930"/>
        <item m="1" x="1222"/>
        <item m="1" x="1486"/>
        <item m="1" x="3064"/>
        <item m="1" x="937"/>
        <item m="1" x="1228"/>
        <item m="1" x="1490"/>
        <item m="1" x="1753"/>
        <item m="1" x="947"/>
        <item m="1" x="1233"/>
        <item m="1" x="1496"/>
        <item m="1" x="1763"/>
        <item m="1" x="2110"/>
        <item m="1" x="2038"/>
        <item m="1" x="2377"/>
        <item m="1" x="2223"/>
        <item m="1" x="2388"/>
        <item m="1" x="1035"/>
        <item m="1" x="2261"/>
        <item m="1" x="2576"/>
        <item m="1" x="1051"/>
        <item m="1" x="2036"/>
        <item m="1" x="1479"/>
        <item m="1" x="2886"/>
        <item m="1" x="1576"/>
        <item m="1" x="1602"/>
        <item m="1" x="1356"/>
        <item m="1" x="1487"/>
        <item m="1" x="2300"/>
        <item m="1" x="1393"/>
        <item m="1" x="1403"/>
        <item m="1" x="1264"/>
        <item m="1" x="1460"/>
        <item m="1" x="1318"/>
        <item m="1" x="1571"/>
        <item m="1" x="1447"/>
        <item m="1" x="571"/>
        <item m="1" x="572"/>
        <item m="1" x="2357"/>
        <item m="1" x="2522"/>
        <item m="1" x="2994"/>
        <item m="1" x="1008"/>
        <item m="1" x="1150"/>
        <item m="1" x="936"/>
        <item m="1" x="1933"/>
        <item m="1" x="2584"/>
        <item m="1" x="1557"/>
        <item m="1" x="1024"/>
        <item m="1" x="1685"/>
        <item m="1" x="1160"/>
        <item m="1" x="2012"/>
        <item m="1" x="1041"/>
        <item m="1" x="1174"/>
        <item m="1" x="1296"/>
        <item m="1" x="1435"/>
        <item m="1" x="1844"/>
        <item m="1" x="1305"/>
        <item m="1" x="2451"/>
        <item m="1" x="3070"/>
        <item m="1" x="2762"/>
        <item m="1" x="1275"/>
        <item m="1" x="3129"/>
        <item m="1" x="1004"/>
        <item m="1" x="3258"/>
        <item m="1" x="1147"/>
        <item m="1" x="1516"/>
        <item m="1" x="1638"/>
        <item m="1" x="2747"/>
        <item m="1" x="1780"/>
        <item m="1" x="1551"/>
        <item m="1" x="2982"/>
        <item m="1" x="1475"/>
        <item m="1" x="2873"/>
        <item m="1" x="3023"/>
        <item m="1" x="2006"/>
        <item m="1" x="1430"/>
        <item m="1" x="1836"/>
        <item m="1" x="2189"/>
        <item m="1" x="1772"/>
        <item m="1" x="2437"/>
        <item m="1" x="1931"/>
        <item m="1" x="2283"/>
        <item m="1" x="1628"/>
        <item m="1" x="2118"/>
        <item m="1" x="1682"/>
        <item m="1" x="2345"/>
        <item m="1" x="1011"/>
        <item m="1" x="2852"/>
        <item m="1" x="2997"/>
        <item m="1" x="2168"/>
        <item m="1" x="1422"/>
        <item m="1" x="1392"/>
        <item m="1" x="1424"/>
        <item m="1" x="2135"/>
        <item m="1" x="2455"/>
        <item m="1" x="953"/>
        <item m="1" x="2549"/>
        <item m="1" x="2384"/>
        <item m="1" x="2690"/>
        <item m="1" x="1304"/>
        <item m="1" x="1064"/>
        <item m="1" x="1332"/>
        <item m="1" x="1717"/>
        <item m="1" x="1875"/>
        <item m="1" x="2598"/>
        <item m="1" x="2434"/>
        <item m="1" x="146"/>
        <item m="1" x="145"/>
        <item m="1" x="2974"/>
        <item m="1" x="1400"/>
        <item m="1" x="3154"/>
        <item m="1" x="3056"/>
        <item m="1" x="3196"/>
        <item m="1" x="2041"/>
        <item m="1" x="2537"/>
        <item m="1" x="567"/>
        <item m="1" x="1273"/>
        <item m="1" x="1909"/>
        <item m="1" x="1895"/>
        <item m="1" x="1015"/>
        <item m="1" x="1993"/>
        <item m="1" x="1902"/>
        <item m="1" x="2845"/>
        <item m="1" x="2992"/>
        <item m="1" x="1882"/>
        <item m="1" x="1610"/>
        <item m="1" x="2551"/>
        <item m="1" x="2227"/>
        <item m="1" x="1485"/>
        <item m="1" x="1724"/>
        <item m="1" x="2057"/>
        <item m="1" x="1668"/>
        <item m="1" x="2393"/>
        <item m="1" x="1540"/>
        <item m="1" x="1908"/>
        <item m="1" x="2095"/>
        <item m="1" x="2260"/>
        <item m="1" x="2415"/>
        <item m="1" x="1363"/>
        <item m="1" x="1491"/>
        <item m="1" x="1618"/>
        <item m="1" x="1756"/>
        <item m="1" x="1918"/>
        <item m="1" x="2104"/>
        <item m="1" x="2266"/>
        <item m="1" x="2422"/>
        <item m="1" x="2589"/>
        <item m="1" x="2725"/>
        <item m="1" x="1624"/>
        <item m="1" x="1766"/>
        <item m="1" x="1085"/>
        <item m="1" x="2064"/>
        <item m="1" x="1345"/>
        <item m="1" x="1081"/>
        <item m="1" x="1325"/>
        <item m="1" x="1727"/>
        <item m="1" x="2892"/>
        <item m="1" x="1612"/>
        <item m="1" x="1742"/>
        <item m="1" x="3017"/>
        <item m="1" x="3043"/>
        <item m="1" x="2730"/>
        <item m="1" x="3155"/>
        <item m="1" x="1331"/>
        <item m="1" x="1470"/>
        <item m="1" x="2292"/>
        <item m="1" x="3301"/>
        <item m="1" x="1058"/>
        <item m="1" x="2003"/>
        <item m="1" x="2185"/>
        <item m="1" x="2586"/>
        <item m="1" x="2756"/>
        <item m="1" x="2354"/>
        <item m="1" x="3085"/>
        <item m="1" x="2016"/>
        <item m="1" x="2309"/>
        <item m="1" x="3060"/>
        <item m="1" x="2916"/>
        <item m="1" x="3050"/>
        <item m="1" x="2100"/>
        <item m="1" x="2042"/>
        <item m="1" x="1995"/>
        <item m="1" x="2037"/>
        <item m="1" x="2525"/>
        <item m="1" x="3158"/>
        <item m="1" x="2915"/>
        <item m="1" x="2925"/>
        <item m="1" x="2511"/>
        <item m="1" x="2206"/>
        <item m="1" x="2553"/>
        <item m="1" x="1945"/>
        <item m="1" x="1885"/>
        <item m="1" x="2370"/>
        <item m="1" x="2535"/>
        <item m="1" x="2144"/>
        <item m="1" x="2190"/>
        <item m="1" x="1747"/>
        <item m="1" x="2216"/>
        <item m="1" x="1575"/>
        <item m="1" x="2235"/>
        <item m="1" x="2737"/>
        <item m="1" x="1043"/>
        <item m="1" x="2278"/>
        <item m="1" x="2728"/>
        <item m="1" x="2043"/>
        <item m="1" x="2101"/>
        <item m="1" x="2145"/>
        <item m="1" x="1996"/>
        <item m="1" x="2230"/>
        <item m="1" x="2503"/>
        <item m="1" x="2867"/>
        <item m="1" x="3287"/>
        <item m="1" x="3153"/>
        <item m="1" x="3015"/>
        <item m="1" x="1572"/>
        <item m="1" x="1381"/>
        <item m="1" x="2577"/>
        <item m="1" x="3118"/>
        <item m="1" x="2213"/>
        <item m="1" x="3030"/>
        <item m="1" x="1970"/>
        <item m="1" x="3267"/>
        <item m="1" x="3109"/>
        <item m="1" x="2561"/>
        <item m="1" x="2622"/>
        <item m="1" x="1507"/>
        <item m="1" x="2181"/>
        <item m="1" x="2272"/>
        <item m="1" x="2222"/>
        <item m="1" x="1179"/>
        <item m="1" x="2069"/>
        <item m="1" x="2462"/>
        <item m="1" x="3136"/>
        <item m="1" x="2404"/>
        <item m="1" x="2153"/>
        <item m="1" x="2239"/>
        <item m="1" x="2156"/>
        <item m="1" x="2113"/>
        <item m="1" x="1369"/>
        <item m="1" x="1854"/>
        <item m="1" x="982"/>
        <item m="1" x="1048"/>
        <item m="1" x="2022"/>
        <item m="1" x="2691"/>
        <item m="1" x="2240"/>
        <item m="1" x="2405"/>
        <item m="1" x="2184"/>
        <item m="1" x="2872"/>
        <item m="1" x="3022"/>
        <item m="1" x="208"/>
        <item m="1" x="209"/>
        <item m="1" x="2247"/>
        <item m="1" x="2578"/>
        <item m="1" x="2719"/>
        <item m="1" x="2836"/>
        <item m="1" x="2687"/>
        <item m="1" x="2124"/>
        <item m="1" x="2452"/>
        <item m="1" x="2912"/>
        <item m="1" x="2610"/>
        <item m="1" x="2750"/>
        <item m="1" x="1439"/>
        <item m="1" x="1409"/>
        <item m="1" x="1006"/>
        <item m="1" x="1347"/>
        <item m="1" x="1814"/>
        <item m="1" x="1279"/>
        <item m="1" x="1378"/>
        <item m="1" x="1521"/>
        <item m="1" x="1146"/>
        <item m="1" x="3140"/>
        <item m="1" x="3272"/>
        <item m="1" x="1159"/>
        <item m="1" x="2983"/>
        <item m="1" x="1003"/>
        <item m="1" x="1434"/>
        <item m="1" x="1556"/>
        <item m="1" x="3257"/>
        <item m="1" x="3000"/>
        <item m="1" x="1843"/>
        <item m="1" x="3283"/>
        <item m="1" x="1023"/>
        <item m="1" x="1684"/>
        <item m="1" x="1295"/>
        <item m="1" x="1040"/>
        <item m="1" x="3128"/>
        <item m="1" x="2773"/>
        <item m="1" x="2858"/>
        <item m="1" x="2534"/>
        <item m="1" x="2812"/>
        <item m="1" x="920"/>
        <item m="1" x="1896"/>
        <item m="1" x="3034"/>
        <item m="1" x="3168"/>
        <item m="1" x="2473"/>
        <item m="1" x="2626"/>
        <item m="1" x="1342"/>
        <item m="1" x="1045"/>
        <item m="1" x="1958"/>
        <item m="1" x="1916"/>
        <item m="1" x="2828"/>
        <item m="1" x="2979"/>
        <item m="1" x="1459"/>
        <item m="1" x="3188"/>
        <item m="1" x="3222"/>
        <item m="1" x="957"/>
        <item m="1" x="1104"/>
        <item m="1" x="1238"/>
        <item m="1" x="2122"/>
        <item m="1" x="1115"/>
        <item m="1" x="1249"/>
        <item m="1" x="1390"/>
        <item m="1" x="1839"/>
        <item m="1" x="1749"/>
        <item m="1" x="3174"/>
        <item m="1" x="3039"/>
        <item m="1" x="1357"/>
        <item m="1" x="1248"/>
        <item m="1" x="1317"/>
        <item m="1" x="1819"/>
        <item m="1" x="1777"/>
        <item m="1" x="2308"/>
        <item m="1" x="2271"/>
        <item m="1" x="2518"/>
        <item m="1" x="1599"/>
        <item m="1" x="1528"/>
        <item m="1" x="2464"/>
        <item m="1" x="2424"/>
        <item m="1" x="2056"/>
        <item m="1" x="2392"/>
        <item m="1" x="1175"/>
        <item m="1" x="2226"/>
        <item m="1" x="1553"/>
        <item m="1" x="2519"/>
        <item m="1" x="2466"/>
        <item m="1" x="2425"/>
        <item m="1" x="2386"/>
        <item m="1" x="2558"/>
        <item m="1" x="2032"/>
        <item m="1" x="2372"/>
        <item m="1" x="2210"/>
        <item m="1" x="972"/>
        <item m="1" x="3236"/>
        <item m="1" x="1106"/>
        <item m="1" x="1776"/>
        <item m="1" x="3096"/>
        <item m="1" x="1934"/>
        <item m="1" x="1240"/>
        <item m="1" x="959"/>
        <item m="1" x="2439"/>
        <item m="1" x="2739"/>
        <item m="1" x="2901"/>
        <item m="1" x="2913"/>
        <item m="1" x="3057"/>
        <item m="1" x="3198"/>
        <item m="1" x="2703"/>
        <item m="1" x="1782"/>
        <item m="1" x="1306"/>
        <item m="1" x="1857"/>
        <item m="1" x="2033"/>
        <item m="1" x="2850"/>
        <item m="1" x="2274"/>
        <item m="1" x="1500"/>
        <item m="1" x="1569"/>
        <item m="1" x="1701"/>
        <item m="1" x="929"/>
        <item m="1" x="1626"/>
        <item m="1" x="1770"/>
        <item m="1" x="1050"/>
        <item m="1" x="2607"/>
        <item m="1" x="2601"/>
        <item m="1" x="1073"/>
        <item m="1" x="2751"/>
        <item m="1" x="1445"/>
        <item m="1" x="1930"/>
        <item m="1" x="2606"/>
        <item m="1" x="2445"/>
        <item m="1" x="3175"/>
        <item m="1" x="1173"/>
        <item m="1" x="1426"/>
        <item m="1" x="2390"/>
        <item m="1" x="1336"/>
        <item m="1" x="1597"/>
        <item m="1" x="2140"/>
        <item m="1" x="2151"/>
        <item m="1" x="2313"/>
        <item m="1" x="3285"/>
        <item m="1" x="1337"/>
        <item m="1" x="1474"/>
        <item m="1" x="1207"/>
        <item m="1" x="3012"/>
        <item m="1" x="2108"/>
        <item m="1" x="1789"/>
        <item m="1" x="2617"/>
        <item m="1" x="1473"/>
        <item m="1" x="2865"/>
        <item m="1" x="3151"/>
        <item m="1" x="2459"/>
        <item m="1" x="2476"/>
        <item m="1" x="1762"/>
        <item m="1" x="1803"/>
        <item m="1" x="1968"/>
        <item m="1" x="2710"/>
        <item m="1" x="1924"/>
        <item m="1" x="1953"/>
        <item m="1" x="2301"/>
        <item m="1" x="2761"/>
        <item m="1" x="2921"/>
        <item m="1" x="2319"/>
        <item m="1" x="2501"/>
        <item m="1" x="1721"/>
        <item m="1" x="1294"/>
        <item m="1" x="2245"/>
        <item m="1" x="2109"/>
        <item m="1" x="2407"/>
        <item m="1" x="2076"/>
        <item m="1" x="1894"/>
        <item m="1" x="1928"/>
        <item m="1" x="2602"/>
        <item m="1" x="2871"/>
        <item m="1" x="3020"/>
        <item m="1" x="2286"/>
        <item m="1" x="2574"/>
        <item m="1" x="2716"/>
        <item m="1" x="2842"/>
        <item m="1" x="1322"/>
        <item m="1" x="3278"/>
        <item m="1" x="3255"/>
        <item m="1" x="537"/>
        <item m="1" x="2980"/>
        <item m="1" x="1116"/>
        <item m="1" x="1251"/>
        <item m="1" x="1201"/>
        <item m="1" x="2924"/>
        <item m="1" x="2755"/>
        <item m="1" x="3202"/>
        <item m="1" x="2919"/>
        <item m="1" x="3063"/>
        <item m="1" x="2563"/>
        <item m="1" x="2701"/>
        <item m="1" x="1621"/>
        <item m="1" x="1784"/>
        <item m="1" x="2937"/>
        <item m="1" x="2951"/>
        <item m="1" x="3234"/>
        <item m="1" x="2492"/>
        <item m="1" x="2642"/>
        <item m="1" x="2050"/>
        <item m="1" x="2024"/>
        <item m="1" x="2081"/>
        <item m="1" x="2861"/>
        <item m="1" x="269"/>
        <item m="1" x="3282"/>
        <item m="1" x="1512"/>
        <item m="1" x="3122"/>
        <item m="1" x="3095"/>
        <item m="1" x="2857"/>
        <item m="1" x="3080"/>
        <item m="1" x="3006"/>
        <item m="1" x="2998"/>
        <item m="1" x="2250"/>
        <item m="1" x="1319"/>
        <item m="1" x="3076"/>
        <item m="1" x="2942"/>
        <item m="1" x="2221"/>
        <item m="1" x="2706"/>
        <item m="1" x="1060"/>
        <item m="1" x="2131"/>
        <item m="1" x="3093"/>
        <item m="1" x="2777"/>
        <item m="1" x="968"/>
        <item m="1" x="2411"/>
        <item m="1" x="2792"/>
        <item m="1" x="3081"/>
        <item m="1" x="2366"/>
        <item m="1" x="1163"/>
        <item m="1" x="2531"/>
        <item m="1" x="3010"/>
        <item m="1" x="2321"/>
        <item m="1" x="2636"/>
        <item m="1" x="2674"/>
        <item m="1" x="2818"/>
        <item m="1" x="3139"/>
        <item m="1" x="270"/>
        <item m="1" x="1190"/>
        <item m="1" x="3220"/>
        <item m="1" x="1495"/>
        <item m="1" x="1139"/>
        <item m="1" x="2486"/>
        <item m="1" x="2296"/>
        <item m="1" x="1636"/>
        <item m="1" x="3254"/>
        <item m="1" x="2975"/>
        <item m="1" x="1942"/>
        <item m="1" x="996"/>
        <item m="1" x="2823"/>
        <item m="1" x="1886"/>
        <item m="1" x="2669"/>
        <item m="1" x="1578"/>
        <item m="1" x="1706"/>
        <item m="1" x="1861"/>
        <item m="1" x="3032"/>
        <item m="1" x="2320"/>
        <item m="1" x="1758"/>
        <item m="1" x="2205"/>
        <item m="1" x="1452"/>
        <item m="1" x="1920"/>
        <item m="1" x="1184"/>
        <item m="1" x="1312"/>
        <item m="1" x="2826"/>
        <item m="1" x="2977"/>
        <item m="1" x="3123"/>
        <item m="1" x="2478"/>
        <item m="1" x="1285"/>
        <item m="1" x="1427"/>
        <item m="1" x="1548"/>
        <item m="1" x="1676"/>
        <item m="1" x="1832"/>
        <item m="1" x="2002"/>
        <item m="1" x="1026"/>
        <item m="1" x="1162"/>
        <item m="1" x="3187"/>
        <item m="1" x="2290"/>
        <item m="1" x="2749"/>
        <item m="1" x="2908"/>
        <item m="1" x="999"/>
        <item m="1" x="1142"/>
        <item m="1" x="1271"/>
        <item m="1" x="1680"/>
        <item m="1" x="1834"/>
        <item m="1" x="2004"/>
        <item m="1" x="2187"/>
        <item m="1" x="1165"/>
        <item m="1" x="1297"/>
        <item m="1" x="3312"/>
        <item m="1" x="2630"/>
        <item m="1" x="2770"/>
        <item m="1" x="2349"/>
        <item m="1" x="1437"/>
        <item m="1" x="1559"/>
        <item m="1" x="1686"/>
        <item m="1" x="1845"/>
        <item m="1" x="2013"/>
        <item m="1" x="2195"/>
        <item m="1" x="2356"/>
        <item m="1" x="2932"/>
        <item m="1" x="3072"/>
        <item m="1" x="3211"/>
        <item m="1" x="945"/>
        <item m="1" x="1097"/>
        <item m="1" x="1231"/>
        <item m="1" x="1738"/>
        <item m="1" x="1900"/>
        <item m="1" x="2810"/>
        <item m="1" x="2968"/>
        <item m="1" x="1367"/>
        <item m="1" x="2780"/>
        <item m="1" x="2941"/>
        <item m="1" x="2629"/>
        <item m="1" x="1798"/>
        <item m="1" x="1963"/>
        <item m="1" x="3314"/>
        <item m="1" x="2754"/>
        <item m="1" x="1284"/>
        <item m="1" x="1386"/>
        <item m="1" x="342"/>
        <item m="1" x="341"/>
        <item m="1" x="343"/>
        <item m="1" x="344"/>
        <item m="1" x="2995"/>
        <item m="1" x="3232"/>
        <item m="1" x="966"/>
        <item m="1" x="1141"/>
        <item m="1" x="2194"/>
        <item m="1" x="1270"/>
        <item m="1" x="997"/>
        <item m="1" x="1555"/>
        <item m="1" x="1021"/>
        <item m="1" x="3271"/>
        <item m="1" x="1157"/>
        <item m="1" x="1292"/>
        <item m="1" x="1433"/>
        <item m="1" x="1683"/>
        <item m="1" x="1842"/>
        <item m="1" x="1172"/>
        <item m="1" x="1037"/>
        <item m="1" x="1541"/>
        <item m="1" x="1669"/>
        <item m="1" x="1825"/>
        <item m="1" x="3266"/>
        <item m="1" x="1014"/>
        <item m="1" x="1154"/>
        <item m="1" x="1287"/>
        <item m="1" x="1429"/>
        <item m="1" x="1550"/>
        <item m="1" x="1681"/>
        <item m="1" x="1835"/>
        <item m="1" x="2005"/>
        <item m="1" x="2188"/>
        <item m="1" x="1166"/>
        <item m="1" x="1299"/>
        <item m="1" x="1438"/>
        <item m="1" x="1560"/>
        <item m="1" x="1687"/>
        <item m="1" x="1847"/>
        <item m="1" x="2015"/>
        <item m="1" x="2197"/>
        <item m="1" x="2358"/>
        <item m="1" x="2523"/>
        <item m="1" x="1441"/>
        <item m="1" x="1568"/>
        <item m="1" x="1698"/>
        <item m="1" x="1856"/>
        <item m="1" x="2030"/>
        <item m="1" x="2209"/>
        <item m="1" x="2371"/>
        <item m="1" x="2536"/>
        <item m="1" x="2678"/>
        <item m="1" x="2825"/>
        <item m="1" x="1143"/>
        <item m="1" x="1272"/>
        <item m="1" x="1414"/>
        <item m="1" x="1534"/>
        <item m="1" x="1658"/>
        <item m="1" x="1813"/>
        <item m="1" x="1983"/>
        <item m="1" x="2170"/>
        <item m="1" x="2327"/>
        <item m="1" x="2494"/>
        <item m="1" x="1421"/>
        <item m="1" x="1542"/>
        <item m="1" x="1670"/>
        <item m="1" x="1826"/>
        <item m="1" x="1994"/>
        <item m="1" x="2175"/>
        <item m="1" x="2336"/>
        <item m="1" x="1252"/>
        <item m="1" x="1307"/>
        <item m="1" x="1327"/>
        <item m="1" x="2900"/>
        <item m="1" x="1467"/>
        <item m="1" x="2090"/>
        <item m="1" x="2815"/>
        <item m="1" x="2972"/>
        <item m="1" x="1797"/>
        <item m="1" x="1972"/>
        <item m="1" x="1650"/>
        <item m="1" x="1805"/>
        <item m="1" x="1149"/>
        <item m="1" x="1278"/>
        <item m="1" x="1419"/>
        <item m="1" x="2662"/>
        <item m="1" x="2958"/>
        <item m="1" x="2802"/>
        <item m="1" x="2744"/>
        <item m="1" x="2735"/>
        <item m="1" x="2840"/>
        <item m="1" x="2442"/>
        <item m="1" x="2906"/>
        <item m="1" x="3053"/>
        <item m="1" x="1463"/>
        <item m="1" x="2605"/>
        <item m="1" x="3193"/>
        <item m="1" x="1589"/>
        <item m="1" x="1768"/>
        <item m="1" x="3216"/>
        <item m="1" x="2631"/>
        <item m="1" x="2936"/>
        <item m="1" x="3075"/>
        <item m="1" x="2698"/>
        <item m="1" x="1810"/>
        <item m="1" x="1731"/>
        <item m="1" x="1028"/>
        <item m="1" x="1177"/>
        <item m="1" x="1103"/>
        <item m="1" x="1377"/>
        <item m="1" x="1879"/>
        <item m="1" x="2817"/>
        <item m="1" x="2758"/>
        <item m="1" x="2918"/>
        <item m="1" x="2077"/>
        <item m="1" x="2337"/>
        <item m="1" x="1851"/>
        <item m="1" x="2360"/>
        <item m="1" x="1833"/>
        <item m="1" x="2060"/>
        <item m="1" x="1047"/>
        <item m="1" x="3276"/>
        <item m="1" x="3172"/>
        <item m="1" x="2670"/>
        <item m="1" x="2663"/>
        <item m="1" x="3098"/>
        <item m="1" x="3206"/>
        <item m="1" x="2023"/>
        <item m="1" x="1531"/>
        <item m="1" x="1655"/>
        <item m="1" x="2809"/>
        <item m="1" x="2967"/>
        <item m="1" x="1846"/>
        <item m="1" x="2014"/>
        <item m="1" x="2196"/>
        <item m="1" x="2874"/>
        <item m="1" x="3024"/>
        <item m="1" x="3160"/>
        <item m="1" x="3292"/>
        <item m="1" x="979"/>
        <item m="1" x="1125"/>
        <item m="1" x="2707"/>
        <item m="1" x="2862"/>
        <item m="1" x="3011"/>
        <item m="1" x="3150"/>
        <item m="1" x="3284"/>
        <item m="1" x="2399"/>
        <item m="1" x="2658"/>
        <item m="1" x="1402"/>
        <item m="1" x="1526"/>
        <item m="1" x="1748"/>
        <item m="1" x="1087"/>
        <item m="1" x="1117"/>
        <item m="1" x="1607"/>
        <item m="1" x="1217"/>
        <item m="1" x="1349"/>
        <item m="1" x="1737"/>
        <item m="1" x="2262"/>
        <item m="1" x="1333"/>
        <item m="1" x="1359"/>
        <item m="1" x="946"/>
        <item m="1" x="3105"/>
        <item m="1" x="3180"/>
        <item m="1" x="1734"/>
        <item m="1" x="2078"/>
        <item m="1" x="1897"/>
        <item m="1" x="2881"/>
        <item m="1" x="3027"/>
        <item m="1" x="3164"/>
        <item m="1" x="2721"/>
        <item m="1" x="3042"/>
        <item m="1" x="3290"/>
        <item m="1" x="1188"/>
        <item m="1" x="924"/>
        <item m="1" x="3221"/>
        <item m="1" x="1888"/>
        <item m="1" x="2560"/>
        <item m="1" x="1202"/>
        <item m="1" x="1625"/>
        <item m="1" x="2117"/>
        <item m="1" x="1124"/>
        <item m="1" x="1397"/>
        <item m="1" x="1063"/>
        <item m="1" x="3100"/>
        <item m="1" x="2338"/>
        <item m="1" x="2798"/>
        <item m="1" x="1944"/>
        <item m="1" x="1906"/>
        <item m="1" x="1858"/>
        <item m="1" x="2353"/>
        <item m="1" x="2328"/>
        <item m="1" x="1552"/>
        <item m="1" x="2177"/>
        <item m="1" x="1281"/>
        <item m="1" x="1423"/>
        <item m="1" x="1545"/>
        <item m="1" x="1828"/>
        <item m="1" x="1997"/>
        <item m="1" x="1391"/>
        <item m="1" x="1250"/>
        <item m="1" x="1513"/>
        <item m="1" x="1090"/>
        <item m="1" x="935"/>
        <item m="1" x="1227"/>
        <item m="1" x="1362"/>
        <item m="1" x="1489"/>
        <item m="1" x="3203"/>
        <item m="1" x="1038"/>
        <item m="1" x="3295"/>
        <item m="1" x="3026"/>
        <item m="1" x="3163"/>
        <item m="1" x="1451"/>
        <item m="1" x="1311"/>
        <item m="1" x="1183"/>
        <item m="1" x="1632"/>
        <item m="1" x="1774"/>
        <item m="1" x="1360"/>
        <item m="1" x="1841"/>
        <item m="1" x="2009"/>
        <item m="1" x="2380"/>
        <item m="1" x="2546"/>
        <item m="1" x="1746"/>
        <item m="1" x="1907"/>
        <item m="1" x="2094"/>
        <item m="1" x="3033"/>
        <item m="1" x="2599"/>
        <item m="1" x="1622"/>
        <item m="1" x="1478"/>
        <item m="1" x="1601"/>
        <item m="1" x="1492"/>
        <item m="1" x="1361"/>
        <item m="1" x="2613"/>
        <item m="1" x="2619"/>
        <item m="1" x="2059"/>
        <item m="1" x="1529"/>
        <item m="1" x="1651"/>
        <item m="1" x="1807"/>
        <item m="1" x="1976"/>
        <item m="1" x="2164"/>
        <item m="1" x="1171"/>
        <item m="1" x="1564"/>
        <item m="1" x="1692"/>
        <item m="1" x="3288"/>
        <item m="1" x="1046"/>
        <item m="1" x="1443"/>
        <item m="1" x="3031"/>
        <item m="1" x="3047"/>
        <item m="1" x="3185"/>
        <item m="1" x="3313"/>
        <item m="1" x="2672"/>
        <item m="1" x="2814"/>
        <item m="1" x="2971"/>
        <item m="1" x="1860"/>
        <item m="1" x="2035"/>
        <item m="1" x="2211"/>
        <item m="1" x="2483"/>
        <item m="1" x="2329"/>
        <item m="1" x="3251"/>
        <item m="1" x="3099"/>
        <item m="1" x="1605"/>
        <item m="1" x="1482"/>
        <item m="1" x="2082"/>
        <item m="1" x="1736"/>
        <item m="1" x="1899"/>
        <item m="1" x="2251"/>
        <item m="1" x="3296"/>
        <item m="1" x="933"/>
        <item m="1" x="1338"/>
        <item m="1" x="3106"/>
        <item m="1" x="2803"/>
        <item m="1" x="2959"/>
        <item m="1" x="2192"/>
        <item m="1" x="1562"/>
        <item m="1" x="1301"/>
        <item m="1" x="1689"/>
        <item m="1" x="1167"/>
        <item m="1" x="1499"/>
        <item m="1" x="1234"/>
        <item m="1" x="1056"/>
        <item m="1" x="3144"/>
        <item m="1" x="3001"/>
        <item m="1" x="1401"/>
        <item m="1" x="1647"/>
        <item m="1" x="2708"/>
        <item m="1" x="1133"/>
        <item m="1" x="2621"/>
        <item m="1" x="2383"/>
        <item m="1" x="1937"/>
        <item m="1" x="2474"/>
        <item m="1" x="2596"/>
        <item m="1" x="1815"/>
        <item m="1" x="2484"/>
        <item m="1" x="3192"/>
        <item m="1" x="1527"/>
        <item m="1" x="1838"/>
        <item m="1" x="2040"/>
        <item m="1" x="2504"/>
        <item m="1" x="1221"/>
        <item m="1" x="1084"/>
        <item m="1" x="2579"/>
        <item m="1" x="1152"/>
        <item m="1" x="1471"/>
        <item m="1" x="2074"/>
        <item m="1" x="2243"/>
        <item m="1" x="2568"/>
        <item m="1" x="993"/>
        <item m="1" x="2485"/>
        <item m="1" x="1112"/>
        <item m="1" x="2559"/>
        <item m="1" x="2829"/>
        <item m="1" x="2950"/>
        <item m="1" x="2790"/>
        <item m="1" x="992"/>
        <item m="1" x="1135"/>
        <item m="1" x="1923"/>
        <item m="1" x="1503"/>
        <item m="1" x="2119"/>
        <item m="1" x="1510"/>
        <item m="1" x="2608"/>
        <item m="1" x="1518"/>
        <item m="1" x="3069"/>
        <item m="1" x="1383"/>
        <item m="1" x="2453"/>
        <item m="1" x="1631"/>
        <item m="1" x="1783"/>
        <item m="1" x="3079"/>
        <item m="1" x="1236"/>
        <item m="1" x="3209"/>
        <item m="1" x="2787"/>
        <item m="1" x="944"/>
        <item m="1" x="2769"/>
        <item m="1" x="2130"/>
        <item m="1" x="2449"/>
        <item m="1" x="2458"/>
        <item m="1" x="2475"/>
        <item m="1" x="1802"/>
        <item m="1" x="1059"/>
        <item m="1" x="2894"/>
        <item m="1" x="1230"/>
        <item m="1" x="1374"/>
        <item m="1" x="2293"/>
        <item m="1" x="1639"/>
        <item m="1" x="2628"/>
        <item m="1" x="2930"/>
        <item m="1" x="2167"/>
        <item m="1" x="2647"/>
        <item m="1" x="1243"/>
        <item m="1" x="2295"/>
        <item m="1" x="2752"/>
        <item m="1" x="2732"/>
        <item m="1" x="1922"/>
        <item m="1" x="2593"/>
        <item m="1" x="3044"/>
        <item m="1" x="1072"/>
        <item m="1" x="1101"/>
        <item m="1" x="2498"/>
        <item m="1" x="3058"/>
        <item m="1" x="1200"/>
        <item m="1" x="1761"/>
        <item m="1" x="1189"/>
        <item m="1" x="3311"/>
        <item m="1" x="955"/>
        <item m="1" x="1635"/>
        <item m="1" x="2760"/>
        <item m="1" x="2150"/>
        <item m="1" x="2940"/>
        <item m="1" x="3219"/>
        <item m="1" x="3089"/>
        <item m="1" x="2914"/>
        <item m="1" x="1616"/>
        <item m="1" x="3210"/>
        <item m="1" x="1941"/>
        <item m="1" x="1788"/>
        <item m="1" x="2948"/>
        <item m="1" x="2611"/>
        <item m="1" x="1096"/>
        <item m="1" x="1773"/>
        <item m="1" x="1932"/>
        <item m="1" x="1387"/>
        <item m="1" x="1952"/>
        <item m="1" x="2139"/>
        <item m="1" x="3071"/>
        <item m="1" x="2285"/>
        <item m="1" x="1246"/>
        <item m="1" x="1967"/>
        <item m="1" x="1110"/>
        <item m="1" x="1102"/>
        <item m="1" x="2616"/>
        <item m="1" x="2920"/>
        <item m="1" x="3229"/>
        <item m="1" x="3182"/>
        <item m="1" x="2129"/>
        <item m="1" x="2299"/>
        <item m="1" x="2312"/>
        <item m="1" x="954"/>
        <item m="1" x="964"/>
        <item m="1" x="2463"/>
        <item m="1" x="2927"/>
        <item m="1" x="2514"/>
        <item m="1" x="2664"/>
        <item m="1" x="2018"/>
        <item m="1" x="2811"/>
        <item m="1" x="3250"/>
        <item m="1" x="991"/>
        <item m="1" x="2961"/>
        <item m="1" x="3119"/>
        <item m="1" x="2538"/>
        <item m="1" x="2623"/>
        <item m="1" x="2804"/>
        <item m="1" x="3110"/>
        <item m="1" x="2671"/>
        <item m="1" x="2373"/>
        <item m="1" x="2969"/>
        <item m="1" x="2148"/>
        <item m="1" x="2307"/>
        <item m="1" x="2201"/>
        <item m="1" x="2528"/>
        <item m="1" x="3245"/>
        <item m="1" x="2960"/>
        <item m="1" x="3108"/>
        <item m="1" x="980"/>
        <item m="1" x="1126"/>
        <item m="1" x="2363"/>
        <item m="1" x="3238"/>
        <item m="1" x="1985"/>
        <item m="1" x="1017"/>
        <item m="1" x="2999"/>
        <item m="1" x="1514"/>
        <item m="1" x="1719"/>
        <item m="1" x="2989"/>
        <item m="1" x="2954"/>
        <item m="1" x="2917"/>
        <item m="1" x="2880"/>
        <item m="1" x="3183"/>
        <item m="1" x="2832"/>
        <item m="1" x="931"/>
        <item m="1" x="3289"/>
        <item m="1" x="2785"/>
        <item m="1" x="3213"/>
        <item m="1" x="1262"/>
        <item m="1" x="985"/>
        <item m="1" x="3097"/>
        <item m="1" x="1022"/>
        <item m="1" x="3038"/>
        <item m="1" x="1525"/>
        <item m="1" x="1781"/>
        <item m="1" x="1634"/>
        <item m="1" x="1509"/>
        <item m="1" x="1385"/>
        <item m="1" x="1244"/>
        <item m="1" x="2284"/>
        <item m="1" x="1821"/>
        <item m="1" x="1025"/>
        <item m="1" x="1161"/>
        <item m="1" x="1410"/>
        <item m="1" x="1744"/>
        <item m="1" x="1741"/>
        <item m="1" x="1497"/>
        <item m="1" x="2922"/>
        <item m="1" x="2763"/>
        <item m="1" x="2618"/>
        <item m="1" x="2460"/>
        <item m="1" x="2303"/>
        <item m="1" x="2141"/>
        <item m="1" x="1395"/>
        <item m="1" x="1254"/>
        <item m="1" x="1119"/>
        <item m="1" x="976"/>
        <item m="1" x="3241"/>
        <item m="1" x="3103"/>
        <item m="1" x="2955"/>
        <item m="1" x="2799"/>
        <item m="1" x="2659"/>
        <item m="1" x="2508"/>
        <item m="1" x="1111"/>
        <item m="1" x="965"/>
        <item m="1" x="3230"/>
        <item m="1" x="3090"/>
        <item m="1" x="2949"/>
        <item m="1" x="2788"/>
        <item m="1" x="2648"/>
        <item m="1" x="2499"/>
        <item m="1" x="2333"/>
        <item m="1" x="3021"/>
        <item m="1" x="1030"/>
        <item m="1" x="990"/>
        <item m="1" x="2778"/>
        <item m="1" x="1714"/>
        <item m="1" x="2650"/>
        <item m="1" x="1929"/>
        <item m="1" x="1977"/>
        <item m="1" x="2713"/>
        <item m="1" x="2855"/>
        <item m="1" x="3004"/>
        <item m="1" x="3143"/>
        <item m="1" x="1303"/>
        <item m="1" x="2600"/>
        <item m="1" x="2438"/>
        <item m="1" x="3091"/>
        <item m="1" x="1543"/>
        <item m="1" x="1754"/>
        <item m="1" x="2335"/>
        <item m="1" x="2257"/>
        <item m="1" x="2019"/>
        <item m="1" x="1975"/>
        <item m="1" x="2178"/>
        <item m="1" x="1804"/>
        <item m="1" x="2472"/>
        <item m="1" x="943"/>
        <item m="1" x="1759"/>
        <item m="1" x="1620"/>
        <item m="1" x="2885"/>
        <item m="1" x="1962"/>
        <item m="1" x="3066"/>
        <item m="1" x="2569"/>
        <item m="1" x="2084"/>
        <item m="1" x="2412"/>
        <item m="1" x="2254"/>
        <item m="1" x="3256"/>
        <item m="1" x="2346"/>
        <item m="1" x="2516"/>
        <item m="1" x="2282"/>
        <item m="1" x="1678"/>
        <item m="1" x="2898"/>
        <item m="1" x="1002"/>
        <item m="1" x="1144"/>
        <item m="1" x="2193"/>
        <item m="1" x="1849"/>
        <item m="1" x="1690"/>
        <item m="1" x="2008"/>
        <item m="1" x="2807"/>
        <item m="1" x="2965"/>
        <item m="1" x="3104"/>
        <item m="1" x="1120"/>
        <item m="1" x="2183"/>
        <item m="1" x="2509"/>
        <item m="1" x="2520"/>
        <item m="1" x="2660"/>
        <item m="1" x="977"/>
        <item m="1" x="2342"/>
        <item m="1" x="2800"/>
        <item m="1" x="2956"/>
        <item m="1" x="3242"/>
        <item m="1" x="3231"/>
        <item m="1" x="2819"/>
        <item m="1" x="825"/>
        <item m="1" x="827"/>
        <item m="1" x="2204"/>
        <item m="1" x="942"/>
        <item m="1" x="3305"/>
        <item m="1" x="3263"/>
        <item m="1" x="3240"/>
        <item m="1" x="1707"/>
        <item m="1" x="1662"/>
        <item m="1" x="1745"/>
        <item m="1" x="1702"/>
        <item m="1" x="2604"/>
        <item m="1" x="3124"/>
        <item m="1" x="1310"/>
        <item m="1" x="1450"/>
        <item m="1" x="1380"/>
        <item m="1" x="1505"/>
        <item m="1" x="2651"/>
        <item m="1" x="2571"/>
        <item m="1" x="2791"/>
        <item m="1" x="2711"/>
        <item m="1" x="2446"/>
        <item m="1" x="1718"/>
        <item m="1" x="1911"/>
        <item m="1" x="1735"/>
        <item m="1" x="1652"/>
        <item m="1" x="1596"/>
        <item m="1" x="2529"/>
        <item m="1" x="2433"/>
        <item m="1" x="2351"/>
        <item m="1" x="2270"/>
        <item m="1" x="2179"/>
        <item m="1" x="2098"/>
        <item m="1" x="1989"/>
        <item m="1" x="1898"/>
        <item m="1" x="2673"/>
        <item m="1" x="2597"/>
        <item m="1" x="2517"/>
        <item m="1" x="2423"/>
        <item m="1" x="2340"/>
        <item m="1" x="2816"/>
        <item m="1" x="1376"/>
        <item m="1" x="1300"/>
        <item m="1" x="1232"/>
        <item m="1" x="1155"/>
        <item m="1" x="1969"/>
        <item m="1" x="941"/>
        <item m="1" x="1095"/>
        <item m="1" x="2745"/>
        <item m="1" x="2907"/>
        <item m="1" x="1787"/>
        <item m="1" x="1947"/>
        <item m="1" x="2136"/>
        <item m="1" x="2297"/>
        <item m="1" x="2456"/>
        <item m="1" x="2614"/>
        <item m="1" x="1370"/>
        <item m="1" x="2883"/>
        <item m="1" x="3191"/>
        <item m="1" x="2490"/>
        <item m="1" x="2640"/>
        <item m="1" x="1729"/>
        <item m="1" x="2820"/>
        <item m="1" x="2775"/>
        <item m="1" x="1644"/>
        <item m="1" x="1603"/>
        <item m="1" x="2350"/>
        <item m="1" x="2736"/>
        <item m="1" x="1943"/>
        <item m="1" x="2132"/>
        <item m="1" x="1258"/>
        <item m="1" x="1398"/>
        <item m="1" x="1594"/>
        <item m="1" x="2683"/>
        <item m="1" x="2831"/>
        <item m="1" x="2981"/>
        <item m="1" x="3127"/>
        <item m="1" x="2895"/>
        <item m="1" x="1237"/>
        <item m="1" x="2302"/>
        <item m="1" x="1266"/>
        <item m="1" x="1100"/>
        <item m="1" x="2106"/>
        <item m="1" x="939"/>
        <item m="1" x="1515"/>
        <item m="1" x="2160"/>
        <item m="1" x="1961"/>
        <item m="1" x="2147"/>
        <item m="1" x="2105"/>
        <item m="1" x="1614"/>
        <item m="1" x="2403"/>
        <item m="1" x="2121"/>
        <item m="1" x="2071"/>
        <item m="1" x="2281"/>
        <item m="1" x="3197"/>
        <item m="1" x="927"/>
        <item m="1" x="3291"/>
        <item m="1" x="1801"/>
        <item m="1" x="1966"/>
        <item m="1" x="1118"/>
        <item m="1" x="1253"/>
        <item m="1" x="1394"/>
        <item m="1" x="1517"/>
        <item m="1" x="2268"/>
        <item m="1" x="2339"/>
        <item m="1" x="2507"/>
        <item m="1" x="1289"/>
        <item m="1" x="1431"/>
        <item m="1" x="1469"/>
        <item m="1" x="1593"/>
        <item m="1" x="1725"/>
        <item m="1" x="1883"/>
        <item m="1" x="2058"/>
        <item m="1" x="2229"/>
        <item m="1" x="2395"/>
        <item m="1" x="1137"/>
        <item m="1" x="1764"/>
        <item m="1" x="3157"/>
        <item m="1" x="971"/>
        <item m="1" x="1114"/>
        <item m="1" x="1012"/>
        <item m="1" x="1726"/>
        <item m="1" x="1354"/>
        <item m="1" x="1077"/>
        <item m="1" x="995"/>
        <item m="1" x="1138"/>
        <item m="1" x="1809"/>
        <item m="1" x="2594"/>
        <item m="1" x="2733"/>
        <item m="1" x="3252"/>
        <item m="1" x="2657"/>
        <item m="1" x="2017"/>
        <item m="1" x="2306"/>
        <item m="1" x="2267"/>
        <item m="1" x="2430"/>
        <item m="1" x="2397"/>
        <item m="1" x="2347"/>
        <item m="1" x="2304"/>
        <item m="1" x="2264"/>
        <item m="1" x="1613"/>
        <item m="1" x="3102"/>
        <item m="1" x="2288"/>
        <item m="1" x="2984"/>
        <item m="1" x="2952"/>
        <item m="1" x="3224"/>
        <item m="1" x="960"/>
        <item m="1" x="1107"/>
        <item m="1" x="1241"/>
        <item m="1" x="2991"/>
        <item m="1" x="3135"/>
        <item m="1" x="3265"/>
        <item m="1" x="1013"/>
        <item m="1" x="1153"/>
        <item m="1" x="1286"/>
        <item m="1" x="2697"/>
        <item m="1" x="2854"/>
        <item m="1" x="3003"/>
        <item m="1" x="3142"/>
        <item m="1" x="3137"/>
        <item m="1" x="3269"/>
        <item m="1" x="1019"/>
        <item m="1" x="1156"/>
        <item m="1" x="1291"/>
        <item m="1" x="1432"/>
        <item m="1" x="2010"/>
        <item m="1" x="1033"/>
        <item m="1" x="1449"/>
        <item m="1" x="1573"/>
        <item m="1" x="2218"/>
        <item m="1" x="2381"/>
        <item m="1" x="2837"/>
        <item m="1" x="2986"/>
        <item m="1" x="2408"/>
        <item m="1" x="2693"/>
        <item m="1" x="1416"/>
        <item m="1" x="1537"/>
        <item m="1" x="1522"/>
        <item m="1" x="1642"/>
        <item m="1" x="1791"/>
        <item m="1" x="2771"/>
        <item m="1" x="2934"/>
        <item m="1" x="3073"/>
        <item m="1" x="1259"/>
        <item m="1" x="1399"/>
        <item m="1" x="1523"/>
        <item m="1" x="1643"/>
        <item m="1" x="1792"/>
        <item m="1" x="2025"/>
        <item m="1" x="2207"/>
        <item m="1" x="2367"/>
        <item m="1" x="1950"/>
        <item m="1" x="2469"/>
        <item m="1" x="2639"/>
        <item m="1" x="1343"/>
        <item m="1" x="1476"/>
        <item m="1" x="3270"/>
        <item m="1" x="1020"/>
        <item m="1" x="2198"/>
        <item m="1" x="1178"/>
        <item m="1" x="1071"/>
        <item m="1" x="2603"/>
        <item m="1" x="2741"/>
        <item m="1" x="2903"/>
        <item m="1" x="3189"/>
        <item m="1" x="2086"/>
        <item m="1" x="1982"/>
        <item m="1" x="2581"/>
        <item m="1" x="2426"/>
        <item m="1" x="2348"/>
        <item m="1" x="2513"/>
        <item m="1" x="3309"/>
        <item m="1" x="1070"/>
        <item m="1" x="1197"/>
        <item m="1" x="1329"/>
        <item m="1" x="1468"/>
        <item m="1" x="1592"/>
        <item m="1" x="1723"/>
        <item m="1" x="1880"/>
        <item m="1" x="2054"/>
        <item m="1" x="2419"/>
        <item m="1" x="2582"/>
        <item m="1" x="2653"/>
        <item m="1" x="2573"/>
        <item m="1" x="3303"/>
        <item m="1" x="1192"/>
        <item m="1" x="2935"/>
        <item m="1" x="1877"/>
        <item m="1" x="1346"/>
        <item m="1" x="1129"/>
        <item m="1" x="1066"/>
        <item m="1" x="975"/>
        <item m="1" x="3293"/>
        <item m="1" x="3226"/>
        <item m="1" x="3149"/>
        <item m="1" x="1536"/>
        <item m="1" x="1461"/>
        <item m="1" x="2963"/>
        <item m="1" x="3112"/>
        <item m="1" x="1872"/>
        <item m="1" x="2047"/>
        <item m="1" x="998"/>
        <item m="1" x="2933"/>
        <item m="1" x="2844"/>
        <item m="1" x="1196"/>
        <item m="1" x="1123"/>
        <item m="1" x="1591"/>
        <item m="1" x="1520"/>
        <item m="1" x="1458"/>
        <item m="1" x="1558"/>
        <item m="1" x="1042"/>
        <item m="1" x="1694"/>
        <item m="1" x="1852"/>
        <item m="1" x="3297"/>
        <item m="1" x="1052"/>
        <item m="1" x="3298"/>
        <item m="1" x="2882"/>
        <item m="1" x="3028"/>
        <item m="1" x="3165"/>
        <item m="1" x="1053"/>
        <item m="1" x="1185"/>
        <item m="1" x="1313"/>
        <item m="1" x="2729"/>
        <item m="1" x="2891"/>
        <item m="1" x="3041"/>
        <item m="1" x="3177"/>
        <item m="1" x="3306"/>
        <item m="1" x="1068"/>
        <item m="1" x="1195"/>
        <item m="1" x="1324"/>
        <item m="1" x="1464"/>
        <item m="1" x="1590"/>
        <item m="1" x="3048"/>
        <item m="1" x="1335"/>
        <item m="1" x="1472"/>
        <item m="1" x="2253"/>
        <item m="1" x="1224"/>
        <item m="1" x="1483"/>
        <item m="1" x="1609"/>
        <item m="1" x="3061"/>
        <item m="1" x="3200"/>
        <item m="1" x="2443"/>
        <item m="1" x="2471"/>
        <item m="1" x="1158"/>
        <item m="1" x="2590"/>
        <item m="1" x="2079"/>
        <item m="1" x="2947"/>
        <item m="1" x="3088"/>
        <item m="1" x="3227"/>
        <item m="1" x="962"/>
        <item m="1" x="2387"/>
        <item m="1" x="2379"/>
        <item m="1" x="3134"/>
        <item m="1" x="2910"/>
        <item m="1" x="3055"/>
        <item m="1" x="3195"/>
        <item m="1" x="926"/>
        <item m="1" x="1083"/>
        <item m="1" x="1220"/>
        <item m="1" x="1352"/>
        <item m="1" x="2097"/>
        <item m="1" x="1583"/>
        <item m="1" x="1664"/>
        <item m="1" x="1866"/>
        <item m="1" x="1713"/>
        <item m="1" x="1671"/>
        <item m="1" x="1672"/>
        <item m="1" x="1964"/>
        <item m="1" x="1876"/>
        <item m="1" x="1830"/>
        <item m="1" x="1617"/>
        <item m="1" x="2396"/>
        <item m="1" x="3101"/>
        <item m="1" x="3239"/>
        <item m="1" x="3002"/>
        <item m="1" x="3141"/>
        <item m="1" x="3274"/>
        <item m="1" x="1027"/>
        <item m="1" x="1164"/>
        <item m="1" x="2570"/>
        <item m="1" x="2709"/>
        <item m="1" x="2864"/>
        <item m="1" x="3166"/>
        <item m="1" x="3299"/>
        <item m="1" x="1055"/>
        <item m="1" x="1187"/>
        <item m="1" x="1315"/>
        <item m="1" x="1454"/>
        <item m="1" x="1646"/>
        <item m="1" x="1619"/>
        <item m="1" x="1914"/>
        <item m="1" x="1586"/>
        <item m="1" x="1699"/>
        <item m="1" x="1633"/>
        <item m="1" x="1561"/>
        <item m="1" x="1276"/>
        <item m="1" x="1219"/>
        <item m="1" x="1140"/>
        <item m="1" x="1078"/>
        <item m="1" x="988"/>
        <item m="1" x="3308"/>
        <item m="1" x="3243"/>
        <item m="1" x="3167"/>
        <item m="1" x="3094"/>
        <item m="1" x="3014"/>
        <item m="1" x="1417"/>
        <item m="1" x="1351"/>
        <item m="1" x="1957"/>
        <item m="1" x="1915"/>
        <item m="1" x="2241"/>
        <item m="1" x="2199"/>
        <item m="1" x="1769"/>
        <item m="1" x="2343"/>
        <item m="1" x="3074"/>
        <item m="1" x="3215"/>
        <item m="1" x="950"/>
        <item m="1" x="1563"/>
        <item m="1" x="1691"/>
        <item m="1" x="2740"/>
        <item m="1" x="2902"/>
        <item m="1" x="951"/>
        <item m="1" x="2784"/>
        <item m="1" x="2946"/>
        <item m="1" x="3087"/>
        <item m="1" x="2171"/>
        <item m="1" x="2330"/>
        <item m="1" x="2781"/>
        <item m="1" x="2943"/>
        <item m="1" x="3082"/>
        <item m="1" x="1666"/>
        <item m="1" x="1823"/>
        <item m="1" x="1992"/>
        <item m="1" x="1428"/>
        <item m="1" x="1549"/>
        <item m="1" x="1677"/>
        <item m="1" x="2521"/>
        <item m="1" x="2666"/>
        <item m="1" x="1565"/>
        <item m="1" x="1268"/>
        <item m="1" x="2470"/>
        <item m="1" x="2361"/>
        <item m="1" x="2526"/>
        <item m="1" x="1444"/>
        <item m="1" x="2212"/>
        <item m="1" x="1199"/>
        <item m="1" x="1151"/>
        <item m="1" x="1086"/>
        <item m="1" x="1001"/>
        <item m="1" x="921"/>
        <item m="1" x="1584"/>
        <item m="1" x="1715"/>
        <item m="1" x="1871"/>
        <item m="1" x="2046"/>
        <item m="1" x="2219"/>
        <item m="1" x="2382"/>
        <item m="1" x="2547"/>
        <item m="1" x="2688"/>
        <item m="1" x="2838"/>
        <item m="1" x="2987"/>
        <item m="1" x="1884"/>
        <item m="1" x="2063"/>
        <item m="1" x="2234"/>
        <item m="1" x="2400"/>
        <item m="1" x="2554"/>
        <item m="1" x="2694"/>
        <item m="1" x="2849"/>
        <item m="1" x="2993"/>
        <item m="1" x="3268"/>
        <item m="1" x="2246"/>
        <item m="1" x="2409"/>
        <item m="1" x="2564"/>
        <item m="1" x="2702"/>
        <item m="1" x="2859"/>
        <item m="1" x="3007"/>
        <item m="1" x="3146"/>
        <item m="1" x="3277"/>
        <item m="1" x="1032"/>
        <item m="1" x="1169"/>
        <item m="1" x="2973"/>
        <item m="1" x="2591"/>
        <item m="1" x="2726"/>
        <item m="1" x="2592"/>
        <item m="1" x="2727"/>
        <item m="1" x="2889"/>
        <item m="1" x="1608"/>
        <item m="1" x="940"/>
        <item m="1" x="1093"/>
        <item m="1" x="1206"/>
        <item m="1" x="1283"/>
        <item m="1" x="2236"/>
        <item m="1" x="1353"/>
        <item m="1" x="1925"/>
        <item m="1" x="2287"/>
        <item m="1" x="1075"/>
        <item m="1" x="1334"/>
        <item m="1" x="1679"/>
        <item m="1" x="1959"/>
        <item m="1" x="1974"/>
        <item m="1" x="2634"/>
        <item m="1" x="3115"/>
        <item m="1" x="1581"/>
        <item m="1" x="1711"/>
        <item m="1" x="1870"/>
        <item m="1" x="2045"/>
        <item m="1" x="2215"/>
        <item m="1" x="2378"/>
        <item m="1" x="911"/>
        <item m="1" x="1600"/>
        <item m="1" x="1732"/>
        <item m="1" x="2869"/>
        <item m="1" x="3018"/>
        <item m="1" x="3156"/>
        <item m="1" x="2588"/>
        <item m="1" x="2724"/>
        <item m="1" x="2888"/>
        <item m="1" x="3036"/>
        <item m="1" x="3170"/>
        <item m="1" x="3302"/>
        <item m="1" x="1743"/>
        <item m="1" x="1904"/>
        <item m="1" x="2087"/>
        <item m="1" x="1793"/>
        <item m="1" x="1955"/>
        <item m="1" x="2142"/>
        <item m="1" x="2398"/>
        <item m="1" x="2552"/>
        <item m="1" x="2848"/>
        <item m="1" x="1733"/>
        <item m="1" x="1893"/>
        <item m="1" x="2075"/>
        <item m="1" x="2244"/>
        <item m="1" x="2406"/>
        <item m="1" x="2562"/>
        <item m="1" x="2700"/>
        <item m="1" x="2856"/>
        <item m="1" x="3005"/>
        <item m="1" x="3145"/>
        <item m="1" x="2089"/>
        <item m="1" x="2715"/>
        <item m="1" x="2870"/>
        <item m="1" x="3019"/>
        <item m="1" x="914"/>
        <item m="1" x="916"/>
        <item m="1" x="2544"/>
        <item m="1" x="2685"/>
        <item m="1" x="3273"/>
        <item m="1" x="2876"/>
        <item m="1" x="1696"/>
        <item m="1" x="1567"/>
        <item m="1" x="1697"/>
        <item m="1" x="1855"/>
        <item m="1" x="2029"/>
        <item m="1" x="1645"/>
        <item m="1" x="1794"/>
        <item m="1" x="1956"/>
        <item m="1" x="2143"/>
        <item m="1" x="3235"/>
        <item m="1" x="970"/>
        <item m="1" x="1389"/>
        <item m="1" x="3233"/>
        <item m="1" x="2186"/>
        <item m="1" x="2344"/>
        <item m="1" x="2510"/>
        <item m="1" x="2182"/>
        <item m="1" x="2341"/>
        <item m="1" x="3107"/>
        <item m="1" x="3244"/>
        <item m="1" x="978"/>
        <item m="1" x="1954"/>
        <item m="1" x="989"/>
        <item m="1" x="1878"/>
        <item m="1" x="2053"/>
        <item m="1" x="1598"/>
        <item m="1" x="1730"/>
        <item m="1" x="1890"/>
        <item m="1" x="2068"/>
        <item m="1" x="1657"/>
        <item m="1" x="1981"/>
        <item m="1" x="1256"/>
        <item m="1" x="2667"/>
        <item m="1" x="2808"/>
        <item m="1" x="2966"/>
        <item m="1" x="3116"/>
        <item m="1" x="3249"/>
        <item m="1" x="987"/>
        <item m="1" x="1131"/>
        <item m="1" x="1265"/>
        <item m="1" x="2911"/>
        <item m="1" x="1728"/>
        <item m="1" x="3114"/>
        <item m="1" x="3248"/>
        <item m="1" x="986"/>
        <item m="1" x="1130"/>
        <item m="1" x="2163"/>
        <item m="1" x="3225"/>
        <item m="1" x="2962"/>
        <item m="1" x="3111"/>
        <item m="1" x="3247"/>
        <item m="1" x="984"/>
        <item m="1" x="1127"/>
        <item m="1" x="1134"/>
        <item m="1" x="2369"/>
        <item m="1" x="2533"/>
        <item m="1" x="1455"/>
        <item m="1" x="1580"/>
        <item m="1" x="1709"/>
        <item m="1" x="1865"/>
        <item m="1" x="2039"/>
        <item m="1" x="2505"/>
        <item m="1" x="2655"/>
        <item m="1" x="3237"/>
        <item m="1" x="974"/>
        <item m="1" x="1328"/>
        <item m="1" x="1881"/>
        <item m="1" x="2055"/>
        <item m="1" x="2225"/>
        <item m="1" x="2905"/>
        <item m="1" x="3052"/>
        <item m="1" x="1663"/>
        <item m="1" x="2555"/>
        <item m="1" x="1061"/>
        <item m="1" x="948"/>
        <item m="1" x="2112"/>
        <item m="1" x="2988"/>
        <item m="1" x="3132"/>
        <item m="1" x="2020"/>
        <item m="1" x="2714"/>
        <item m="1" x="2454"/>
        <item m="1" x="2923"/>
        <item m="1" x="2315"/>
        <item m="1" x="2480"/>
        <item m="1" x="2632"/>
        <item m="1" x="1582"/>
        <item m="1" x="1712"/>
        <item m="1" x="928"/>
        <item m="1" x="2627"/>
        <item m="1" x="2120"/>
        <item m="1" x="2742"/>
        <item m="1" x="2649"/>
        <item m="1" x="2789"/>
        <item m="1" x="2294"/>
        <item m="1" x="2450"/>
        <item m="1" x="2609"/>
        <item m="1" x="2909"/>
        <item m="1" x="3054"/>
        <item m="1" x="3194"/>
        <item m="1" x="925"/>
        <item m="1" x="2550"/>
        <item m="1" x="2718"/>
        <item m="1" x="2875"/>
        <item m="1" x="2541"/>
        <item m="1" x="2681"/>
        <item m="1" x="2830"/>
        <item m="1" x="1716"/>
        <item m="1" x="1874"/>
        <item m="1" x="2049"/>
        <item m="1" x="2220"/>
        <item m="1" x="2385"/>
        <item m="1" x="983"/>
        <item m="1" x="186"/>
        <item m="1" x="1260"/>
        <item m="1" x="2566"/>
        <item m="1" x="2704"/>
        <item m="1" x="2860"/>
        <item m="1" x="3008"/>
        <item m="1" x="3279"/>
        <item m="1" x="1034"/>
        <item m="1" x="1806"/>
        <item m="1" x="2878"/>
        <item m="1" x="1448"/>
        <item m="1" x="1210"/>
        <item m="1" x="1340"/>
        <item m="1" x="2088"/>
        <item m="1" x="2258"/>
        <item m="1" x="2890"/>
        <item m="1" x="3040"/>
        <item m="1" x="1831"/>
        <item m="1" x="1263"/>
        <item m="1" x="3253"/>
        <item m="1" x="994"/>
        <item m="1" x="2964"/>
        <item m="1" x="3113"/>
        <item m="1" x="1225"/>
        <item m="1" x="1358"/>
        <item m="1" x="1946"/>
        <item m="1" x="1235"/>
        <item m="1" x="3092"/>
        <item m="1" x="967"/>
        <item m="1" x="1245"/>
        <item m="1" x="3162"/>
        <item m="1" x="3294"/>
        <item m="1" x="2418"/>
        <item m="1" x="1502"/>
        <item m="1" x="1630"/>
        <item m="1" x="1194"/>
        <item m="1" x="1323"/>
        <item m="1" x="1205"/>
        <item m="1" x="1750"/>
        <item m="1" x="1912"/>
        <item m="1" x="2280"/>
        <item m="1" x="1242"/>
        <item m="1" x="3186"/>
        <item m="1" x="1320"/>
        <item m="1" x="3147"/>
        <item m="1" x="1182"/>
        <item m="1" x="3204"/>
        <item m="1" x="2375"/>
        <item m="1" x="2542"/>
        <item m="1" x="2682"/>
        <item m="1" x="1892"/>
        <item m="1" x="2073"/>
        <item m="1" x="1740"/>
        <item m="1" x="1901"/>
        <item m="1" x="2085"/>
        <item m="1" x="2256"/>
        <item m="1" x="2413"/>
        <item m="1" x="2572"/>
        <item m="1" x="2712"/>
        <item m="1" x="2866"/>
        <item m="1" x="3013"/>
        <item m="1" x="3152"/>
        <item m="1" x="2099"/>
        <item m="1" x="2263"/>
        <item m="1" x="2420"/>
        <item m="1" x="2585"/>
        <item m="1" x="2723"/>
        <item m="1" x="2884"/>
        <item m="1" x="1211"/>
        <item m="1" x="1341"/>
        <item m="1" x="3218"/>
        <item m="1" x="952"/>
        <item m="1" x="1867"/>
        <item m="1" x="1998"/>
        <item m="1" x="1700"/>
        <item m="1" x="1269"/>
        <item m="1" x="1209"/>
        <item m="1" x="1132"/>
        <item m="1" x="1069"/>
        <item m="1" x="3065"/>
        <item m="1" x="3205"/>
        <item m="1" x="938"/>
        <item m="1" x="1091"/>
        <item m="1" x="1145"/>
        <item m="1" x="1274"/>
        <item m="1" x="2447"/>
        <item m="1" x="3264"/>
        <item m="1" x="1889"/>
        <item m="1" x="1255"/>
        <item m="1" x="2665"/>
        <item m="1" x="2806"/>
        <item m="1" x="2583"/>
        <item m="1" x="2722"/>
        <item m="1" x="1094"/>
        <item m="1" x="2269"/>
        <item m="1" x="2524"/>
        <item m="1" x="2668"/>
        <item m="1" x="1388"/>
        <item m="1" x="2612"/>
        <item m="1" x="1148"/>
        <item m="1" x="2853"/>
        <item m="1" x="2877"/>
        <item m="1" x="1408"/>
        <item m="1" x="2512"/>
        <item m="1" x="2904"/>
        <item m="1" x="3051"/>
        <item m="1" x="520"/>
        <item m="1" x="521"/>
        <item m="1" x="522"/>
        <item m="1" x="523"/>
        <item m="1" x="1891"/>
        <item m="1" x="2072"/>
        <item m="1" x="1229"/>
        <item m="1" x="1366"/>
        <item m="1" x="1760"/>
        <item m="1" x="1921"/>
        <item m="1" x="1223"/>
        <item m="1" x="1405"/>
        <item m="1" x="1973"/>
        <item m="1" x="2155"/>
        <item m="1" x="538"/>
        <item m="1" x="539"/>
        <item m="1" x="541"/>
        <item m="1" x="542"/>
        <item m="1" x="543"/>
        <item m="1" x="544"/>
        <item m="1" x="545"/>
        <item m="1" x="546"/>
        <item m="1" x="547"/>
        <item m="1" x="548"/>
        <item m="1" x="549"/>
        <item m="1" x="550"/>
        <item m="1" x="551"/>
        <item m="1" x="552"/>
        <item m="1" x="2174"/>
        <item m="1" x="2334"/>
        <item m="1" x="2652"/>
        <item m="1" x="2532"/>
        <item m="1" x="2675"/>
        <item m="1" x="3120"/>
        <item m="1" x="1887"/>
        <item m="1" x="2065"/>
        <item m="1" x="2237"/>
        <item m="1" x="2401"/>
        <item m="1" x="2557"/>
        <item m="1" x="2696"/>
        <item m="1" x="2851"/>
        <item m="1" x="2996"/>
        <item m="1" x="3138"/>
        <item m="1" x="2080"/>
        <item m="1" x="2249"/>
        <item m="1" x="2410"/>
        <item m="1" x="3009"/>
        <item m="1" x="3148"/>
        <item m="1" x="3281"/>
        <item m="1" x="1039"/>
        <item m="1" x="1695"/>
        <item m="1" x="1853"/>
        <item m="1" x="2027"/>
        <item m="1" x="2676"/>
        <item m="1" x="2821"/>
        <item m="1" x="2376"/>
        <item m="1" x="2543"/>
        <item m="1" x="2684"/>
        <item m="1" x="3037"/>
        <item m="1" x="3171"/>
        <item m="1" x="554"/>
        <item m="1" x="2066"/>
        <item m="1" x="2482"/>
        <item m="1" x="2776"/>
        <item m="1" x="1457"/>
        <item m="1" x="1280"/>
        <item m="1" x="1007"/>
        <item m="1" x="2868"/>
        <item m="1" x="3016"/>
        <item m="1" x="2879"/>
        <item m="1" x="1577"/>
        <item m="1" x="2567"/>
        <item m="1" x="2705"/>
        <item m="1" x="1539"/>
        <item m="1" x="1667"/>
        <item m="1" x="1824"/>
        <item m="1" x="3190"/>
        <item m="1" x="919"/>
        <item m="1" x="1910"/>
        <item m="1" x="2096"/>
        <item m="1" x="2417"/>
        <item m="1" x="2479"/>
        <item m="1" x="2391"/>
        <item m="1" x="3179"/>
        <item m="1" x="3029"/>
        <item m="1" x="1113"/>
        <item m="1" x="1044"/>
        <item m="1" x="956"/>
        <item m="1" x="3275"/>
        <item m="1" x="1722"/>
        <item m="1" x="1641"/>
        <item m="1" x="1511"/>
        <item m="1" x="1442"/>
        <item m="1" x="923"/>
        <item m="1" x="2899"/>
        <item m="1" x="3062"/>
        <item m="1" x="3201"/>
        <item m="1" x="932"/>
        <item m="1" x="1088"/>
        <item m="1" x="1364"/>
        <item m="1" x="1371"/>
        <item m="1" x="1498"/>
        <item m="1" x="1705"/>
        <item m="1" x="2565"/>
        <item m="1" x="1604"/>
        <item m="1" x="2436"/>
        <item m="1" x="1384"/>
        <item m="1" x="1779"/>
        <item m="1" x="1939"/>
        <item m="1" x="2127"/>
        <item m="1" x="1208"/>
        <item m="1" x="1339"/>
        <item m="1" x="2822"/>
        <item m="1" x="3121"/>
        <item m="1" x="805"/>
        <item m="1" x="806"/>
        <item m="1" x="807"/>
        <item m="1" x="808"/>
        <item m="1" x="809"/>
        <item m="1" x="810"/>
        <item m="1" x="811"/>
        <item m="1" x="812"/>
        <item m="1" x="813"/>
        <item m="1" x="814"/>
        <item m="1" x="815"/>
        <item m="1" x="816"/>
        <item m="1" x="817"/>
        <item m="1" x="818"/>
        <item m="1" x="819"/>
        <item m="1" x="820"/>
        <item m="1" x="821"/>
        <item m="1" x="822"/>
        <item m="1" x="823"/>
        <item m="1" x="824"/>
        <item m="1" x="826"/>
        <item m="1" x="910"/>
        <item m="1" x="912"/>
        <item m="1" x="913"/>
        <item m="1" x="915"/>
        <item m="1" x="917"/>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555"/>
        <item m="1" x="899"/>
        <item m="1" x="900"/>
        <item m="1" x="901"/>
        <item m="1" x="902"/>
        <item m="1" x="903"/>
        <item m="1" x="904"/>
        <item m="1" x="905"/>
        <item m="1" x="906"/>
        <item m="1" x="907"/>
        <item m="1" x="908"/>
        <item m="1" x="909"/>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516"/>
        <item m="1" x="517"/>
        <item m="1" x="518"/>
        <item m="1" x="519"/>
        <item m="1" x="524"/>
        <item m="1" x="573"/>
        <item m="1" x="574"/>
        <item m="1" x="527"/>
        <item m="1" x="528"/>
        <item m="1" x="529"/>
        <item m="1" x="530"/>
        <item m="1" x="531"/>
        <item m="1" x="532"/>
        <item m="1" x="535"/>
        <item m="1" x="536"/>
        <item m="1" x="540"/>
        <item m="1" x="553"/>
        <item m="1" x="248"/>
        <item m="1" x="249"/>
        <item m="1" x="250"/>
        <item m="1" x="251"/>
        <item m="1" x="252"/>
        <item m="1" x="556"/>
        <item m="1" x="557"/>
        <item m="1" x="558"/>
        <item m="1" x="559"/>
        <item m="1" x="560"/>
        <item m="1" x="561"/>
        <item m="1" x="562"/>
        <item m="1" x="563"/>
        <item m="1" x="564"/>
        <item m="1" x="565"/>
        <item m="1" x="276"/>
        <item m="1" x="566"/>
        <item m="1" x="568"/>
        <item m="1" x="569"/>
        <item m="1" x="570"/>
        <item m="1" x="504"/>
        <item m="1" x="505"/>
        <item m="1" x="506"/>
        <item m="1" x="507"/>
        <item m="1" x="508"/>
        <item m="1" x="509"/>
        <item m="1" x="510"/>
        <item m="1" x="511"/>
        <item m="1" x="512"/>
        <item m="1" x="513"/>
        <item m="1" x="514"/>
        <item m="1" x="515"/>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285"/>
        <item m="1" x="286"/>
        <item m="1" x="287"/>
        <item m="1" x="288"/>
        <item m="1" x="289"/>
        <item m="1" x="290"/>
        <item m="1" x="291"/>
        <item m="1" x="292"/>
        <item m="1" x="293"/>
        <item m="1" x="294"/>
        <item m="1" x="295"/>
        <item m="1" x="296"/>
        <item m="1" x="297"/>
        <item m="1" x="350"/>
        <item m="1" x="351"/>
        <item m="1" x="352"/>
        <item m="1" x="353"/>
        <item m="1" x="354"/>
        <item m="1" x="355"/>
        <item m="1" x="298"/>
        <item m="1" x="299"/>
        <item m="1" x="300"/>
        <item m="1" x="301"/>
        <item m="1" x="302"/>
        <item m="1" x="303"/>
        <item m="1" x="304"/>
        <item m="1" x="305"/>
        <item m="1" x="306"/>
        <item m="1" x="307"/>
        <item m="1" x="308"/>
        <item m="1" x="309"/>
        <item m="1" x="310"/>
        <item m="1" x="311"/>
        <item m="1" x="312"/>
        <item m="1" x="313"/>
        <item m="1" x="314"/>
        <item m="1" x="315"/>
        <item m="1" x="316"/>
        <item m="1" x="356"/>
        <item m="1" x="317"/>
        <item m="1" x="318"/>
        <item m="1" x="357"/>
        <item m="1" x="319"/>
        <item m="1" x="320"/>
        <item m="1" x="321"/>
        <item m="1" x="322"/>
        <item m="1" x="358"/>
        <item m="1" x="323"/>
        <item m="1" x="359"/>
        <item m="1" x="360"/>
        <item m="1" x="361"/>
        <item m="1" x="324"/>
        <item m="1" x="325"/>
        <item m="1" x="326"/>
        <item m="1" x="327"/>
        <item m="1" x="328"/>
        <item m="1" x="329"/>
        <item m="1" x="330"/>
        <item m="1" x="331"/>
        <item m="1" x="332"/>
        <item m="1" x="333"/>
        <item m="1" x="334"/>
        <item m="1" x="335"/>
        <item m="1" x="336"/>
        <item m="1" x="337"/>
        <item m="1" x="362"/>
        <item m="1" x="363"/>
        <item m="1" x="364"/>
        <item m="1" x="365"/>
        <item m="1" x="338"/>
        <item m="1" x="339"/>
        <item m="1" x="366"/>
        <item m="1" x="367"/>
        <item m="1" x="340"/>
        <item m="1" x="345"/>
        <item m="1" x="346"/>
        <item m="1" x="347"/>
        <item m="1" x="348"/>
        <item m="1" x="349"/>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53"/>
        <item m="1" x="254"/>
        <item m="1" x="255"/>
        <item m="1" x="256"/>
        <item m="1" x="257"/>
        <item m="1" x="258"/>
        <item m="1" x="259"/>
        <item m="1" x="260"/>
        <item m="1" x="261"/>
        <item m="1" x="262"/>
        <item m="1" x="263"/>
        <item m="1" x="264"/>
        <item m="1" x="265"/>
        <item m="1" x="266"/>
        <item m="1" x="267"/>
        <item m="1" x="268"/>
        <item m="1" x="271"/>
        <item m="1" x="272"/>
        <item m="1" x="273"/>
        <item m="1" x="274"/>
        <item m="1" x="275"/>
        <item m="1" x="277"/>
        <item m="1" x="278"/>
        <item m="1" x="279"/>
        <item m="1" x="280"/>
        <item m="1" x="281"/>
        <item m="1" x="282"/>
        <item m="1" x="128"/>
        <item m="1" x="129"/>
        <item m="1" x="130"/>
        <item m="1" x="131"/>
        <item m="1" x="142"/>
        <item m="1" x="143"/>
        <item m="1" x="144"/>
        <item m="1" x="147"/>
        <item m="1" x="148"/>
        <item m="1" x="150"/>
        <item m="1" x="151"/>
        <item m="1" x="152"/>
        <item m="1" x="153"/>
        <item m="1" x="154"/>
        <item m="1" x="155"/>
        <item m="1" x="156"/>
        <item m="1" x="157"/>
        <item m="1" x="158"/>
        <item m="1" x="159"/>
        <item m="1" x="160"/>
        <item m="1" x="161"/>
        <item m="1" x="162"/>
        <item m="1" x="163"/>
        <item m="1" x="164"/>
        <item m="1" x="132"/>
        <item m="1" x="133"/>
        <item m="1" x="134"/>
        <item m="1" x="135"/>
        <item m="1" x="136"/>
        <item m="1" x="137"/>
        <item m="1" x="138"/>
        <item m="1" x="139"/>
        <item m="1" x="140"/>
        <item m="1" x="141"/>
        <item m="1" x="123"/>
        <item m="1" x="124"/>
        <item m="1" x="125"/>
        <item m="1" x="126"/>
        <item m="1" x="127"/>
        <item m="1" x="87"/>
        <item m="1" x="88"/>
        <item m="1" x="106"/>
        <item m="1" x="107"/>
        <item m="1" x="60"/>
        <item m="1" x="89"/>
        <item m="1" x="90"/>
        <item m="1" x="91"/>
        <item m="1" x="92"/>
        <item m="1" x="93"/>
        <item m="1" x="108"/>
        <item m="1" x="109"/>
        <item m="1" x="110"/>
        <item m="1" x="111"/>
        <item m="1" x="112"/>
        <item m="1" x="113"/>
        <item m="1" x="114"/>
        <item m="1" x="115"/>
        <item m="1" x="116"/>
        <item m="1" x="94"/>
        <item m="1" x="117"/>
        <item m="1" x="95"/>
        <item m="1" x="96"/>
        <item m="1" x="97"/>
        <item m="1" x="98"/>
        <item m="1" x="99"/>
        <item m="1" x="100"/>
        <item m="1" x="101"/>
        <item m="1" x="118"/>
        <item m="1" x="119"/>
        <item m="1" x="120"/>
        <item m="1" x="102"/>
        <item m="1" x="103"/>
        <item m="1" x="104"/>
        <item m="1" x="105"/>
        <item m="1" x="121"/>
        <item m="1" x="122"/>
        <item m="1" x="56"/>
        <item m="1" x="57"/>
        <item m="1" x="58"/>
        <item m="1" x="59"/>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2">
    <field x="2"/>
    <field x="6"/>
  </rowFields>
  <rowItems count="3">
    <i>
      <x v="47"/>
    </i>
    <i r="1">
      <x v="52"/>
    </i>
    <i t="grand">
      <x/>
    </i>
  </rowItems>
  <colItems count="1">
    <i/>
  </colItems>
  <dataFields count="1">
    <dataField name="Ʃ Server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7B033A-FFD4-44C9-B67A-5731D519F6E4}" name="PivotTable2"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8" firstHeaderRow="1" firstDataRow="1" firstDataCol="1"/>
  <pivotFields count="21">
    <pivotField showAll="0"/>
    <pivotField axis="axisRow" showAll="0">
      <items count="517">
        <item x="0"/>
        <item m="1" x="268"/>
        <item m="1" x="271"/>
        <item m="1" x="260"/>
        <item m="1" x="375"/>
        <item m="1" x="509"/>
        <item m="1" x="397"/>
        <item m="1" x="425"/>
        <item m="1" x="464"/>
        <item m="1" x="277"/>
        <item m="1" x="470"/>
        <item m="1" x="468"/>
        <item m="1" x="422"/>
        <item m="1" x="378"/>
        <item m="1" x="453"/>
        <item m="1" x="216"/>
        <item m="1" x="255"/>
        <item m="1" x="335"/>
        <item m="1" x="478"/>
        <item m="1" x="405"/>
        <item m="1" x="241"/>
        <item m="1" x="327"/>
        <item m="1" x="263"/>
        <item m="1" x="423"/>
        <item m="1" x="363"/>
        <item m="1" x="270"/>
        <item m="1" x="386"/>
        <item m="1" x="513"/>
        <item m="1" x="460"/>
        <item m="1" x="490"/>
        <item m="1" x="436"/>
        <item m="1" x="337"/>
        <item m="1" x="240"/>
        <item m="1" x="457"/>
        <item m="1" x="483"/>
        <item m="1" x="246"/>
        <item m="1" x="498"/>
        <item m="1" x="250"/>
        <item m="1" x="465"/>
        <item m="1" x="285"/>
        <item m="1" x="474"/>
        <item m="1" x="502"/>
        <item m="1" x="394"/>
        <item m="1" x="507"/>
        <item m="1" x="409"/>
        <item m="1" x="319"/>
        <item m="1" x="488"/>
        <item m="1" x="389"/>
        <item m="1" x="430"/>
        <item m="1" x="487"/>
        <item m="1" x="434"/>
        <item m="1" x="504"/>
        <item m="1" x="383"/>
        <item m="1" x="437"/>
        <item m="1" x="362"/>
        <item m="1" x="456"/>
        <item m="1" x="322"/>
        <item m="1" x="379"/>
        <item m="1" x="342"/>
        <item m="1" x="411"/>
        <item m="1" x="461"/>
        <item m="1" x="359"/>
        <item m="1" x="493"/>
        <item m="1" x="496"/>
        <item m="1" x="369"/>
        <item m="1" x="380"/>
        <item m="1" x="492"/>
        <item m="1" x="272"/>
        <item m="1" x="323"/>
        <item m="1" x="508"/>
        <item m="1" x="475"/>
        <item m="1" x="299"/>
        <item m="1" x="448"/>
        <item m="1" x="318"/>
        <item m="1" x="463"/>
        <item m="1" x="325"/>
        <item m="1" x="259"/>
        <item m="1" x="429"/>
        <item m="1" x="427"/>
        <item m="1" x="505"/>
        <item m="1" x="393"/>
        <item m="1" x="309"/>
        <item m="1" x="283"/>
        <item m="1" x="491"/>
        <item m="1" x="417"/>
        <item m="1" x="476"/>
        <item m="1" x="339"/>
        <item m="1" x="466"/>
        <item m="1" x="404"/>
        <item m="1" x="501"/>
        <item m="1" x="391"/>
        <item m="1" x="416"/>
        <item m="1" x="373"/>
        <item m="1" x="424"/>
        <item m="1" x="367"/>
        <item m="1" x="447"/>
        <item m="1" x="320"/>
        <item m="1" x="333"/>
        <item m="1" x="443"/>
        <item m="1" x="301"/>
        <item m="1" x="451"/>
        <item m="1" x="387"/>
        <item m="1" x="340"/>
        <item m="1" x="415"/>
        <item m="1" x="503"/>
        <item m="1" x="303"/>
        <item m="1" x="264"/>
        <item m="1" x="307"/>
        <item m="1" x="351"/>
        <item m="1" x="489"/>
        <item m="1" x="469"/>
        <item m="1" x="281"/>
        <item m="1" x="269"/>
        <item m="1" x="286"/>
        <item m="1" x="433"/>
        <item m="1" x="458"/>
        <item m="1" x="365"/>
        <item m="1" x="310"/>
        <item m="1" x="407"/>
        <item m="1" x="467"/>
        <item m="1" x="253"/>
        <item m="1" x="442"/>
        <item m="1" x="273"/>
        <item m="1" x="294"/>
        <item m="1" x="381"/>
        <item m="1" x="477"/>
        <item m="1" x="445"/>
        <item m="1" x="306"/>
        <item m="1" x="332"/>
        <item m="1" x="347"/>
        <item m="1" x="328"/>
        <item m="1" x="364"/>
        <item m="1" x="326"/>
        <item m="1" x="514"/>
        <item m="1" x="482"/>
        <item m="1" x="314"/>
        <item m="1" x="293"/>
        <item m="1" x="321"/>
        <item m="1" x="245"/>
        <item m="1" x="274"/>
        <item m="1" x="414"/>
        <item m="1" x="287"/>
        <item m="1" x="308"/>
        <item m="1" x="267"/>
        <item m="1" x="360"/>
        <item m="1" x="265"/>
        <item m="1" x="441"/>
        <item m="1" x="485"/>
        <item m="1" x="479"/>
        <item m="1" x="500"/>
        <item m="1" x="305"/>
        <item m="1" x="410"/>
        <item m="1" x="459"/>
        <item m="1" x="471"/>
        <item m="1" x="401"/>
        <item m="1" x="284"/>
        <item m="1" x="334"/>
        <item m="1" x="384"/>
        <item m="1" x="298"/>
        <item m="1" x="341"/>
        <item m="1" x="454"/>
        <item m="1" x="418"/>
        <item m="1" x="432"/>
        <item m="1" x="300"/>
        <item m="1" x="317"/>
        <item m="1" x="32"/>
        <item m="1" x="288"/>
        <item m="1" x="315"/>
        <item m="1" x="406"/>
        <item m="1" x="439"/>
        <item m="1" x="254"/>
        <item m="1" x="297"/>
        <item m="1" x="452"/>
        <item m="1" x="238"/>
        <item m="1" x="421"/>
        <item m="1" x="262"/>
        <item m="1" x="368"/>
        <item m="1" x="370"/>
        <item m="1" x="249"/>
        <item m="1" x="256"/>
        <item m="1" x="472"/>
        <item m="1" x="382"/>
        <item m="1" x="352"/>
        <item m="1" x="426"/>
        <item m="1" x="338"/>
        <item m="1" x="494"/>
        <item m="1" x="258"/>
        <item m="1" x="446"/>
        <item m="1" x="495"/>
        <item m="1" x="395"/>
        <item m="1" x="356"/>
        <item m="1" x="396"/>
        <item m="1" x="506"/>
        <item m="1" x="511"/>
        <item m="1" x="312"/>
        <item m="1" x="331"/>
        <item m="1" x="290"/>
        <item m="1" x="385"/>
        <item m="1" x="388"/>
        <item m="1" x="257"/>
        <item m="1" x="419"/>
        <item m="1" x="243"/>
        <item m="1" x="462"/>
        <item m="1" x="311"/>
        <item m="1" x="146"/>
        <item m="1" x="345"/>
        <item m="1" x="291"/>
        <item m="1" x="357"/>
        <item m="1" x="349"/>
        <item m="1" x="399"/>
        <item m="1" x="278"/>
        <item m="1" x="329"/>
        <item m="1" x="390"/>
        <item m="1" x="484"/>
        <item m="1" x="398"/>
        <item m="1" x="438"/>
        <item m="1" x="400"/>
        <item m="1" x="292"/>
        <item m="1" x="242"/>
        <item m="1" x="403"/>
        <item m="1" x="296"/>
        <item m="1" x="412"/>
        <item m="1" x="377"/>
        <item m="1" x="497"/>
        <item m="1" x="313"/>
        <item m="1" x="336"/>
        <item m="1" x="515"/>
        <item m="1" x="266"/>
        <item m="1" x="295"/>
        <item m="1" x="408"/>
        <item m="1" x="428"/>
        <item m="1" x="275"/>
        <item m="1" x="481"/>
        <item m="1" x="350"/>
        <item m="1" x="372"/>
        <item m="1" x="248"/>
        <item m="1" x="435"/>
        <item m="1" x="512"/>
        <item m="1" x="420"/>
        <item m="1" x="374"/>
        <item m="1" x="324"/>
        <item m="1" x="346"/>
        <item m="1" x="354"/>
        <item m="1" x="279"/>
        <item m="1" x="282"/>
        <item m="1" x="499"/>
        <item m="1" x="450"/>
        <item m="1" x="440"/>
        <item m="1" x="361"/>
        <item m="1" x="510"/>
        <item m="1" x="413"/>
        <item m="1" x="302"/>
        <item m="1" x="304"/>
        <item m="1" x="371"/>
        <item m="1" x="431"/>
        <item m="1" x="355"/>
        <item m="1" x="330"/>
        <item m="1" x="251"/>
        <item m="1" x="316"/>
        <item m="1" x="473"/>
        <item m="1" x="392"/>
        <item m="1" x="402"/>
        <item m="1" x="344"/>
        <item m="1" x="247"/>
        <item m="1" x="244"/>
        <item m="1" x="486"/>
        <item m="1" x="444"/>
        <item m="1" x="449"/>
        <item m="1" x="480"/>
        <item m="1" x="376"/>
        <item m="1" x="353"/>
        <item m="1" x="261"/>
        <item m="1" x="366"/>
        <item m="1" x="252"/>
        <item m="1" x="280"/>
        <item m="1" x="348"/>
        <item m="1" x="343"/>
        <item m="1" x="289"/>
        <item m="1" x="455"/>
        <item m="1" x="358"/>
        <item m="1" x="276"/>
        <item m="1" x="197"/>
        <item m="1" x="198"/>
        <item m="1" x="199"/>
        <item m="1" x="200"/>
        <item m="1" x="201"/>
        <item m="1" x="202"/>
        <item m="1" x="203"/>
        <item m="1" x="204"/>
        <item m="1" x="205"/>
        <item m="1" x="206"/>
        <item m="1" x="207"/>
        <item m="1" x="208"/>
        <item m="1" x="209"/>
        <item m="1" x="210"/>
        <item m="1" x="211"/>
        <item m="1" x="212"/>
        <item m="1" x="213"/>
        <item m="1" x="214"/>
        <item m="1" x="215"/>
        <item m="1" x="237"/>
        <item m="1" x="239"/>
        <item m="1" x="55"/>
        <item m="1" x="56"/>
        <item m="1" x="49"/>
        <item m="1" x="235"/>
        <item m="1" x="236"/>
        <item m="1" x="60"/>
        <item m="1" x="217"/>
        <item m="1" x="218"/>
        <item m="1" x="219"/>
        <item m="1" x="220"/>
        <item m="1" x="221"/>
        <item m="1" x="222"/>
        <item m="1" x="223"/>
        <item m="1" x="48"/>
        <item m="1" x="224"/>
        <item m="1" x="225"/>
        <item m="1" x="226"/>
        <item m="1" x="79"/>
        <item m="1" x="227"/>
        <item m="1" x="228"/>
        <item m="1" x="229"/>
        <item m="1" x="230"/>
        <item m="1" x="231"/>
        <item m="1" x="232"/>
        <item m="1" x="233"/>
        <item m="1" x="234"/>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30"/>
        <item m="1" x="131"/>
        <item m="1" x="132"/>
        <item m="1" x="133"/>
        <item m="1" x="134"/>
        <item m="1" x="135"/>
        <item m="1" x="136"/>
        <item m="1" x="137"/>
        <item m="1" x="138"/>
        <item m="1" x="139"/>
        <item m="1" x="65"/>
        <item m="1" x="140"/>
        <item m="1" x="141"/>
        <item m="1" x="142"/>
        <item m="1" x="143"/>
        <item m="1" x="144"/>
        <item m="1" x="145"/>
        <item m="1" x="81"/>
        <item m="1" x="147"/>
        <item m="1" x="148"/>
        <item m="1" x="125"/>
        <item m="1" x="126"/>
        <item m="1" x="127"/>
        <item m="1" x="128"/>
        <item m="1" x="129"/>
        <item m="1" x="112"/>
        <item m="1" x="113"/>
        <item m="1" x="114"/>
        <item m="1" x="115"/>
        <item m="1" x="116"/>
        <item m="1" x="117"/>
        <item m="1" x="118"/>
        <item m="1" x="119"/>
        <item m="1" x="120"/>
        <item m="1" x="121"/>
        <item m="1" x="122"/>
        <item m="1" x="123"/>
        <item m="1" x="124"/>
        <item m="1" x="105"/>
        <item m="1" x="106"/>
        <item m="1" x="107"/>
        <item m="1" x="108"/>
        <item m="1" x="111"/>
        <item m="1" x="109"/>
        <item m="1" x="110"/>
        <item m="1" x="83"/>
        <item m="1" x="84"/>
        <item m="1" x="85"/>
        <item m="1" x="86"/>
        <item m="1" x="87"/>
        <item m="1" x="88"/>
        <item m="1" x="89"/>
        <item m="1" x="90"/>
        <item m="1" x="91"/>
        <item m="1" x="92"/>
        <item m="1" x="93"/>
        <item m="1" x="94"/>
        <item m="1" x="95"/>
        <item m="1" x="96"/>
        <item m="1" x="97"/>
        <item m="1" x="98"/>
        <item m="1" x="99"/>
        <item m="1" x="100"/>
        <item m="1" x="101"/>
        <item m="1" x="102"/>
        <item m="1" x="103"/>
        <item m="1" x="104"/>
        <item m="1" x="57"/>
        <item m="1" x="58"/>
        <item m="1" x="59"/>
        <item m="1" x="61"/>
        <item m="1" x="62"/>
        <item m="1" x="63"/>
        <item m="1" x="3"/>
        <item m="1" x="64"/>
        <item m="1" x="66"/>
        <item m="1" x="67"/>
        <item m="1" x="68"/>
        <item m="1" x="69"/>
        <item m="1" x="70"/>
        <item m="1" x="71"/>
        <item m="1" x="72"/>
        <item m="1" x="73"/>
        <item m="1" x="74"/>
        <item m="1" x="75"/>
        <item m="1" x="76"/>
        <item m="1" x="77"/>
        <item m="1" x="78"/>
        <item m="1" x="80"/>
        <item m="1" x="82"/>
        <item m="1" x="34"/>
        <item m="1" x="42"/>
        <item m="1" x="43"/>
        <item m="1" x="44"/>
        <item m="1" x="45"/>
        <item m="1" x="46"/>
        <item m="1" x="47"/>
        <item m="1" x="50"/>
        <item m="1" x="51"/>
        <item m="1" x="52"/>
        <item m="1" x="53"/>
        <item m="1" x="54"/>
        <item m="1" x="35"/>
        <item m="1" x="36"/>
        <item m="1" x="37"/>
        <item m="1" x="38"/>
        <item m="1" x="39"/>
        <item m="1" x="40"/>
        <item m="1" x="41"/>
        <item m="1" x="33"/>
        <item m="1" x="16"/>
        <item m="1" x="28"/>
        <item m="1" x="29"/>
        <item m="1" x="30"/>
        <item m="1" x="17"/>
        <item m="1" x="18"/>
        <item m="1" x="31"/>
        <item m="1" x="19"/>
        <item m="1" x="20"/>
        <item m="1" x="21"/>
        <item m="1" x="14"/>
        <item m="1" x="22"/>
        <item m="1" x="15"/>
        <item m="1" x="23"/>
        <item m="1" x="24"/>
        <item m="1" x="25"/>
        <item m="1" x="26"/>
        <item m="1" x="27"/>
        <item m="1" x="12"/>
        <item m="1" x="13"/>
        <item m="1" x="1"/>
        <item m="1" x="2"/>
        <item m="1" x="4"/>
        <item m="1" x="5"/>
        <item m="1" x="6"/>
        <item m="1" x="7"/>
        <item m="1" x="8"/>
        <item m="1" x="9"/>
        <item m="1" x="10"/>
        <item m="1" x="11"/>
        <item t="default"/>
      </items>
    </pivotField>
    <pivotField showAll="0"/>
    <pivotField showAll="0"/>
    <pivotField showAll="0"/>
    <pivotField showAll="0"/>
    <pivotField showAll="0"/>
    <pivotField showAll="0"/>
    <pivotField axis="axisRow" showAll="0">
      <items count="149">
        <item x="0"/>
        <item m="1" x="27"/>
        <item m="1" x="132"/>
        <item m="1" x="130"/>
        <item m="1" x="51"/>
        <item m="1" x="146"/>
        <item m="1" x="25"/>
        <item m="1" x="120"/>
        <item m="1" x="103"/>
        <item m="1" x="110"/>
        <item m="1" x="53"/>
        <item m="1" x="15"/>
        <item m="1" x="67"/>
        <item m="1" x="50"/>
        <item m="1" x="99"/>
        <item m="1" x="40"/>
        <item m="1" x="94"/>
        <item m="1" x="55"/>
        <item m="1" x="106"/>
        <item m="1" x="138"/>
        <item m="1" x="104"/>
        <item m="1" x="41"/>
        <item m="1" x="21"/>
        <item m="1" x="109"/>
        <item m="1" x="127"/>
        <item m="1" x="114"/>
        <item m="1" x="81"/>
        <item m="1" x="105"/>
        <item m="1" x="95"/>
        <item m="1" x="142"/>
        <item m="1" x="88"/>
        <item m="1" x="122"/>
        <item m="1" x="147"/>
        <item m="1" x="143"/>
        <item m="1" x="24"/>
        <item m="1" x="144"/>
        <item m="1" x="135"/>
        <item m="1" x="98"/>
        <item m="1" x="45"/>
        <item m="1" x="134"/>
        <item m="1" x="89"/>
        <item m="1" x="86"/>
        <item m="1" x="23"/>
        <item m="1" x="115"/>
        <item m="1" x="128"/>
        <item m="1" x="126"/>
        <item m="1" x="97"/>
        <item m="1" x="96"/>
        <item m="1" x="49"/>
        <item m="1" x="116"/>
        <item m="1" x="136"/>
        <item m="1" x="101"/>
        <item m="1" x="111"/>
        <item m="1" x="133"/>
        <item m="1" x="74"/>
        <item m="1" x="129"/>
        <item m="1" x="118"/>
        <item m="1" x="117"/>
        <item m="1" x="9"/>
        <item m="1" x="73"/>
        <item m="1" x="100"/>
        <item m="1" x="75"/>
        <item m="1" x="91"/>
        <item m="1" x="92"/>
        <item m="1" x="140"/>
        <item m="1" x="102"/>
        <item m="1" x="57"/>
        <item m="1" x="125"/>
        <item m="1" x="85"/>
        <item m="1" x="108"/>
        <item m="1" x="139"/>
        <item m="1" x="90"/>
        <item m="1" x="93"/>
        <item m="1" x="121"/>
        <item m="1" x="34"/>
        <item m="1" x="119"/>
        <item m="1" x="37"/>
        <item m="1" x="107"/>
        <item m="1" x="35"/>
        <item m="1" x="87"/>
        <item m="1" x="113"/>
        <item m="1" x="112"/>
        <item m="1" x="131"/>
        <item m="1" x="123"/>
        <item m="1" x="141"/>
        <item m="1" x="16"/>
        <item m="1" x="76"/>
        <item m="1" x="22"/>
        <item m="1" x="124"/>
        <item m="1" x="145"/>
        <item m="1" x="137"/>
        <item m="1" x="83"/>
        <item m="1" x="84"/>
        <item m="1" x="62"/>
        <item m="1" x="32"/>
        <item m="1" x="77"/>
        <item m="1" x="78"/>
        <item m="1" x="79"/>
        <item m="1" x="80"/>
        <item m="1" x="82"/>
        <item m="1" x="66"/>
        <item m="1" x="46"/>
        <item m="1" x="68"/>
        <item m="1" x="69"/>
        <item m="1" x="70"/>
        <item m="1" x="71"/>
        <item m="1" x="72"/>
        <item m="1" x="56"/>
        <item m="1" x="58"/>
        <item m="1" x="59"/>
        <item m="1" x="60"/>
        <item m="1" x="61"/>
        <item m="1" x="63"/>
        <item m="1" x="64"/>
        <item m="1" x="65"/>
        <item m="1" x="39"/>
        <item m="1" x="54"/>
        <item m="1" x="26"/>
        <item m="1" x="52"/>
        <item m="1" x="30"/>
        <item m="1" x="28"/>
        <item m="1" x="19"/>
        <item m="1" x="2"/>
        <item m="1" x="42"/>
        <item m="1" x="43"/>
        <item m="1" x="44"/>
        <item m="1" x="47"/>
        <item m="1" x="48"/>
        <item m="1" x="38"/>
        <item m="1" x="29"/>
        <item m="1" x="31"/>
        <item m="1" x="33"/>
        <item m="1" x="36"/>
        <item m="1" x="13"/>
        <item m="1" x="14"/>
        <item m="1" x="17"/>
        <item m="1" x="18"/>
        <item m="1" x="11"/>
        <item m="1" x="12"/>
        <item m="1" x="20"/>
        <item m="1" x="10"/>
        <item m="1" x="1"/>
        <item m="1" x="3"/>
        <item m="1" x="4"/>
        <item m="1" x="5"/>
        <item m="1" x="6"/>
        <item m="1" x="7"/>
        <item m="1" x="8"/>
        <item t="default"/>
      </items>
    </pivotField>
    <pivotField showAll="0"/>
    <pivotField showAll="0"/>
    <pivotField axis="axisRow" showAll="0">
      <items count="256">
        <item x="0"/>
        <item m="1" x="129"/>
        <item m="1" x="234"/>
        <item m="1" x="168"/>
        <item m="1" x="60"/>
        <item m="1" x="183"/>
        <item m="1" x="204"/>
        <item m="1" x="142"/>
        <item m="1" x="208"/>
        <item m="1" x="192"/>
        <item m="1" x="63"/>
        <item m="1" x="246"/>
        <item m="1" x="15"/>
        <item m="1" x="201"/>
        <item m="1" x="65"/>
        <item m="1" x="66"/>
        <item m="1" x="47"/>
        <item m="1" x="190"/>
        <item m="1" x="156"/>
        <item m="1" x="141"/>
        <item m="1" x="199"/>
        <item m="1" x="180"/>
        <item m="1" x="82"/>
        <item m="1" x="161"/>
        <item m="1" x="57"/>
        <item m="1" x="242"/>
        <item m="1" x="143"/>
        <item m="1" x="22"/>
        <item m="1" x="219"/>
        <item m="1" x="218"/>
        <item m="1" x="43"/>
        <item m="1" x="184"/>
        <item m="1" x="188"/>
        <item m="1" x="39"/>
        <item m="1" x="160"/>
        <item m="1" x="252"/>
        <item m="1" x="48"/>
        <item m="1" x="91"/>
        <item m="1" x="223"/>
        <item m="1" x="232"/>
        <item m="1" x="185"/>
        <item m="1" x="153"/>
        <item m="1" x="194"/>
        <item m="1" x="167"/>
        <item m="1" x="240"/>
        <item m="1" x="217"/>
        <item m="1" x="159"/>
        <item m="1" x="212"/>
        <item m="1" x="166"/>
        <item m="1" x="225"/>
        <item m="1" x="152"/>
        <item m="1" x="172"/>
        <item m="1" x="243"/>
        <item m="1" x="138"/>
        <item m="1" x="211"/>
        <item m="1" x="173"/>
        <item m="1" x="241"/>
        <item m="1" x="206"/>
        <item m="1" x="233"/>
        <item m="1" x="174"/>
        <item m="1" x="77"/>
        <item m="1" x="130"/>
        <item m="1" x="176"/>
        <item m="1" x="171"/>
        <item m="1" x="144"/>
        <item m="1" x="231"/>
        <item m="1" x="186"/>
        <item m="1" x="237"/>
        <item m="1" x="213"/>
        <item m="1" x="162"/>
        <item m="1" x="62"/>
        <item m="1" x="193"/>
        <item m="1" x="251"/>
        <item m="1" x="209"/>
        <item m="1" x="157"/>
        <item m="1" x="229"/>
        <item m="1" x="139"/>
        <item m="1" x="235"/>
        <item m="1" x="249"/>
        <item m="1" x="163"/>
        <item m="1" x="195"/>
        <item m="1" x="154"/>
        <item m="1" x="146"/>
        <item m="1" x="226"/>
        <item m="1" x="177"/>
        <item m="1" x="228"/>
        <item m="1" x="205"/>
        <item m="1" x="126"/>
        <item m="1" x="73"/>
        <item m="1" x="137"/>
        <item m="1" x="230"/>
        <item m="1" x="175"/>
        <item m="1" x="148"/>
        <item m="1" x="158"/>
        <item m="1" x="181"/>
        <item m="1" x="214"/>
        <item m="1" x="227"/>
        <item m="1" x="236"/>
        <item m="1" x="222"/>
        <item m="1" x="220"/>
        <item m="1" x="45"/>
        <item m="1" x="210"/>
        <item m="1" x="72"/>
        <item m="1" x="224"/>
        <item m="1" x="254"/>
        <item m="1" x="189"/>
        <item m="1" x="164"/>
        <item m="1" x="150"/>
        <item m="1" x="41"/>
        <item m="1" x="250"/>
        <item m="1" x="248"/>
        <item m="1" x="196"/>
        <item m="1" x="67"/>
        <item m="1" x="197"/>
        <item m="1" x="182"/>
        <item m="1" x="178"/>
        <item m="1" x="216"/>
        <item m="1" x="151"/>
        <item m="1" x="207"/>
        <item m="1" x="187"/>
        <item m="1" x="239"/>
        <item m="1" x="244"/>
        <item m="1" x="170"/>
        <item m="1" x="215"/>
        <item m="1" x="253"/>
        <item m="1" x="149"/>
        <item m="1" x="238"/>
        <item m="1" x="169"/>
        <item m="1" x="147"/>
        <item m="1" x="245"/>
        <item m="1" x="221"/>
        <item m="1" x="71"/>
        <item m="1" x="202"/>
        <item m="1" x="140"/>
        <item m="1" x="198"/>
        <item m="1" x="165"/>
        <item m="1" x="155"/>
        <item m="1" x="179"/>
        <item m="1" x="203"/>
        <item m="1" x="145"/>
        <item m="1" x="247"/>
        <item m="1" x="200"/>
        <item m="1" x="191"/>
        <item m="1" x="64"/>
        <item m="1" x="119"/>
        <item m="1" x="120"/>
        <item m="1" x="121"/>
        <item m="1" x="122"/>
        <item m="1" x="123"/>
        <item m="1" x="124"/>
        <item m="1" x="136"/>
        <item m="1" x="44"/>
        <item m="1" x="69"/>
        <item m="1" x="25"/>
        <item m="1" x="125"/>
        <item m="1" x="37"/>
        <item m="1" x="127"/>
        <item m="1" x="128"/>
        <item m="1" x="38"/>
        <item m="1" x="131"/>
        <item m="1" x="132"/>
        <item m="1" x="133"/>
        <item m="1" x="134"/>
        <item m="1" x="135"/>
        <item m="1" x="23"/>
        <item m="1" x="97"/>
        <item m="1" x="98"/>
        <item m="1" x="99"/>
        <item m="1" x="100"/>
        <item m="1" x="101"/>
        <item m="1" x="102"/>
        <item m="1" x="103"/>
        <item m="1" x="104"/>
        <item m="1" x="53"/>
        <item m="1" x="105"/>
        <item m="1" x="106"/>
        <item m="1" x="107"/>
        <item m="1" x="56"/>
        <item m="1" x="108"/>
        <item m="1" x="109"/>
        <item m="1" x="110"/>
        <item m="1" x="111"/>
        <item m="1" x="112"/>
        <item m="1" x="113"/>
        <item m="1" x="114"/>
        <item m="1" x="115"/>
        <item m="1" x="116"/>
        <item m="1" x="117"/>
        <item m="1" x="118"/>
        <item m="1" x="85"/>
        <item m="1" x="86"/>
        <item m="1" x="87"/>
        <item m="1" x="88"/>
        <item m="1" x="89"/>
        <item m="1" x="90"/>
        <item m="1" x="52"/>
        <item m="1" x="92"/>
        <item m="1" x="93"/>
        <item m="1" x="94"/>
        <item m="1" x="95"/>
        <item m="1" x="96"/>
        <item m="1" x="83"/>
        <item m="1" x="84"/>
        <item m="1" x="75"/>
        <item m="1" x="76"/>
        <item m="1" x="78"/>
        <item m="1" x="79"/>
        <item m="1" x="80"/>
        <item m="1" x="81"/>
        <item m="1" x="30"/>
        <item m="1" x="74"/>
        <item m="1" x="29"/>
        <item m="1" x="68"/>
        <item m="1" x="70"/>
        <item m="1" x="32"/>
        <item m="1" x="46"/>
        <item m="1" x="16"/>
        <item m="1" x="49"/>
        <item m="1" x="50"/>
        <item m="1" x="51"/>
        <item m="1" x="54"/>
        <item m="1" x="55"/>
        <item m="1" x="58"/>
        <item m="1" x="59"/>
        <item m="1" x="61"/>
        <item m="1" x="28"/>
        <item m="1" x="33"/>
        <item m="1" x="34"/>
        <item m="1" x="35"/>
        <item m="1" x="36"/>
        <item m="1" x="40"/>
        <item m="1" x="42"/>
        <item m="1" x="31"/>
        <item m="1" x="27"/>
        <item m="1" x="13"/>
        <item m="1" x="24"/>
        <item m="1" x="14"/>
        <item m="1" x="17"/>
        <item m="1" x="18"/>
        <item m="1" x="11"/>
        <item m="1" x="19"/>
        <item m="1" x="12"/>
        <item m="1" x="20"/>
        <item m="1" x="21"/>
        <item m="1" x="26"/>
        <item m="1" x="9"/>
        <item m="1" x="10"/>
        <item m="1" x="1"/>
        <item m="1" x="2"/>
        <item m="1" x="3"/>
        <item m="1" x="4"/>
        <item m="1" x="5"/>
        <item m="1" x="6"/>
        <item m="1" x="7"/>
        <item m="1" x="8"/>
        <item t="default"/>
      </items>
    </pivotField>
    <pivotField showAll="0"/>
    <pivotField axis="axisRow" showAll="0">
      <items count="199">
        <item x="0"/>
        <item m="1" x="18"/>
        <item m="1" x="130"/>
        <item m="1" x="167"/>
        <item m="1" x="180"/>
        <item m="1" x="131"/>
        <item m="1" x="117"/>
        <item m="1" x="36"/>
        <item m="1" x="4"/>
        <item m="1" x="50"/>
        <item m="1" x="127"/>
        <item m="1" x="154"/>
        <item m="1" x="85"/>
        <item m="1" x="93"/>
        <item m="1" x="183"/>
        <item m="1" x="176"/>
        <item m="1" x="148"/>
        <item m="1" x="149"/>
        <item m="1" x="41"/>
        <item m="1" x="38"/>
        <item m="1" x="123"/>
        <item m="1" x="104"/>
        <item m="1" x="191"/>
        <item m="1" x="71"/>
        <item m="1" x="88"/>
        <item m="1" x="87"/>
        <item m="1" x="170"/>
        <item m="1" x="141"/>
        <item m="1" x="109"/>
        <item m="1" x="103"/>
        <item m="1" x="166"/>
        <item m="1" x="122"/>
        <item m="1" x="73"/>
        <item m="1" x="89"/>
        <item m="1" x="197"/>
        <item m="1" x="172"/>
        <item m="1" x="179"/>
        <item m="1" x="19"/>
        <item m="1" x="169"/>
        <item m="1" x="102"/>
        <item m="1" x="119"/>
        <item m="1" x="151"/>
        <item m="1" x="14"/>
        <item m="1" x="192"/>
        <item m="1" x="128"/>
        <item m="1" x="124"/>
        <item m="1" x="168"/>
        <item m="1" x="106"/>
        <item m="1" x="116"/>
        <item m="1" x="132"/>
        <item m="1" x="121"/>
        <item m="1" x="195"/>
        <item m="1" x="97"/>
        <item m="1" x="115"/>
        <item m="1" x="126"/>
        <item m="1" x="96"/>
        <item m="1" x="79"/>
        <item m="1" x="90"/>
        <item m="1" x="162"/>
        <item m="1" x="185"/>
        <item m="1" x="120"/>
        <item m="1" x="101"/>
        <item m="1" x="173"/>
        <item m="1" x="156"/>
        <item m="1" x="145"/>
        <item m="1" x="194"/>
        <item m="1" x="75"/>
        <item m="1" x="165"/>
        <item m="1" x="105"/>
        <item m="1" x="177"/>
        <item m="1" x="186"/>
        <item m="1" x="112"/>
        <item m="1" x="111"/>
        <item m="1" x="118"/>
        <item m="1" x="113"/>
        <item m="1" x="152"/>
        <item m="1" x="161"/>
        <item m="1" x="144"/>
        <item m="1" x="146"/>
        <item m="1" x="91"/>
        <item m="1" x="155"/>
        <item m="1" x="129"/>
        <item m="1" x="9"/>
        <item m="1" x="147"/>
        <item m="1" x="133"/>
        <item m="1" x="142"/>
        <item m="1" x="158"/>
        <item m="1" x="125"/>
        <item m="1" x="135"/>
        <item m="1" x="160"/>
        <item m="1" x="188"/>
        <item m="1" x="171"/>
        <item m="1" x="150"/>
        <item m="1" x="143"/>
        <item m="1" x="175"/>
        <item m="1" x="193"/>
        <item m="1" x="108"/>
        <item m="1" x="137"/>
        <item m="1" x="159"/>
        <item m="1" x="95"/>
        <item m="1" x="80"/>
        <item m="1" x="182"/>
        <item m="1" x="196"/>
        <item m="1" x="174"/>
        <item m="1" x="114"/>
        <item m="1" x="139"/>
        <item m="1" x="184"/>
        <item m="1" x="189"/>
        <item m="1" x="178"/>
        <item m="1" x="92"/>
        <item m="1" x="140"/>
        <item m="1" x="190"/>
        <item m="1" x="110"/>
        <item m="1" x="100"/>
        <item m="1" x="187"/>
        <item m="1" x="181"/>
        <item m="1" x="163"/>
        <item m="1" x="138"/>
        <item m="1" x="164"/>
        <item m="1" x="157"/>
        <item m="1" x="153"/>
        <item m="1" x="136"/>
        <item m="1" x="99"/>
        <item m="1" x="98"/>
        <item m="1" x="107"/>
        <item m="1" x="134"/>
        <item m="1" x="94"/>
        <item m="1" x="63"/>
        <item m="1" x="64"/>
        <item m="1" x="65"/>
        <item m="1" x="66"/>
        <item m="1" x="67"/>
        <item m="1" x="68"/>
        <item m="1" x="69"/>
        <item m="1" x="70"/>
        <item m="1" x="84"/>
        <item m="1" x="86"/>
        <item m="1" x="17"/>
        <item m="1" x="82"/>
        <item m="1" x="83"/>
        <item m="1" x="72"/>
        <item m="1" x="13"/>
        <item m="1" x="74"/>
        <item m="1" x="76"/>
        <item m="1" x="77"/>
        <item m="1" x="78"/>
        <item m="1" x="81"/>
        <item m="1" x="49"/>
        <item m="1" x="51"/>
        <item m="1" x="52"/>
        <item m="1" x="53"/>
        <item m="1" x="54"/>
        <item m="1" x="55"/>
        <item m="1" x="56"/>
        <item m="1" x="57"/>
        <item m="1" x="58"/>
        <item m="1" x="59"/>
        <item m="1" x="60"/>
        <item m="1" x="61"/>
        <item m="1" x="62"/>
        <item m="1" x="43"/>
        <item m="1" x="44"/>
        <item m="1" x="45"/>
        <item m="1" x="46"/>
        <item m="1" x="31"/>
        <item m="1" x="47"/>
        <item m="1" x="48"/>
        <item m="1" x="39"/>
        <item m="1" x="40"/>
        <item m="1" x="42"/>
        <item m="1" x="33"/>
        <item m="1" x="34"/>
        <item m="1" x="35"/>
        <item m="1" x="37"/>
        <item m="1" x="32"/>
        <item m="1" x="23"/>
        <item m="1" x="24"/>
        <item m="1" x="25"/>
        <item m="1" x="26"/>
        <item m="1" x="27"/>
        <item m="1" x="28"/>
        <item m="1" x="29"/>
        <item m="1" x="30"/>
        <item m="1" x="1"/>
        <item m="1" x="20"/>
        <item m="1" x="21"/>
        <item m="1" x="22"/>
        <item m="1" x="7"/>
        <item m="1" x="11"/>
        <item m="1" x="12"/>
        <item m="1" x="15"/>
        <item m="1" x="16"/>
        <item m="1" x="8"/>
        <item m="1" x="10"/>
        <item m="1" x="5"/>
        <item m="1" x="3"/>
        <item m="1" x="2"/>
        <item m="1" x="6"/>
        <item t="default"/>
      </items>
    </pivotField>
    <pivotField showAll="0"/>
    <pivotField showAll="0"/>
    <pivotField showAll="0"/>
    <pivotField showAll="0"/>
    <pivotField showAll="0"/>
    <pivotField showAll="0"/>
    <pivotField showAll="0"/>
  </pivotFields>
  <rowFields count="4">
    <field x="8"/>
    <field x="11"/>
    <field x="13"/>
    <field x="1"/>
  </rowFields>
  <rowItems count="5">
    <i>
      <x/>
    </i>
    <i r="1">
      <x/>
    </i>
    <i r="2">
      <x/>
    </i>
    <i r="3">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81BBD4-2DB8-4A00-9D79-361277FAC6B6}" name="tblPMs" displayName="tblPMs" ref="A10:B11" totalsRowShown="0">
  <autoFilter ref="A10:B11" xr:uid="{8A81BBD4-2DB8-4A00-9D79-361277FAC6B6}"/>
  <tableColumns count="2">
    <tableColumn id="1" xr3:uid="{431DA58B-C3B4-4C2C-81C9-5D81E32E5296}" name="PMs Names"/>
    <tableColumn id="2" xr3:uid="{5CC241CE-9CDF-49C0-847C-540E7437074F}" name="PMs email"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C8B4EF-2A32-477C-8FC2-8A910EA7E0AA}" name="tblAppSum" displayName="tblAppSum" ref="A2:Y3" headerRowDxfId="480" dataDxfId="478" headerRowBorderDxfId="479" tableBorderDxfId="477">
  <autoFilter ref="A2:Y3" xr:uid="{434BD3CE-51D8-4DFD-B000-10B2A20414DB}"/>
  <sortState xmlns:xlrd2="http://schemas.microsoft.com/office/spreadsheetml/2017/richdata2" ref="A3:Y3">
    <sortCondition ref="A3"/>
  </sortState>
  <tableColumns count="25">
    <tableColumn id="1" xr3:uid="{2EA93F78-A511-4636-B348-DA82FDA965B9}" name="Supported Application" totalsRowFunction="custom" dataDxfId="476" totalsRowDxfId="475">
      <totalsRowFormula>CONCATENATE("Total Apps: ",COUNTIFS(tblAppSum[TOTAL-OS],"&gt;0"))</totalsRowFormula>
    </tableColumn>
    <tableColumn id="2" xr3:uid="{E5379C42-0A6A-43F8-BC25-795F7FFE20BE}" name="AIX-LPAR" totalsRowFunction="sum" dataDxfId="474" totalsRowDxfId="473">
      <calculatedColumnFormula>_xlfn.LET(_xlpm.AppCount,COUNTIFS(tblPMView[Scope],"",tblPMView[Application],tblAppSum[[#This Row],[Supported Application]],tblPMView[Device Type],B$2),IF(_xlpm.AppCount=0,"",_xlpm.AppCount))</calculatedColumnFormula>
    </tableColumn>
    <tableColumn id="3" xr3:uid="{244C4C22-7CD7-431A-8539-3E6D8365ACDE}" name="Linux-VM-Power" totalsRowFunction="sum" dataDxfId="472" totalsRowDxfId="471">
      <calculatedColumnFormula>_xlfn.LET(_xlpm.AppCount,COUNTIFS(tblPMView[Scope],"",tblPMView[Application],tblAppSum[[#This Row],[Supported Application]],tblPMView[Device Type],C$2),IF(_xlpm.AppCount=0,"",_xlpm.AppCount))</calculatedColumnFormula>
    </tableColumn>
    <tableColumn id="26" xr3:uid="{722C7A8C-9B19-4D61-AF04-F955DF2F24E7}" name="Server" totalsRowFunction="sum" dataDxfId="470" totalsRowDxfId="469">
      <calculatedColumnFormula>_xlfn.LET(_xlpm.AppCount,COUNTIFS(tblPMView[Scope],"",tblPMView[Application],tblAppSum[[#This Row],[Supported Application]],tblPMView[Device Type],D$2),IF(_xlpm.AppCount=0,"",_xlpm.AppCount))</calculatedColumnFormula>
    </tableColumn>
    <tableColumn id="4" xr3:uid="{51FD6A50-749B-4F94-AB89-B4C23C18CBC8}" name="VM" totalsRowFunction="sum" dataDxfId="468" totalsRowDxfId="467">
      <calculatedColumnFormula>_xlfn.LET(_xlpm.AppCount,COUNTIFS(tblPMView[Scope],"",tblPMView[Application],tblAppSum[[#This Row],[Supported Application]],tblPMView[Device Type],E$2),IF(_xlpm.AppCount=0,"",_xlpm.AppCount))</calculatedColumnFormula>
    </tableColumn>
    <tableColumn id="28" xr3:uid="{5DCCA95C-927D-47F5-A949-641210AB3C9F}" name="Oth-Dev" totalsRowFunction="sum" dataDxfId="466" totalsRowDxfId="465">
      <calculatedColumnFormula>_xlfn.LET(_xlpm.AppCount,COUNTIFS(tblPMView[Scope],"",tblPMView[Application],tblAppSum[[#This Row],[Supported Application]])-SUM(tblAppSum[[#This Row],[AIX-LPAR]:[VM]]),IF(_xlpm.AppCount=0,"",_xlpm.AppCount))</calculatedColumnFormula>
    </tableColumn>
    <tableColumn id="5" xr3:uid="{B7D49367-2F27-49EE-905B-AD894728BF7C}" name="AIX" totalsRowFunction="sum" dataDxfId="464" totalsRowDxfId="463">
      <calculatedColumnFormula>_xlfn.LET(_xlpm.AppCount,COUNTIFS(tblPMView[Scope],"",tblPMView[Application],tblAppSum[[#This Row],[Supported Application]],tblPMView[OS],G$2),IF(_xlpm.AppCount=0,"",_xlpm.AppCount))</calculatedColumnFormula>
    </tableColumn>
    <tableColumn id="27" xr3:uid="{4C7932C0-CFA4-4DFD-A404-E342F01C99CD}" name="PwrLnx" totalsRowFunction="sum" dataDxfId="462" totalsRowDxfId="461">
      <calculatedColumnFormula>_xlfn.LET(_xlpm.AppCount,COUNTIFS(tblPMView[Scope],"",tblPMView[Application],tblAppSum[[#This Row],[Supported Application]],tblPMView[OS],H$2),IF(_xlpm.AppCount=0,"",_xlpm.AppCount))</calculatedColumnFormula>
    </tableColumn>
    <tableColumn id="6" xr3:uid="{3ED57DEF-D0C2-4088-BE3F-E0AB4A375B7B}" name="Linux" totalsRowFunction="sum" dataDxfId="460" totalsRowDxfId="459">
      <calculatedColumnFormula>_xlfn.LET(_xlpm.AppCount,COUNTIFS(tblPMView[Scope],"",tblPMView[Application],tblAppSum[[#This Row],[Supported Application]],tblPMView[OS],I$2),IF(_xlpm.AppCount=0,"",_xlpm.AppCount))</calculatedColumnFormula>
    </tableColumn>
    <tableColumn id="7" xr3:uid="{D8E696C6-9596-40B4-8EF0-F9960439D6AB}" name="MS Win" totalsRowFunction="sum" dataDxfId="458" totalsRowDxfId="457">
      <calculatedColumnFormula>_xlfn.LET(_xlpm.AppCount,COUNTIFS(tblPMView[Scope],"",tblPMView[Scope],"",tblPMView[Scope],"",tblPMView[Application],tblAppSum[[#This Row],[Supported Application]],tblPMView[OS],J$2),IF(_xlpm.AppCount=0,"",_xlpm.AppCount))</calculatedColumnFormula>
    </tableColumn>
    <tableColumn id="8" xr3:uid="{10B1B129-5175-458A-8D57-34A1A956228E}" name="OSCP" totalsRowFunction="sum" dataDxfId="456" totalsRowDxfId="455">
      <calculatedColumnFormula>_xlfn.LET(_xlpm.AppCount,COUNTIFS(tblPMView[Scope],"",tblPMView[Application],tblAppSum[[#This Row],[Supported Application]],tblPMView[OS],K$2),IF(_xlpm.AppCount=0,"",_xlpm.AppCount))</calculatedColumnFormula>
    </tableColumn>
    <tableColumn id="9" xr3:uid="{39AF1F48-12CA-407E-97EB-D07A12AFBF00}" name="RHEL" totalsRowFunction="sum" dataDxfId="454" totalsRowDxfId="453">
      <calculatedColumnFormula>_xlfn.LET(_xlpm.AppCount,COUNTIFS(tblPMView[Scope],"",tblPMView[Application],tblAppSum[[#This Row],[Supported Application]],tblPMView[OS],L$2),IF(_xlpm.AppCount=0,"",_xlpm.AppCount))</calculatedColumnFormula>
    </tableColumn>
    <tableColumn id="11" xr3:uid="{2DCF305A-03D5-4ADC-AFC2-6738A44A25CD}" name="Other-OS" totalsRowFunction="sum" dataDxfId="452" totalsRowDxfId="451">
      <calculatedColumnFormula>_xlfn.LET(_xlpm.AppCount,COUNTIFS(tblPMView[Scope],"",tblPMView[Application],tblAppSum[[#This Row],[Supported Application]])-SUM(tblAppSum[[#This Row],[AIX]:[RHEL]]),IF(_xlpm.AppCount=0,"",_xlpm.AppCount))</calculatedColumnFormula>
    </tableColumn>
    <tableColumn id="12" xr3:uid="{F26D91C3-67A9-4492-A4C8-36ACD683A326}" name="TOTAL-OS" totalsRowFunction="sum" dataDxfId="450" totalsRowDxfId="449">
      <calculatedColumnFormula>SUM(tblAppSum[[#This Row],[AIX]:[Other-OS]])</calculatedColumnFormula>
    </tableColumn>
    <tableColumn id="13" xr3:uid="{19B6189B-5A06-408A-8705-59876FDFEF8D}" name="DB2" totalsRowFunction="sum" dataDxfId="448" totalsRowDxfId="447">
      <calculatedColumnFormula>_xlfn.LET(_xlpm.AppCount,COUNTIFS(tblPMView[Scope],"",tblPMView[Application],tblAppSum[[#This Row],[Supported Application]],tblPMView[DB],O$2),IF(_xlpm.AppCount=0,"",_xlpm.AppCount))</calculatedColumnFormula>
    </tableColumn>
    <tableColumn id="14" xr3:uid="{AE54B614-56C6-4ECE-8287-F062EDD0648A}" name="MDB" totalsRowFunction="sum" dataDxfId="446" totalsRowDxfId="445">
      <calculatedColumnFormula>_xlfn.LET(_xlpm.AppCount,COUNTIFS(tblPMView[Scope],"",tblPMView[Application],tblAppSum[[#This Row],[Supported Application]],tblPMView[DB],P$2),IF(_xlpm.AppCount=0,"",_xlpm.AppCount))</calculatedColumnFormula>
    </tableColumn>
    <tableColumn id="15" xr3:uid="{D5C153F2-30BC-4F62-973C-2D4B8D05744F}" name="ORA" totalsRowFunction="sum" dataDxfId="444" totalsRowDxfId="443">
      <calculatedColumnFormula>_xlfn.LET(_xlpm.AppCount,COUNTIFS(tblPMView[Scope],"",tblPMView[Application],tblAppSum[[#This Row],[Supported Application]],tblPMView[DB],Q$2),IF(_xlpm.AppCount=0,"",_xlpm.AppCount))</calculatedColumnFormula>
    </tableColumn>
    <tableColumn id="16" xr3:uid="{C439E86C-C684-4453-A21E-0BA3D2131C39}" name="SQL" totalsRowFunction="sum" dataDxfId="442" totalsRowDxfId="441">
      <calculatedColumnFormula>_xlfn.LET(_xlpm.AppCount,COUNTIFS(tblPMView[Scope],"",tblPMView[Application],tblAppSum[[#This Row],[Supported Application]],tblPMView[DB],R$2),IF(_xlpm.AppCount=0,"",_xlpm.AppCount))</calculatedColumnFormula>
    </tableColumn>
    <tableColumn id="17" xr3:uid="{614E1E55-7FE5-4AAB-8FA4-AD4AEF557345}" name="SYB" totalsRowFunction="sum" dataDxfId="440" totalsRowDxfId="439">
      <calculatedColumnFormula>_xlfn.LET(_xlpm.AppCount,COUNTIFS(tblPMView[Scope],"",tblPMView[Application],tblAppSum[[#This Row],[Supported Application]],tblPMView[DB],S$2),IF(_xlpm.AppCount=0,"",_xlpm.AppCount))</calculatedColumnFormula>
    </tableColumn>
    <tableColumn id="18" xr3:uid="{DB4D736F-2FD3-4B70-8207-6C062221224A}" name="UDB" totalsRowFunction="sum" dataDxfId="438" totalsRowDxfId="437">
      <calculatedColumnFormula>_xlfn.LET(_xlpm.AppCount,COUNTIFS(tblPMView[Scope],"",tblPMView[Application],tblAppSum[[#This Row],[Supported Application]],tblPMView[DB],T$2),IF(_xlpm.AppCount=0,"",_xlpm.AppCount))</calculatedColumnFormula>
    </tableColumn>
    <tableColumn id="19" xr3:uid="{C21E9E23-8600-409E-A255-80CFC3C67DC8}" name="Other-DB" totalsRowFunction="sum" dataDxfId="436" totalsRowDxfId="435">
      <calculatedColumnFormula>IFERROR(_xlfn.LET(_xlpm.DBCount,COUNTIFS(tblPMView[Scope],"",tblPMView[Application],tblAppSum[[#This Row],[Supported Application]],tblPMView[DB],"&gt; "),IF(_xlpm.DBCount=0,"",_xlpm.DBCount))-SUM(tblAppSum[[#This Row],[DB2]:[UDB]]),"")</calculatedColumnFormula>
    </tableColumn>
    <tableColumn id="20" xr3:uid="{F54E2F5B-931E-4527-8524-18FA031CAA55}" name="TOTAL-DB" totalsRowFunction="sum" dataDxfId="434" totalsRowDxfId="433">
      <calculatedColumnFormula>SUM(tblAppSum[[#This Row],[DB2]:[Other-DB]])</calculatedColumnFormula>
    </tableColumn>
    <tableColumn id="21" xr3:uid="{ABED56BE-E9DF-4B49-B3D0-A27BB4CDC577}" name="No CS" totalsRowFunction="sum" dataDxfId="432" totalsRowDxfId="431">
      <calculatedColumnFormula>_xlfn.LET(_xlpm.CSCount,COUNTIFS(tblPMView[Scope],"",tblPMView[Application],tblAppSum[[#This Row],[Supported Application]],tblPMView[CS],"&lt;&gt;Yes"),IF(_xlpm.CSCount=0,"",_xlpm.CSCount))</calculatedColumnFormula>
    </tableColumn>
    <tableColumn id="22" xr3:uid="{25632BDA-A59D-4806-9F84-406AE861F239}" name="DMZ" totalsRowFunction="sum" dataDxfId="430" totalsRowDxfId="429">
      <calculatedColumnFormula>_xlfn.LET(_xlpm.DMZCount,COUNTIFS(tblPMView[Scope],"",tblPMView[Application],tblAppSum[[#This Row],[Supported Application]],tblPMView[DMZ],"Yes"),IF(_xlpm.DMZCount=0,"",_xlpm.DMZCount))</calculatedColumnFormula>
    </tableColumn>
    <tableColumn id="23" xr3:uid="{B29E7F5D-ECC8-428E-BC71-DE0A7524A17D}" name="F5/LB" totalsRowFunction="sum" dataDxfId="428" totalsRowDxfId="427">
      <calculatedColumnFormula>_xlfn.LET(_xlpm.F5Count,COUNTIFS(tblPMView[Scope],"",tblPMView[Application],tblAppSum[[#This Row],[Supported Application]],tblPMView[LB],"&lt;=Yes"),IF(_xlpm.F5Count=0,"",_xlpm.F5Count))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D688826-2582-43E4-8E6D-21D8628BDB7F}" name="tblCSDist" displayName="tblCSDist" ref="H7:J16" totalsRowCount="1" headerRowDxfId="426">
  <autoFilter ref="H7:J15" xr:uid="{1D688826-2582-43E4-8E6D-21D8628BDB7F}"/>
  <tableColumns count="3">
    <tableColumn id="1" xr3:uid="{8A72458B-C7B2-4467-BEC4-5D27F407A999}" name="CS Status" totalsRowLabel="Total" dataDxfId="425" totalsRowDxfId="424"/>
    <tableColumn id="2" xr3:uid="{63C27C42-EAF5-42E2-8F83-2F5FCDE3DAAE}" name="Qty" totalsRowFunction="sum" dataDxfId="423" totalsRowDxfId="422">
      <calculatedColumnFormula>COUNTIF(tblTM[device_custom33],tblCSDist[[#This Row],[CS Status]])</calculatedColumnFormula>
    </tableColumn>
    <tableColumn id="3" xr3:uid="{D59FD5DA-1079-4829-8166-E6B2FE2794A8}" name="Pct" totalsRowFunction="sum" dataDxfId="421" totalsRowDxfId="420" dataCellStyle="Percent">
      <calculatedColumnFormula>tblCSDist[[#This Row],[Qty]]/tblCSDist[[#Totals],[Qty]]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99FD67-A67E-4E1E-B27C-9ED61053133B}" name="tblAppSumTot" displayName="tblAppSumTot" ref="A4:Y5" headerRowBorderDxfId="419" tableBorderDxfId="418" totalsRowBorderDxfId="417">
  <autoFilter ref="A4:Y5" xr:uid="{4699FD67-A67E-4E1E-B27C-9ED61053133B}"/>
  <tableColumns count="25">
    <tableColumn id="1" xr3:uid="{757F376A-AAFC-40B0-A5AE-E3C329C3AC8C}" name="Applications" dataDxfId="416" totalsRowDxfId="415">
      <calculatedColumnFormula>ROWS(tblAppSum[Supported Application])</calculatedColumnFormula>
    </tableColumn>
    <tableColumn id="2" xr3:uid="{ADB6F868-555D-458C-83B4-185968F08002}" name="AIX-LPAR" dataDxfId="414" totalsRowDxfId="413">
      <calculatedColumnFormula>_xlfn.LET(_xlpm.AppCount,COUNTIFS(tblTM[device_assetType],B$2),IF(_xlpm.AppCount=0,"",_xlpm.AppCount))</calculatedColumnFormula>
    </tableColumn>
    <tableColumn id="3" xr3:uid="{F5DB0821-E142-415A-8697-AD4A9C310B8B}" name="Linux-VM-Power" dataDxfId="412" totalsRowDxfId="411">
      <calculatedColumnFormula>_xlfn.LET(_xlpm.AppCount,COUNTIFS(tblTM[device_assetType],C$2),IF(_xlpm.AppCount=0,"",_xlpm.AppCount))</calculatedColumnFormula>
    </tableColumn>
    <tableColumn id="4" xr3:uid="{5D7E1091-6040-4DEB-8FC7-84A1FC79B1E7}" name="Server" dataDxfId="410" totalsRowDxfId="409">
      <calculatedColumnFormula>_xlfn.LET(_xlpm.AppCount,COUNTIFS(tblTM[device_assetType],D$2),IF(_xlpm.AppCount=0,"",_xlpm.AppCount))</calculatedColumnFormula>
    </tableColumn>
    <tableColumn id="5" xr3:uid="{0ADACF78-AA96-496D-89C5-5F31ECA5201A}" name="VM" dataDxfId="408" totalsRowDxfId="407">
      <calculatedColumnFormula>_xlfn.LET(_xlpm.AppCount,COUNTIFS(tblTM[device_assetType],E$2),IF(_xlpm.AppCount=0,"",_xlpm.AppCount))</calculatedColumnFormula>
    </tableColumn>
    <tableColumn id="6" xr3:uid="{6A36A7D5-0B03-47C2-8AD2-84FD75776F43}" name="Oth-Dev" dataDxfId="406" totalsRowDxfId="405">
      <calculatedColumnFormula>_xlfn.LET(_xlpm.AppCount,ROWS(tblTM[common_assetName])-SUM(AppSum!$B5:$E5),IF(_xlpm.AppCount=0,"",_xlpm.AppCount))</calculatedColumnFormula>
    </tableColumn>
    <tableColumn id="7" xr3:uid="{0641FA0E-B5A3-47A7-80F9-E26AE2153A5E}" name="AIX" dataDxfId="404" totalsRowDxfId="403">
      <calculatedColumnFormula>_xlfn.LET(_xlpm.AppCount,COUNTIFS(tblTM[device_os],G$2),IF(_xlpm.AppCount=0,"",_xlpm.AppCount))</calculatedColumnFormula>
    </tableColumn>
    <tableColumn id="8" xr3:uid="{9B219688-0BB1-4155-80C4-2AD28825D062}" name="Power Linux" dataDxfId="402" totalsRowDxfId="401">
      <calculatedColumnFormula>_xlfn.LET(_xlpm.AppCount,COUNTIFS(tblTM[device_os],AppSum!$H$4),IF(_xlpm.AppCount=0,"",_xlpm.AppCount))</calculatedColumnFormula>
    </tableColumn>
    <tableColumn id="9" xr3:uid="{E3FEF97A-A56C-4D2D-B8DD-797BB79C7A15}" name="Linux" dataDxfId="400" totalsRowDxfId="399">
      <calculatedColumnFormula>_xlfn.LET(_xlpm.AppCount,COUNTIF(tblTM[device_os],"*Linux*")-COUNTIF(tblTM[device_os],"*Linux Red*")-(COUNTIFS(tblTM[device_custom31],"*Red*")+COUNTIFS(tblTM[device_custom31],"*OpenShift*")),IF(_xlpm.AppCount=0,"",_xlpm.AppCount))</calculatedColumnFormula>
    </tableColumn>
    <tableColumn id="10" xr3:uid="{4C5775B1-94AE-46DB-84F6-1C2FEF3F756B}" name="MS Win" dataDxfId="398" totalsRowDxfId="397">
      <calculatedColumnFormula>_xlfn.LET(_xlpm.AppCount,COUNTIFS(tblTM[device_os],"*Windows*"),IF(_xlpm.AppCount=0,"",_xlpm.AppCount))</calculatedColumnFormula>
    </tableColumn>
    <tableColumn id="11" xr3:uid="{2B2EAE81-4981-479A-9750-44485BD0F165}" name="OSCP" dataDxfId="396" totalsRowDxfId="395">
      <calculatedColumnFormula>_xlfn.LET(_xlpm.AppCount,COUNTIFS(tblTM[device_custom31],"OpenShift*"),IF(_xlpm.AppCount=0,"",_xlpm.AppCount))</calculatedColumnFormula>
    </tableColumn>
    <tableColumn id="12" xr3:uid="{D2FAD290-71F4-4628-861D-1FA3DD30CEE6}" name="RHEL" dataDxfId="394" totalsRowDxfId="393">
      <calculatedColumnFormula>_xlfn.LET(_xlpm.AppCount,COUNTIFS(tblTM[device_os],"*Red*")+COUNTIFS(tblTM[device_custom31],"*Red*"),IF(_xlpm.AppCount=0,"",_xlpm.AppCount))</calculatedColumnFormula>
    </tableColumn>
    <tableColumn id="13" xr3:uid="{4E602030-3AC5-4289-87DB-A77C972D2279}" name="Other-OS" dataDxfId="392" totalsRowDxfId="391">
      <calculatedColumnFormula>ROWS(tblTM[device_os])-SUM(AppSum!$G5:$L5)</calculatedColumnFormula>
    </tableColumn>
    <tableColumn id="14" xr3:uid="{91061EA7-A273-426E-8CBF-9AA1DDC8A479}" name="TOTAL-OS" dataDxfId="390" totalsRowDxfId="389">
      <calculatedColumnFormula>SUM(AppSum!$G5:$M5)</calculatedColumnFormula>
    </tableColumn>
    <tableColumn id="15" xr3:uid="{E5E821C0-C418-48DA-946A-A2681D3778FE}" name="DB2" dataDxfId="388" totalsRowDxfId="387">
      <calculatedColumnFormula>_xlfn.LET(_xlpm.AppCount,COUNTIFS(tblTM[device_custom20],O$2&amp;"*"),IF(_xlpm.AppCount=0,"",_xlpm.AppCount))</calculatedColumnFormula>
    </tableColumn>
    <tableColumn id="16" xr3:uid="{B9F52B90-FB43-4537-8BE4-9C22CD42E202}" name="MDB" dataDxfId="386" totalsRowDxfId="385">
      <calculatedColumnFormula>_xlfn.LET(_xlpm.AppCount,COUNTIFS(tblTM[device_custom20],P$2),IF(_xlpm.AppCount=0,"",_xlpm.AppCount))</calculatedColumnFormula>
    </tableColumn>
    <tableColumn id="17" xr3:uid="{102D4845-D654-45F3-AD6C-266A3BE645DD}" name="ORA" dataDxfId="384" totalsRowDxfId="383">
      <calculatedColumnFormula>_xlfn.LET(_xlpm.AppCount,COUNTIFS(tblTM[device_custom20],LEFT(Q$2,2)&amp;"*"),IF(_xlpm.AppCount=0,"",_xlpm.AppCount))</calculatedColumnFormula>
    </tableColumn>
    <tableColumn id="18" xr3:uid="{FB824FDB-BB38-45FD-8A15-3252B651D48F}" name="SQL" dataDxfId="382" totalsRowDxfId="381">
      <calculatedColumnFormula>_xlfn.LET(_xlpm.AppCount,COUNTIFS(tblTM[device_custom20],R$2),IF(_xlpm.AppCount=0,"",_xlpm.AppCount))</calculatedColumnFormula>
    </tableColumn>
    <tableColumn id="19" xr3:uid="{EA342C5E-5646-4649-BA43-8F5763377B13}" name="SYB" dataDxfId="380" totalsRowDxfId="379">
      <calculatedColumnFormula>_xlfn.LET(_xlpm.AppCount,COUNTIFS(tblTM[device_custom20],S$2),IF(_xlpm.AppCount=0,"",_xlpm.AppCount))</calculatedColumnFormula>
    </tableColumn>
    <tableColumn id="20" xr3:uid="{A0A18F4D-C8EA-4547-A624-F6A7729B7494}" name="UDB" dataDxfId="378" totalsRowDxfId="377">
      <calculatedColumnFormula>_xlfn.LET(_xlpm.AppCount,COUNTIFS(tblTM[device_custom20],T$2),IF(_xlpm.AppCount=0,"",_xlpm.AppCount))</calculatedColumnFormula>
    </tableColumn>
    <tableColumn id="21" xr3:uid="{D46CE27B-3D5B-453E-B24B-2087EB67E034}" name="Other-DB" dataDxfId="376" totalsRowDxfId="375">
      <calculatedColumnFormula>_xlfn.LET(_xlpm.AppCount,COUNTIFS(tblTM[device_custom20],"&lt;&gt;" &amp; "")-SUM(AppSum!$O5:$T5),IF(_xlpm.AppCount=0,"",_xlpm.AppCount))</calculatedColumnFormula>
    </tableColumn>
    <tableColumn id="22" xr3:uid="{AF87C917-74F2-47B6-A2D2-52DB37A18218}" name="TOTAL-DB" dataDxfId="374" totalsRowDxfId="373">
      <calculatedColumnFormula>SUM(AppSum!$O5:$U5)</calculatedColumnFormula>
    </tableColumn>
    <tableColumn id="23" xr3:uid="{1912BCEB-5300-427D-AC67-36F5A4B7CFBC}" name="No CS" dataDxfId="372" totalsRowDxfId="371">
      <calculatedColumnFormula>_xlfn.LET(_xlpm.AppCount,COUNTIFS(#REF!,"&lt;&gt;Yes"),IF(_xlpm.AppCount=0,"",_xlpm.AppCount))</calculatedColumnFormula>
    </tableColumn>
    <tableColumn id="24" xr3:uid="{C3D7BB17-8126-4ADA-827A-60986F0F2C96}" name="DMZ" dataDxfId="370" totalsRowDxfId="369">
      <calculatedColumnFormula>_xlfn.LET(_xlpm.AppCount,COUNTIFS(tblTM[device_custom26],"Yes"),IF(_xlpm.AppCount=0,"",_xlpm.AppCount))</calculatedColumnFormula>
    </tableColumn>
    <tableColumn id="25" xr3:uid="{0FBD9A03-81AC-4BB8-9832-74738393D5E2}" name="F5/LB" dataDxfId="368" totalsRowDxfId="367">
      <calculatedColumnFormula>_xlfn.LET(_xlpm.AppCount,COUNTIFS(tblTM[device_custom45],"Yes"),IF(_xlpm.AppCount=0,"",_xlpm.AppCount))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A02368-7B66-47B3-9E47-87563638E533}" name="tblPMView" displayName="tblPMView" ref="A1:AA2" totalsRowShown="0" headerRowDxfId="339" dataDxfId="337" headerRowBorderDxfId="338" tableBorderDxfId="336" headerRowCellStyle="Normal 2" dataCellStyle="Normal 2">
  <autoFilter ref="A1:AA2" xr:uid="{00000000-0001-0000-0000-000000000000}"/>
  <tableColumns count="27">
    <tableColumn id="1" xr3:uid="{AFD75F68-FD32-4BD0-993A-7A576F51659D}" name="No." dataDxfId="335" dataCellStyle="Normal 2"/>
    <tableColumn id="27" xr3:uid="{F6F0F9F7-5317-4F81-9AC1-F12FD53DAD35}" name="AssetDependencyId" dataDxfId="334" dataCellStyle="Normal 2"/>
    <tableColumn id="2" xr3:uid="{B5FB49B2-386B-40C1-BA3E-6E3CE9BE53AB}" name="Application" dataDxfId="333" dataCellStyle="Normal 2">
      <calculatedColumnFormula>_xlfn.XLOOKUP(tblPMView[[#This Row],[AssetDependencyId]],tblDependencies[AssetDependencyId],tblDependencies[AssetName],"",0,1)</calculatedColumnFormula>
    </tableColumn>
    <tableColumn id="9" xr3:uid="{3A7F8B93-D5F1-4475-90D6-2CDF5195586D}" name="App Bundle" dataDxfId="332" dataCellStyle="Normal 2">
      <calculatedColumnFormula>_xlfn.LET(_xlpm.mea,_xlfn.XLOOKUP(tblPMView[[#This Row],[AssetDependencyId]],tblDependencies[AssetDependencyId],tblDependencies[AssetBundle],"",0,1),IF(LEFT(LOWER(_xlpm.mea),8)="appgroup",CONCATENATE("MEA",MID(_xlpm.mea,10,LEN(_xlpm.mea)-7)),_xlpm.mea))</calculatedColumnFormula>
    </tableColumn>
    <tableColumn id="12" xr3:uid="{78179AF3-1752-455C-96F6-1A5CF5DDB4A9}" name="Server Bundle" dataDxfId="331" dataCellStyle="Normal 2">
      <calculatedColumnFormula>_xlfn.LET(_xlpm.mea,_xlfn.XLOOKUP(tblPMView[[#This Row],[AssetDependencyId]],tblDependencies[AssetDependencyId],tblDependencies[DependentBundle],"",0,1),IF(LEFT(LOWER(_xlpm.mea),8)="appgroup",CONCATENATE("MEA",MID(_xlpm.mea,10,LEN(_xlpm.mea)-7)),_xlpm.mea))</calculatedColumnFormula>
    </tableColumn>
    <tableColumn id="10" xr3:uid="{6C27D78C-7B3C-46A6-B209-C9AFDFCD849A}" name="Hostname" dataDxfId="330" dataCellStyle="Normal 2">
      <calculatedColumnFormula>_xlfn.XLOOKUP(tblPMView[[#This Row],[AssetDependencyId]],tblDependencies[AssetDependencyId],tblDependencies[DependentName],"",0,1)</calculatedColumnFormula>
    </tableColumn>
    <tableColumn id="4" xr3:uid="{AE4E2E91-0E42-44DB-8D31-1A021F1FB03D}" name="Scope" dataDxfId="329" dataCellStyle="Normal 2"/>
    <tableColumn id="11" xr3:uid="{496436D3-BBFB-4823-A858-6C2C0A41AD27}" name="Environment" dataDxfId="328" dataCellStyle="Normal 2">
      <calculatedColumnFormula>_xlfn.XLOOKUP(tblPMView[[#This Row],[Hostname]],tblTM[common_assetName],tblTM[common_environment],"",0,1)</calculatedColumnFormula>
    </tableColumn>
    <tableColumn id="13" xr3:uid="{AD0D769E-0523-4D42-AB8F-863749A2BB8F}" name="Alternate Name" dataDxfId="327" dataCellStyle="Normal 2">
      <calculatedColumnFormula>_xlfn.XLOOKUP(tblPMView[[#This Row],[Hostname]],tblTM[common_assetName],tblTM[device_shortName],"",0,1)</calculatedColumnFormula>
    </tableColumn>
    <tableColumn id="14" xr3:uid="{9F83418D-B06D-4B09-903C-42404241ABB0}" name="Device Type" dataDxfId="326" dataCellStyle="Normal 2">
      <calculatedColumnFormula>_xlfn.XLOOKUP(tblPMView[[#This Row],[Hostname]],tblTM[common_assetName],tblTM[device_assetType],"",0,1)</calculatedColumnFormula>
    </tableColumn>
    <tableColumn id="5" xr3:uid="{6C5CCEBD-726F-4F29-8ED5-BB65D65FA31E}" name="Svr Assess" dataDxfId="325" dataCellStyle="Normal 2">
      <calculatedColumnFormula>TEXT(_xlfn.XLOOKUP(tblPMView[[#This Row],[Hostname]],tblTM[common_assetName],tblTM[device_custom60],"",0,1),"")</calculatedColumnFormula>
    </tableColumn>
    <tableColumn id="15" xr3:uid="{DD4FDD8F-0F62-4BE4-85AF-F028A03C0802}" name="IP Address" dataDxfId="324" dataCellStyle="Normal 2">
      <calculatedColumnFormula>_xlfn.XLOOKUP(tblPMView[[#This Row],[Hostname]],tblTM[common_assetName],tblTM[device_ipAddress],"",0,1)</calculatedColumnFormula>
    </tableColumn>
    <tableColumn id="16" xr3:uid="{1B2FC901-8C81-4E29-90EA-DAA1ECD80405}" name="OS" dataDxfId="323" dataCellStyle="Normal 2">
      <calculatedColumnFormula>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22" xr3:uid="{F2693CA2-79CE-435F-836C-831BE3EF4951}" name="Server Role" dataDxfId="322" dataCellStyle="Normal 2">
      <calculatedColumnFormula>TEXT(_xlfn.XLOOKUP(tblPMView[[#This Row],[Hostname]],tblTM[common_assetName],tblTM[device_custom35],"-",0),"")</calculatedColumnFormula>
    </tableColumn>
    <tableColumn id="17" xr3:uid="{5688FE18-C54F-4562-91FC-494B12187F59}" name="Source Location" dataDxfId="321" dataCellStyle="Normal 2">
      <calculatedColumnFormula>_xlfn.XLOOKUP(LEFT(tblPMView[[#This Row],[Hostname]],4),tblLocationCodes[LocAbbr],tblLocationCodes[Location],"",0,1)</calculatedColumnFormula>
    </tableColumn>
    <tableColumn id="18" xr3:uid="{92F9E5CC-8AC0-4A3F-BA2F-601B71E7A0B0}" name="Target Location" dataDxfId="320" dataCellStyle="Normal 2">
      <calculatedColumnFormula>IFERROR(
IF(tblPMView[[#This Row],[Device Type]]="","azkyn-east",
IF(OR(tblPMView[[#This Row],[Device Type]]="AIX-LPAR",tblPMView[[#This Row],[Device Type]]="Linux-VM-Power",tblPMView[[#This Row],[DMZ]]="Yes",LEFT(tblPMView[[#This Row],[IP Address]],3)="22."),
        IF(LEFT(LOWER(tblPMView[[#This Row],[Hostname]]),4)="va33","ilelk-ch3","vaash-wdc04"),
      IF(AND(tblPMView[[#This Row],[Device Type]]="Server",tblPMView[[#This Row],[DMZ]]="No"),
           IF(LEFT(LOWER(tblPMView[[#This Row],[Hostname]]),4)="va33","ilelk-bmaas-dr","vaash-bmaas"),
         IF(AND(tblPMView[[#This Row],[Device Type]]="Server",tblPMView[[#This Row],[DMZ]]="Yes"),
             IF(LEFT(LOWER(tblPMView[[#This Row],[Hostname]]),4)="va33","ilelk-ch3","vaash-wdc04"),
           IF(tblPMView[[#This Row],[Device Type]]="VM",
             IF(LEFT(LOWER(tblPMView[[#This Row],[Hostname]]),4)="va33","azkyn-nc","azkyn-east")
             )
           )
        )
   )),"")</calculatedColumnFormula>
    </tableColumn>
    <tableColumn id="21" xr3:uid="{E7B71DF7-E915-4B5E-A5B1-F98165983C85}" name="Target IP Address" dataDxfId="319" dataCellStyle="Normal 2">
      <calculatedColumnFormula>_xlfn.XLOOKUP(tblPMView[[#This Row],[Hostname]],tblTM[common_assetName],tblTM[device_custom17])</calculatedColumnFormula>
    </tableColumn>
    <tableColumn id="19" xr3:uid="{5F454100-BDB1-408F-86E0-1F45E9449445}" name="Target Subnet Mask" dataDxfId="318" dataCellStyle="Normal 2">
      <calculatedColumnFormula>_xlfn.XLOOKUP(tblPMView[[#This Row],[Hostname]],tblTM[common_assetName],tblTM[device_custom14])</calculatedColumnFormula>
    </tableColumn>
    <tableColumn id="20" xr3:uid="{BFB5CE8A-8244-4634-ADD1-A6B0AD8F45A4}" name="Target Default Gateway" dataDxfId="317" dataCellStyle="Normal 2">
      <calculatedColumnFormula>_xlfn.XLOOKUP(tblPMView[[#This Row],[Hostname]],tblTM[common_assetName],tblTM[device_custom12])</calculatedColumnFormula>
    </tableColumn>
    <tableColumn id="28" xr3:uid="{CF13C65E-99B5-4487-9310-AC7C5CDCC0B0}" name="DMZ" dataDxfId="316" dataCellStyle="Normal 2 3">
      <calculatedColumnFormula>_xlfn.XLOOKUP(tblPMView[[#This Row],[Hostname]],tblTM[common_assetName],tblTM[device_custom26],"",0,1)</calculatedColumnFormula>
    </tableColumn>
    <tableColumn id="29" xr3:uid="{FFB0363A-198B-472E-9412-597B3B2E77A7}" name="DB" dataDxfId="315" dataCellStyle="Normal 2 3">
      <calculatedColumnFormula>LEFT(TEXT(_xlfn.XLOOKUP(tblPMView[[#This Row],[Hostname]],tblTM[common_assetName],tblTM[device_custom20],"-",0),""),3)</calculatedColumnFormula>
    </tableColumn>
    <tableColumn id="30" xr3:uid="{6011E44A-FC86-4775-9FD4-0C5FCB40B0B6}" name="CS" dataDxfId="314" dataCellStyle="Normal 2 3">
      <calculatedColumnFormula>_xlfn.LET(_xlpm.CSInfo,_xlfn.XLOOKUP(tblPMView[[#This Row],[Hostname]],tblTM[common_assetName],tblTM[device_custom33],"-",0),IF(_xlpm.CSInfo="Discovered","Yes","No"))</calculatedColumnFormula>
    </tableColumn>
    <tableColumn id="31" xr3:uid="{CEA40DA9-44B7-41BA-A9D2-075BB31FA72A}" name="LB" dataDxfId="313" dataCellStyle="Normal 2 3">
      <calculatedColumnFormula>IF(LOWER(LEFT(_xlfn.XLOOKUP(tblPMView[[#This Row],[Hostname]],tblTM[common_assetName],tblTM[device_custom45],"",0,1),1))="y","Yes","No")</calculatedColumnFormula>
    </tableColumn>
    <tableColumn id="3" xr3:uid="{B75C06F6-1702-4B25-B040-CE0BD216D92D}" name="Storage" dataDxfId="312" dataCellStyle="Normal 2 3">
      <calculatedColumnFormula>_xlfn.XLOOKUP(tblPMView[[#This Row],[Hostname]],tblTM[common_assetName],tblTM[device_custom64],"",0)+_xlfn.XLOOKUP(tblPMView[[#This Row],[Hostname]],tblTM[common_assetName],tblTM[device_size],"",0)</calculatedColumnFormula>
    </tableColumn>
    <tableColumn id="24" xr3:uid="{78A95E26-E125-419A-9514-4EF8C0BB0B3E}" name="DR-Protected" dataDxfId="311" dataCellStyle="Normal 2">
      <calculatedColumnFormula>_xlfn.XLOOKUP(tblPMView[[#This Row],[Hostname]],tblTM[common_assetName],tblTM[device_custom29],"",0)</calculatedColumnFormula>
    </tableColumn>
    <tableColumn id="25" xr3:uid="{91674FED-9691-4039-AC2D-04D3670618C7}" name="Status" dataDxfId="310" dataCellStyle="Normal 2"/>
    <tableColumn id="26" xr3:uid="{7CA31048-3AAC-4A39-A414-1633B7635744}" name="Comment" dataDxfId="309" dataCellStyle="Normal 2"/>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03B5E5B-7FCB-4B66-8889-70A56BEEFACB}" name="tblEvntScope" displayName="tblEvntScope" ref="A1:AE2" totalsRowShown="0" headerRowDxfId="278" dataDxfId="277" headerRowCellStyle="Normal_WPInitialQuestionnaire.ppt" dataCellStyle="Normal 7">
  <autoFilter ref="A1:AE2" xr:uid="{FCCF4D05-9E9B-4417-B7E4-EC9E43675602}"/>
  <sortState xmlns:xlrd2="http://schemas.microsoft.com/office/spreadsheetml/2017/richdata2" ref="A2:AE2">
    <sortCondition ref="D2"/>
    <sortCondition ref="I2"/>
  </sortState>
  <tableColumns count="31">
    <tableColumn id="1" xr3:uid="{3B7C4587-8B12-4BA2-A2E9-F076BDBED70A}" name=" Event " dataDxfId="276" dataCellStyle="Normal 7">
      <calculatedColumnFormula>SUBSTITUTE(_xlfn.XLOOKUP(tblEvntScope[[#This Row],[AssetDependencyId]],tblDependencies[AssetDependencyId],tblDependencies[DependentBundle],"",0,1),"AppGroup","ME")</calculatedColumnFormula>
    </tableColumn>
    <tableColumn id="2" xr3:uid="{BE94CFF8-D056-4F3C-B2B5-AFFD0D843673}" name="Cutover Date" dataDxfId="275" dataCellStyle="Normal 7">
      <calculatedColumnFormula>TMWorkbook!$C$2</calculatedColumnFormula>
    </tableColumn>
    <tableColumn id="25" xr3:uid="{1447D716-034F-4188-A7B5-0627C16D7B5A}" name="Scope_x000a_(Initial, New,_x000a_  Deleted)" dataDxfId="274" dataCellStyle="Normal 7"/>
    <tableColumn id="3" xr3:uid="{976B5ACB-F1C0-447B-8AA7-211826A6F0BA}" name="Application Name" dataDxfId="273" dataCellStyle="Normal 7">
      <calculatedColumnFormula>_xlfn.XLOOKUP(tblEvntScope[[#This Row],[AssetDependencyId]],tblDependencies[AssetDependencyId],tblDependencies[AssetName],"",0,1)</calculatedColumnFormula>
    </tableColumn>
    <tableColumn id="4" xr3:uid="{F97B5B98-FB85-4196-A82B-5D9DC4F2F016}" name="Application Owner" dataDxfId="272" dataCellStyle="Normal 7">
      <calculatedColumnFormula>_xlfn.XLOOKUP(tblEvntScope[[#This Row],[Application Name]],tblApplications[common_assetName],tblApplications[application_appOwner],"",0,1)</calculatedColumnFormula>
    </tableColumn>
    <tableColumn id="5" xr3:uid="{EDB9C5FA-726F-4956-8E41-84E37405DED6}" name="IT Support Manager" dataDxfId="271" dataCellStyle="Normal 7">
      <calculatedColumnFormula>_xlfn.XLOOKUP(tblEvntScope[[#This Row],[Application Name]],tblApplications[common_assetName],tblApplications[application_custom6],"",0,1)</calculatedColumnFormula>
    </tableColumn>
    <tableColumn id="6" xr3:uid="{BAA8CCF9-0A25-4678-90EA-1AF2FF563B36}" name="SME" dataDxfId="270" dataCellStyle="Normal 7">
      <calculatedColumnFormula>_xlfn.XLOOKUP(tblEvntScope[[#This Row],[Application Name]],tblApplications[common_assetName],tblApplications[application_sme2],"",0,1)</calculatedColumnFormula>
    </tableColumn>
    <tableColumn id="7" xr3:uid="{5BB82709-E8BA-497E-8FCC-B67745D2F7FE}" name="Support Group DL" dataDxfId="269" dataCellStyle="Normal 7">
      <calculatedColumnFormula>LOWER(_xlfn.XLOOKUP(tblEvntScope[[#This Row],[Application Name]],tblApplications[common_assetName],tblApplications[application_custom23],"",0,1))</calculatedColumnFormula>
    </tableColumn>
    <tableColumn id="8" xr3:uid="{9B661132-DCBB-4B3D-9D5F-7FDBC6C679DF}" name="Hostname" dataDxfId="268" dataCellStyle="Normal 7">
      <calculatedColumnFormula>_xlfn.XLOOKUP(tblEvntScope[[#This Row],[AssetDependencyId]],tblDependencies[AssetDependencyId],tblDependencies[DependentName],"",0,1)</calculatedColumnFormula>
    </tableColumn>
    <tableColumn id="23" xr3:uid="{A129B6AA-F8DF-4288-A3FC-EF8E6E852547}" name="Scope" dataDxfId="267" dataCellStyle="Normal 7">
      <calculatedColumnFormula>TEXT(_xlfn.XLOOKUP(tblEvntScope[[#This Row],[Hostname]],tblPMView[Hostname],tblPMView[Scope],"",0,1),"")</calculatedColumnFormula>
    </tableColumn>
    <tableColumn id="9" xr3:uid="{93943BC2-1965-4F25-8F74-F4D34BC40689}" name="Source IP Address" dataDxfId="266" dataCellStyle="Normal 7">
      <calculatedColumnFormula>_xlfn.XLOOKUP(tblEvntScope[[#This Row],[Hostname]],tblTM[common_assetName],tblTM[device_ipAddress],"",0,1)</calculatedColumnFormula>
    </tableColumn>
    <tableColumn id="10" xr3:uid="{0EA0C01F-476D-461F-BF69-FEA7BBD821F3}" name="Source Location" dataDxfId="265" dataCellStyle="Normal 7">
      <calculatedColumnFormula>_xlfn.LET(_xlpm.loc,LEFT(tblEvntScope[[#This Row],[Hostname]],4),IF(LEFT(LOWER(_xlpm.loc),3)="vaa","Richmond",_xlfn.XLOOKUP(_xlpm.loc,tblLocationCodes[LocAbbr],tblLocationCodes[Location],"",0,1)))</calculatedColumnFormula>
    </tableColumn>
    <tableColumn id="29" xr3:uid="{C0F08F0D-8A83-4F6D-A5B8-CB6FB8CE436D}" name="Source VCenter" dataDxfId="264" dataCellStyle="Normal 7"/>
    <tableColumn id="28" xr3:uid="{E7E287C4-5D8A-4115-AAF1-00236D2CF528}" name="Source Physical Serial Number" dataDxfId="263" dataCellStyle="Normal 7"/>
    <tableColumn id="11" xr3:uid="{7D23F87B-661A-46B5-A607-B64521B55EE0}" name="Type_x000a_App/DB" dataDxfId="262" dataCellStyle="Normal 7">
      <calculatedColumnFormula>_xlfn.XLOOKUP(tblEvntScope[[#This Row],[Hostname]],tblTM[common_assetName],tblTM[device_custom35],"",0,1)</calculatedColumnFormula>
    </tableColumn>
    <tableColumn id="30" xr3:uid="{EDA2641F-D3A0-4321-AC5C-E4D0B015DA16}" name="Migration Type (V2V, V2P,P2P)" dataDxfId="261" dataCellStyle="Normal 7">
      <calculatedColumnFormula>IF(tblEvntScope[[#This Row],[Device Type]]="Server",_xlfn.XLOOKUP(tblEvntScope[[#This Row],[Hostname]],tblTM[common_assetName],tblTM[device_custom60],"",0,1),"")</calculatedColumnFormula>
    </tableColumn>
    <tableColumn id="12" xr3:uid="{ADDED583-8BEF-4729-B322-4CB6D0F3F452}" name="Environment" dataDxfId="260" dataCellStyle="Normal 7">
      <calculatedColumnFormula>_xlfn.XLOOKUP(tblEvntScope[[#This Row],[Hostname]],tblTM[common_assetName],tblTM[common_environment],"",0,1)</calculatedColumnFormula>
    </tableColumn>
    <tableColumn id="13" xr3:uid="{7DAFEF4B-B731-4065-BFAE-D17933E35F88}" name="Device Type" dataDxfId="259" dataCellStyle="Normal 7">
      <calculatedColumnFormula>_xlfn.XLOOKUP(tblEvntScope[[#This Row],[Hostname]],tblTM[common_assetName],tblTM[device_assetType],"",0,1)</calculatedColumnFormula>
    </tableColumn>
    <tableColumn id="14" xr3:uid="{60F42BE1-9B6F-409E-BA36-CD9A39ADA959}" name="Operating System" dataDxfId="258" dataCellStyle="Normal 7">
      <calculatedColumnFormula>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24" xr3:uid="{2FD706B2-1A80-4036-9425-7505F74B215A}" name="DMZ" dataDxfId="257" dataCellStyle="Normal 2 3">
      <calculatedColumnFormula>_xlfn.XLOOKUP(tblEvntScope[[#This Row],[Hostname]],tblTM[common_assetName],tblTM[device_custom26],"",0,1)</calculatedColumnFormula>
    </tableColumn>
    <tableColumn id="15" xr3:uid="{D3FFD503-5CDB-4E6F-A041-EEBE285CEC55}" name="DR Protection" dataDxfId="256" dataCellStyle="Normal 7">
      <calculatedColumnFormula>_xlfn.XLOOKUP(tblEvntScope[[#This Row],[Hostname]],tblTM[common_assetName],tblTM[device_custom29],"",0,1)</calculatedColumnFormula>
    </tableColumn>
    <tableColumn id="31" xr3:uid="{4A993FEE-A323-43AF-ABA6-C314691CCAD3}" name="Target VCenter" dataDxfId="255" dataCellStyle="Normal 7"/>
    <tableColumn id="32" xr3:uid="{F70C9AA7-E093-4597-873F-2B16067F85A8}" name="Target Physical Serial Number" dataDxfId="254" dataCellStyle="Normal 7"/>
    <tableColumn id="16" xr3:uid="{9D6E66C3-12CB-40CB-8861-3AE2A2AA5DCD}" name="Target Data Center" dataDxfId="253" dataCellStyle="Normal 2">
      <calculatedColumnFormula>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calculatedColumnFormula>
    </tableColumn>
    <tableColumn id="17" xr3:uid="{AD336B80-77E0-46FE-A5E1-24F79ED7E55A}" name="Target IPs " dataDxfId="252" dataCellStyle="Normal 7">
      <calculatedColumnFormula>_xlfn.XLOOKUP(tblEvntScope[[#This Row],[Hostname]],tblTM[common_assetName],tblTM[device_custom17],"",0,1)</calculatedColumnFormula>
    </tableColumn>
    <tableColumn id="18" xr3:uid="{7DF1F4C3-95CC-4893-8933-74C2357F9090}" name="Target Subnet" dataDxfId="251" dataCellStyle="Normal 7">
      <calculatedColumnFormula>IFERROR(IF(tblEvntScope[[#This Row],[Target IPs ]]="","",_xlfn.XLOOKUP(tblEvntScope[[#This Row],[Hostname]],tblTM[common_assetName],tblTM[device_custom14],"",0,1)),"")</calculatedColumnFormula>
    </tableColumn>
    <tableColumn id="19" xr3:uid="{EBD0D0C3-467A-4B12-92EE-CCBD27671F11}" name="Target Gateway" dataDxfId="250" dataCellStyle="Normal 7">
      <calculatedColumnFormula>IFERROR(IF(tblEvntScope[[#This Row],[Target IPs ]]="","",_xlfn.XLOOKUP(tblEvntScope[[#This Row],[Hostname]],tblTM[common_assetName],tblTM[device_custom12],"",0,1)),"")</calculatedColumnFormula>
    </tableColumn>
    <tableColumn id="20" xr3:uid="{E25DAC3D-9F5B-43F4-8E65-ED41AE881A81}" name="Storage Space" dataDxfId="249" dataCellStyle="Normal 7">
      <calculatedColumnFormula>IFERROR(_xlfn.XLOOKUP(tblEvntScope[[#This Row],[Hostname]],tblTM[common_assetName],tblTM[device_custom64],"",0)+_xlfn.XLOOKUP(tblEvntScope[[#This Row],[Hostname]],tblTM[common_assetName],tblTM[device_size],"",0),"")</calculatedColumnFormula>
    </tableColumn>
    <tableColumn id="21" xr3:uid="{0B3D9B12-E59D-4094-A757-D0FDC48CD7CC}" name="Comments" dataDxfId="248" dataCellStyle="Normal 7"/>
    <tableColumn id="22" xr3:uid="{C31F2E76-66EA-42F8-9862-551D7B4975AB}" name="AssetDependencyId" dataDxfId="247" dataCellStyle="Normal 2"/>
    <tableColumn id="26" xr3:uid="{DAE8E058-95EF-48FA-8248-0BAE2F246A4D}" name="Check" dataDxfId="246" dataCellStyle="Normal 7">
      <calculatedColumnFormula>CONCATENATE(tblEvntScope[[#This Row],[Application Name]],tblEvntScope[[#This Row],[Hostname]])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EA01E7-5D86-0C4D-8CE6-F74580AC3BE9}" name="tblTM" displayName="tblTM" ref="A1:AW2" totalsRowShown="0" headerRowDxfId="242" dataDxfId="241">
  <autoFilter ref="A1:AW2" xr:uid="{2DEA01E7-5D86-0C4D-8CE6-F74580AC3BE9}"/>
  <sortState xmlns:xlrd2="http://schemas.microsoft.com/office/spreadsheetml/2017/richdata2" ref="A2:AW2">
    <sortCondition ref="B2"/>
  </sortState>
  <tableColumns count="49">
    <tableColumn id="1" xr3:uid="{562C197A-CD23-804B-A238-4007EE593940}" name="common_id" dataDxfId="240"/>
    <tableColumn id="2" xr3:uid="{BE0E1F27-C02B-6642-914B-E1041C1EE066}" name="common_assetName" dataDxfId="239"/>
    <tableColumn id="4" xr3:uid="{7E819DD6-C412-7549-A71A-CAC82CC56C2C}" name="common_moveBundle" dataDxfId="238"/>
    <tableColumn id="3" xr3:uid="{F8DFAE14-501B-9148-95BF-E4F2E25F29F0}" name="device_assetType" dataDxfId="237"/>
    <tableColumn id="5" xr3:uid="{413B2702-8A99-2D41-B729-2E795A850D32}" name="common_environment" dataDxfId="236"/>
    <tableColumn id="8" xr3:uid="{C6611224-0541-8741-B08D-B707CE6C0965}" name="device_os" dataDxfId="235"/>
    <tableColumn id="18" xr3:uid="{3BF2D598-2144-DC44-AD82-AAFFBDE069E0}" name="device_custom31" dataDxfId="234"/>
    <tableColumn id="9" xr3:uid="{C6212DD8-0146-FD4D-8E80-CC8A1CC89DCE}" name="device_manufacturer" dataDxfId="233"/>
    <tableColumn id="10" xr3:uid="{A4C6C40A-73EA-7D4D-AB35-4B5321974EAE}" name="device_model" dataDxfId="232"/>
    <tableColumn id="11" xr3:uid="{A559E846-804F-E244-8A15-4C1ED6A12C55}" name="device_ipAddress" dataDxfId="231"/>
    <tableColumn id="12" xr3:uid="{37E9DA4A-CD6D-C944-AFE3-25E4F8F9D6AB}" name="device_shortName" dataDxfId="230"/>
    <tableColumn id="14" xr3:uid="{B1EB096B-41DD-F647-839E-5D6B37DD198C}" name="device_custom21" dataDxfId="229"/>
    <tableColumn id="15" xr3:uid="{252A00DA-88B0-8E41-AB80-BA1617C446E2}" name="device_custom20" dataDxfId="228"/>
    <tableColumn id="16" xr3:uid="{D0D47578-8ABB-A944-B76C-7CE9F564F569}" name="device_custom26" dataDxfId="227"/>
    <tableColumn id="17" xr3:uid="{57B371C0-A848-2F4A-8C4D-1E87D1221A5B}" name="device_custom45" dataDxfId="226"/>
    <tableColumn id="19" xr3:uid="{9C91FD91-F682-5549-89FE-9196A9ACBCCE}" name="device_custom34" dataDxfId="225"/>
    <tableColumn id="20" xr3:uid="{84F57B34-7487-FA4F-83F4-83790CD2A3DC}" name="device_custom35" dataDxfId="224"/>
    <tableColumn id="6" xr3:uid="{D1286E99-101D-4FDC-904D-1D759520DD83}" name="device_custom2" dataDxfId="223"/>
    <tableColumn id="7" xr3:uid="{6240A7ED-BA8B-46F6-B0F3-2C0CDF78867C}" name="device_custom3" dataDxfId="222"/>
    <tableColumn id="21" xr3:uid="{E26E97EC-4829-4881-9BE1-E67BE9A9147B}" name="device_custom64" dataDxfId="221"/>
    <tableColumn id="26" xr3:uid="{6226329F-7E15-49F9-AFFE-20C7D03FEE41}" name="device_custom60" dataDxfId="220"/>
    <tableColumn id="27" xr3:uid="{4FF5A6C1-BAC8-4D5D-B24F-B8BAFE0529B6}" name="device_custom55" dataDxfId="219"/>
    <tableColumn id="28" xr3:uid="{5E0EC14A-C69C-4C92-89E4-532EF0601073}" name="device_size" dataDxfId="218"/>
    <tableColumn id="29" xr3:uid="{A37F5E03-C00B-4D01-B6EB-46CFC4547465}" name="device_custom57" dataDxfId="217"/>
    <tableColumn id="30" xr3:uid="{6B14D9F4-26B3-4E09-B387-1838C8ACCFF8}" name="device_custom33" dataDxfId="216"/>
    <tableColumn id="31" xr3:uid="{C2E47385-4FDC-4DBE-BE39-265D1CB6E489}" name="device_custom27" dataDxfId="215"/>
    <tableColumn id="32" xr3:uid="{760F7D3B-7032-40FF-BAEE-464A87BD61D8}" name="device_custom28" dataDxfId="214"/>
    <tableColumn id="33" xr3:uid="{5FF81F10-87AF-4271-802C-A1AD85A9B05A}" name="device_custom29" dataDxfId="213"/>
    <tableColumn id="34" xr3:uid="{8475D170-6B26-4EF3-A42B-DF3572D12880}" name="device_custom30" dataDxfId="212"/>
    <tableColumn id="35" xr3:uid="{5E8C24E3-611F-4F0B-8582-94E7848BED09}" name="device_custom58" dataDxfId="211"/>
    <tableColumn id="36" xr3:uid="{0907626A-EAAE-4BE0-8B6D-5716EF8D5A1B}" name="device_custom65" dataDxfId="210"/>
    <tableColumn id="22" xr3:uid="{BCC1873C-BBD9-42EA-A313-4DD1B6B5EBB5}" name="device_custom17" dataDxfId="209"/>
    <tableColumn id="23" xr3:uid="{DD64499F-3501-4231-B8C1-EE73808CC35B}" name="device_custom14" dataDxfId="208"/>
    <tableColumn id="24" xr3:uid="{11E509EF-C8E8-4049-9A90-2DA99515A365}" name="device_custom12" dataDxfId="207"/>
    <tableColumn id="25" xr3:uid="{BDC66286-4793-4CB0-BB01-B4851046F840}" name="device_custom51" dataDxfId="206"/>
    <tableColumn id="45" xr3:uid="{2F39F811-F906-4269-9A73-0112A80FC9CE}" name="device_custom61" dataDxfId="205"/>
    <tableColumn id="41" xr3:uid="{E7728D20-D8A3-4E5C-A0C7-0363942C245E}" name="common_planStatus" dataDxfId="204"/>
    <tableColumn id="42" xr3:uid="{371150BB-651F-46C2-B640-ECB94D65BBE2}" name="device_custom66" dataDxfId="203"/>
    <tableColumn id="44" xr3:uid="{9117B087-D4C3-4C3F-A7D4-0B290DCD7556}" name="common_tagAssets" dataDxfId="202"/>
    <tableColumn id="40" xr3:uid="{CE5B1F70-33FC-47E8-9ADF-EA924C747D98}" name="LB" dataDxfId="201"/>
    <tableColumn id="46" xr3:uid="{1E871AC0-91B4-4181-9FBB-02DC91F3C473}" name="device_custom24" dataDxfId="200"/>
    <tableColumn id="13" xr3:uid="{372096BC-1297-4277-9A5C-417B5953D066}" name="common_assetClass" dataDxfId="199"/>
    <tableColumn id="37" xr3:uid="{5E0AC8F8-274C-4A71-A045-1F1B555585F7}" name="common_assetType" dataDxfId="198"/>
    <tableColumn id="38" xr3:uid="{C52C0B80-B64E-46F2-94DA-05498A382A1D}" name="common_commentCount" dataDxfId="197"/>
    <tableColumn id="39" xr3:uid="{A278C8D5-3F32-43A9-9F51-4D1970E70624}" name="common_taskCount" dataDxfId="196"/>
    <tableColumn id="43" xr3:uid="{4C296F1C-B7B3-4763-9BCA-DFE89B336A9B}" name="device_custom43" dataDxfId="195"/>
    <tableColumn id="47" xr3:uid="{E3876E1D-7448-492A-8C83-CED1CE6FED28}" name="device_custom41" dataDxfId="194"/>
    <tableColumn id="48" xr3:uid="{2056C428-C609-42A6-A30B-ADBA3CE04916}" name="common_custom22" dataDxfId="193"/>
    <tableColumn id="49" xr3:uid="{6F9F3DB1-9CDC-44D4-A206-86BED34D2F48}" name="device_custom22" dataDxfId="192"/>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FD9E460-C6D3-49ED-AC3D-925241563CC6}" name="tblApplications" displayName="tblApplications" ref="A1:U2" totalsRowShown="0" headerRowDxfId="185" dataDxfId="184" dataCellStyle="Normal 57">
  <autoFilter ref="A1:U2" xr:uid="{7FD9E460-C6D3-49ED-AC3D-925241563CC6}"/>
  <tableColumns count="21">
    <tableColumn id="315" xr3:uid="{CF088ABB-EAC7-4DB2-9F88-82DCD3A4F896}" name="common_id" dataDxfId="183" dataCellStyle="Normal 57"/>
    <tableColumn id="316" xr3:uid="{67C38C0F-7259-4E6F-8823-F42F7035133A}" name="common_assetName" dataDxfId="182" dataCellStyle="Normal 57"/>
    <tableColumn id="317" xr3:uid="{2F7C4AD7-8482-43E4-AD93-7C70786CC661}" name="common_description" dataDxfId="181" dataCellStyle="Normal 57"/>
    <tableColumn id="318" xr3:uid="{DA508718-81D8-4718-811F-F5113475F8D0}" name="application_custom5" dataDxfId="180" dataCellStyle="Normal 57"/>
    <tableColumn id="319" xr3:uid="{DEB55994-6B30-4644-9540-BE8B81B2517F}" name="common_moveBundle" dataDxfId="179" dataCellStyle="Normal 57"/>
    <tableColumn id="320" xr3:uid="{32A88B3B-3E81-4231-A74A-4E81EB6691F6}" name="application_appOwner" dataDxfId="178" dataCellStyle="Normal 57"/>
    <tableColumn id="321" xr3:uid="{509565FC-D715-4067-BCB8-42701C50E1D1}" name="application_custom10" dataDxfId="177" dataCellStyle="Normal 57"/>
    <tableColumn id="1" xr3:uid="{5AE9193C-9347-405F-949A-F6C6857F87BB}" name="application_custom9" dataDxfId="176" dataCellStyle="Normal 57"/>
    <tableColumn id="2" xr3:uid="{284BDB62-9E90-4BA6-8E00-E154D2B1CC1F}" name="application_custom45" dataDxfId="175" dataCellStyle="Normal 57"/>
    <tableColumn id="3" xr3:uid="{7B9FA24B-4159-480A-9D1D-7BB2F2805830}" name="application_custom46" dataDxfId="174" dataCellStyle="Normal 57"/>
    <tableColumn id="4" xr3:uid="{ED862A55-B754-4971-916F-969E04ED9086}" name="application_custom6" dataDxfId="173" dataCellStyle="Normal 57"/>
    <tableColumn id="5" xr3:uid="{60E47BCF-016A-4700-BAD2-88944DA47CF8}" name="application_sme" dataDxfId="172" dataCellStyle="Normal 57"/>
    <tableColumn id="6" xr3:uid="{C7B9A129-220A-4A09-B21D-6DA86332D399}" name="application_custom11" dataDxfId="171" dataCellStyle="Normal 57"/>
    <tableColumn id="7" xr3:uid="{CE40E800-5ACA-4E56-9F11-94EE7C27E30C}" name="application_sme2" dataDxfId="170" dataCellStyle="Normal 57"/>
    <tableColumn id="8" xr3:uid="{7169BDCD-E92D-4C68-A7D8-FD92F7A78A17}" name="application_custom19" dataDxfId="169" dataCellStyle="Normal 57"/>
    <tableColumn id="9" xr3:uid="{E515B275-79AF-40B4-9B67-FFBC74EA5B6E}" name="application_custom23" dataDxfId="168" dataCellStyle="Normal 57"/>
    <tableColumn id="10" xr3:uid="{66E3FD7A-7F59-4ACF-A409-1ACF00D6A8F3}" name="common_assetClass" dataDxfId="167" dataCellStyle="Normal 57"/>
    <tableColumn id="11" xr3:uid="{30DF459C-3BA3-4327-A726-936B6C9D0D77}" name="common_assetType" dataDxfId="166" dataCellStyle="Normal 57"/>
    <tableColumn id="12" xr3:uid="{308560D5-F201-4198-AAB2-65902DA571C1}" name="common_commentCount" dataDxfId="165" dataCellStyle="Normal 57"/>
    <tableColumn id="13" xr3:uid="{61C56809-6D44-4ED6-A8FE-2F301832D36B}" name="common_taskCount" dataDxfId="164" dataCellStyle="Normal 57"/>
    <tableColumn id="14" xr3:uid="{544ABEBE-2EFE-41B6-86FC-14AA574D0686}" name="common_planStatus" dataDxfId="163" dataCellStyle="Normal 57"/>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403FD-5323-4525-ADC8-9383572B6812}" name="tblDependencies" displayName="tblDependencies" ref="A1:X2" totalsRowShown="0" dataDxfId="159">
  <autoFilter ref="A1:X2" xr:uid="{A7D70CB8-CCC2-A64E-BC02-2CE44C122B8D}"/>
  <sortState xmlns:xlrd2="http://schemas.microsoft.com/office/spreadsheetml/2017/richdata2" ref="A2:X2">
    <sortCondition ref="G2"/>
    <sortCondition ref="N2" customList="True,MaybeRoot,False"/>
    <sortCondition ref="C2"/>
  </sortState>
  <tableColumns count="24">
    <tableColumn id="8" xr3:uid="{3A980AA7-363A-4AA4-88AD-9F25C637B724}" name="AssetDependencyId" dataDxfId="158"/>
    <tableColumn id="1" xr3:uid="{EFA2ECD8-838F-4490-9154-BE373611AB68}" name="AssetId" dataDxfId="157"/>
    <tableColumn id="2" xr3:uid="{C65B6930-960D-41A1-AD3A-EAE66B278758}" name="AssetName" dataDxfId="156"/>
    <tableColumn id="3" xr3:uid="{2647BCFF-0D0F-4883-A75F-705A79ABF71C}" name="AssetType" dataDxfId="155"/>
    <tableColumn id="4" xr3:uid="{E1F87F56-7ACC-40A5-AB58-B672D218B9C4}" name="AssetBundle" dataDxfId="154">
      <calculatedColumnFormula>_xlfn.XLOOKUP(tblDependencies[[#This Row],[AssetName]],tblApplications[common_assetName],tblApplications[common_moveBundle],"",0,1)</calculatedColumnFormula>
    </tableColumn>
    <tableColumn id="5" xr3:uid="{0F9768AB-1614-413E-9849-9A0E9D02CC99}" name="DependentId" dataDxfId="153"/>
    <tableColumn id="6" xr3:uid="{F422FA28-BD83-4D62-8140-FD9D1CC830DD}" name="DependentName" dataDxfId="152"/>
    <tableColumn id="7" xr3:uid="{4FA9862B-679C-416E-8A2B-A4E4DEEDD06D}" name="DependentType" dataDxfId="151"/>
    <tableColumn id="9" xr3:uid="{925146C1-B52F-4BCD-822D-A755CC6B9F0F}" name="DependentBundle" dataDxfId="150">
      <calculatedColumnFormula>_xlfn.XLOOKUP(tblDependencies[[#This Row],[DependentName]],tblTM[common_assetName],tblTM[common_moveBundle],"",0,1)</calculatedColumnFormula>
    </tableColumn>
    <tableColumn id="10" xr3:uid="{81B60EA4-C9EF-46C1-98FA-2D0EE6415AAA}" name="DataFlowFreq" dataDxfId="149"/>
    <tableColumn id="11" xr3:uid="{2AC629E7-03D9-4B6E-9657-E219E484958E}" name="DataFlowDirection" dataDxfId="148"/>
    <tableColumn id="12" xr3:uid="{A819261F-37A6-46FC-A5CD-ED7A852752C2}" name="status" dataDxfId="147"/>
    <tableColumn id="13" xr3:uid="{DF825DB9-3881-415C-88CE-F68EDD724BEE}" name="Type" dataDxfId="146"/>
    <tableColumn id="16" xr3:uid="{73AE9F19-6597-4A36-B13A-92D007FF1827}" name="Root" dataDxfId="145">
      <calculatedColumnFormula>CONCATENATE(TEXT(_xlfn.XLOOKUP(tblDependencies[[#This Row],[AssetName]],tblDepApp[Applications],tblDepApp[Servers],"",0),"000"),"-",tblDependencies[[#This Row],[AssetName]])</calculatedColumnFormula>
    </tableColumn>
    <tableColumn id="15" xr3:uid="{83B0E665-9BCD-4FF6-9997-4269E583B1FE}" name="OS" dataDxfId="144">
      <calculatedColumnFormula>TEXT(_xlfn.XLOOKUP(tblDependencies[[#This Row],[DependentName]],tblTM[common_assetName],tblTM[device_os],"r3m0v3m3",0,1),"")</calculatedColumnFormula>
    </tableColumn>
    <tableColumn id="14" xr3:uid="{4AF0681E-77FD-46E5-A78A-66150FB0CAD2}" name="App. Status" dataDxfId="143">
      <calculatedColumnFormula>1</calculatedColumnFormula>
    </tableColumn>
    <tableColumn id="17" xr3:uid="{48DC8FF4-0D7E-4D72-8952-FE70609B92B7}" name="Env" dataDxfId="142">
      <calculatedColumnFormula>_xlfn.XLOOKUP(tblDependencies[[#This Row],[DependentName]],tblTM[common_assetName],tblTM[common_environment],"",0,1)</calculatedColumnFormula>
    </tableColumn>
    <tableColumn id="18" xr3:uid="{48540005-DA83-4885-9D4D-9A917C089E0C}" name="Dev" dataDxfId="141">
      <calculatedColumnFormula>TEXT(_xlfn.XLOOKUP(tblDependencies[[#This Row],[DependentName]],tblTM[common_assetName],tblTM[device_assetType],"-",0),"")</calculatedColumnFormula>
    </tableColumn>
    <tableColumn id="19" xr3:uid="{D72B7536-CCD1-4760-B271-FDA4964F69F4}" name="DB" dataDxfId="140">
      <calculatedColumnFormula>LEFT(TEXT(_xlfn.XLOOKUP(tblDependencies[[#This Row],[DependentName]],tblTM[common_assetName],tblTM[device_custom20],"-",0),""),3)</calculatedColumnFormula>
    </tableColumn>
    <tableColumn id="20" xr3:uid="{1961A9DD-6D94-4E8C-B433-E5E70237E73B}" name="F5/LB" dataDxfId="139">
      <calculatedColumnFormula>IF(LOWER(LEFT(_xlfn.XLOOKUP(tblDependencies[[#This Row],[DependentName]],tblTM[common_assetName],tblTM[device_custom45],"",0,1),1))="y","Yes","No")</calculatedColumnFormula>
    </tableColumn>
    <tableColumn id="21" xr3:uid="{15C0A515-D88D-4E56-93DF-9A87A133EC24}" name="Src IP" dataDxfId="138">
      <calculatedColumnFormula>_xlfn.XLOOKUP(tblDependencies[[#This Row],[DependentName]],tblTM[common_assetName],tblTM[device_ipAddress],"",0,1)</calculatedColumnFormula>
    </tableColumn>
    <tableColumn id="22" xr3:uid="{CD0C539D-7980-4974-AB65-AAB99EB1A7BF}" name="Group" dataDxfId="137"/>
    <tableColumn id="23" xr3:uid="{70A76719-A2DE-4C8C-B133-FCA4CA53F572}" name="Scope" dataDxfId="136"/>
    <tableColumn id="24" xr3:uid="{0FC1AB5D-579A-43CC-946D-E43B6C8738DB}" name="VIPs" dataDxfId="135">
      <calculatedColumnFormula>_xlfn.XLOOKUP(tblDependencies[[#This Row],[DependentName]],tblTM[common_assetName],tblTM[LB],"",0,1)</calculatedColumnFormula>
    </tableColumn>
  </tableColumns>
  <tableStyleInfo name="TableStyleMedium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188057C-2DBA-47FB-B611-85A9C32B57D7}" name="tblDepApp" displayName="tblDepApp" ref="C5:D6" totalsRowShown="0">
  <autoFilter ref="C5:D6" xr:uid="{D188057C-2DBA-47FB-B611-85A9C32B57D7}"/>
  <sortState xmlns:xlrd2="http://schemas.microsoft.com/office/spreadsheetml/2017/richdata2" ref="C6:D6">
    <sortCondition ref="C6"/>
  </sortState>
  <tableColumns count="2">
    <tableColumn id="1" xr3:uid="{D7F29A3C-3D8E-4E70-B826-8115A4034C77}" name="Applications" dataDxfId="134"/>
    <tableColumn id="2" xr3:uid="{6F42F660-3617-4A81-8940-917062E87469}" name="Servers" dataDxfId="133">
      <calculatedColumnFormula>_xlfn.LET(_xlpm.AppCount,COUNTIFS(tblDependencies[Scope],"",tblDependencies[AssetName],tblDepApp[[#This Row],[Applications]]),IF(_xlpm.AppCount=0,"",_xlpm.AppCount))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B989393-0A0E-E94A-9D5A-0E6C42DFFCD1}" name="tblOSMachineType" displayName="tblOSMachineType" ref="A1:B24" totalsRowShown="0">
  <autoFilter ref="A1:B24" xr:uid="{1B989393-0A0E-E94A-9D5A-0E6C42DFFCD1}"/>
  <sortState xmlns:xlrd2="http://schemas.microsoft.com/office/spreadsheetml/2017/richdata2" ref="A2:B16">
    <sortCondition ref="A2:A16"/>
  </sortState>
  <tableColumns count="2">
    <tableColumn id="1" xr3:uid="{7986E65E-6432-414F-9B1F-1BEDC6059593}" name="TM OS"/>
    <tableColumn id="2" xr3:uid="{EE6AC785-68D6-374B-8A41-40C33ECC38A4}" name="Machine Type"/>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74921B-9400-D34B-B0DC-B110A6E80C73}" name="tblCurrentDeviceType" displayName="tblCurrentDeviceType" ref="D1:D6" totalsRowShown="0">
  <autoFilter ref="D1:D6" xr:uid="{DF74921B-9400-D34B-B0DC-B110A6E80C73}"/>
  <tableColumns count="1">
    <tableColumn id="1" xr3:uid="{65E67621-8EFD-004C-BA91-CD8829FE7B98}" name="Device Typ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4D78A4F-1B07-4BE3-8D17-7885F908BDC2}" name="tblStateCodes" displayName="tblStateCodes" ref="I1:J4" totalsRowShown="0">
  <autoFilter ref="I1:J4" xr:uid="{04D78A4F-1B07-4BE3-8D17-7885F908BDC2}"/>
  <tableColumns count="2">
    <tableColumn id="1" xr3:uid="{064D4A01-433B-4BAE-A2D0-64003F330A13}" name="STAbbr"/>
    <tableColumn id="2" xr3:uid="{ACBD4C66-735C-4E06-AD75-23BFDE4D5397}" name="Stat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E284B67-B72A-4DFB-A8F7-D48E28549B3C}" name="tblLocationCodes" displayName="tblLocationCodes" ref="L1:M8" totalsRowShown="0">
  <autoFilter ref="L1:M8" xr:uid="{AE284B67-B72A-4DFB-A8F7-D48E28549B3C}"/>
  <tableColumns count="2">
    <tableColumn id="1" xr3:uid="{9D1FF6A3-E164-4A77-B7BC-A87E6545E991}" name="LocAbbr"/>
    <tableColumn id="2" xr3:uid="{AB21B869-93E4-480A-BEF0-1C6F36E605D7}" name="Location"/>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272273-9E7F-4E36-9261-D1137D8E174E}" name="tblEnvironmentCodes" displayName="tblEnvironmentCodes" ref="O1:P5" totalsRowShown="0">
  <autoFilter ref="O1:P5" xr:uid="{EE272273-9E7F-4E36-9261-D1137D8E174E}"/>
  <tableColumns count="2">
    <tableColumn id="1" xr3:uid="{26196B4A-EAAF-4B24-B4D7-A88B8CEB311F}" name="EnvAbbr"/>
    <tableColumn id="2" xr3:uid="{36A0E0F7-1AE6-4670-9DD2-1BDFE64B5DD8}" name="Environmen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FE121A3-3C96-4643-A985-54044E039498}" name="tblPlatformCodes" displayName="tblPlatformCodes" ref="R1:S11" totalsRowShown="0">
  <autoFilter ref="R1:S11" xr:uid="{6FE121A3-3C96-4643-A985-54044E039498}"/>
  <tableColumns count="2">
    <tableColumn id="1" xr3:uid="{86E43E2A-E6F8-445A-BCA3-4B062128D531}" name="PlatAbbr"/>
    <tableColumn id="2" xr3:uid="{23604327-6341-4392-B67B-90349293A3A2}" name="Platform"/>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B40E4-067A-472C-B778-8BE159CC7B42}" name="tblTypeCodes" displayName="tblTypeCodes" ref="U1:V3" totalsRowShown="0">
  <autoFilter ref="U1:V3" xr:uid="{5B6B40E4-067A-472C-B778-8BE159CC7B42}"/>
  <tableColumns count="2">
    <tableColumn id="1" xr3:uid="{3743BD1E-6A22-445A-9C7C-75DE920A093D}" name="TypAbbr"/>
    <tableColumn id="2" xr3:uid="{41A2CFA2-FBE8-4C0F-96F1-34029139AE44}" name="Type"/>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E263C29-1777-4585-B3DA-6CABE1D82365}" name="tblMEDate" displayName="tblMEDate" ref="Z1:AA2" totalsRowShown="0" headerRowDxfId="131" dataDxfId="130" headerRowCellStyle="Normal 2">
  <autoFilter ref="Z1:AA2" xr:uid="{BE263C29-1777-4585-B3DA-6CABE1D82365}"/>
  <tableColumns count="2">
    <tableColumn id="1" xr3:uid="{352C8904-8510-4BE6-9A22-1619CA551CBE}" name="Move ME" dataDxfId="129" dataCellStyle="Normal 2"/>
    <tableColumn id="2" xr3:uid="{98C24F1E-5DDD-4CE5-BF22-FADAE0539767}" name="Event Date" dataDxfId="128" dataCellStyle="Normal 2"/>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73E0818-192D-4159-B008-5AC7F5E47AB8}" name="tblSubArea" displayName="tblSubArea" ref="AG1:AG12" totalsRowShown="0" headerRowDxfId="127" headerRowCellStyle="Normal 2">
  <autoFilter ref="AG1:AG12" xr:uid="{373E0818-192D-4159-B008-5AC7F5E47AB8}"/>
  <tableColumns count="1">
    <tableColumn id="1" xr3:uid="{3A8D586E-B787-4DA4-8132-7ECEE02DE93C}" name="SubArea"/>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B363E81-AE7D-4559-9181-42BE8F3ECABD}" name="tbltgt" displayName="tbltgt" ref="AH1:AI94" totalsRowShown="0">
  <autoFilter ref="AH1:AI94" xr:uid="{3B363E81-AE7D-4559-9181-42BE8F3ECABD}"/>
  <tableColumns count="2">
    <tableColumn id="1" xr3:uid="{47FC69FC-7581-4560-B533-CF6FB152E2D1}" name="Target"/>
    <tableColumn id="2" xr3:uid="{7BDD85A0-13E4-456D-B935-5A5DEFAD11E3}" name="Starts"/>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0DE899-E446-463A-9BAF-46F62CC16B57}" name="tblTargetPlatformList" displayName="tblTargetPlatformList" ref="F1:G33" totalsRowShown="0">
  <autoFilter ref="F1:G33" xr:uid="{D70DE899-E446-463A-9BAF-46F62CC16B57}"/>
  <tableColumns count="2">
    <tableColumn id="1" xr3:uid="{3631E4A8-4DCC-41D9-B9CA-4EEA443F7CAD}" name="Target Platform"/>
    <tableColumn id="2" xr3:uid="{FF6A79E8-36F6-4943-90C9-B6347EA99646}" name="Site" dataDxfId="126"/>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F2387FB-962E-4736-8995-61A68EB24042}" name="tblAppLvl" displayName="tblAppLvl" ref="A1:J2" totalsRowShown="0" headerRowDxfId="125" dataDxfId="124">
  <autoFilter ref="A1:J2" xr:uid="{7BF2C56A-6C30-49D3-9ED6-C77C9C875585}"/>
  <tableColumns count="10">
    <tableColumn id="1" xr3:uid="{92607299-6296-4B1C-A40C-C6ACCCCDABFD}" name="#" dataDxfId="123"/>
    <tableColumn id="2" xr3:uid="{3AAB74A0-9137-4C67-B881-EF5C32E8345C}" name="Event" dataDxfId="122">
      <calculatedColumnFormula>MigrationEventCode</calculatedColumnFormula>
    </tableColumn>
    <tableColumn id="3" xr3:uid="{8422EEF4-ED86-49FC-8079-DE6CBAF58D7E}" name="Migration date" dataDxfId="121">
      <calculatedColumnFormula>TMWorkbook!$C$2</calculatedColumnFormula>
    </tableColumn>
    <tableColumn id="4" xr3:uid="{CC29ACA7-2655-4283-9DE0-0FBC5BB257E2}" name="App" dataDxfId="120" dataCellStyle="Normal 57"/>
    <tableColumn id="5" xr3:uid="{33A46FE4-4A5C-46E3-8A05-6EE916D19ED7}" name="Servers" dataDxfId="119">
      <calculatedColumnFormula>_xlfn.XLOOKUP(tblAppLvl[[#This Row],[App]],tblDepApp[Applications],tblDepApp[Servers],"",0,1)</calculatedColumnFormula>
    </tableColumn>
    <tableColumn id="6" xr3:uid="{042D8372-961E-4557-9E98-F52238B1DAD8}" name="App Owner" dataDxfId="118">
      <calculatedColumnFormula>CONCATENATE(_xlfn.XLOOKUP(tblAppLvl[[#This Row],[App]],tblApplications[common_assetName],tblApplications[application_appOwner],"",0,1),", ",_xlfn.XLOOKUP(tblAppLvl[[#This Row],[App]],tblApplications[common_assetName],tblApplications[application_custom10],"",0,1))</calculatedColumnFormula>
    </tableColumn>
    <tableColumn id="7" xr3:uid="{EEE8B9F2-92B2-4120-8757-98B819F0BE06}" name="Migration status" dataDxfId="117"/>
    <tableColumn id="8" xr3:uid="{8EA347DA-CF2A-4F79-9CA2-FF265C1B9701}" name="Hand over Date/Sign off date" dataDxfId="116"/>
    <tableColumn id="9" xr3:uid="{D723D8DC-1004-4A65-98CC-E9E96EFDF330}" name="Kyndryl PM" dataDxfId="115">
      <calculatedColumnFormula>_xlfn.TEXTJOIN(", ",TRUE,tblPMs[PMs Names])</calculatedColumnFormula>
    </tableColumn>
    <tableColumn id="10" xr3:uid="{7BFE1634-5B8D-490D-9A7A-A94C9748D15C}" name="Comment" dataDxfId="11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9878D5A-3DB8-4C7D-B5DE-574F1184CBC4}" name="tblSignOff" displayName="tblSignOff" ref="A1:W2" totalsRowShown="0" headerRowDxfId="100" dataDxfId="99" headerRowCellStyle="Normal_WPInitialQuestionnaire.ppt">
  <autoFilter ref="A1:W2" xr:uid="{108D6A21-7AFE-493D-B74A-87CB4AAC1172}"/>
  <tableColumns count="23">
    <tableColumn id="1" xr3:uid="{FD713C33-E66E-4571-9F44-1DB4E9810FA3}" name="Seq#" dataDxfId="98"/>
    <tableColumn id="2" xr3:uid="{F77F1D2F-2910-4828-8B15-FC34FB9869FA}" name="Migration Status" dataDxfId="97">
      <calculatedColumnFormula>_xlfn.LET(_xlpm.MigSt,_xlfn.XLOOKUP(tblSignOff[[#This Row],[Hostname]],tblUnqSvr[Hostname],tblUnqSvr[Migration Status],"",0,1),IF(_xlpm.MigSt=0,"",_xlpm.MigSt))</calculatedColumnFormula>
    </tableColumn>
    <tableColumn id="3" xr3:uid="{3D5D4E74-C42A-43AE-8909-1E5CF34A0046}" name=" Event " dataDxfId="96">
      <calculatedColumnFormula>MigrationEventCode</calculatedColumnFormula>
    </tableColumn>
    <tableColumn id="4" xr3:uid="{77CB0C56-8FAC-4E69-AB50-44D57C079869}" name="Cutover Date" dataDxfId="95">
      <calculatedColumnFormula>TMWorkbook!$C$2</calculatedColumnFormula>
    </tableColumn>
    <tableColumn id="5" xr3:uid="{1DA46664-DA69-4F29-ADC7-BFB8C20C85D7}" name="Application Name" dataDxfId="94">
      <calculatedColumnFormula>_xlfn.XLOOKUP(tblSignOff[[#This Row],[AssetDependencyId]],tblEvntScope[AssetDependencyId],tblEvntScope[Application Name],"",0,1)</calculatedColumnFormula>
    </tableColumn>
    <tableColumn id="6" xr3:uid="{E1520F46-0F35-459E-B3B9-B325A81C8F05}" name="Application Owner" dataDxfId="93">
      <calculatedColumnFormula>_xlfn.XLOOKUP(tblSignOff[[#This Row],[AssetDependencyId]],tblEvntScope[AssetDependencyId],tblEvntScope[Application Owner],"",0,1)</calculatedColumnFormula>
    </tableColumn>
    <tableColumn id="7" xr3:uid="{8434791A-3DD7-499E-905E-527F7F2C0509}" name="SourceHostname-old" dataDxfId="92">
      <calculatedColumnFormula>CONCATENATE(tblSignOff[[#This Row],[Hostname]],"-cmold")</calculatedColumnFormula>
    </tableColumn>
    <tableColumn id="8" xr3:uid="{5B862AB7-3DE4-4DA7-95F8-32389326E3AE}" name="Source IP Address" dataDxfId="91">
      <calculatedColumnFormula>_xlfn.XLOOKUP(tblSignOff[[#This Row],[AssetDependencyId]],tblEvntScope[AssetDependencyId],tblEvntScope[Source IP Address],"",0,1)</calculatedColumnFormula>
    </tableColumn>
    <tableColumn id="9" xr3:uid="{42D83755-F3E4-46E1-A5A6-E56C68F96C77}" name="EH Data Center Location" dataDxfId="90">
      <calculatedColumnFormula>_xlfn.LET(_xlpm.DCLoc,_xlfn.XLOOKUP(tblSignOff[[#This Row],[Hostname]],tblUnqSvr[Hostname],tblUnqSvr[EH DataCenter Location],"",0,1), IF(_xlpm.DCLoc=0,"",_xlpm.DCLoc))</calculatedColumnFormula>
    </tableColumn>
    <tableColumn id="10" xr3:uid="{0B86FD45-BE9E-4CB9-ABAB-BC11A2A2F95F}" name="Type (App/DB)" dataDxfId="89">
      <calculatedColumnFormula>_xlfn.XLOOKUP(tblSignOff[[#This Row],[AssetDependencyId]],tblEvntScope[AssetDependencyId],tblEvntScope[Type
App/DB],"",0,1)</calculatedColumnFormula>
    </tableColumn>
    <tableColumn id="11" xr3:uid="{AD76671B-3DBF-467C-8ADF-EC18E46A92FA}" name="Environment" dataDxfId="88" dataCellStyle="Normal 7">
      <calculatedColumnFormula>_xlfn.XLOOKUP(tblSignOff[[#This Row],[AssetDependencyId]],tblEvntScope[AssetDependencyId],tblEvntScope[Environment],"",0,1)</calculatedColumnFormula>
    </tableColumn>
    <tableColumn id="12" xr3:uid="{AF4D4F26-767D-4CC4-97C1-304E2AD1F885}" name="Device Type" dataDxfId="87" dataCellStyle="Normal 7">
      <calculatedColumnFormula>_xlfn.XLOOKUP(tblSignOff[[#This Row],[Hostname]],tblTM[common_assetName],tblTM[device_assetType],"",0,1)</calculatedColumnFormula>
    </tableColumn>
    <tableColumn id="13" xr3:uid="{CAF10CD0-EA11-4EB4-8440-47BF91D36FEF}" name="Operating System" dataDxfId="86" dataCellStyle="Normal 7">
      <calculatedColumnFormula>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4" xr3:uid="{E18274F7-ED26-407A-A0DB-59A95670C781}" name="Physical Server Serial Number" dataDxfId="85">
      <calculatedColumnFormula>_xlfn.LET(_xlpm.PhySN,_xlfn.XLOOKUP(tblSignOff[[#This Row],[Hostname]],tblUnqSvr[Hostname],tblUnqSvr[Source Physical Server Serial Number],"",0,1), IF(_xlpm.PhySN=0,"", _xlpm.PhySN))</calculatedColumnFormula>
    </tableColumn>
    <tableColumn id="15" xr3:uid="{699A8834-83C4-4FB0-883D-09E17E1E474C}" name="Target Data Center" dataDxfId="84">
      <calculatedColumnFormula>_xlfn.XLOOKUP(tblSignOff[[#This Row],[Hostname]],tblUnqSvr[Hostname],tblUnqSvr[Target Data Center],"",0,1)</calculatedColumnFormula>
    </tableColumn>
    <tableColumn id="16" xr3:uid="{54BF87D5-A6AD-4228-BD1E-DDD37564D6FE}" name="Hostname" dataDxfId="83">
      <calculatedColumnFormula>_xlfn.XLOOKUP(tblSignOff[[#This Row],[AssetDependencyId]],tblDependencies[AssetDependencyId],tblDependencies[DependentName],"",0,1)</calculatedColumnFormula>
    </tableColumn>
    <tableColumn id="17" xr3:uid="{9987EC46-2A88-4362-84B7-93809A606C7B}" name="Target IPs " dataDxfId="82">
      <calculatedColumnFormula>_xlfn.XLOOKUP(tblSignOff[[#This Row],[Hostname]],tblTM[common_assetName],tblTM[device_custom17],"",0,1)</calculatedColumnFormula>
    </tableColumn>
    <tableColumn id="18" xr3:uid="{C69E673A-7947-4C96-AD5C-5950A03AAFA6}" name="Target Subnet" dataDxfId="81">
      <calculatedColumnFormula>_xlfn.XLOOKUP(tblSignOff[[#This Row],[Hostname]],tblTM[common_assetName],tblTM[device_custom14],"",0,1)</calculatedColumnFormula>
    </tableColumn>
    <tableColumn id="19" xr3:uid="{674BA091-6A57-4A39-8CF4-458A677994C9}" name="Target Gateway" dataDxfId="80">
      <calculatedColumnFormula>_xlfn.XLOOKUP(tblSignOff[[#This Row],[Hostname]],tblTM[common_assetName],tblTM[device_custom12],"",0,1)</calculatedColumnFormula>
    </tableColumn>
    <tableColumn id="20" xr3:uid="{D6B4D080-5229-47A1-8ECB-013AAE7C1EF7}" name="Cutover Change number" dataDxfId="79">
      <calculatedColumnFormula>_xlfn.XLOOKUP(tblSignOff[[#This Row],[Hostname]],tblUnqSvr[Hostname],tblUnqSvr[Cutover Change number],"",0,1)</calculatedColumnFormula>
    </tableColumn>
    <tableColumn id="21" xr3:uid="{C49AA2C6-2994-4CB4-BC03-D11CF204907E}" name="Plan Status &quot;Moved&quot; in TM" dataDxfId="78">
      <calculatedColumnFormula>_xlfn.XLOOKUP(tblSignOff[[#This Row],[Hostname]],tblUnqSvr[Hostname],tblUnqSvr[Plan Status "Moved" in TM],"",0,1)</calculatedColumnFormula>
    </tableColumn>
    <tableColumn id="22" xr3:uid="{A62D5D03-52D1-4630-8162-736BAF4B01B5}" name="Comment" dataDxfId="77"/>
    <tableColumn id="23" xr3:uid="{BA947D7E-0E42-44F4-BAC1-156B795E06DD}" name="AssetDependencyId" dataDxfId="76" dataCellStyle="Normal 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E03E373-79A2-4A18-9076-EE5D450748FC}" name="tblUnqSvr" displayName="tblUnqSvr" ref="A1:X2" totalsRowShown="0" headerRowDxfId="63" dataDxfId="62" headerRowCellStyle="Normal_WPInitialQuestionnaire.ppt">
  <autoFilter ref="A1:X2" xr:uid="{BA999C1D-60FC-4F48-9235-DCA78413F533}"/>
  <tableColumns count="24">
    <tableColumn id="1" xr3:uid="{085D437B-E6DE-4524-8B86-DAFD34859371}" name="Seq#" dataDxfId="61" dataCellStyle="Normal 149 2"/>
    <tableColumn id="2" xr3:uid="{55B3D43F-51F4-4973-8F6A-BF84752B2935}" name="Migration Status" dataDxfId="60"/>
    <tableColumn id="3" xr3:uid="{531FCE7E-1E98-420B-ABD5-754A6777FC93}" name=" Event " dataDxfId="59">
      <calculatedColumnFormula>MigrationEventCode</calculatedColumnFormula>
    </tableColumn>
    <tableColumn id="4" xr3:uid="{E0D35880-3E9B-4F13-96F7-D120B5AE3FF2}" name="Migration Date:     " dataDxfId="58">
      <calculatedColumnFormula>TMWorkbook!$C$2</calculatedColumnFormula>
    </tableColumn>
    <tableColumn id="5" xr3:uid="{F36C716A-4A0C-4C53-98BC-1D38E094B896}" name="[Sourcehostname]-cmold" dataDxfId="57">
      <calculatedColumnFormula>CONCATENATE(tblUnqSvr[[#This Row],[Hostname]],"-cmold")</calculatedColumnFormula>
    </tableColumn>
    <tableColumn id="6" xr3:uid="{A585E850-A04F-44FE-859E-2739FF788AFB}" name="Source IP Address" dataDxfId="56">
      <calculatedColumnFormula>_xlfn.XLOOKUP(tblUnqSvr[[#This Row],[Hostname]],tblTM[common_assetName],tblTM[device_ipAddress],"",0,1)</calculatedColumnFormula>
    </tableColumn>
    <tableColumn id="7" xr3:uid="{D472C189-B88C-4C30-8931-9DA5A163680C}" name="EH DataCenter Location" dataDxfId="55"/>
    <tableColumn id="8" xr3:uid="{4A795224-BECB-4CA4-83E7-CFDD2A20859F}" name="Type (App/DB)" dataDxfId="54">
      <calculatedColumnFormula>_xlfn.XLOOKUP(tblUnqSvr[[#This Row],[Hostname]],tblTM[common_assetName],tblTM[device_custom35],"",0,1)</calculatedColumnFormula>
    </tableColumn>
    <tableColumn id="9" xr3:uid="{0E030966-C8D5-4777-93CF-A463BF5BE8C0}" name="Environment" dataDxfId="53" dataCellStyle="Normal 7">
      <calculatedColumnFormula>_xlfn.XLOOKUP(tblUnqSvr[[#This Row],[Hostname]],tblTM[common_assetName],tblTM[common_environment],"",0,1)</calculatedColumnFormula>
    </tableColumn>
    <tableColumn id="10" xr3:uid="{D8D6431C-B2A5-4373-B570-A89967719F3B}" name="Device Type" dataDxfId="52" dataCellStyle="Normal 7">
      <calculatedColumnFormula>_xlfn.XLOOKUP(tblUnqSvr[[#This Row],[Hostname]],tblTM[common_assetName],tblTM[device_assetType],"",0,1)</calculatedColumnFormula>
    </tableColumn>
    <tableColumn id="11" xr3:uid="{72584F55-64B1-46A0-8F94-72EFE744B1F2}" name="Operating System" dataDxfId="51" dataCellStyle="Normal 7">
      <calculatedColumnFormula>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2" xr3:uid="{F1C81AE2-7726-4711-85EE-C5C70D4527EF}" name="Source Physical Server Serial Number" dataDxfId="50"/>
    <tableColumn id="13" xr3:uid="{35C08B02-61BE-465B-AB4C-463D2114825F}" name="Target Data Center" dataDxfId="49">
      <calculatedColumnFormula>_xlfn.XLOOKUP(tblUnqSvr[[#This Row],[Hostname]],tblEvntScope[Hostname],tblEvntScope[Target Data Center],"",0,1)</calculatedColumnFormula>
    </tableColumn>
    <tableColumn id="14" xr3:uid="{C028444D-D768-441A-8D46-3B0BC0CEE315}" name="Hostname" dataDxfId="48"/>
    <tableColumn id="15" xr3:uid="{0FDAC7A0-7E0D-47B0-ADE9-CCB47B296D60}" name="Target IPs " dataDxfId="47">
      <calculatedColumnFormula>_xlfn.XLOOKUP(tblUnqSvr[[#This Row],[Hostname]],tblTM[common_assetName],tblTM[device_custom17],"",0,1)</calculatedColumnFormula>
    </tableColumn>
    <tableColumn id="16" xr3:uid="{9D68A318-6835-4776-9B66-E3ACD426F1B1}" name="Target Subnet" dataDxfId="46">
      <calculatedColumnFormula>_xlfn.XLOOKUP(tblUnqSvr[[#This Row],[Hostname]],tblTM[common_assetName],tblTM[device_custom14],"",0,1)</calculatedColumnFormula>
    </tableColumn>
    <tableColumn id="17" xr3:uid="{E9BF675E-25D1-4DDD-93E5-D2BA76E48BB2}" name="Target Gateway" dataDxfId="45">
      <calculatedColumnFormula>_xlfn.XLOOKUP(tblUnqSvr[[#This Row],[Hostname]],tblTM[common_assetName],tblTM[device_custom12],"",0,1)</calculatedColumnFormula>
    </tableColumn>
    <tableColumn id="18" xr3:uid="{74F9DEDE-9E6C-4C1B-B695-14E696353B93}" name="Cutover Change number" dataDxfId="44"/>
    <tableColumn id="19" xr3:uid="{36774998-4341-4BCD-820C-EFDEBE765332}" name="Plan Status &quot;Moved&quot; in TM" dataDxfId="43"/>
    <tableColumn id="20" xr3:uid="{55204B43-9703-4835-AA93-00D87FC27B49}" name="VM Name in Vcenter" dataDxfId="42"/>
    <tableColumn id="21" xr3:uid="{DE291CE8-E252-4388-ACD2-6B42F35A7C7A}" name=" Vcenter Name" dataDxfId="41"/>
    <tableColumn id="22" xr3:uid="{9ACCB239-F18E-4B8A-AC55-0FA05619EFF4}" name="Power Status of VM" dataDxfId="40"/>
    <tableColumn id="23" xr3:uid="{C43F963E-7FD9-43F3-9B2B-B205BC167286}" name="VM Cluster Name" dataDxfId="39"/>
    <tableColumn id="24" xr3:uid="{B81ED9BD-F747-487C-996E-1B6AF8394227}" name="Comment" dataDxfId="3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786665F-E48F-4969-85E0-E0C4193FE0C0}" name="tblPhySvrs" displayName="tblPhySvrs" ref="A1:T2" totalsRowShown="0" headerRowDxfId="24" dataDxfId="23">
  <autoFilter ref="A1:T2" xr:uid="{838E34C2-8944-431E-AA35-1E4FC0A9D733}"/>
  <tableColumns count="20">
    <tableColumn id="1" xr3:uid="{47592E65-018E-4E34-9C11-753CB73A7CB5}" name="Seq#" dataDxfId="22"/>
    <tableColumn id="2" xr3:uid="{CCDED262-7856-4363-AF5E-8EEE721C4B8F}" name="Migration Status" dataDxfId="21">
      <calculatedColumnFormula>_xlfn.LET(_xlpm.MigSt,_xlfn.XLOOKUP(tblPhySvrs[[#This Row],[Hostname]],tblUnqSvr[Hostname],tblUnqSvr[Migration Status],"",0,1),IF(_xlpm.MigSt=0,"",_xlpm.MigSt))</calculatedColumnFormula>
    </tableColumn>
    <tableColumn id="3" xr3:uid="{7C844B11-28AF-4448-B221-0A7C3F8CEE2D}" name=" Event " dataDxfId="20">
      <calculatedColumnFormula>MigrationEventCode</calculatedColumnFormula>
    </tableColumn>
    <tableColumn id="4" xr3:uid="{2DD5DE0C-D3D3-40CB-9DC3-2D76CC4C303E}" name="Migration Date:     " dataDxfId="19">
      <calculatedColumnFormula>TMWorkbook!$C$2</calculatedColumnFormula>
    </tableColumn>
    <tableColumn id="5" xr3:uid="{171B9E8C-1495-485F-98EC-75F818312527}" name="[Sourcehostname]-old" dataDxfId="18">
      <calculatedColumnFormula>CONCATENATE(tblPhySvrs[[#This Row],[Hostname]],"-cmold")</calculatedColumnFormula>
    </tableColumn>
    <tableColumn id="6" xr3:uid="{A763FEEE-C2CB-4A1F-BB7C-32DDC5C82BA7}" name="Source IP Address" dataDxfId="17">
      <calculatedColumnFormula>_xlfn.XLOOKUP(tblPhySvrs[[#This Row],[Hostname]],tblTM[common_assetName],tblTM[device_ipAddress],"",0,1)</calculatedColumnFormula>
    </tableColumn>
    <tableColumn id="7" xr3:uid="{8BC87A81-778E-49EC-8423-9F8CDEFCF5DE}" name="EH Data Center Location" dataDxfId="16">
      <calculatedColumnFormula>_xlfn.LET(_xlpm.DCLoc,_xlfn.XLOOKUP(tblPhySvrs[[#This Row],[Hostname]],tblUnqSvr[Hostname],tblUnqSvr[EH DataCenter Location],"",0,1), IF(_xlpm.DCLoc=0,"",_xlpm.DCLoc))</calculatedColumnFormula>
    </tableColumn>
    <tableColumn id="8" xr3:uid="{19FCDC91-4965-4DDE-A1B4-360373EC75D2}" name="Type (App/DB)" dataDxfId="15">
      <calculatedColumnFormula>_xlfn.XLOOKUP(tblPhySvrs[[#This Row],[Hostname]],tblTM[common_assetName],tblTM[device_custom35],"",0,1)</calculatedColumnFormula>
    </tableColumn>
    <tableColumn id="9" xr3:uid="{EC869524-7235-4D28-B2D1-B2F6F684365B}" name="Environment" dataDxfId="14" dataCellStyle="Normal 7">
      <calculatedColumnFormula>_xlfn.XLOOKUP(tblPhySvrs[[#This Row],[Hostname]],tblTM[common_assetName],tblTM[common_environment],"",0,1)</calculatedColumnFormula>
    </tableColumn>
    <tableColumn id="10" xr3:uid="{0238AFB6-5379-4B6A-86D1-EDD19EEFD516}" name="Device Type" dataDxfId="13" dataCellStyle="Normal 7">
      <calculatedColumnFormula>_xlfn.XLOOKUP(tblPhySvrs[[#This Row],[Hostname]],tblUnqSvr[Hostname],tblUnqSvr[Device Type],"",0,1)</calculatedColumnFormula>
    </tableColumn>
    <tableColumn id="11" xr3:uid="{A35B1812-D861-48EF-AA00-CAF80A00FE8A}" name="Operating System" dataDxfId="12" dataCellStyle="Normal 7">
      <calculatedColumnFormula>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12" xr3:uid="{91ECE770-C6B2-462C-9C98-9406ECF0F472}" name="Source Physical Server Serial Number" dataDxfId="11">
      <calculatedColumnFormula>_xlfn.XLOOKUP(tblPhySvrs[[#This Row],[Hostname]],tblUnqSvr[[#This Row],[Hostname]],tblUnqSvr[[#This Row],[Source Physical Server Serial Number]],"",0,1)</calculatedColumnFormula>
    </tableColumn>
    <tableColumn id="13" xr3:uid="{6035E27C-C78E-4E6F-9309-42A566F8017C}" name="Target Data Center" dataDxfId="10">
      <calculatedColumnFormula>_xlfn.XLOOKUP(tblPhySvrs[[#This Row],[Hostname]],tblUnqSvr[[#This Row],[Hostname]],tblUnqSvr[[#This Row],[Target Data Center]],"",0,1)</calculatedColumnFormula>
    </tableColumn>
    <tableColumn id="14" xr3:uid="{01A642BF-0F84-49D3-9CBB-A6BB082FDAB9}" name="Hostname" dataDxfId="9" dataCellStyle="Normal 8"/>
    <tableColumn id="15" xr3:uid="{AD9462D4-165B-425D-8FD6-810388A1E18D}" name="Target IPs " dataDxfId="8">
      <calculatedColumnFormula>_xlfn.XLOOKUP(tblPhySvrs[[#This Row],[Hostname]],tblTM[common_assetName],tblTM[device_custom17],"",0,1)</calculatedColumnFormula>
    </tableColumn>
    <tableColumn id="16" xr3:uid="{716846BC-C205-4DFA-AB68-5BA7FCFB0CBE}" name="Target Subnet" dataDxfId="7">
      <calculatedColumnFormula>_xlfn.XLOOKUP(tblPhySvrs[[#This Row],[Hostname]],tblTM[common_assetName],tblTM[device_custom14],"",0,1)</calculatedColumnFormula>
    </tableColumn>
    <tableColumn id="17" xr3:uid="{E56F2AF0-27A0-4DBD-8DB7-FB81C710D2E4}" name="Target Gateway" dataDxfId="6">
      <calculatedColumnFormula>_xlfn.XLOOKUP(tblPhySvrs[[#This Row],[Hostname]],tblTM[common_assetName],tblTM[device_custom12],"",0,1)</calculatedColumnFormula>
    </tableColumn>
    <tableColumn id="18" xr3:uid="{CBE89D95-062A-4C90-A0CE-9EE3EA88F124}" name="Cutover Change number" dataDxfId="5">
      <calculatedColumnFormula>_xlfn.XLOOKUP(tblPhySvrs[[#This Row],[Hostname]],tblUnqSvr[[#This Row],[Hostname]],tblUnqSvr[[#This Row],[Cutover Change number]],"",0,1)</calculatedColumnFormula>
    </tableColumn>
    <tableColumn id="19" xr3:uid="{4415C9C2-6672-467E-8085-D4FF57D55603}" name="Plan Status &quot;Moved&quot; in TM" dataDxfId="4">
      <calculatedColumnFormula>_xlfn.XLOOKUP(tblPhySvrs[[#This Row],[Hostname]],tblUnqSvr[[#This Row],[Hostname]],tblUnqSvr[[#This Row],[Plan Status "Moved" in TM]],"",0,1)</calculatedColumnFormula>
    </tableColumn>
    <tableColumn id="20" xr3:uid="{0B803B26-061C-49F7-A43D-0BFB963894DD}" name="Comment" dataDxfId="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DD58D-25A7-5E4C-A9FD-B68E64F043F6}" name="tblConfigParams" displayName="tblConfigParams" ref="A1:B8" totalsRowShown="0">
  <autoFilter ref="A1:B8" xr:uid="{BBDDD58D-25A7-5E4C-A9FD-B68E64F043F6}"/>
  <tableColumns count="2">
    <tableColumn id="1" xr3:uid="{8E6044DD-88F4-4243-8BDA-1D2C36C4158F}" name="Parameter"/>
    <tableColumn id="2" xr3:uid="{27C4842B-F85F-3D4A-93C8-D088088E72CA}" name="Value" dataDxfId="2"/>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705BD8-EA0F-4413-8C06-E7A487B1C7F3}" name="anthem_config" displayName="anthem_config" ref="A1:D7" totalsRowShown="0">
  <autoFilter ref="A1:D7" xr:uid="{C6705BD8-EA0F-4413-8C06-E7A487B1C7F3}"/>
  <tableColumns count="4">
    <tableColumn id="1" xr3:uid="{516CD5DE-5293-467C-B485-176D346BECF8}" name="project"/>
    <tableColumn id="2" xr3:uid="{D1A22723-3094-41B7-BF47-0E37D1936008}" name="project_id"/>
    <tableColumn id="3" xr3:uid="{9413E30C-5222-4CEF-981C-80C9A2F759A5}" name="apps_all_columns"/>
    <tableColumn id="4" xr3:uid="{FF4ED21A-D2FD-4A50-A360-3488E08B391A}" name="devs_arch_workbook"/>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A0DF449-23DA-4BB1-9781-AC56254AB699}" name="tblCngLog" displayName="tblCngLog" ref="A2:D27" totalsRowShown="0" dataDxfId="512">
  <autoFilter ref="A2:D27" xr:uid="{E1F437BC-05C7-4ADE-B546-673318F358FA}"/>
  <tableColumns count="4">
    <tableColumn id="1" xr3:uid="{495B1718-793C-4731-B139-8E0CA780B904}" name="Version" dataDxfId="511"/>
    <tableColumn id="2" xr3:uid="{A3EB6E06-469E-4792-8796-6159EB19759D}" name="Date" dataDxfId="510">
      <calculatedColumnFormula>TODAY()</calculatedColumnFormula>
    </tableColumn>
    <tableColumn id="3" xr3:uid="{8F864C62-36C7-4F1B-B8CB-577C522EAB24}" name="Who" dataDxfId="509"/>
    <tableColumn id="4" xr3:uid="{E8BC3CF2-97C0-458B-9BC3-438021BA3E8E}" name="What is new?" dataDxfId="50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8.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printerSettings" Target="../printerSettings/printerSettings7.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5.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table" Target="../tables/table26.xml"/><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kyndryl-elevance.transitionmanager.net/tdstm/" TargetMode="External"/></Relationships>
</file>

<file path=xl/worksheets/_rels/sheet2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85EA-73A6-48BE-B97E-88D526E3C0E1}">
  <sheetPr codeName="TMWorkbook"/>
  <dimension ref="A1:C20"/>
  <sheetViews>
    <sheetView tabSelected="1" workbookViewId="0">
      <selection activeCell="B2" sqref="B2"/>
    </sheetView>
  </sheetViews>
  <sheetFormatPr defaultColWidth="8.796875" defaultRowHeight="15.6" x14ac:dyDescent="0.3"/>
  <cols>
    <col min="1" max="1" width="30.09765625" customWidth="1"/>
    <col min="2" max="2" width="23.09765625" customWidth="1"/>
    <col min="3" max="3" width="26.59765625" customWidth="1"/>
  </cols>
  <sheetData>
    <row r="1" spans="1:3" ht="32.25" customHeight="1" x14ac:dyDescent="0.3">
      <c r="A1" s="32" t="s">
        <v>526</v>
      </c>
    </row>
    <row r="2" spans="1:3" x14ac:dyDescent="0.3">
      <c r="A2" s="1" t="s">
        <v>1</v>
      </c>
      <c r="B2" s="163" t="s">
        <v>523</v>
      </c>
      <c r="C2" s="170">
        <v>46129</v>
      </c>
    </row>
    <row r="3" spans="1:3" x14ac:dyDescent="0.3">
      <c r="A3" t="s">
        <v>2</v>
      </c>
      <c r="B3" s="30" t="str">
        <f>SUBSTITUTE(MigrationEventCode,"ME","AppGroup")</f>
        <v>AppGroupA100</v>
      </c>
    </row>
    <row r="4" spans="1:3" x14ac:dyDescent="0.3">
      <c r="A4" s="1" t="s">
        <v>3</v>
      </c>
      <c r="B4" s="31" t="s">
        <v>4</v>
      </c>
    </row>
    <row r="5" spans="1:3" x14ac:dyDescent="0.3">
      <c r="A5" t="s">
        <v>5</v>
      </c>
      <c r="B5" s="30">
        <f>_xlfn.XLOOKUP($B$4,anthem_config[project],anthem_config[project_id],"",0)</f>
        <v>8620</v>
      </c>
    </row>
    <row r="6" spans="1:3" x14ac:dyDescent="0.3">
      <c r="A6" t="s">
        <v>6</v>
      </c>
      <c r="B6" s="30">
        <f>_xlfn.XLOOKUP($B$4,anthem_config[project],anthem_config[apps_all_columns],"",0)</f>
        <v>447</v>
      </c>
    </row>
    <row r="7" spans="1:3" x14ac:dyDescent="0.3">
      <c r="A7" t="s">
        <v>7</v>
      </c>
      <c r="B7" s="30">
        <f>_xlfn.XLOOKUP($B$4,anthem_config[project],anthem_config[devs_arch_workbook],"",0)</f>
        <v>446</v>
      </c>
    </row>
    <row r="10" spans="1:3" x14ac:dyDescent="0.3">
      <c r="A10" t="s">
        <v>8</v>
      </c>
      <c r="B10" t="s">
        <v>9</v>
      </c>
    </row>
    <row r="11" spans="1:3" x14ac:dyDescent="0.3">
      <c r="A11" t="s">
        <v>524</v>
      </c>
      <c r="B11" s="110"/>
    </row>
    <row r="12" spans="1:3" x14ac:dyDescent="0.3">
      <c r="B12" s="110"/>
    </row>
    <row r="13" spans="1:3" x14ac:dyDescent="0.3">
      <c r="B13" s="110"/>
    </row>
    <row r="14" spans="1:3" x14ac:dyDescent="0.3">
      <c r="B14" s="110"/>
    </row>
    <row r="15" spans="1:3" x14ac:dyDescent="0.3">
      <c r="B15" s="110"/>
    </row>
    <row r="16" spans="1:3" x14ac:dyDescent="0.3">
      <c r="A16" s="98" t="s">
        <v>10</v>
      </c>
    </row>
    <row r="17" spans="1:1" x14ac:dyDescent="0.3">
      <c r="A17" t="s">
        <v>11</v>
      </c>
    </row>
    <row r="18" spans="1:1" x14ac:dyDescent="0.3">
      <c r="A18" t="s">
        <v>12</v>
      </c>
    </row>
    <row r="19" spans="1:1" x14ac:dyDescent="0.3">
      <c r="A19" t="s">
        <v>13</v>
      </c>
    </row>
    <row r="20" spans="1:1" x14ac:dyDescent="0.3">
      <c r="A20" t="s">
        <v>14</v>
      </c>
    </row>
  </sheetData>
  <conditionalFormatting sqref="C2">
    <cfRule type="expression" dxfId="507" priority="4">
      <formula>TEXT($C$2,"ddd")="Fri"</formula>
    </cfRule>
  </conditionalFormatting>
  <conditionalFormatting sqref="B4">
    <cfRule type="cellIs" dxfId="1" priority="1" operator="equal">
      <formula>"Schaumburg"</formula>
    </cfRule>
    <cfRule type="cellIs" dxfId="0" priority="2" operator="equal">
      <formula>"CBH"</formula>
    </cfRule>
  </conditionalFormatting>
  <dataValidations count="1">
    <dataValidation type="list" allowBlank="1" showInputMessage="1" showErrorMessage="1" sqref="B4" xr:uid="{D2307656-4AE0-460C-ADD1-03232B869222}">
      <formula1>INDIRECT("anthem_config[project]")</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utton 3">
              <controlPr defaultSize="0" print="0" autoFill="0" autoPict="0" macro="[0]!MEInitPM">
                <anchor moveWithCells="1" sizeWithCells="1">
                  <from>
                    <xdr:col>1</xdr:col>
                    <xdr:colOff>76200</xdr:colOff>
                    <xdr:row>0</xdr:row>
                    <xdr:rowOff>30480</xdr:rowOff>
                  </from>
                  <to>
                    <xdr:col>1</xdr:col>
                    <xdr:colOff>1714500</xdr:colOff>
                    <xdr:row>0</xdr:row>
                    <xdr:rowOff>335280</xdr:rowOff>
                  </to>
                </anchor>
              </controlPr>
            </control>
          </mc:Choice>
        </mc:AlternateContent>
        <mc:AlternateContent xmlns:mc="http://schemas.openxmlformats.org/markup-compatibility/2006">
          <mc:Choice Requires="x14">
            <control shapeId="47108" r:id="rId5" name="Button 4">
              <controlPr defaultSize="0" print="0" autoFill="0" autoPict="0" macro="[0]!ClearAllTablesPM">
                <anchor moveWithCells="1" sizeWithCells="1">
                  <from>
                    <xdr:col>2</xdr:col>
                    <xdr:colOff>38100</xdr:colOff>
                    <xdr:row>0</xdr:row>
                    <xdr:rowOff>30480</xdr:rowOff>
                  </from>
                  <to>
                    <xdr:col>2</xdr:col>
                    <xdr:colOff>1897380</xdr:colOff>
                    <xdr:row>0</xdr:row>
                    <xdr:rowOff>335280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E0193-6414-494D-8333-D0855792CA55}">
  <sheetPr codeName="Sheet6"/>
  <dimension ref="A1:Y16"/>
  <sheetViews>
    <sheetView workbookViewId="0">
      <pane xSplit="1" ySplit="2" topLeftCell="B3" activePane="bottomRight" state="frozen"/>
      <selection pane="topRight" activeCell="B1" sqref="B1"/>
      <selection pane="bottomLeft" activeCell="A3" sqref="A3"/>
      <selection pane="bottomRight" activeCell="D12" sqref="D12"/>
    </sheetView>
  </sheetViews>
  <sheetFormatPr defaultColWidth="8.796875" defaultRowHeight="15.6" x14ac:dyDescent="0.3"/>
  <cols>
    <col min="1" max="1" width="37" customWidth="1"/>
    <col min="2" max="2" width="9" customWidth="1"/>
    <col min="3" max="3" width="14.09765625" customWidth="1"/>
    <col min="4" max="5" width="7.59765625" customWidth="1"/>
    <col min="6" max="6" width="8.5" customWidth="1"/>
    <col min="7" max="7" width="5.59765625" customWidth="1"/>
    <col min="8" max="8" width="11.09765625" customWidth="1"/>
    <col min="9" max="9" width="6.296875" customWidth="1"/>
    <col min="10" max="10" width="8" customWidth="1"/>
    <col min="11" max="11" width="6.296875" customWidth="1"/>
    <col min="12" max="12" width="6.09765625" customWidth="1"/>
    <col min="13" max="13" width="9.19921875" customWidth="1"/>
    <col min="14" max="14" width="9.5" customWidth="1"/>
    <col min="15" max="15" width="5.59765625" customWidth="1"/>
    <col min="16" max="16" width="6" customWidth="1"/>
    <col min="17" max="17" width="5.69921875" customWidth="1"/>
    <col min="18" max="20" width="5.59765625" customWidth="1"/>
    <col min="21" max="21" width="9.19921875" customWidth="1"/>
    <col min="22" max="22" width="9.59765625" customWidth="1"/>
    <col min="23" max="23" width="7.19921875" customWidth="1"/>
    <col min="24" max="24" width="5.796875" customWidth="1"/>
    <col min="25" max="25" width="6.69921875" customWidth="1"/>
  </cols>
  <sheetData>
    <row r="1" spans="1:25" x14ac:dyDescent="0.3">
      <c r="A1" s="24" t="str">
        <f>TMWorkbook!B2</f>
        <v>MEA100</v>
      </c>
      <c r="B1" s="203" t="s">
        <v>15</v>
      </c>
      <c r="C1" s="203"/>
      <c r="D1" s="203"/>
      <c r="E1" s="203"/>
      <c r="F1" s="204"/>
      <c r="G1" s="202" t="s">
        <v>16</v>
      </c>
      <c r="H1" s="203"/>
      <c r="I1" s="203"/>
      <c r="J1" s="203"/>
      <c r="K1" s="203"/>
      <c r="L1" s="203"/>
      <c r="M1" s="203"/>
      <c r="N1" s="204"/>
      <c r="O1" s="202" t="s">
        <v>17</v>
      </c>
      <c r="P1" s="203"/>
      <c r="Q1" s="203"/>
      <c r="R1" s="203"/>
      <c r="S1" s="203"/>
      <c r="T1" s="203"/>
      <c r="U1" s="204"/>
      <c r="V1" s="9"/>
      <c r="W1" s="10"/>
      <c r="X1" s="10"/>
      <c r="Y1" s="10"/>
    </row>
    <row r="2" spans="1:25" x14ac:dyDescent="0.3">
      <c r="A2" s="11" t="s">
        <v>18</v>
      </c>
      <c r="B2" s="23" t="s">
        <v>19</v>
      </c>
      <c r="C2" s="23" t="s">
        <v>20</v>
      </c>
      <c r="D2" s="23" t="s">
        <v>21</v>
      </c>
      <c r="E2" s="23" t="s">
        <v>22</v>
      </c>
      <c r="F2" s="23" t="s">
        <v>23</v>
      </c>
      <c r="G2" s="12" t="s">
        <v>24</v>
      </c>
      <c r="H2" s="27" t="s">
        <v>25</v>
      </c>
      <c r="I2" s="12" t="s">
        <v>26</v>
      </c>
      <c r="J2" s="12" t="s">
        <v>27</v>
      </c>
      <c r="K2" s="13" t="s">
        <v>28</v>
      </c>
      <c r="L2" s="12" t="s">
        <v>29</v>
      </c>
      <c r="M2" s="14" t="s">
        <v>30</v>
      </c>
      <c r="N2" s="12" t="s">
        <v>31</v>
      </c>
      <c r="O2" s="15" t="s">
        <v>32</v>
      </c>
      <c r="P2" s="15" t="s">
        <v>33</v>
      </c>
      <c r="Q2" s="15" t="s">
        <v>34</v>
      </c>
      <c r="R2" s="15" t="s">
        <v>35</v>
      </c>
      <c r="S2" s="15" t="s">
        <v>36</v>
      </c>
      <c r="T2" s="15" t="s">
        <v>37</v>
      </c>
      <c r="U2" s="16" t="s">
        <v>38</v>
      </c>
      <c r="V2" s="16" t="s">
        <v>39</v>
      </c>
      <c r="W2" s="122" t="s">
        <v>40</v>
      </c>
      <c r="X2" s="17" t="s">
        <v>41</v>
      </c>
      <c r="Y2" s="22" t="s">
        <v>42</v>
      </c>
    </row>
    <row r="3" spans="1:25" x14ac:dyDescent="0.3">
      <c r="A3" s="190"/>
      <c r="B3" s="191" t="str">
        <f>_xlfn.LET(_xlpm.AppCount,COUNTIFS(tblPMView[Scope],"",tblPMView[Application],tblAppSum[[#This Row],[Supported Application]],tblPMView[Device Type],B$2),IF(_xlpm.AppCount=0,"",_xlpm.AppCount))</f>
        <v/>
      </c>
      <c r="C3" s="191" t="str">
        <f>_xlfn.LET(_xlpm.AppCount,COUNTIFS(tblPMView[Scope],"",tblPMView[Application],tblAppSum[[#This Row],[Supported Application]],tblPMView[Device Type],C$2),IF(_xlpm.AppCount=0,"",_xlpm.AppCount))</f>
        <v/>
      </c>
      <c r="D3" s="63" t="str">
        <f>_xlfn.LET(_xlpm.AppCount,COUNTIFS(tblPMView[Scope],"",tblPMView[Application],tblAppSum[[#This Row],[Supported Application]],tblPMView[Device Type],D$2),IF(_xlpm.AppCount=0,"",_xlpm.AppCount))</f>
        <v/>
      </c>
      <c r="E3" s="191" t="str">
        <f>_xlfn.LET(_xlpm.AppCount,COUNTIFS(tblPMView[Scope],"",tblPMView[Application],tblAppSum[[#This Row],[Supported Application]],tblPMView[Device Type],E$2),IF(_xlpm.AppCount=0,"",_xlpm.AppCount))</f>
        <v/>
      </c>
      <c r="F3" s="192">
        <f>_xlfn.LET(_xlpm.AppCount,COUNTIFS(tblPMView[Scope],"",tblPMView[Application],tblAppSum[[#This Row],[Supported Application]])-SUM(tblAppSum[[#This Row],[AIX-LPAR]:[VM]]),IF(_xlpm.AppCount=0,"",_xlpm.AppCount))</f>
        <v>1</v>
      </c>
      <c r="G3" s="193" t="str">
        <f>_xlfn.LET(_xlpm.AppCount,COUNTIFS(tblPMView[Scope],"",tblPMView[Application],tblAppSum[[#This Row],[Supported Application]],tblPMView[OS],G$2),IF(_xlpm.AppCount=0,"",_xlpm.AppCount))</f>
        <v/>
      </c>
      <c r="H3" s="63" t="str">
        <f>_xlfn.LET(_xlpm.AppCount,COUNTIFS(tblPMView[Scope],"",tblPMView[Application],tblAppSum[[#This Row],[Supported Application]],tblPMView[OS],H$2),IF(_xlpm.AppCount=0,"",_xlpm.AppCount))</f>
        <v/>
      </c>
      <c r="I3" s="193" t="str">
        <f>_xlfn.LET(_xlpm.AppCount,COUNTIFS(tblPMView[Scope],"",tblPMView[Application],tblAppSum[[#This Row],[Supported Application]],tblPMView[OS],I$2),IF(_xlpm.AppCount=0,"",_xlpm.AppCount))</f>
        <v/>
      </c>
      <c r="J3" s="193" t="str">
        <f>_xlfn.LET(_xlpm.AppCount,COUNTIFS(tblPMView[Scope],"",tblPMView[Scope],"",tblPMView[Scope],"",tblPMView[Application],tblAppSum[[#This Row],[Supported Application]],tblPMView[OS],J$2),IF(_xlpm.AppCount=0,"",_xlpm.AppCount))</f>
        <v/>
      </c>
      <c r="K3" s="194" t="str">
        <f>_xlfn.LET(_xlpm.AppCount,COUNTIFS(tblPMView[Scope],"",tblPMView[Application],tblAppSum[[#This Row],[Supported Application]],tblPMView[OS],K$2),IF(_xlpm.AppCount=0,"",_xlpm.AppCount))</f>
        <v/>
      </c>
      <c r="L3" s="193" t="str">
        <f>_xlfn.LET(_xlpm.AppCount,COUNTIFS(tblPMView[Scope],"",tblPMView[Application],tblAppSum[[#This Row],[Supported Application]],tblPMView[OS],L$2),IF(_xlpm.AppCount=0,"",_xlpm.AppCount))</f>
        <v/>
      </c>
      <c r="M3" s="191">
        <f>_xlfn.LET(_xlpm.AppCount,COUNTIFS(tblPMView[Scope],"",tblPMView[Application],tblAppSum[[#This Row],[Supported Application]])-SUM(tblAppSum[[#This Row],[AIX]:[RHEL]]),IF(_xlpm.AppCount=0,"",_xlpm.AppCount))</f>
        <v>1</v>
      </c>
      <c r="N3" s="195">
        <f>SUM(tblAppSum[[#This Row],[AIX]:[Other-OS]])</f>
        <v>1</v>
      </c>
      <c r="O3" s="196" t="str">
        <f>_xlfn.LET(_xlpm.AppCount,COUNTIFS(tblPMView[Scope],"",tblPMView[Application],tblAppSum[[#This Row],[Supported Application]],tblPMView[DB],O$2),IF(_xlpm.AppCount=0,"",_xlpm.AppCount))</f>
        <v/>
      </c>
      <c r="P3" s="196" t="str">
        <f>_xlfn.LET(_xlpm.AppCount,COUNTIFS(tblPMView[Scope],"",tblPMView[Application],tblAppSum[[#This Row],[Supported Application]],tblPMView[DB],P$2),IF(_xlpm.AppCount=0,"",_xlpm.AppCount))</f>
        <v/>
      </c>
      <c r="Q3" s="196" t="str">
        <f>_xlfn.LET(_xlpm.AppCount,COUNTIFS(tblPMView[Scope],"",tblPMView[Application],tblAppSum[[#This Row],[Supported Application]],tblPMView[DB],Q$2),IF(_xlpm.AppCount=0,"",_xlpm.AppCount))</f>
        <v/>
      </c>
      <c r="R3" s="196" t="str">
        <f>_xlfn.LET(_xlpm.AppCount,COUNTIFS(tblPMView[Scope],"",tblPMView[Application],tblAppSum[[#This Row],[Supported Application]],tblPMView[DB],R$2),IF(_xlpm.AppCount=0,"",_xlpm.AppCount))</f>
        <v/>
      </c>
      <c r="S3" s="196" t="str">
        <f>_xlfn.LET(_xlpm.AppCount,COUNTIFS(tblPMView[Scope],"",tblPMView[Application],tblAppSum[[#This Row],[Supported Application]],tblPMView[DB],S$2),IF(_xlpm.AppCount=0,"",_xlpm.AppCount))</f>
        <v/>
      </c>
      <c r="T3" s="196" t="str">
        <f>_xlfn.LET(_xlpm.AppCount,COUNTIFS(tblPMView[Scope],"",tblPMView[Application],tblAppSum[[#This Row],[Supported Application]],tblPMView[DB],T$2),IF(_xlpm.AppCount=0,"",_xlpm.AppCount))</f>
        <v/>
      </c>
      <c r="U3" s="197" t="str">
        <f>IFERROR(_xlfn.LET(_xlpm.DBCount,COUNTIFS(tblPMView[Scope],"",tblPMView[Application],tblAppSum[[#This Row],[Supported Application]],tblPMView[DB],"&gt; "),IF(_xlpm.DBCount=0,"",_xlpm.DBCount))-SUM(tblAppSum[[#This Row],[DB2]:[UDB]]),"")</f>
        <v/>
      </c>
      <c r="V3" s="198">
        <f>SUM(tblAppSum[[#This Row],[DB2]:[Other-DB]])</f>
        <v>0</v>
      </c>
      <c r="W3" s="199">
        <f>_xlfn.LET(_xlpm.CSCount,COUNTIFS(tblPMView[Scope],"",tblPMView[Application],tblAppSum[[#This Row],[Supported Application]],tblPMView[CS],"&lt;&gt;Yes"),IF(_xlpm.CSCount=0,"",_xlpm.CSCount))</f>
        <v>1</v>
      </c>
      <c r="X3" s="200" t="str">
        <f>_xlfn.LET(_xlpm.DMZCount,COUNTIFS(tblPMView[Scope],"",tblPMView[Application],tblAppSum[[#This Row],[Supported Application]],tblPMView[DMZ],"Yes"),IF(_xlpm.DMZCount=0,"",_xlpm.DMZCount))</f>
        <v/>
      </c>
      <c r="Y3" s="201">
        <f>_xlfn.LET(_xlpm.F5Count,COUNTIFS(tblPMView[Scope],"",tblPMView[Application],tblAppSum[[#This Row],[Supported Application]],tblPMView[LB],"&lt;=Yes"),IF(_xlpm.F5Count=0,"",_xlpm.F5Count))</f>
        <v>1</v>
      </c>
    </row>
    <row r="4" spans="1:25" x14ac:dyDescent="0.3">
      <c r="A4" s="74" t="s">
        <v>43</v>
      </c>
      <c r="B4" s="75" t="s">
        <v>19</v>
      </c>
      <c r="C4" s="75" t="s">
        <v>20</v>
      </c>
      <c r="D4" s="75" t="s">
        <v>21</v>
      </c>
      <c r="E4" s="75" t="s">
        <v>22</v>
      </c>
      <c r="F4" s="75" t="s">
        <v>23</v>
      </c>
      <c r="G4" s="76" t="s">
        <v>24</v>
      </c>
      <c r="H4" s="77" t="s">
        <v>44</v>
      </c>
      <c r="I4" s="76" t="s">
        <v>26</v>
      </c>
      <c r="J4" s="76" t="s">
        <v>27</v>
      </c>
      <c r="K4" s="78" t="s">
        <v>28</v>
      </c>
      <c r="L4" s="76" t="s">
        <v>29</v>
      </c>
      <c r="M4" s="76" t="s">
        <v>30</v>
      </c>
      <c r="N4" s="76" t="s">
        <v>31</v>
      </c>
      <c r="O4" s="79" t="s">
        <v>32</v>
      </c>
      <c r="P4" s="79" t="s">
        <v>33</v>
      </c>
      <c r="Q4" s="79" t="s">
        <v>34</v>
      </c>
      <c r="R4" s="79" t="s">
        <v>35</v>
      </c>
      <c r="S4" s="79" t="s">
        <v>36</v>
      </c>
      <c r="T4" s="79" t="s">
        <v>37</v>
      </c>
      <c r="U4" s="79" t="s">
        <v>38</v>
      </c>
      <c r="V4" s="79" t="s">
        <v>39</v>
      </c>
      <c r="W4" s="80" t="s">
        <v>40</v>
      </c>
      <c r="X4" s="75" t="s">
        <v>41</v>
      </c>
      <c r="Y4" s="81" t="s">
        <v>42</v>
      </c>
    </row>
    <row r="5" spans="1:25" x14ac:dyDescent="0.3">
      <c r="A5" s="82">
        <f>ROWS(tblAppSum[Supported Application])</f>
        <v>1</v>
      </c>
      <c r="B5" s="83" t="str">
        <f>_xlfn.LET(_xlpm.AppCount,COUNTIFS(tblTM[device_assetType],B$2),IF(_xlpm.AppCount=0,"",_xlpm.AppCount))</f>
        <v/>
      </c>
      <c r="C5" s="83" t="str">
        <f>_xlfn.LET(_xlpm.AppCount,COUNTIFS(tblTM[device_assetType],C$2),IF(_xlpm.AppCount=0,"",_xlpm.AppCount))</f>
        <v/>
      </c>
      <c r="D5" s="84" t="str">
        <f>_xlfn.LET(_xlpm.AppCount,COUNTIFS(tblTM[device_assetType],D$2),IF(_xlpm.AppCount=0,"",_xlpm.AppCount))</f>
        <v/>
      </c>
      <c r="E5" s="83" t="str">
        <f>_xlfn.LET(_xlpm.AppCount,COUNTIFS(tblTM[device_assetType],E$2),IF(_xlpm.AppCount=0,"",_xlpm.AppCount))</f>
        <v/>
      </c>
      <c r="F5" s="84">
        <f>_xlfn.LET(_xlpm.AppCount,ROWS(tblTM[common_assetName])-SUM(AppSum!$B5:$E5),IF(_xlpm.AppCount=0,"",_xlpm.AppCount))</f>
        <v>1</v>
      </c>
      <c r="G5" s="85" t="str">
        <f>_xlfn.LET(_xlpm.AppCount,COUNTIFS(tblTM[device_os],G$2),IF(_xlpm.AppCount=0,"",_xlpm.AppCount))</f>
        <v/>
      </c>
      <c r="H5" s="84" t="str">
        <f>_xlfn.LET(_xlpm.AppCount,COUNTIFS(tblTM[device_os],AppSum!$H$4),IF(_xlpm.AppCount=0,"",_xlpm.AppCount))</f>
        <v/>
      </c>
      <c r="I5" s="85" t="str">
        <f>_xlfn.LET(_xlpm.AppCount,COUNTIF(tblTM[device_os],"*Linux*")-COUNTIF(tblTM[device_os],"*Linux Red*")-(COUNTIFS(tblTM[device_custom31],"*Red*")+COUNTIFS(tblTM[device_custom31],"*OpenShift*")),IF(_xlpm.AppCount=0,"",_xlpm.AppCount))</f>
        <v/>
      </c>
      <c r="J5" s="85" t="str">
        <f>_xlfn.LET(_xlpm.AppCount,COUNTIFS(tblTM[device_os],"*Windows*"),IF(_xlpm.AppCount=0,"",_xlpm.AppCount))</f>
        <v/>
      </c>
      <c r="K5" s="86" t="str">
        <f>_xlfn.LET(_xlpm.AppCount,COUNTIFS(tblTM[device_custom31],"OpenShift*"),IF(_xlpm.AppCount=0,"",_xlpm.AppCount))</f>
        <v/>
      </c>
      <c r="L5" s="85" t="str">
        <f>_xlfn.LET(_xlpm.AppCount,COUNTIFS(tblTM[device_os],"*Red*")+COUNTIFS(tblTM[device_custom31],"*Red*"),IF(_xlpm.AppCount=0,"",_xlpm.AppCount))</f>
        <v/>
      </c>
      <c r="M5" s="83">
        <f>ROWS(tblTM[device_os])-SUM(AppSum!$G5:$L5)</f>
        <v>1</v>
      </c>
      <c r="N5" s="85">
        <f>SUM(AppSum!$G5:$M5)</f>
        <v>1</v>
      </c>
      <c r="O5" s="87" t="str">
        <f>_xlfn.LET(_xlpm.AppCount,COUNTIFS(tblTM[device_custom20],O$2&amp;"*"),IF(_xlpm.AppCount=0,"",_xlpm.AppCount))</f>
        <v/>
      </c>
      <c r="P5" s="87" t="str">
        <f>_xlfn.LET(_xlpm.AppCount,COUNTIFS(tblTM[device_custom20],P$2),IF(_xlpm.AppCount=0,"",_xlpm.AppCount))</f>
        <v/>
      </c>
      <c r="Q5" s="87" t="str">
        <f>_xlfn.LET(_xlpm.AppCount,COUNTIFS(tblTM[device_custom20],LEFT(Q$2,2)&amp;"*"),IF(_xlpm.AppCount=0,"",_xlpm.AppCount))</f>
        <v/>
      </c>
      <c r="R5" s="87" t="str">
        <f>_xlfn.LET(_xlpm.AppCount,COUNTIFS(tblTM[device_custom20],R$2),IF(_xlpm.AppCount=0,"",_xlpm.AppCount))</f>
        <v/>
      </c>
      <c r="S5" s="87" t="str">
        <f>_xlfn.LET(_xlpm.AppCount,COUNTIFS(tblTM[device_custom20],S$2),IF(_xlpm.AppCount=0,"",_xlpm.AppCount))</f>
        <v/>
      </c>
      <c r="T5" s="87" t="str">
        <f>_xlfn.LET(_xlpm.AppCount,COUNTIFS(tblTM[device_custom20],T$2),IF(_xlpm.AppCount=0,"",_xlpm.AppCount))</f>
        <v/>
      </c>
      <c r="U5" s="88" t="str">
        <f>_xlfn.LET(_xlpm.AppCount,COUNTIFS(tblTM[device_custom20],"&lt;&gt;" &amp; "")-SUM(AppSum!$O5:$T5),IF(_xlpm.AppCount=0,"",_xlpm.AppCount))</f>
        <v/>
      </c>
      <c r="V5" s="88">
        <f>SUM(AppSum!$O5:$U5)</f>
        <v>0</v>
      </c>
      <c r="W5" s="84" t="e">
        <f>_xlfn.LET(_xlpm.AppCount,COUNTIFS(#REF!,"&lt;&gt;Yes"),IF(_xlpm.AppCount=0,"",_xlpm.AppCount))</f>
        <v>#REF!</v>
      </c>
      <c r="X5" s="83" t="str">
        <f>_xlfn.LET(_xlpm.AppCount,COUNTIFS(tblTM[device_custom26],"Yes"),IF(_xlpm.AppCount=0,"",_xlpm.AppCount))</f>
        <v/>
      </c>
      <c r="Y5" s="89" t="str">
        <f>_xlfn.LET(_xlpm.AppCount,COUNTIFS(tblTM[device_custom45],"Yes"),IF(_xlpm.AppCount=0,"",_xlpm.AppCount))</f>
        <v/>
      </c>
    </row>
    <row r="7" spans="1:25" x14ac:dyDescent="0.3">
      <c r="A7" s="72" t="s">
        <v>45</v>
      </c>
      <c r="B7" s="24">
        <f>ROUNDUP(SUM(tblAppSumTot[AIX-LPAR],tblAppSumTot[Linux-VM-Power])/30,0)</f>
        <v>0</v>
      </c>
      <c r="C7" s="72" t="s">
        <v>46</v>
      </c>
      <c r="D7" s="24" t="str">
        <f>_xlfn.LET(_xlpm.AppCount,COUNTIFS(tblTM[device_assetType],"Server",tblTM[device_custom60],"P2V*"),IF(_xlpm.AppCount=0,"",_xlpm.AppCount))</f>
        <v/>
      </c>
      <c r="E7" s="72" t="s">
        <v>47</v>
      </c>
      <c r="F7" s="24">
        <f>SUM(tblAppSumTot[[AIX-LPAR]:[Oth-Dev]])</f>
        <v>1</v>
      </c>
      <c r="G7" s="26"/>
      <c r="H7" s="33" t="s">
        <v>48</v>
      </c>
      <c r="I7" s="63" t="s">
        <v>49</v>
      </c>
      <c r="J7" s="67" t="s">
        <v>50</v>
      </c>
    </row>
    <row r="8" spans="1:25" x14ac:dyDescent="0.3">
      <c r="A8" s="72" t="s">
        <v>51</v>
      </c>
      <c r="B8" s="24" cm="1">
        <f t="array" ref="B8">SUM(IF(FREQUENCY(IF(LEN(tblTM[device_custom55])&gt;0,MATCH(tblTM[device_custom55],tblTM[device_custom55],0),""),IF(LEN(tblTM[device_custom55])&gt;9,MATCH(tblTM[device_custom55],tblTM[device_custom55],0),""))&gt;0,1))</f>
        <v>0</v>
      </c>
      <c r="C8" s="72" t="s">
        <v>52</v>
      </c>
      <c r="D8" s="24" t="str">
        <f>_xlfn.LET(_xlpm.AppCount,COUNTIFS(tblTM[device_assetType],"Server",tblTM[device_custom60],"P2P*"),IF(_xlpm.AppCount=0,"",_xlpm.AppCount))</f>
        <v/>
      </c>
      <c r="E8" s="33" t="s">
        <v>53</v>
      </c>
      <c r="F8" s="24">
        <f>COUNTIF(tblPMView[Scope],"OOS")</f>
        <v>0</v>
      </c>
      <c r="H8" s="33" t="s">
        <v>54</v>
      </c>
      <c r="I8" s="33">
        <f>COUNTIF(tblTM[device_custom33],tblCSDist[[#This Row],[CS Status]])</f>
        <v>0</v>
      </c>
      <c r="J8" s="68" t="e">
        <f>tblCSDist[[#This Row],[Qty]]/tblCSDist[[#Totals],[Qty]]</f>
        <v>#DIV/0!</v>
      </c>
    </row>
    <row r="9" spans="1:25" x14ac:dyDescent="0.3">
      <c r="A9" s="72" t="s">
        <v>55</v>
      </c>
      <c r="B9" s="73">
        <f>SUM(tblTM[device_size])</f>
        <v>0</v>
      </c>
      <c r="C9" s="72" t="s">
        <v>56</v>
      </c>
      <c r="D9" s="24" t="str">
        <f>_xlfn.LET(_xlpm.AppCount,COUNTIFS(tblTM[device_assetType],"Server",tblTM[device_custom60],"&lt;&gt;P2*"),IF(_xlpm.AppCount=0,"",_xlpm.AppCount))</f>
        <v/>
      </c>
      <c r="H9" s="33" t="s">
        <v>57</v>
      </c>
      <c r="I9" s="33">
        <f>COUNTIF(tblTM[device_custom33],tblCSDist[[#This Row],[CS Status]])</f>
        <v>0</v>
      </c>
      <c r="J9" s="68" t="e">
        <f>tblCSDist[[#This Row],[Qty]]/tblCSDist[[#Totals],[Qty]]</f>
        <v>#DIV/0!</v>
      </c>
    </row>
    <row r="10" spans="1:25" x14ac:dyDescent="0.3">
      <c r="A10" s="72" t="s">
        <v>58</v>
      </c>
      <c r="B10" s="73">
        <f>SUM(tblTM[device_custom64])</f>
        <v>0</v>
      </c>
      <c r="H10" s="33" t="s">
        <v>59</v>
      </c>
      <c r="I10" s="33">
        <f>COUNTIF(tblTM[device_custom33],tblCSDist[[#This Row],[CS Status]])</f>
        <v>0</v>
      </c>
      <c r="J10" s="68" t="e">
        <f>tblCSDist[[#This Row],[Qty]]/tblCSDist[[#Totals],[Qty]]</f>
        <v>#DIV/0!</v>
      </c>
    </row>
    <row r="11" spans="1:25" x14ac:dyDescent="0.3">
      <c r="A11" s="72" t="s">
        <v>60</v>
      </c>
      <c r="B11" s="73">
        <f>SUM(tblTM[device_size])+SUM(tblTM[device_custom64])</f>
        <v>0</v>
      </c>
      <c r="C11" s="72" t="s">
        <v>525</v>
      </c>
      <c r="D11" t="str">
        <f>_xlfn.LET(_xlpm.AppCount,COUNTIFS(tblPMView[Scope],"",tblPMView[Device Type],"VM",tblPMView[Svr Assess],"V2P*"),IF(_xlpm.AppCount=0,"",_xlpm.AppCount))</f>
        <v/>
      </c>
      <c r="H11" s="33" t="s">
        <v>61</v>
      </c>
      <c r="I11" s="33">
        <f>COUNTIF(tblTM[device_custom33],tblCSDist[[#This Row],[CS Status]])</f>
        <v>0</v>
      </c>
      <c r="J11" s="68" t="e">
        <f>tblCSDist[[#This Row],[Qty]]/tblCSDist[[#Totals],[Qty]]</f>
        <v>#DIV/0!</v>
      </c>
    </row>
    <row r="12" spans="1:25" ht="15.45" customHeight="1" x14ac:dyDescent="0.3">
      <c r="A12" s="162" t="str" cm="1">
        <f t="array" ref="A12">_xlfn.LET(_xlpm.AppSvrs,SUM(IF(FREQUENCY(IF(LEN(tblDependencies[DependentName])&gt;0,MATCH(tblDependencies[DependentName],tblDependencies[DependentName],0),""),IF(LEN(tblDependencies[DependentName])&gt;0,MATCH(tblDependencies[DependentName],tblDependencies[DependentName],0),""))&gt;0,1)),IF(AND(_xlpm.AppSvrs&lt;&gt;tblCSDist[[#Totals],[Qty]],_xlpm.AppSvrs&gt;0),"There are " &amp; tblCSDist[[#Totals],[Qty]] - _xlpm.AppSvrs &amp; " servers in this event, not supporting any application",""))</f>
        <v/>
      </c>
      <c r="H12" s="33" t="s">
        <v>62</v>
      </c>
      <c r="I12" s="33">
        <f>COUNTIF(tblTM[device_custom33],tblCSDist[[#This Row],[CS Status]])</f>
        <v>0</v>
      </c>
      <c r="J12" s="68" t="e">
        <f>tblCSDist[[#This Row],[Qty]]/tblCSDist[[#Totals],[Qty]]</f>
        <v>#DIV/0!</v>
      </c>
    </row>
    <row r="13" spans="1:25" x14ac:dyDescent="0.3">
      <c r="A13" t="str" cm="1">
        <f t="array" ref="A13">IFERROR(_xlfn.LET(_xlpm.Svrs,_xlfn._xlws.FILTER(_xlfn._xlws.SORT(_xlfn.UNIQUE(_xlfn.TOCOL(tblTM[common_assetName],,TRUE))),ISERROR(MATCH(_xlfn._xlws.SORT(_xlfn.UNIQUE(_xlfn.TOCOL(tblTM[common_assetName],,TRUE))),_xlfn._xlws.SORT(_xlfn.UNIQUE(_xlfn.TOCOL(tblDependencies[DependentName],,TRUE))),0))),IF(_xlpm.Svrs=0,"",_xlpm.Svrs)),"")</f>
        <v/>
      </c>
      <c r="H13" s="33" t="s">
        <v>63</v>
      </c>
      <c r="I13" s="33">
        <f>COUNTIF(tblTM[device_custom33],tblCSDist[[#This Row],[CS Status]])</f>
        <v>0</v>
      </c>
      <c r="J13" s="68" t="e">
        <f>tblCSDist[[#This Row],[Qty]]/tblCSDist[[#Totals],[Qty]]</f>
        <v>#DIV/0!</v>
      </c>
    </row>
    <row r="14" spans="1:25" x14ac:dyDescent="0.3">
      <c r="H14" s="33" t="s">
        <v>65</v>
      </c>
      <c r="I14" s="33">
        <f>COUNTIF(tblTM[device_custom33],tblCSDist[[#This Row],[CS Status]])</f>
        <v>0</v>
      </c>
      <c r="J14" s="68" t="e">
        <f>tblCSDist[[#This Row],[Qty]]/tblCSDist[[#Totals],[Qty]]</f>
        <v>#DIV/0!</v>
      </c>
    </row>
    <row r="15" spans="1:25" x14ac:dyDescent="0.3">
      <c r="H15" s="33" t="s">
        <v>64</v>
      </c>
      <c r="I15" s="33">
        <f>COUNTIF(tblTM[device_custom33],tblCSDist[[#This Row],[CS Status]])</f>
        <v>0</v>
      </c>
      <c r="J15" s="68" t="e">
        <f>tblCSDist[[#This Row],[Qty]]/tblCSDist[[#Totals],[Qty]]</f>
        <v>#DIV/0!</v>
      </c>
    </row>
    <row r="16" spans="1:25" x14ac:dyDescent="0.3">
      <c r="H16" s="33" t="s">
        <v>66</v>
      </c>
      <c r="I16" s="33">
        <f>SUBTOTAL(109,tblCSDist[Qty])</f>
        <v>0</v>
      </c>
      <c r="J16" s="69" t="e">
        <f>SUBTOTAL(109,tblCSDist[Pct])</f>
        <v>#DIV/0!</v>
      </c>
    </row>
  </sheetData>
  <sortState xmlns:xlrd2="http://schemas.microsoft.com/office/spreadsheetml/2017/richdata2" ref="B18:B21">
    <sortCondition ref="B18:B21"/>
  </sortState>
  <mergeCells count="3">
    <mergeCell ref="O1:U1"/>
    <mergeCell ref="B1:F1"/>
    <mergeCell ref="G1:N1"/>
  </mergeCells>
  <conditionalFormatting sqref="O2:T2">
    <cfRule type="cellIs" dxfId="505" priority="53" operator="between">
      <formula>"Backend / Server / Database"</formula>
      <formula>"Backend / Server / Databasez"</formula>
    </cfRule>
    <cfRule type="cellIs" dxfId="504" priority="54" operator="between">
      <formula>"FrontEnd / Internal / Legacy / LoadBalancer"</formula>
      <formula>"FrontEnd / Internal / Legacy / LoadBalancerz"</formula>
    </cfRule>
  </conditionalFormatting>
  <conditionalFormatting sqref="G2:N2">
    <cfRule type="cellIs" dxfId="503" priority="61" operator="between">
      <formula>"UNIX"</formula>
      <formula>"UNIXz"</formula>
    </cfRule>
    <cfRule type="cellIs" dxfId="502" priority="62" operator="between">
      <formula>"AIX"</formula>
      <formula>"AIXz"</formula>
    </cfRule>
    <cfRule type="cellIs" dxfId="501" priority="63" operator="between">
      <formula>"RHEL"</formula>
      <formula>"RHELz"</formula>
    </cfRule>
    <cfRule type="cellIs" dxfId="500" priority="64" operator="between">
      <formula>"MS Win"</formula>
      <formula>"MS Winz"</formula>
    </cfRule>
  </conditionalFormatting>
  <conditionalFormatting sqref="N2 U2:V2">
    <cfRule type="cellIs" dxfId="499" priority="59" operator="between">
      <formula>"Backend / Server / Database"</formula>
      <formula>"Backend / Server / Databasez"</formula>
    </cfRule>
    <cfRule type="cellIs" dxfId="498" priority="60" operator="between">
      <formula>"FrontEnd / Internal / Legacy / LoadBalancer"</formula>
      <formula>"FrontEnd / Internal / Legacy / LoadBalancerz"</formula>
    </cfRule>
  </conditionalFormatting>
  <conditionalFormatting sqref="Y2">
    <cfRule type="cellIs" dxfId="497" priority="57" operator="between">
      <formula>"Backend / Server / Database"</formula>
      <formula>"Backend / Server / Databasez"</formula>
    </cfRule>
    <cfRule type="cellIs" dxfId="496" priority="58" operator="between">
      <formula>"FrontEnd / Internal / Legacy / LoadBalancer"</formula>
      <formula>"FrontEnd / Internal / Legacy / LoadBalancerz"</formula>
    </cfRule>
  </conditionalFormatting>
  <conditionalFormatting sqref="W2">
    <cfRule type="expression" dxfId="495" priority="41">
      <formula>$C2="OOS"</formula>
    </cfRule>
  </conditionalFormatting>
  <conditionalFormatting sqref="W2">
    <cfRule type="expression" dxfId="494" priority="14505">
      <formula>AND($Q2&lt;&gt;"Yes",$K2&lt;&gt;"")</formula>
    </cfRule>
  </conditionalFormatting>
  <conditionalFormatting sqref="O4:T4">
    <cfRule type="cellIs" dxfId="493" priority="3" operator="between">
      <formula>"Backend / Server / Database"</formula>
      <formula>"Backend / Server / Databasez"</formula>
    </cfRule>
    <cfRule type="cellIs" dxfId="492" priority="4" operator="between">
      <formula>"FrontEnd / Internal / Legacy / LoadBalancer"</formula>
      <formula>"FrontEnd / Internal / Legacy / LoadBalancerz"</formula>
    </cfRule>
  </conditionalFormatting>
  <conditionalFormatting sqref="G4:N4">
    <cfRule type="cellIs" dxfId="491" priority="9" operator="between">
      <formula>"UNIX"</formula>
      <formula>"UNIXz"</formula>
    </cfRule>
    <cfRule type="cellIs" dxfId="490" priority="10" operator="between">
      <formula>"AIX"</formula>
      <formula>"AIXz"</formula>
    </cfRule>
    <cfRule type="cellIs" dxfId="489" priority="11" operator="between">
      <formula>"RHEL"</formula>
      <formula>"RHELz"</formula>
    </cfRule>
    <cfRule type="cellIs" dxfId="488" priority="12" operator="between">
      <formula>"MS Win"</formula>
      <formula>"MS Winz"</formula>
    </cfRule>
  </conditionalFormatting>
  <conditionalFormatting sqref="N4 U4:V4">
    <cfRule type="cellIs" dxfId="487" priority="7" operator="between">
      <formula>"Backend / Server / Database"</formula>
      <formula>"Backend / Server / Databasez"</formula>
    </cfRule>
    <cfRule type="cellIs" dxfId="486" priority="8" operator="between">
      <formula>"FrontEnd / Internal / Legacy / LoadBalancer"</formula>
      <formula>"FrontEnd / Internal / Legacy / LoadBalancerz"</formula>
    </cfRule>
  </conditionalFormatting>
  <conditionalFormatting sqref="Y4">
    <cfRule type="cellIs" dxfId="485" priority="5" operator="between">
      <formula>"Backend / Server / Database"</formula>
      <formula>"Backend / Server / Databasez"</formula>
    </cfRule>
    <cfRule type="cellIs" dxfId="484" priority="6" operator="between">
      <formula>"FrontEnd / Internal / Legacy / LoadBalancer"</formula>
      <formula>"FrontEnd / Internal / Legacy / LoadBalancerz"</formula>
    </cfRule>
  </conditionalFormatting>
  <conditionalFormatting sqref="W4">
    <cfRule type="expression" dxfId="483" priority="2">
      <formula>$C4="OOS"</formula>
    </cfRule>
  </conditionalFormatting>
  <conditionalFormatting sqref="W4">
    <cfRule type="expression" dxfId="482" priority="13">
      <formula>AND($Q4&lt;&gt;"Yes",$K4&lt;&gt;"")</formula>
    </cfRule>
  </conditionalFormatting>
  <conditionalFormatting sqref="F7">
    <cfRule type="cellIs" dxfId="481" priority="1" operator="notEqual">
      <formula>$I$16</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AQs">
                <anchor moveWithCells="1" sizeWithCells="1">
                  <from>
                    <xdr:col>1</xdr:col>
                    <xdr:colOff>2392680</xdr:colOff>
                    <xdr:row>1</xdr:row>
                    <xdr:rowOff>30480</xdr:rowOff>
                  </from>
                  <to>
                    <xdr:col>1</xdr:col>
                    <xdr:colOff>2926080</xdr:colOff>
                    <xdr:row>1</xdr:row>
                    <xdr:rowOff>167640</xdr:rowOff>
                  </to>
                </anchor>
              </controlPr>
            </control>
          </mc:Choice>
        </mc:AlternateContent>
        <mc:AlternateContent xmlns:mc="http://schemas.openxmlformats.org/markup-compatibility/2006">
          <mc:Choice Requires="x14">
            <control shapeId="37891" r:id="rId5" name="Button 3">
              <controlPr defaultSize="0" print="0" autoFill="0" autoPict="0" macro="[0]!AAQs">
                <anchor moveWithCells="1" sizeWithCells="1">
                  <from>
                    <xdr:col>1</xdr:col>
                    <xdr:colOff>2392680</xdr:colOff>
                    <xdr:row>3</xdr:row>
                    <xdr:rowOff>30480</xdr:rowOff>
                  </from>
                  <to>
                    <xdr:col>1</xdr:col>
                    <xdr:colOff>2926080</xdr:colOff>
                    <xdr:row>3</xdr:row>
                    <xdr:rowOff>167640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28778-33FA-4431-97DC-2D62397CB17E}">
  <sheetPr codeName="Sheet1"/>
  <dimension ref="A1:AA2"/>
  <sheetViews>
    <sheetView workbookViewId="0">
      <pane xSplit="3" ySplit="1" topLeftCell="D2" activePane="bottomRight" state="frozen"/>
      <selection pane="topRight" activeCell="C1" sqref="C1"/>
      <selection pane="bottomLeft" activeCell="A2" sqref="A2"/>
      <selection pane="bottomRight" activeCell="K1" sqref="K1"/>
    </sheetView>
  </sheetViews>
  <sheetFormatPr defaultColWidth="7.59765625" defaultRowHeight="15.6" x14ac:dyDescent="0.3"/>
  <cols>
    <col min="1" max="1" width="5" style="36" customWidth="1"/>
    <col min="2" max="2" width="10.296875" style="37" customWidth="1"/>
    <col min="3" max="3" width="35.59765625" style="38" customWidth="1"/>
    <col min="4" max="5" width="8.59765625" style="39" customWidth="1"/>
    <col min="6" max="6" width="12" style="39" customWidth="1"/>
    <col min="7" max="7" width="6.19921875" style="39" customWidth="1"/>
    <col min="8" max="8" width="12.59765625" customWidth="1"/>
    <col min="9" max="9" width="30.59765625" style="39" customWidth="1"/>
    <col min="10" max="10" width="10.59765625" style="39" customWidth="1"/>
    <col min="11" max="11" width="7.59765625" style="39" customWidth="1"/>
    <col min="12" max="12" width="15.59765625" style="39" customWidth="1"/>
    <col min="13" max="13" width="8.59765625" style="39" customWidth="1"/>
    <col min="14" max="15" width="12.59765625" style="39" customWidth="1"/>
    <col min="16" max="16" width="24.59765625" customWidth="1"/>
    <col min="17" max="19" width="14.59765625" style="39" customWidth="1"/>
    <col min="20" max="21" width="5.09765625" customWidth="1"/>
    <col min="22" max="23" width="5.09765625" style="39" customWidth="1"/>
    <col min="24" max="24" width="12.59765625" style="39" customWidth="1"/>
    <col min="25" max="25" width="7" style="39" customWidth="1"/>
    <col min="26" max="26" width="5.59765625" style="39" customWidth="1"/>
    <col min="27" max="27" width="12.296875" style="39" customWidth="1"/>
    <col min="28" max="28" width="12" style="39" customWidth="1"/>
    <col min="29" max="29" width="10.796875" style="39" bestFit="1" customWidth="1"/>
    <col min="30" max="30" width="32.796875" style="39" bestFit="1" customWidth="1"/>
    <col min="31" max="16384" width="7.59765625" style="39"/>
  </cols>
  <sheetData>
    <row r="1" spans="1:27" s="61" customFormat="1" ht="27.6" x14ac:dyDescent="0.25">
      <c r="A1" s="57" t="s">
        <v>67</v>
      </c>
      <c r="B1" s="58" t="s">
        <v>68</v>
      </c>
      <c r="C1" s="59" t="s">
        <v>69</v>
      </c>
      <c r="D1" s="57" t="s">
        <v>70</v>
      </c>
      <c r="E1" s="57" t="s">
        <v>71</v>
      </c>
      <c r="F1" s="57" t="s">
        <v>72</v>
      </c>
      <c r="G1" s="57" t="s">
        <v>73</v>
      </c>
      <c r="H1" s="57" t="s">
        <v>74</v>
      </c>
      <c r="I1" s="57" t="s">
        <v>75</v>
      </c>
      <c r="J1" s="57" t="s">
        <v>76</v>
      </c>
      <c r="K1" s="57" t="s">
        <v>77</v>
      </c>
      <c r="L1" s="57" t="s">
        <v>78</v>
      </c>
      <c r="M1" s="57" t="s">
        <v>79</v>
      </c>
      <c r="N1" s="57" t="s">
        <v>80</v>
      </c>
      <c r="O1" s="57" t="s">
        <v>81</v>
      </c>
      <c r="P1" s="57" t="s">
        <v>82</v>
      </c>
      <c r="Q1" s="57" t="s">
        <v>83</v>
      </c>
      <c r="R1" s="57" t="s">
        <v>84</v>
      </c>
      <c r="S1" s="57" t="s">
        <v>85</v>
      </c>
      <c r="T1" s="57" t="s">
        <v>41</v>
      </c>
      <c r="U1" s="57" t="s">
        <v>86</v>
      </c>
      <c r="V1" s="57" t="s">
        <v>87</v>
      </c>
      <c r="W1" s="57" t="s">
        <v>88</v>
      </c>
      <c r="X1" s="57" t="s">
        <v>89</v>
      </c>
      <c r="Y1" s="57" t="s">
        <v>90</v>
      </c>
      <c r="Z1" s="60" t="s">
        <v>91</v>
      </c>
      <c r="AA1" s="60" t="s">
        <v>92</v>
      </c>
    </row>
    <row r="2" spans="1:27" ht="13.8" x14ac:dyDescent="0.25">
      <c r="A2" s="175"/>
      <c r="B2" s="175"/>
      <c r="C2" s="175">
        <f>_xlfn.XLOOKUP(tblPMView[[#This Row],[AssetDependencyId]],tblDependencies[AssetDependencyId],tblDependencies[AssetName],"",0,1)</f>
        <v>0</v>
      </c>
      <c r="D2" s="175">
        <f>_xlfn.LET(_xlpm.mea,_xlfn.XLOOKUP(tblPMView[[#This Row],[AssetDependencyId]],tblDependencies[AssetDependencyId],tblDependencies[AssetBundle],"",0,1),IF(LEFT(LOWER(_xlpm.mea),8)="appgroup",CONCATENATE("MEA",MID(_xlpm.mea,10,LEN(_xlpm.mea)-7)),_xlpm.mea))</f>
        <v>0</v>
      </c>
      <c r="E2" s="175">
        <f>_xlfn.LET(_xlpm.mea,_xlfn.XLOOKUP(tblPMView[[#This Row],[AssetDependencyId]],tblDependencies[AssetDependencyId],tblDependencies[DependentBundle],"",0,1),IF(LEFT(LOWER(_xlpm.mea),8)="appgroup",CONCATENATE("MEA",MID(_xlpm.mea,10,LEN(_xlpm.mea)-7)),_xlpm.mea))</f>
        <v>0</v>
      </c>
      <c r="F2" s="175">
        <f>_xlfn.XLOOKUP(tblPMView[[#This Row],[AssetDependencyId]],tblDependencies[AssetDependencyId],tblDependencies[DependentName],"",0,1)</f>
        <v>0</v>
      </c>
      <c r="G2" s="176"/>
      <c r="H2" s="175" t="str">
        <f>_xlfn.XLOOKUP(tblPMView[[#This Row],[Hostname]],tblTM[common_assetName],tblTM[common_environment],"",0,1)</f>
        <v/>
      </c>
      <c r="I2" s="175" t="str">
        <f>_xlfn.XLOOKUP(tblPMView[[#This Row],[Hostname]],tblTM[common_assetName],tblTM[device_shortName],"",0,1)</f>
        <v/>
      </c>
      <c r="J2" s="175" t="str">
        <f>_xlfn.XLOOKUP(tblPMView[[#This Row],[Hostname]],tblTM[common_assetName],tblTM[device_assetType],"",0,1)</f>
        <v/>
      </c>
      <c r="K2" s="175" t="str">
        <f>TEXT(_xlfn.XLOOKUP(tblPMView[[#This Row],[Hostname]],tblTM[common_assetName],tblTM[device_custom60],"",0,1),"")</f>
        <v/>
      </c>
      <c r="L2" s="175" t="str">
        <f>_xlfn.XLOOKUP(tblPMView[[#This Row],[Hostname]],tblTM[common_assetName],tblTM[device_ipAddress],"",0,1)</f>
        <v/>
      </c>
      <c r="M2" s="175" t="str">
        <f>_xlfn.LET(_xlpm.OS,LOWER(_xlfn.XLOOKUP(tblPMView[[#This Row],[Hostname]],tblTM[common_assetName],tblTM[device_os],"",0)),_xlfn.LET(_xlpm.Ver,LOWER(_xlfn.XLOOKUP(tblPMView[[#This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N2" s="175" t="str">
        <f>TEXT(_xlfn.XLOOKUP(tblPMView[[#This Row],[Hostname]],tblTM[common_assetName],tblTM[device_custom35],"-",0),"")</f>
        <v>-</v>
      </c>
      <c r="O2" s="175" t="str">
        <f>_xlfn.XLOOKUP(LEFT(tblPMView[[#This Row],[Hostname]],4),tblLocationCodes[LocAbbr],tblLocationCodes[Location],"",0,1)</f>
        <v/>
      </c>
      <c r="P2" s="177" t="str">
        <f>IFERROR(
IF(tblPMView[[#This Row],[Device Type]]="","azkyn-east",
IF(OR(tblPMView[[#This Row],[Device Type]]="AIX-LPAR",tblPMView[[#This Row],[Device Type]]="Linux-VM-Power",tblPMView[[#This Row],[DMZ]]="Yes",LEFT(tblPMView[[#This Row],[IP Address]],3)="22."),
        IF(LEFT(LOWER(tblPMView[[#This Row],[Hostname]]),4)="va33","ilelk-ch3","vaash-wdc04"),
      IF(AND(tblPMView[[#This Row],[Device Type]]="Server",tblPMView[[#This Row],[DMZ]]="No"),
           IF(LEFT(LOWER(tblPMView[[#This Row],[Hostname]]),4)="va33","ilelk-bmaas-dr","vaash-bmaas"),
         IF(AND(tblPMView[[#This Row],[Device Type]]="Server",tblPMView[[#This Row],[DMZ]]="Yes"),
             IF(LEFT(LOWER(tblPMView[[#This Row],[Hostname]]),4)="va33","ilelk-ch3","vaash-wdc04"),
           IF(tblPMView[[#This Row],[Device Type]]="VM",
             IF(LEFT(LOWER(tblPMView[[#This Row],[Hostname]]),4)="va33","azkyn-nc","azkyn-east")
             )
           )
        )
   )),"")</f>
        <v>azkyn-east</v>
      </c>
      <c r="Q2" s="175" t="e">
        <f>_xlfn.XLOOKUP(tblPMView[[#This Row],[Hostname]],tblTM[common_assetName],tblTM[device_custom17])</f>
        <v>#N/A</v>
      </c>
      <c r="R2" s="175" t="e">
        <f>_xlfn.XLOOKUP(tblPMView[[#This Row],[Hostname]],tblTM[common_assetName],tblTM[device_custom14])</f>
        <v>#N/A</v>
      </c>
      <c r="S2" s="175" t="e">
        <f>_xlfn.XLOOKUP(tblPMView[[#This Row],[Hostname]],tblTM[common_assetName],tblTM[device_custom12])</f>
        <v>#N/A</v>
      </c>
      <c r="T2" s="38" t="str">
        <f>_xlfn.XLOOKUP(tblPMView[[#This Row],[Hostname]],tblTM[common_assetName],tblTM[device_custom26],"",0,1)</f>
        <v/>
      </c>
      <c r="U2" s="38" t="str">
        <f>LEFT(TEXT(_xlfn.XLOOKUP(tblPMView[[#This Row],[Hostname]],tblTM[common_assetName],tblTM[device_custom20],"-",0),""),3)</f>
        <v>-</v>
      </c>
      <c r="V2" s="38" t="str">
        <f>_xlfn.LET(_xlpm.CSInfo,_xlfn.XLOOKUP(tblPMView[[#This Row],[Hostname]],tblTM[common_assetName],tblTM[device_custom33],"-",0),IF(_xlpm.CSInfo="Discovered","Yes","No"))</f>
        <v>No</v>
      </c>
      <c r="W2" s="178" t="str">
        <f>IF(LOWER(LEFT(_xlfn.XLOOKUP(tblPMView[[#This Row],[Hostname]],tblTM[common_assetName],tblTM[device_custom45],"",0,1),1))="y","Yes","No")</f>
        <v>No</v>
      </c>
      <c r="X2" s="179" t="e">
        <f>_xlfn.XLOOKUP(tblPMView[[#This Row],[Hostname]],tblTM[common_assetName],tblTM[device_custom64],"",0)+_xlfn.XLOOKUP(tblPMView[[#This Row],[Hostname]],tblTM[common_assetName],tblTM[device_size],"",0)</f>
        <v>#VALUE!</v>
      </c>
      <c r="Y2" s="175" t="str">
        <f>_xlfn.XLOOKUP(tblPMView[[#This Row],[Hostname]],tblTM[common_assetName],tblTM[device_custom29],"",0)</f>
        <v/>
      </c>
      <c r="Z2" s="175"/>
      <c r="AA2" s="175"/>
    </row>
  </sheetData>
  <phoneticPr fontId="14" type="noConversion"/>
  <conditionalFormatting sqref="B2">
    <cfRule type="expression" dxfId="366" priority="34">
      <formula>INDIRECT("tblDependencies[@Scope]")="OOS"</formula>
    </cfRule>
  </conditionalFormatting>
  <conditionalFormatting sqref="D2">
    <cfRule type="expression" dxfId="365" priority="33">
      <formula>INDIRECT("tblPMView[@App Bundle]")&lt;&gt;INDIRECT("tblPMView[@Server Bundle]")</formula>
    </cfRule>
  </conditionalFormatting>
  <conditionalFormatting sqref="H2">
    <cfRule type="expression" dxfId="364" priority="30">
      <formula>LEFT(INDIRECT("tblPMView[@Environment]"),4)="Deve"</formula>
    </cfRule>
    <cfRule type="expression" dxfId="363" priority="31">
      <formula>LEFT(INDIRECT("tblPMView[@Environment]"),4)="Test"</formula>
    </cfRule>
    <cfRule type="expression" dxfId="362" priority="32">
      <formula>LEFT(INDIRECT("tblPMView[@Environment]"),4)="Prod"</formula>
    </cfRule>
  </conditionalFormatting>
  <conditionalFormatting sqref="J2:K2">
    <cfRule type="expression" dxfId="361" priority="27">
      <formula>INDIRECT("tblPMView[@Device Type]")="Server"</formula>
    </cfRule>
    <cfRule type="expression" dxfId="360" priority="28">
      <formula>LEFT(INDIRECT("tblPMView[@Device Type]"),8)="Linux-VM"</formula>
    </cfRule>
    <cfRule type="expression" dxfId="359" priority="29">
      <formula>LEFT(INDIRECT("tblPMView[@Device Type]"),3)="AIX"</formula>
    </cfRule>
  </conditionalFormatting>
  <conditionalFormatting sqref="M2">
    <cfRule type="expression" dxfId="358" priority="21">
      <formula>LEFT(INDIRECT("tblPMView[@OS]"),6)="MS Win"</formula>
    </cfRule>
    <cfRule type="expression" dxfId="357" priority="22">
      <formula>LEFT(INDIRECT("tblPMView[@OS]"),4)="RHEL"</formula>
    </cfRule>
    <cfRule type="expression" dxfId="356" priority="23">
      <formula>LEFT(INDIRECT("tblPMView[@OS]"),4)="UNIX"</formula>
    </cfRule>
    <cfRule type="expression" dxfId="355" priority="24">
      <formula>LEFT(INDIRECT("tblPMView[@OS]"),4)="OSCP"</formula>
    </cfRule>
    <cfRule type="expression" dxfId="354" priority="25">
      <formula>LEFT(INDIRECT("tblPMView[@OS]"),6)="PwrLnx"</formula>
    </cfRule>
    <cfRule type="expression" dxfId="353" priority="26">
      <formula>LEFT(INDIRECT("tblPMView[@OS]"),3)="AIX"</formula>
    </cfRule>
  </conditionalFormatting>
  <conditionalFormatting sqref="O2">
    <cfRule type="expression" dxfId="352" priority="17">
      <formula>LEFT(INDIRECT("tblPMView[@Source Location]"),4)="Virg"</formula>
    </cfRule>
    <cfRule type="expression" dxfId="351" priority="18">
      <formula>LEFT(INDIRECT("tblPMView[@Source Location]"),4)="Rich"</formula>
    </cfRule>
    <cfRule type="expression" dxfId="350" priority="19">
      <formula>LEFT(INDIRECT("tblPMView[@Source Location]"),4)="Harr"</formula>
    </cfRule>
    <cfRule type="expression" dxfId="349" priority="20">
      <formula>LEFT(INDIRECT("tblPMView[@Source Location]"),4)="StLo"</formula>
    </cfRule>
  </conditionalFormatting>
  <conditionalFormatting sqref="T2">
    <cfRule type="expression" dxfId="348" priority="16">
      <formula>INDIRECT("tblPMView[@DMZ]")="Yes"</formula>
    </cfRule>
  </conditionalFormatting>
  <conditionalFormatting sqref="V2 F2">
    <cfRule type="expression" dxfId="347" priority="15">
      <formula>INDIRECT("tblPMView[@CS]")&lt;&gt;"Yes"</formula>
    </cfRule>
  </conditionalFormatting>
  <conditionalFormatting sqref="A2:AA2">
    <cfRule type="expression" dxfId="346" priority="9">
      <formula>INDIRECT("tblPMView[@Scope]")="OOS"</formula>
    </cfRule>
  </conditionalFormatting>
  <conditionalFormatting sqref="J2:K2">
    <cfRule type="expression" dxfId="345" priority="5">
      <formula>LEFT(INDIRECT("tblPMView[@Svr Assess]"),3)="P2P"</formula>
    </cfRule>
  </conditionalFormatting>
  <conditionalFormatting sqref="P2">
    <cfRule type="beginsWith" dxfId="344" priority="2" operator="beginsWith" text="IBM Cloud Dedicated">
      <formula>LEFT(P2,LEN("IBM Cloud Dedicated"))="IBM Cloud Dedicated"</formula>
    </cfRule>
    <cfRule type="beginsWith" dxfId="343" priority="3" operator="beginsWith" text="IBM">
      <formula>LEFT(P2,LEN("IBM"))="IBM"</formula>
    </cfRule>
  </conditionalFormatting>
  <conditionalFormatting sqref="C1:C1048576">
    <cfRule type="duplicateValues" dxfId="342" priority="1"/>
  </conditionalFormatting>
  <conditionalFormatting sqref="W2">
    <cfRule type="cellIs" dxfId="341" priority="81505" operator="equal">
      <formula>"Yes"</formula>
    </cfRule>
    <cfRule type="colorScale" priority="81506">
      <colorScale>
        <cfvo type="min"/>
        <cfvo type="max"/>
        <color theme="5" tint="0.79998168889431442"/>
        <color theme="5" tint="-0.499984740745262"/>
      </colorScale>
    </cfRule>
  </conditionalFormatting>
  <conditionalFormatting sqref="F2">
    <cfRule type="duplicateValues" dxfId="340" priority="81507"/>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D4296-BCA5-4395-A1D2-01CCA13F7DF5}">
  <sheetPr codeName="Sheet7">
    <tabColor rgb="FFFF452D"/>
  </sheetPr>
  <dimension ref="A1:AE2"/>
  <sheetViews>
    <sheetView zoomScale="83" zoomScaleNormal="83" workbookViewId="0">
      <selection activeCell="A2" sqref="A2"/>
    </sheetView>
  </sheetViews>
  <sheetFormatPr defaultColWidth="8" defaultRowHeight="14.4" x14ac:dyDescent="0.3"/>
  <cols>
    <col min="1" max="1" width="8.59765625" style="91" customWidth="1"/>
    <col min="2" max="2" width="15.796875" style="91" bestFit="1" customWidth="1"/>
    <col min="3" max="3" width="15.59765625" style="91" bestFit="1" customWidth="1"/>
    <col min="4" max="4" width="31.09765625" style="91" customWidth="1"/>
    <col min="5" max="5" width="26.09765625" style="91" customWidth="1"/>
    <col min="6" max="6" width="31.796875" style="91" customWidth="1"/>
    <col min="7" max="7" width="30.59765625" style="91" customWidth="1"/>
    <col min="8" max="8" width="40.59765625" style="91" customWidth="1"/>
    <col min="9" max="9" width="16.59765625" style="91" customWidth="1"/>
    <col min="10" max="10" width="6.19921875" style="91" customWidth="1"/>
    <col min="11" max="11" width="16.09765625" style="91" customWidth="1"/>
    <col min="12" max="16" width="14.69921875" style="91" customWidth="1"/>
    <col min="17" max="17" width="13.5" style="92" customWidth="1"/>
    <col min="18" max="18" width="15.09765625" style="91" bestFit="1" customWidth="1"/>
    <col min="19" max="19" width="13.3984375" style="91" bestFit="1" customWidth="1"/>
    <col min="20" max="20" width="9.5" style="91" bestFit="1" customWidth="1"/>
    <col min="21" max="21" width="13.796875" style="91" bestFit="1" customWidth="1"/>
    <col min="22" max="23" width="14.69921875" style="91" customWidth="1"/>
    <col min="24" max="26" width="16.59765625" style="90" customWidth="1"/>
    <col min="27" max="27" width="13.296875" style="91" customWidth="1"/>
    <col min="28" max="28" width="16.69921875" style="91" bestFit="1" customWidth="1"/>
    <col min="29" max="29" width="16.69921875" style="91" customWidth="1"/>
    <col min="30" max="30" width="17.69921875" style="91" bestFit="1" customWidth="1"/>
    <col min="31" max="31" width="61.69921875" style="91" bestFit="1" customWidth="1"/>
    <col min="32" max="32" width="19.19921875" style="91" bestFit="1" customWidth="1"/>
    <col min="33" max="33" width="44.19921875" style="91" customWidth="1"/>
    <col min="34" max="34" width="40.69921875" style="91" customWidth="1"/>
    <col min="35" max="35" width="12.09765625" style="91" bestFit="1" customWidth="1"/>
    <col min="36" max="36" width="18.69921875" style="91" bestFit="1" customWidth="1"/>
    <col min="37" max="37" width="16.796875" style="91" bestFit="1" customWidth="1"/>
    <col min="38" max="38" width="19.5" style="91" bestFit="1" customWidth="1"/>
    <col min="39" max="39" width="20.59765625" style="91" bestFit="1" customWidth="1"/>
    <col min="40" max="40" width="16.19921875" style="91" customWidth="1"/>
    <col min="41" max="41" width="14.796875" style="91" bestFit="1" customWidth="1"/>
    <col min="42" max="42" width="14.296875" style="91" customWidth="1"/>
    <col min="43" max="43" width="19.59765625" style="91" bestFit="1" customWidth="1"/>
    <col min="44" max="44" width="21.09765625" style="91" bestFit="1" customWidth="1"/>
    <col min="45" max="45" width="22.59765625" style="91" customWidth="1"/>
    <col min="46" max="46" width="17.09765625" style="91" customWidth="1"/>
    <col min="47" max="16384" width="8" style="91"/>
  </cols>
  <sheetData>
    <row r="1" spans="1:31" s="90" customFormat="1" ht="43.2" x14ac:dyDescent="0.3">
      <c r="A1" s="93" t="s">
        <v>93</v>
      </c>
      <c r="B1" s="93" t="s">
        <v>94</v>
      </c>
      <c r="C1" s="100" t="s">
        <v>95</v>
      </c>
      <c r="D1" s="93" t="s">
        <v>96</v>
      </c>
      <c r="E1" s="93" t="s">
        <v>97</v>
      </c>
      <c r="F1" s="93" t="s">
        <v>98</v>
      </c>
      <c r="G1" s="93" t="s">
        <v>99</v>
      </c>
      <c r="H1" s="93" t="s">
        <v>100</v>
      </c>
      <c r="I1" s="93" t="s">
        <v>72</v>
      </c>
      <c r="J1" s="93" t="s">
        <v>73</v>
      </c>
      <c r="K1" s="93" t="s">
        <v>101</v>
      </c>
      <c r="L1" s="93" t="s">
        <v>81</v>
      </c>
      <c r="M1" s="93" t="s">
        <v>423</v>
      </c>
      <c r="N1" s="93" t="s">
        <v>424</v>
      </c>
      <c r="O1" s="93" t="s">
        <v>102</v>
      </c>
      <c r="P1" s="93" t="s">
        <v>425</v>
      </c>
      <c r="Q1" s="93" t="s">
        <v>74</v>
      </c>
      <c r="R1" s="93" t="s">
        <v>76</v>
      </c>
      <c r="S1" s="93" t="s">
        <v>103</v>
      </c>
      <c r="T1" s="93" t="s">
        <v>41</v>
      </c>
      <c r="U1" s="93" t="s">
        <v>104</v>
      </c>
      <c r="V1" s="94" t="s">
        <v>426</v>
      </c>
      <c r="W1" s="94" t="s">
        <v>427</v>
      </c>
      <c r="X1" s="94" t="s">
        <v>105</v>
      </c>
      <c r="Y1" s="94" t="s">
        <v>106</v>
      </c>
      <c r="Z1" s="94" t="s">
        <v>107</v>
      </c>
      <c r="AA1" s="94" t="s">
        <v>108</v>
      </c>
      <c r="AB1" s="94" t="s">
        <v>109</v>
      </c>
      <c r="AC1" s="99" t="s">
        <v>110</v>
      </c>
      <c r="AD1" s="95" t="s">
        <v>68</v>
      </c>
      <c r="AE1" s="161" t="s">
        <v>428</v>
      </c>
    </row>
    <row r="2" spans="1:31" ht="15" thickBot="1" x14ac:dyDescent="0.35">
      <c r="A2" s="181" t="str">
        <f>SUBSTITUTE(_xlfn.XLOOKUP(tblEvntScope[[#This Row],[AssetDependencyId]],tblDependencies[AssetDependencyId],tblDependencies[DependentBundle],"",0,1),"AppGroup","ME")</f>
        <v>0</v>
      </c>
      <c r="B2" s="182">
        <f>TMWorkbook!$C$2</f>
        <v>46129</v>
      </c>
      <c r="C2" s="183"/>
      <c r="D2" s="124">
        <f>_xlfn.XLOOKUP(tblEvntScope[[#This Row],[AssetDependencyId]],tblDependencies[AssetDependencyId],tblDependencies[AssetName],"",0,1)</f>
        <v>0</v>
      </c>
      <c r="E2" s="124" t="str">
        <f>_xlfn.XLOOKUP(tblEvntScope[[#This Row],[Application Name]],tblApplications[common_assetName],tblApplications[application_appOwner],"",0,1)</f>
        <v/>
      </c>
      <c r="F2" s="124" t="str">
        <f>_xlfn.XLOOKUP(tblEvntScope[[#This Row],[Application Name]],tblApplications[common_assetName],tblApplications[application_custom6],"",0,1)</f>
        <v/>
      </c>
      <c r="G2" s="124" t="str">
        <f>_xlfn.XLOOKUP(tblEvntScope[[#This Row],[Application Name]],tblApplications[common_assetName],tblApplications[application_sme2],"",0,1)</f>
        <v/>
      </c>
      <c r="H2" s="124" t="str">
        <f>LOWER(_xlfn.XLOOKUP(tblEvntScope[[#This Row],[Application Name]],tblApplications[common_assetName],tblApplications[application_custom23],"",0,1))</f>
        <v/>
      </c>
      <c r="I2" s="124">
        <f>_xlfn.XLOOKUP(tblEvntScope[[#This Row],[AssetDependencyId]],tblDependencies[AssetDependencyId],tblDependencies[DependentName],"",0,1)</f>
        <v>0</v>
      </c>
      <c r="J2" s="124" t="str">
        <f>TEXT(_xlfn.XLOOKUP(tblEvntScope[[#This Row],[Hostname]],tblPMView[Hostname],tblPMView[Scope],"",0,1),"")</f>
        <v/>
      </c>
      <c r="K2" s="124" t="str">
        <f>_xlfn.XLOOKUP(tblEvntScope[[#This Row],[Hostname]],tblTM[common_assetName],tblTM[device_ipAddress],"",0,1)</f>
        <v/>
      </c>
      <c r="L2" s="124" t="str">
        <f>_xlfn.LET(_xlpm.loc,LEFT(tblEvntScope[[#This Row],[Hostname]],4),IF(LEFT(LOWER(_xlpm.loc),3)="vaa","Richmond",_xlfn.XLOOKUP(_xlpm.loc,tblLocationCodes[LocAbbr],tblLocationCodes[Location],"",0,1)))</f>
        <v/>
      </c>
      <c r="M2" s="124"/>
      <c r="N2" s="124"/>
      <c r="O2" s="124" t="str">
        <f>_xlfn.XLOOKUP(tblEvntScope[[#This Row],[Hostname]],tblTM[common_assetName],tblTM[device_custom35],"",0,1)</f>
        <v/>
      </c>
      <c r="P2" s="124" t="str">
        <f>IF(tblEvntScope[[#This Row],[Device Type]]="Server",_xlfn.XLOOKUP(tblEvntScope[[#This Row],[Hostname]],tblTM[common_assetName],tblTM[device_custom60],"",0,1),"")</f>
        <v/>
      </c>
      <c r="Q2" s="123" t="str">
        <f>_xlfn.XLOOKUP(tblEvntScope[[#This Row],[Hostname]],tblTM[common_assetName],tblTM[common_environment],"",0,1)</f>
        <v/>
      </c>
      <c r="R2" s="124" t="str">
        <f>_xlfn.XLOOKUP(tblEvntScope[[#This Row],[Hostname]],tblTM[common_assetName],tblTM[device_assetType],"",0,1)</f>
        <v/>
      </c>
      <c r="S2" s="124" t="str">
        <f>_xlfn.LET(_xlpm.OS,LOWER(_xlfn.XLOOKUP(tblEvntScope[[#This Row],[Hostname]],tblTM[common_assetName],tblTM[device_os],"",0)),_xlfn.LET(_xlpm.Ver,LOWER(_xlfn.XLOOKUP(tblEvntScope[[#This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T2" s="178" t="str">
        <f>_xlfn.XLOOKUP(tblEvntScope[[#This Row],[Hostname]],tblTM[common_assetName],tblTM[device_custom26],"",0,1)</f>
        <v/>
      </c>
      <c r="U2" s="184" t="str">
        <f>_xlfn.XLOOKUP(tblEvntScope[[#This Row],[Hostname]],tblTM[common_assetName],tblTM[device_custom29],"",0,1)</f>
        <v/>
      </c>
      <c r="V2" s="184"/>
      <c r="W2" s="184"/>
      <c r="X2" s="185" t="str">
        <f>IFERROR(
IF(OR(tblEvntScope[[#This Row],[Device Type]]="AIX-LPAR",tblEvntScope[[#This Row],[Device Type]]="Linux-VM-Power",tblEvntScope[[#This Row],[DMZ]]="Yes",LEFT(tblEvntScope[[#This Row],[Source IP Address]],3)="22."),
      "IBM Cloud Dedicated - Ashburn",
      IF(AND(tblEvntScope[[#This Row],[Device Type]]="Server",tblEvntScope[[#This Row],[DMZ]]="No"),
         "Dell BMaaS - Ashburn",
         IF(AND(tblEvntScope[[#This Row],[Device Type]]="Server",tblEvntScope[[#This Row],[DMZ]]="Yes"),
           "IBM Cloud Bare Metal x86 - Ashburn",
           IF(AND(LEFT(LOWER(tblEvntScope[[#This Row],[Hostname]]),4)="va33",LEFT(tblEvntScope[[#This Row],[Source IP Address]],5)="30.16"),"Azure AVS - North Central","Azure AVS - East1")))),"")</f>
        <v>Azure AVS - East1</v>
      </c>
      <c r="Y2" s="186" t="str">
        <f>_xlfn.XLOOKUP(tblEvntScope[[#This Row],[Hostname]],tblTM[common_assetName],tblTM[device_custom17],"",0,1)</f>
        <v/>
      </c>
      <c r="Z2" s="186" t="str">
        <f>IFERROR(IF(tblEvntScope[[#This Row],[Target IPs ]]="","",_xlfn.XLOOKUP(tblEvntScope[[#This Row],[Hostname]],tblTM[common_assetName],tblTM[device_custom14],"",0,1)),"")</f>
        <v/>
      </c>
      <c r="AA2" s="186" t="str">
        <f>IFERROR(IF(tblEvntScope[[#This Row],[Target IPs ]]="","",_xlfn.XLOOKUP(tblEvntScope[[#This Row],[Hostname]],tblTM[common_assetName],tblTM[device_custom12],"",0,1)),"")</f>
        <v/>
      </c>
      <c r="AB2" s="187" t="str">
        <f>IFERROR(_xlfn.XLOOKUP(tblEvntScope[[#This Row],[Hostname]],tblTM[common_assetName],tblTM[device_custom64],"",0)+_xlfn.XLOOKUP(tblEvntScope[[#This Row],[Hostname]],tblTM[common_assetName],tblTM[device_size],"",0),"")</f>
        <v/>
      </c>
      <c r="AC2" s="188"/>
      <c r="AD2" s="189"/>
      <c r="AE2" s="186" t="str">
        <f>CONCATENATE(tblEvntScope[[#This Row],[Application Name]],tblEvntScope[[#This Row],[Hostname]])</f>
        <v>00</v>
      </c>
    </row>
  </sheetData>
  <phoneticPr fontId="14" type="noConversion"/>
  <conditionalFormatting sqref="L2:N2">
    <cfRule type="expression" dxfId="308" priority="38">
      <formula>LEFT(INDIRECT("tblEvntScope[@Source Location]"),4)="Virg"</formula>
    </cfRule>
    <cfRule type="expression" dxfId="307" priority="39">
      <formula>LEFT(INDIRECT("tblEvntScope[@Source Location]"),4)="Rich"</formula>
    </cfRule>
    <cfRule type="expression" dxfId="306" priority="40">
      <formula>LEFT(INDIRECT("tblEvntScope[@Source Location]"),4)="Harr"</formula>
    </cfRule>
    <cfRule type="expression" dxfId="305" priority="41">
      <formula>LEFT(INDIRECT("tblEvntScope[@Source Location]"),4)="StLo"</formula>
    </cfRule>
  </conditionalFormatting>
  <conditionalFormatting sqref="Q2">
    <cfRule type="expression" dxfId="304" priority="35">
      <formula>LEFT(INDIRECT("tblEvntScope[@Environment]"),4)="Deve"</formula>
    </cfRule>
    <cfRule type="expression" dxfId="303" priority="36">
      <formula>LEFT(INDIRECT("tblEvntScope[@Environment]"),4)="Test"</formula>
    </cfRule>
    <cfRule type="expression" dxfId="302" priority="37">
      <formula>LEFT(INDIRECT("tblEvntScope[@Environment]"),4)="Prod"</formula>
    </cfRule>
  </conditionalFormatting>
  <conditionalFormatting sqref="R2">
    <cfRule type="expression" dxfId="301" priority="31">
      <formula>INDIRECT("tblEvntScope[@Device Type]")="Server"</formula>
    </cfRule>
    <cfRule type="expression" dxfId="300" priority="32">
      <formula>LEFT(INDIRECT("tblEvntScope[@Device Type]"),8)="Linux-VM"</formula>
    </cfRule>
    <cfRule type="expression" dxfId="299" priority="33">
      <formula>LEFT(INDIRECT("tblEvntScope[@Device Type]"),3)="AIX"</formula>
    </cfRule>
  </conditionalFormatting>
  <conditionalFormatting sqref="Y2:AE2 A2:S2">
    <cfRule type="expression" dxfId="298" priority="19">
      <formula>INDIRECT("tblEvntScope[@Scope]")="OOS"</formula>
    </cfRule>
  </conditionalFormatting>
  <conditionalFormatting sqref="U2:W2">
    <cfRule type="cellIs" dxfId="297" priority="14" operator="between">
      <formula>"TSM "</formula>
      <formula>"TSMZ"</formula>
    </cfRule>
    <cfRule type="cellIs" dxfId="296" priority="15" operator="equal">
      <formula>"SRM"</formula>
    </cfRule>
    <cfRule type="cellIs" dxfId="295" priority="16" operator="equal">
      <formula>"Global Mirror"</formula>
    </cfRule>
    <cfRule type="cellIs" dxfId="294" priority="17" operator="equal">
      <formula>"Zerto"</formula>
    </cfRule>
  </conditionalFormatting>
  <conditionalFormatting sqref="S2">
    <cfRule type="expression" dxfId="293" priority="24">
      <formula>LEFT(INDIRECT("tblEvntScope[@Operating System]"),6)="MS Win"</formula>
    </cfRule>
    <cfRule type="expression" dxfId="292" priority="25">
      <formula>LEFT(INDIRECT("tblEvntScope[@Operating System]"),4)="RHEL"</formula>
    </cfRule>
    <cfRule type="expression" dxfId="291" priority="26">
      <formula>LEFT(INDIRECT("tblEvntScope[@Operating System]"),4)="UNIX"</formula>
    </cfRule>
    <cfRule type="expression" dxfId="290" priority="27">
      <formula>LEFT(INDIRECT("tblEvntScope[@Operating System]"),4)="OSCP"</formula>
    </cfRule>
    <cfRule type="expression" dxfId="289" priority="28">
      <formula>LEFT(INDIRECT("tblEvntScope[@Operating System]"),6)="PwrLnx"</formula>
    </cfRule>
    <cfRule type="expression" dxfId="288" priority="29">
      <formula>LEFT(INDIRECT("tblEvntScope[@Operating System]"),3)="AIX"</formula>
    </cfRule>
  </conditionalFormatting>
  <conditionalFormatting sqref="K2 T2">
    <cfRule type="expression" dxfId="287" priority="12">
      <formula>INDIRECT("tblEvntScope[@DMZ]")="Yes"</formula>
    </cfRule>
  </conditionalFormatting>
  <conditionalFormatting sqref="C1">
    <cfRule type="cellIs" dxfId="286" priority="7" operator="equal">
      <formula>"???"</formula>
    </cfRule>
  </conditionalFormatting>
  <conditionalFormatting sqref="X2">
    <cfRule type="expression" dxfId="285" priority="6">
      <formula>INDIRECT("tblPMView[@Scope]")="OOS"</formula>
    </cfRule>
  </conditionalFormatting>
  <conditionalFormatting sqref="X2">
    <cfRule type="beginsWith" dxfId="284" priority="3" operator="beginsWith" text="IBM">
      <formula>LEFT(X2,LEN("IBM"))="IBM"</formula>
    </cfRule>
    <cfRule type="beginsWith" dxfId="283" priority="4" operator="beginsWith" text="IBM Cloud Dedicated">
      <formula>LEFT(X2,LEN("IBM Cloud Dedicated"))="IBM Cloud Dedicated"</formula>
    </cfRule>
    <cfRule type="beginsWith" dxfId="282" priority="5" operator="beginsWith" text="Azure">
      <formula>LEFT(X2,LEN("Azure"))="Azure"</formula>
    </cfRule>
  </conditionalFormatting>
  <conditionalFormatting sqref="AD2:AE1048576">
    <cfRule type="duplicateValues" dxfId="281" priority="2"/>
  </conditionalFormatting>
  <conditionalFormatting sqref="D1:D1048576">
    <cfRule type="duplicateValues" dxfId="280" priority="1"/>
  </conditionalFormatting>
  <conditionalFormatting sqref="AB2">
    <cfRule type="colorScale" priority="81514">
      <colorScale>
        <cfvo type="min"/>
        <cfvo type="max"/>
        <color theme="5" tint="0.79998168889431442"/>
        <color theme="5" tint="-0.249977111117893"/>
      </colorScale>
    </cfRule>
  </conditionalFormatting>
  <conditionalFormatting sqref="I2">
    <cfRule type="duplicateValues" dxfId="279" priority="81515"/>
  </conditionalFormatting>
  <dataValidations count="1">
    <dataValidation type="list" allowBlank="1" showInputMessage="1" showErrorMessage="1" sqref="C2" xr:uid="{84FABDA1-6A64-4009-AD57-EE524535A8BA}">
      <formula1>"Initial, New,  Deleted"</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821BE-87C4-7C4B-839F-6C845A001447}">
  <sheetPr codeName="Sheet10">
    <tabColor theme="9" tint="-0.499984740745262"/>
  </sheetPr>
  <dimension ref="A1:AW2"/>
  <sheetViews>
    <sheetView zoomScale="71" zoomScaleNormal="71" workbookViewId="0">
      <selection activeCell="B2" sqref="B2"/>
    </sheetView>
  </sheetViews>
  <sheetFormatPr defaultColWidth="11" defaultRowHeight="15.6" x14ac:dyDescent="0.3"/>
  <cols>
    <col min="1" max="1" width="13.59765625" style="3" bestFit="1" customWidth="1"/>
    <col min="2" max="2" width="26.09765625" customWidth="1"/>
    <col min="3" max="4" width="13.09765625" bestFit="1" customWidth="1"/>
    <col min="5" max="5" width="14" bestFit="1" customWidth="1"/>
    <col min="6" max="6" width="16.59765625" customWidth="1"/>
    <col min="7" max="7" width="30.59765625" customWidth="1"/>
    <col min="8" max="8" width="16.59765625" customWidth="1"/>
    <col min="9" max="9" width="31.69921875" bestFit="1" customWidth="1"/>
    <col min="10" max="10" width="20.59765625" customWidth="1"/>
    <col min="11" max="11" width="36.59765625" customWidth="1"/>
    <col min="12" max="12" width="23.8984375" bestFit="1" customWidth="1"/>
    <col min="13" max="13" width="8.59765625" customWidth="1"/>
    <col min="14" max="14" width="6.796875" bestFit="1" customWidth="1"/>
    <col min="15" max="15" width="10.09765625" customWidth="1"/>
    <col min="16" max="16" width="40.59765625" customWidth="1"/>
    <col min="17" max="17" width="42.59765625" customWidth="1"/>
    <col min="21" max="22" width="18.59765625" bestFit="1" customWidth="1"/>
    <col min="23" max="23" width="13.5" bestFit="1" customWidth="1"/>
    <col min="24" max="31" width="18.59765625" bestFit="1" customWidth="1"/>
    <col min="32" max="32" width="18.59765625" customWidth="1"/>
    <col min="33" max="33" width="20.69921875" bestFit="1" customWidth="1"/>
    <col min="34" max="34" width="20.59765625" bestFit="1" customWidth="1"/>
    <col min="35" max="35" width="19.09765625" customWidth="1"/>
    <col min="36" max="36" width="25.296875" bestFit="1" customWidth="1"/>
    <col min="37" max="38" width="18.69921875" bestFit="1" customWidth="1"/>
    <col min="39" max="39" width="20.19921875" bestFit="1" customWidth="1"/>
    <col min="41" max="41" width="20.59765625" bestFit="1" customWidth="1"/>
    <col min="42" max="43" width="16.59765625" customWidth="1"/>
    <col min="45" max="45" width="21.09765625" bestFit="1" customWidth="1"/>
    <col min="47" max="47" width="11.8984375" bestFit="1" customWidth="1"/>
    <col min="48" max="48" width="20.19921875" bestFit="1" customWidth="1"/>
  </cols>
  <sheetData>
    <row r="1" spans="1:49" s="4" customFormat="1" ht="19.5" customHeight="1" x14ac:dyDescent="0.3">
      <c r="A1" s="3" t="s">
        <v>111</v>
      </c>
      <c r="B1" t="s">
        <v>112</v>
      </c>
      <c r="C1" t="s">
        <v>113</v>
      </c>
      <c r="D1" t="s">
        <v>114</v>
      </c>
      <c r="E1" t="s">
        <v>115</v>
      </c>
      <c r="F1" t="s">
        <v>116</v>
      </c>
      <c r="G1" t="s">
        <v>117</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s="98" t="s">
        <v>137</v>
      </c>
      <c r="AB1" t="s">
        <v>138</v>
      </c>
      <c r="AC1" t="s">
        <v>139</v>
      </c>
      <c r="AD1" t="s">
        <v>140</v>
      </c>
      <c r="AE1" t="s">
        <v>141</v>
      </c>
      <c r="AF1" t="s">
        <v>142</v>
      </c>
      <c r="AG1" t="s">
        <v>143</v>
      </c>
      <c r="AH1" t="s">
        <v>144</v>
      </c>
      <c r="AI1" t="s">
        <v>149</v>
      </c>
      <c r="AJ1" t="s">
        <v>360</v>
      </c>
      <c r="AK1" t="s">
        <v>150</v>
      </c>
      <c r="AL1" t="s">
        <v>151</v>
      </c>
      <c r="AM1" t="s">
        <v>358</v>
      </c>
      <c r="AN1" t="s">
        <v>88</v>
      </c>
      <c r="AO1" t="s">
        <v>361</v>
      </c>
      <c r="AP1" s="105" t="s">
        <v>145</v>
      </c>
      <c r="AQ1" s="105" t="s">
        <v>146</v>
      </c>
      <c r="AR1" s="105" t="s">
        <v>147</v>
      </c>
      <c r="AS1" s="105" t="s">
        <v>148</v>
      </c>
      <c r="AT1" s="105" t="s">
        <v>409</v>
      </c>
      <c r="AU1" s="105" t="s">
        <v>430</v>
      </c>
      <c r="AV1" s="105" t="s">
        <v>431</v>
      </c>
      <c r="AW1" s="105" t="s">
        <v>466</v>
      </c>
    </row>
    <row r="2" spans="1:49" x14ac:dyDescent="0.3">
      <c r="A2" s="171"/>
      <c r="B2" s="40"/>
      <c r="C2" s="40"/>
      <c r="D2" s="40"/>
      <c r="E2" s="40"/>
      <c r="F2" s="40"/>
      <c r="G2" s="40"/>
      <c r="H2" s="40"/>
      <c r="I2" s="40"/>
      <c r="J2" s="172"/>
      <c r="K2" s="40"/>
      <c r="L2" s="40"/>
      <c r="M2" s="40"/>
      <c r="N2" s="40"/>
      <c r="O2" s="40"/>
      <c r="P2" s="40"/>
      <c r="Q2" s="40"/>
      <c r="R2" s="40"/>
      <c r="S2" s="40"/>
      <c r="T2" s="40"/>
      <c r="U2" s="40"/>
      <c r="V2" s="40"/>
      <c r="W2" s="40"/>
      <c r="X2" s="40"/>
      <c r="Y2" s="40"/>
      <c r="Z2" s="40"/>
      <c r="AA2" s="173"/>
      <c r="AB2" s="40"/>
      <c r="AC2" s="40"/>
      <c r="AD2" s="40"/>
      <c r="AE2" s="40"/>
      <c r="AF2" s="40"/>
      <c r="AG2" s="40"/>
      <c r="AH2" s="40"/>
      <c r="AI2" s="40"/>
      <c r="AJ2" s="40"/>
      <c r="AK2" s="40"/>
      <c r="AL2" s="40"/>
      <c r="AM2" s="40"/>
      <c r="AN2" s="40"/>
      <c r="AO2" s="40"/>
      <c r="AP2" s="160"/>
      <c r="AQ2" s="160"/>
      <c r="AR2" s="160"/>
      <c r="AS2" s="160"/>
      <c r="AT2" s="160"/>
      <c r="AU2" s="160"/>
      <c r="AV2" s="160"/>
      <c r="AW2" s="160"/>
    </row>
  </sheetData>
  <phoneticPr fontId="14" type="noConversion"/>
  <conditionalFormatting sqref="B1">
    <cfRule type="duplicateValues" dxfId="245" priority="3"/>
  </conditionalFormatting>
  <conditionalFormatting sqref="B1">
    <cfRule type="duplicateValues" dxfId="244" priority="1"/>
    <cfRule type="duplicateValues" dxfId="243" priority="2"/>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C978D-DBB9-45F7-B7A9-343C1CDC5BF3}">
  <sheetPr codeName="Sheet3">
    <tabColor theme="7" tint="0.79998168889431442"/>
  </sheetPr>
  <dimension ref="A1:U2"/>
  <sheetViews>
    <sheetView showGridLines="0" zoomScale="82" zoomScaleNormal="82" workbookViewId="0">
      <pane xSplit="2" ySplit="1" topLeftCell="C2" activePane="bottomRight" state="frozen"/>
      <selection pane="topRight" activeCell="C1" sqref="C1"/>
      <selection pane="bottomLeft" activeCell="A2" sqref="A2"/>
      <selection pane="bottomRight" activeCell="B2" sqref="B2"/>
    </sheetView>
  </sheetViews>
  <sheetFormatPr defaultColWidth="9.296875" defaultRowHeight="12.6" x14ac:dyDescent="0.2"/>
  <cols>
    <col min="1" max="1" width="7.296875" style="20" customWidth="1"/>
    <col min="2" max="2" width="45.59765625" style="19" customWidth="1"/>
    <col min="3" max="3" width="26.09765625" style="21" customWidth="1"/>
    <col min="4" max="4" width="9.296875" style="19" customWidth="1"/>
    <col min="5" max="5" width="21.59765625" style="19" customWidth="1"/>
    <col min="6" max="6" width="23.59765625" style="19" customWidth="1"/>
    <col min="7" max="7" width="24.5" style="19" customWidth="1"/>
    <col min="8" max="8" width="23.796875" style="19" bestFit="1" customWidth="1"/>
    <col min="9" max="9" width="26.69921875" style="19" customWidth="1"/>
    <col min="10" max="10" width="21.19921875" style="19" customWidth="1"/>
    <col min="11" max="11" width="23.59765625" style="19" bestFit="1" customWidth="1"/>
    <col min="12" max="12" width="36.5" style="19" bestFit="1" customWidth="1"/>
    <col min="13" max="13" width="55" style="19" bestFit="1" customWidth="1"/>
    <col min="14" max="14" width="36" style="19" bestFit="1" customWidth="1"/>
    <col min="15" max="15" width="46.59765625" style="19" bestFit="1" customWidth="1"/>
    <col min="16" max="16" width="36" style="19" bestFit="1" customWidth="1"/>
    <col min="17" max="17" width="46.59765625" style="19" bestFit="1" customWidth="1"/>
    <col min="18" max="18" width="9.296875" style="19"/>
    <col min="19" max="19" width="50.59765625" style="19" customWidth="1"/>
    <col min="20" max="20" width="18.69921875" style="19" customWidth="1"/>
    <col min="21" max="118" width="9.296875" style="19"/>
    <col min="119" max="119" width="7.296875" style="19" customWidth="1"/>
    <col min="120" max="121" width="20.296875" style="19" customWidth="1"/>
    <col min="122" max="124" width="15.296875" style="19" customWidth="1"/>
    <col min="125" max="125" width="9.296875" style="19"/>
    <col min="126" max="126" width="15.296875" style="19" customWidth="1"/>
    <col min="127" max="127" width="10.296875" style="19" customWidth="1"/>
    <col min="128" max="128" width="12.796875" style="19" customWidth="1"/>
    <col min="129" max="129" width="17.296875" style="19" customWidth="1"/>
    <col min="130" max="135" width="9.296875" style="19"/>
    <col min="136" max="136" width="13.296875" style="19" customWidth="1"/>
    <col min="137" max="139" width="12.796875" style="19" customWidth="1"/>
    <col min="140" max="140" width="9.296875" style="19"/>
    <col min="141" max="141" width="11.796875" style="19" customWidth="1"/>
    <col min="142" max="152" width="9.296875" style="19"/>
    <col min="153" max="153" width="11.296875" style="19" customWidth="1"/>
    <col min="154" max="154" width="13.296875" style="19" customWidth="1"/>
    <col min="155" max="155" width="16.09765625" style="19" customWidth="1"/>
    <col min="156" max="156" width="10.296875" style="19" customWidth="1"/>
    <col min="157" max="157" width="12.796875" style="19" customWidth="1"/>
    <col min="158" max="158" width="14.296875" style="19" customWidth="1"/>
    <col min="159" max="159" width="10.796875" style="19" customWidth="1"/>
    <col min="160" max="160" width="11.796875" style="19" customWidth="1"/>
    <col min="161" max="161" width="17.59765625" style="19" customWidth="1"/>
    <col min="162" max="374" width="9.296875" style="19"/>
    <col min="375" max="375" width="7.296875" style="19" customWidth="1"/>
    <col min="376" max="377" width="20.296875" style="19" customWidth="1"/>
    <col min="378" max="380" width="15.296875" style="19" customWidth="1"/>
    <col min="381" max="381" width="9.296875" style="19"/>
    <col min="382" max="382" width="15.296875" style="19" customWidth="1"/>
    <col min="383" max="383" width="10.296875" style="19" customWidth="1"/>
    <col min="384" max="384" width="12.796875" style="19" customWidth="1"/>
    <col min="385" max="385" width="17.296875" style="19" customWidth="1"/>
    <col min="386" max="391" width="9.296875" style="19"/>
    <col min="392" max="392" width="13.296875" style="19" customWidth="1"/>
    <col min="393" max="395" width="12.796875" style="19" customWidth="1"/>
    <col min="396" max="396" width="9.296875" style="19"/>
    <col min="397" max="397" width="11.796875" style="19" customWidth="1"/>
    <col min="398" max="408" width="9.296875" style="19"/>
    <col min="409" max="409" width="11.296875" style="19" customWidth="1"/>
    <col min="410" max="410" width="13.296875" style="19" customWidth="1"/>
    <col min="411" max="411" width="16.09765625" style="19" customWidth="1"/>
    <col min="412" max="412" width="10.296875" style="19" customWidth="1"/>
    <col min="413" max="413" width="12.796875" style="19" customWidth="1"/>
    <col min="414" max="414" width="14.296875" style="19" customWidth="1"/>
    <col min="415" max="415" width="10.796875" style="19" customWidth="1"/>
    <col min="416" max="416" width="11.796875" style="19" customWidth="1"/>
    <col min="417" max="417" width="17.59765625" style="19" customWidth="1"/>
    <col min="418" max="630" width="9.296875" style="19"/>
    <col min="631" max="631" width="7.296875" style="19" customWidth="1"/>
    <col min="632" max="633" width="20.296875" style="19" customWidth="1"/>
    <col min="634" max="636" width="15.296875" style="19" customWidth="1"/>
    <col min="637" max="637" width="9.296875" style="19"/>
    <col min="638" max="638" width="15.296875" style="19" customWidth="1"/>
    <col min="639" max="639" width="10.296875" style="19" customWidth="1"/>
    <col min="640" max="640" width="12.796875" style="19" customWidth="1"/>
    <col min="641" max="641" width="17.296875" style="19" customWidth="1"/>
    <col min="642" max="647" width="9.296875" style="19"/>
    <col min="648" max="648" width="13.296875" style="19" customWidth="1"/>
    <col min="649" max="651" width="12.796875" style="19" customWidth="1"/>
    <col min="652" max="652" width="9.296875" style="19"/>
    <col min="653" max="653" width="11.796875" style="19" customWidth="1"/>
    <col min="654" max="664" width="9.296875" style="19"/>
    <col min="665" max="665" width="11.296875" style="19" customWidth="1"/>
    <col min="666" max="666" width="13.296875" style="19" customWidth="1"/>
    <col min="667" max="667" width="16.09765625" style="19" customWidth="1"/>
    <col min="668" max="668" width="10.296875" style="19" customWidth="1"/>
    <col min="669" max="669" width="12.796875" style="19" customWidth="1"/>
    <col min="670" max="670" width="14.296875" style="19" customWidth="1"/>
    <col min="671" max="671" width="10.796875" style="19" customWidth="1"/>
    <col min="672" max="672" width="11.796875" style="19" customWidth="1"/>
    <col min="673" max="673" width="17.59765625" style="19" customWidth="1"/>
    <col min="674" max="886" width="9.296875" style="19"/>
    <col min="887" max="887" width="7.296875" style="19" customWidth="1"/>
    <col min="888" max="889" width="20.296875" style="19" customWidth="1"/>
    <col min="890" max="892" width="15.296875" style="19" customWidth="1"/>
    <col min="893" max="893" width="9.296875" style="19"/>
    <col min="894" max="894" width="15.296875" style="19" customWidth="1"/>
    <col min="895" max="895" width="10.296875" style="19" customWidth="1"/>
    <col min="896" max="896" width="12.796875" style="19" customWidth="1"/>
    <col min="897" max="897" width="17.296875" style="19" customWidth="1"/>
    <col min="898" max="903" width="9.296875" style="19"/>
    <col min="904" max="904" width="13.296875" style="19" customWidth="1"/>
    <col min="905" max="907" width="12.796875" style="19" customWidth="1"/>
    <col min="908" max="908" width="9.296875" style="19"/>
    <col min="909" max="909" width="11.796875" style="19" customWidth="1"/>
    <col min="910" max="920" width="9.296875" style="19"/>
    <col min="921" max="921" width="11.296875" style="19" customWidth="1"/>
    <col min="922" max="922" width="13.296875" style="19" customWidth="1"/>
    <col min="923" max="923" width="16.09765625" style="19" customWidth="1"/>
    <col min="924" max="924" width="10.296875" style="19" customWidth="1"/>
    <col min="925" max="925" width="12.796875" style="19" customWidth="1"/>
    <col min="926" max="926" width="14.296875" style="19" customWidth="1"/>
    <col min="927" max="927" width="10.796875" style="19" customWidth="1"/>
    <col min="928" max="928" width="11.796875" style="19" customWidth="1"/>
    <col min="929" max="929" width="17.59765625" style="19" customWidth="1"/>
    <col min="930" max="1142" width="9.296875" style="19"/>
    <col min="1143" max="1143" width="7.296875" style="19" customWidth="1"/>
    <col min="1144" max="1145" width="20.296875" style="19" customWidth="1"/>
    <col min="1146" max="1148" width="15.296875" style="19" customWidth="1"/>
    <col min="1149" max="1149" width="9.296875" style="19"/>
    <col min="1150" max="1150" width="15.296875" style="19" customWidth="1"/>
    <col min="1151" max="1151" width="10.296875" style="19" customWidth="1"/>
    <col min="1152" max="1152" width="12.796875" style="19" customWidth="1"/>
    <col min="1153" max="1153" width="17.296875" style="19" customWidth="1"/>
    <col min="1154" max="1159" width="9.296875" style="19"/>
    <col min="1160" max="1160" width="13.296875" style="19" customWidth="1"/>
    <col min="1161" max="1163" width="12.796875" style="19" customWidth="1"/>
    <col min="1164" max="1164" width="9.296875" style="19"/>
    <col min="1165" max="1165" width="11.796875" style="19" customWidth="1"/>
    <col min="1166" max="1176" width="9.296875" style="19"/>
    <col min="1177" max="1177" width="11.296875" style="19" customWidth="1"/>
    <col min="1178" max="1178" width="13.296875" style="19" customWidth="1"/>
    <col min="1179" max="1179" width="16.09765625" style="19" customWidth="1"/>
    <col min="1180" max="1180" width="10.296875" style="19" customWidth="1"/>
    <col min="1181" max="1181" width="12.796875" style="19" customWidth="1"/>
    <col min="1182" max="1182" width="14.296875" style="19" customWidth="1"/>
    <col min="1183" max="1183" width="10.796875" style="19" customWidth="1"/>
    <col min="1184" max="1184" width="11.796875" style="19" customWidth="1"/>
    <col min="1185" max="1185" width="17.59765625" style="19" customWidth="1"/>
    <col min="1186" max="1398" width="9.296875" style="19"/>
    <col min="1399" max="1399" width="7.296875" style="19" customWidth="1"/>
    <col min="1400" max="1401" width="20.296875" style="19" customWidth="1"/>
    <col min="1402" max="1404" width="15.296875" style="19" customWidth="1"/>
    <col min="1405" max="1405" width="9.296875" style="19"/>
    <col min="1406" max="1406" width="15.296875" style="19" customWidth="1"/>
    <col min="1407" max="1407" width="10.296875" style="19" customWidth="1"/>
    <col min="1408" max="1408" width="12.796875" style="19" customWidth="1"/>
    <col min="1409" max="1409" width="17.296875" style="19" customWidth="1"/>
    <col min="1410" max="1415" width="9.296875" style="19"/>
    <col min="1416" max="1416" width="13.296875" style="19" customWidth="1"/>
    <col min="1417" max="1419" width="12.796875" style="19" customWidth="1"/>
    <col min="1420" max="1420" width="9.296875" style="19"/>
    <col min="1421" max="1421" width="11.796875" style="19" customWidth="1"/>
    <col min="1422" max="1432" width="9.296875" style="19"/>
    <col min="1433" max="1433" width="11.296875" style="19" customWidth="1"/>
    <col min="1434" max="1434" width="13.296875" style="19" customWidth="1"/>
    <col min="1435" max="1435" width="16.09765625" style="19" customWidth="1"/>
    <col min="1436" max="1436" width="10.296875" style="19" customWidth="1"/>
    <col min="1437" max="1437" width="12.796875" style="19" customWidth="1"/>
    <col min="1438" max="1438" width="14.296875" style="19" customWidth="1"/>
    <col min="1439" max="1439" width="10.796875" style="19" customWidth="1"/>
    <col min="1440" max="1440" width="11.796875" style="19" customWidth="1"/>
    <col min="1441" max="1441" width="17.59765625" style="19" customWidth="1"/>
    <col min="1442" max="1654" width="9.296875" style="19"/>
    <col min="1655" max="1655" width="7.296875" style="19" customWidth="1"/>
    <col min="1656" max="1657" width="20.296875" style="19" customWidth="1"/>
    <col min="1658" max="1660" width="15.296875" style="19" customWidth="1"/>
    <col min="1661" max="1661" width="9.296875" style="19"/>
    <col min="1662" max="1662" width="15.296875" style="19" customWidth="1"/>
    <col min="1663" max="1663" width="10.296875" style="19" customWidth="1"/>
    <col min="1664" max="1664" width="12.796875" style="19" customWidth="1"/>
    <col min="1665" max="1665" width="17.296875" style="19" customWidth="1"/>
    <col min="1666" max="1671" width="9.296875" style="19"/>
    <col min="1672" max="1672" width="13.296875" style="19" customWidth="1"/>
    <col min="1673" max="1675" width="12.796875" style="19" customWidth="1"/>
    <col min="1676" max="1676" width="9.296875" style="19"/>
    <col min="1677" max="1677" width="11.796875" style="19" customWidth="1"/>
    <col min="1678" max="1688" width="9.296875" style="19"/>
    <col min="1689" max="1689" width="11.296875" style="19" customWidth="1"/>
    <col min="1690" max="1690" width="13.296875" style="19" customWidth="1"/>
    <col min="1691" max="1691" width="16.09765625" style="19" customWidth="1"/>
    <col min="1692" max="1692" width="10.296875" style="19" customWidth="1"/>
    <col min="1693" max="1693" width="12.796875" style="19" customWidth="1"/>
    <col min="1694" max="1694" width="14.296875" style="19" customWidth="1"/>
    <col min="1695" max="1695" width="10.796875" style="19" customWidth="1"/>
    <col min="1696" max="1696" width="11.796875" style="19" customWidth="1"/>
    <col min="1697" max="1697" width="17.59765625" style="19" customWidth="1"/>
    <col min="1698" max="1910" width="9.296875" style="19"/>
    <col min="1911" max="1911" width="7.296875" style="19" customWidth="1"/>
    <col min="1912" max="1913" width="20.296875" style="19" customWidth="1"/>
    <col min="1914" max="1916" width="15.296875" style="19" customWidth="1"/>
    <col min="1917" max="1917" width="9.296875" style="19"/>
    <col min="1918" max="1918" width="15.296875" style="19" customWidth="1"/>
    <col min="1919" max="1919" width="10.296875" style="19" customWidth="1"/>
    <col min="1920" max="1920" width="12.796875" style="19" customWidth="1"/>
    <col min="1921" max="1921" width="17.296875" style="19" customWidth="1"/>
    <col min="1922" max="1927" width="9.296875" style="19"/>
    <col min="1928" max="1928" width="13.296875" style="19" customWidth="1"/>
    <col min="1929" max="1931" width="12.796875" style="19" customWidth="1"/>
    <col min="1932" max="1932" width="9.296875" style="19"/>
    <col min="1933" max="1933" width="11.796875" style="19" customWidth="1"/>
    <col min="1934" max="1944" width="9.296875" style="19"/>
    <col min="1945" max="1945" width="11.296875" style="19" customWidth="1"/>
    <col min="1946" max="1946" width="13.296875" style="19" customWidth="1"/>
    <col min="1947" max="1947" width="16.09765625" style="19" customWidth="1"/>
    <col min="1948" max="1948" width="10.296875" style="19" customWidth="1"/>
    <col min="1949" max="1949" width="12.796875" style="19" customWidth="1"/>
    <col min="1950" max="1950" width="14.296875" style="19" customWidth="1"/>
    <col min="1951" max="1951" width="10.796875" style="19" customWidth="1"/>
    <col min="1952" max="1952" width="11.796875" style="19" customWidth="1"/>
    <col min="1953" max="1953" width="17.59765625" style="19" customWidth="1"/>
    <col min="1954" max="2166" width="9.296875" style="19"/>
    <col min="2167" max="2167" width="7.296875" style="19" customWidth="1"/>
    <col min="2168" max="2169" width="20.296875" style="19" customWidth="1"/>
    <col min="2170" max="2172" width="15.296875" style="19" customWidth="1"/>
    <col min="2173" max="2173" width="9.296875" style="19"/>
    <col min="2174" max="2174" width="15.296875" style="19" customWidth="1"/>
    <col min="2175" max="2175" width="10.296875" style="19" customWidth="1"/>
    <col min="2176" max="2176" width="12.796875" style="19" customWidth="1"/>
    <col min="2177" max="2177" width="17.296875" style="19" customWidth="1"/>
    <col min="2178" max="2183" width="9.296875" style="19"/>
    <col min="2184" max="2184" width="13.296875" style="19" customWidth="1"/>
    <col min="2185" max="2187" width="12.796875" style="19" customWidth="1"/>
    <col min="2188" max="2188" width="9.296875" style="19"/>
    <col min="2189" max="2189" width="11.796875" style="19" customWidth="1"/>
    <col min="2190" max="2200" width="9.296875" style="19"/>
    <col min="2201" max="2201" width="11.296875" style="19" customWidth="1"/>
    <col min="2202" max="2202" width="13.296875" style="19" customWidth="1"/>
    <col min="2203" max="2203" width="16.09765625" style="19" customWidth="1"/>
    <col min="2204" max="2204" width="10.296875" style="19" customWidth="1"/>
    <col min="2205" max="2205" width="12.796875" style="19" customWidth="1"/>
    <col min="2206" max="2206" width="14.296875" style="19" customWidth="1"/>
    <col min="2207" max="2207" width="10.796875" style="19" customWidth="1"/>
    <col min="2208" max="2208" width="11.796875" style="19" customWidth="1"/>
    <col min="2209" max="2209" width="17.59765625" style="19" customWidth="1"/>
    <col min="2210" max="2422" width="9.296875" style="19"/>
    <col min="2423" max="2423" width="7.296875" style="19" customWidth="1"/>
    <col min="2424" max="2425" width="20.296875" style="19" customWidth="1"/>
    <col min="2426" max="2428" width="15.296875" style="19" customWidth="1"/>
    <col min="2429" max="2429" width="9.296875" style="19"/>
    <col min="2430" max="2430" width="15.296875" style="19" customWidth="1"/>
    <col min="2431" max="2431" width="10.296875" style="19" customWidth="1"/>
    <col min="2432" max="2432" width="12.796875" style="19" customWidth="1"/>
    <col min="2433" max="2433" width="17.296875" style="19" customWidth="1"/>
    <col min="2434" max="2439" width="9.296875" style="19"/>
    <col min="2440" max="2440" width="13.296875" style="19" customWidth="1"/>
    <col min="2441" max="2443" width="12.796875" style="19" customWidth="1"/>
    <col min="2444" max="2444" width="9.296875" style="19"/>
    <col min="2445" max="2445" width="11.796875" style="19" customWidth="1"/>
    <col min="2446" max="2456" width="9.296875" style="19"/>
    <col min="2457" max="2457" width="11.296875" style="19" customWidth="1"/>
    <col min="2458" max="2458" width="13.296875" style="19" customWidth="1"/>
    <col min="2459" max="2459" width="16.09765625" style="19" customWidth="1"/>
    <col min="2460" max="2460" width="10.296875" style="19" customWidth="1"/>
    <col min="2461" max="2461" width="12.796875" style="19" customWidth="1"/>
    <col min="2462" max="2462" width="14.296875" style="19" customWidth="1"/>
    <col min="2463" max="2463" width="10.796875" style="19" customWidth="1"/>
    <col min="2464" max="2464" width="11.796875" style="19" customWidth="1"/>
    <col min="2465" max="2465" width="17.59765625" style="19" customWidth="1"/>
    <col min="2466" max="2678" width="9.296875" style="19"/>
    <col min="2679" max="2679" width="7.296875" style="19" customWidth="1"/>
    <col min="2680" max="2681" width="20.296875" style="19" customWidth="1"/>
    <col min="2682" max="2684" width="15.296875" style="19" customWidth="1"/>
    <col min="2685" max="2685" width="9.296875" style="19"/>
    <col min="2686" max="2686" width="15.296875" style="19" customWidth="1"/>
    <col min="2687" max="2687" width="10.296875" style="19" customWidth="1"/>
    <col min="2688" max="2688" width="12.796875" style="19" customWidth="1"/>
    <col min="2689" max="2689" width="17.296875" style="19" customWidth="1"/>
    <col min="2690" max="2695" width="9.296875" style="19"/>
    <col min="2696" max="2696" width="13.296875" style="19" customWidth="1"/>
    <col min="2697" max="2699" width="12.796875" style="19" customWidth="1"/>
    <col min="2700" max="2700" width="9.296875" style="19"/>
    <col min="2701" max="2701" width="11.796875" style="19" customWidth="1"/>
    <col min="2702" max="2712" width="9.296875" style="19"/>
    <col min="2713" max="2713" width="11.296875" style="19" customWidth="1"/>
    <col min="2714" max="2714" width="13.296875" style="19" customWidth="1"/>
    <col min="2715" max="2715" width="16.09765625" style="19" customWidth="1"/>
    <col min="2716" max="2716" width="10.296875" style="19" customWidth="1"/>
    <col min="2717" max="2717" width="12.796875" style="19" customWidth="1"/>
    <col min="2718" max="2718" width="14.296875" style="19" customWidth="1"/>
    <col min="2719" max="2719" width="10.796875" style="19" customWidth="1"/>
    <col min="2720" max="2720" width="11.796875" style="19" customWidth="1"/>
    <col min="2721" max="2721" width="17.59765625" style="19" customWidth="1"/>
    <col min="2722" max="2934" width="9.296875" style="19"/>
    <col min="2935" max="2935" width="7.296875" style="19" customWidth="1"/>
    <col min="2936" max="2937" width="20.296875" style="19" customWidth="1"/>
    <col min="2938" max="2940" width="15.296875" style="19" customWidth="1"/>
    <col min="2941" max="2941" width="9.296875" style="19"/>
    <col min="2942" max="2942" width="15.296875" style="19" customWidth="1"/>
    <col min="2943" max="2943" width="10.296875" style="19" customWidth="1"/>
    <col min="2944" max="2944" width="12.796875" style="19" customWidth="1"/>
    <col min="2945" max="2945" width="17.296875" style="19" customWidth="1"/>
    <col min="2946" max="2951" width="9.296875" style="19"/>
    <col min="2952" max="2952" width="13.296875" style="19" customWidth="1"/>
    <col min="2953" max="2955" width="12.796875" style="19" customWidth="1"/>
    <col min="2956" max="2956" width="9.296875" style="19"/>
    <col min="2957" max="2957" width="11.796875" style="19" customWidth="1"/>
    <col min="2958" max="2968" width="9.296875" style="19"/>
    <col min="2969" max="2969" width="11.296875" style="19" customWidth="1"/>
    <col min="2970" max="2970" width="13.296875" style="19" customWidth="1"/>
    <col min="2971" max="2971" width="16.09765625" style="19" customWidth="1"/>
    <col min="2972" max="2972" width="10.296875" style="19" customWidth="1"/>
    <col min="2973" max="2973" width="12.796875" style="19" customWidth="1"/>
    <col min="2974" max="2974" width="14.296875" style="19" customWidth="1"/>
    <col min="2975" max="2975" width="10.796875" style="19" customWidth="1"/>
    <col min="2976" max="2976" width="11.796875" style="19" customWidth="1"/>
    <col min="2977" max="2977" width="17.59765625" style="19" customWidth="1"/>
    <col min="2978" max="3190" width="9.296875" style="19"/>
    <col min="3191" max="3191" width="7.296875" style="19" customWidth="1"/>
    <col min="3192" max="3193" width="20.296875" style="19" customWidth="1"/>
    <col min="3194" max="3196" width="15.296875" style="19" customWidth="1"/>
    <col min="3197" max="3197" width="9.296875" style="19"/>
    <col min="3198" max="3198" width="15.296875" style="19" customWidth="1"/>
    <col min="3199" max="3199" width="10.296875" style="19" customWidth="1"/>
    <col min="3200" max="3200" width="12.796875" style="19" customWidth="1"/>
    <col min="3201" max="3201" width="17.296875" style="19" customWidth="1"/>
    <col min="3202" max="3207" width="9.296875" style="19"/>
    <col min="3208" max="3208" width="13.296875" style="19" customWidth="1"/>
    <col min="3209" max="3211" width="12.796875" style="19" customWidth="1"/>
    <col min="3212" max="3212" width="9.296875" style="19"/>
    <col min="3213" max="3213" width="11.796875" style="19" customWidth="1"/>
    <col min="3214" max="3224" width="9.296875" style="19"/>
    <col min="3225" max="3225" width="11.296875" style="19" customWidth="1"/>
    <col min="3226" max="3226" width="13.296875" style="19" customWidth="1"/>
    <col min="3227" max="3227" width="16.09765625" style="19" customWidth="1"/>
    <col min="3228" max="3228" width="10.296875" style="19" customWidth="1"/>
    <col min="3229" max="3229" width="12.796875" style="19" customWidth="1"/>
    <col min="3230" max="3230" width="14.296875" style="19" customWidth="1"/>
    <col min="3231" max="3231" width="10.796875" style="19" customWidth="1"/>
    <col min="3232" max="3232" width="11.796875" style="19" customWidth="1"/>
    <col min="3233" max="3233" width="17.59765625" style="19" customWidth="1"/>
    <col min="3234" max="3446" width="9.296875" style="19"/>
    <col min="3447" max="3447" width="7.296875" style="19" customWidth="1"/>
    <col min="3448" max="3449" width="20.296875" style="19" customWidth="1"/>
    <col min="3450" max="3452" width="15.296875" style="19" customWidth="1"/>
    <col min="3453" max="3453" width="9.296875" style="19"/>
    <col min="3454" max="3454" width="15.296875" style="19" customWidth="1"/>
    <col min="3455" max="3455" width="10.296875" style="19" customWidth="1"/>
    <col min="3456" max="3456" width="12.796875" style="19" customWidth="1"/>
    <col min="3457" max="3457" width="17.296875" style="19" customWidth="1"/>
    <col min="3458" max="3463" width="9.296875" style="19"/>
    <col min="3464" max="3464" width="13.296875" style="19" customWidth="1"/>
    <col min="3465" max="3467" width="12.796875" style="19" customWidth="1"/>
    <col min="3468" max="3468" width="9.296875" style="19"/>
    <col min="3469" max="3469" width="11.796875" style="19" customWidth="1"/>
    <col min="3470" max="3480" width="9.296875" style="19"/>
    <col min="3481" max="3481" width="11.296875" style="19" customWidth="1"/>
    <col min="3482" max="3482" width="13.296875" style="19" customWidth="1"/>
    <col min="3483" max="3483" width="16.09765625" style="19" customWidth="1"/>
    <col min="3484" max="3484" width="10.296875" style="19" customWidth="1"/>
    <col min="3485" max="3485" width="12.796875" style="19" customWidth="1"/>
    <col min="3486" max="3486" width="14.296875" style="19" customWidth="1"/>
    <col min="3487" max="3487" width="10.796875" style="19" customWidth="1"/>
    <col min="3488" max="3488" width="11.796875" style="19" customWidth="1"/>
    <col min="3489" max="3489" width="17.59765625" style="19" customWidth="1"/>
    <col min="3490" max="3702" width="9.296875" style="19"/>
    <col min="3703" max="3703" width="7.296875" style="19" customWidth="1"/>
    <col min="3704" max="3705" width="20.296875" style="19" customWidth="1"/>
    <col min="3706" max="3708" width="15.296875" style="19" customWidth="1"/>
    <col min="3709" max="3709" width="9.296875" style="19"/>
    <col min="3710" max="3710" width="15.296875" style="19" customWidth="1"/>
    <col min="3711" max="3711" width="10.296875" style="19" customWidth="1"/>
    <col min="3712" max="3712" width="12.796875" style="19" customWidth="1"/>
    <col min="3713" max="3713" width="17.296875" style="19" customWidth="1"/>
    <col min="3714" max="3719" width="9.296875" style="19"/>
    <col min="3720" max="3720" width="13.296875" style="19" customWidth="1"/>
    <col min="3721" max="3723" width="12.796875" style="19" customWidth="1"/>
    <col min="3724" max="3724" width="9.296875" style="19"/>
    <col min="3725" max="3725" width="11.796875" style="19" customWidth="1"/>
    <col min="3726" max="3736" width="9.296875" style="19"/>
    <col min="3737" max="3737" width="11.296875" style="19" customWidth="1"/>
    <col min="3738" max="3738" width="13.296875" style="19" customWidth="1"/>
    <col min="3739" max="3739" width="16.09765625" style="19" customWidth="1"/>
    <col min="3740" max="3740" width="10.296875" style="19" customWidth="1"/>
    <col min="3741" max="3741" width="12.796875" style="19" customWidth="1"/>
    <col min="3742" max="3742" width="14.296875" style="19" customWidth="1"/>
    <col min="3743" max="3743" width="10.796875" style="19" customWidth="1"/>
    <col min="3744" max="3744" width="11.796875" style="19" customWidth="1"/>
    <col min="3745" max="3745" width="17.59765625" style="19" customWidth="1"/>
    <col min="3746" max="3958" width="9.296875" style="19"/>
    <col min="3959" max="3959" width="7.296875" style="19" customWidth="1"/>
    <col min="3960" max="3961" width="20.296875" style="19" customWidth="1"/>
    <col min="3962" max="3964" width="15.296875" style="19" customWidth="1"/>
    <col min="3965" max="3965" width="9.296875" style="19"/>
    <col min="3966" max="3966" width="15.296875" style="19" customWidth="1"/>
    <col min="3967" max="3967" width="10.296875" style="19" customWidth="1"/>
    <col min="3968" max="3968" width="12.796875" style="19" customWidth="1"/>
    <col min="3969" max="3969" width="17.296875" style="19" customWidth="1"/>
    <col min="3970" max="3975" width="9.296875" style="19"/>
    <col min="3976" max="3976" width="13.296875" style="19" customWidth="1"/>
    <col min="3977" max="3979" width="12.796875" style="19" customWidth="1"/>
    <col min="3980" max="3980" width="9.296875" style="19"/>
    <col min="3981" max="3981" width="11.796875" style="19" customWidth="1"/>
    <col min="3982" max="3992" width="9.296875" style="19"/>
    <col min="3993" max="3993" width="11.296875" style="19" customWidth="1"/>
    <col min="3994" max="3994" width="13.296875" style="19" customWidth="1"/>
    <col min="3995" max="3995" width="16.09765625" style="19" customWidth="1"/>
    <col min="3996" max="3996" width="10.296875" style="19" customWidth="1"/>
    <col min="3997" max="3997" width="12.796875" style="19" customWidth="1"/>
    <col min="3998" max="3998" width="14.296875" style="19" customWidth="1"/>
    <col min="3999" max="3999" width="10.796875" style="19" customWidth="1"/>
    <col min="4000" max="4000" width="11.796875" style="19" customWidth="1"/>
    <col min="4001" max="4001" width="17.59765625" style="19" customWidth="1"/>
    <col min="4002" max="4214" width="9.296875" style="19"/>
    <col min="4215" max="4215" width="7.296875" style="19" customWidth="1"/>
    <col min="4216" max="4217" width="20.296875" style="19" customWidth="1"/>
    <col min="4218" max="4220" width="15.296875" style="19" customWidth="1"/>
    <col min="4221" max="4221" width="9.296875" style="19"/>
    <col min="4222" max="4222" width="15.296875" style="19" customWidth="1"/>
    <col min="4223" max="4223" width="10.296875" style="19" customWidth="1"/>
    <col min="4224" max="4224" width="12.796875" style="19" customWidth="1"/>
    <col min="4225" max="4225" width="17.296875" style="19" customWidth="1"/>
    <col min="4226" max="4231" width="9.296875" style="19"/>
    <col min="4232" max="4232" width="13.296875" style="19" customWidth="1"/>
    <col min="4233" max="4235" width="12.796875" style="19" customWidth="1"/>
    <col min="4236" max="4236" width="9.296875" style="19"/>
    <col min="4237" max="4237" width="11.796875" style="19" customWidth="1"/>
    <col min="4238" max="4248" width="9.296875" style="19"/>
    <col min="4249" max="4249" width="11.296875" style="19" customWidth="1"/>
    <col min="4250" max="4250" width="13.296875" style="19" customWidth="1"/>
    <col min="4251" max="4251" width="16.09765625" style="19" customWidth="1"/>
    <col min="4252" max="4252" width="10.296875" style="19" customWidth="1"/>
    <col min="4253" max="4253" width="12.796875" style="19" customWidth="1"/>
    <col min="4254" max="4254" width="14.296875" style="19" customWidth="1"/>
    <col min="4255" max="4255" width="10.796875" style="19" customWidth="1"/>
    <col min="4256" max="4256" width="11.796875" style="19" customWidth="1"/>
    <col min="4257" max="4257" width="17.59765625" style="19" customWidth="1"/>
    <col min="4258" max="4470" width="9.296875" style="19"/>
    <col min="4471" max="4471" width="7.296875" style="19" customWidth="1"/>
    <col min="4472" max="4473" width="20.296875" style="19" customWidth="1"/>
    <col min="4474" max="4476" width="15.296875" style="19" customWidth="1"/>
    <col min="4477" max="4477" width="9.296875" style="19"/>
    <col min="4478" max="4478" width="15.296875" style="19" customWidth="1"/>
    <col min="4479" max="4479" width="10.296875" style="19" customWidth="1"/>
    <col min="4480" max="4480" width="12.796875" style="19" customWidth="1"/>
    <col min="4481" max="4481" width="17.296875" style="19" customWidth="1"/>
    <col min="4482" max="4487" width="9.296875" style="19"/>
    <col min="4488" max="4488" width="13.296875" style="19" customWidth="1"/>
    <col min="4489" max="4491" width="12.796875" style="19" customWidth="1"/>
    <col min="4492" max="4492" width="9.296875" style="19"/>
    <col min="4493" max="4493" width="11.796875" style="19" customWidth="1"/>
    <col min="4494" max="4504" width="9.296875" style="19"/>
    <col min="4505" max="4505" width="11.296875" style="19" customWidth="1"/>
    <col min="4506" max="4506" width="13.296875" style="19" customWidth="1"/>
    <col min="4507" max="4507" width="16.09765625" style="19" customWidth="1"/>
    <col min="4508" max="4508" width="10.296875" style="19" customWidth="1"/>
    <col min="4509" max="4509" width="12.796875" style="19" customWidth="1"/>
    <col min="4510" max="4510" width="14.296875" style="19" customWidth="1"/>
    <col min="4511" max="4511" width="10.796875" style="19" customWidth="1"/>
    <col min="4512" max="4512" width="11.796875" style="19" customWidth="1"/>
    <col min="4513" max="4513" width="17.59765625" style="19" customWidth="1"/>
    <col min="4514" max="4726" width="9.296875" style="19"/>
    <col min="4727" max="4727" width="7.296875" style="19" customWidth="1"/>
    <col min="4728" max="4729" width="20.296875" style="19" customWidth="1"/>
    <col min="4730" max="4732" width="15.296875" style="19" customWidth="1"/>
    <col min="4733" max="4733" width="9.296875" style="19"/>
    <col min="4734" max="4734" width="15.296875" style="19" customWidth="1"/>
    <col min="4735" max="4735" width="10.296875" style="19" customWidth="1"/>
    <col min="4736" max="4736" width="12.796875" style="19" customWidth="1"/>
    <col min="4737" max="4737" width="17.296875" style="19" customWidth="1"/>
    <col min="4738" max="4743" width="9.296875" style="19"/>
    <col min="4744" max="4744" width="13.296875" style="19" customWidth="1"/>
    <col min="4745" max="4747" width="12.796875" style="19" customWidth="1"/>
    <col min="4748" max="4748" width="9.296875" style="19"/>
    <col min="4749" max="4749" width="11.796875" style="19" customWidth="1"/>
    <col min="4750" max="4760" width="9.296875" style="19"/>
    <col min="4761" max="4761" width="11.296875" style="19" customWidth="1"/>
    <col min="4762" max="4762" width="13.296875" style="19" customWidth="1"/>
    <col min="4763" max="4763" width="16.09765625" style="19" customWidth="1"/>
    <col min="4764" max="4764" width="10.296875" style="19" customWidth="1"/>
    <col min="4765" max="4765" width="12.796875" style="19" customWidth="1"/>
    <col min="4766" max="4766" width="14.296875" style="19" customWidth="1"/>
    <col min="4767" max="4767" width="10.796875" style="19" customWidth="1"/>
    <col min="4768" max="4768" width="11.796875" style="19" customWidth="1"/>
    <col min="4769" max="4769" width="17.59765625" style="19" customWidth="1"/>
    <col min="4770" max="4982" width="9.296875" style="19"/>
    <col min="4983" max="4983" width="7.296875" style="19" customWidth="1"/>
    <col min="4984" max="4985" width="20.296875" style="19" customWidth="1"/>
    <col min="4986" max="4988" width="15.296875" style="19" customWidth="1"/>
    <col min="4989" max="4989" width="9.296875" style="19"/>
    <col min="4990" max="4990" width="15.296875" style="19" customWidth="1"/>
    <col min="4991" max="4991" width="10.296875" style="19" customWidth="1"/>
    <col min="4992" max="4992" width="12.796875" style="19" customWidth="1"/>
    <col min="4993" max="4993" width="17.296875" style="19" customWidth="1"/>
    <col min="4994" max="4999" width="9.296875" style="19"/>
    <col min="5000" max="5000" width="13.296875" style="19" customWidth="1"/>
    <col min="5001" max="5003" width="12.796875" style="19" customWidth="1"/>
    <col min="5004" max="5004" width="9.296875" style="19"/>
    <col min="5005" max="5005" width="11.796875" style="19" customWidth="1"/>
    <col min="5006" max="5016" width="9.296875" style="19"/>
    <col min="5017" max="5017" width="11.296875" style="19" customWidth="1"/>
    <col min="5018" max="5018" width="13.296875" style="19" customWidth="1"/>
    <col min="5019" max="5019" width="16.09765625" style="19" customWidth="1"/>
    <col min="5020" max="5020" width="10.296875" style="19" customWidth="1"/>
    <col min="5021" max="5021" width="12.796875" style="19" customWidth="1"/>
    <col min="5022" max="5022" width="14.296875" style="19" customWidth="1"/>
    <col min="5023" max="5023" width="10.796875" style="19" customWidth="1"/>
    <col min="5024" max="5024" width="11.796875" style="19" customWidth="1"/>
    <col min="5025" max="5025" width="17.59765625" style="19" customWidth="1"/>
    <col min="5026" max="5238" width="9.296875" style="19"/>
    <col min="5239" max="5239" width="7.296875" style="19" customWidth="1"/>
    <col min="5240" max="5241" width="20.296875" style="19" customWidth="1"/>
    <col min="5242" max="5244" width="15.296875" style="19" customWidth="1"/>
    <col min="5245" max="5245" width="9.296875" style="19"/>
    <col min="5246" max="5246" width="15.296875" style="19" customWidth="1"/>
    <col min="5247" max="5247" width="10.296875" style="19" customWidth="1"/>
    <col min="5248" max="5248" width="12.796875" style="19" customWidth="1"/>
    <col min="5249" max="5249" width="17.296875" style="19" customWidth="1"/>
    <col min="5250" max="5255" width="9.296875" style="19"/>
    <col min="5256" max="5256" width="13.296875" style="19" customWidth="1"/>
    <col min="5257" max="5259" width="12.796875" style="19" customWidth="1"/>
    <col min="5260" max="5260" width="9.296875" style="19"/>
    <col min="5261" max="5261" width="11.796875" style="19" customWidth="1"/>
    <col min="5262" max="5272" width="9.296875" style="19"/>
    <col min="5273" max="5273" width="11.296875" style="19" customWidth="1"/>
    <col min="5274" max="5274" width="13.296875" style="19" customWidth="1"/>
    <col min="5275" max="5275" width="16.09765625" style="19" customWidth="1"/>
    <col min="5276" max="5276" width="10.296875" style="19" customWidth="1"/>
    <col min="5277" max="5277" width="12.796875" style="19" customWidth="1"/>
    <col min="5278" max="5278" width="14.296875" style="19" customWidth="1"/>
    <col min="5279" max="5279" width="10.796875" style="19" customWidth="1"/>
    <col min="5280" max="5280" width="11.796875" style="19" customWidth="1"/>
    <col min="5281" max="5281" width="17.59765625" style="19" customWidth="1"/>
    <col min="5282" max="5494" width="9.296875" style="19"/>
    <col min="5495" max="5495" width="7.296875" style="19" customWidth="1"/>
    <col min="5496" max="5497" width="20.296875" style="19" customWidth="1"/>
    <col min="5498" max="5500" width="15.296875" style="19" customWidth="1"/>
    <col min="5501" max="5501" width="9.296875" style="19"/>
    <col min="5502" max="5502" width="15.296875" style="19" customWidth="1"/>
    <col min="5503" max="5503" width="10.296875" style="19" customWidth="1"/>
    <col min="5504" max="5504" width="12.796875" style="19" customWidth="1"/>
    <col min="5505" max="5505" width="17.296875" style="19" customWidth="1"/>
    <col min="5506" max="5511" width="9.296875" style="19"/>
    <col min="5512" max="5512" width="13.296875" style="19" customWidth="1"/>
    <col min="5513" max="5515" width="12.796875" style="19" customWidth="1"/>
    <col min="5516" max="5516" width="9.296875" style="19"/>
    <col min="5517" max="5517" width="11.796875" style="19" customWidth="1"/>
    <col min="5518" max="5528" width="9.296875" style="19"/>
    <col min="5529" max="5529" width="11.296875" style="19" customWidth="1"/>
    <col min="5530" max="5530" width="13.296875" style="19" customWidth="1"/>
    <col min="5531" max="5531" width="16.09765625" style="19" customWidth="1"/>
    <col min="5532" max="5532" width="10.296875" style="19" customWidth="1"/>
    <col min="5533" max="5533" width="12.796875" style="19" customWidth="1"/>
    <col min="5534" max="5534" width="14.296875" style="19" customWidth="1"/>
    <col min="5535" max="5535" width="10.796875" style="19" customWidth="1"/>
    <col min="5536" max="5536" width="11.796875" style="19" customWidth="1"/>
    <col min="5537" max="5537" width="17.59765625" style="19" customWidth="1"/>
    <col min="5538" max="5750" width="9.296875" style="19"/>
    <col min="5751" max="5751" width="7.296875" style="19" customWidth="1"/>
    <col min="5752" max="5753" width="20.296875" style="19" customWidth="1"/>
    <col min="5754" max="5756" width="15.296875" style="19" customWidth="1"/>
    <col min="5757" max="5757" width="9.296875" style="19"/>
    <col min="5758" max="5758" width="15.296875" style="19" customWidth="1"/>
    <col min="5759" max="5759" width="10.296875" style="19" customWidth="1"/>
    <col min="5760" max="5760" width="12.796875" style="19" customWidth="1"/>
    <col min="5761" max="5761" width="17.296875" style="19" customWidth="1"/>
    <col min="5762" max="5767" width="9.296875" style="19"/>
    <col min="5768" max="5768" width="13.296875" style="19" customWidth="1"/>
    <col min="5769" max="5771" width="12.796875" style="19" customWidth="1"/>
    <col min="5772" max="5772" width="9.296875" style="19"/>
    <col min="5773" max="5773" width="11.796875" style="19" customWidth="1"/>
    <col min="5774" max="5784" width="9.296875" style="19"/>
    <col min="5785" max="5785" width="11.296875" style="19" customWidth="1"/>
    <col min="5786" max="5786" width="13.296875" style="19" customWidth="1"/>
    <col min="5787" max="5787" width="16.09765625" style="19" customWidth="1"/>
    <col min="5788" max="5788" width="10.296875" style="19" customWidth="1"/>
    <col min="5789" max="5789" width="12.796875" style="19" customWidth="1"/>
    <col min="5790" max="5790" width="14.296875" style="19" customWidth="1"/>
    <col min="5791" max="5791" width="10.796875" style="19" customWidth="1"/>
    <col min="5792" max="5792" width="11.796875" style="19" customWidth="1"/>
    <col min="5793" max="5793" width="17.59765625" style="19" customWidth="1"/>
    <col min="5794" max="6006" width="9.296875" style="19"/>
    <col min="6007" max="6007" width="7.296875" style="19" customWidth="1"/>
    <col min="6008" max="6009" width="20.296875" style="19" customWidth="1"/>
    <col min="6010" max="6012" width="15.296875" style="19" customWidth="1"/>
    <col min="6013" max="6013" width="9.296875" style="19"/>
    <col min="6014" max="6014" width="15.296875" style="19" customWidth="1"/>
    <col min="6015" max="6015" width="10.296875" style="19" customWidth="1"/>
    <col min="6016" max="6016" width="12.796875" style="19" customWidth="1"/>
    <col min="6017" max="6017" width="17.296875" style="19" customWidth="1"/>
    <col min="6018" max="6023" width="9.296875" style="19"/>
    <col min="6024" max="6024" width="13.296875" style="19" customWidth="1"/>
    <col min="6025" max="6027" width="12.796875" style="19" customWidth="1"/>
    <col min="6028" max="6028" width="9.296875" style="19"/>
    <col min="6029" max="6029" width="11.796875" style="19" customWidth="1"/>
    <col min="6030" max="6040" width="9.296875" style="19"/>
    <col min="6041" max="6041" width="11.296875" style="19" customWidth="1"/>
    <col min="6042" max="6042" width="13.296875" style="19" customWidth="1"/>
    <col min="6043" max="6043" width="16.09765625" style="19" customWidth="1"/>
    <col min="6044" max="6044" width="10.296875" style="19" customWidth="1"/>
    <col min="6045" max="6045" width="12.796875" style="19" customWidth="1"/>
    <col min="6046" max="6046" width="14.296875" style="19" customWidth="1"/>
    <col min="6047" max="6047" width="10.796875" style="19" customWidth="1"/>
    <col min="6048" max="6048" width="11.796875" style="19" customWidth="1"/>
    <col min="6049" max="6049" width="17.59765625" style="19" customWidth="1"/>
    <col min="6050" max="6262" width="9.296875" style="19"/>
    <col min="6263" max="6263" width="7.296875" style="19" customWidth="1"/>
    <col min="6264" max="6265" width="20.296875" style="19" customWidth="1"/>
    <col min="6266" max="6268" width="15.296875" style="19" customWidth="1"/>
    <col min="6269" max="6269" width="9.296875" style="19"/>
    <col min="6270" max="6270" width="15.296875" style="19" customWidth="1"/>
    <col min="6271" max="6271" width="10.296875" style="19" customWidth="1"/>
    <col min="6272" max="6272" width="12.796875" style="19" customWidth="1"/>
    <col min="6273" max="6273" width="17.296875" style="19" customWidth="1"/>
    <col min="6274" max="6279" width="9.296875" style="19"/>
    <col min="6280" max="6280" width="13.296875" style="19" customWidth="1"/>
    <col min="6281" max="6283" width="12.796875" style="19" customWidth="1"/>
    <col min="6284" max="6284" width="9.296875" style="19"/>
    <col min="6285" max="6285" width="11.796875" style="19" customWidth="1"/>
    <col min="6286" max="6296" width="9.296875" style="19"/>
    <col min="6297" max="6297" width="11.296875" style="19" customWidth="1"/>
    <col min="6298" max="6298" width="13.296875" style="19" customWidth="1"/>
    <col min="6299" max="6299" width="16.09765625" style="19" customWidth="1"/>
    <col min="6300" max="6300" width="10.296875" style="19" customWidth="1"/>
    <col min="6301" max="6301" width="12.796875" style="19" customWidth="1"/>
    <col min="6302" max="6302" width="14.296875" style="19" customWidth="1"/>
    <col min="6303" max="6303" width="10.796875" style="19" customWidth="1"/>
    <col min="6304" max="6304" width="11.796875" style="19" customWidth="1"/>
    <col min="6305" max="6305" width="17.59765625" style="19" customWidth="1"/>
    <col min="6306" max="6518" width="9.296875" style="19"/>
    <col min="6519" max="6519" width="7.296875" style="19" customWidth="1"/>
    <col min="6520" max="6521" width="20.296875" style="19" customWidth="1"/>
    <col min="6522" max="6524" width="15.296875" style="19" customWidth="1"/>
    <col min="6525" max="6525" width="9.296875" style="19"/>
    <col min="6526" max="6526" width="15.296875" style="19" customWidth="1"/>
    <col min="6527" max="6527" width="10.296875" style="19" customWidth="1"/>
    <col min="6528" max="6528" width="12.796875" style="19" customWidth="1"/>
    <col min="6529" max="6529" width="17.296875" style="19" customWidth="1"/>
    <col min="6530" max="6535" width="9.296875" style="19"/>
    <col min="6536" max="6536" width="13.296875" style="19" customWidth="1"/>
    <col min="6537" max="6539" width="12.796875" style="19" customWidth="1"/>
    <col min="6540" max="6540" width="9.296875" style="19"/>
    <col min="6541" max="6541" width="11.796875" style="19" customWidth="1"/>
    <col min="6542" max="6552" width="9.296875" style="19"/>
    <col min="6553" max="6553" width="11.296875" style="19" customWidth="1"/>
    <col min="6554" max="6554" width="13.296875" style="19" customWidth="1"/>
    <col min="6555" max="6555" width="16.09765625" style="19" customWidth="1"/>
    <col min="6556" max="6556" width="10.296875" style="19" customWidth="1"/>
    <col min="6557" max="6557" width="12.796875" style="19" customWidth="1"/>
    <col min="6558" max="6558" width="14.296875" style="19" customWidth="1"/>
    <col min="6559" max="6559" width="10.796875" style="19" customWidth="1"/>
    <col min="6560" max="6560" width="11.796875" style="19" customWidth="1"/>
    <col min="6561" max="6561" width="17.59765625" style="19" customWidth="1"/>
    <col min="6562" max="6774" width="9.296875" style="19"/>
    <col min="6775" max="6775" width="7.296875" style="19" customWidth="1"/>
    <col min="6776" max="6777" width="20.296875" style="19" customWidth="1"/>
    <col min="6778" max="6780" width="15.296875" style="19" customWidth="1"/>
    <col min="6781" max="6781" width="9.296875" style="19"/>
    <col min="6782" max="6782" width="15.296875" style="19" customWidth="1"/>
    <col min="6783" max="6783" width="10.296875" style="19" customWidth="1"/>
    <col min="6784" max="6784" width="12.796875" style="19" customWidth="1"/>
    <col min="6785" max="6785" width="17.296875" style="19" customWidth="1"/>
    <col min="6786" max="6791" width="9.296875" style="19"/>
    <col min="6792" max="6792" width="13.296875" style="19" customWidth="1"/>
    <col min="6793" max="6795" width="12.796875" style="19" customWidth="1"/>
    <col min="6796" max="6796" width="9.296875" style="19"/>
    <col min="6797" max="6797" width="11.796875" style="19" customWidth="1"/>
    <col min="6798" max="6808" width="9.296875" style="19"/>
    <col min="6809" max="6809" width="11.296875" style="19" customWidth="1"/>
    <col min="6810" max="6810" width="13.296875" style="19" customWidth="1"/>
    <col min="6811" max="6811" width="16.09765625" style="19" customWidth="1"/>
    <col min="6812" max="6812" width="10.296875" style="19" customWidth="1"/>
    <col min="6813" max="6813" width="12.796875" style="19" customWidth="1"/>
    <col min="6814" max="6814" width="14.296875" style="19" customWidth="1"/>
    <col min="6815" max="6815" width="10.796875" style="19" customWidth="1"/>
    <col min="6816" max="6816" width="11.796875" style="19" customWidth="1"/>
    <col min="6817" max="6817" width="17.59765625" style="19" customWidth="1"/>
    <col min="6818" max="7030" width="9.296875" style="19"/>
    <col min="7031" max="7031" width="7.296875" style="19" customWidth="1"/>
    <col min="7032" max="7033" width="20.296875" style="19" customWidth="1"/>
    <col min="7034" max="7036" width="15.296875" style="19" customWidth="1"/>
    <col min="7037" max="7037" width="9.296875" style="19"/>
    <col min="7038" max="7038" width="15.296875" style="19" customWidth="1"/>
    <col min="7039" max="7039" width="10.296875" style="19" customWidth="1"/>
    <col min="7040" max="7040" width="12.796875" style="19" customWidth="1"/>
    <col min="7041" max="7041" width="17.296875" style="19" customWidth="1"/>
    <col min="7042" max="7047" width="9.296875" style="19"/>
    <col min="7048" max="7048" width="13.296875" style="19" customWidth="1"/>
    <col min="7049" max="7051" width="12.796875" style="19" customWidth="1"/>
    <col min="7052" max="7052" width="9.296875" style="19"/>
    <col min="7053" max="7053" width="11.796875" style="19" customWidth="1"/>
    <col min="7054" max="7064" width="9.296875" style="19"/>
    <col min="7065" max="7065" width="11.296875" style="19" customWidth="1"/>
    <col min="7066" max="7066" width="13.296875" style="19" customWidth="1"/>
    <col min="7067" max="7067" width="16.09765625" style="19" customWidth="1"/>
    <col min="7068" max="7068" width="10.296875" style="19" customWidth="1"/>
    <col min="7069" max="7069" width="12.796875" style="19" customWidth="1"/>
    <col min="7070" max="7070" width="14.296875" style="19" customWidth="1"/>
    <col min="7071" max="7071" width="10.796875" style="19" customWidth="1"/>
    <col min="7072" max="7072" width="11.796875" style="19" customWidth="1"/>
    <col min="7073" max="7073" width="17.59765625" style="19" customWidth="1"/>
    <col min="7074" max="7286" width="9.296875" style="19"/>
    <col min="7287" max="7287" width="7.296875" style="19" customWidth="1"/>
    <col min="7288" max="7289" width="20.296875" style="19" customWidth="1"/>
    <col min="7290" max="7292" width="15.296875" style="19" customWidth="1"/>
    <col min="7293" max="7293" width="9.296875" style="19"/>
    <col min="7294" max="7294" width="15.296875" style="19" customWidth="1"/>
    <col min="7295" max="7295" width="10.296875" style="19" customWidth="1"/>
    <col min="7296" max="7296" width="12.796875" style="19" customWidth="1"/>
    <col min="7297" max="7297" width="17.296875" style="19" customWidth="1"/>
    <col min="7298" max="7303" width="9.296875" style="19"/>
    <col min="7304" max="7304" width="13.296875" style="19" customWidth="1"/>
    <col min="7305" max="7307" width="12.796875" style="19" customWidth="1"/>
    <col min="7308" max="7308" width="9.296875" style="19"/>
    <col min="7309" max="7309" width="11.796875" style="19" customWidth="1"/>
    <col min="7310" max="7320" width="9.296875" style="19"/>
    <col min="7321" max="7321" width="11.296875" style="19" customWidth="1"/>
    <col min="7322" max="7322" width="13.296875" style="19" customWidth="1"/>
    <col min="7323" max="7323" width="16.09765625" style="19" customWidth="1"/>
    <col min="7324" max="7324" width="10.296875" style="19" customWidth="1"/>
    <col min="7325" max="7325" width="12.796875" style="19" customWidth="1"/>
    <col min="7326" max="7326" width="14.296875" style="19" customWidth="1"/>
    <col min="7327" max="7327" width="10.796875" style="19" customWidth="1"/>
    <col min="7328" max="7328" width="11.796875" style="19" customWidth="1"/>
    <col min="7329" max="7329" width="17.59765625" style="19" customWidth="1"/>
    <col min="7330" max="7542" width="9.296875" style="19"/>
    <col min="7543" max="7543" width="7.296875" style="19" customWidth="1"/>
    <col min="7544" max="7545" width="20.296875" style="19" customWidth="1"/>
    <col min="7546" max="7548" width="15.296875" style="19" customWidth="1"/>
    <col min="7549" max="7549" width="9.296875" style="19"/>
    <col min="7550" max="7550" width="15.296875" style="19" customWidth="1"/>
    <col min="7551" max="7551" width="10.296875" style="19" customWidth="1"/>
    <col min="7552" max="7552" width="12.796875" style="19" customWidth="1"/>
    <col min="7553" max="7553" width="17.296875" style="19" customWidth="1"/>
    <col min="7554" max="7559" width="9.296875" style="19"/>
    <col min="7560" max="7560" width="13.296875" style="19" customWidth="1"/>
    <col min="7561" max="7563" width="12.796875" style="19" customWidth="1"/>
    <col min="7564" max="7564" width="9.296875" style="19"/>
    <col min="7565" max="7565" width="11.796875" style="19" customWidth="1"/>
    <col min="7566" max="7576" width="9.296875" style="19"/>
    <col min="7577" max="7577" width="11.296875" style="19" customWidth="1"/>
    <col min="7578" max="7578" width="13.296875" style="19" customWidth="1"/>
    <col min="7579" max="7579" width="16.09765625" style="19" customWidth="1"/>
    <col min="7580" max="7580" width="10.296875" style="19" customWidth="1"/>
    <col min="7581" max="7581" width="12.796875" style="19" customWidth="1"/>
    <col min="7582" max="7582" width="14.296875" style="19" customWidth="1"/>
    <col min="7583" max="7583" width="10.796875" style="19" customWidth="1"/>
    <col min="7584" max="7584" width="11.796875" style="19" customWidth="1"/>
    <col min="7585" max="7585" width="17.59765625" style="19" customWidth="1"/>
    <col min="7586" max="7798" width="9.296875" style="19"/>
    <col min="7799" max="7799" width="7.296875" style="19" customWidth="1"/>
    <col min="7800" max="7801" width="20.296875" style="19" customWidth="1"/>
    <col min="7802" max="7804" width="15.296875" style="19" customWidth="1"/>
    <col min="7805" max="7805" width="9.296875" style="19"/>
    <col min="7806" max="7806" width="15.296875" style="19" customWidth="1"/>
    <col min="7807" max="7807" width="10.296875" style="19" customWidth="1"/>
    <col min="7808" max="7808" width="12.796875" style="19" customWidth="1"/>
    <col min="7809" max="7809" width="17.296875" style="19" customWidth="1"/>
    <col min="7810" max="7815" width="9.296875" style="19"/>
    <col min="7816" max="7816" width="13.296875" style="19" customWidth="1"/>
    <col min="7817" max="7819" width="12.796875" style="19" customWidth="1"/>
    <col min="7820" max="7820" width="9.296875" style="19"/>
    <col min="7821" max="7821" width="11.796875" style="19" customWidth="1"/>
    <col min="7822" max="7832" width="9.296875" style="19"/>
    <col min="7833" max="7833" width="11.296875" style="19" customWidth="1"/>
    <col min="7834" max="7834" width="13.296875" style="19" customWidth="1"/>
    <col min="7835" max="7835" width="16.09765625" style="19" customWidth="1"/>
    <col min="7836" max="7836" width="10.296875" style="19" customWidth="1"/>
    <col min="7837" max="7837" width="12.796875" style="19" customWidth="1"/>
    <col min="7838" max="7838" width="14.296875" style="19" customWidth="1"/>
    <col min="7839" max="7839" width="10.796875" style="19" customWidth="1"/>
    <col min="7840" max="7840" width="11.796875" style="19" customWidth="1"/>
    <col min="7841" max="7841" width="17.59765625" style="19" customWidth="1"/>
    <col min="7842" max="8054" width="9.296875" style="19"/>
    <col min="8055" max="8055" width="7.296875" style="19" customWidth="1"/>
    <col min="8056" max="8057" width="20.296875" style="19" customWidth="1"/>
    <col min="8058" max="8060" width="15.296875" style="19" customWidth="1"/>
    <col min="8061" max="8061" width="9.296875" style="19"/>
    <col min="8062" max="8062" width="15.296875" style="19" customWidth="1"/>
    <col min="8063" max="8063" width="10.296875" style="19" customWidth="1"/>
    <col min="8064" max="8064" width="12.796875" style="19" customWidth="1"/>
    <col min="8065" max="8065" width="17.296875" style="19" customWidth="1"/>
    <col min="8066" max="8071" width="9.296875" style="19"/>
    <col min="8072" max="8072" width="13.296875" style="19" customWidth="1"/>
    <col min="8073" max="8075" width="12.796875" style="19" customWidth="1"/>
    <col min="8076" max="8076" width="9.296875" style="19"/>
    <col min="8077" max="8077" width="11.796875" style="19" customWidth="1"/>
    <col min="8078" max="8088" width="9.296875" style="19"/>
    <col min="8089" max="8089" width="11.296875" style="19" customWidth="1"/>
    <col min="8090" max="8090" width="13.296875" style="19" customWidth="1"/>
    <col min="8091" max="8091" width="16.09765625" style="19" customWidth="1"/>
    <col min="8092" max="8092" width="10.296875" style="19" customWidth="1"/>
    <col min="8093" max="8093" width="12.796875" style="19" customWidth="1"/>
    <col min="8094" max="8094" width="14.296875" style="19" customWidth="1"/>
    <col min="8095" max="8095" width="10.796875" style="19" customWidth="1"/>
    <col min="8096" max="8096" width="11.796875" style="19" customWidth="1"/>
    <col min="8097" max="8097" width="17.59765625" style="19" customWidth="1"/>
    <col min="8098" max="8310" width="9.296875" style="19"/>
    <col min="8311" max="8311" width="7.296875" style="19" customWidth="1"/>
    <col min="8312" max="8313" width="20.296875" style="19" customWidth="1"/>
    <col min="8314" max="8316" width="15.296875" style="19" customWidth="1"/>
    <col min="8317" max="8317" width="9.296875" style="19"/>
    <col min="8318" max="8318" width="15.296875" style="19" customWidth="1"/>
    <col min="8319" max="8319" width="10.296875" style="19" customWidth="1"/>
    <col min="8320" max="8320" width="12.796875" style="19" customWidth="1"/>
    <col min="8321" max="8321" width="17.296875" style="19" customWidth="1"/>
    <col min="8322" max="8327" width="9.296875" style="19"/>
    <col min="8328" max="8328" width="13.296875" style="19" customWidth="1"/>
    <col min="8329" max="8331" width="12.796875" style="19" customWidth="1"/>
    <col min="8332" max="8332" width="9.296875" style="19"/>
    <col min="8333" max="8333" width="11.796875" style="19" customWidth="1"/>
    <col min="8334" max="8344" width="9.296875" style="19"/>
    <col min="8345" max="8345" width="11.296875" style="19" customWidth="1"/>
    <col min="8346" max="8346" width="13.296875" style="19" customWidth="1"/>
    <col min="8347" max="8347" width="16.09765625" style="19" customWidth="1"/>
    <col min="8348" max="8348" width="10.296875" style="19" customWidth="1"/>
    <col min="8349" max="8349" width="12.796875" style="19" customWidth="1"/>
    <col min="8350" max="8350" width="14.296875" style="19" customWidth="1"/>
    <col min="8351" max="8351" width="10.796875" style="19" customWidth="1"/>
    <col min="8352" max="8352" width="11.796875" style="19" customWidth="1"/>
    <col min="8353" max="8353" width="17.59765625" style="19" customWidth="1"/>
    <col min="8354" max="8566" width="9.296875" style="19"/>
    <col min="8567" max="8567" width="7.296875" style="19" customWidth="1"/>
    <col min="8568" max="8569" width="20.296875" style="19" customWidth="1"/>
    <col min="8570" max="8572" width="15.296875" style="19" customWidth="1"/>
    <col min="8573" max="8573" width="9.296875" style="19"/>
    <col min="8574" max="8574" width="15.296875" style="19" customWidth="1"/>
    <col min="8575" max="8575" width="10.296875" style="19" customWidth="1"/>
    <col min="8576" max="8576" width="12.796875" style="19" customWidth="1"/>
    <col min="8577" max="8577" width="17.296875" style="19" customWidth="1"/>
    <col min="8578" max="8583" width="9.296875" style="19"/>
    <col min="8584" max="8584" width="13.296875" style="19" customWidth="1"/>
    <col min="8585" max="8587" width="12.796875" style="19" customWidth="1"/>
    <col min="8588" max="8588" width="9.296875" style="19"/>
    <col min="8589" max="8589" width="11.796875" style="19" customWidth="1"/>
    <col min="8590" max="8600" width="9.296875" style="19"/>
    <col min="8601" max="8601" width="11.296875" style="19" customWidth="1"/>
    <col min="8602" max="8602" width="13.296875" style="19" customWidth="1"/>
    <col min="8603" max="8603" width="16.09765625" style="19" customWidth="1"/>
    <col min="8604" max="8604" width="10.296875" style="19" customWidth="1"/>
    <col min="8605" max="8605" width="12.796875" style="19" customWidth="1"/>
    <col min="8606" max="8606" width="14.296875" style="19" customWidth="1"/>
    <col min="8607" max="8607" width="10.796875" style="19" customWidth="1"/>
    <col min="8608" max="8608" width="11.796875" style="19" customWidth="1"/>
    <col min="8609" max="8609" width="17.59765625" style="19" customWidth="1"/>
    <col min="8610" max="8822" width="9.296875" style="19"/>
    <col min="8823" max="8823" width="7.296875" style="19" customWidth="1"/>
    <col min="8824" max="8825" width="20.296875" style="19" customWidth="1"/>
    <col min="8826" max="8828" width="15.296875" style="19" customWidth="1"/>
    <col min="8829" max="8829" width="9.296875" style="19"/>
    <col min="8830" max="8830" width="15.296875" style="19" customWidth="1"/>
    <col min="8831" max="8831" width="10.296875" style="19" customWidth="1"/>
    <col min="8832" max="8832" width="12.796875" style="19" customWidth="1"/>
    <col min="8833" max="8833" width="17.296875" style="19" customWidth="1"/>
    <col min="8834" max="8839" width="9.296875" style="19"/>
    <col min="8840" max="8840" width="13.296875" style="19" customWidth="1"/>
    <col min="8841" max="8843" width="12.796875" style="19" customWidth="1"/>
    <col min="8844" max="8844" width="9.296875" style="19"/>
    <col min="8845" max="8845" width="11.796875" style="19" customWidth="1"/>
    <col min="8846" max="8856" width="9.296875" style="19"/>
    <col min="8857" max="8857" width="11.296875" style="19" customWidth="1"/>
    <col min="8858" max="8858" width="13.296875" style="19" customWidth="1"/>
    <col min="8859" max="8859" width="16.09765625" style="19" customWidth="1"/>
    <col min="8860" max="8860" width="10.296875" style="19" customWidth="1"/>
    <col min="8861" max="8861" width="12.796875" style="19" customWidth="1"/>
    <col min="8862" max="8862" width="14.296875" style="19" customWidth="1"/>
    <col min="8863" max="8863" width="10.796875" style="19" customWidth="1"/>
    <col min="8864" max="8864" width="11.796875" style="19" customWidth="1"/>
    <col min="8865" max="8865" width="17.59765625" style="19" customWidth="1"/>
    <col min="8866" max="9078" width="9.296875" style="19"/>
    <col min="9079" max="9079" width="7.296875" style="19" customWidth="1"/>
    <col min="9080" max="9081" width="20.296875" style="19" customWidth="1"/>
    <col min="9082" max="9084" width="15.296875" style="19" customWidth="1"/>
    <col min="9085" max="9085" width="9.296875" style="19"/>
    <col min="9086" max="9086" width="15.296875" style="19" customWidth="1"/>
    <col min="9087" max="9087" width="10.296875" style="19" customWidth="1"/>
    <col min="9088" max="9088" width="12.796875" style="19" customWidth="1"/>
    <col min="9089" max="9089" width="17.296875" style="19" customWidth="1"/>
    <col min="9090" max="9095" width="9.296875" style="19"/>
    <col min="9096" max="9096" width="13.296875" style="19" customWidth="1"/>
    <col min="9097" max="9099" width="12.796875" style="19" customWidth="1"/>
    <col min="9100" max="9100" width="9.296875" style="19"/>
    <col min="9101" max="9101" width="11.796875" style="19" customWidth="1"/>
    <col min="9102" max="9112" width="9.296875" style="19"/>
    <col min="9113" max="9113" width="11.296875" style="19" customWidth="1"/>
    <col min="9114" max="9114" width="13.296875" style="19" customWidth="1"/>
    <col min="9115" max="9115" width="16.09765625" style="19" customWidth="1"/>
    <col min="9116" max="9116" width="10.296875" style="19" customWidth="1"/>
    <col min="9117" max="9117" width="12.796875" style="19" customWidth="1"/>
    <col min="9118" max="9118" width="14.296875" style="19" customWidth="1"/>
    <col min="9119" max="9119" width="10.796875" style="19" customWidth="1"/>
    <col min="9120" max="9120" width="11.796875" style="19" customWidth="1"/>
    <col min="9121" max="9121" width="17.59765625" style="19" customWidth="1"/>
    <col min="9122" max="9334" width="9.296875" style="19"/>
    <col min="9335" max="9335" width="7.296875" style="19" customWidth="1"/>
    <col min="9336" max="9337" width="20.296875" style="19" customWidth="1"/>
    <col min="9338" max="9340" width="15.296875" style="19" customWidth="1"/>
    <col min="9341" max="9341" width="9.296875" style="19"/>
    <col min="9342" max="9342" width="15.296875" style="19" customWidth="1"/>
    <col min="9343" max="9343" width="10.296875" style="19" customWidth="1"/>
    <col min="9344" max="9344" width="12.796875" style="19" customWidth="1"/>
    <col min="9345" max="9345" width="17.296875" style="19" customWidth="1"/>
    <col min="9346" max="9351" width="9.296875" style="19"/>
    <col min="9352" max="9352" width="13.296875" style="19" customWidth="1"/>
    <col min="9353" max="9355" width="12.796875" style="19" customWidth="1"/>
    <col min="9356" max="9356" width="9.296875" style="19"/>
    <col min="9357" max="9357" width="11.796875" style="19" customWidth="1"/>
    <col min="9358" max="9368" width="9.296875" style="19"/>
    <col min="9369" max="9369" width="11.296875" style="19" customWidth="1"/>
    <col min="9370" max="9370" width="13.296875" style="19" customWidth="1"/>
    <col min="9371" max="9371" width="16.09765625" style="19" customWidth="1"/>
    <col min="9372" max="9372" width="10.296875" style="19" customWidth="1"/>
    <col min="9373" max="9373" width="12.796875" style="19" customWidth="1"/>
    <col min="9374" max="9374" width="14.296875" style="19" customWidth="1"/>
    <col min="9375" max="9375" width="10.796875" style="19" customWidth="1"/>
    <col min="9376" max="9376" width="11.796875" style="19" customWidth="1"/>
    <col min="9377" max="9377" width="17.59765625" style="19" customWidth="1"/>
    <col min="9378" max="9590" width="9.296875" style="19"/>
    <col min="9591" max="9591" width="7.296875" style="19" customWidth="1"/>
    <col min="9592" max="9593" width="20.296875" style="19" customWidth="1"/>
    <col min="9594" max="9596" width="15.296875" style="19" customWidth="1"/>
    <col min="9597" max="9597" width="9.296875" style="19"/>
    <col min="9598" max="9598" width="15.296875" style="19" customWidth="1"/>
    <col min="9599" max="9599" width="10.296875" style="19" customWidth="1"/>
    <col min="9600" max="9600" width="12.796875" style="19" customWidth="1"/>
    <col min="9601" max="9601" width="17.296875" style="19" customWidth="1"/>
    <col min="9602" max="9607" width="9.296875" style="19"/>
    <col min="9608" max="9608" width="13.296875" style="19" customWidth="1"/>
    <col min="9609" max="9611" width="12.796875" style="19" customWidth="1"/>
    <col min="9612" max="9612" width="9.296875" style="19"/>
    <col min="9613" max="9613" width="11.796875" style="19" customWidth="1"/>
    <col min="9614" max="9624" width="9.296875" style="19"/>
    <col min="9625" max="9625" width="11.296875" style="19" customWidth="1"/>
    <col min="9626" max="9626" width="13.296875" style="19" customWidth="1"/>
    <col min="9627" max="9627" width="16.09765625" style="19" customWidth="1"/>
    <col min="9628" max="9628" width="10.296875" style="19" customWidth="1"/>
    <col min="9629" max="9629" width="12.796875" style="19" customWidth="1"/>
    <col min="9630" max="9630" width="14.296875" style="19" customWidth="1"/>
    <col min="9631" max="9631" width="10.796875" style="19" customWidth="1"/>
    <col min="9632" max="9632" width="11.796875" style="19" customWidth="1"/>
    <col min="9633" max="9633" width="17.59765625" style="19" customWidth="1"/>
    <col min="9634" max="9846" width="9.296875" style="19"/>
    <col min="9847" max="9847" width="7.296875" style="19" customWidth="1"/>
    <col min="9848" max="9849" width="20.296875" style="19" customWidth="1"/>
    <col min="9850" max="9852" width="15.296875" style="19" customWidth="1"/>
    <col min="9853" max="9853" width="9.296875" style="19"/>
    <col min="9854" max="9854" width="15.296875" style="19" customWidth="1"/>
    <col min="9855" max="9855" width="10.296875" style="19" customWidth="1"/>
    <col min="9856" max="9856" width="12.796875" style="19" customWidth="1"/>
    <col min="9857" max="9857" width="17.296875" style="19" customWidth="1"/>
    <col min="9858" max="9863" width="9.296875" style="19"/>
    <col min="9864" max="9864" width="13.296875" style="19" customWidth="1"/>
    <col min="9865" max="9867" width="12.796875" style="19" customWidth="1"/>
    <col min="9868" max="9868" width="9.296875" style="19"/>
    <col min="9869" max="9869" width="11.796875" style="19" customWidth="1"/>
    <col min="9870" max="9880" width="9.296875" style="19"/>
    <col min="9881" max="9881" width="11.296875" style="19" customWidth="1"/>
    <col min="9882" max="9882" width="13.296875" style="19" customWidth="1"/>
    <col min="9883" max="9883" width="16.09765625" style="19" customWidth="1"/>
    <col min="9884" max="9884" width="10.296875" style="19" customWidth="1"/>
    <col min="9885" max="9885" width="12.796875" style="19" customWidth="1"/>
    <col min="9886" max="9886" width="14.296875" style="19" customWidth="1"/>
    <col min="9887" max="9887" width="10.796875" style="19" customWidth="1"/>
    <col min="9888" max="9888" width="11.796875" style="19" customWidth="1"/>
    <col min="9889" max="9889" width="17.59765625" style="19" customWidth="1"/>
    <col min="9890" max="10102" width="9.296875" style="19"/>
    <col min="10103" max="10103" width="7.296875" style="19" customWidth="1"/>
    <col min="10104" max="10105" width="20.296875" style="19" customWidth="1"/>
    <col min="10106" max="10108" width="15.296875" style="19" customWidth="1"/>
    <col min="10109" max="10109" width="9.296875" style="19"/>
    <col min="10110" max="10110" width="15.296875" style="19" customWidth="1"/>
    <col min="10111" max="10111" width="10.296875" style="19" customWidth="1"/>
    <col min="10112" max="10112" width="12.796875" style="19" customWidth="1"/>
    <col min="10113" max="10113" width="17.296875" style="19" customWidth="1"/>
    <col min="10114" max="10119" width="9.296875" style="19"/>
    <col min="10120" max="10120" width="13.296875" style="19" customWidth="1"/>
    <col min="10121" max="10123" width="12.796875" style="19" customWidth="1"/>
    <col min="10124" max="10124" width="9.296875" style="19"/>
    <col min="10125" max="10125" width="11.796875" style="19" customWidth="1"/>
    <col min="10126" max="10136" width="9.296875" style="19"/>
    <col min="10137" max="10137" width="11.296875" style="19" customWidth="1"/>
    <col min="10138" max="10138" width="13.296875" style="19" customWidth="1"/>
    <col min="10139" max="10139" width="16.09765625" style="19" customWidth="1"/>
    <col min="10140" max="10140" width="10.296875" style="19" customWidth="1"/>
    <col min="10141" max="10141" width="12.796875" style="19" customWidth="1"/>
    <col min="10142" max="10142" width="14.296875" style="19" customWidth="1"/>
    <col min="10143" max="10143" width="10.796875" style="19" customWidth="1"/>
    <col min="10144" max="10144" width="11.796875" style="19" customWidth="1"/>
    <col min="10145" max="10145" width="17.59765625" style="19" customWidth="1"/>
    <col min="10146" max="10358" width="9.296875" style="19"/>
    <col min="10359" max="10359" width="7.296875" style="19" customWidth="1"/>
    <col min="10360" max="10361" width="20.296875" style="19" customWidth="1"/>
    <col min="10362" max="10364" width="15.296875" style="19" customWidth="1"/>
    <col min="10365" max="10365" width="9.296875" style="19"/>
    <col min="10366" max="10366" width="15.296875" style="19" customWidth="1"/>
    <col min="10367" max="10367" width="10.296875" style="19" customWidth="1"/>
    <col min="10368" max="10368" width="12.796875" style="19" customWidth="1"/>
    <col min="10369" max="10369" width="17.296875" style="19" customWidth="1"/>
    <col min="10370" max="10375" width="9.296875" style="19"/>
    <col min="10376" max="10376" width="13.296875" style="19" customWidth="1"/>
    <col min="10377" max="10379" width="12.796875" style="19" customWidth="1"/>
    <col min="10380" max="10380" width="9.296875" style="19"/>
    <col min="10381" max="10381" width="11.796875" style="19" customWidth="1"/>
    <col min="10382" max="10392" width="9.296875" style="19"/>
    <col min="10393" max="10393" width="11.296875" style="19" customWidth="1"/>
    <col min="10394" max="10394" width="13.296875" style="19" customWidth="1"/>
    <col min="10395" max="10395" width="16.09765625" style="19" customWidth="1"/>
    <col min="10396" max="10396" width="10.296875" style="19" customWidth="1"/>
    <col min="10397" max="10397" width="12.796875" style="19" customWidth="1"/>
    <col min="10398" max="10398" width="14.296875" style="19" customWidth="1"/>
    <col min="10399" max="10399" width="10.796875" style="19" customWidth="1"/>
    <col min="10400" max="10400" width="11.796875" style="19" customWidth="1"/>
    <col min="10401" max="10401" width="17.59765625" style="19" customWidth="1"/>
    <col min="10402" max="10614" width="9.296875" style="19"/>
    <col min="10615" max="10615" width="7.296875" style="19" customWidth="1"/>
    <col min="10616" max="10617" width="20.296875" style="19" customWidth="1"/>
    <col min="10618" max="10620" width="15.296875" style="19" customWidth="1"/>
    <col min="10621" max="10621" width="9.296875" style="19"/>
    <col min="10622" max="10622" width="15.296875" style="19" customWidth="1"/>
    <col min="10623" max="10623" width="10.296875" style="19" customWidth="1"/>
    <col min="10624" max="10624" width="12.796875" style="19" customWidth="1"/>
    <col min="10625" max="10625" width="17.296875" style="19" customWidth="1"/>
    <col min="10626" max="10631" width="9.296875" style="19"/>
    <col min="10632" max="10632" width="13.296875" style="19" customWidth="1"/>
    <col min="10633" max="10635" width="12.796875" style="19" customWidth="1"/>
    <col min="10636" max="10636" width="9.296875" style="19"/>
    <col min="10637" max="10637" width="11.796875" style="19" customWidth="1"/>
    <col min="10638" max="10648" width="9.296875" style="19"/>
    <col min="10649" max="10649" width="11.296875" style="19" customWidth="1"/>
    <col min="10650" max="10650" width="13.296875" style="19" customWidth="1"/>
    <col min="10651" max="10651" width="16.09765625" style="19" customWidth="1"/>
    <col min="10652" max="10652" width="10.296875" style="19" customWidth="1"/>
    <col min="10653" max="10653" width="12.796875" style="19" customWidth="1"/>
    <col min="10654" max="10654" width="14.296875" style="19" customWidth="1"/>
    <col min="10655" max="10655" width="10.796875" style="19" customWidth="1"/>
    <col min="10656" max="10656" width="11.796875" style="19" customWidth="1"/>
    <col min="10657" max="10657" width="17.59765625" style="19" customWidth="1"/>
    <col min="10658" max="10870" width="9.296875" style="19"/>
    <col min="10871" max="10871" width="7.296875" style="19" customWidth="1"/>
    <col min="10872" max="10873" width="20.296875" style="19" customWidth="1"/>
    <col min="10874" max="10876" width="15.296875" style="19" customWidth="1"/>
    <col min="10877" max="10877" width="9.296875" style="19"/>
    <col min="10878" max="10878" width="15.296875" style="19" customWidth="1"/>
    <col min="10879" max="10879" width="10.296875" style="19" customWidth="1"/>
    <col min="10880" max="10880" width="12.796875" style="19" customWidth="1"/>
    <col min="10881" max="10881" width="17.296875" style="19" customWidth="1"/>
    <col min="10882" max="10887" width="9.296875" style="19"/>
    <col min="10888" max="10888" width="13.296875" style="19" customWidth="1"/>
    <col min="10889" max="10891" width="12.796875" style="19" customWidth="1"/>
    <col min="10892" max="10892" width="9.296875" style="19"/>
    <col min="10893" max="10893" width="11.796875" style="19" customWidth="1"/>
    <col min="10894" max="10904" width="9.296875" style="19"/>
    <col min="10905" max="10905" width="11.296875" style="19" customWidth="1"/>
    <col min="10906" max="10906" width="13.296875" style="19" customWidth="1"/>
    <col min="10907" max="10907" width="16.09765625" style="19" customWidth="1"/>
    <col min="10908" max="10908" width="10.296875" style="19" customWidth="1"/>
    <col min="10909" max="10909" width="12.796875" style="19" customWidth="1"/>
    <col min="10910" max="10910" width="14.296875" style="19" customWidth="1"/>
    <col min="10911" max="10911" width="10.796875" style="19" customWidth="1"/>
    <col min="10912" max="10912" width="11.796875" style="19" customWidth="1"/>
    <col min="10913" max="10913" width="17.59765625" style="19" customWidth="1"/>
    <col min="10914" max="11126" width="9.296875" style="19"/>
    <col min="11127" max="11127" width="7.296875" style="19" customWidth="1"/>
    <col min="11128" max="11129" width="20.296875" style="19" customWidth="1"/>
    <col min="11130" max="11132" width="15.296875" style="19" customWidth="1"/>
    <col min="11133" max="11133" width="9.296875" style="19"/>
    <col min="11134" max="11134" width="15.296875" style="19" customWidth="1"/>
    <col min="11135" max="11135" width="10.296875" style="19" customWidth="1"/>
    <col min="11136" max="11136" width="12.796875" style="19" customWidth="1"/>
    <col min="11137" max="11137" width="17.296875" style="19" customWidth="1"/>
    <col min="11138" max="11143" width="9.296875" style="19"/>
    <col min="11144" max="11144" width="13.296875" style="19" customWidth="1"/>
    <col min="11145" max="11147" width="12.796875" style="19" customWidth="1"/>
    <col min="11148" max="11148" width="9.296875" style="19"/>
    <col min="11149" max="11149" width="11.796875" style="19" customWidth="1"/>
    <col min="11150" max="11160" width="9.296875" style="19"/>
    <col min="11161" max="11161" width="11.296875" style="19" customWidth="1"/>
    <col min="11162" max="11162" width="13.296875" style="19" customWidth="1"/>
    <col min="11163" max="11163" width="16.09765625" style="19" customWidth="1"/>
    <col min="11164" max="11164" width="10.296875" style="19" customWidth="1"/>
    <col min="11165" max="11165" width="12.796875" style="19" customWidth="1"/>
    <col min="11166" max="11166" width="14.296875" style="19" customWidth="1"/>
    <col min="11167" max="11167" width="10.796875" style="19" customWidth="1"/>
    <col min="11168" max="11168" width="11.796875" style="19" customWidth="1"/>
    <col min="11169" max="11169" width="17.59765625" style="19" customWidth="1"/>
    <col min="11170" max="11382" width="9.296875" style="19"/>
    <col min="11383" max="11383" width="7.296875" style="19" customWidth="1"/>
    <col min="11384" max="11385" width="20.296875" style="19" customWidth="1"/>
    <col min="11386" max="11388" width="15.296875" style="19" customWidth="1"/>
    <col min="11389" max="11389" width="9.296875" style="19"/>
    <col min="11390" max="11390" width="15.296875" style="19" customWidth="1"/>
    <col min="11391" max="11391" width="10.296875" style="19" customWidth="1"/>
    <col min="11392" max="11392" width="12.796875" style="19" customWidth="1"/>
    <col min="11393" max="11393" width="17.296875" style="19" customWidth="1"/>
    <col min="11394" max="11399" width="9.296875" style="19"/>
    <col min="11400" max="11400" width="13.296875" style="19" customWidth="1"/>
    <col min="11401" max="11403" width="12.796875" style="19" customWidth="1"/>
    <col min="11404" max="11404" width="9.296875" style="19"/>
    <col min="11405" max="11405" width="11.796875" style="19" customWidth="1"/>
    <col min="11406" max="11416" width="9.296875" style="19"/>
    <col min="11417" max="11417" width="11.296875" style="19" customWidth="1"/>
    <col min="11418" max="11418" width="13.296875" style="19" customWidth="1"/>
    <col min="11419" max="11419" width="16.09765625" style="19" customWidth="1"/>
    <col min="11420" max="11420" width="10.296875" style="19" customWidth="1"/>
    <col min="11421" max="11421" width="12.796875" style="19" customWidth="1"/>
    <col min="11422" max="11422" width="14.296875" style="19" customWidth="1"/>
    <col min="11423" max="11423" width="10.796875" style="19" customWidth="1"/>
    <col min="11424" max="11424" width="11.796875" style="19" customWidth="1"/>
    <col min="11425" max="11425" width="17.59765625" style="19" customWidth="1"/>
    <col min="11426" max="11638" width="9.296875" style="19"/>
    <col min="11639" max="11639" width="7.296875" style="19" customWidth="1"/>
    <col min="11640" max="11641" width="20.296875" style="19" customWidth="1"/>
    <col min="11642" max="11644" width="15.296875" style="19" customWidth="1"/>
    <col min="11645" max="11645" width="9.296875" style="19"/>
    <col min="11646" max="11646" width="15.296875" style="19" customWidth="1"/>
    <col min="11647" max="11647" width="10.296875" style="19" customWidth="1"/>
    <col min="11648" max="11648" width="12.796875" style="19" customWidth="1"/>
    <col min="11649" max="11649" width="17.296875" style="19" customWidth="1"/>
    <col min="11650" max="11655" width="9.296875" style="19"/>
    <col min="11656" max="11656" width="13.296875" style="19" customWidth="1"/>
    <col min="11657" max="11659" width="12.796875" style="19" customWidth="1"/>
    <col min="11660" max="11660" width="9.296875" style="19"/>
    <col min="11661" max="11661" width="11.796875" style="19" customWidth="1"/>
    <col min="11662" max="11672" width="9.296875" style="19"/>
    <col min="11673" max="11673" width="11.296875" style="19" customWidth="1"/>
    <col min="11674" max="11674" width="13.296875" style="19" customWidth="1"/>
    <col min="11675" max="11675" width="16.09765625" style="19" customWidth="1"/>
    <col min="11676" max="11676" width="10.296875" style="19" customWidth="1"/>
    <col min="11677" max="11677" width="12.796875" style="19" customWidth="1"/>
    <col min="11678" max="11678" width="14.296875" style="19" customWidth="1"/>
    <col min="11679" max="11679" width="10.796875" style="19" customWidth="1"/>
    <col min="11680" max="11680" width="11.796875" style="19" customWidth="1"/>
    <col min="11681" max="11681" width="17.59765625" style="19" customWidth="1"/>
    <col min="11682" max="11894" width="9.296875" style="19"/>
    <col min="11895" max="11895" width="7.296875" style="19" customWidth="1"/>
    <col min="11896" max="11897" width="20.296875" style="19" customWidth="1"/>
    <col min="11898" max="11900" width="15.296875" style="19" customWidth="1"/>
    <col min="11901" max="11901" width="9.296875" style="19"/>
    <col min="11902" max="11902" width="15.296875" style="19" customWidth="1"/>
    <col min="11903" max="11903" width="10.296875" style="19" customWidth="1"/>
    <col min="11904" max="11904" width="12.796875" style="19" customWidth="1"/>
    <col min="11905" max="11905" width="17.296875" style="19" customWidth="1"/>
    <col min="11906" max="11911" width="9.296875" style="19"/>
    <col min="11912" max="11912" width="13.296875" style="19" customWidth="1"/>
    <col min="11913" max="11915" width="12.796875" style="19" customWidth="1"/>
    <col min="11916" max="11916" width="9.296875" style="19"/>
    <col min="11917" max="11917" width="11.796875" style="19" customWidth="1"/>
    <col min="11918" max="11928" width="9.296875" style="19"/>
    <col min="11929" max="11929" width="11.296875" style="19" customWidth="1"/>
    <col min="11930" max="11930" width="13.296875" style="19" customWidth="1"/>
    <col min="11931" max="11931" width="16.09765625" style="19" customWidth="1"/>
    <col min="11932" max="11932" width="10.296875" style="19" customWidth="1"/>
    <col min="11933" max="11933" width="12.796875" style="19" customWidth="1"/>
    <col min="11934" max="11934" width="14.296875" style="19" customWidth="1"/>
    <col min="11935" max="11935" width="10.796875" style="19" customWidth="1"/>
    <col min="11936" max="11936" width="11.796875" style="19" customWidth="1"/>
    <col min="11937" max="11937" width="17.59765625" style="19" customWidth="1"/>
    <col min="11938" max="12150" width="9.296875" style="19"/>
    <col min="12151" max="12151" width="7.296875" style="19" customWidth="1"/>
    <col min="12152" max="12153" width="20.296875" style="19" customWidth="1"/>
    <col min="12154" max="12156" width="15.296875" style="19" customWidth="1"/>
    <col min="12157" max="12157" width="9.296875" style="19"/>
    <col min="12158" max="12158" width="15.296875" style="19" customWidth="1"/>
    <col min="12159" max="12159" width="10.296875" style="19" customWidth="1"/>
    <col min="12160" max="12160" width="12.796875" style="19" customWidth="1"/>
    <col min="12161" max="12161" width="17.296875" style="19" customWidth="1"/>
    <col min="12162" max="12167" width="9.296875" style="19"/>
    <col min="12168" max="12168" width="13.296875" style="19" customWidth="1"/>
    <col min="12169" max="12171" width="12.796875" style="19" customWidth="1"/>
    <col min="12172" max="12172" width="9.296875" style="19"/>
    <col min="12173" max="12173" width="11.796875" style="19" customWidth="1"/>
    <col min="12174" max="12184" width="9.296875" style="19"/>
    <col min="12185" max="12185" width="11.296875" style="19" customWidth="1"/>
    <col min="12186" max="12186" width="13.296875" style="19" customWidth="1"/>
    <col min="12187" max="12187" width="16.09765625" style="19" customWidth="1"/>
    <col min="12188" max="12188" width="10.296875" style="19" customWidth="1"/>
    <col min="12189" max="12189" width="12.796875" style="19" customWidth="1"/>
    <col min="12190" max="12190" width="14.296875" style="19" customWidth="1"/>
    <col min="12191" max="12191" width="10.796875" style="19" customWidth="1"/>
    <col min="12192" max="12192" width="11.796875" style="19" customWidth="1"/>
    <col min="12193" max="12193" width="17.59765625" style="19" customWidth="1"/>
    <col min="12194" max="12406" width="9.296875" style="19"/>
    <col min="12407" max="12407" width="7.296875" style="19" customWidth="1"/>
    <col min="12408" max="12409" width="20.296875" style="19" customWidth="1"/>
    <col min="12410" max="12412" width="15.296875" style="19" customWidth="1"/>
    <col min="12413" max="12413" width="9.296875" style="19"/>
    <col min="12414" max="12414" width="15.296875" style="19" customWidth="1"/>
    <col min="12415" max="12415" width="10.296875" style="19" customWidth="1"/>
    <col min="12416" max="12416" width="12.796875" style="19" customWidth="1"/>
    <col min="12417" max="12417" width="17.296875" style="19" customWidth="1"/>
    <col min="12418" max="12423" width="9.296875" style="19"/>
    <col min="12424" max="12424" width="13.296875" style="19" customWidth="1"/>
    <col min="12425" max="12427" width="12.796875" style="19" customWidth="1"/>
    <col min="12428" max="12428" width="9.296875" style="19"/>
    <col min="12429" max="12429" width="11.796875" style="19" customWidth="1"/>
    <col min="12430" max="12440" width="9.296875" style="19"/>
    <col min="12441" max="12441" width="11.296875" style="19" customWidth="1"/>
    <col min="12442" max="12442" width="13.296875" style="19" customWidth="1"/>
    <col min="12443" max="12443" width="16.09765625" style="19" customWidth="1"/>
    <col min="12444" max="12444" width="10.296875" style="19" customWidth="1"/>
    <col min="12445" max="12445" width="12.796875" style="19" customWidth="1"/>
    <col min="12446" max="12446" width="14.296875" style="19" customWidth="1"/>
    <col min="12447" max="12447" width="10.796875" style="19" customWidth="1"/>
    <col min="12448" max="12448" width="11.796875" style="19" customWidth="1"/>
    <col min="12449" max="12449" width="17.59765625" style="19" customWidth="1"/>
    <col min="12450" max="12662" width="9.296875" style="19"/>
    <col min="12663" max="12663" width="7.296875" style="19" customWidth="1"/>
    <col min="12664" max="12665" width="20.296875" style="19" customWidth="1"/>
    <col min="12666" max="12668" width="15.296875" style="19" customWidth="1"/>
    <col min="12669" max="12669" width="9.296875" style="19"/>
    <col min="12670" max="12670" width="15.296875" style="19" customWidth="1"/>
    <col min="12671" max="12671" width="10.296875" style="19" customWidth="1"/>
    <col min="12672" max="12672" width="12.796875" style="19" customWidth="1"/>
    <col min="12673" max="12673" width="17.296875" style="19" customWidth="1"/>
    <col min="12674" max="12679" width="9.296875" style="19"/>
    <col min="12680" max="12680" width="13.296875" style="19" customWidth="1"/>
    <col min="12681" max="12683" width="12.796875" style="19" customWidth="1"/>
    <col min="12684" max="12684" width="9.296875" style="19"/>
    <col min="12685" max="12685" width="11.796875" style="19" customWidth="1"/>
    <col min="12686" max="12696" width="9.296875" style="19"/>
    <col min="12697" max="12697" width="11.296875" style="19" customWidth="1"/>
    <col min="12698" max="12698" width="13.296875" style="19" customWidth="1"/>
    <col min="12699" max="12699" width="16.09765625" style="19" customWidth="1"/>
    <col min="12700" max="12700" width="10.296875" style="19" customWidth="1"/>
    <col min="12701" max="12701" width="12.796875" style="19" customWidth="1"/>
    <col min="12702" max="12702" width="14.296875" style="19" customWidth="1"/>
    <col min="12703" max="12703" width="10.796875" style="19" customWidth="1"/>
    <col min="12704" max="12704" width="11.796875" style="19" customWidth="1"/>
    <col min="12705" max="12705" width="17.59765625" style="19" customWidth="1"/>
    <col min="12706" max="12918" width="9.296875" style="19"/>
    <col min="12919" max="12919" width="7.296875" style="19" customWidth="1"/>
    <col min="12920" max="12921" width="20.296875" style="19" customWidth="1"/>
    <col min="12922" max="12924" width="15.296875" style="19" customWidth="1"/>
    <col min="12925" max="12925" width="9.296875" style="19"/>
    <col min="12926" max="12926" width="15.296875" style="19" customWidth="1"/>
    <col min="12927" max="12927" width="10.296875" style="19" customWidth="1"/>
    <col min="12928" max="12928" width="12.796875" style="19" customWidth="1"/>
    <col min="12929" max="12929" width="17.296875" style="19" customWidth="1"/>
    <col min="12930" max="12935" width="9.296875" style="19"/>
    <col min="12936" max="12936" width="13.296875" style="19" customWidth="1"/>
    <col min="12937" max="12939" width="12.796875" style="19" customWidth="1"/>
    <col min="12940" max="12940" width="9.296875" style="19"/>
    <col min="12941" max="12941" width="11.796875" style="19" customWidth="1"/>
    <col min="12942" max="12952" width="9.296875" style="19"/>
    <col min="12953" max="12953" width="11.296875" style="19" customWidth="1"/>
    <col min="12954" max="12954" width="13.296875" style="19" customWidth="1"/>
    <col min="12955" max="12955" width="16.09765625" style="19" customWidth="1"/>
    <col min="12956" max="12956" width="10.296875" style="19" customWidth="1"/>
    <col min="12957" max="12957" width="12.796875" style="19" customWidth="1"/>
    <col min="12958" max="12958" width="14.296875" style="19" customWidth="1"/>
    <col min="12959" max="12959" width="10.796875" style="19" customWidth="1"/>
    <col min="12960" max="12960" width="11.796875" style="19" customWidth="1"/>
    <col min="12961" max="12961" width="17.59765625" style="19" customWidth="1"/>
    <col min="12962" max="13174" width="9.296875" style="19"/>
    <col min="13175" max="13175" width="7.296875" style="19" customWidth="1"/>
    <col min="13176" max="13177" width="20.296875" style="19" customWidth="1"/>
    <col min="13178" max="13180" width="15.296875" style="19" customWidth="1"/>
    <col min="13181" max="13181" width="9.296875" style="19"/>
    <col min="13182" max="13182" width="15.296875" style="19" customWidth="1"/>
    <col min="13183" max="13183" width="10.296875" style="19" customWidth="1"/>
    <col min="13184" max="13184" width="12.796875" style="19" customWidth="1"/>
    <col min="13185" max="13185" width="17.296875" style="19" customWidth="1"/>
    <col min="13186" max="13191" width="9.296875" style="19"/>
    <col min="13192" max="13192" width="13.296875" style="19" customWidth="1"/>
    <col min="13193" max="13195" width="12.796875" style="19" customWidth="1"/>
    <col min="13196" max="13196" width="9.296875" style="19"/>
    <col min="13197" max="13197" width="11.796875" style="19" customWidth="1"/>
    <col min="13198" max="13208" width="9.296875" style="19"/>
    <col min="13209" max="13209" width="11.296875" style="19" customWidth="1"/>
    <col min="13210" max="13210" width="13.296875" style="19" customWidth="1"/>
    <col min="13211" max="13211" width="16.09765625" style="19" customWidth="1"/>
    <col min="13212" max="13212" width="10.296875" style="19" customWidth="1"/>
    <col min="13213" max="13213" width="12.796875" style="19" customWidth="1"/>
    <col min="13214" max="13214" width="14.296875" style="19" customWidth="1"/>
    <col min="13215" max="13215" width="10.796875" style="19" customWidth="1"/>
    <col min="13216" max="13216" width="11.796875" style="19" customWidth="1"/>
    <col min="13217" max="13217" width="17.59765625" style="19" customWidth="1"/>
    <col min="13218" max="13430" width="9.296875" style="19"/>
    <col min="13431" max="13431" width="7.296875" style="19" customWidth="1"/>
    <col min="13432" max="13433" width="20.296875" style="19" customWidth="1"/>
    <col min="13434" max="13436" width="15.296875" style="19" customWidth="1"/>
    <col min="13437" max="13437" width="9.296875" style="19"/>
    <col min="13438" max="13438" width="15.296875" style="19" customWidth="1"/>
    <col min="13439" max="13439" width="10.296875" style="19" customWidth="1"/>
    <col min="13440" max="13440" width="12.796875" style="19" customWidth="1"/>
    <col min="13441" max="13441" width="17.296875" style="19" customWidth="1"/>
    <col min="13442" max="13447" width="9.296875" style="19"/>
    <col min="13448" max="13448" width="13.296875" style="19" customWidth="1"/>
    <col min="13449" max="13451" width="12.796875" style="19" customWidth="1"/>
    <col min="13452" max="13452" width="9.296875" style="19"/>
    <col min="13453" max="13453" width="11.796875" style="19" customWidth="1"/>
    <col min="13454" max="13464" width="9.296875" style="19"/>
    <col min="13465" max="13465" width="11.296875" style="19" customWidth="1"/>
    <col min="13466" max="13466" width="13.296875" style="19" customWidth="1"/>
    <col min="13467" max="13467" width="16.09765625" style="19" customWidth="1"/>
    <col min="13468" max="13468" width="10.296875" style="19" customWidth="1"/>
    <col min="13469" max="13469" width="12.796875" style="19" customWidth="1"/>
    <col min="13470" max="13470" width="14.296875" style="19" customWidth="1"/>
    <col min="13471" max="13471" width="10.796875" style="19" customWidth="1"/>
    <col min="13472" max="13472" width="11.796875" style="19" customWidth="1"/>
    <col min="13473" max="13473" width="17.59765625" style="19" customWidth="1"/>
    <col min="13474" max="13686" width="9.296875" style="19"/>
    <col min="13687" max="13687" width="7.296875" style="19" customWidth="1"/>
    <col min="13688" max="13689" width="20.296875" style="19" customWidth="1"/>
    <col min="13690" max="13692" width="15.296875" style="19" customWidth="1"/>
    <col min="13693" max="13693" width="9.296875" style="19"/>
    <col min="13694" max="13694" width="15.296875" style="19" customWidth="1"/>
    <col min="13695" max="13695" width="10.296875" style="19" customWidth="1"/>
    <col min="13696" max="13696" width="12.796875" style="19" customWidth="1"/>
    <col min="13697" max="13697" width="17.296875" style="19" customWidth="1"/>
    <col min="13698" max="13703" width="9.296875" style="19"/>
    <col min="13704" max="13704" width="13.296875" style="19" customWidth="1"/>
    <col min="13705" max="13707" width="12.796875" style="19" customWidth="1"/>
    <col min="13708" max="13708" width="9.296875" style="19"/>
    <col min="13709" max="13709" width="11.796875" style="19" customWidth="1"/>
    <col min="13710" max="13720" width="9.296875" style="19"/>
    <col min="13721" max="13721" width="11.296875" style="19" customWidth="1"/>
    <col min="13722" max="13722" width="13.296875" style="19" customWidth="1"/>
    <col min="13723" max="13723" width="16.09765625" style="19" customWidth="1"/>
    <col min="13724" max="13724" width="10.296875" style="19" customWidth="1"/>
    <col min="13725" max="13725" width="12.796875" style="19" customWidth="1"/>
    <col min="13726" max="13726" width="14.296875" style="19" customWidth="1"/>
    <col min="13727" max="13727" width="10.796875" style="19" customWidth="1"/>
    <col min="13728" max="13728" width="11.796875" style="19" customWidth="1"/>
    <col min="13729" max="13729" width="17.59765625" style="19" customWidth="1"/>
    <col min="13730" max="13942" width="9.296875" style="19"/>
    <col min="13943" max="13943" width="7.296875" style="19" customWidth="1"/>
    <col min="13944" max="13945" width="20.296875" style="19" customWidth="1"/>
    <col min="13946" max="13948" width="15.296875" style="19" customWidth="1"/>
    <col min="13949" max="13949" width="9.296875" style="19"/>
    <col min="13950" max="13950" width="15.296875" style="19" customWidth="1"/>
    <col min="13951" max="13951" width="10.296875" style="19" customWidth="1"/>
    <col min="13952" max="13952" width="12.796875" style="19" customWidth="1"/>
    <col min="13953" max="13953" width="17.296875" style="19" customWidth="1"/>
    <col min="13954" max="13959" width="9.296875" style="19"/>
    <col min="13960" max="13960" width="13.296875" style="19" customWidth="1"/>
    <col min="13961" max="13963" width="12.796875" style="19" customWidth="1"/>
    <col min="13964" max="13964" width="9.296875" style="19"/>
    <col min="13965" max="13965" width="11.796875" style="19" customWidth="1"/>
    <col min="13966" max="13976" width="9.296875" style="19"/>
    <col min="13977" max="13977" width="11.296875" style="19" customWidth="1"/>
    <col min="13978" max="13978" width="13.296875" style="19" customWidth="1"/>
    <col min="13979" max="13979" width="16.09765625" style="19" customWidth="1"/>
    <col min="13980" max="13980" width="10.296875" style="19" customWidth="1"/>
    <col min="13981" max="13981" width="12.796875" style="19" customWidth="1"/>
    <col min="13982" max="13982" width="14.296875" style="19" customWidth="1"/>
    <col min="13983" max="13983" width="10.796875" style="19" customWidth="1"/>
    <col min="13984" max="13984" width="11.796875" style="19" customWidth="1"/>
    <col min="13985" max="13985" width="17.59765625" style="19" customWidth="1"/>
    <col min="13986" max="14198" width="9.296875" style="19"/>
    <col min="14199" max="14199" width="7.296875" style="19" customWidth="1"/>
    <col min="14200" max="14201" width="20.296875" style="19" customWidth="1"/>
    <col min="14202" max="14204" width="15.296875" style="19" customWidth="1"/>
    <col min="14205" max="14205" width="9.296875" style="19"/>
    <col min="14206" max="14206" width="15.296875" style="19" customWidth="1"/>
    <col min="14207" max="14207" width="10.296875" style="19" customWidth="1"/>
    <col min="14208" max="14208" width="12.796875" style="19" customWidth="1"/>
    <col min="14209" max="14209" width="17.296875" style="19" customWidth="1"/>
    <col min="14210" max="14215" width="9.296875" style="19"/>
    <col min="14216" max="14216" width="13.296875" style="19" customWidth="1"/>
    <col min="14217" max="14219" width="12.796875" style="19" customWidth="1"/>
    <col min="14220" max="14220" width="9.296875" style="19"/>
    <col min="14221" max="14221" width="11.796875" style="19" customWidth="1"/>
    <col min="14222" max="14232" width="9.296875" style="19"/>
    <col min="14233" max="14233" width="11.296875" style="19" customWidth="1"/>
    <col min="14234" max="14234" width="13.296875" style="19" customWidth="1"/>
    <col min="14235" max="14235" width="16.09765625" style="19" customWidth="1"/>
    <col min="14236" max="14236" width="10.296875" style="19" customWidth="1"/>
    <col min="14237" max="14237" width="12.796875" style="19" customWidth="1"/>
    <col min="14238" max="14238" width="14.296875" style="19" customWidth="1"/>
    <col min="14239" max="14239" width="10.796875" style="19" customWidth="1"/>
    <col min="14240" max="14240" width="11.796875" style="19" customWidth="1"/>
    <col min="14241" max="14241" width="17.59765625" style="19" customWidth="1"/>
    <col min="14242" max="14454" width="9.296875" style="19"/>
    <col min="14455" max="14455" width="7.296875" style="19" customWidth="1"/>
    <col min="14456" max="14457" width="20.296875" style="19" customWidth="1"/>
    <col min="14458" max="14460" width="15.296875" style="19" customWidth="1"/>
    <col min="14461" max="14461" width="9.296875" style="19"/>
    <col min="14462" max="14462" width="15.296875" style="19" customWidth="1"/>
    <col min="14463" max="14463" width="10.296875" style="19" customWidth="1"/>
    <col min="14464" max="14464" width="12.796875" style="19" customWidth="1"/>
    <col min="14465" max="14465" width="17.296875" style="19" customWidth="1"/>
    <col min="14466" max="14471" width="9.296875" style="19"/>
    <col min="14472" max="14472" width="13.296875" style="19" customWidth="1"/>
    <col min="14473" max="14475" width="12.796875" style="19" customWidth="1"/>
    <col min="14476" max="14476" width="9.296875" style="19"/>
    <col min="14477" max="14477" width="11.796875" style="19" customWidth="1"/>
    <col min="14478" max="14488" width="9.296875" style="19"/>
    <col min="14489" max="14489" width="11.296875" style="19" customWidth="1"/>
    <col min="14490" max="14490" width="13.296875" style="19" customWidth="1"/>
    <col min="14491" max="14491" width="16.09765625" style="19" customWidth="1"/>
    <col min="14492" max="14492" width="10.296875" style="19" customWidth="1"/>
    <col min="14493" max="14493" width="12.796875" style="19" customWidth="1"/>
    <col min="14494" max="14494" width="14.296875" style="19" customWidth="1"/>
    <col min="14495" max="14495" width="10.796875" style="19" customWidth="1"/>
    <col min="14496" max="14496" width="11.796875" style="19" customWidth="1"/>
    <col min="14497" max="14497" width="17.59765625" style="19" customWidth="1"/>
    <col min="14498" max="14710" width="9.296875" style="19"/>
    <col min="14711" max="14711" width="7.296875" style="19" customWidth="1"/>
    <col min="14712" max="14713" width="20.296875" style="19" customWidth="1"/>
    <col min="14714" max="14716" width="15.296875" style="19" customWidth="1"/>
    <col min="14717" max="14717" width="9.296875" style="19"/>
    <col min="14718" max="14718" width="15.296875" style="19" customWidth="1"/>
    <col min="14719" max="14719" width="10.296875" style="19" customWidth="1"/>
    <col min="14720" max="14720" width="12.796875" style="19" customWidth="1"/>
    <col min="14721" max="14721" width="17.296875" style="19" customWidth="1"/>
    <col min="14722" max="14727" width="9.296875" style="19"/>
    <col min="14728" max="14728" width="13.296875" style="19" customWidth="1"/>
    <col min="14729" max="14731" width="12.796875" style="19" customWidth="1"/>
    <col min="14732" max="14732" width="9.296875" style="19"/>
    <col min="14733" max="14733" width="11.796875" style="19" customWidth="1"/>
    <col min="14734" max="14744" width="9.296875" style="19"/>
    <col min="14745" max="14745" width="11.296875" style="19" customWidth="1"/>
    <col min="14746" max="14746" width="13.296875" style="19" customWidth="1"/>
    <col min="14747" max="14747" width="16.09765625" style="19" customWidth="1"/>
    <col min="14748" max="14748" width="10.296875" style="19" customWidth="1"/>
    <col min="14749" max="14749" width="12.796875" style="19" customWidth="1"/>
    <col min="14750" max="14750" width="14.296875" style="19" customWidth="1"/>
    <col min="14751" max="14751" width="10.796875" style="19" customWidth="1"/>
    <col min="14752" max="14752" width="11.796875" style="19" customWidth="1"/>
    <col min="14753" max="14753" width="17.59765625" style="19" customWidth="1"/>
    <col min="14754" max="14966" width="9.296875" style="19"/>
    <col min="14967" max="14967" width="7.296875" style="19" customWidth="1"/>
    <col min="14968" max="14969" width="20.296875" style="19" customWidth="1"/>
    <col min="14970" max="14972" width="15.296875" style="19" customWidth="1"/>
    <col min="14973" max="14973" width="9.296875" style="19"/>
    <col min="14974" max="14974" width="15.296875" style="19" customWidth="1"/>
    <col min="14975" max="14975" width="10.296875" style="19" customWidth="1"/>
    <col min="14976" max="14976" width="12.796875" style="19" customWidth="1"/>
    <col min="14977" max="14977" width="17.296875" style="19" customWidth="1"/>
    <col min="14978" max="14983" width="9.296875" style="19"/>
    <col min="14984" max="14984" width="13.296875" style="19" customWidth="1"/>
    <col min="14985" max="14987" width="12.796875" style="19" customWidth="1"/>
    <col min="14988" max="14988" width="9.296875" style="19"/>
    <col min="14989" max="14989" width="11.796875" style="19" customWidth="1"/>
    <col min="14990" max="15000" width="9.296875" style="19"/>
    <col min="15001" max="15001" width="11.296875" style="19" customWidth="1"/>
    <col min="15002" max="15002" width="13.296875" style="19" customWidth="1"/>
    <col min="15003" max="15003" width="16.09765625" style="19" customWidth="1"/>
    <col min="15004" max="15004" width="10.296875" style="19" customWidth="1"/>
    <col min="15005" max="15005" width="12.796875" style="19" customWidth="1"/>
    <col min="15006" max="15006" width="14.296875" style="19" customWidth="1"/>
    <col min="15007" max="15007" width="10.796875" style="19" customWidth="1"/>
    <col min="15008" max="15008" width="11.796875" style="19" customWidth="1"/>
    <col min="15009" max="15009" width="17.59765625" style="19" customWidth="1"/>
    <col min="15010" max="15222" width="9.296875" style="19"/>
    <col min="15223" max="15223" width="7.296875" style="19" customWidth="1"/>
    <col min="15224" max="15225" width="20.296875" style="19" customWidth="1"/>
    <col min="15226" max="15228" width="15.296875" style="19" customWidth="1"/>
    <col min="15229" max="15229" width="9.296875" style="19"/>
    <col min="15230" max="15230" width="15.296875" style="19" customWidth="1"/>
    <col min="15231" max="15231" width="10.296875" style="19" customWidth="1"/>
    <col min="15232" max="15232" width="12.796875" style="19" customWidth="1"/>
    <col min="15233" max="15233" width="17.296875" style="19" customWidth="1"/>
    <col min="15234" max="15239" width="9.296875" style="19"/>
    <col min="15240" max="15240" width="13.296875" style="19" customWidth="1"/>
    <col min="15241" max="15243" width="12.796875" style="19" customWidth="1"/>
    <col min="15244" max="15244" width="9.296875" style="19"/>
    <col min="15245" max="15245" width="11.796875" style="19" customWidth="1"/>
    <col min="15246" max="15256" width="9.296875" style="19"/>
    <col min="15257" max="15257" width="11.296875" style="19" customWidth="1"/>
    <col min="15258" max="15258" width="13.296875" style="19" customWidth="1"/>
    <col min="15259" max="15259" width="16.09765625" style="19" customWidth="1"/>
    <col min="15260" max="15260" width="10.296875" style="19" customWidth="1"/>
    <col min="15261" max="15261" width="12.796875" style="19" customWidth="1"/>
    <col min="15262" max="15262" width="14.296875" style="19" customWidth="1"/>
    <col min="15263" max="15263" width="10.796875" style="19" customWidth="1"/>
    <col min="15264" max="15264" width="11.796875" style="19" customWidth="1"/>
    <col min="15265" max="15265" width="17.59765625" style="19" customWidth="1"/>
    <col min="15266" max="15478" width="9.296875" style="19"/>
    <col min="15479" max="15479" width="7.296875" style="19" customWidth="1"/>
    <col min="15480" max="15481" width="20.296875" style="19" customWidth="1"/>
    <col min="15482" max="15484" width="15.296875" style="19" customWidth="1"/>
    <col min="15485" max="15485" width="9.296875" style="19"/>
    <col min="15486" max="15486" width="15.296875" style="19" customWidth="1"/>
    <col min="15487" max="15487" width="10.296875" style="19" customWidth="1"/>
    <col min="15488" max="15488" width="12.796875" style="19" customWidth="1"/>
    <col min="15489" max="15489" width="17.296875" style="19" customWidth="1"/>
    <col min="15490" max="15495" width="9.296875" style="19"/>
    <col min="15496" max="15496" width="13.296875" style="19" customWidth="1"/>
    <col min="15497" max="15499" width="12.796875" style="19" customWidth="1"/>
    <col min="15500" max="15500" width="9.296875" style="19"/>
    <col min="15501" max="15501" width="11.796875" style="19" customWidth="1"/>
    <col min="15502" max="15512" width="9.296875" style="19"/>
    <col min="15513" max="15513" width="11.296875" style="19" customWidth="1"/>
    <col min="15514" max="15514" width="13.296875" style="19" customWidth="1"/>
    <col min="15515" max="15515" width="16.09765625" style="19" customWidth="1"/>
    <col min="15516" max="15516" width="10.296875" style="19" customWidth="1"/>
    <col min="15517" max="15517" width="12.796875" style="19" customWidth="1"/>
    <col min="15518" max="15518" width="14.296875" style="19" customWidth="1"/>
    <col min="15519" max="15519" width="10.796875" style="19" customWidth="1"/>
    <col min="15520" max="15520" width="11.796875" style="19" customWidth="1"/>
    <col min="15521" max="15521" width="17.59765625" style="19" customWidth="1"/>
    <col min="15522" max="15734" width="9.296875" style="19"/>
    <col min="15735" max="15735" width="7.296875" style="19" customWidth="1"/>
    <col min="15736" max="15737" width="20.296875" style="19" customWidth="1"/>
    <col min="15738" max="15740" width="15.296875" style="19" customWidth="1"/>
    <col min="15741" max="15741" width="9.296875" style="19"/>
    <col min="15742" max="15742" width="15.296875" style="19" customWidth="1"/>
    <col min="15743" max="15743" width="10.296875" style="19" customWidth="1"/>
    <col min="15744" max="15744" width="12.796875" style="19" customWidth="1"/>
    <col min="15745" max="15745" width="17.296875" style="19" customWidth="1"/>
    <col min="15746" max="15751" width="9.296875" style="19"/>
    <col min="15752" max="15752" width="13.296875" style="19" customWidth="1"/>
    <col min="15753" max="15755" width="12.796875" style="19" customWidth="1"/>
    <col min="15756" max="15756" width="9.296875" style="19"/>
    <col min="15757" max="15757" width="11.796875" style="19" customWidth="1"/>
    <col min="15758" max="15768" width="9.296875" style="19"/>
    <col min="15769" max="15769" width="11.296875" style="19" customWidth="1"/>
    <col min="15770" max="15770" width="13.296875" style="19" customWidth="1"/>
    <col min="15771" max="15771" width="16.09765625" style="19" customWidth="1"/>
    <col min="15772" max="15772" width="10.296875" style="19" customWidth="1"/>
    <col min="15773" max="15773" width="12.796875" style="19" customWidth="1"/>
    <col min="15774" max="15774" width="14.296875" style="19" customWidth="1"/>
    <col min="15775" max="15775" width="10.796875" style="19" customWidth="1"/>
    <col min="15776" max="15776" width="11.796875" style="19" customWidth="1"/>
    <col min="15777" max="15777" width="17.59765625" style="19" customWidth="1"/>
    <col min="15778" max="15990" width="9.296875" style="19"/>
    <col min="15991" max="15991" width="7.296875" style="19" customWidth="1"/>
    <col min="15992" max="15993" width="20.296875" style="19" customWidth="1"/>
    <col min="15994" max="15996" width="15.296875" style="19" customWidth="1"/>
    <col min="15997" max="15997" width="9.296875" style="19"/>
    <col min="15998" max="15998" width="15.296875" style="19" customWidth="1"/>
    <col min="15999" max="15999" width="10.296875" style="19" customWidth="1"/>
    <col min="16000" max="16000" width="12.796875" style="19" customWidth="1"/>
    <col min="16001" max="16001" width="17.296875" style="19" customWidth="1"/>
    <col min="16002" max="16007" width="9.296875" style="19"/>
    <col min="16008" max="16008" width="13.296875" style="19" customWidth="1"/>
    <col min="16009" max="16011" width="12.796875" style="19" customWidth="1"/>
    <col min="16012" max="16012" width="9.296875" style="19"/>
    <col min="16013" max="16013" width="11.796875" style="19" customWidth="1"/>
    <col min="16014" max="16024" width="9.296875" style="19"/>
    <col min="16025" max="16025" width="11.296875" style="19" customWidth="1"/>
    <col min="16026" max="16026" width="13.296875" style="19" customWidth="1"/>
    <col min="16027" max="16027" width="16.09765625" style="19" customWidth="1"/>
    <col min="16028" max="16028" width="10.296875" style="19" customWidth="1"/>
    <col min="16029" max="16029" width="12.796875" style="19" customWidth="1"/>
    <col min="16030" max="16030" width="14.296875" style="19" customWidth="1"/>
    <col min="16031" max="16031" width="10.796875" style="19" customWidth="1"/>
    <col min="16032" max="16032" width="11.796875" style="19" customWidth="1"/>
    <col min="16033" max="16033" width="17.59765625" style="19" customWidth="1"/>
    <col min="16034" max="16384" width="9.296875" style="19"/>
  </cols>
  <sheetData>
    <row r="1" spans="1:21" s="18" customFormat="1" ht="20.100000000000001" customHeight="1" x14ac:dyDescent="0.2">
      <c r="A1" s="25" t="s">
        <v>111</v>
      </c>
      <c r="B1" s="25" t="s">
        <v>112</v>
      </c>
      <c r="C1" s="108" t="s">
        <v>152</v>
      </c>
      <c r="D1" s="25" t="s">
        <v>153</v>
      </c>
      <c r="E1" s="25" t="s">
        <v>113</v>
      </c>
      <c r="F1" s="25" t="s">
        <v>154</v>
      </c>
      <c r="G1" s="25" t="s">
        <v>155</v>
      </c>
      <c r="H1" s="25" t="s">
        <v>156</v>
      </c>
      <c r="I1" s="25" t="s">
        <v>157</v>
      </c>
      <c r="J1" s="25" t="s">
        <v>158</v>
      </c>
      <c r="K1" s="25" t="s">
        <v>159</v>
      </c>
      <c r="L1" s="25" t="s">
        <v>160</v>
      </c>
      <c r="M1" s="25" t="s">
        <v>161</v>
      </c>
      <c r="N1" s="25" t="s">
        <v>162</v>
      </c>
      <c r="O1" s="25" t="s">
        <v>163</v>
      </c>
      <c r="P1" s="25" t="s">
        <v>164</v>
      </c>
      <c r="Q1" s="109" t="s">
        <v>145</v>
      </c>
      <c r="R1" s="106" t="s">
        <v>146</v>
      </c>
      <c r="S1" s="106" t="s">
        <v>147</v>
      </c>
      <c r="T1" s="106" t="s">
        <v>148</v>
      </c>
      <c r="U1" s="25" t="s">
        <v>150</v>
      </c>
    </row>
    <row r="2" spans="1:21" x14ac:dyDescent="0.2">
      <c r="A2" s="106"/>
      <c r="B2" s="106"/>
      <c r="C2" s="106"/>
      <c r="D2" s="106"/>
      <c r="E2" s="106"/>
      <c r="F2" s="106"/>
      <c r="G2" s="106"/>
      <c r="H2" s="174"/>
      <c r="I2" s="106"/>
      <c r="J2" s="106"/>
      <c r="K2" s="106"/>
      <c r="L2" s="106"/>
      <c r="M2" s="106"/>
      <c r="N2" s="106"/>
      <c r="O2" s="106"/>
      <c r="P2" s="106"/>
      <c r="Q2" s="106"/>
      <c r="R2" s="106"/>
      <c r="S2" s="106"/>
      <c r="T2" s="106"/>
      <c r="U2" s="106"/>
    </row>
  </sheetData>
  <sheetProtection selectLockedCells="1" selectUnlockedCells="1"/>
  <phoneticPr fontId="14" type="noConversion"/>
  <conditionalFormatting sqref="A2:A1048576">
    <cfRule type="duplicateValues" dxfId="191" priority="8"/>
  </conditionalFormatting>
  <conditionalFormatting sqref="H2:U2">
    <cfRule type="cellIs" dxfId="190" priority="2" operator="equal">
      <formula>"Null"</formula>
    </cfRule>
    <cfRule type="cellIs" dxfId="189" priority="3" operator="equal">
      <formula>""</formula>
    </cfRule>
    <cfRule type="cellIs" dxfId="188" priority="4" operator="equal">
      <formula>"NA"</formula>
    </cfRule>
  </conditionalFormatting>
  <conditionalFormatting sqref="B1:B1048576">
    <cfRule type="duplicateValues" dxfId="187" priority="1"/>
  </conditionalFormatting>
  <conditionalFormatting sqref="H2">
    <cfRule type="duplicateValues" dxfId="186" priority="81522"/>
  </conditionalFormatting>
  <dataValidations disablePrompts="1" count="1">
    <dataValidation type="list" allowBlank="1" showDropDown="1" showInputMessage="1" showErrorMessage="1" sqref="EO2 OK2 YG2 AIC2 ARY2 BBU2 BLQ2 BVM2 CFI2 CPE2 CZA2 DIW2 DSS2 ECO2 EMK2 EWG2 FGC2 FPY2 FZU2 GJQ2 GTM2 HDI2 HNE2 HXA2 IGW2 IQS2 JAO2 JKK2 JUG2 KEC2 KNY2 KXU2 LHQ2 LRM2 MBI2 MLE2 MVA2 NEW2 NOS2 NYO2 OIK2 OSG2 PCC2 PLY2 PVU2 QFQ2 QPM2 QZI2 RJE2 RTA2 SCW2 SMS2 SWO2 TGK2 TQG2 UAC2 UJY2 UTU2 VDQ2 VNM2 VXI2 WHE2 WRA2 DW65488:DW65513 NS65488:NS65513 XO65488:XO65513 AHK65488:AHK65513 ARG65488:ARG65513 BBC65488:BBC65513 BKY65488:BKY65513 BUU65488:BUU65513 CEQ65488:CEQ65513 COM65488:COM65513 CYI65488:CYI65513 DIE65488:DIE65513 DSA65488:DSA65513 EBW65488:EBW65513 ELS65488:ELS65513 EVO65488:EVO65513 FFK65488:FFK65513 FPG65488:FPG65513 FZC65488:FZC65513 GIY65488:GIY65513 GSU65488:GSU65513 HCQ65488:HCQ65513 HMM65488:HMM65513 HWI65488:HWI65513 IGE65488:IGE65513 IQA65488:IQA65513 IZW65488:IZW65513 JJS65488:JJS65513 JTO65488:JTO65513 KDK65488:KDK65513 KNG65488:KNG65513 KXC65488:KXC65513 LGY65488:LGY65513 LQU65488:LQU65513 MAQ65488:MAQ65513 MKM65488:MKM65513 MUI65488:MUI65513 NEE65488:NEE65513 NOA65488:NOA65513 NXW65488:NXW65513 OHS65488:OHS65513 ORO65488:ORO65513 PBK65488:PBK65513 PLG65488:PLG65513 PVC65488:PVC65513 QEY65488:QEY65513 QOU65488:QOU65513 QYQ65488:QYQ65513 RIM65488:RIM65513 RSI65488:RSI65513 SCE65488:SCE65513 SMA65488:SMA65513 SVW65488:SVW65513 TFS65488:TFS65513 TPO65488:TPO65513 TZK65488:TZK65513 UJG65488:UJG65513 UTC65488:UTC65513 VCY65488:VCY65513 VMU65488:VMU65513 VWQ65488:VWQ65513 WGM65488:WGM65513 WQI65488:WQI65513 DW131024:DW131049 NS131024:NS131049 XO131024:XO131049 AHK131024:AHK131049 ARG131024:ARG131049 BBC131024:BBC131049 BKY131024:BKY131049 BUU131024:BUU131049 CEQ131024:CEQ131049 COM131024:COM131049 CYI131024:CYI131049 DIE131024:DIE131049 DSA131024:DSA131049 EBW131024:EBW131049 ELS131024:ELS131049 EVO131024:EVO131049 FFK131024:FFK131049 FPG131024:FPG131049 FZC131024:FZC131049 GIY131024:GIY131049 GSU131024:GSU131049 HCQ131024:HCQ131049 HMM131024:HMM131049 HWI131024:HWI131049 IGE131024:IGE131049 IQA131024:IQA131049 IZW131024:IZW131049 JJS131024:JJS131049 JTO131024:JTO131049 KDK131024:KDK131049 KNG131024:KNG131049 KXC131024:KXC131049 LGY131024:LGY131049 LQU131024:LQU131049 MAQ131024:MAQ131049 MKM131024:MKM131049 MUI131024:MUI131049 NEE131024:NEE131049 NOA131024:NOA131049 NXW131024:NXW131049 OHS131024:OHS131049 ORO131024:ORO131049 PBK131024:PBK131049 PLG131024:PLG131049 PVC131024:PVC131049 QEY131024:QEY131049 QOU131024:QOU131049 QYQ131024:QYQ131049 RIM131024:RIM131049 RSI131024:RSI131049 SCE131024:SCE131049 SMA131024:SMA131049 SVW131024:SVW131049 TFS131024:TFS131049 TPO131024:TPO131049 TZK131024:TZK131049 UJG131024:UJG131049 UTC131024:UTC131049 VCY131024:VCY131049 VMU131024:VMU131049 VWQ131024:VWQ131049 WGM131024:WGM131049 WQI131024:WQI131049 DW196560:DW196585 NS196560:NS196585 XO196560:XO196585 AHK196560:AHK196585 ARG196560:ARG196585 BBC196560:BBC196585 BKY196560:BKY196585 BUU196560:BUU196585 CEQ196560:CEQ196585 COM196560:COM196585 CYI196560:CYI196585 DIE196560:DIE196585 DSA196560:DSA196585 EBW196560:EBW196585 ELS196560:ELS196585 EVO196560:EVO196585 FFK196560:FFK196585 FPG196560:FPG196585 FZC196560:FZC196585 GIY196560:GIY196585 GSU196560:GSU196585 HCQ196560:HCQ196585 HMM196560:HMM196585 HWI196560:HWI196585 IGE196560:IGE196585 IQA196560:IQA196585 IZW196560:IZW196585 JJS196560:JJS196585 JTO196560:JTO196585 KDK196560:KDK196585 KNG196560:KNG196585 KXC196560:KXC196585 LGY196560:LGY196585 LQU196560:LQU196585 MAQ196560:MAQ196585 MKM196560:MKM196585 MUI196560:MUI196585 NEE196560:NEE196585 NOA196560:NOA196585 NXW196560:NXW196585 OHS196560:OHS196585 ORO196560:ORO196585 PBK196560:PBK196585 PLG196560:PLG196585 PVC196560:PVC196585 QEY196560:QEY196585 QOU196560:QOU196585 QYQ196560:QYQ196585 RIM196560:RIM196585 RSI196560:RSI196585 SCE196560:SCE196585 SMA196560:SMA196585 SVW196560:SVW196585 TFS196560:TFS196585 TPO196560:TPO196585 TZK196560:TZK196585 UJG196560:UJG196585 UTC196560:UTC196585 VCY196560:VCY196585 VMU196560:VMU196585 VWQ196560:VWQ196585 WGM196560:WGM196585 WQI196560:WQI196585 DW262096:DW262121 NS262096:NS262121 XO262096:XO262121 AHK262096:AHK262121 ARG262096:ARG262121 BBC262096:BBC262121 BKY262096:BKY262121 BUU262096:BUU262121 CEQ262096:CEQ262121 COM262096:COM262121 CYI262096:CYI262121 DIE262096:DIE262121 DSA262096:DSA262121 EBW262096:EBW262121 ELS262096:ELS262121 EVO262096:EVO262121 FFK262096:FFK262121 FPG262096:FPG262121 FZC262096:FZC262121 GIY262096:GIY262121 GSU262096:GSU262121 HCQ262096:HCQ262121 HMM262096:HMM262121 HWI262096:HWI262121 IGE262096:IGE262121 IQA262096:IQA262121 IZW262096:IZW262121 JJS262096:JJS262121 JTO262096:JTO262121 KDK262096:KDK262121 KNG262096:KNG262121 KXC262096:KXC262121 LGY262096:LGY262121 LQU262096:LQU262121 MAQ262096:MAQ262121 MKM262096:MKM262121 MUI262096:MUI262121 NEE262096:NEE262121 NOA262096:NOA262121 NXW262096:NXW262121 OHS262096:OHS262121 ORO262096:ORO262121 PBK262096:PBK262121 PLG262096:PLG262121 PVC262096:PVC262121 QEY262096:QEY262121 QOU262096:QOU262121 QYQ262096:QYQ262121 RIM262096:RIM262121 RSI262096:RSI262121 SCE262096:SCE262121 SMA262096:SMA262121 SVW262096:SVW262121 TFS262096:TFS262121 TPO262096:TPO262121 TZK262096:TZK262121 UJG262096:UJG262121 UTC262096:UTC262121 VCY262096:VCY262121 VMU262096:VMU262121 VWQ262096:VWQ262121 WGM262096:WGM262121 WQI262096:WQI262121 DW327632:DW327657 NS327632:NS327657 XO327632:XO327657 AHK327632:AHK327657 ARG327632:ARG327657 BBC327632:BBC327657 BKY327632:BKY327657 BUU327632:BUU327657 CEQ327632:CEQ327657 COM327632:COM327657 CYI327632:CYI327657 DIE327632:DIE327657 DSA327632:DSA327657 EBW327632:EBW327657 ELS327632:ELS327657 EVO327632:EVO327657 FFK327632:FFK327657 FPG327632:FPG327657 FZC327632:FZC327657 GIY327632:GIY327657 GSU327632:GSU327657 HCQ327632:HCQ327657 HMM327632:HMM327657 HWI327632:HWI327657 IGE327632:IGE327657 IQA327632:IQA327657 IZW327632:IZW327657 JJS327632:JJS327657 JTO327632:JTO327657 KDK327632:KDK327657 KNG327632:KNG327657 KXC327632:KXC327657 LGY327632:LGY327657 LQU327632:LQU327657 MAQ327632:MAQ327657 MKM327632:MKM327657 MUI327632:MUI327657 NEE327632:NEE327657 NOA327632:NOA327657 NXW327632:NXW327657 OHS327632:OHS327657 ORO327632:ORO327657 PBK327632:PBK327657 PLG327632:PLG327657 PVC327632:PVC327657 QEY327632:QEY327657 QOU327632:QOU327657 QYQ327632:QYQ327657 RIM327632:RIM327657 RSI327632:RSI327657 SCE327632:SCE327657 SMA327632:SMA327657 SVW327632:SVW327657 TFS327632:TFS327657 TPO327632:TPO327657 TZK327632:TZK327657 UJG327632:UJG327657 UTC327632:UTC327657 VCY327632:VCY327657 VMU327632:VMU327657 VWQ327632:VWQ327657 WGM327632:WGM327657 WQI327632:WQI327657 DW393168:DW393193 NS393168:NS393193 XO393168:XO393193 AHK393168:AHK393193 ARG393168:ARG393193 BBC393168:BBC393193 BKY393168:BKY393193 BUU393168:BUU393193 CEQ393168:CEQ393193 COM393168:COM393193 CYI393168:CYI393193 DIE393168:DIE393193 DSA393168:DSA393193 EBW393168:EBW393193 ELS393168:ELS393193 EVO393168:EVO393193 FFK393168:FFK393193 FPG393168:FPG393193 FZC393168:FZC393193 GIY393168:GIY393193 GSU393168:GSU393193 HCQ393168:HCQ393193 HMM393168:HMM393193 HWI393168:HWI393193 IGE393168:IGE393193 IQA393168:IQA393193 IZW393168:IZW393193 JJS393168:JJS393193 JTO393168:JTO393193 KDK393168:KDK393193 KNG393168:KNG393193 KXC393168:KXC393193 LGY393168:LGY393193 LQU393168:LQU393193 MAQ393168:MAQ393193 MKM393168:MKM393193 MUI393168:MUI393193 NEE393168:NEE393193 NOA393168:NOA393193 NXW393168:NXW393193 OHS393168:OHS393193 ORO393168:ORO393193 PBK393168:PBK393193 PLG393168:PLG393193 PVC393168:PVC393193 QEY393168:QEY393193 QOU393168:QOU393193 QYQ393168:QYQ393193 RIM393168:RIM393193 RSI393168:RSI393193 SCE393168:SCE393193 SMA393168:SMA393193 SVW393168:SVW393193 TFS393168:TFS393193 TPO393168:TPO393193 TZK393168:TZK393193 UJG393168:UJG393193 UTC393168:UTC393193 VCY393168:VCY393193 VMU393168:VMU393193 VWQ393168:VWQ393193 WGM393168:WGM393193 WQI393168:WQI393193 DW458704:DW458729 NS458704:NS458729 XO458704:XO458729 AHK458704:AHK458729 ARG458704:ARG458729 BBC458704:BBC458729 BKY458704:BKY458729 BUU458704:BUU458729 CEQ458704:CEQ458729 COM458704:COM458729 CYI458704:CYI458729 DIE458704:DIE458729 DSA458704:DSA458729 EBW458704:EBW458729 ELS458704:ELS458729 EVO458704:EVO458729 FFK458704:FFK458729 FPG458704:FPG458729 FZC458704:FZC458729 GIY458704:GIY458729 GSU458704:GSU458729 HCQ458704:HCQ458729 HMM458704:HMM458729 HWI458704:HWI458729 IGE458704:IGE458729 IQA458704:IQA458729 IZW458704:IZW458729 JJS458704:JJS458729 JTO458704:JTO458729 KDK458704:KDK458729 KNG458704:KNG458729 KXC458704:KXC458729 LGY458704:LGY458729 LQU458704:LQU458729 MAQ458704:MAQ458729 MKM458704:MKM458729 MUI458704:MUI458729 NEE458704:NEE458729 NOA458704:NOA458729 NXW458704:NXW458729 OHS458704:OHS458729 ORO458704:ORO458729 PBK458704:PBK458729 PLG458704:PLG458729 PVC458704:PVC458729 QEY458704:QEY458729 QOU458704:QOU458729 QYQ458704:QYQ458729 RIM458704:RIM458729 RSI458704:RSI458729 SCE458704:SCE458729 SMA458704:SMA458729 SVW458704:SVW458729 TFS458704:TFS458729 TPO458704:TPO458729 TZK458704:TZK458729 UJG458704:UJG458729 UTC458704:UTC458729 VCY458704:VCY458729 VMU458704:VMU458729 VWQ458704:VWQ458729 WGM458704:WGM458729 WQI458704:WQI458729 DW524240:DW524265 NS524240:NS524265 XO524240:XO524265 AHK524240:AHK524265 ARG524240:ARG524265 BBC524240:BBC524265 BKY524240:BKY524265 BUU524240:BUU524265 CEQ524240:CEQ524265 COM524240:COM524265 CYI524240:CYI524265 DIE524240:DIE524265 DSA524240:DSA524265 EBW524240:EBW524265 ELS524240:ELS524265 EVO524240:EVO524265 FFK524240:FFK524265 FPG524240:FPG524265 FZC524240:FZC524265 GIY524240:GIY524265 GSU524240:GSU524265 HCQ524240:HCQ524265 HMM524240:HMM524265 HWI524240:HWI524265 IGE524240:IGE524265 IQA524240:IQA524265 IZW524240:IZW524265 JJS524240:JJS524265 JTO524240:JTO524265 KDK524240:KDK524265 KNG524240:KNG524265 KXC524240:KXC524265 LGY524240:LGY524265 LQU524240:LQU524265 MAQ524240:MAQ524265 MKM524240:MKM524265 MUI524240:MUI524265 NEE524240:NEE524265 NOA524240:NOA524265 NXW524240:NXW524265 OHS524240:OHS524265 ORO524240:ORO524265 PBK524240:PBK524265 PLG524240:PLG524265 PVC524240:PVC524265 QEY524240:QEY524265 QOU524240:QOU524265 QYQ524240:QYQ524265 RIM524240:RIM524265 RSI524240:RSI524265 SCE524240:SCE524265 SMA524240:SMA524265 SVW524240:SVW524265 TFS524240:TFS524265 TPO524240:TPO524265 TZK524240:TZK524265 UJG524240:UJG524265 UTC524240:UTC524265 VCY524240:VCY524265 VMU524240:VMU524265 VWQ524240:VWQ524265 WGM524240:WGM524265 WQI524240:WQI524265 DW589776:DW589801 NS589776:NS589801 XO589776:XO589801 AHK589776:AHK589801 ARG589776:ARG589801 BBC589776:BBC589801 BKY589776:BKY589801 BUU589776:BUU589801 CEQ589776:CEQ589801 COM589776:COM589801 CYI589776:CYI589801 DIE589776:DIE589801 DSA589776:DSA589801 EBW589776:EBW589801 ELS589776:ELS589801 EVO589776:EVO589801 FFK589776:FFK589801 FPG589776:FPG589801 FZC589776:FZC589801 GIY589776:GIY589801 GSU589776:GSU589801 HCQ589776:HCQ589801 HMM589776:HMM589801 HWI589776:HWI589801 IGE589776:IGE589801 IQA589776:IQA589801 IZW589776:IZW589801 JJS589776:JJS589801 JTO589776:JTO589801 KDK589776:KDK589801 KNG589776:KNG589801 KXC589776:KXC589801 LGY589776:LGY589801 LQU589776:LQU589801 MAQ589776:MAQ589801 MKM589776:MKM589801 MUI589776:MUI589801 NEE589776:NEE589801 NOA589776:NOA589801 NXW589776:NXW589801 OHS589776:OHS589801 ORO589776:ORO589801 PBK589776:PBK589801 PLG589776:PLG589801 PVC589776:PVC589801 QEY589776:QEY589801 QOU589776:QOU589801 QYQ589776:QYQ589801 RIM589776:RIM589801 RSI589776:RSI589801 SCE589776:SCE589801 SMA589776:SMA589801 SVW589776:SVW589801 TFS589776:TFS589801 TPO589776:TPO589801 TZK589776:TZK589801 UJG589776:UJG589801 UTC589776:UTC589801 VCY589776:VCY589801 VMU589776:VMU589801 VWQ589776:VWQ589801 WGM589776:WGM589801 WQI589776:WQI589801 DW655312:DW655337 NS655312:NS655337 XO655312:XO655337 AHK655312:AHK655337 ARG655312:ARG655337 BBC655312:BBC655337 BKY655312:BKY655337 BUU655312:BUU655337 CEQ655312:CEQ655337 COM655312:COM655337 CYI655312:CYI655337 DIE655312:DIE655337 DSA655312:DSA655337 EBW655312:EBW655337 ELS655312:ELS655337 EVO655312:EVO655337 FFK655312:FFK655337 FPG655312:FPG655337 FZC655312:FZC655337 GIY655312:GIY655337 GSU655312:GSU655337 HCQ655312:HCQ655337 HMM655312:HMM655337 HWI655312:HWI655337 IGE655312:IGE655337 IQA655312:IQA655337 IZW655312:IZW655337 JJS655312:JJS655337 JTO655312:JTO655337 KDK655312:KDK655337 KNG655312:KNG655337 KXC655312:KXC655337 LGY655312:LGY655337 LQU655312:LQU655337 MAQ655312:MAQ655337 MKM655312:MKM655337 MUI655312:MUI655337 NEE655312:NEE655337 NOA655312:NOA655337 NXW655312:NXW655337 OHS655312:OHS655337 ORO655312:ORO655337 PBK655312:PBK655337 PLG655312:PLG655337 PVC655312:PVC655337 QEY655312:QEY655337 QOU655312:QOU655337 QYQ655312:QYQ655337 RIM655312:RIM655337 RSI655312:RSI655337 SCE655312:SCE655337 SMA655312:SMA655337 SVW655312:SVW655337 TFS655312:TFS655337 TPO655312:TPO655337 TZK655312:TZK655337 UJG655312:UJG655337 UTC655312:UTC655337 VCY655312:VCY655337 VMU655312:VMU655337 VWQ655312:VWQ655337 WGM655312:WGM655337 WQI655312:WQI655337 DW720848:DW720873 NS720848:NS720873 XO720848:XO720873 AHK720848:AHK720873 ARG720848:ARG720873 BBC720848:BBC720873 BKY720848:BKY720873 BUU720848:BUU720873 CEQ720848:CEQ720873 COM720848:COM720873 CYI720848:CYI720873 DIE720848:DIE720873 DSA720848:DSA720873 EBW720848:EBW720873 ELS720848:ELS720873 EVO720848:EVO720873 FFK720848:FFK720873 FPG720848:FPG720873 FZC720848:FZC720873 GIY720848:GIY720873 GSU720848:GSU720873 HCQ720848:HCQ720873 HMM720848:HMM720873 HWI720848:HWI720873 IGE720848:IGE720873 IQA720848:IQA720873 IZW720848:IZW720873 JJS720848:JJS720873 JTO720848:JTO720873 KDK720848:KDK720873 KNG720848:KNG720873 KXC720848:KXC720873 LGY720848:LGY720873 LQU720848:LQU720873 MAQ720848:MAQ720873 MKM720848:MKM720873 MUI720848:MUI720873 NEE720848:NEE720873 NOA720848:NOA720873 NXW720848:NXW720873 OHS720848:OHS720873 ORO720848:ORO720873 PBK720848:PBK720873 PLG720848:PLG720873 PVC720848:PVC720873 QEY720848:QEY720873 QOU720848:QOU720873 QYQ720848:QYQ720873 RIM720848:RIM720873 RSI720848:RSI720873 SCE720848:SCE720873 SMA720848:SMA720873 SVW720848:SVW720873 TFS720848:TFS720873 TPO720848:TPO720873 TZK720848:TZK720873 UJG720848:UJG720873 UTC720848:UTC720873 VCY720848:VCY720873 VMU720848:VMU720873 VWQ720848:VWQ720873 WGM720848:WGM720873 WQI720848:WQI720873 DW786384:DW786409 NS786384:NS786409 XO786384:XO786409 AHK786384:AHK786409 ARG786384:ARG786409 BBC786384:BBC786409 BKY786384:BKY786409 BUU786384:BUU786409 CEQ786384:CEQ786409 COM786384:COM786409 CYI786384:CYI786409 DIE786384:DIE786409 DSA786384:DSA786409 EBW786384:EBW786409 ELS786384:ELS786409 EVO786384:EVO786409 FFK786384:FFK786409 FPG786384:FPG786409 FZC786384:FZC786409 GIY786384:GIY786409 GSU786384:GSU786409 HCQ786384:HCQ786409 HMM786384:HMM786409 HWI786384:HWI786409 IGE786384:IGE786409 IQA786384:IQA786409 IZW786384:IZW786409 JJS786384:JJS786409 JTO786384:JTO786409 KDK786384:KDK786409 KNG786384:KNG786409 KXC786384:KXC786409 LGY786384:LGY786409 LQU786384:LQU786409 MAQ786384:MAQ786409 MKM786384:MKM786409 MUI786384:MUI786409 NEE786384:NEE786409 NOA786384:NOA786409 NXW786384:NXW786409 OHS786384:OHS786409 ORO786384:ORO786409 PBK786384:PBK786409 PLG786384:PLG786409 PVC786384:PVC786409 QEY786384:QEY786409 QOU786384:QOU786409 QYQ786384:QYQ786409 RIM786384:RIM786409 RSI786384:RSI786409 SCE786384:SCE786409 SMA786384:SMA786409 SVW786384:SVW786409 TFS786384:TFS786409 TPO786384:TPO786409 TZK786384:TZK786409 UJG786384:UJG786409 UTC786384:UTC786409 VCY786384:VCY786409 VMU786384:VMU786409 VWQ786384:VWQ786409 WGM786384:WGM786409 WQI786384:WQI786409 DW851920:DW851945 NS851920:NS851945 XO851920:XO851945 AHK851920:AHK851945 ARG851920:ARG851945 BBC851920:BBC851945 BKY851920:BKY851945 BUU851920:BUU851945 CEQ851920:CEQ851945 COM851920:COM851945 CYI851920:CYI851945 DIE851920:DIE851945 DSA851920:DSA851945 EBW851920:EBW851945 ELS851920:ELS851945 EVO851920:EVO851945 FFK851920:FFK851945 FPG851920:FPG851945 FZC851920:FZC851945 GIY851920:GIY851945 GSU851920:GSU851945 HCQ851920:HCQ851945 HMM851920:HMM851945 HWI851920:HWI851945 IGE851920:IGE851945 IQA851920:IQA851945 IZW851920:IZW851945 JJS851920:JJS851945 JTO851920:JTO851945 KDK851920:KDK851945 KNG851920:KNG851945 KXC851920:KXC851945 LGY851920:LGY851945 LQU851920:LQU851945 MAQ851920:MAQ851945 MKM851920:MKM851945 MUI851920:MUI851945 NEE851920:NEE851945 NOA851920:NOA851945 NXW851920:NXW851945 OHS851920:OHS851945 ORO851920:ORO851945 PBK851920:PBK851945 PLG851920:PLG851945 PVC851920:PVC851945 QEY851920:QEY851945 QOU851920:QOU851945 QYQ851920:QYQ851945 RIM851920:RIM851945 RSI851920:RSI851945 SCE851920:SCE851945 SMA851920:SMA851945 SVW851920:SVW851945 TFS851920:TFS851945 TPO851920:TPO851945 TZK851920:TZK851945 UJG851920:UJG851945 UTC851920:UTC851945 VCY851920:VCY851945 VMU851920:VMU851945 VWQ851920:VWQ851945 WGM851920:WGM851945 WQI851920:WQI851945 DW917456:DW917481 NS917456:NS917481 XO917456:XO917481 AHK917456:AHK917481 ARG917456:ARG917481 BBC917456:BBC917481 BKY917456:BKY917481 BUU917456:BUU917481 CEQ917456:CEQ917481 COM917456:COM917481 CYI917456:CYI917481 DIE917456:DIE917481 DSA917456:DSA917481 EBW917456:EBW917481 ELS917456:ELS917481 EVO917456:EVO917481 FFK917456:FFK917481 FPG917456:FPG917481 FZC917456:FZC917481 GIY917456:GIY917481 GSU917456:GSU917481 HCQ917456:HCQ917481 HMM917456:HMM917481 HWI917456:HWI917481 IGE917456:IGE917481 IQA917456:IQA917481 IZW917456:IZW917481 JJS917456:JJS917481 JTO917456:JTO917481 KDK917456:KDK917481 KNG917456:KNG917481 KXC917456:KXC917481 LGY917456:LGY917481 LQU917456:LQU917481 MAQ917456:MAQ917481 MKM917456:MKM917481 MUI917456:MUI917481 NEE917456:NEE917481 NOA917456:NOA917481 NXW917456:NXW917481 OHS917456:OHS917481 ORO917456:ORO917481 PBK917456:PBK917481 PLG917456:PLG917481 PVC917456:PVC917481 QEY917456:QEY917481 QOU917456:QOU917481 QYQ917456:QYQ917481 RIM917456:RIM917481 RSI917456:RSI917481 SCE917456:SCE917481 SMA917456:SMA917481 SVW917456:SVW917481 TFS917456:TFS917481 TPO917456:TPO917481 TZK917456:TZK917481 UJG917456:UJG917481 UTC917456:UTC917481 VCY917456:VCY917481 VMU917456:VMU917481 VWQ917456:VWQ917481 WGM917456:WGM917481 WQI917456:WQI917481 DW982992:DW983017 NS982992:NS983017 XO982992:XO983017 AHK982992:AHK983017 ARG982992:ARG983017 BBC982992:BBC983017 BKY982992:BKY983017 BUU982992:BUU983017 CEQ982992:CEQ983017 COM982992:COM983017 CYI982992:CYI983017 DIE982992:DIE983017 DSA982992:DSA983017 EBW982992:EBW983017 ELS982992:ELS983017 EVO982992:EVO983017 FFK982992:FFK983017 FPG982992:FPG983017 FZC982992:FZC983017 GIY982992:GIY983017 GSU982992:GSU983017 HCQ982992:HCQ983017 HMM982992:HMM983017 HWI982992:HWI983017 IGE982992:IGE983017 IQA982992:IQA983017 IZW982992:IZW983017 JJS982992:JJS983017 JTO982992:JTO983017 KDK982992:KDK983017 KNG982992:KNG983017 KXC982992:KXC983017 LGY982992:LGY983017 LQU982992:LQU983017 MAQ982992:MAQ983017 MKM982992:MKM983017 MUI982992:MUI983017 NEE982992:NEE983017 NOA982992:NOA983017 NXW982992:NXW983017 OHS982992:OHS983017 ORO982992:ORO983017 PBK982992:PBK983017 PLG982992:PLG983017 PVC982992:PVC983017 QEY982992:QEY983017 QOU982992:QOU983017 QYQ982992:QYQ983017 RIM982992:RIM983017 RSI982992:RSI983017 SCE982992:SCE983017 SMA982992:SMA983017 SVW982992:SVW983017 TFS982992:TFS983017 TPO982992:TPO983017 TZK982992:TZK983017 UJG982992:UJG983017 UTC982992:UTC983017 VCY982992:VCY983017 VMU982992:VMU983017 VWQ982992:VWQ983017 WGM982992:WGM983017 WQI982992:WQI983017 EJ2 OF2 YB2 AHX2 ART2 BBP2 BLL2 BVH2 CFD2 COZ2 CYV2 DIR2 DSN2 ECJ2 EMF2 EWB2 FFX2 FPT2 FZP2 GJL2 GTH2 HDD2 HMZ2 HWV2 IGR2 IQN2 JAJ2 JKF2 JUB2 KDX2 KNT2 KXP2 LHL2 LRH2 MBD2 MKZ2 MUV2 NER2 NON2 NYJ2 OIF2 OSB2 PBX2 PLT2 PVP2 QFL2 QPH2 QZD2 RIZ2 RSV2 SCR2 SMN2 SWJ2 TGF2 TQB2 TZX2 UJT2 UTP2 VDL2 VNH2 VXD2 WGZ2 WQV2 DR65488:DR65513 NN65488:NN65513 XJ65488:XJ65513 AHF65488:AHF65513 ARB65488:ARB65513 BAX65488:BAX65513 BKT65488:BKT65513 BUP65488:BUP65513 CEL65488:CEL65513 COH65488:COH65513 CYD65488:CYD65513 DHZ65488:DHZ65513 DRV65488:DRV65513 EBR65488:EBR65513 ELN65488:ELN65513 EVJ65488:EVJ65513 FFF65488:FFF65513 FPB65488:FPB65513 FYX65488:FYX65513 GIT65488:GIT65513 GSP65488:GSP65513 HCL65488:HCL65513 HMH65488:HMH65513 HWD65488:HWD65513 IFZ65488:IFZ65513 IPV65488:IPV65513 IZR65488:IZR65513 JJN65488:JJN65513 JTJ65488:JTJ65513 KDF65488:KDF65513 KNB65488:KNB65513 KWX65488:KWX65513 LGT65488:LGT65513 LQP65488:LQP65513 MAL65488:MAL65513 MKH65488:MKH65513 MUD65488:MUD65513 NDZ65488:NDZ65513 NNV65488:NNV65513 NXR65488:NXR65513 OHN65488:OHN65513 ORJ65488:ORJ65513 PBF65488:PBF65513 PLB65488:PLB65513 PUX65488:PUX65513 QET65488:QET65513 QOP65488:QOP65513 QYL65488:QYL65513 RIH65488:RIH65513 RSD65488:RSD65513 SBZ65488:SBZ65513 SLV65488:SLV65513 SVR65488:SVR65513 TFN65488:TFN65513 TPJ65488:TPJ65513 TZF65488:TZF65513 UJB65488:UJB65513 USX65488:USX65513 VCT65488:VCT65513 VMP65488:VMP65513 VWL65488:VWL65513 WGH65488:WGH65513 WQD65488:WQD65513 DR131024:DR131049 NN131024:NN131049 XJ131024:XJ131049 AHF131024:AHF131049 ARB131024:ARB131049 BAX131024:BAX131049 BKT131024:BKT131049 BUP131024:BUP131049 CEL131024:CEL131049 COH131024:COH131049 CYD131024:CYD131049 DHZ131024:DHZ131049 DRV131024:DRV131049 EBR131024:EBR131049 ELN131024:ELN131049 EVJ131024:EVJ131049 FFF131024:FFF131049 FPB131024:FPB131049 FYX131024:FYX131049 GIT131024:GIT131049 GSP131024:GSP131049 HCL131024:HCL131049 HMH131024:HMH131049 HWD131024:HWD131049 IFZ131024:IFZ131049 IPV131024:IPV131049 IZR131024:IZR131049 JJN131024:JJN131049 JTJ131024:JTJ131049 KDF131024:KDF131049 KNB131024:KNB131049 KWX131024:KWX131049 LGT131024:LGT131049 LQP131024:LQP131049 MAL131024:MAL131049 MKH131024:MKH131049 MUD131024:MUD131049 NDZ131024:NDZ131049 NNV131024:NNV131049 NXR131024:NXR131049 OHN131024:OHN131049 ORJ131024:ORJ131049 PBF131024:PBF131049 PLB131024:PLB131049 PUX131024:PUX131049 QET131024:QET131049 QOP131024:QOP131049 QYL131024:QYL131049 RIH131024:RIH131049 RSD131024:RSD131049 SBZ131024:SBZ131049 SLV131024:SLV131049 SVR131024:SVR131049 TFN131024:TFN131049 TPJ131024:TPJ131049 TZF131024:TZF131049 UJB131024:UJB131049 USX131024:USX131049 VCT131024:VCT131049 VMP131024:VMP131049 VWL131024:VWL131049 WGH131024:WGH131049 WQD131024:WQD131049 DR196560:DR196585 NN196560:NN196585 XJ196560:XJ196585 AHF196560:AHF196585 ARB196560:ARB196585 BAX196560:BAX196585 BKT196560:BKT196585 BUP196560:BUP196585 CEL196560:CEL196585 COH196560:COH196585 CYD196560:CYD196585 DHZ196560:DHZ196585 DRV196560:DRV196585 EBR196560:EBR196585 ELN196560:ELN196585 EVJ196560:EVJ196585 FFF196560:FFF196585 FPB196560:FPB196585 FYX196560:FYX196585 GIT196560:GIT196585 GSP196560:GSP196585 HCL196560:HCL196585 HMH196560:HMH196585 HWD196560:HWD196585 IFZ196560:IFZ196585 IPV196560:IPV196585 IZR196560:IZR196585 JJN196560:JJN196585 JTJ196560:JTJ196585 KDF196560:KDF196585 KNB196560:KNB196585 KWX196560:KWX196585 LGT196560:LGT196585 LQP196560:LQP196585 MAL196560:MAL196585 MKH196560:MKH196585 MUD196560:MUD196585 NDZ196560:NDZ196585 NNV196560:NNV196585 NXR196560:NXR196585 OHN196560:OHN196585 ORJ196560:ORJ196585 PBF196560:PBF196585 PLB196560:PLB196585 PUX196560:PUX196585 QET196560:QET196585 QOP196560:QOP196585 QYL196560:QYL196585 RIH196560:RIH196585 RSD196560:RSD196585 SBZ196560:SBZ196585 SLV196560:SLV196585 SVR196560:SVR196585 TFN196560:TFN196585 TPJ196560:TPJ196585 TZF196560:TZF196585 UJB196560:UJB196585 USX196560:USX196585 VCT196560:VCT196585 VMP196560:VMP196585 VWL196560:VWL196585 WGH196560:WGH196585 WQD196560:WQD196585 DR262096:DR262121 NN262096:NN262121 XJ262096:XJ262121 AHF262096:AHF262121 ARB262096:ARB262121 BAX262096:BAX262121 BKT262096:BKT262121 BUP262096:BUP262121 CEL262096:CEL262121 COH262096:COH262121 CYD262096:CYD262121 DHZ262096:DHZ262121 DRV262096:DRV262121 EBR262096:EBR262121 ELN262096:ELN262121 EVJ262096:EVJ262121 FFF262096:FFF262121 FPB262096:FPB262121 FYX262096:FYX262121 GIT262096:GIT262121 GSP262096:GSP262121 HCL262096:HCL262121 HMH262096:HMH262121 HWD262096:HWD262121 IFZ262096:IFZ262121 IPV262096:IPV262121 IZR262096:IZR262121 JJN262096:JJN262121 JTJ262096:JTJ262121 KDF262096:KDF262121 KNB262096:KNB262121 KWX262096:KWX262121 LGT262096:LGT262121 LQP262096:LQP262121 MAL262096:MAL262121 MKH262096:MKH262121 MUD262096:MUD262121 NDZ262096:NDZ262121 NNV262096:NNV262121 NXR262096:NXR262121 OHN262096:OHN262121 ORJ262096:ORJ262121 PBF262096:PBF262121 PLB262096:PLB262121 PUX262096:PUX262121 QET262096:QET262121 QOP262096:QOP262121 QYL262096:QYL262121 RIH262096:RIH262121 RSD262096:RSD262121 SBZ262096:SBZ262121 SLV262096:SLV262121 SVR262096:SVR262121 TFN262096:TFN262121 TPJ262096:TPJ262121 TZF262096:TZF262121 UJB262096:UJB262121 USX262096:USX262121 VCT262096:VCT262121 VMP262096:VMP262121 VWL262096:VWL262121 WGH262096:WGH262121 WQD262096:WQD262121 DR327632:DR327657 NN327632:NN327657 XJ327632:XJ327657 AHF327632:AHF327657 ARB327632:ARB327657 BAX327632:BAX327657 BKT327632:BKT327657 BUP327632:BUP327657 CEL327632:CEL327657 COH327632:COH327657 CYD327632:CYD327657 DHZ327632:DHZ327657 DRV327632:DRV327657 EBR327632:EBR327657 ELN327632:ELN327657 EVJ327632:EVJ327657 FFF327632:FFF327657 FPB327632:FPB327657 FYX327632:FYX327657 GIT327632:GIT327657 GSP327632:GSP327657 HCL327632:HCL327657 HMH327632:HMH327657 HWD327632:HWD327657 IFZ327632:IFZ327657 IPV327632:IPV327657 IZR327632:IZR327657 JJN327632:JJN327657 JTJ327632:JTJ327657 KDF327632:KDF327657 KNB327632:KNB327657 KWX327632:KWX327657 LGT327632:LGT327657 LQP327632:LQP327657 MAL327632:MAL327657 MKH327632:MKH327657 MUD327632:MUD327657 NDZ327632:NDZ327657 NNV327632:NNV327657 NXR327632:NXR327657 OHN327632:OHN327657 ORJ327632:ORJ327657 PBF327632:PBF327657 PLB327632:PLB327657 PUX327632:PUX327657 QET327632:QET327657 QOP327632:QOP327657 QYL327632:QYL327657 RIH327632:RIH327657 RSD327632:RSD327657 SBZ327632:SBZ327657 SLV327632:SLV327657 SVR327632:SVR327657 TFN327632:TFN327657 TPJ327632:TPJ327657 TZF327632:TZF327657 UJB327632:UJB327657 USX327632:USX327657 VCT327632:VCT327657 VMP327632:VMP327657 VWL327632:VWL327657 WGH327632:WGH327657 WQD327632:WQD327657 DR393168:DR393193 NN393168:NN393193 XJ393168:XJ393193 AHF393168:AHF393193 ARB393168:ARB393193 BAX393168:BAX393193 BKT393168:BKT393193 BUP393168:BUP393193 CEL393168:CEL393193 COH393168:COH393193 CYD393168:CYD393193 DHZ393168:DHZ393193 DRV393168:DRV393193 EBR393168:EBR393193 ELN393168:ELN393193 EVJ393168:EVJ393193 FFF393168:FFF393193 FPB393168:FPB393193 FYX393168:FYX393193 GIT393168:GIT393193 GSP393168:GSP393193 HCL393168:HCL393193 HMH393168:HMH393193 HWD393168:HWD393193 IFZ393168:IFZ393193 IPV393168:IPV393193 IZR393168:IZR393193 JJN393168:JJN393193 JTJ393168:JTJ393193 KDF393168:KDF393193 KNB393168:KNB393193 KWX393168:KWX393193 LGT393168:LGT393193 LQP393168:LQP393193 MAL393168:MAL393193 MKH393168:MKH393193 MUD393168:MUD393193 NDZ393168:NDZ393193 NNV393168:NNV393193 NXR393168:NXR393193 OHN393168:OHN393193 ORJ393168:ORJ393193 PBF393168:PBF393193 PLB393168:PLB393193 PUX393168:PUX393193 QET393168:QET393193 QOP393168:QOP393193 QYL393168:QYL393193 RIH393168:RIH393193 RSD393168:RSD393193 SBZ393168:SBZ393193 SLV393168:SLV393193 SVR393168:SVR393193 TFN393168:TFN393193 TPJ393168:TPJ393193 TZF393168:TZF393193 UJB393168:UJB393193 USX393168:USX393193 VCT393168:VCT393193 VMP393168:VMP393193 VWL393168:VWL393193 WGH393168:WGH393193 WQD393168:WQD393193 DR458704:DR458729 NN458704:NN458729 XJ458704:XJ458729 AHF458704:AHF458729 ARB458704:ARB458729 BAX458704:BAX458729 BKT458704:BKT458729 BUP458704:BUP458729 CEL458704:CEL458729 COH458704:COH458729 CYD458704:CYD458729 DHZ458704:DHZ458729 DRV458704:DRV458729 EBR458704:EBR458729 ELN458704:ELN458729 EVJ458704:EVJ458729 FFF458704:FFF458729 FPB458704:FPB458729 FYX458704:FYX458729 GIT458704:GIT458729 GSP458704:GSP458729 HCL458704:HCL458729 HMH458704:HMH458729 HWD458704:HWD458729 IFZ458704:IFZ458729 IPV458704:IPV458729 IZR458704:IZR458729 JJN458704:JJN458729 JTJ458704:JTJ458729 KDF458704:KDF458729 KNB458704:KNB458729 KWX458704:KWX458729 LGT458704:LGT458729 LQP458704:LQP458729 MAL458704:MAL458729 MKH458704:MKH458729 MUD458704:MUD458729 NDZ458704:NDZ458729 NNV458704:NNV458729 NXR458704:NXR458729 OHN458704:OHN458729 ORJ458704:ORJ458729 PBF458704:PBF458729 PLB458704:PLB458729 PUX458704:PUX458729 QET458704:QET458729 QOP458704:QOP458729 QYL458704:QYL458729 RIH458704:RIH458729 RSD458704:RSD458729 SBZ458704:SBZ458729 SLV458704:SLV458729 SVR458704:SVR458729 TFN458704:TFN458729 TPJ458704:TPJ458729 TZF458704:TZF458729 UJB458704:UJB458729 USX458704:USX458729 VCT458704:VCT458729 VMP458704:VMP458729 VWL458704:VWL458729 WGH458704:WGH458729 WQD458704:WQD458729 DR524240:DR524265 NN524240:NN524265 XJ524240:XJ524265 AHF524240:AHF524265 ARB524240:ARB524265 BAX524240:BAX524265 BKT524240:BKT524265 BUP524240:BUP524265 CEL524240:CEL524265 COH524240:COH524265 CYD524240:CYD524265 DHZ524240:DHZ524265 DRV524240:DRV524265 EBR524240:EBR524265 ELN524240:ELN524265 EVJ524240:EVJ524265 FFF524240:FFF524265 FPB524240:FPB524265 FYX524240:FYX524265 GIT524240:GIT524265 GSP524240:GSP524265 HCL524240:HCL524265 HMH524240:HMH524265 HWD524240:HWD524265 IFZ524240:IFZ524265 IPV524240:IPV524265 IZR524240:IZR524265 JJN524240:JJN524265 JTJ524240:JTJ524265 KDF524240:KDF524265 KNB524240:KNB524265 KWX524240:KWX524265 LGT524240:LGT524265 LQP524240:LQP524265 MAL524240:MAL524265 MKH524240:MKH524265 MUD524240:MUD524265 NDZ524240:NDZ524265 NNV524240:NNV524265 NXR524240:NXR524265 OHN524240:OHN524265 ORJ524240:ORJ524265 PBF524240:PBF524265 PLB524240:PLB524265 PUX524240:PUX524265 QET524240:QET524265 QOP524240:QOP524265 QYL524240:QYL524265 RIH524240:RIH524265 RSD524240:RSD524265 SBZ524240:SBZ524265 SLV524240:SLV524265 SVR524240:SVR524265 TFN524240:TFN524265 TPJ524240:TPJ524265 TZF524240:TZF524265 UJB524240:UJB524265 USX524240:USX524265 VCT524240:VCT524265 VMP524240:VMP524265 VWL524240:VWL524265 WGH524240:WGH524265 WQD524240:WQD524265 DR589776:DR589801 NN589776:NN589801 XJ589776:XJ589801 AHF589776:AHF589801 ARB589776:ARB589801 BAX589776:BAX589801 BKT589776:BKT589801 BUP589776:BUP589801 CEL589776:CEL589801 COH589776:COH589801 CYD589776:CYD589801 DHZ589776:DHZ589801 DRV589776:DRV589801 EBR589776:EBR589801 ELN589776:ELN589801 EVJ589776:EVJ589801 FFF589776:FFF589801 FPB589776:FPB589801 FYX589776:FYX589801 GIT589776:GIT589801 GSP589776:GSP589801 HCL589776:HCL589801 HMH589776:HMH589801 HWD589776:HWD589801 IFZ589776:IFZ589801 IPV589776:IPV589801 IZR589776:IZR589801 JJN589776:JJN589801 JTJ589776:JTJ589801 KDF589776:KDF589801 KNB589776:KNB589801 KWX589776:KWX589801 LGT589776:LGT589801 LQP589776:LQP589801 MAL589776:MAL589801 MKH589776:MKH589801 MUD589776:MUD589801 NDZ589776:NDZ589801 NNV589776:NNV589801 NXR589776:NXR589801 OHN589776:OHN589801 ORJ589776:ORJ589801 PBF589776:PBF589801 PLB589776:PLB589801 PUX589776:PUX589801 QET589776:QET589801 QOP589776:QOP589801 QYL589776:QYL589801 RIH589776:RIH589801 RSD589776:RSD589801 SBZ589776:SBZ589801 SLV589776:SLV589801 SVR589776:SVR589801 TFN589776:TFN589801 TPJ589776:TPJ589801 TZF589776:TZF589801 UJB589776:UJB589801 USX589776:USX589801 VCT589776:VCT589801 VMP589776:VMP589801 VWL589776:VWL589801 WGH589776:WGH589801 WQD589776:WQD589801 DR655312:DR655337 NN655312:NN655337 XJ655312:XJ655337 AHF655312:AHF655337 ARB655312:ARB655337 BAX655312:BAX655337 BKT655312:BKT655337 BUP655312:BUP655337 CEL655312:CEL655337 COH655312:COH655337 CYD655312:CYD655337 DHZ655312:DHZ655337 DRV655312:DRV655337 EBR655312:EBR655337 ELN655312:ELN655337 EVJ655312:EVJ655337 FFF655312:FFF655337 FPB655312:FPB655337 FYX655312:FYX655337 GIT655312:GIT655337 GSP655312:GSP655337 HCL655312:HCL655337 HMH655312:HMH655337 HWD655312:HWD655337 IFZ655312:IFZ655337 IPV655312:IPV655337 IZR655312:IZR655337 JJN655312:JJN655337 JTJ655312:JTJ655337 KDF655312:KDF655337 KNB655312:KNB655337 KWX655312:KWX655337 LGT655312:LGT655337 LQP655312:LQP655337 MAL655312:MAL655337 MKH655312:MKH655337 MUD655312:MUD655337 NDZ655312:NDZ655337 NNV655312:NNV655337 NXR655312:NXR655337 OHN655312:OHN655337 ORJ655312:ORJ655337 PBF655312:PBF655337 PLB655312:PLB655337 PUX655312:PUX655337 QET655312:QET655337 QOP655312:QOP655337 QYL655312:QYL655337 RIH655312:RIH655337 RSD655312:RSD655337 SBZ655312:SBZ655337 SLV655312:SLV655337 SVR655312:SVR655337 TFN655312:TFN655337 TPJ655312:TPJ655337 TZF655312:TZF655337 UJB655312:UJB655337 USX655312:USX655337 VCT655312:VCT655337 VMP655312:VMP655337 VWL655312:VWL655337 WGH655312:WGH655337 WQD655312:WQD655337 DR720848:DR720873 NN720848:NN720873 XJ720848:XJ720873 AHF720848:AHF720873 ARB720848:ARB720873 BAX720848:BAX720873 BKT720848:BKT720873 BUP720848:BUP720873 CEL720848:CEL720873 COH720848:COH720873 CYD720848:CYD720873 DHZ720848:DHZ720873 DRV720848:DRV720873 EBR720848:EBR720873 ELN720848:ELN720873 EVJ720848:EVJ720873 FFF720848:FFF720873 FPB720848:FPB720873 FYX720848:FYX720873 GIT720848:GIT720873 GSP720848:GSP720873 HCL720848:HCL720873 HMH720848:HMH720873 HWD720848:HWD720873 IFZ720848:IFZ720873 IPV720848:IPV720873 IZR720848:IZR720873 JJN720848:JJN720873 JTJ720848:JTJ720873 KDF720848:KDF720873 KNB720848:KNB720873 KWX720848:KWX720873 LGT720848:LGT720873 LQP720848:LQP720873 MAL720848:MAL720873 MKH720848:MKH720873 MUD720848:MUD720873 NDZ720848:NDZ720873 NNV720848:NNV720873 NXR720848:NXR720873 OHN720848:OHN720873 ORJ720848:ORJ720873 PBF720848:PBF720873 PLB720848:PLB720873 PUX720848:PUX720873 QET720848:QET720873 QOP720848:QOP720873 QYL720848:QYL720873 RIH720848:RIH720873 RSD720848:RSD720873 SBZ720848:SBZ720873 SLV720848:SLV720873 SVR720848:SVR720873 TFN720848:TFN720873 TPJ720848:TPJ720873 TZF720848:TZF720873 UJB720848:UJB720873 USX720848:USX720873 VCT720848:VCT720873 VMP720848:VMP720873 VWL720848:VWL720873 WGH720848:WGH720873 WQD720848:WQD720873 DR786384:DR786409 NN786384:NN786409 XJ786384:XJ786409 AHF786384:AHF786409 ARB786384:ARB786409 BAX786384:BAX786409 BKT786384:BKT786409 BUP786384:BUP786409 CEL786384:CEL786409 COH786384:COH786409 CYD786384:CYD786409 DHZ786384:DHZ786409 DRV786384:DRV786409 EBR786384:EBR786409 ELN786384:ELN786409 EVJ786384:EVJ786409 FFF786384:FFF786409 FPB786384:FPB786409 FYX786384:FYX786409 GIT786384:GIT786409 GSP786384:GSP786409 HCL786384:HCL786409 HMH786384:HMH786409 HWD786384:HWD786409 IFZ786384:IFZ786409 IPV786384:IPV786409 IZR786384:IZR786409 JJN786384:JJN786409 JTJ786384:JTJ786409 KDF786384:KDF786409 KNB786384:KNB786409 KWX786384:KWX786409 LGT786384:LGT786409 LQP786384:LQP786409 MAL786384:MAL786409 MKH786384:MKH786409 MUD786384:MUD786409 NDZ786384:NDZ786409 NNV786384:NNV786409 NXR786384:NXR786409 OHN786384:OHN786409 ORJ786384:ORJ786409 PBF786384:PBF786409 PLB786384:PLB786409 PUX786384:PUX786409 QET786384:QET786409 QOP786384:QOP786409 QYL786384:QYL786409 RIH786384:RIH786409 RSD786384:RSD786409 SBZ786384:SBZ786409 SLV786384:SLV786409 SVR786384:SVR786409 TFN786384:TFN786409 TPJ786384:TPJ786409 TZF786384:TZF786409 UJB786384:UJB786409 USX786384:USX786409 VCT786384:VCT786409 VMP786384:VMP786409 VWL786384:VWL786409 WGH786384:WGH786409 WQD786384:WQD786409 DR851920:DR851945 NN851920:NN851945 XJ851920:XJ851945 AHF851920:AHF851945 ARB851920:ARB851945 BAX851920:BAX851945 BKT851920:BKT851945 BUP851920:BUP851945 CEL851920:CEL851945 COH851920:COH851945 CYD851920:CYD851945 DHZ851920:DHZ851945 DRV851920:DRV851945 EBR851920:EBR851945 ELN851920:ELN851945 EVJ851920:EVJ851945 FFF851920:FFF851945 FPB851920:FPB851945 FYX851920:FYX851945 GIT851920:GIT851945 GSP851920:GSP851945 HCL851920:HCL851945 HMH851920:HMH851945 HWD851920:HWD851945 IFZ851920:IFZ851945 IPV851920:IPV851945 IZR851920:IZR851945 JJN851920:JJN851945 JTJ851920:JTJ851945 KDF851920:KDF851945 KNB851920:KNB851945 KWX851920:KWX851945 LGT851920:LGT851945 LQP851920:LQP851945 MAL851920:MAL851945 MKH851920:MKH851945 MUD851920:MUD851945 NDZ851920:NDZ851945 NNV851920:NNV851945 NXR851920:NXR851945 OHN851920:OHN851945 ORJ851920:ORJ851945 PBF851920:PBF851945 PLB851920:PLB851945 PUX851920:PUX851945 QET851920:QET851945 QOP851920:QOP851945 QYL851920:QYL851945 RIH851920:RIH851945 RSD851920:RSD851945 SBZ851920:SBZ851945 SLV851920:SLV851945 SVR851920:SVR851945 TFN851920:TFN851945 TPJ851920:TPJ851945 TZF851920:TZF851945 UJB851920:UJB851945 USX851920:USX851945 VCT851920:VCT851945 VMP851920:VMP851945 VWL851920:VWL851945 WGH851920:WGH851945 WQD851920:WQD851945 DR917456:DR917481 NN917456:NN917481 XJ917456:XJ917481 AHF917456:AHF917481 ARB917456:ARB917481 BAX917456:BAX917481 BKT917456:BKT917481 BUP917456:BUP917481 CEL917456:CEL917481 COH917456:COH917481 CYD917456:CYD917481 DHZ917456:DHZ917481 DRV917456:DRV917481 EBR917456:EBR917481 ELN917456:ELN917481 EVJ917456:EVJ917481 FFF917456:FFF917481 FPB917456:FPB917481 FYX917456:FYX917481 GIT917456:GIT917481 GSP917456:GSP917481 HCL917456:HCL917481 HMH917456:HMH917481 HWD917456:HWD917481 IFZ917456:IFZ917481 IPV917456:IPV917481 IZR917456:IZR917481 JJN917456:JJN917481 JTJ917456:JTJ917481 KDF917456:KDF917481 KNB917456:KNB917481 KWX917456:KWX917481 LGT917456:LGT917481 LQP917456:LQP917481 MAL917456:MAL917481 MKH917456:MKH917481 MUD917456:MUD917481 NDZ917456:NDZ917481 NNV917456:NNV917481 NXR917456:NXR917481 OHN917456:OHN917481 ORJ917456:ORJ917481 PBF917456:PBF917481 PLB917456:PLB917481 PUX917456:PUX917481 QET917456:QET917481 QOP917456:QOP917481 QYL917456:QYL917481 RIH917456:RIH917481 RSD917456:RSD917481 SBZ917456:SBZ917481 SLV917456:SLV917481 SVR917456:SVR917481 TFN917456:TFN917481 TPJ917456:TPJ917481 TZF917456:TZF917481 UJB917456:UJB917481 USX917456:USX917481 VCT917456:VCT917481 VMP917456:VMP917481 VWL917456:VWL917481 WGH917456:WGH917481 WQD917456:WQD917481 DR982992:DR983017 NN982992:NN983017 XJ982992:XJ983017 AHF982992:AHF983017 ARB982992:ARB983017 BAX982992:BAX983017 BKT982992:BKT983017 BUP982992:BUP983017 CEL982992:CEL983017 COH982992:COH983017 CYD982992:CYD983017 DHZ982992:DHZ983017 DRV982992:DRV983017 EBR982992:EBR983017 ELN982992:ELN983017 EVJ982992:EVJ983017 FFF982992:FFF983017 FPB982992:FPB983017 FYX982992:FYX983017 GIT982992:GIT983017 GSP982992:GSP983017 HCL982992:HCL983017 HMH982992:HMH983017 HWD982992:HWD983017 IFZ982992:IFZ983017 IPV982992:IPV983017 IZR982992:IZR983017 JJN982992:JJN983017 JTJ982992:JTJ983017 KDF982992:KDF983017 KNB982992:KNB983017 KWX982992:KWX983017 LGT982992:LGT983017 LQP982992:LQP983017 MAL982992:MAL983017 MKH982992:MKH983017 MUD982992:MUD983017 NDZ982992:NDZ983017 NNV982992:NNV983017 NXR982992:NXR983017 OHN982992:OHN983017 ORJ982992:ORJ983017 PBF982992:PBF983017 PLB982992:PLB983017 PUX982992:PUX983017 QET982992:QET983017 QOP982992:QOP983017 QYL982992:QYL983017 RIH982992:RIH983017 RSD982992:RSD983017 SBZ982992:SBZ983017 SLV982992:SLV983017 SVR982992:SVR983017 TFN982992:TFN983017 TPJ982992:TPJ983017 TZF982992:TZF983017 UJB982992:UJB983017 USX982992:USX983017 VCT982992:VCT983017 VMP982992:VMP983017 VWL982992:VWL983017 WGH982992:WGH983017 WQD982992:WQD983017" xr:uid="{14A4E4CB-4DCB-444B-B6A8-6DBCE2CFB67A}"/>
  </dataValidations>
  <pageMargins left="0.78749999999999998" right="0.78749999999999998" top="1.0527777777777778" bottom="1.0527777777777778" header="0.78749999999999998" footer="0.78749999999999998"/>
  <pageSetup firstPageNumber="0" orientation="portrait" horizontalDpi="300" verticalDpi="300" r:id="rId1"/>
  <headerFooter alignWithMargins="0">
    <oddHeader>&amp;C&amp;"Times New Roman,Regular"&amp;12&amp;A</oddHead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IntroMsg">
                <anchor moveWithCells="1" sizeWithCells="1">
                  <from>
                    <xdr:col>1</xdr:col>
                    <xdr:colOff>1958340</xdr:colOff>
                    <xdr:row>0</xdr:row>
                    <xdr:rowOff>22860</xdr:rowOff>
                  </from>
                  <to>
                    <xdr:col>1</xdr:col>
                    <xdr:colOff>2880360</xdr:colOff>
                    <xdr:row>0</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110F0-6A84-44BD-82E8-AC8B4AB8A82E}">
  <sheetPr codeName="Sheet11">
    <tabColor rgb="FFFFC7CE"/>
  </sheetPr>
  <dimension ref="A1:X6"/>
  <sheetViews>
    <sheetView zoomScale="71" zoomScaleNormal="71" workbookViewId="0">
      <selection activeCell="Y1" sqref="Y1:Z1048576"/>
    </sheetView>
  </sheetViews>
  <sheetFormatPr defaultColWidth="11" defaultRowHeight="15.6" x14ac:dyDescent="0.3"/>
  <cols>
    <col min="1" max="1" width="8.19921875" customWidth="1"/>
    <col min="2" max="2" width="9.69921875" bestFit="1" customWidth="1"/>
    <col min="3" max="3" width="49.5" customWidth="1"/>
    <col min="4" max="4" width="15.5" customWidth="1"/>
    <col min="5" max="5" width="18.296875" customWidth="1"/>
    <col min="6" max="6" width="10.59765625" customWidth="1"/>
    <col min="7" max="7" width="16.59765625" customWidth="1"/>
    <col min="8" max="8" width="13" customWidth="1"/>
    <col min="9" max="9" width="16.59765625" customWidth="1"/>
    <col min="10" max="13" width="11" customWidth="1"/>
    <col min="14" max="14" width="12.59765625" customWidth="1"/>
    <col min="15" max="15" width="6.09765625" customWidth="1"/>
    <col min="16" max="16" width="3.5" customWidth="1"/>
    <col min="17" max="17" width="11" customWidth="1"/>
    <col min="18" max="18" width="8.59765625" customWidth="1"/>
    <col min="19" max="19" width="7.296875" customWidth="1"/>
    <col min="20" max="20" width="6.69921875" customWidth="1"/>
    <col min="21" max="21" width="14.59765625" customWidth="1"/>
    <col min="22" max="23" width="11" customWidth="1"/>
    <col min="24" max="24" width="48.296875" customWidth="1"/>
  </cols>
  <sheetData>
    <row r="1" spans="1:24" ht="20.100000000000001" customHeight="1" x14ac:dyDescent="0.3">
      <c r="A1" t="s">
        <v>68</v>
      </c>
      <c r="B1" t="s">
        <v>165</v>
      </c>
      <c r="C1" t="s">
        <v>166</v>
      </c>
      <c r="D1" t="s">
        <v>167</v>
      </c>
      <c r="E1" s="159" t="s">
        <v>168</v>
      </c>
      <c r="F1" t="s">
        <v>169</v>
      </c>
      <c r="G1" t="s">
        <v>170</v>
      </c>
      <c r="H1" t="s">
        <v>171</v>
      </c>
      <c r="I1" s="159" t="s">
        <v>172</v>
      </c>
      <c r="J1" t="s">
        <v>173</v>
      </c>
      <c r="K1" t="s">
        <v>174</v>
      </c>
      <c r="L1" t="s">
        <v>175</v>
      </c>
      <c r="M1" t="s">
        <v>176</v>
      </c>
      <c r="N1" s="159" t="s">
        <v>177</v>
      </c>
      <c r="O1" s="159" t="s">
        <v>79</v>
      </c>
      <c r="P1" t="s">
        <v>178</v>
      </c>
      <c r="Q1" s="159" t="s">
        <v>179</v>
      </c>
      <c r="R1" s="159" t="s">
        <v>180</v>
      </c>
      <c r="S1" s="159" t="s">
        <v>86</v>
      </c>
      <c r="T1" s="159" t="s">
        <v>42</v>
      </c>
      <c r="U1" s="159" t="s">
        <v>181</v>
      </c>
      <c r="V1" t="s">
        <v>182</v>
      </c>
      <c r="W1" t="s">
        <v>73</v>
      </c>
      <c r="X1" s="159" t="s">
        <v>183</v>
      </c>
    </row>
    <row r="2" spans="1:24" x14ac:dyDescent="0.3">
      <c r="A2" s="101"/>
      <c r="B2" s="101"/>
      <c r="C2" s="101"/>
      <c r="D2" s="101"/>
      <c r="E2" s="101">
        <f>_xlfn.XLOOKUP(tblDependencies[[#This Row],[AssetName]],tblApplications[common_assetName],tblApplications[common_moveBundle],"",0,1)</f>
        <v>0</v>
      </c>
      <c r="F2" s="101"/>
      <c r="G2" s="101"/>
      <c r="H2" s="101"/>
      <c r="I2" s="101">
        <f>_xlfn.XLOOKUP(tblDependencies[[#This Row],[DependentName]],tblTM[common_assetName],tblTM[common_moveBundle],"",0,1)</f>
        <v>0</v>
      </c>
      <c r="J2" s="101"/>
      <c r="K2" s="101"/>
      <c r="L2" s="101"/>
      <c r="M2" s="101"/>
      <c r="N2" s="101" t="str">
        <f>CONCATENATE(TEXT(_xlfn.XLOOKUP(tblDependencies[[#This Row],[AssetName]],tblDepApp[Applications],tblDepApp[Servers],"",0),"000"),"-",tblDependencies[[#This Row],[AssetName]])</f>
        <v>-</v>
      </c>
      <c r="O2" s="101" t="str">
        <f>TEXT(_xlfn.XLOOKUP(tblDependencies[[#This Row],[DependentName]],tblTM[common_assetName],tblTM[device_os],"r3m0v3m3",0,1),"")</f>
        <v/>
      </c>
      <c r="P2" s="101">
        <f>1</f>
        <v>1</v>
      </c>
      <c r="Q2" s="101">
        <f>_xlfn.XLOOKUP(tblDependencies[[#This Row],[DependentName]],tblTM[common_assetName],tblTM[common_environment],"",0,1)</f>
        <v>0</v>
      </c>
      <c r="R2" s="101" t="str">
        <f>TEXT(_xlfn.XLOOKUP(tblDependencies[[#This Row],[DependentName]],tblTM[common_assetName],tblTM[device_assetType],"-",0),"")</f>
        <v/>
      </c>
      <c r="S2" s="101" t="str">
        <f>LEFT(TEXT(_xlfn.XLOOKUP(tblDependencies[[#This Row],[DependentName]],tblTM[common_assetName],tblTM[device_custom20],"-",0),""),3)</f>
        <v/>
      </c>
      <c r="T2" s="101" t="str">
        <f>IF(LOWER(LEFT(_xlfn.XLOOKUP(tblDependencies[[#This Row],[DependentName]],tblTM[common_assetName],tblTM[device_custom45],"",0,1),1))="y","Yes","No")</f>
        <v>No</v>
      </c>
      <c r="U2" s="101">
        <f>_xlfn.XLOOKUP(tblDependencies[[#This Row],[DependentName]],tblTM[common_assetName],tblTM[device_ipAddress],"",0,1)</f>
        <v>0</v>
      </c>
      <c r="V2" s="101"/>
      <c r="W2" s="101"/>
      <c r="X2" s="101">
        <f>_xlfn.XLOOKUP(tblDependencies[[#This Row],[DependentName]],tblTM[common_assetName],tblTM[LB],"",0,1)</f>
        <v>0</v>
      </c>
    </row>
    <row r="5" spans="1:24" x14ac:dyDescent="0.3">
      <c r="C5" t="s">
        <v>43</v>
      </c>
      <c r="D5" t="s">
        <v>184</v>
      </c>
    </row>
    <row r="6" spans="1:24" x14ac:dyDescent="0.3">
      <c r="C6" s="166"/>
      <c r="D6" t="str">
        <f>_xlfn.LET(_xlpm.AppCount,COUNTIFS(tblDependencies[Scope],"",tblDependencies[AssetName],tblDepApp[[#This Row],[Applications]]),IF(_xlpm.AppCount=0,"",_xlpm.AppCount))</f>
        <v/>
      </c>
    </row>
  </sheetData>
  <phoneticPr fontId="14" type="noConversion"/>
  <conditionalFormatting sqref="C2:E2">
    <cfRule type="expression" dxfId="162" priority="3">
      <formula>INDIRECT("tblDependencies[@AssetBundle]")&lt;&gt;INDIRECT("tblDependencies[@DependentBundle]")</formula>
    </cfRule>
  </conditionalFormatting>
  <conditionalFormatting sqref="A2:X2">
    <cfRule type="expression" dxfId="161" priority="2">
      <formula>INDIRECT("tblDependencies[@Scope]")="OOS"</formula>
    </cfRule>
  </conditionalFormatting>
  <conditionalFormatting sqref="G2">
    <cfRule type="duplicateValues" dxfId="160" priority="8152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AAQDepPM">
                <anchor moveWithCells="1" sizeWithCells="1">
                  <from>
                    <xdr:col>2</xdr:col>
                    <xdr:colOff>1424940</xdr:colOff>
                    <xdr:row>0</xdr:row>
                    <xdr:rowOff>30480</xdr:rowOff>
                  </from>
                  <to>
                    <xdr:col>2</xdr:col>
                    <xdr:colOff>3131820</xdr:colOff>
                    <xdr:row>0</xdr:row>
                    <xdr:rowOff>205740</xdr:rowOff>
                  </to>
                </anchor>
              </controlPr>
            </control>
          </mc:Choice>
        </mc:AlternateContent>
      </controls>
    </mc:Choice>
  </mc:AlternateContent>
  <tableParts count="2">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8D72A-17B9-4E65-AFB7-1AEDAA154F03}">
  <sheetPr codeName="Sheet26">
    <tabColor rgb="FFFFC7CE"/>
  </sheetPr>
  <dimension ref="A1"/>
  <sheetViews>
    <sheetView workbookViewId="0">
      <selection activeCell="A2" sqref="A2"/>
    </sheetView>
  </sheetViews>
  <sheetFormatPr defaultColWidth="8.796875" defaultRowHeight="15.6" x14ac:dyDescent="0.3"/>
  <cols>
    <col min="1" max="1" width="20.59765625" customWidth="1"/>
    <col min="2" max="2" width="16.5" customWidth="1"/>
    <col min="3" max="10" width="20.5" customWidth="1"/>
    <col min="11" max="12" width="15.5" customWidth="1"/>
  </cols>
  <sheetData/>
  <conditionalFormatting sqref="B308:B1048576">
    <cfRule type="duplicateValues" dxfId="132" priority="66086"/>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4" r:id="rId3" name="Button 2">
              <controlPr defaultSize="0" print="0" autoFill="0" autoPict="0" macro="[0]!ClearAllTablesPM">
                <anchor moveWithCells="1" sizeWithCells="1">
                  <from>
                    <xdr:col>0</xdr:col>
                    <xdr:colOff>228600</xdr:colOff>
                    <xdr:row>0</xdr:row>
                    <xdr:rowOff>15240</xdr:rowOff>
                  </from>
                  <to>
                    <xdr:col>0</xdr:col>
                    <xdr:colOff>1318260</xdr:colOff>
                    <xdr:row>0</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01275-5347-4EC9-8CD3-E65CBE5E35D4}">
  <sheetPr codeName="Sheet20"/>
  <dimension ref="A3:B6"/>
  <sheetViews>
    <sheetView workbookViewId="0">
      <selection activeCell="A95" sqref="A95"/>
    </sheetView>
  </sheetViews>
  <sheetFormatPr defaultColWidth="9" defaultRowHeight="15.6" x14ac:dyDescent="0.3"/>
  <cols>
    <col min="1" max="1" width="22.19921875" bestFit="1" customWidth="1"/>
    <col min="2" max="2" width="8.296875" bestFit="1" customWidth="1"/>
  </cols>
  <sheetData>
    <row r="3" spans="1:2" x14ac:dyDescent="0.3">
      <c r="A3" s="34" t="s">
        <v>185</v>
      </c>
      <c r="B3" t="s">
        <v>186</v>
      </c>
    </row>
    <row r="4" spans="1:2" x14ac:dyDescent="0.3">
      <c r="A4" s="26" t="s">
        <v>419</v>
      </c>
      <c r="B4" s="209">
        <v>1</v>
      </c>
    </row>
    <row r="5" spans="1:2" x14ac:dyDescent="0.3">
      <c r="A5" s="35" t="s">
        <v>419</v>
      </c>
      <c r="B5" s="209">
        <v>1</v>
      </c>
    </row>
    <row r="6" spans="1:2" x14ac:dyDescent="0.3">
      <c r="A6" s="26" t="s">
        <v>187</v>
      </c>
      <c r="B6" s="20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48E59-9170-48A4-A717-C52B2DEA0F5F}">
  <sheetPr codeName="Sheet4"/>
  <dimension ref="A3:A8"/>
  <sheetViews>
    <sheetView workbookViewId="0">
      <selection activeCell="A13" sqref="A13"/>
    </sheetView>
  </sheetViews>
  <sheetFormatPr defaultRowHeight="15.6" x14ac:dyDescent="0.3"/>
  <cols>
    <col min="1" max="1" width="14.8984375" bestFit="1" customWidth="1"/>
  </cols>
  <sheetData>
    <row r="3" spans="1:1" x14ac:dyDescent="0.3">
      <c r="A3" s="34" t="s">
        <v>188</v>
      </c>
    </row>
    <row r="4" spans="1:1" x14ac:dyDescent="0.3">
      <c r="A4" s="26" t="s">
        <v>419</v>
      </c>
    </row>
    <row r="5" spans="1:1" x14ac:dyDescent="0.3">
      <c r="A5" s="35" t="s">
        <v>419</v>
      </c>
    </row>
    <row r="6" spans="1:1" x14ac:dyDescent="0.3">
      <c r="A6" s="70" t="s">
        <v>419</v>
      </c>
    </row>
    <row r="7" spans="1:1" x14ac:dyDescent="0.3">
      <c r="A7" s="71" t="s">
        <v>419</v>
      </c>
    </row>
    <row r="8" spans="1:1" x14ac:dyDescent="0.3">
      <c r="A8" s="26" t="s">
        <v>187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7D8D6-1088-43EA-A155-B40B2A32E5FF}">
  <sheetPr codeName="Sheet2">
    <tabColor rgb="FF8EA9DB"/>
  </sheetPr>
  <dimension ref="A1:B13"/>
  <sheetViews>
    <sheetView workbookViewId="0">
      <selection activeCell="B8" sqref="B8"/>
    </sheetView>
  </sheetViews>
  <sheetFormatPr defaultRowHeight="15.6" x14ac:dyDescent="0.3"/>
  <cols>
    <col min="1" max="1" width="14.59765625" style="40" customWidth="1"/>
    <col min="2" max="2" width="100.59765625" style="40" customWidth="1"/>
  </cols>
  <sheetData>
    <row r="1" spans="1:2" ht="16.2" thickBot="1" x14ac:dyDescent="0.35">
      <c r="A1" s="205" t="s">
        <v>189</v>
      </c>
      <c r="B1" s="206"/>
    </row>
    <row r="2" spans="1:2" x14ac:dyDescent="0.3">
      <c r="A2" s="49"/>
      <c r="B2" s="50"/>
    </row>
    <row r="3" spans="1:2" x14ac:dyDescent="0.3">
      <c r="A3" s="52" t="s">
        <v>190</v>
      </c>
      <c r="B3" s="53" t="s">
        <v>191</v>
      </c>
    </row>
    <row r="4" spans="1:2" x14ac:dyDescent="0.3">
      <c r="A4" s="42" t="s">
        <v>192</v>
      </c>
      <c r="B4" s="43" t="s">
        <v>193</v>
      </c>
    </row>
    <row r="5" spans="1:2" x14ac:dyDescent="0.3">
      <c r="A5" s="52" t="s">
        <v>190</v>
      </c>
      <c r="B5" s="53" t="s">
        <v>94</v>
      </c>
    </row>
    <row r="6" spans="1:2" ht="78" x14ac:dyDescent="0.3">
      <c r="A6" s="42" t="s">
        <v>194</v>
      </c>
      <c r="B6" s="44" t="s">
        <v>195</v>
      </c>
    </row>
    <row r="7" spans="1:2" ht="62.4" x14ac:dyDescent="0.3">
      <c r="A7" s="52" t="s">
        <v>190</v>
      </c>
      <c r="B7" s="53" t="s">
        <v>196</v>
      </c>
    </row>
    <row r="8" spans="1:2" ht="156" x14ac:dyDescent="0.3">
      <c r="A8" s="42" t="s">
        <v>197</v>
      </c>
      <c r="B8" s="44" t="s">
        <v>429</v>
      </c>
    </row>
    <row r="9" spans="1:2" x14ac:dyDescent="0.3">
      <c r="A9" s="42" t="s">
        <v>198</v>
      </c>
      <c r="B9" s="107">
        <f>TMWorkbook!C2-(7*7)</f>
        <v>46080</v>
      </c>
    </row>
    <row r="10" spans="1:2" ht="31.2" x14ac:dyDescent="0.3">
      <c r="A10" s="42" t="s">
        <v>199</v>
      </c>
      <c r="B10" s="44" t="s">
        <v>200</v>
      </c>
    </row>
    <row r="11" spans="1:2" x14ac:dyDescent="0.3">
      <c r="A11" s="52" t="s">
        <v>190</v>
      </c>
      <c r="B11" s="53" t="s">
        <v>201</v>
      </c>
    </row>
    <row r="12" spans="1:2" ht="31.2" x14ac:dyDescent="0.3">
      <c r="A12" s="42" t="s">
        <v>202</v>
      </c>
      <c r="B12" s="44" t="s">
        <v>203</v>
      </c>
    </row>
    <row r="13" spans="1:2" x14ac:dyDescent="0.3">
      <c r="A13" s="52" t="s">
        <v>190</v>
      </c>
      <c r="B13" s="53" t="s">
        <v>204</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troMsgTst">
                <anchor moveWithCells="1" sizeWithCells="1">
                  <from>
                    <xdr:col>0</xdr:col>
                    <xdr:colOff>22860</xdr:colOff>
                    <xdr:row>1</xdr:row>
                    <xdr:rowOff>30480</xdr:rowOff>
                  </from>
                  <to>
                    <xdr:col>0</xdr:col>
                    <xdr:colOff>1021080</xdr:colOff>
                    <xdr:row>2</xdr:row>
                    <xdr:rowOff>7620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0C879-C900-4B17-813A-F713F70CBEBA}">
  <sheetPr codeName="Sheet5">
    <tabColor rgb="FFC6E0B4"/>
  </sheetPr>
  <dimension ref="A1:B8"/>
  <sheetViews>
    <sheetView workbookViewId="0">
      <selection sqref="A1:B1"/>
    </sheetView>
  </sheetViews>
  <sheetFormatPr defaultRowHeight="15.6" x14ac:dyDescent="0.3"/>
  <cols>
    <col min="1" max="1" width="13.5" style="40" customWidth="1"/>
    <col min="2" max="2" width="100.59765625" style="40" customWidth="1"/>
  </cols>
  <sheetData>
    <row r="1" spans="1:2" x14ac:dyDescent="0.3">
      <c r="A1" s="207" t="s">
        <v>189</v>
      </c>
      <c r="B1" s="208"/>
    </row>
    <row r="2" spans="1:2" x14ac:dyDescent="0.3">
      <c r="A2" s="46"/>
      <c r="B2" s="43"/>
    </row>
    <row r="3" spans="1:2" x14ac:dyDescent="0.3">
      <c r="A3" s="51" t="s">
        <v>190</v>
      </c>
      <c r="B3" s="55" t="s">
        <v>205</v>
      </c>
    </row>
    <row r="4" spans="1:2" x14ac:dyDescent="0.3">
      <c r="A4" s="46" t="s">
        <v>192</v>
      </c>
      <c r="B4" s="43" t="s">
        <v>206</v>
      </c>
    </row>
    <row r="5" spans="1:2" x14ac:dyDescent="0.3">
      <c r="A5" s="46" t="s">
        <v>207</v>
      </c>
      <c r="B5" s="48">
        <f>TMWorkbook!C2-(7*4)</f>
        <v>46101</v>
      </c>
    </row>
    <row r="6" spans="1:2" ht="202.8" x14ac:dyDescent="0.3">
      <c r="A6" s="46" t="s">
        <v>194</v>
      </c>
      <c r="B6" s="44" t="s">
        <v>208</v>
      </c>
    </row>
    <row r="7" spans="1:2" ht="31.8" thickBot="1" x14ac:dyDescent="0.35">
      <c r="A7" s="47" t="s">
        <v>202</v>
      </c>
      <c r="B7" s="45" t="s">
        <v>203</v>
      </c>
    </row>
    <row r="8" spans="1:2" x14ac:dyDescent="0.3">
      <c r="A8" s="54" t="s">
        <v>190</v>
      </c>
      <c r="B8" s="56" t="s">
        <v>204</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AAQMsgTst">
                <anchor moveWithCells="1" sizeWithCells="1">
                  <from>
                    <xdr:col>0</xdr:col>
                    <xdr:colOff>22860</xdr:colOff>
                    <xdr:row>1</xdr:row>
                    <xdr:rowOff>30480</xdr:rowOff>
                  </from>
                  <to>
                    <xdr:col>0</xdr:col>
                    <xdr:colOff>1021080</xdr:colOff>
                    <xdr:row>2</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574-0E11-3E48-B598-037909BD72E9}">
  <sheetPr codeName="Sheet14"/>
  <dimension ref="A1:AI94"/>
  <sheetViews>
    <sheetView workbookViewId="0">
      <selection activeCell="A19" sqref="A19"/>
    </sheetView>
  </sheetViews>
  <sheetFormatPr defaultColWidth="11" defaultRowHeight="15.6" x14ac:dyDescent="0.3"/>
  <cols>
    <col min="1" max="1" width="18.59765625" customWidth="1"/>
    <col min="2" max="2" width="21.796875" customWidth="1"/>
    <col min="3" max="3" width="1.59765625" customWidth="1"/>
    <col min="4" max="4" width="14.5" bestFit="1" customWidth="1"/>
    <col min="5" max="5" width="1.59765625" customWidth="1"/>
    <col min="6" max="7" width="31.796875" customWidth="1"/>
    <col min="8" max="8" width="1.59765625" customWidth="1"/>
    <col min="11" max="11" width="1.59765625" customWidth="1"/>
    <col min="13" max="13" width="14.296875" customWidth="1"/>
    <col min="14" max="14" width="1.796875" customWidth="1"/>
    <col min="16" max="16" width="10.59765625" customWidth="1"/>
    <col min="17" max="17" width="1.59765625" customWidth="1"/>
    <col min="19" max="19" width="13.5" customWidth="1"/>
    <col min="20" max="20" width="1.5" customWidth="1"/>
    <col min="23" max="25" width="1.59765625" customWidth="1"/>
    <col min="26" max="26" width="11.09765625" style="5" bestFit="1" customWidth="1"/>
    <col min="27" max="27" width="11.59765625" style="5" customWidth="1"/>
    <col min="28" max="28" width="1.59765625" customWidth="1"/>
  </cols>
  <sheetData>
    <row r="1" spans="1:35" x14ac:dyDescent="0.3">
      <c r="A1" t="s">
        <v>209</v>
      </c>
      <c r="B1" t="s">
        <v>210</v>
      </c>
      <c r="D1" t="s">
        <v>76</v>
      </c>
      <c r="F1" t="s">
        <v>211</v>
      </c>
      <c r="G1" t="s">
        <v>453</v>
      </c>
      <c r="I1" t="s">
        <v>212</v>
      </c>
      <c r="J1" t="s">
        <v>213</v>
      </c>
      <c r="L1" t="s">
        <v>214</v>
      </c>
      <c r="M1" t="s">
        <v>215</v>
      </c>
      <c r="O1" t="s">
        <v>216</v>
      </c>
      <c r="P1" t="s">
        <v>74</v>
      </c>
      <c r="R1" t="s">
        <v>217</v>
      </c>
      <c r="S1" t="s">
        <v>218</v>
      </c>
      <c r="U1" t="s">
        <v>219</v>
      </c>
      <c r="V1" t="s">
        <v>176</v>
      </c>
      <c r="Z1" s="96" t="s">
        <v>220</v>
      </c>
      <c r="AA1" s="96" t="s">
        <v>221</v>
      </c>
      <c r="AC1" s="7" t="s">
        <v>73</v>
      </c>
      <c r="AD1" s="7" t="s">
        <v>218</v>
      </c>
      <c r="AE1" s="7" t="s">
        <v>86</v>
      </c>
      <c r="AF1" s="6" t="s">
        <v>79</v>
      </c>
      <c r="AG1" s="96" t="s">
        <v>366</v>
      </c>
      <c r="AH1" t="s">
        <v>367</v>
      </c>
      <c r="AI1" t="s">
        <v>368</v>
      </c>
    </row>
    <row r="2" spans="1:35" x14ac:dyDescent="0.3">
      <c r="A2" t="s">
        <v>24</v>
      </c>
      <c r="B2" t="s">
        <v>222</v>
      </c>
      <c r="D2" t="s">
        <v>22</v>
      </c>
      <c r="F2" s="120"/>
      <c r="G2" s="121" t="s">
        <v>470</v>
      </c>
      <c r="I2" t="s">
        <v>223</v>
      </c>
      <c r="J2" t="s">
        <v>224</v>
      </c>
      <c r="L2" t="s">
        <v>450</v>
      </c>
      <c r="M2" t="s">
        <v>356</v>
      </c>
      <c r="O2" t="s">
        <v>227</v>
      </c>
      <c r="P2" t="s">
        <v>180</v>
      </c>
      <c r="R2" t="s">
        <v>228</v>
      </c>
      <c r="S2" t="s">
        <v>229</v>
      </c>
      <c r="U2" t="s">
        <v>230</v>
      </c>
      <c r="V2" t="s">
        <v>231</v>
      </c>
      <c r="Z2" s="5" t="s">
        <v>232</v>
      </c>
      <c r="AA2" s="97">
        <v>44271</v>
      </c>
      <c r="AC2" s="8" t="s">
        <v>53</v>
      </c>
      <c r="AD2" s="8" t="s">
        <v>233</v>
      </c>
      <c r="AE2" s="8" t="s">
        <v>32</v>
      </c>
      <c r="AF2" s="8" t="s">
        <v>24</v>
      </c>
      <c r="AG2" t="s">
        <v>369</v>
      </c>
      <c r="AH2" t="s">
        <v>455</v>
      </c>
      <c r="AI2" t="s">
        <v>370</v>
      </c>
    </row>
    <row r="3" spans="1:35" x14ac:dyDescent="0.3">
      <c r="A3" t="s">
        <v>26</v>
      </c>
      <c r="B3" t="s">
        <v>222</v>
      </c>
      <c r="D3" t="s">
        <v>21</v>
      </c>
      <c r="F3" s="121" t="s">
        <v>421</v>
      </c>
      <c r="G3" s="121" t="s">
        <v>455</v>
      </c>
      <c r="I3" t="s">
        <v>234</v>
      </c>
      <c r="J3" t="s">
        <v>235</v>
      </c>
      <c r="L3" t="s">
        <v>451</v>
      </c>
      <c r="M3" t="s">
        <v>452</v>
      </c>
      <c r="O3" t="s">
        <v>230</v>
      </c>
      <c r="P3" t="s">
        <v>238</v>
      </c>
      <c r="R3" t="s">
        <v>239</v>
      </c>
      <c r="S3" t="s">
        <v>240</v>
      </c>
      <c r="U3" t="s">
        <v>241</v>
      </c>
      <c r="V3" t="s">
        <v>242</v>
      </c>
      <c r="AC3" s="8"/>
      <c r="AD3" s="8" t="s">
        <v>230</v>
      </c>
      <c r="AE3" s="8" t="s">
        <v>243</v>
      </c>
      <c r="AF3" s="8" t="s">
        <v>26</v>
      </c>
      <c r="AG3" t="s">
        <v>371</v>
      </c>
      <c r="AH3" t="s">
        <v>455</v>
      </c>
      <c r="AI3" t="s">
        <v>497</v>
      </c>
    </row>
    <row r="4" spans="1:35" x14ac:dyDescent="0.3">
      <c r="A4" t="s">
        <v>244</v>
      </c>
      <c r="B4" t="s">
        <v>222</v>
      </c>
      <c r="D4" t="s">
        <v>19</v>
      </c>
      <c r="F4" s="120"/>
      <c r="G4" s="121" t="s">
        <v>471</v>
      </c>
      <c r="I4" t="s">
        <v>246</v>
      </c>
      <c r="J4" t="s">
        <v>247</v>
      </c>
      <c r="L4" t="s">
        <v>225</v>
      </c>
      <c r="M4" t="s">
        <v>226</v>
      </c>
      <c r="O4" t="s">
        <v>249</v>
      </c>
      <c r="P4" t="s">
        <v>250</v>
      </c>
      <c r="R4" t="s">
        <v>251</v>
      </c>
      <c r="S4" t="s">
        <v>252</v>
      </c>
      <c r="AC4" s="5"/>
      <c r="AD4" s="8" t="s">
        <v>253</v>
      </c>
      <c r="AE4" s="8" t="s">
        <v>254</v>
      </c>
      <c r="AF4" s="8" t="s">
        <v>27</v>
      </c>
      <c r="AG4" t="s">
        <v>373</v>
      </c>
      <c r="AH4" t="s">
        <v>455</v>
      </c>
      <c r="AI4" t="s">
        <v>400</v>
      </c>
    </row>
    <row r="5" spans="1:35" x14ac:dyDescent="0.3">
      <c r="A5" t="s">
        <v>255</v>
      </c>
      <c r="B5" t="s">
        <v>222</v>
      </c>
      <c r="D5" t="s">
        <v>256</v>
      </c>
      <c r="F5" s="121"/>
      <c r="G5" s="121" t="s">
        <v>472</v>
      </c>
      <c r="L5" t="s">
        <v>236</v>
      </c>
      <c r="M5" t="s">
        <v>237</v>
      </c>
      <c r="O5" t="s">
        <v>260</v>
      </c>
      <c r="P5" t="s">
        <v>261</v>
      </c>
      <c r="R5" t="s">
        <v>262</v>
      </c>
      <c r="S5" t="s">
        <v>26</v>
      </c>
      <c r="AC5" s="5"/>
      <c r="AD5" s="5"/>
      <c r="AE5" s="8" t="s">
        <v>263</v>
      </c>
      <c r="AF5" s="8" t="s">
        <v>29</v>
      </c>
      <c r="AG5" t="s">
        <v>375</v>
      </c>
      <c r="AH5" t="s">
        <v>455</v>
      </c>
      <c r="AI5" t="s">
        <v>388</v>
      </c>
    </row>
    <row r="6" spans="1:35" x14ac:dyDescent="0.3">
      <c r="A6" t="s">
        <v>264</v>
      </c>
      <c r="B6" t="s">
        <v>222</v>
      </c>
      <c r="D6" t="s">
        <v>265</v>
      </c>
      <c r="F6" s="120"/>
      <c r="G6" s="121" t="s">
        <v>473</v>
      </c>
      <c r="L6" t="s">
        <v>411</v>
      </c>
      <c r="M6" t="s">
        <v>248</v>
      </c>
      <c r="R6" t="s">
        <v>230</v>
      </c>
      <c r="S6" t="s">
        <v>44</v>
      </c>
      <c r="AC6" s="5"/>
      <c r="AD6" s="5"/>
      <c r="AE6" s="8" t="s">
        <v>35</v>
      </c>
      <c r="AF6" s="8" t="s">
        <v>268</v>
      </c>
      <c r="AG6" t="s">
        <v>377</v>
      </c>
      <c r="AH6" t="s">
        <v>455</v>
      </c>
      <c r="AI6" t="s">
        <v>376</v>
      </c>
    </row>
    <row r="7" spans="1:35" x14ac:dyDescent="0.3">
      <c r="A7" t="s">
        <v>269</v>
      </c>
      <c r="B7" t="s">
        <v>222</v>
      </c>
      <c r="F7" s="121"/>
      <c r="G7" s="121" t="s">
        <v>474</v>
      </c>
      <c r="L7" t="s">
        <v>258</v>
      </c>
      <c r="M7" t="s">
        <v>259</v>
      </c>
      <c r="R7" t="s">
        <v>270</v>
      </c>
      <c r="S7" t="s">
        <v>271</v>
      </c>
      <c r="AF7" s="8" t="s">
        <v>28</v>
      </c>
      <c r="AG7" t="s">
        <v>379</v>
      </c>
      <c r="AH7" t="s">
        <v>455</v>
      </c>
      <c r="AI7" t="s">
        <v>384</v>
      </c>
    </row>
    <row r="8" spans="1:35" x14ac:dyDescent="0.3">
      <c r="A8" t="s">
        <v>44</v>
      </c>
      <c r="B8" t="s">
        <v>222</v>
      </c>
      <c r="F8" s="121" t="s">
        <v>365</v>
      </c>
      <c r="G8" s="121" t="s">
        <v>456</v>
      </c>
      <c r="L8" t="s">
        <v>267</v>
      </c>
      <c r="M8" t="s">
        <v>237</v>
      </c>
      <c r="R8" t="s">
        <v>272</v>
      </c>
      <c r="S8" t="s">
        <v>273</v>
      </c>
      <c r="AG8" t="s">
        <v>381</v>
      </c>
      <c r="AH8" t="s">
        <v>455</v>
      </c>
      <c r="AI8" t="s">
        <v>508</v>
      </c>
    </row>
    <row r="9" spans="1:35" x14ac:dyDescent="0.3">
      <c r="A9" t="s">
        <v>274</v>
      </c>
      <c r="B9" t="s">
        <v>222</v>
      </c>
      <c r="F9" t="s">
        <v>433</v>
      </c>
      <c r="G9" t="s">
        <v>433</v>
      </c>
      <c r="R9" t="s">
        <v>275</v>
      </c>
      <c r="S9" t="s">
        <v>276</v>
      </c>
      <c r="AG9" t="s">
        <v>383</v>
      </c>
      <c r="AH9" t="s">
        <v>455</v>
      </c>
      <c r="AI9" t="s">
        <v>380</v>
      </c>
    </row>
    <row r="10" spans="1:35" x14ac:dyDescent="0.3">
      <c r="A10" t="s">
        <v>363</v>
      </c>
      <c r="B10" t="s">
        <v>222</v>
      </c>
      <c r="G10" t="s">
        <v>475</v>
      </c>
      <c r="R10" t="s">
        <v>233</v>
      </c>
      <c r="S10" t="s">
        <v>278</v>
      </c>
      <c r="AG10" t="s">
        <v>385</v>
      </c>
      <c r="AH10" t="s">
        <v>455</v>
      </c>
      <c r="AI10" t="s">
        <v>382</v>
      </c>
    </row>
    <row r="11" spans="1:35" x14ac:dyDescent="0.3">
      <c r="A11" t="s">
        <v>276</v>
      </c>
      <c r="B11" t="s">
        <v>222</v>
      </c>
      <c r="G11" t="s">
        <v>476</v>
      </c>
      <c r="R11" t="s">
        <v>253</v>
      </c>
      <c r="S11" t="s">
        <v>280</v>
      </c>
      <c r="AG11" t="s">
        <v>387</v>
      </c>
      <c r="AH11" t="s">
        <v>455</v>
      </c>
      <c r="AI11" t="s">
        <v>509</v>
      </c>
    </row>
    <row r="12" spans="1:35" x14ac:dyDescent="0.3">
      <c r="A12" t="s">
        <v>277</v>
      </c>
      <c r="B12" t="s">
        <v>222</v>
      </c>
      <c r="F12" t="s">
        <v>435</v>
      </c>
      <c r="G12" t="s">
        <v>458</v>
      </c>
      <c r="AG12" t="s">
        <v>389</v>
      </c>
      <c r="AH12" t="s">
        <v>455</v>
      </c>
      <c r="AI12" t="s">
        <v>510</v>
      </c>
    </row>
    <row r="13" spans="1:35" x14ac:dyDescent="0.3">
      <c r="A13" t="s">
        <v>279</v>
      </c>
      <c r="B13" t="s">
        <v>222</v>
      </c>
      <c r="G13" t="s">
        <v>477</v>
      </c>
      <c r="AH13" t="s">
        <v>455</v>
      </c>
      <c r="AI13" t="s">
        <v>511</v>
      </c>
    </row>
    <row r="14" spans="1:35" x14ac:dyDescent="0.3">
      <c r="A14" t="s">
        <v>281</v>
      </c>
      <c r="B14" t="s">
        <v>222</v>
      </c>
      <c r="F14" t="s">
        <v>245</v>
      </c>
      <c r="G14" t="s">
        <v>459</v>
      </c>
      <c r="AH14" t="s">
        <v>471</v>
      </c>
      <c r="AI14" t="s">
        <v>370</v>
      </c>
    </row>
    <row r="15" spans="1:35" x14ac:dyDescent="0.3">
      <c r="A15" t="s">
        <v>412</v>
      </c>
      <c r="B15" t="s">
        <v>222</v>
      </c>
      <c r="G15" t="s">
        <v>478</v>
      </c>
      <c r="AH15" t="s">
        <v>471</v>
      </c>
      <c r="AI15" t="s">
        <v>497</v>
      </c>
    </row>
    <row r="16" spans="1:35" x14ac:dyDescent="0.3">
      <c r="A16" t="s">
        <v>282</v>
      </c>
      <c r="B16" t="s">
        <v>222</v>
      </c>
      <c r="F16" t="s">
        <v>436</v>
      </c>
      <c r="G16" t="s">
        <v>460</v>
      </c>
      <c r="AH16" t="s">
        <v>471</v>
      </c>
      <c r="AI16" t="s">
        <v>388</v>
      </c>
    </row>
    <row r="17" spans="1:35" x14ac:dyDescent="0.3">
      <c r="A17" t="s">
        <v>413</v>
      </c>
      <c r="B17" t="s">
        <v>222</v>
      </c>
      <c r="G17" t="s">
        <v>479</v>
      </c>
      <c r="AH17" t="s">
        <v>471</v>
      </c>
      <c r="AI17" t="s">
        <v>376</v>
      </c>
    </row>
    <row r="18" spans="1:35" x14ac:dyDescent="0.3">
      <c r="A18" t="s">
        <v>414</v>
      </c>
      <c r="B18" t="s">
        <v>222</v>
      </c>
      <c r="G18" t="s">
        <v>480</v>
      </c>
      <c r="AH18" t="s">
        <v>471</v>
      </c>
      <c r="AI18" t="s">
        <v>403</v>
      </c>
    </row>
    <row r="19" spans="1:35" x14ac:dyDescent="0.3">
      <c r="A19" t="s">
        <v>415</v>
      </c>
      <c r="B19" t="s">
        <v>222</v>
      </c>
      <c r="G19" t="s">
        <v>481</v>
      </c>
      <c r="AH19" t="s">
        <v>471</v>
      </c>
      <c r="AI19" t="s">
        <v>508</v>
      </c>
    </row>
    <row r="20" spans="1:35" x14ac:dyDescent="0.3">
      <c r="A20" t="s">
        <v>283</v>
      </c>
      <c r="B20" t="s">
        <v>222</v>
      </c>
      <c r="G20" t="s">
        <v>482</v>
      </c>
      <c r="AH20" t="s">
        <v>471</v>
      </c>
      <c r="AI20" t="s">
        <v>382</v>
      </c>
    </row>
    <row r="21" spans="1:35" x14ac:dyDescent="0.3">
      <c r="A21" t="s">
        <v>416</v>
      </c>
      <c r="B21" t="s">
        <v>222</v>
      </c>
      <c r="F21" t="s">
        <v>434</v>
      </c>
      <c r="G21" t="s">
        <v>457</v>
      </c>
      <c r="AH21" t="s">
        <v>472</v>
      </c>
      <c r="AI21" t="s">
        <v>376</v>
      </c>
    </row>
    <row r="22" spans="1:35" x14ac:dyDescent="0.3">
      <c r="A22" t="s">
        <v>417</v>
      </c>
      <c r="B22" t="s">
        <v>222</v>
      </c>
      <c r="G22" t="s">
        <v>483</v>
      </c>
      <c r="AH22" t="s">
        <v>473</v>
      </c>
      <c r="AI22" t="s">
        <v>508</v>
      </c>
    </row>
    <row r="23" spans="1:35" x14ac:dyDescent="0.3">
      <c r="A23" t="s">
        <v>284</v>
      </c>
      <c r="B23" t="s">
        <v>222</v>
      </c>
      <c r="G23" t="s">
        <v>484</v>
      </c>
      <c r="AH23" t="s">
        <v>474</v>
      </c>
      <c r="AI23" t="s">
        <v>508</v>
      </c>
    </row>
    <row r="24" spans="1:35" x14ac:dyDescent="0.3">
      <c r="A24" t="s">
        <v>418</v>
      </c>
      <c r="B24" t="s">
        <v>222</v>
      </c>
      <c r="F24" t="s">
        <v>364</v>
      </c>
      <c r="G24" t="s">
        <v>454</v>
      </c>
      <c r="AH24" t="s">
        <v>456</v>
      </c>
      <c r="AI24" t="s">
        <v>372</v>
      </c>
    </row>
    <row r="25" spans="1:35" x14ac:dyDescent="0.3">
      <c r="G25" t="s">
        <v>485</v>
      </c>
      <c r="AH25" t="s">
        <v>456</v>
      </c>
      <c r="AI25" t="s">
        <v>393</v>
      </c>
    </row>
    <row r="26" spans="1:35" x14ac:dyDescent="0.3">
      <c r="G26" t="s">
        <v>486</v>
      </c>
      <c r="AH26" t="s">
        <v>456</v>
      </c>
      <c r="AI26" t="s">
        <v>386</v>
      </c>
    </row>
    <row r="27" spans="1:35" x14ac:dyDescent="0.3">
      <c r="F27" t="s">
        <v>257</v>
      </c>
      <c r="G27" t="s">
        <v>461</v>
      </c>
      <c r="AH27" t="s">
        <v>456</v>
      </c>
      <c r="AI27" t="s">
        <v>378</v>
      </c>
    </row>
    <row r="28" spans="1:35" x14ac:dyDescent="0.3">
      <c r="G28" t="s">
        <v>487</v>
      </c>
      <c r="AH28" t="s">
        <v>456</v>
      </c>
      <c r="AI28" t="s">
        <v>380</v>
      </c>
    </row>
    <row r="29" spans="1:35" x14ac:dyDescent="0.3">
      <c r="F29" t="s">
        <v>266</v>
      </c>
      <c r="G29" t="s">
        <v>462</v>
      </c>
      <c r="AH29" t="s">
        <v>456</v>
      </c>
      <c r="AI29" t="s">
        <v>512</v>
      </c>
    </row>
    <row r="30" spans="1:35" x14ac:dyDescent="0.3">
      <c r="G30" t="s">
        <v>488</v>
      </c>
      <c r="AH30" t="s">
        <v>456</v>
      </c>
      <c r="AI30" t="s">
        <v>374</v>
      </c>
    </row>
    <row r="31" spans="1:35" x14ac:dyDescent="0.3">
      <c r="G31" t="s">
        <v>489</v>
      </c>
      <c r="AH31" t="s">
        <v>513</v>
      </c>
      <c r="AI31" t="s">
        <v>492</v>
      </c>
    </row>
    <row r="32" spans="1:35" x14ac:dyDescent="0.3">
      <c r="G32" t="s">
        <v>490</v>
      </c>
      <c r="AH32" t="s">
        <v>514</v>
      </c>
      <c r="AI32" t="s">
        <v>492</v>
      </c>
    </row>
    <row r="33" spans="7:35" x14ac:dyDescent="0.3">
      <c r="G33" t="s">
        <v>491</v>
      </c>
      <c r="AH33" t="s">
        <v>515</v>
      </c>
      <c r="AI33" t="s">
        <v>492</v>
      </c>
    </row>
    <row r="34" spans="7:35" x14ac:dyDescent="0.3">
      <c r="AH34" t="s">
        <v>516</v>
      </c>
      <c r="AI34" t="s">
        <v>492</v>
      </c>
    </row>
    <row r="35" spans="7:35" x14ac:dyDescent="0.3">
      <c r="AH35" t="s">
        <v>433</v>
      </c>
      <c r="AI35" t="s">
        <v>492</v>
      </c>
    </row>
    <row r="36" spans="7:35" x14ac:dyDescent="0.3">
      <c r="AH36" t="s">
        <v>475</v>
      </c>
      <c r="AI36" t="s">
        <v>372</v>
      </c>
    </row>
    <row r="37" spans="7:35" x14ac:dyDescent="0.3">
      <c r="AH37" t="s">
        <v>475</v>
      </c>
      <c r="AI37" t="s">
        <v>378</v>
      </c>
    </row>
    <row r="38" spans="7:35" x14ac:dyDescent="0.3">
      <c r="AH38" t="s">
        <v>475</v>
      </c>
      <c r="AI38" t="s">
        <v>374</v>
      </c>
    </row>
    <row r="39" spans="7:35" x14ac:dyDescent="0.3">
      <c r="AH39" t="s">
        <v>476</v>
      </c>
      <c r="AI39" t="s">
        <v>378</v>
      </c>
    </row>
    <row r="40" spans="7:35" x14ac:dyDescent="0.3">
      <c r="AH40" t="s">
        <v>458</v>
      </c>
      <c r="AI40" t="s">
        <v>495</v>
      </c>
    </row>
    <row r="41" spans="7:35" x14ac:dyDescent="0.3">
      <c r="AH41" t="s">
        <v>458</v>
      </c>
      <c r="AI41" t="s">
        <v>496</v>
      </c>
    </row>
    <row r="42" spans="7:35" x14ac:dyDescent="0.3">
      <c r="AH42" t="s">
        <v>477</v>
      </c>
      <c r="AI42" t="s">
        <v>392</v>
      </c>
    </row>
    <row r="43" spans="7:35" x14ac:dyDescent="0.3">
      <c r="AH43" t="s">
        <v>477</v>
      </c>
      <c r="AI43" t="s">
        <v>496</v>
      </c>
    </row>
    <row r="44" spans="7:35" x14ac:dyDescent="0.3">
      <c r="AH44" t="s">
        <v>459</v>
      </c>
      <c r="AI44" t="s">
        <v>391</v>
      </c>
    </row>
    <row r="45" spans="7:35" x14ac:dyDescent="0.3">
      <c r="AH45" t="s">
        <v>459</v>
      </c>
      <c r="AI45" t="s">
        <v>393</v>
      </c>
    </row>
    <row r="46" spans="7:35" x14ac:dyDescent="0.3">
      <c r="AH46" t="s">
        <v>459</v>
      </c>
      <c r="AI46" t="s">
        <v>494</v>
      </c>
    </row>
    <row r="47" spans="7:35" x14ac:dyDescent="0.3">
      <c r="AH47" t="s">
        <v>459</v>
      </c>
      <c r="AI47" t="s">
        <v>394</v>
      </c>
    </row>
    <row r="48" spans="7:35" x14ac:dyDescent="0.3">
      <c r="AH48" t="s">
        <v>459</v>
      </c>
      <c r="AI48" t="s">
        <v>395</v>
      </c>
    </row>
    <row r="49" spans="34:35" x14ac:dyDescent="0.3">
      <c r="AH49" t="s">
        <v>459</v>
      </c>
      <c r="AI49" t="s">
        <v>507</v>
      </c>
    </row>
    <row r="50" spans="34:35" x14ac:dyDescent="0.3">
      <c r="AH50" t="s">
        <v>478</v>
      </c>
      <c r="AI50" t="s">
        <v>390</v>
      </c>
    </row>
    <row r="51" spans="34:35" x14ac:dyDescent="0.3">
      <c r="AH51" t="s">
        <v>478</v>
      </c>
      <c r="AI51" t="s">
        <v>392</v>
      </c>
    </row>
    <row r="52" spans="34:35" x14ac:dyDescent="0.3">
      <c r="AH52" t="s">
        <v>478</v>
      </c>
      <c r="AI52" t="s">
        <v>517</v>
      </c>
    </row>
    <row r="53" spans="34:35" x14ac:dyDescent="0.3">
      <c r="AH53" t="s">
        <v>518</v>
      </c>
      <c r="AI53" t="s">
        <v>517</v>
      </c>
    </row>
    <row r="54" spans="34:35" x14ac:dyDescent="0.3">
      <c r="AH54" t="s">
        <v>460</v>
      </c>
      <c r="AI54" t="s">
        <v>493</v>
      </c>
    </row>
    <row r="55" spans="34:35" x14ac:dyDescent="0.3">
      <c r="AH55" t="s">
        <v>460</v>
      </c>
      <c r="AI55" t="s">
        <v>495</v>
      </c>
    </row>
    <row r="56" spans="34:35" x14ac:dyDescent="0.3">
      <c r="AH56" t="s">
        <v>479</v>
      </c>
      <c r="AI56" t="s">
        <v>492</v>
      </c>
    </row>
    <row r="57" spans="34:35" x14ac:dyDescent="0.3">
      <c r="AH57" t="s">
        <v>480</v>
      </c>
      <c r="AI57" t="s">
        <v>492</v>
      </c>
    </row>
    <row r="58" spans="34:35" x14ac:dyDescent="0.3">
      <c r="AH58" t="s">
        <v>457</v>
      </c>
      <c r="AI58" t="s">
        <v>399</v>
      </c>
    </row>
    <row r="59" spans="34:35" x14ac:dyDescent="0.3">
      <c r="AH59" t="s">
        <v>457</v>
      </c>
      <c r="AI59" t="s">
        <v>498</v>
      </c>
    </row>
    <row r="60" spans="34:35" x14ac:dyDescent="0.3">
      <c r="AH60" t="s">
        <v>457</v>
      </c>
      <c r="AI60" t="s">
        <v>500</v>
      </c>
    </row>
    <row r="61" spans="34:35" x14ac:dyDescent="0.3">
      <c r="AH61" t="s">
        <v>457</v>
      </c>
      <c r="AI61" t="s">
        <v>501</v>
      </c>
    </row>
    <row r="62" spans="34:35" x14ac:dyDescent="0.3">
      <c r="AH62" t="s">
        <v>483</v>
      </c>
      <c r="AI62" t="s">
        <v>498</v>
      </c>
    </row>
    <row r="63" spans="34:35" x14ac:dyDescent="0.3">
      <c r="AH63" t="s">
        <v>484</v>
      </c>
      <c r="AI63" t="s">
        <v>396</v>
      </c>
    </row>
    <row r="64" spans="34:35" x14ac:dyDescent="0.3">
      <c r="AH64" t="s">
        <v>484</v>
      </c>
      <c r="AI64" t="s">
        <v>498</v>
      </c>
    </row>
    <row r="65" spans="34:35" x14ac:dyDescent="0.3">
      <c r="AH65" t="s">
        <v>484</v>
      </c>
      <c r="AI65" t="s">
        <v>500</v>
      </c>
    </row>
    <row r="66" spans="34:35" x14ac:dyDescent="0.3">
      <c r="AH66" t="s">
        <v>484</v>
      </c>
      <c r="AI66" t="s">
        <v>501</v>
      </c>
    </row>
    <row r="67" spans="34:35" x14ac:dyDescent="0.3">
      <c r="AH67" t="s">
        <v>485</v>
      </c>
      <c r="AI67" t="s">
        <v>519</v>
      </c>
    </row>
    <row r="68" spans="34:35" x14ac:dyDescent="0.3">
      <c r="AH68" t="s">
        <v>486</v>
      </c>
      <c r="AI68" t="s">
        <v>505</v>
      </c>
    </row>
    <row r="69" spans="34:35" x14ac:dyDescent="0.3">
      <c r="AH69" t="s">
        <v>461</v>
      </c>
      <c r="AI69" t="s">
        <v>497</v>
      </c>
    </row>
    <row r="70" spans="34:35" x14ac:dyDescent="0.3">
      <c r="AH70" t="s">
        <v>461</v>
      </c>
      <c r="AI70" t="s">
        <v>402</v>
      </c>
    </row>
    <row r="71" spans="34:35" x14ac:dyDescent="0.3">
      <c r="AH71" t="s">
        <v>461</v>
      </c>
      <c r="AI71" t="s">
        <v>399</v>
      </c>
    </row>
    <row r="72" spans="34:35" x14ac:dyDescent="0.3">
      <c r="AH72" t="s">
        <v>461</v>
      </c>
      <c r="AI72" t="s">
        <v>499</v>
      </c>
    </row>
    <row r="73" spans="34:35" x14ac:dyDescent="0.3">
      <c r="AH73" t="s">
        <v>461</v>
      </c>
      <c r="AI73" t="s">
        <v>400</v>
      </c>
    </row>
    <row r="74" spans="34:35" x14ac:dyDescent="0.3">
      <c r="AH74" t="s">
        <v>461</v>
      </c>
      <c r="AI74" t="s">
        <v>502</v>
      </c>
    </row>
    <row r="75" spans="34:35" x14ac:dyDescent="0.3">
      <c r="AH75" t="s">
        <v>461</v>
      </c>
      <c r="AI75" t="s">
        <v>503</v>
      </c>
    </row>
    <row r="76" spans="34:35" x14ac:dyDescent="0.3">
      <c r="AH76" t="s">
        <v>461</v>
      </c>
      <c r="AI76" t="s">
        <v>504</v>
      </c>
    </row>
    <row r="77" spans="34:35" x14ac:dyDescent="0.3">
      <c r="AH77" t="s">
        <v>461</v>
      </c>
      <c r="AI77" t="s">
        <v>404</v>
      </c>
    </row>
    <row r="78" spans="34:35" x14ac:dyDescent="0.3">
      <c r="AH78" t="s">
        <v>461</v>
      </c>
      <c r="AI78" t="s">
        <v>519</v>
      </c>
    </row>
    <row r="79" spans="34:35" x14ac:dyDescent="0.3">
      <c r="AH79" t="s">
        <v>461</v>
      </c>
      <c r="AI79" t="s">
        <v>520</v>
      </c>
    </row>
    <row r="80" spans="34:35" x14ac:dyDescent="0.3">
      <c r="AH80" t="s">
        <v>462</v>
      </c>
      <c r="AI80" t="s">
        <v>397</v>
      </c>
    </row>
    <row r="81" spans="34:35" x14ac:dyDescent="0.3">
      <c r="AH81" t="s">
        <v>462</v>
      </c>
      <c r="AI81" t="s">
        <v>399</v>
      </c>
    </row>
    <row r="82" spans="34:35" x14ac:dyDescent="0.3">
      <c r="AH82" t="s">
        <v>462</v>
      </c>
      <c r="AI82" t="s">
        <v>401</v>
      </c>
    </row>
    <row r="83" spans="34:35" x14ac:dyDescent="0.3">
      <c r="AH83" t="s">
        <v>462</v>
      </c>
      <c r="AI83" t="s">
        <v>494</v>
      </c>
    </row>
    <row r="84" spans="34:35" x14ac:dyDescent="0.3">
      <c r="AH84" t="s">
        <v>462</v>
      </c>
      <c r="AI84" t="s">
        <v>517</v>
      </c>
    </row>
    <row r="85" spans="34:35" x14ac:dyDescent="0.3">
      <c r="AH85" t="s">
        <v>462</v>
      </c>
      <c r="AI85" t="s">
        <v>404</v>
      </c>
    </row>
    <row r="86" spans="34:35" x14ac:dyDescent="0.3">
      <c r="AH86" t="s">
        <v>462</v>
      </c>
      <c r="AI86" t="s">
        <v>395</v>
      </c>
    </row>
    <row r="87" spans="34:35" x14ac:dyDescent="0.3">
      <c r="AH87" t="s">
        <v>462</v>
      </c>
      <c r="AI87" t="s">
        <v>506</v>
      </c>
    </row>
    <row r="88" spans="34:35" x14ac:dyDescent="0.3">
      <c r="AH88" t="s">
        <v>462</v>
      </c>
      <c r="AI88" t="s">
        <v>507</v>
      </c>
    </row>
    <row r="89" spans="34:35" x14ac:dyDescent="0.3">
      <c r="AH89" t="s">
        <v>488</v>
      </c>
      <c r="AI89" t="s">
        <v>521</v>
      </c>
    </row>
    <row r="90" spans="34:35" x14ac:dyDescent="0.3">
      <c r="AH90" t="s">
        <v>489</v>
      </c>
      <c r="AI90" t="s">
        <v>521</v>
      </c>
    </row>
    <row r="91" spans="34:35" x14ac:dyDescent="0.3">
      <c r="AH91" t="s">
        <v>490</v>
      </c>
      <c r="AI91" t="s">
        <v>398</v>
      </c>
    </row>
    <row r="92" spans="34:35" x14ac:dyDescent="0.3">
      <c r="AH92" t="s">
        <v>490</v>
      </c>
      <c r="AI92" t="s">
        <v>396</v>
      </c>
    </row>
    <row r="93" spans="34:35" x14ac:dyDescent="0.3">
      <c r="AH93" t="s">
        <v>490</v>
      </c>
      <c r="AI93" t="s">
        <v>517</v>
      </c>
    </row>
    <row r="94" spans="34:35" x14ac:dyDescent="0.3">
      <c r="AH94" t="s">
        <v>491</v>
      </c>
      <c r="AI94" t="s">
        <v>517</v>
      </c>
    </row>
  </sheetData>
  <sortState xmlns:xlrd2="http://schemas.microsoft.com/office/spreadsheetml/2017/richdata2" ref="Z2:AA2">
    <sortCondition ref="Z2"/>
  </sortState>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8FEFF-7607-4EA4-839A-B991B0E78EA3}">
  <sheetPr codeName="Sheet8">
    <tabColor rgb="FFB4C6E7"/>
  </sheetPr>
  <dimension ref="A1:J2"/>
  <sheetViews>
    <sheetView workbookViewId="0">
      <pane xSplit="2" ySplit="1" topLeftCell="C2" activePane="bottomRight" state="frozen"/>
      <selection pane="topRight" activeCell="C1" sqref="C1"/>
      <selection pane="bottomLeft" activeCell="A2" sqref="A2"/>
      <selection pane="bottomRight" sqref="A1:J2"/>
    </sheetView>
  </sheetViews>
  <sheetFormatPr defaultColWidth="8.09765625" defaultRowHeight="14.4" x14ac:dyDescent="0.3"/>
  <cols>
    <col min="1" max="1" width="5.69921875" style="112" bestFit="1" customWidth="1"/>
    <col min="2" max="2" width="8.59765625" style="112" customWidth="1"/>
    <col min="3" max="3" width="25.296875" style="118" customWidth="1"/>
    <col min="4" max="4" width="41.59765625" style="112" customWidth="1"/>
    <col min="5" max="5" width="9.796875" style="117" bestFit="1" customWidth="1"/>
    <col min="6" max="6" width="49.19921875" style="112" customWidth="1"/>
    <col min="7" max="7" width="16" style="112" customWidth="1"/>
    <col min="8" max="8" width="25.59765625" style="113" bestFit="1" customWidth="1"/>
    <col min="9" max="9" width="60.59765625" style="111" customWidth="1"/>
    <col min="10" max="10" width="38.5" style="112" customWidth="1"/>
    <col min="11" max="16384" width="8.09765625" style="112"/>
  </cols>
  <sheetData>
    <row r="1" spans="1:10" s="119" customFormat="1" x14ac:dyDescent="0.3">
      <c r="A1" s="131" t="s">
        <v>293</v>
      </c>
      <c r="B1" s="131" t="s">
        <v>294</v>
      </c>
      <c r="C1" s="132" t="s">
        <v>295</v>
      </c>
      <c r="D1" s="133" t="s">
        <v>296</v>
      </c>
      <c r="E1" s="131" t="s">
        <v>184</v>
      </c>
      <c r="F1" s="131" t="s">
        <v>297</v>
      </c>
      <c r="G1" s="131" t="s">
        <v>298</v>
      </c>
      <c r="H1" s="134" t="s">
        <v>299</v>
      </c>
      <c r="I1" s="131" t="s">
        <v>300</v>
      </c>
      <c r="J1" s="131" t="s">
        <v>92</v>
      </c>
    </row>
    <row r="2" spans="1:10" x14ac:dyDescent="0.3">
      <c r="A2" s="129"/>
      <c r="B2" s="129" t="str">
        <f t="shared" ref="B2" si="0">MigrationEventCode</f>
        <v>MEA100</v>
      </c>
      <c r="C2" s="135">
        <f>TMWorkbook!$C$2</f>
        <v>46129</v>
      </c>
      <c r="D2" s="136"/>
      <c r="E2" s="137" t="str">
        <f>_xlfn.XLOOKUP(tblAppLvl[[#This Row],[App]],tblDepApp[Applications],tblDepApp[Servers],"",0,1)</f>
        <v/>
      </c>
      <c r="F2" s="129" t="str">
        <f>CONCATENATE(_xlfn.XLOOKUP(tblAppLvl[[#This Row],[App]],tblApplications[common_assetName],tblApplications[application_appOwner],"",0,1),", ",_xlfn.XLOOKUP(tblAppLvl[[#This Row],[App]],tblApplications[common_assetName],tblApplications[application_custom10],"",0,1))</f>
        <v xml:space="preserve">, </v>
      </c>
      <c r="G2" s="129"/>
      <c r="H2" s="135"/>
      <c r="I2" s="138" t="str">
        <f>_xlfn.TEXTJOIN(", ",TRUE,tblPMs[PMs Names])</f>
        <v>Jane*Doe</v>
      </c>
      <c r="J2" s="129"/>
    </row>
  </sheetData>
  <dataValidations count="1">
    <dataValidation type="list" allowBlank="1" showInputMessage="1" showErrorMessage="1" sqref="G2" xr:uid="{0EEE54AA-61B7-4997-A226-0E4B7FDF1410}">
      <formula1>"Completed, Retired, Rolled Back"</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1FB40-50F9-431F-9B10-279CABBAA4D7}">
  <sheetPr codeName="Sheet9">
    <tabColor rgb="FFACB9CA"/>
  </sheetPr>
  <dimension ref="A1:W2"/>
  <sheetViews>
    <sheetView zoomScale="98" zoomScaleNormal="98" workbookViewId="0">
      <pane xSplit="3" ySplit="1" topLeftCell="R2" activePane="bottomRight" state="frozen"/>
      <selection pane="topRight" activeCell="D1" sqref="D1"/>
      <selection pane="bottomLeft" activeCell="A2" sqref="A2"/>
      <selection pane="bottomRight" activeCell="V3" sqref="V3"/>
    </sheetView>
  </sheetViews>
  <sheetFormatPr defaultColWidth="7.796875" defaultRowHeight="14.4" x14ac:dyDescent="0.3"/>
  <cols>
    <col min="1" max="1" width="8.296875" style="114" bestFit="1" customWidth="1"/>
    <col min="2" max="2" width="14.296875" style="114" customWidth="1"/>
    <col min="3" max="3" width="8.59765625" style="114" customWidth="1"/>
    <col min="4" max="4" width="21.796875" style="114" customWidth="1"/>
    <col min="5" max="5" width="46.69921875" style="114" customWidth="1"/>
    <col min="6" max="6" width="45.296875" style="114" customWidth="1"/>
    <col min="7" max="7" width="25.09765625" style="114" customWidth="1"/>
    <col min="8" max="8" width="16.59765625" style="114" customWidth="1"/>
    <col min="9" max="9" width="27.5" style="114" bestFit="1" customWidth="1"/>
    <col min="10" max="10" width="18.09765625" style="114" customWidth="1"/>
    <col min="11" max="11" width="14.796875" style="114" customWidth="1"/>
    <col min="12" max="12" width="17.5" style="114" customWidth="1"/>
    <col min="13" max="13" width="14.59765625" style="114" customWidth="1"/>
    <col min="14" max="14" width="23.59765625" style="114" customWidth="1"/>
    <col min="15" max="15" width="23.796875" style="114" bestFit="1" customWidth="1"/>
    <col min="16" max="16" width="16.59765625" style="114" customWidth="1"/>
    <col min="17" max="19" width="16.59765625" style="117" customWidth="1"/>
    <col min="20" max="20" width="19.796875" style="114" customWidth="1"/>
    <col min="21" max="21" width="21.796875" style="114" customWidth="1"/>
    <col min="22" max="22" width="44.69921875" style="114" bestFit="1" customWidth="1"/>
    <col min="23" max="23" width="15.59765625" style="114" customWidth="1"/>
    <col min="24" max="16384" width="7.796875" style="114"/>
  </cols>
  <sheetData>
    <row r="1" spans="1:23" x14ac:dyDescent="0.3">
      <c r="A1" s="139" t="s">
        <v>301</v>
      </c>
      <c r="B1" s="139" t="s">
        <v>302</v>
      </c>
      <c r="C1" s="139" t="s">
        <v>93</v>
      </c>
      <c r="D1" s="140" t="s">
        <v>94</v>
      </c>
      <c r="E1" s="139" t="s">
        <v>96</v>
      </c>
      <c r="F1" s="139" t="s">
        <v>97</v>
      </c>
      <c r="G1" s="139" t="s">
        <v>303</v>
      </c>
      <c r="H1" s="139" t="s">
        <v>101</v>
      </c>
      <c r="I1" s="139" t="s">
        <v>304</v>
      </c>
      <c r="J1" s="139" t="s">
        <v>305</v>
      </c>
      <c r="K1" s="139" t="s">
        <v>74</v>
      </c>
      <c r="L1" s="141" t="s">
        <v>76</v>
      </c>
      <c r="M1" s="139" t="s">
        <v>103</v>
      </c>
      <c r="N1" s="139" t="s">
        <v>306</v>
      </c>
      <c r="O1" s="139" t="s">
        <v>105</v>
      </c>
      <c r="P1" s="142" t="s">
        <v>72</v>
      </c>
      <c r="Q1" s="142" t="s">
        <v>106</v>
      </c>
      <c r="R1" s="142" t="s">
        <v>107</v>
      </c>
      <c r="S1" s="142" t="s">
        <v>108</v>
      </c>
      <c r="T1" s="139" t="s">
        <v>307</v>
      </c>
      <c r="U1" s="139" t="s">
        <v>308</v>
      </c>
      <c r="V1" s="139" t="s">
        <v>92</v>
      </c>
      <c r="W1" s="143" t="s">
        <v>68</v>
      </c>
    </row>
    <row r="2" spans="1:23" x14ac:dyDescent="0.3">
      <c r="A2" s="144"/>
      <c r="B2" s="144" t="str">
        <f>_xlfn.LET(_xlpm.MigSt,_xlfn.XLOOKUP(tblSignOff[[#This Row],[Hostname]],tblUnqSvr[Hostname],tblUnqSvr[Migration Status],"",0,1),IF(_xlpm.MigSt=0,"",_xlpm.MigSt))</f>
        <v/>
      </c>
      <c r="C2" s="137" t="str">
        <f>MigrationEventCode</f>
        <v>MEA100</v>
      </c>
      <c r="D2" s="145">
        <f>TMWorkbook!$C$2</f>
        <v>46129</v>
      </c>
      <c r="E2" s="144">
        <f>_xlfn.XLOOKUP(tblSignOff[[#This Row],[AssetDependencyId]],tblEvntScope[AssetDependencyId],tblEvntScope[Application Name],"",0,1)</f>
        <v>0</v>
      </c>
      <c r="F2" s="144" t="str">
        <f>_xlfn.XLOOKUP(tblSignOff[[#This Row],[AssetDependencyId]],tblEvntScope[AssetDependencyId],tblEvntScope[Application Owner],"",0,1)</f>
        <v/>
      </c>
      <c r="G2" s="144" t="str">
        <f>CONCATENATE(tblSignOff[[#This Row],[Hostname]],"-cmold")</f>
        <v>0-cmold</v>
      </c>
      <c r="H2" s="144" t="str">
        <f>_xlfn.XLOOKUP(tblSignOff[[#This Row],[AssetDependencyId]],tblEvntScope[AssetDependencyId],tblEvntScope[Source IP Address],"",0,1)</f>
        <v/>
      </c>
      <c r="I2" s="144" t="str">
        <f>_xlfn.LET(_xlpm.DCLoc,_xlfn.XLOOKUP(tblSignOff[[#This Row],[Hostname]],tblUnqSvr[Hostname],tblUnqSvr[EH DataCenter Location],"",0,1), IF(_xlpm.DCLoc=0,"",_xlpm.DCLoc))</f>
        <v/>
      </c>
      <c r="J2" s="144" t="str">
        <f>_xlfn.XLOOKUP(tblSignOff[[#This Row],[AssetDependencyId]],tblEvntScope[AssetDependencyId],tblEvntScope[Type
App/DB],"",0,1)</f>
        <v/>
      </c>
      <c r="K2" s="123" t="str">
        <f>_xlfn.XLOOKUP(tblSignOff[[#This Row],[AssetDependencyId]],tblEvntScope[AssetDependencyId],tblEvntScope[Environment],"",0,1)</f>
        <v/>
      </c>
      <c r="L2" s="124" t="str">
        <f>_xlfn.XLOOKUP(tblSignOff[[#This Row],[Hostname]],tblTM[common_assetName],tblTM[device_assetType],"",0,1)</f>
        <v/>
      </c>
      <c r="M2" s="124" t="str">
        <f>_xlfn.LET(_xlpm.OS,LOWER(_xlfn.XLOOKUP(tblSignOff[[#This Row],[Hostname]],tblTM[common_assetName],tblTM[device_os],"",0)),_xlfn.LET(_xlpm.Ver,LOWER(_xlfn.XLOOKUP(tblSignOff[[#This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N2" s="144" t="str">
        <f>_xlfn.LET(_xlpm.PhySN,_xlfn.XLOOKUP(tblSignOff[[#This Row],[Hostname]],tblUnqSvr[Hostname],tblUnqSvr[Source Physical Server Serial Number],"",0,1), IF(_xlpm.PhySN=0,"", _xlpm.PhySN))</f>
        <v/>
      </c>
      <c r="O2" s="144" t="str">
        <f>_xlfn.XLOOKUP(tblSignOff[[#This Row],[Hostname]],tblUnqSvr[Hostname],tblUnqSvr[Target Data Center],"",0,1)</f>
        <v/>
      </c>
      <c r="P2" s="144">
        <f>_xlfn.XLOOKUP(tblSignOff[[#This Row],[AssetDependencyId]],tblDependencies[AssetDependencyId],tblDependencies[DependentName],"",0,1)</f>
        <v>0</v>
      </c>
      <c r="Q2" s="125" t="str">
        <f>_xlfn.XLOOKUP(tblSignOff[[#This Row],[Hostname]],tblTM[common_assetName],tblTM[device_custom17],"",0,1)</f>
        <v/>
      </c>
      <c r="R2" s="125" t="str">
        <f>_xlfn.XLOOKUP(tblSignOff[[#This Row],[Hostname]],tblTM[common_assetName],tblTM[device_custom14],"",0,1)</f>
        <v/>
      </c>
      <c r="S2" s="125" t="str">
        <f>_xlfn.XLOOKUP(tblSignOff[[#This Row],[Hostname]],tblTM[common_assetName],tblTM[device_custom12],"",0,1)</f>
        <v/>
      </c>
      <c r="T2" s="144" t="str">
        <f>_xlfn.XLOOKUP(tblSignOff[[#This Row],[Hostname]],tblUnqSvr[Hostname],tblUnqSvr[Cutover Change number],"",0,1)</f>
        <v/>
      </c>
      <c r="U2" s="144" t="str">
        <f>_xlfn.XLOOKUP(tblSignOff[[#This Row],[Hostname]],tblUnqSvr[Hostname],tblUnqSvr[Plan Status "Moved" in TM],"",0,1)</f>
        <v/>
      </c>
      <c r="V2" s="144"/>
      <c r="W2" s="180"/>
    </row>
  </sheetData>
  <conditionalFormatting sqref="W2 K2:M2">
    <cfRule type="expression" dxfId="113" priority="16">
      <formula>INDIRECT("tblEvntScope[@Scope]")="OOS"</formula>
    </cfRule>
  </conditionalFormatting>
  <conditionalFormatting sqref="M2">
    <cfRule type="expression" dxfId="112" priority="10">
      <formula>LEFT(INDIRECT("tblSignOff[@Operating System]"),6)="MS Win"</formula>
    </cfRule>
    <cfRule type="expression" dxfId="111" priority="11">
      <formula>LEFT(INDIRECT("tblSignOff[@Operating System]"),4)="RHEL"</formula>
    </cfRule>
    <cfRule type="expression" dxfId="110" priority="12">
      <formula>LEFT(INDIRECT("tblSignOff[@Operating System]"),4)="UNIX"</formula>
    </cfRule>
    <cfRule type="expression" dxfId="109" priority="13">
      <formula>LEFT(INDIRECT("tblSignOff[@Operating System]"),4)="OSCP"</formula>
    </cfRule>
    <cfRule type="expression" dxfId="108" priority="14">
      <formula>LEFT(INDIRECT("tblSignOff[@Operating System]"),6)="PwrLnx"</formula>
    </cfRule>
    <cfRule type="expression" dxfId="107" priority="15">
      <formula>LEFT(INDIRECT("tblSignOff[@Operating System]"),3)="AIX"</formula>
    </cfRule>
  </conditionalFormatting>
  <conditionalFormatting sqref="L2">
    <cfRule type="expression" dxfId="106" priority="6">
      <formula>INDIRECT("tblSignOff[@Device Type]")="Server"</formula>
    </cfRule>
    <cfRule type="expression" dxfId="105" priority="7">
      <formula>LEFT(INDIRECT("tblSignOff[@Device Type]"),8)="Linux-VM"</formula>
    </cfRule>
    <cfRule type="expression" dxfId="104" priority="8">
      <formula>LEFT(INDIRECT("tblSignOff[@Device Type]"),3)="AIX"</formula>
    </cfRule>
  </conditionalFormatting>
  <conditionalFormatting sqref="K2">
    <cfRule type="expression" dxfId="103" priority="2">
      <formula>LEFT(INDIRECT("tblSignOff[@Environment]"),4)="Deve"</formula>
    </cfRule>
    <cfRule type="expression" dxfId="102" priority="3">
      <formula>LEFT(INDIRECT("tblSignOff[@Environment]"),4)="Test"</formula>
    </cfRule>
    <cfRule type="expression" dxfId="101" priority="4">
      <formula>LEFT(INDIRECT("tblSignOff[@Environment]"),4)="Prod"</formula>
    </cfRule>
  </conditionalFormatting>
  <dataValidations count="1">
    <dataValidation type="list" allowBlank="1" showInputMessage="1" showErrorMessage="1" sqref="O2" xr:uid="{9A8CD489-297B-43FF-B76B-2737A667E8BC}">
      <formula1>INDIRECT("tblTargetPlatformList")</formula1>
    </dataValidation>
  </dataValidations>
  <pageMargins left="0.7" right="0.7" top="0.75" bottom="0.75" header="0.3" footer="0.3"/>
  <pageSetup orientation="portrait" horizontalDpi="360" verticalDpi="360"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63C6-12FD-484E-85AE-D9E339534C2B}">
  <sheetPr codeName="Sheet12">
    <tabColor theme="9" tint="0.59999389629810485"/>
  </sheetPr>
  <dimension ref="A1:X2"/>
  <sheetViews>
    <sheetView workbookViewId="0">
      <pane xSplit="3" ySplit="1" topLeftCell="H2" activePane="bottomRight" state="frozen"/>
      <selection pane="topRight" activeCell="D1" sqref="D1"/>
      <selection pane="bottomLeft" activeCell="A2" sqref="A2"/>
      <selection pane="bottomRight" activeCell="L2" sqref="L2:L56"/>
    </sheetView>
  </sheetViews>
  <sheetFormatPr defaultColWidth="8.59765625" defaultRowHeight="14.4" x14ac:dyDescent="0.3"/>
  <cols>
    <col min="1" max="1" width="8.59765625" style="112"/>
    <col min="2" max="2" width="14.09765625" style="112" customWidth="1"/>
    <col min="3" max="3" width="8.59765625" style="112" customWidth="1"/>
    <col min="4" max="4" width="25.796875" style="112" customWidth="1"/>
    <col min="5" max="5" width="25.09765625" style="112" customWidth="1"/>
    <col min="6" max="6" width="20.296875" style="112" customWidth="1"/>
    <col min="7" max="7" width="29.796875" style="112" customWidth="1"/>
    <col min="8" max="8" width="22.69921875" style="112" customWidth="1"/>
    <col min="9" max="9" width="11.296875" style="112" bestFit="1" customWidth="1"/>
    <col min="10" max="10" width="17.19921875" style="112" customWidth="1"/>
    <col min="11" max="11" width="14.59765625" style="112" customWidth="1"/>
    <col min="12" max="12" width="28.296875" style="112" customWidth="1"/>
    <col min="13" max="13" width="24.09765625" style="112" customWidth="1"/>
    <col min="14" max="14" width="17.296875" style="112" customWidth="1"/>
    <col min="15" max="17" width="16.59765625" style="112" customWidth="1"/>
    <col min="18" max="18" width="19.59765625" style="112" customWidth="1"/>
    <col min="19" max="19" width="21.59765625" style="115" customWidth="1"/>
    <col min="20" max="20" width="17.09765625" style="112" customWidth="1"/>
    <col min="21" max="21" width="13.19921875" style="112" bestFit="1" customWidth="1"/>
    <col min="22" max="22" width="16.5" style="112" customWidth="1"/>
    <col min="23" max="23" width="14.796875" style="112" customWidth="1"/>
    <col min="24" max="24" width="39.796875" style="112" customWidth="1"/>
    <col min="25" max="16384" width="8.59765625" style="112"/>
  </cols>
  <sheetData>
    <row r="1" spans="1:24" x14ac:dyDescent="0.3">
      <c r="A1" s="146" t="s">
        <v>301</v>
      </c>
      <c r="B1" s="146" t="s">
        <v>302</v>
      </c>
      <c r="C1" s="146" t="s">
        <v>93</v>
      </c>
      <c r="D1" s="147" t="s">
        <v>309</v>
      </c>
      <c r="E1" s="148" t="s">
        <v>310</v>
      </c>
      <c r="F1" s="149" t="s">
        <v>101</v>
      </c>
      <c r="G1" s="149" t="s">
        <v>311</v>
      </c>
      <c r="H1" s="150" t="s">
        <v>305</v>
      </c>
      <c r="I1" s="149" t="s">
        <v>74</v>
      </c>
      <c r="J1" s="149" t="s">
        <v>76</v>
      </c>
      <c r="K1" s="149" t="s">
        <v>103</v>
      </c>
      <c r="L1" s="150" t="s">
        <v>312</v>
      </c>
      <c r="M1" s="149" t="s">
        <v>105</v>
      </c>
      <c r="N1" s="151" t="s">
        <v>72</v>
      </c>
      <c r="O1" s="151" t="s">
        <v>106</v>
      </c>
      <c r="P1" s="151" t="s">
        <v>107</v>
      </c>
      <c r="Q1" s="151" t="s">
        <v>108</v>
      </c>
      <c r="R1" s="146" t="s">
        <v>307</v>
      </c>
      <c r="S1" s="146" t="s">
        <v>308</v>
      </c>
      <c r="T1" s="146" t="s">
        <v>313</v>
      </c>
      <c r="U1" s="146" t="s">
        <v>314</v>
      </c>
      <c r="V1" s="146" t="s">
        <v>315</v>
      </c>
      <c r="W1" s="146" t="s">
        <v>316</v>
      </c>
      <c r="X1" s="146" t="s">
        <v>92</v>
      </c>
    </row>
    <row r="2" spans="1:24" x14ac:dyDescent="0.3">
      <c r="A2" s="152"/>
      <c r="B2" s="125"/>
      <c r="C2" s="125" t="str">
        <f t="shared" ref="C2" si="0">MigrationEventCode</f>
        <v>MEA100</v>
      </c>
      <c r="D2" s="126">
        <f>TMWorkbook!$C$2</f>
        <v>46129</v>
      </c>
      <c r="E2" s="125" t="str">
        <f>CONCATENATE(tblUnqSvr[[#This Row],[Hostname]],"-cmold")</f>
        <v>ALP206-cmold</v>
      </c>
      <c r="F2" s="125" t="str">
        <f>_xlfn.XLOOKUP(tblUnqSvr[[#This Row],[Hostname]],tblTM[common_assetName],tblTM[device_ipAddress],"",0,1)</f>
        <v/>
      </c>
      <c r="G2" s="125" t="s">
        <v>468</v>
      </c>
      <c r="H2" s="127" t="str">
        <f>_xlfn.XLOOKUP(tblUnqSvr[[#This Row],[Hostname]],tblTM[common_assetName],tblTM[device_custom35],"",0,1)</f>
        <v/>
      </c>
      <c r="I2" s="123" t="str">
        <f>_xlfn.XLOOKUP(tblUnqSvr[[#This Row],[Hostname]],tblTM[common_assetName],tblTM[common_environment],"",0,1)</f>
        <v/>
      </c>
      <c r="J2" s="124" t="str">
        <f>_xlfn.XLOOKUP(tblUnqSvr[[#This Row],[Hostname]],tblTM[common_assetName],tblTM[device_assetType],"",0,1)</f>
        <v/>
      </c>
      <c r="K2" s="124" t="str">
        <f>_xlfn.LET(_xlpm.OS,LOWER(_xlfn.XLOOKUP(tblUnqSvr[[#This Row],[Hostname]],tblTM[common_assetName],tblTM[device_os],"",0)),_xlfn.LET(_xlpm.Ver,LOWER(_xlfn.XLOOKUP(tblUnqSvr[[#This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L2" s="129" t="s">
        <v>469</v>
      </c>
      <c r="M2" s="128" t="str">
        <f>_xlfn.XLOOKUP(tblUnqSvr[[#This Row],[Hostname]],tblEvntScope[Hostname],tblEvntScope[Target Data Center],"",0,1)</f>
        <v/>
      </c>
      <c r="N2" s="129" t="s">
        <v>467</v>
      </c>
      <c r="O2" s="125" t="str">
        <f>_xlfn.XLOOKUP(tblUnqSvr[[#This Row],[Hostname]],tblTM[common_assetName],tblTM[device_custom17],"",0,1)</f>
        <v/>
      </c>
      <c r="P2" s="125" t="str">
        <f>_xlfn.XLOOKUP(tblUnqSvr[[#This Row],[Hostname]],tblTM[common_assetName],tblTM[device_custom14],"",0,1)</f>
        <v/>
      </c>
      <c r="Q2" s="125" t="str">
        <f>_xlfn.XLOOKUP(tblUnqSvr[[#This Row],[Hostname]],tblTM[common_assetName],tblTM[device_custom12],"",0,1)</f>
        <v/>
      </c>
      <c r="R2" s="130"/>
      <c r="S2" s="130"/>
      <c r="T2" s="127"/>
      <c r="U2" s="127"/>
      <c r="V2" s="127"/>
      <c r="W2" s="127"/>
      <c r="X2" s="127"/>
    </row>
  </sheetData>
  <conditionalFormatting sqref="I2">
    <cfRule type="expression" dxfId="75" priority="13">
      <formula>LEFT(INDIRECT("tblUnqSvr[@Environment]"),4)="Deve"</formula>
    </cfRule>
    <cfRule type="expression" dxfId="74" priority="14">
      <formula>LEFT(INDIRECT("tblUnqSvr[@Environment]"),4)="Test"</formula>
    </cfRule>
    <cfRule type="expression" dxfId="73" priority="15">
      <formula>LEFT(INDIRECT("tblUnqSvr[@Environment]"),4)="Prod"</formula>
    </cfRule>
  </conditionalFormatting>
  <conditionalFormatting sqref="J2">
    <cfRule type="expression" dxfId="72" priority="9">
      <formula>INDIRECT("tblUnqSvr[@Device Type]")="Server"</formula>
    </cfRule>
    <cfRule type="expression" dxfId="71" priority="10">
      <formula>LEFT(INDIRECT("tblUnqSvr[@Device Type]"),8)="Linux-VM"</formula>
    </cfRule>
    <cfRule type="expression" dxfId="70" priority="11">
      <formula>LEFT(INDIRECT("tblUnqSvr[@Device Type]"),3)="AIX"</formula>
    </cfRule>
  </conditionalFormatting>
  <conditionalFormatting sqref="K2">
    <cfRule type="expression" dxfId="69" priority="2">
      <formula>LEFT(INDIRECT("tblUnqSvr[@Operating System]"),6)="MS Win"</formula>
    </cfRule>
    <cfRule type="expression" dxfId="68" priority="3">
      <formula>LEFT(INDIRECT("tblUnqSvr[@Operating System]"),4)="RHEL"</formula>
    </cfRule>
    <cfRule type="expression" dxfId="67" priority="4">
      <formula>LEFT(INDIRECT("tblUnqSvr[@Operating System]"),4)="UNIX"</formula>
    </cfRule>
    <cfRule type="expression" dxfId="66" priority="5">
      <formula>LEFT(INDIRECT("tblUnqSvr[@Operating System]"),4)="OSCP"</formula>
    </cfRule>
    <cfRule type="expression" dxfId="65" priority="6">
      <formula>LEFT(INDIRECT("tblUnqSvr[@Operating System]"),6)="PwrLnx"</formula>
    </cfRule>
    <cfRule type="expression" dxfId="64" priority="7">
      <formula>LEFT(INDIRECT("tblUnqSvr[@Operating System]"),3)="AIX"</formula>
    </cfRule>
  </conditionalFormatting>
  <dataValidations count="1">
    <dataValidation type="list" allowBlank="1" showInputMessage="1" showErrorMessage="1" sqref="B2" xr:uid="{24D12894-CBC3-41FC-AF14-6A1ED6E6786C}">
      <formula1>"Completed, Retired, Rolled Back"</formula1>
    </dataValidation>
  </dataValidations>
  <pageMargins left="0.7" right="0.7" top="0.75" bottom="0.75" header="0.3" footer="0.3"/>
  <pageSetup orientation="portrait" horizontalDpi="360" verticalDpi="360"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20579-74D6-489A-B695-260FB727588E}">
  <sheetPr codeName="Sheet15">
    <tabColor rgb="FFD1D8E1"/>
  </sheetPr>
  <dimension ref="A1:T2"/>
  <sheetViews>
    <sheetView workbookViewId="0">
      <pane xSplit="3" ySplit="1" topLeftCell="L2" activePane="bottomRight" state="frozen"/>
      <selection pane="topRight" activeCell="D1" sqref="D1"/>
      <selection pane="bottomLeft" activeCell="A2" sqref="A2"/>
      <selection pane="bottomRight" activeCell="N2" sqref="N2:N56"/>
    </sheetView>
  </sheetViews>
  <sheetFormatPr defaultColWidth="8.59765625" defaultRowHeight="14.4" x14ac:dyDescent="0.3"/>
  <cols>
    <col min="1" max="1" width="5.796875" style="116" customWidth="1"/>
    <col min="2" max="2" width="14.09765625" style="116" customWidth="1"/>
    <col min="3" max="3" width="8.59765625" style="116" customWidth="1"/>
    <col min="4" max="4" width="27.796875" style="116" customWidth="1"/>
    <col min="5" max="5" width="21.5" style="116" customWidth="1"/>
    <col min="6" max="6" width="16.59765625" style="116" customWidth="1"/>
    <col min="7" max="7" width="19.59765625" style="116" customWidth="1"/>
    <col min="8" max="8" width="16.09765625" style="116" customWidth="1"/>
    <col min="9" max="9" width="10.5" style="116" bestFit="1" customWidth="1"/>
    <col min="10" max="10" width="10.796875" style="116" customWidth="1"/>
    <col min="11" max="11" width="14.59765625" style="116" customWidth="1"/>
    <col min="12" max="12" width="28.296875" style="116" customWidth="1"/>
    <col min="13" max="13" width="23.5" style="116" customWidth="1"/>
    <col min="14" max="14" width="17.296875" style="116" customWidth="1"/>
    <col min="15" max="17" width="16.59765625" style="116" customWidth="1"/>
    <col min="18" max="18" width="19.59765625" style="116" customWidth="1"/>
    <col min="19" max="19" width="21.59765625" style="116" customWidth="1"/>
    <col min="20" max="20" width="44.69921875" style="116" bestFit="1" customWidth="1"/>
    <col min="21" max="16384" width="8.59765625" style="116"/>
  </cols>
  <sheetData>
    <row r="1" spans="1:20" x14ac:dyDescent="0.3">
      <c r="A1" s="153" t="s">
        <v>301</v>
      </c>
      <c r="B1" s="153" t="s">
        <v>302</v>
      </c>
      <c r="C1" s="153" t="s">
        <v>93</v>
      </c>
      <c r="D1" s="153" t="s">
        <v>309</v>
      </c>
      <c r="E1" s="154" t="s">
        <v>317</v>
      </c>
      <c r="F1" s="155" t="s">
        <v>101</v>
      </c>
      <c r="G1" s="156" t="s">
        <v>304</v>
      </c>
      <c r="H1" s="155" t="s">
        <v>305</v>
      </c>
      <c r="I1" s="155" t="s">
        <v>74</v>
      </c>
      <c r="J1" s="149" t="s">
        <v>76</v>
      </c>
      <c r="K1" s="155" t="s">
        <v>103</v>
      </c>
      <c r="L1" s="156" t="s">
        <v>312</v>
      </c>
      <c r="M1" s="156" t="s">
        <v>105</v>
      </c>
      <c r="N1" s="157" t="s">
        <v>72</v>
      </c>
      <c r="O1" s="158" t="s">
        <v>106</v>
      </c>
      <c r="P1" s="158" t="s">
        <v>107</v>
      </c>
      <c r="Q1" s="158" t="s">
        <v>108</v>
      </c>
      <c r="R1" s="153" t="s">
        <v>307</v>
      </c>
      <c r="S1" s="153" t="s">
        <v>308</v>
      </c>
      <c r="T1" s="155" t="s">
        <v>92</v>
      </c>
    </row>
    <row r="2" spans="1:20" x14ac:dyDescent="0.3">
      <c r="A2" s="153"/>
      <c r="B2" s="153" t="str">
        <f>_xlfn.LET(_xlpm.MigSt,_xlfn.XLOOKUP(tblPhySvrs[[#This Row],[Hostname]],tblUnqSvr[Hostname],tblUnqSvr[Migration Status],"",0,1),IF(_xlpm.MigSt=0,"",_xlpm.MigSt))</f>
        <v/>
      </c>
      <c r="C2" s="153" t="str">
        <f>MigrationEventCode</f>
        <v>MEA100</v>
      </c>
      <c r="D2" s="167">
        <f>TMWorkbook!$C$2</f>
        <v>46129</v>
      </c>
      <c r="E2" s="154" t="str">
        <f>CONCATENATE(tblPhySvrs[[#This Row],[Hostname]],"-cmold")</f>
        <v>-cmold</v>
      </c>
      <c r="F2" s="155">
        <f>_xlfn.XLOOKUP(tblPhySvrs[[#This Row],[Hostname]],tblTM[common_assetName],tblTM[device_ipAddress],"",0,1)</f>
        <v>0</v>
      </c>
      <c r="G2" s="168" t="str">
        <f>_xlfn.LET(_xlpm.DCLoc,_xlfn.XLOOKUP(tblPhySvrs[[#This Row],[Hostname]],tblUnqSvr[Hostname],tblUnqSvr[EH DataCenter Location],"",0,1), IF(_xlpm.DCLoc=0,"",_xlpm.DCLoc))</f>
        <v/>
      </c>
      <c r="H2" s="155">
        <f>_xlfn.XLOOKUP(tblPhySvrs[[#This Row],[Hostname]],tblTM[common_assetName],tblTM[device_custom35],"",0,1)</f>
        <v>0</v>
      </c>
      <c r="I2" s="123">
        <f>_xlfn.XLOOKUP(tblPhySvrs[[#This Row],[Hostname]],tblTM[common_assetName],tblTM[common_environment],"",0,1)</f>
        <v>0</v>
      </c>
      <c r="J2" s="124" t="str">
        <f>_xlfn.XLOOKUP(tblPhySvrs[[#This Row],[Hostname]],tblUnqSvr[Hostname],tblUnqSvr[Device Type],"",0,1)</f>
        <v/>
      </c>
      <c r="K2" s="124" t="str">
        <f>_xlfn.LET(_xlpm.OS,LOWER(_xlfn.XLOOKUP(tblPhySvrs[[#This Row],[Hostname]],tblTM[common_assetName],tblTM[device_os],"",0)),_xlfn.LET(_xlpm.Ver,LOWER(_xlfn.XLOOKUP(tblPhySvrs[[#This Row],[Hostname]],tblTM[common_assetName],tblTM[device_custom31],"",0)),
IF(OR(ISNUMBER(SEARCH("aix",_xlpm.OS)),ISNUMBER(SEARCH("aix",_xlpm.Ver))
      ),
    "AIX",
    IF(OR(ISNUMBER(SEARCH("red hat",_xlpm.OS)),ISNUMBER(SEARCH("red hat",_xlpm.Ver))
         ),
       "RHEL",
       IF(OR(ISNUMBER(SEARCH("windows",_xlpm.OS)),ISNUMBER(SEARCH("windows",_xlpm.Ver))
             ),
         "MS Win",
         IF(ISNUMBER(SEARCH("power linux",_xlpm.OS)),
            "PwrLnx",
            IF(AND(ISNUMBER(SEARCH("linux",_xlpm.OS)),ISNUMBER(SEARCH("openshift",_xlpm.Ver))
                  ),
               "OSCP",
               IF(OR(ISNUMBER(SEARCH("linux",_xlpm.OS)),ISNUMBER(SEARCH("linux",_xlpm.Ver))
                    ),
                  "Linux",
                  ""
                 )
              )
           )
         )
      )
   )
))</f>
        <v/>
      </c>
      <c r="L2" s="156" t="str">
        <f>_xlfn.XLOOKUP(tblPhySvrs[[#This Row],[Hostname]],tblUnqSvr[[#This Row],[Hostname]],tblUnqSvr[[#This Row],[Source Physical Server Serial Number]],"",0,1)</f>
        <v/>
      </c>
      <c r="M2" s="156" t="str">
        <f>_xlfn.XLOOKUP(tblPhySvrs[[#This Row],[Hostname]],tblUnqSvr[[#This Row],[Hostname]],tblUnqSvr[[#This Row],[Target Data Center]],"",0,1)</f>
        <v/>
      </c>
      <c r="N2" s="169"/>
      <c r="O2" s="158">
        <f>_xlfn.XLOOKUP(tblPhySvrs[[#This Row],[Hostname]],tblTM[common_assetName],tblTM[device_custom17],"",0,1)</f>
        <v>0</v>
      </c>
      <c r="P2" s="158">
        <f>_xlfn.XLOOKUP(tblPhySvrs[[#This Row],[Hostname]],tblTM[common_assetName],tblTM[device_custom14],"",0,1)</f>
        <v>0</v>
      </c>
      <c r="Q2" s="158">
        <f>_xlfn.XLOOKUP(tblPhySvrs[[#This Row],[Hostname]],tblTM[common_assetName],tblTM[device_custom12],"",0,1)</f>
        <v>0</v>
      </c>
      <c r="R2" s="153" t="str">
        <f>_xlfn.XLOOKUP(tblPhySvrs[[#This Row],[Hostname]],tblUnqSvr[[#This Row],[Hostname]],tblUnqSvr[[#This Row],[Cutover Change number]],"",0,1)</f>
        <v/>
      </c>
      <c r="S2" s="153" t="str">
        <f>_xlfn.XLOOKUP(tblPhySvrs[[#This Row],[Hostname]],tblUnqSvr[[#This Row],[Hostname]],tblUnqSvr[[#This Row],[Plan Status "Moved" in TM]],"",0,1)</f>
        <v/>
      </c>
      <c r="T2" s="155"/>
    </row>
  </sheetData>
  <conditionalFormatting sqref="I2">
    <cfRule type="expression" dxfId="37" priority="13">
      <formula>LEFT(INDIRECT("tblPhySvrs[@Environment]"),4)="Deve"</formula>
    </cfRule>
    <cfRule type="expression" dxfId="36" priority="14">
      <formula>LEFT(INDIRECT("tblPhySvrs[@Environment]"),4)="Test"</formula>
    </cfRule>
    <cfRule type="expression" dxfId="35" priority="15">
      <formula>LEFT(INDIRECT("tblPhySvrs[@Environment]"),4)="Prod"</formula>
    </cfRule>
  </conditionalFormatting>
  <conditionalFormatting sqref="I2:K2">
    <cfRule type="expression" dxfId="34" priority="12">
      <formula>INDIRECT("tblPhySvrs[@Scope]")="OOS"</formula>
    </cfRule>
  </conditionalFormatting>
  <conditionalFormatting sqref="J2">
    <cfRule type="expression" dxfId="33" priority="9">
      <formula>INDIRECT("tblPhySvrs[@Device Type]")="Server"</formula>
    </cfRule>
    <cfRule type="expression" dxfId="32" priority="10">
      <formula>LEFT(INDIRECT("tblPhySvrs[@Device Type]"),8)="Linux-VM"</formula>
    </cfRule>
    <cfRule type="expression" dxfId="31" priority="11">
      <formula>LEFT(INDIRECT("tblPhySvrs[@Device Type]"),3)="AIX"</formula>
    </cfRule>
  </conditionalFormatting>
  <conditionalFormatting sqref="K2">
    <cfRule type="expression" dxfId="30" priority="2">
      <formula>LEFT(INDIRECT("tblPhySvrs[@Operating System]"),6)="MS Win"</formula>
    </cfRule>
    <cfRule type="expression" dxfId="29" priority="3">
      <formula>LEFT(INDIRECT("tblPhySvrs[@Operating System]"),4)="RHEL"</formula>
    </cfRule>
    <cfRule type="expression" dxfId="28" priority="4">
      <formula>LEFT(INDIRECT("tblPhySvrs[@Operating System]"),4)="UNIX"</formula>
    </cfRule>
    <cfRule type="expression" dxfId="27" priority="5">
      <formula>LEFT(INDIRECT("tblPhySvrs[@Operating System]"),4)="OSCP"</formula>
    </cfRule>
    <cfRule type="expression" dxfId="26" priority="6">
      <formula>LEFT(INDIRECT("tblPhySvrs[@Operating System]"),6)="PwrLnx"</formula>
    </cfRule>
    <cfRule type="expression" dxfId="25" priority="7">
      <formula>LEFT(INDIRECT("tblPhySvrs[@Operating System]"),3)="AIX"</formula>
    </cfRule>
  </conditionalFormatting>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1E73-EA37-3C4C-82B1-DAE80EDD5C47}">
  <sheetPr codeName="Sheet13"/>
  <dimension ref="A1:D8"/>
  <sheetViews>
    <sheetView workbookViewId="0">
      <selection activeCell="C21" sqref="C21"/>
    </sheetView>
  </sheetViews>
  <sheetFormatPr defaultColWidth="11" defaultRowHeight="15.6" x14ac:dyDescent="0.3"/>
  <cols>
    <col min="1" max="1" width="12.09765625" customWidth="1"/>
    <col min="2" max="2" width="93.19921875" style="4" customWidth="1"/>
    <col min="3" max="3" width="20.796875" customWidth="1"/>
    <col min="4" max="4" width="58.296875" customWidth="1"/>
  </cols>
  <sheetData>
    <row r="1" spans="1:4" x14ac:dyDescent="0.3">
      <c r="A1" t="s">
        <v>285</v>
      </c>
      <c r="B1" s="4" t="s">
        <v>286</v>
      </c>
      <c r="D1" s="1" t="s">
        <v>110</v>
      </c>
    </row>
    <row r="2" spans="1:4" x14ac:dyDescent="0.3">
      <c r="A2" t="s">
        <v>287</v>
      </c>
      <c r="B2" s="41" t="s">
        <v>440</v>
      </c>
      <c r="D2" s="2" t="s">
        <v>288</v>
      </c>
    </row>
    <row r="3" spans="1:4" x14ac:dyDescent="0.3">
      <c r="A3" s="64" t="s">
        <v>289</v>
      </c>
      <c r="B3" s="65" t="s">
        <v>440</v>
      </c>
    </row>
    <row r="4" spans="1:4" ht="46.8" x14ac:dyDescent="0.3">
      <c r="A4" s="64" t="s">
        <v>290</v>
      </c>
      <c r="B4" s="65" t="s">
        <v>439</v>
      </c>
    </row>
    <row r="5" spans="1:4" ht="31.2" x14ac:dyDescent="0.3">
      <c r="A5" s="64" t="s">
        <v>291</v>
      </c>
      <c r="B5" s="66" t="s">
        <v>362</v>
      </c>
    </row>
    <row r="6" spans="1:4" x14ac:dyDescent="0.3">
      <c r="A6" s="164" t="s">
        <v>292</v>
      </c>
      <c r="B6" s="165" t="s">
        <v>527</v>
      </c>
    </row>
    <row r="7" spans="1:4" x14ac:dyDescent="0.3">
      <c r="A7" s="164" t="s">
        <v>448</v>
      </c>
      <c r="B7" s="165" t="s">
        <v>522</v>
      </c>
    </row>
    <row r="8" spans="1:4" x14ac:dyDescent="0.3">
      <c r="A8" s="164" t="s">
        <v>528</v>
      </c>
      <c r="B8" s="41" t="s">
        <v>529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etDatabaseFile">
                <anchor moveWithCells="1" sizeWithCells="1">
                  <from>
                    <xdr:col>2</xdr:col>
                    <xdr:colOff>15240</xdr:colOff>
                    <xdr:row>1</xdr:row>
                    <xdr:rowOff>15240</xdr:rowOff>
                  </from>
                  <to>
                    <xdr:col>2</xdr:col>
                    <xdr:colOff>1554480</xdr:colOff>
                    <xdr:row>1</xdr:row>
                    <xdr:rowOff>190500</xdr:rowOff>
                  </to>
                </anchor>
              </controlPr>
            </control>
          </mc:Choice>
        </mc:AlternateContent>
      </controls>
    </mc:Choice>
  </mc:AlternateContent>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9AE8-FD69-4CD7-8723-55B1319E2B7D}">
  <sheetPr codeName="TransitionManagerSheet"/>
  <dimension ref="A2:B3"/>
  <sheetViews>
    <sheetView workbookViewId="0">
      <selection activeCell="B3" sqref="B3"/>
    </sheetView>
  </sheetViews>
  <sheetFormatPr defaultColWidth="8" defaultRowHeight="18" customHeight="1" x14ac:dyDescent="0.3"/>
  <cols>
    <col min="1" max="1" width="27" style="29" customWidth="1"/>
    <col min="2" max="2" width="45.296875" style="29" customWidth="1"/>
    <col min="3" max="16384" width="8" style="29"/>
  </cols>
  <sheetData>
    <row r="2" spans="1:2" ht="18" customHeight="1" x14ac:dyDescent="0.3">
      <c r="A2" s="28" t="s">
        <v>349</v>
      </c>
      <c r="B2" s="62" t="s">
        <v>463</v>
      </c>
    </row>
    <row r="3" spans="1:2" ht="18" customHeight="1" x14ac:dyDescent="0.3">
      <c r="A3" s="28" t="s">
        <v>350</v>
      </c>
      <c r="B3" s="29" t="s">
        <v>408</v>
      </c>
    </row>
  </sheetData>
  <hyperlinks>
    <hyperlink ref="B2" r:id="rId1" xr:uid="{F10D7A13-12D2-4BE6-8A23-DC64BEE21CAF}"/>
  </hyperlinks>
  <pageMargins left="0.7" right="0.7" top="0.75" bottom="0.75" header="0.3" footer="0.3"/>
  <pageSetup orientation="portrait" horizontalDpi="90" verticalDpi="90"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8EF06-9887-4721-8DCC-C12445CAFA7B}">
  <sheetPr codeName="WorkbookLists"/>
  <dimension ref="A1:D7"/>
  <sheetViews>
    <sheetView workbookViewId="0">
      <selection activeCell="E15" sqref="E15"/>
    </sheetView>
  </sheetViews>
  <sheetFormatPr defaultColWidth="8.796875" defaultRowHeight="15.6" x14ac:dyDescent="0.3"/>
  <cols>
    <col min="1" max="1" width="21.796875" customWidth="1"/>
    <col min="2" max="2" width="10.796875" customWidth="1"/>
    <col min="3" max="3" width="17.296875" customWidth="1"/>
    <col min="4" max="4" width="19.59765625" customWidth="1"/>
  </cols>
  <sheetData>
    <row r="1" spans="1:4" x14ac:dyDescent="0.3">
      <c r="A1" t="s">
        <v>351</v>
      </c>
      <c r="B1" t="s">
        <v>352</v>
      </c>
      <c r="C1" t="s">
        <v>353</v>
      </c>
      <c r="D1" t="s">
        <v>354</v>
      </c>
    </row>
    <row r="2" spans="1:4" x14ac:dyDescent="0.3">
      <c r="A2" t="s">
        <v>532</v>
      </c>
      <c r="B2">
        <v>32929</v>
      </c>
      <c r="C2">
        <v>1626</v>
      </c>
      <c r="D2">
        <v>1625</v>
      </c>
    </row>
    <row r="3" spans="1:4" x14ac:dyDescent="0.3">
      <c r="A3" t="s">
        <v>356</v>
      </c>
      <c r="B3">
        <v>10937</v>
      </c>
      <c r="C3">
        <v>1350</v>
      </c>
      <c r="D3">
        <v>1349</v>
      </c>
    </row>
    <row r="4" spans="1:4" x14ac:dyDescent="0.3">
      <c r="A4" t="s">
        <v>4</v>
      </c>
      <c r="B4">
        <v>8620</v>
      </c>
      <c r="C4">
        <v>447</v>
      </c>
      <c r="D4">
        <v>446</v>
      </c>
    </row>
    <row r="5" spans="1:4" x14ac:dyDescent="0.3">
      <c r="A5" t="s">
        <v>449</v>
      </c>
      <c r="B5">
        <v>29885</v>
      </c>
      <c r="C5">
        <v>1603</v>
      </c>
      <c r="D5">
        <v>1602</v>
      </c>
    </row>
    <row r="6" spans="1:4" x14ac:dyDescent="0.3">
      <c r="A6" t="s">
        <v>355</v>
      </c>
      <c r="B6">
        <v>5691</v>
      </c>
      <c r="C6">
        <v>319</v>
      </c>
      <c r="D6">
        <v>320</v>
      </c>
    </row>
    <row r="7" spans="1:4" x14ac:dyDescent="0.3">
      <c r="A7" t="s">
        <v>248</v>
      </c>
      <c r="B7">
        <v>10939</v>
      </c>
      <c r="C7">
        <v>1352</v>
      </c>
      <c r="D7">
        <v>1351</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D65D1-4513-4993-B815-D379878F855F}">
  <sheetPr codeName="Sheet27"/>
  <dimension ref="A2:D27"/>
  <sheetViews>
    <sheetView topLeftCell="A20" workbookViewId="0">
      <selection activeCell="D28" sqref="D28"/>
    </sheetView>
  </sheetViews>
  <sheetFormatPr defaultRowHeight="15.6" x14ac:dyDescent="0.3"/>
  <cols>
    <col min="1" max="1" width="9.19921875" bestFit="1" customWidth="1"/>
    <col min="2" max="2" width="17.296875" bestFit="1" customWidth="1"/>
    <col min="3" max="3" width="17" bestFit="1" customWidth="1"/>
    <col min="4" max="4" width="100.796875" style="4" customWidth="1"/>
  </cols>
  <sheetData>
    <row r="2" spans="1:4" x14ac:dyDescent="0.3">
      <c r="A2" t="s">
        <v>318</v>
      </c>
      <c r="B2" t="s">
        <v>319</v>
      </c>
      <c r="C2" t="s">
        <v>320</v>
      </c>
      <c r="D2" s="4" t="s">
        <v>321</v>
      </c>
    </row>
    <row r="3" spans="1:4" ht="78" x14ac:dyDescent="0.3">
      <c r="A3" s="104" t="s">
        <v>322</v>
      </c>
      <c r="B3" s="103">
        <v>45219</v>
      </c>
      <c r="C3" s="101" t="s">
        <v>323</v>
      </c>
      <c r="D3" s="102" t="s">
        <v>324</v>
      </c>
    </row>
    <row r="4" spans="1:4" ht="93.6" x14ac:dyDescent="0.3">
      <c r="A4" s="104" t="s">
        <v>325</v>
      </c>
      <c r="B4" s="103">
        <v>45224</v>
      </c>
      <c r="C4" s="101" t="s">
        <v>323</v>
      </c>
      <c r="D4" s="102" t="s">
        <v>326</v>
      </c>
    </row>
    <row r="5" spans="1:4" ht="31.2" x14ac:dyDescent="0.3">
      <c r="A5" s="104" t="s">
        <v>327</v>
      </c>
      <c r="B5" s="103">
        <v>45264</v>
      </c>
      <c r="C5" s="101" t="s">
        <v>323</v>
      </c>
      <c r="D5" s="102" t="s">
        <v>328</v>
      </c>
    </row>
    <row r="6" spans="1:4" ht="46.8" x14ac:dyDescent="0.3">
      <c r="A6" s="104" t="s">
        <v>329</v>
      </c>
      <c r="B6" s="103">
        <v>45273</v>
      </c>
      <c r="C6" s="101" t="s">
        <v>323</v>
      </c>
      <c r="D6" s="102" t="s">
        <v>330</v>
      </c>
    </row>
    <row r="7" spans="1:4" ht="31.2" x14ac:dyDescent="0.3">
      <c r="A7" s="104" t="s">
        <v>331</v>
      </c>
      <c r="B7" s="103">
        <v>45316</v>
      </c>
      <c r="C7" s="101" t="s">
        <v>323</v>
      </c>
      <c r="D7" s="102" t="s">
        <v>332</v>
      </c>
    </row>
    <row r="8" spans="1:4" ht="31.2" x14ac:dyDescent="0.3">
      <c r="A8" s="104" t="s">
        <v>333</v>
      </c>
      <c r="B8" s="103">
        <v>45348</v>
      </c>
      <c r="C8" s="101" t="s">
        <v>323</v>
      </c>
      <c r="D8" s="102" t="s">
        <v>334</v>
      </c>
    </row>
    <row r="9" spans="1:4" ht="31.2" x14ac:dyDescent="0.3">
      <c r="A9" s="104" t="s">
        <v>335</v>
      </c>
      <c r="B9" s="103">
        <v>45358</v>
      </c>
      <c r="C9" s="101" t="s">
        <v>323</v>
      </c>
      <c r="D9" s="102" t="s">
        <v>336</v>
      </c>
    </row>
    <row r="10" spans="1:4" ht="31.2" x14ac:dyDescent="0.3">
      <c r="A10" s="104" t="s">
        <v>337</v>
      </c>
      <c r="B10" s="103">
        <v>45366</v>
      </c>
      <c r="C10" s="101" t="s">
        <v>323</v>
      </c>
      <c r="D10" s="102" t="s">
        <v>338</v>
      </c>
    </row>
    <row r="11" spans="1:4" ht="31.2" x14ac:dyDescent="0.3">
      <c r="A11" s="104" t="s">
        <v>339</v>
      </c>
      <c r="B11" s="103">
        <v>45378</v>
      </c>
      <c r="C11" s="101" t="s">
        <v>323</v>
      </c>
      <c r="D11" s="102" t="s">
        <v>340</v>
      </c>
    </row>
    <row r="12" spans="1:4" ht="62.4" x14ac:dyDescent="0.3">
      <c r="A12" s="104" t="s">
        <v>341</v>
      </c>
      <c r="B12" s="103">
        <v>45379</v>
      </c>
      <c r="C12" s="101" t="s">
        <v>323</v>
      </c>
      <c r="D12" s="102" t="s">
        <v>342</v>
      </c>
    </row>
    <row r="13" spans="1:4" ht="31.2" x14ac:dyDescent="0.3">
      <c r="A13" s="104" t="s">
        <v>343</v>
      </c>
      <c r="B13" s="103">
        <v>45380</v>
      </c>
      <c r="C13" s="101" t="s">
        <v>323</v>
      </c>
      <c r="D13" s="102" t="s">
        <v>344</v>
      </c>
    </row>
    <row r="14" spans="1:4" x14ac:dyDescent="0.3">
      <c r="A14" s="104" t="s">
        <v>345</v>
      </c>
      <c r="B14" s="103">
        <v>45446</v>
      </c>
      <c r="C14" s="101" t="s">
        <v>323</v>
      </c>
      <c r="D14" s="102" t="s">
        <v>346</v>
      </c>
    </row>
    <row r="15" spans="1:4" ht="78" x14ac:dyDescent="0.3">
      <c r="A15" s="104" t="s">
        <v>347</v>
      </c>
      <c r="B15" s="103">
        <v>45475</v>
      </c>
      <c r="C15" s="101" t="s">
        <v>323</v>
      </c>
      <c r="D15" s="102" t="s">
        <v>348</v>
      </c>
    </row>
    <row r="16" spans="1:4" ht="31.2" x14ac:dyDescent="0.3">
      <c r="A16" s="104" t="s">
        <v>0</v>
      </c>
      <c r="B16" s="103">
        <v>45539</v>
      </c>
      <c r="C16" s="101" t="s">
        <v>323</v>
      </c>
      <c r="D16" s="102" t="s">
        <v>357</v>
      </c>
    </row>
    <row r="17" spans="1:4" ht="62.4" x14ac:dyDescent="0.3">
      <c r="A17" s="104" t="s">
        <v>359</v>
      </c>
      <c r="B17" s="103">
        <v>45586</v>
      </c>
      <c r="C17" s="101" t="s">
        <v>323</v>
      </c>
      <c r="D17" s="102" t="s">
        <v>405</v>
      </c>
    </row>
    <row r="18" spans="1:4" ht="31.2" x14ac:dyDescent="0.3">
      <c r="A18" s="104" t="s">
        <v>406</v>
      </c>
      <c r="B18" s="103">
        <v>45699</v>
      </c>
      <c r="C18" s="101" t="s">
        <v>323</v>
      </c>
      <c r="D18" s="102" t="s">
        <v>407</v>
      </c>
    </row>
    <row r="19" spans="1:4" ht="78" x14ac:dyDescent="0.3">
      <c r="A19" s="104" t="s">
        <v>410</v>
      </c>
      <c r="B19" s="103">
        <v>45750</v>
      </c>
      <c r="C19" s="101" t="s">
        <v>323</v>
      </c>
      <c r="D19" s="102" t="s">
        <v>420</v>
      </c>
    </row>
    <row r="20" spans="1:4" ht="31.2" x14ac:dyDescent="0.3">
      <c r="A20" s="104" t="s">
        <v>422</v>
      </c>
      <c r="B20" s="103">
        <v>45912</v>
      </c>
      <c r="C20" s="101" t="s">
        <v>323</v>
      </c>
      <c r="D20" s="102" t="s">
        <v>432</v>
      </c>
    </row>
    <row r="21" spans="1:4" ht="31.2" x14ac:dyDescent="0.3">
      <c r="A21" s="104" t="s">
        <v>437</v>
      </c>
      <c r="B21" s="103">
        <v>45939</v>
      </c>
      <c r="C21" s="101" t="s">
        <v>323</v>
      </c>
      <c r="D21" s="102" t="s">
        <v>438</v>
      </c>
    </row>
    <row r="22" spans="1:4" ht="31.2" x14ac:dyDescent="0.3">
      <c r="A22" s="104" t="s">
        <v>441</v>
      </c>
      <c r="B22" s="103">
        <v>45961</v>
      </c>
      <c r="C22" s="101" t="s">
        <v>323</v>
      </c>
      <c r="D22" s="102" t="s">
        <v>442</v>
      </c>
    </row>
    <row r="23" spans="1:4" ht="46.8" x14ac:dyDescent="0.3">
      <c r="A23" s="104" t="s">
        <v>443</v>
      </c>
      <c r="B23" s="103">
        <v>45965</v>
      </c>
      <c r="C23" s="101" t="s">
        <v>323</v>
      </c>
      <c r="D23" s="102" t="s">
        <v>444</v>
      </c>
    </row>
    <row r="24" spans="1:4" x14ac:dyDescent="0.3">
      <c r="A24" s="104" t="s">
        <v>445</v>
      </c>
      <c r="B24" s="103">
        <v>45972</v>
      </c>
      <c r="C24" s="101" t="s">
        <v>323</v>
      </c>
      <c r="D24" s="102" t="s">
        <v>446</v>
      </c>
    </row>
    <row r="25" spans="1:4" ht="31.2" x14ac:dyDescent="0.3">
      <c r="A25" s="104" t="s">
        <v>447</v>
      </c>
      <c r="B25" s="103">
        <v>45785</v>
      </c>
      <c r="C25" s="101" t="s">
        <v>323</v>
      </c>
      <c r="D25" s="102" t="s">
        <v>464</v>
      </c>
    </row>
    <row r="26" spans="1:4" ht="46.8" x14ac:dyDescent="0.3">
      <c r="A26" s="104" t="s">
        <v>465</v>
      </c>
      <c r="B26" s="103">
        <v>46244</v>
      </c>
      <c r="C26" s="101" t="s">
        <v>323</v>
      </c>
      <c r="D26" s="102" t="s">
        <v>530</v>
      </c>
    </row>
    <row r="27" spans="1:4" x14ac:dyDescent="0.3">
      <c r="A27" s="104" t="s">
        <v>526</v>
      </c>
      <c r="B27" s="103">
        <v>46307</v>
      </c>
      <c r="C27" s="101" t="s">
        <v>323</v>
      </c>
      <c r="D27" s="102" t="s">
        <v>531</v>
      </c>
    </row>
  </sheetData>
  <phoneticPr fontId="14" type="noConversion"/>
  <conditionalFormatting sqref="B3:B27">
    <cfRule type="expression" dxfId="513" priority="1">
      <formula>WEEKDAY($C3)=6</formula>
    </cfRule>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Comments xmlns="fed42fab-2651-48fa-98cd-217af9ad7ad1" xsi:nil="true"/>
    <TaxCatchAll xmlns="cb62bc94-3bd1-42f6-b2f1-0911ecd0f045" xsi:nil="true"/>
    <SharedWithUsers xmlns="cb62bc94-3bd1-42f6-b2f1-0911ecd0f045">
      <UserInfo>
        <DisplayName>Flor Guerrero Rivas</DisplayName>
        <AccountId>414</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5" ma:contentTypeDescription="Create a new document." ma:contentTypeScope="" ma:versionID="91d71183c9ad5f2c17f527653ba93863">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dabe269a8dedc734339fd918b34d1bd"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element name="MediaServiceLocation" ma:index="29" nillable="true" ma:displayName="Location" ma:description="" ma:indexed="true" ma:internalName="MediaServiceLocation" ma:readOnly="true">
      <xsd:simpleType>
        <xsd:restriction base="dms:Text"/>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BBED20-C3E9-477F-BA74-A374D678B279}">
  <ds:schemaRefs>
    <ds:schemaRef ds:uri="http://purl.org/dc/terms/"/>
    <ds:schemaRef ds:uri="http://schemas.microsoft.com/sharepoint/v3"/>
    <ds:schemaRef ds:uri="http://purl.org/dc/elements/1.1/"/>
    <ds:schemaRef ds:uri="http://schemas.microsoft.com/office/2006/metadata/properties"/>
    <ds:schemaRef ds:uri="http://www.w3.org/XML/1998/namespace"/>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fed42fab-2651-48fa-98cd-217af9ad7ad1"/>
    <ds:schemaRef ds:uri="cb62bc94-3bd1-42f6-b2f1-0911ecd0f045"/>
  </ds:schemaRefs>
</ds:datastoreItem>
</file>

<file path=customXml/itemProps2.xml><?xml version="1.0" encoding="utf-8"?>
<ds:datastoreItem xmlns:ds="http://schemas.openxmlformats.org/officeDocument/2006/customXml" ds:itemID="{005E31C3-0294-48CF-8E23-09D487B26C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AF4CD-40FD-452E-A6A8-B30E51BD690E}">
  <ds:schemaRefs>
    <ds:schemaRef ds:uri="http://schemas.microsoft.com/sharepoint/v3/contenttype/forms"/>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vt:i4>
      </vt:variant>
    </vt:vector>
  </HeadingPairs>
  <TitlesOfParts>
    <vt:vector size="31" baseType="lpstr">
      <vt:lpstr>TMWorkbook</vt:lpstr>
      <vt:lpstr>AppSum</vt:lpstr>
      <vt:lpstr>PMView</vt:lpstr>
      <vt:lpstr>Event Scope</vt:lpstr>
      <vt:lpstr>TM</vt:lpstr>
      <vt:lpstr>Applications</vt:lpstr>
      <vt:lpstr>Dependencies</vt:lpstr>
      <vt:lpstr>Affinities</vt:lpstr>
      <vt:lpstr>CS-Stacks</vt:lpstr>
      <vt:lpstr>AppSupStaff</vt:lpstr>
      <vt:lpstr>IntroMsg</vt:lpstr>
      <vt:lpstr>AAQMsg</vt:lpstr>
      <vt:lpstr>Info</vt:lpstr>
      <vt:lpstr>Summary Sheet-App Level</vt:lpstr>
      <vt:lpstr>App-Server Sign-off Details</vt:lpstr>
      <vt:lpstr>Unique Server List</vt:lpstr>
      <vt:lpstr>Physical Servers</vt:lpstr>
      <vt:lpstr>config</vt:lpstr>
      <vt:lpstr>TransitionManager</vt:lpstr>
      <vt:lpstr>WorkbookLists</vt:lpstr>
      <vt:lpstr>ChangeLog</vt:lpstr>
      <vt:lpstr>app_view_id</vt:lpstr>
      <vt:lpstr>BundleCode</vt:lpstr>
      <vt:lpstr>cfgBaseTMURL</vt:lpstr>
      <vt:lpstr>cfgDBFileName</vt:lpstr>
      <vt:lpstr>cfgDefaultUsername</vt:lpstr>
      <vt:lpstr>dev_view_id</vt:lpstr>
      <vt:lpstr>MigrationEventCode</vt:lpstr>
      <vt:lpstr>project_id</vt:lpstr>
      <vt:lpstr>tmpPassword</vt:lpstr>
      <vt:lpstr>tmpToken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Ecks</dc:creator>
  <cp:keywords/>
  <dc:description/>
  <cp:lastModifiedBy>Alonso Andres Villalobos Laurent</cp:lastModifiedBy>
  <cp:revision/>
  <dcterms:created xsi:type="dcterms:W3CDTF">2021-09-21T21:25:08Z</dcterms:created>
  <dcterms:modified xsi:type="dcterms:W3CDTF">2026-10-12T21:52:43Z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0x010100DAC240FF90991443AA27694C7577E60F</vt:lpwstr>
  </property>
  <property fmtid="{D5CDD505-2E9C-101B-9397-08002B2CF9AE}" pid="3" name="MediaServiceImageTags">
    <vt:lpwstr/>
  </property>
</Properties>
</file>